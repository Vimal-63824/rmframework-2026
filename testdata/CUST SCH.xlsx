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14" activeTab="15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CS DisSimilar" sheetId="49" r:id="rId12"/>
    <sheet name="CS" sheetId="17" r:id="rId13"/>
    <sheet name="CS DisSimilar Standard Price" sheetId="56" r:id="rId14"/>
    <sheet name="CS DisSimilar Catalog Price" sheetId="58" r:id="rId15"/>
    <sheet name="CSCat" sheetId="59" r:id="rId16"/>
    <sheet name="CS Similar Catalog Price" sheetId="57" r:id="rId17"/>
    <sheet name="CS Similar Standard Price" sheetId="55" r:id="rId18"/>
    <sheet name="CS Similar PriceList" sheetId="54" r:id="rId19"/>
    <sheet name="CS DisSimilar PriceList" sheetId="53" r:id="rId20"/>
    <sheet name="CS Similar Rate Contract" sheetId="51" r:id="rId21"/>
    <sheet name="CS DisSimilar Rate Contract" sheetId="52" r:id="rId22"/>
    <sheet name="Case 1" sheetId="1" r:id="rId23"/>
    <sheet name="Item Stocks" sheetId="3" state="hidden" r:id="rId24"/>
    <sheet name="SO UTGST" sheetId="36" r:id="rId25"/>
    <sheet name="Free Sample" sheetId="12" r:id="rId26"/>
    <sheet name="Free Replacement" sheetId="13" r:id="rId27"/>
    <sheet name="SCRAP" sheetId="5" r:id="rId28"/>
    <sheet name="SERVICE" sheetId="6" r:id="rId29"/>
    <sheet name="PROMOTIONAL" sheetId="8" r:id="rId30"/>
    <sheet name="Local Customer" sheetId="9" r:id="rId31"/>
    <sheet name="SEZ Customer" sheetId="10" r:id="rId32"/>
    <sheet name="CESS" sheetId="11" r:id="rId33"/>
    <sheet name="Demo Exhibition" sheetId="14" r:id="rId34"/>
    <sheet name="CHARGES" sheetId="15" r:id="rId35"/>
    <sheet name="SO Amendment Disc UTGST" sheetId="43" r:id="rId36"/>
    <sheet name="SO Amendment Price UTGST" sheetId="42" r:id="rId37"/>
    <sheet name="SO Amendment AddItem UTGST" sheetId="44" r:id="rId38"/>
    <sheet name="SO Amendment Qty UTGST" sheetId="37" r:id="rId39"/>
    <sheet name="SO Amendment Qty" sheetId="33" r:id="rId40"/>
    <sheet name="Disc Change" sheetId="40" r:id="rId41"/>
    <sheet name="Price Change" sheetId="39" r:id="rId42"/>
    <sheet name="Qty Change" sheetId="38" r:id="rId43"/>
    <sheet name="So Amend Price Local" sheetId="46" r:id="rId44"/>
    <sheet name="So Amend Disc Local" sheetId="47" r:id="rId45"/>
    <sheet name="So Amend Qty Local" sheetId="45" r:id="rId46"/>
    <sheet name="SO" sheetId="29" r:id="rId47"/>
    <sheet name="SoAmendment PriceChange" sheetId="34" r:id="rId48"/>
    <sheet name="SO Amendment DiscountChange" sheetId="35" r:id="rId49"/>
    <sheet name="SO Amendment Different PC" sheetId="32" r:id="rId50"/>
    <sheet name="SO Amendment AdditionOfItem" sheetId="30" r:id="rId51"/>
    <sheet name="Add of Item" sheetId="41" r:id="rId52"/>
    <sheet name="So Amend AddOfItem Local" sheetId="48" r:id="rId53"/>
    <sheet name="SO Amendment With Charges" sheetId="31" r:id="rId54"/>
  </sheets>
  <definedNames>
    <definedName name="_xlnm._FilterDatabase" localSheetId="51" hidden="1">'Add of Item'!$V$1:$V$9</definedName>
    <definedName name="_xlnm._FilterDatabase" localSheetId="22" hidden="1">'Case 1'!$V$1:$V$8</definedName>
    <definedName name="_xlnm._FilterDatabase" localSheetId="32" hidden="1">CESS!$V$1:$V$8</definedName>
    <definedName name="_xlnm._FilterDatabase" localSheetId="12" hidden="1">CS!$S$1:$S$9</definedName>
    <definedName name="_xlnm._FilterDatabase" localSheetId="11" hidden="1">'CS DisSimilar'!$S$1:$S$9</definedName>
    <definedName name="_xlnm._FilterDatabase" localSheetId="14" hidden="1">'CS DisSimilar Catalog Price'!$S$1:$S$9</definedName>
    <definedName name="_xlnm._FilterDatabase" localSheetId="19" hidden="1">'CS DisSimilar PriceList'!$S$1:$S$9</definedName>
    <definedName name="_xlnm._FilterDatabase" localSheetId="21" hidden="1">'CS DisSimilar Rate Contract'!$S$1:$S$9</definedName>
    <definedName name="_xlnm._FilterDatabase" localSheetId="13" hidden="1">'CS DisSimilar Standard Price'!$S$1:$S$9</definedName>
    <definedName name="_xlnm._FilterDatabase" localSheetId="16" hidden="1">'CS Similar Catalog Price'!$S$1:$S$9</definedName>
    <definedName name="_xlnm._FilterDatabase" localSheetId="18" hidden="1">'CS Similar PriceList'!$S$1:$S$9</definedName>
    <definedName name="_xlnm._FilterDatabase" localSheetId="20" hidden="1">'CS Similar Rate Contract'!$S$1:$S$9</definedName>
    <definedName name="_xlnm._FilterDatabase" localSheetId="17" hidden="1">'CS Similar Standard Price'!$S$1:$S$9</definedName>
    <definedName name="_xlnm._FilterDatabase" localSheetId="15" hidden="1">CSCat!$S$1:$S$8</definedName>
    <definedName name="_xlnm._FilterDatabase" localSheetId="33" hidden="1">'Demo Exhibition'!$V$1:$V$8</definedName>
    <definedName name="_xlnm._FilterDatabase" localSheetId="8" hidden="1">'Different Price Class (RC)'!$V$1:$V$8</definedName>
    <definedName name="_xlnm._FilterDatabase" localSheetId="40" hidden="1">'Disc Change'!$V$1:$V$8</definedName>
    <definedName name="_xlnm._FilterDatabase" localSheetId="26" hidden="1">'Free Replacement'!$V$1:$V$8</definedName>
    <definedName name="_xlnm._FilterDatabase" localSheetId="25" hidden="1">'Free Sample'!$V$1:$V$8</definedName>
    <definedName name="_xlnm._FilterDatabase" localSheetId="30" hidden="1">'Local Customer'!$V$1:$V$8</definedName>
    <definedName name="_xlnm._FilterDatabase" localSheetId="41" hidden="1">'Price Change'!$V$1:$V$8</definedName>
    <definedName name="_xlnm._FilterDatabase" localSheetId="29" hidden="1">PROMOTIONAL!$V$1:$V$8</definedName>
    <definedName name="_xlnm._FilterDatabase" localSheetId="42" hidden="1">'Qty Change'!$V$1:$V$8</definedName>
    <definedName name="_xlnm._FilterDatabase" localSheetId="27" hidden="1">SCRAP!$V$1:$V$7</definedName>
    <definedName name="_xlnm._FilterDatabase" localSheetId="28" hidden="1">SERVICE!$V$1:$V$7</definedName>
    <definedName name="_xlnm._FilterDatabase" localSheetId="31" hidden="1">'SEZ Customer'!$V$1:$V$8</definedName>
    <definedName name="_xlnm._FilterDatabase" localSheetId="7" hidden="1">ShipSet!$V$1:$V$8</definedName>
    <definedName name="_xlnm._FilterDatabase" localSheetId="46" hidden="1">SO!$V$1:$V$8</definedName>
    <definedName name="_xlnm._FilterDatabase" localSheetId="52" hidden="1">'So Amend AddOfItem Local'!$V$1:$V$9</definedName>
    <definedName name="_xlnm._FilterDatabase" localSheetId="44" hidden="1">'So Amend Disc Local'!$V$1:$V$8</definedName>
    <definedName name="_xlnm._FilterDatabase" localSheetId="43" hidden="1">'So Amend Price Local'!$V$1:$V$8</definedName>
    <definedName name="_xlnm._FilterDatabase" localSheetId="45" hidden="1">'So Amend Qty Local'!$V$1:$V$8</definedName>
    <definedName name="_xlnm._FilterDatabase" localSheetId="37" hidden="1">'SO Amendment AddItem UTGST'!$V$1:$V$9</definedName>
    <definedName name="_xlnm._FilterDatabase" localSheetId="50" hidden="1">'SO Amendment AdditionOfItem'!#REF!</definedName>
    <definedName name="_xlnm._FilterDatabase" localSheetId="49" hidden="1">'SO Amendment Different PC'!#REF!</definedName>
    <definedName name="_xlnm._FilterDatabase" localSheetId="35" hidden="1">'SO Amendment Disc UTGST'!$V$1:$V$8</definedName>
    <definedName name="_xlnm._FilterDatabase" localSheetId="48" hidden="1">'SO Amendment DiscountChange'!#REF!</definedName>
    <definedName name="_xlnm._FilterDatabase" localSheetId="36" hidden="1">'SO Amendment Price UTGST'!$V$1:$V$8</definedName>
    <definedName name="_xlnm._FilterDatabase" localSheetId="39" hidden="1">'SO Amendment Qty'!#REF!</definedName>
    <definedName name="_xlnm._FilterDatabase" localSheetId="38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4" hidden="1">'SO UTGST'!$V$1:$V$8</definedName>
    <definedName name="_xlnm._FilterDatabase" localSheetId="47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I6" i="59"/>
  <c r="Z6"/>
  <c r="X6"/>
  <c r="V6"/>
  <c r="U6"/>
  <c r="L6"/>
  <c r="N6" s="1"/>
  <c r="O6" s="1"/>
  <c r="P6" s="1"/>
  <c r="AI5"/>
  <c r="Z5"/>
  <c r="X5"/>
  <c r="W5"/>
  <c r="L5"/>
  <c r="N5" s="1"/>
  <c r="O5" s="1"/>
  <c r="P5" s="1"/>
  <c r="AB7" i="52"/>
  <c r="AB7" i="51"/>
  <c r="AB7" i="53"/>
  <c r="AB7" i="54"/>
  <c r="AB7" i="55"/>
  <c r="AB7" i="57"/>
  <c r="AB7" i="58"/>
  <c r="AB7" i="56"/>
  <c r="AB7" i="49"/>
  <c r="AB7" i="17"/>
  <c r="AI5"/>
  <c r="AI7" i="58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7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6"/>
  <c r="Z7"/>
  <c r="X7"/>
  <c r="W7"/>
  <c r="V7"/>
  <c r="U7"/>
  <c r="O7"/>
  <c r="P7" s="1"/>
  <c r="N7"/>
  <c r="L7"/>
  <c r="AI6"/>
  <c r="Z6"/>
  <c r="X6"/>
  <c r="W6"/>
  <c r="O6"/>
  <c r="P6" s="1"/>
  <c r="N6"/>
  <c r="L6"/>
  <c r="AI5"/>
  <c r="Z5"/>
  <c r="X5"/>
  <c r="V5"/>
  <c r="U5"/>
  <c r="N5"/>
  <c r="O5" s="1"/>
  <c r="P5" s="1"/>
  <c r="L5"/>
  <c r="AI7" i="55"/>
  <c r="Z7"/>
  <c r="X7"/>
  <c r="W7"/>
  <c r="V7"/>
  <c r="U7"/>
  <c r="AA7" s="1"/>
  <c r="L7"/>
  <c r="N7" s="1"/>
  <c r="O7" s="1"/>
  <c r="P7" s="1"/>
  <c r="AI6"/>
  <c r="Z6"/>
  <c r="X6"/>
  <c r="W6"/>
  <c r="N6"/>
  <c r="O6" s="1"/>
  <c r="P6" s="1"/>
  <c r="L6"/>
  <c r="AI5"/>
  <c r="Z5"/>
  <c r="X5"/>
  <c r="V5"/>
  <c r="U5"/>
  <c r="L5"/>
  <c r="AI7" i="54"/>
  <c r="Z7"/>
  <c r="X7"/>
  <c r="W7"/>
  <c r="V7"/>
  <c r="U7"/>
  <c r="N7"/>
  <c r="O7" s="1"/>
  <c r="P7" s="1"/>
  <c r="L7"/>
  <c r="AI6"/>
  <c r="Z6"/>
  <c r="X6"/>
  <c r="W6"/>
  <c r="L6"/>
  <c r="AI5"/>
  <c r="Z5"/>
  <c r="X5"/>
  <c r="V5"/>
  <c r="U5"/>
  <c r="N5"/>
  <c r="O5" s="1"/>
  <c r="P5" s="1"/>
  <c r="L5"/>
  <c r="AI7" i="53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2"/>
  <c r="Z7"/>
  <c r="X7"/>
  <c r="W7"/>
  <c r="V7"/>
  <c r="U7"/>
  <c r="AA7" s="1"/>
  <c r="L7"/>
  <c r="AI6"/>
  <c r="Z6"/>
  <c r="X6"/>
  <c r="W6"/>
  <c r="N6"/>
  <c r="O6" s="1"/>
  <c r="P6" s="1"/>
  <c r="L6"/>
  <c r="AI5"/>
  <c r="Z5"/>
  <c r="X5"/>
  <c r="V5"/>
  <c r="U5"/>
  <c r="L5"/>
  <c r="AI7" i="51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49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17"/>
  <c r="Z7"/>
  <c r="X7"/>
  <c r="W7"/>
  <c r="V7"/>
  <c r="U7"/>
  <c r="L7"/>
  <c r="N7" s="1"/>
  <c r="O7" s="1"/>
  <c r="P7" s="1"/>
  <c r="AI6"/>
  <c r="Z6"/>
  <c r="X6"/>
  <c r="W6"/>
  <c r="L6"/>
  <c r="X5"/>
  <c r="V5"/>
  <c r="U5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Z5" i="17"/>
  <c r="BG6" i="35"/>
  <c r="BF6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AP6" s="1"/>
  <c r="G6"/>
  <c r="AO6" s="1"/>
  <c r="AQ6" s="1"/>
  <c r="AU6" s="1"/>
  <c r="AV6" s="1"/>
  <c r="BG5"/>
  <c r="BF5"/>
  <c r="AN5"/>
  <c r="AK5"/>
  <c r="AF5"/>
  <c r="AB5"/>
  <c r="AB7" s="1"/>
  <c r="AA5"/>
  <c r="Z5"/>
  <c r="Y5"/>
  <c r="X5"/>
  <c r="W5"/>
  <c r="V5"/>
  <c r="BD5" s="1"/>
  <c r="U5"/>
  <c r="AM5" s="1"/>
  <c r="T5"/>
  <c r="S5"/>
  <c r="R5"/>
  <c r="Q5"/>
  <c r="P5"/>
  <c r="O5"/>
  <c r="N5"/>
  <c r="M5"/>
  <c r="L5"/>
  <c r="K5"/>
  <c r="J5"/>
  <c r="I5"/>
  <c r="H5"/>
  <c r="AP5" s="1"/>
  <c r="G5"/>
  <c r="AI5" s="1"/>
  <c r="D3"/>
  <c r="BG6" i="34"/>
  <c r="BF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AT6" s="1"/>
  <c r="K6"/>
  <c r="AS6" s="1"/>
  <c r="J6"/>
  <c r="AR6" s="1"/>
  <c r="I6"/>
  <c r="H6"/>
  <c r="G6"/>
  <c r="AF6" s="1"/>
  <c r="AI6" s="1"/>
  <c r="BG5"/>
  <c r="BF5"/>
  <c r="AN5"/>
  <c r="AK5"/>
  <c r="AB5"/>
  <c r="AA5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AT5" s="1"/>
  <c r="K5"/>
  <c r="AS5" s="1"/>
  <c r="J5"/>
  <c r="AR5" s="1"/>
  <c r="I5"/>
  <c r="H5"/>
  <c r="G5"/>
  <c r="AF5" s="1"/>
  <c r="D3"/>
  <c r="V5" i="33"/>
  <c r="BD5" s="1"/>
  <c r="AS6"/>
  <c r="AT6"/>
  <c r="AT5"/>
  <c r="AS5"/>
  <c r="AR6"/>
  <c r="AR5"/>
  <c r="AP6"/>
  <c r="AP5"/>
  <c r="BG6"/>
  <c r="BF6"/>
  <c r="AQ6"/>
  <c r="AU6" s="1"/>
  <c r="AV6" s="1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N5"/>
  <c r="AK5"/>
  <c r="AB5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Q5" i="59" l="1"/>
  <c r="R5"/>
  <c r="R6"/>
  <c r="Q6"/>
  <c r="AA7" i="51"/>
  <c r="AA7" i="53"/>
  <c r="AA7" i="54"/>
  <c r="AA7" i="56"/>
  <c r="AA7" i="49"/>
  <c r="AA7" i="58"/>
  <c r="AA7" i="57"/>
  <c r="Q6" i="58"/>
  <c r="R6"/>
  <c r="R7"/>
  <c r="Q7"/>
  <c r="N5"/>
  <c r="O5" s="1"/>
  <c r="P5" s="1"/>
  <c r="Q5" s="1"/>
  <c r="Q6" i="57"/>
  <c r="R6"/>
  <c r="R7"/>
  <c r="Q7"/>
  <c r="N5"/>
  <c r="O5" s="1"/>
  <c r="P5" s="1"/>
  <c r="Q5" s="1"/>
  <c r="Q5" i="56"/>
  <c r="R5"/>
  <c r="Q6"/>
  <c r="R6"/>
  <c r="R7"/>
  <c r="Q7"/>
  <c r="R7" i="55"/>
  <c r="Q7"/>
  <c r="Q6"/>
  <c r="R6"/>
  <c r="N5"/>
  <c r="O5" s="1"/>
  <c r="P5" s="1"/>
  <c r="Q5" s="1"/>
  <c r="R6" i="54"/>
  <c r="Q5"/>
  <c r="R5"/>
  <c r="R7"/>
  <c r="Q7"/>
  <c r="N6"/>
  <c r="O6" s="1"/>
  <c r="P6" s="1"/>
  <c r="Q6" s="1"/>
  <c r="R5" i="53"/>
  <c r="Q6"/>
  <c r="R6"/>
  <c r="R7"/>
  <c r="Q7"/>
  <c r="N5"/>
  <c r="O5" s="1"/>
  <c r="P5" s="1"/>
  <c r="Q5" s="1"/>
  <c r="Q6" i="52"/>
  <c r="R6"/>
  <c r="R7"/>
  <c r="N5"/>
  <c r="O5" s="1"/>
  <c r="P5" s="1"/>
  <c r="Q5" s="1"/>
  <c r="N7"/>
  <c r="O7" s="1"/>
  <c r="P7" s="1"/>
  <c r="Q7" s="1"/>
  <c r="R5" i="51"/>
  <c r="Q6"/>
  <c r="R6"/>
  <c r="R7"/>
  <c r="Q7"/>
  <c r="N5"/>
  <c r="O5" s="1"/>
  <c r="P5" s="1"/>
  <c r="Q5" s="1"/>
  <c r="Q6" i="49"/>
  <c r="R6"/>
  <c r="R7"/>
  <c r="Q7"/>
  <c r="N5"/>
  <c r="O5" s="1"/>
  <c r="P5" s="1"/>
  <c r="Q5" s="1"/>
  <c r="AA7" i="17"/>
  <c r="Q7"/>
  <c r="R7"/>
  <c r="N6"/>
  <c r="O6" s="1"/>
  <c r="P6" s="1"/>
  <c r="Q6" s="1"/>
  <c r="AU5" i="33"/>
  <c r="AV5" s="1"/>
  <c r="S7" i="35"/>
  <c r="AO5" i="34"/>
  <c r="AQ5" s="1"/>
  <c r="AF5" i="33"/>
  <c r="AO6" i="34"/>
  <c r="AQ6" s="1"/>
  <c r="AB7" i="33"/>
  <c r="AQ5"/>
  <c r="AB7" i="34"/>
  <c r="AO5" i="35"/>
  <c r="AQ5" s="1"/>
  <c r="AU5" s="1"/>
  <c r="AV5" s="1"/>
  <c r="AW5" s="1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W6" i="35"/>
  <c r="AU5" i="34"/>
  <c r="AV5" s="1"/>
  <c r="AU6"/>
  <c r="AV6" s="1"/>
  <c r="AW6" s="1"/>
  <c r="AI5"/>
  <c r="AW5" i="33"/>
  <c r="AW6"/>
  <c r="BG6" i="32"/>
  <c r="BF6"/>
  <c r="AQ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AD6" i="59" l="1"/>
  <c r="AB6"/>
  <c r="W6"/>
  <c r="AA6" s="1"/>
  <c r="AD5"/>
  <c r="AD7" s="1"/>
  <c r="U5"/>
  <c r="AA5" s="1"/>
  <c r="AB5" s="1"/>
  <c r="V5"/>
  <c r="R5" i="57"/>
  <c r="AD5" s="1"/>
  <c r="R5" i="58"/>
  <c r="AD6"/>
  <c r="U6"/>
  <c r="V6"/>
  <c r="AD7"/>
  <c r="AD6" i="57"/>
  <c r="U6"/>
  <c r="V6"/>
  <c r="AD7"/>
  <c r="W5"/>
  <c r="AA5" s="1"/>
  <c r="AB5" s="1"/>
  <c r="AD6" i="56"/>
  <c r="U6"/>
  <c r="V6"/>
  <c r="AD7"/>
  <c r="W5"/>
  <c r="AA5" s="1"/>
  <c r="AB5" s="1"/>
  <c r="AD5"/>
  <c r="AD6" i="55"/>
  <c r="U6"/>
  <c r="AA6" s="1"/>
  <c r="AB6" s="1"/>
  <c r="V6"/>
  <c r="R5"/>
  <c r="AD7"/>
  <c r="W5" i="54"/>
  <c r="AA5" s="1"/>
  <c r="AB5" s="1"/>
  <c r="AD5"/>
  <c r="AD7"/>
  <c r="AD6"/>
  <c r="U6"/>
  <c r="AA6" s="1"/>
  <c r="AB6" s="1"/>
  <c r="V6"/>
  <c r="AD7" i="53"/>
  <c r="AD6"/>
  <c r="U6"/>
  <c r="AA6" s="1"/>
  <c r="AB6" s="1"/>
  <c r="V6"/>
  <c r="W5"/>
  <c r="AA5" s="1"/>
  <c r="AB5" s="1"/>
  <c r="AD5"/>
  <c r="AD7" i="52"/>
  <c r="R5"/>
  <c r="AD6"/>
  <c r="U6"/>
  <c r="AA6" s="1"/>
  <c r="AB6" s="1"/>
  <c r="V6"/>
  <c r="AD6" i="51"/>
  <c r="U6"/>
  <c r="V6"/>
  <c r="AD7"/>
  <c r="W5"/>
  <c r="AA5" s="1"/>
  <c r="AB5" s="1"/>
  <c r="AD5"/>
  <c r="R5" i="49"/>
  <c r="AD6"/>
  <c r="U6"/>
  <c r="AA6" s="1"/>
  <c r="AB6" s="1"/>
  <c r="V6"/>
  <c r="AD7"/>
  <c r="AD7" i="17"/>
  <c r="R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AB7" i="59" l="1"/>
  <c r="AB8" i="54"/>
  <c r="AA6" i="58"/>
  <c r="AB6" s="1"/>
  <c r="W5"/>
  <c r="AA5" s="1"/>
  <c r="AB5" s="1"/>
  <c r="AD5"/>
  <c r="AD8" s="1"/>
  <c r="AD8" i="57"/>
  <c r="AA6"/>
  <c r="AB6" s="1"/>
  <c r="AB8" s="1"/>
  <c r="AB8" i="56"/>
  <c r="AD8"/>
  <c r="AA6"/>
  <c r="AB6" s="1"/>
  <c r="W5" i="55"/>
  <c r="AA5" s="1"/>
  <c r="AB5" s="1"/>
  <c r="AB8" s="1"/>
  <c r="AD5"/>
  <c r="AD8" s="1"/>
  <c r="AD8" i="54"/>
  <c r="AB8" i="53"/>
  <c r="AD8"/>
  <c r="W5" i="52"/>
  <c r="AA5" s="1"/>
  <c r="AB5" s="1"/>
  <c r="AB8" s="1"/>
  <c r="AD5"/>
  <c r="AD8" s="1"/>
  <c r="AB8" i="51"/>
  <c r="AD8"/>
  <c r="AA6"/>
  <c r="AB6" s="1"/>
  <c r="W5" i="49"/>
  <c r="AA5" s="1"/>
  <c r="AB5" s="1"/>
  <c r="AB8" s="1"/>
  <c r="AD5"/>
  <c r="AD8" s="1"/>
  <c r="V6" i="17"/>
  <c r="AD6"/>
  <c r="U6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AB8" i="58" l="1"/>
  <c r="AA6" i="17"/>
  <c r="AB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I7" i="48" l="1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L7" i="35" l="1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N6"/>
  <c r="BM6" s="1"/>
  <c r="W6"/>
  <c r="V6"/>
  <c r="BD6" s="1"/>
  <c r="L6"/>
  <c r="AT6" s="1"/>
  <c r="K6"/>
  <c r="AS6" s="1"/>
  <c r="J6"/>
  <c r="AR6" s="1"/>
  <c r="H6"/>
  <c r="AP6" s="1"/>
  <c r="G6"/>
  <c r="BG5"/>
  <c r="BF5"/>
  <c r="AN5"/>
  <c r="BM5" s="1"/>
  <c r="Y5"/>
  <c r="W5"/>
  <c r="V5"/>
  <c r="BD5" s="1"/>
  <c r="M5"/>
  <c r="AU5" s="1"/>
  <c r="L5"/>
  <c r="AT5" s="1"/>
  <c r="K5"/>
  <c r="AS5" s="1"/>
  <c r="J5"/>
  <c r="AR5" s="1"/>
  <c r="I5"/>
  <c r="H5"/>
  <c r="AP5" s="1"/>
  <c r="G5"/>
  <c r="D3"/>
  <c r="Y6"/>
  <c r="X6"/>
  <c r="I6" i="29"/>
  <c r="I6" i="30" s="1"/>
  <c r="X5"/>
  <c r="M5" i="29"/>
  <c r="N5" s="1"/>
  <c r="N5" i="30" s="1"/>
  <c r="AV5" s="1"/>
  <c r="I5" i="29"/>
  <c r="I6" i="28"/>
  <c r="I5"/>
  <c r="M5" i="27"/>
  <c r="N5" s="1"/>
  <c r="I5"/>
  <c r="AF6" i="30" l="1"/>
  <c r="AI6" s="1"/>
  <c r="AO6"/>
  <c r="AQ6" s="1"/>
  <c r="AF5"/>
  <c r="AO5"/>
  <c r="AQ5" s="1"/>
  <c r="AU7"/>
  <c r="AV7" s="1"/>
  <c r="AI5"/>
  <c r="M6" i="29"/>
  <c r="M6" i="30" s="1"/>
  <c r="AU6" s="1"/>
  <c r="N6" i="29"/>
  <c r="N6" i="30" s="1"/>
  <c r="AV6" s="1"/>
  <c r="O5" i="29"/>
  <c r="O5" i="30" s="1"/>
  <c r="AW5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L5" i="17"/>
  <c r="N5" s="1"/>
  <c r="O5" s="1"/>
  <c r="P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AW6" s="1"/>
  <c r="P6" i="29"/>
  <c r="P6" i="30" s="1"/>
  <c r="AX6" s="1"/>
  <c r="P5" i="29"/>
  <c r="P5" i="30" s="1"/>
  <c r="AX5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AY6" s="1"/>
  <c r="Q5" i="29"/>
  <c r="Q5" i="30" s="1"/>
  <c r="AY5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R6" i="29"/>
  <c r="R6" i="30" s="1"/>
  <c r="AZ6" s="1"/>
  <c r="R5" i="29"/>
  <c r="R5" i="30" s="1"/>
  <c r="AZ5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S6" i="29"/>
  <c r="S6" i="30" s="1"/>
  <c r="BA6" s="1"/>
  <c r="S5" i="29"/>
  <c r="S5" i="30" s="1"/>
  <c r="BA5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Q5" i="17"/>
  <c r="R5"/>
  <c r="W5" s="1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BA8" i="30" l="1"/>
  <c r="AD5" i="17"/>
  <c r="AD8" s="1"/>
  <c r="AP5" i="21"/>
  <c r="AG5"/>
  <c r="AG7" s="1"/>
  <c r="Z5"/>
  <c r="AD5" s="1"/>
  <c r="AE5" s="1"/>
  <c r="AE7" s="1"/>
  <c r="S8" i="30"/>
  <c r="BL7"/>
  <c r="BH7"/>
  <c r="BI7" s="1"/>
  <c r="BJ7" s="1"/>
  <c r="S7" i="29"/>
  <c r="U6"/>
  <c r="U6" i="30" s="1"/>
  <c r="T6" i="29"/>
  <c r="T6" i="30" s="1"/>
  <c r="BB6" s="1"/>
  <c r="U5" i="29"/>
  <c r="U5" i="30" s="1"/>
  <c r="T5" i="29"/>
  <c r="T5" i="30" s="1"/>
  <c r="BB5" s="1"/>
  <c r="T5" i="26"/>
  <c r="U5"/>
  <c r="T5" i="25"/>
  <c r="U5"/>
  <c r="T5" i="24"/>
  <c r="U5"/>
  <c r="T5" i="22"/>
  <c r="U5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A5" i="17" l="1"/>
  <c r="AB5" s="1"/>
  <c r="AB8" s="1"/>
  <c r="AM6" i="30"/>
  <c r="BC6"/>
  <c r="AM5"/>
  <c r="BC5"/>
  <c r="AE6" i="1"/>
  <c r="AE7" s="1"/>
  <c r="AD6"/>
  <c r="Z5" i="30"/>
  <c r="AD5"/>
  <c r="Z6"/>
  <c r="AD6"/>
  <c r="I13" i="15"/>
  <c r="N11"/>
  <c r="AB6" i="10"/>
  <c r="AB7" s="1"/>
  <c r="BH6" i="30" l="1"/>
  <c r="BI6" s="1"/>
  <c r="BJ6" s="1"/>
  <c r="BJ8" s="1"/>
  <c r="BL6"/>
  <c r="BH5"/>
  <c r="BI5" s="1"/>
  <c r="BJ5" s="1"/>
  <c r="BL5"/>
  <c r="AD8"/>
  <c r="AA5"/>
  <c r="AA6"/>
  <c r="N13" i="15"/>
  <c r="O11"/>
  <c r="O13" s="1"/>
  <c r="BL8" i="30" l="1"/>
  <c r="AB6"/>
  <c r="AB5"/>
  <c r="AB8" l="1"/>
</calcChain>
</file>

<file path=xl/sharedStrings.xml><?xml version="1.0" encoding="utf-8"?>
<sst xmlns="http://schemas.openxmlformats.org/spreadsheetml/2006/main" count="4616" uniqueCount="272">
  <si>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</si>
  <si>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</si>
  <si>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</si>
  <si>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</si>
  <si>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</si>
  <si>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</si>
  <si>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</si>
  <si>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</si>
  <si>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</si>
  <si>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</si>
  <si>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</si>
  <si>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</si>
  <si>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</si>
  <si>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</si>
  <si>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</si>
  <si>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</si>
  <si>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</si>
  <si>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</si>
  <si>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</si>
  <si>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</si>
  <si>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</si>
  <si>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</si>
  <si>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</si>
  <si>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</si>
  <si>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</si>
  <si>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</si>
  <si>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</si>
  <si>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</si>
  <si>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</si>
  <si>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</si>
  <si>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</si>
  <si>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</si>
  <si>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</si>
  <si>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</si>
  <si>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</si>
  <si>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</si>
  <si>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</si>
  <si>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</si>
  <si>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</si>
  <si>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</si>
  <si>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</si>
  <si>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</si>
  <si>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</si>
  <si>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</si>
  <si>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</si>
  <si>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</si>
  <si>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</si>
  <si>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</si>
  <si>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</si>
  <si>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</si>
  <si>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</si>
  <si>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</si>
  <si>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</si>
  <si>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</si>
  <si>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</si>
  <si>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</si>
  <si>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</si>
  <si>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</si>
  <si>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</si>
  <si>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</si>
  <si>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</si>
  <si>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</si>
  <si>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</si>
  <si>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</si>
  <si>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</si>
  <si>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</si>
  <si>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</si>
  <si>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</si>
  <si>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</si>
  <si>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</si>
  <si>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</si>
  <si>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</si>
  <si>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</si>
  <si>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</si>
  <si>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</si>
  <si>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</si>
  <si>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</si>
  <si>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</si>
  <si>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</si>
  <si>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</si>
  <si>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</si>
  <si>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</si>
  <si>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</si>
  <si>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</si>
  <si>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</si>
  <si>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</si>
  <si>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</si>
  <si>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</si>
  <si>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</si>
  <si>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</si>
  <si>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</si>
  <si>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</si>
  <si>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</si>
  <si>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</si>
  <si>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</si>
  <si>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</si>
  <si>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</si>
  <si>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</si>
  <si>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</si>
  <si>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</si>
  <si>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</si>
  <si>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</si>
  <si>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</si>
  <si>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</si>
  <si>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</si>
  <si>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</si>
  <si>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</si>
  <si>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</si>
  <si>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</si>
  <si>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</si>
  <si>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</si>
  <si>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</si>
  <si>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</si>
  <si>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</si>
  <si>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</si>
  <si>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</si>
  <si>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</si>
  <si>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</si>
  <si>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</si>
  <si>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</si>
  <si>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</si>
  <si>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</si>
  <si>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</si>
  <si>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</si>
  <si>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</si>
  <si>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</si>
  <si>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</si>
  <si>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</si>
  <si>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</si>
  <si>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</si>
  <si>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</si>
  <si>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</si>
  <si>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</si>
  <si>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</si>
  <si>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</si>
  <si>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</si>
  <si>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</si>
  <si>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</si>
  <si>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</si>
  <si>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</si>
  <si>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</si>
  <si>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</si>
  <si>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</si>
  <si>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</si>
  <si>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</si>
  <si>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</si>
  <si>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</si>
  <si>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</si>
  <si>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</si>
  <si>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</si>
  <si>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</si>
  <si>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</si>
  <si>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</si>
  <si>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</si>
  <si>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</si>
  <si>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</si>
  <si>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</si>
  <si>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</si>
  <si>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</si>
  <si>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</si>
  <si>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</si>
  <si>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</si>
  <si>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</si>
  <si>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</si>
  <si>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</si>
  <si>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</si>
  <si>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</si>
  <si>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</si>
  <si>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</si>
  <si>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</si>
  <si>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</si>
  <si>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</si>
  <si>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</si>
  <si>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</si>
  <si>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</si>
  <si>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</si>
  <si>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</si>
  <si>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</si>
  <si>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</si>
  <si>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</si>
  <si>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</si>
  <si>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</si>
  <si>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</si>
  <si>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</si>
  <si>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2135</t>
  </si>
  <si>
    <t>New UTGST</t>
  </si>
  <si>
    <t>New CESS %</t>
  </si>
  <si>
    <t>New CESS AMT</t>
  </si>
  <si>
    <t>3523</t>
  </si>
  <si>
    <t>FIRM Qty (Sale UOM)</t>
  </si>
  <si>
    <t>FIRM Price</t>
  </si>
  <si>
    <t>Firm To Date</t>
  </si>
  <si>
    <t>Firm From Date</t>
  </si>
  <si>
    <t>Bucket Type</t>
  </si>
  <si>
    <t>No Of Buckets</t>
  </si>
  <si>
    <t>16-05-2025</t>
  </si>
  <si>
    <t>31-05-2025</t>
  </si>
  <si>
    <t>CUST DESC</t>
  </si>
  <si>
    <t>CUST ID</t>
  </si>
  <si>
    <t>CUS0015</t>
  </si>
  <si>
    <t>MURUGAN TRADERS</t>
  </si>
  <si>
    <t xml:space="preserve">GST CLASSIFICATION </t>
  </si>
  <si>
    <t>HK-CUS-001</t>
  </si>
  <si>
    <t>HARI TRADERS</t>
  </si>
  <si>
    <t>FRANCE FOREIGN TRADERS</t>
  </si>
  <si>
    <t>CU0060</t>
  </si>
  <si>
    <t>Customer Schedule</t>
  </si>
  <si>
    <t>W</t>
  </si>
  <si>
    <t>M</t>
  </si>
  <si>
    <t>F</t>
  </si>
  <si>
    <t>Sch Type</t>
  </si>
  <si>
    <t>CIType</t>
  </si>
  <si>
    <t>Standard</t>
  </si>
  <si>
    <t>Open SO</t>
  </si>
  <si>
    <t>PriceBasis</t>
  </si>
  <si>
    <t>Price List</t>
  </si>
  <si>
    <t>Currency</t>
  </si>
  <si>
    <t>USD</t>
  </si>
  <si>
    <t>Standard Price</t>
  </si>
  <si>
    <t>HK-FG-CS-409224</t>
  </si>
  <si>
    <t>HK-FG-CS-088472</t>
  </si>
  <si>
    <t>HK-FG-CS-532264</t>
  </si>
  <si>
    <t>Catalog</t>
  </si>
  <si>
    <t>GENERAL</t>
  </si>
  <si>
    <t>Catalog Price</t>
  </si>
  <si>
    <t>31-06-2025</t>
  </si>
  <si>
    <t>31-12-2025</t>
  </si>
  <si>
    <t>HK-FG-CS-275469</t>
  </si>
  <si>
    <t>HK-FG-CS-041168</t>
  </si>
  <si>
    <t>HK-FG-CS-979005</t>
  </si>
  <si>
    <t>HK-FG-CS-463522</t>
  </si>
  <si>
    <t>HK-FG-CS-312941</t>
  </si>
  <si>
    <t>HK-FG-CS-023179</t>
  </si>
  <si>
    <t>HK-FG-CS-817497</t>
  </si>
  <si>
    <t>HK-FG-CS-962648</t>
  </si>
  <si>
    <t>HK-FG-CS-788680</t>
  </si>
  <si>
    <t>HK-FG-CS-519489</t>
  </si>
  <si>
    <t>HK-FG-CS-251739</t>
  </si>
  <si>
    <t>HK-FG-CS-942619</t>
  </si>
  <si>
    <t>HK-FG-CS-197143</t>
  </si>
  <si>
    <t>HK-FG-CS-642717</t>
  </si>
  <si>
    <t>HK-FG-CS-124335</t>
  </si>
  <si>
    <t>HK-FG-CS-888457</t>
  </si>
  <si>
    <t>HK-FG-CS-037903</t>
  </si>
  <si>
    <t>HK-FG-CS-121525</t>
  </si>
  <si>
    <t>HK-FG-CS-919288</t>
  </si>
  <si>
    <t>HK-FG-CS-272582</t>
  </si>
  <si>
    <t>HK-FG-CS-184687</t>
  </si>
  <si>
    <t>HK-FG-CS-554008</t>
  </si>
  <si>
    <t>HK-FG-CS-451732</t>
  </si>
  <si>
    <t>HK-FG-CS-828514</t>
  </si>
  <si>
    <t>HK-FG-CS-463856</t>
  </si>
  <si>
    <t>HK-FG-CS-489863</t>
  </si>
  <si>
    <t>HK-FG-CS-799277</t>
  </si>
  <si>
    <t>HK-FG-CS-973206</t>
  </si>
  <si>
    <t>HK-FG-CS-050334</t>
  </si>
  <si>
    <t>HK-FG-CS-953111</t>
  </si>
  <si>
    <t>HK-FG-CS-126273</t>
  </si>
  <si>
    <t>HK-FG-CS-083670</t>
  </si>
  <si>
    <t>HK-FG-CS-381588</t>
  </si>
  <si>
    <t>HK-FG-CS-636448</t>
  </si>
  <si>
    <t>HK-FG-CS-717236</t>
  </si>
  <si>
    <t>HK-FG-CS-738238</t>
  </si>
  <si>
    <t>HK-FG-CS-880182</t>
  </si>
  <si>
    <t>HK-FG-CS-210866</t>
  </si>
  <si>
    <t>HK-FG-CS-320543</t>
  </si>
  <si>
    <t>HK-FG-CS-973619</t>
  </si>
  <si>
    <t>HK-FG-CS-195604</t>
  </si>
  <si>
    <t>HK-FG-CS-312399</t>
  </si>
  <si>
    <t>HK-FG-CS-747866</t>
  </si>
  <si>
    <t>HK-FG-CS-841905</t>
  </si>
  <si>
    <t>HK-FG-CS-390602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</si>
</sst>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2" fillId="6" borderId="1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15" fontId="1" fillId="0" borderId="1" xfId="0" applyNumberFormat="1" applyFont="1" applyBorder="1"/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3" fillId="6" borderId="1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theme/theme1.xml" Type="http://schemas.openxmlformats.org/officeDocument/2006/relationships/theme"/><Relationship Id="rId56" Target="styles.xml" Type="http://schemas.openxmlformats.org/officeDocument/2006/relationships/styles"/><Relationship Id="rId57" Target="sharedStrings.xml" Type="http://schemas.openxmlformats.org/officeDocument/2006/relationships/sharedStrings"/><Relationship Id="rId58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44</v>
      </c>
      <c r="H5" s="1" t="s">
        <v>106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53</v>
      </c>
      <c r="H6" s="1" t="s">
        <v>107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5</v>
      </c>
      <c r="H5" s="1" t="s">
        <v>108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89</v>
      </c>
      <c r="H6" s="1" t="s">
        <v>109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21</v>
      </c>
      <c r="H5" s="1" t="s">
        <v>101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35</v>
      </c>
      <c r="H6" s="1" t="s">
        <v>102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11</v>
      </c>
      <c r="H5" s="1" t="s">
        <v>98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15</v>
      </c>
      <c r="H6" s="1" t="s">
        <v>103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s="1" t="s">
        <v>97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s="1" t="s">
        <v>98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L5" sqref="L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s="1" t="s">
        <v>184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s="1" t="s">
        <v>188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56" t="s">
        <v>35</v>
      </c>
      <c r="B3" s="156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92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93</v>
      </c>
      <c r="I6" s="27">
        <f>G6*H6</f>
        <v>330</v>
      </c>
      <c r="J6" s="1" t="s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56" t="s">
        <v>35</v>
      </c>
      <c r="B3" s="156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116</v>
      </c>
      <c r="C5" s="27">
        <v>0</v>
      </c>
      <c r="D5" s="80" t="s">
        <v>116</v>
      </c>
      <c r="E5" s="27" t="s">
        <v>10</v>
      </c>
      <c r="F5" s="27" t="s">
        <v>10</v>
      </c>
      <c r="G5" s="27">
        <v>10</v>
      </c>
      <c r="H5" s="1" t="s">
        <v>115</v>
      </c>
      <c r="I5" s="27">
        <f>G5*H5</f>
        <v>63000</v>
      </c>
      <c r="J5" s="1" t="s">
        <v>114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6756.83</v>
      </c>
      <c r="AE5" s="27">
        <f t="shared" ref="AE5:AE6" si="0">U5+AD5</f>
        <v>63063.71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117</v>
      </c>
      <c r="C6" s="27">
        <v>0</v>
      </c>
      <c r="D6" s="80" t="s">
        <v>117</v>
      </c>
      <c r="E6" s="27" t="s">
        <v>45</v>
      </c>
      <c r="F6" s="27" t="s">
        <v>10</v>
      </c>
      <c r="G6" s="27">
        <v>10</v>
      </c>
      <c r="H6" s="1" t="s">
        <v>113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3732.18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3732.18</v>
      </c>
      <c r="AE6" s="27">
        <f t="shared" si="0"/>
        <v>78375.839999999997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141439.54999999999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Z13" sqref="Z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56" t="s">
        <v>35</v>
      </c>
      <c r="B3" s="156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113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115</v>
      </c>
      <c r="I6" s="27">
        <f>G6*H6</f>
        <v>63000</v>
      </c>
      <c r="J6" s="1" t="s">
        <v>114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AR6" sqref="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56" t="s">
        <v>35</v>
      </c>
      <c r="B3" s="156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88</v>
      </c>
      <c r="I5" s="27">
        <f>G5*H5</f>
        <v>31200</v>
      </c>
      <c r="J5" s="1" t="s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91</v>
      </c>
      <c r="I6" s="27">
        <f>G6*H6</f>
        <v>31560</v>
      </c>
      <c r="J6" s="1" t="s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K1" zoomScale="85" zoomScaleNormal="85" workbookViewId="0">
      <selection activeCell="AJ10" sqref="AJ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56" t="s">
        <v>35</v>
      </c>
      <c r="B3" s="156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N1" zoomScale="85" zoomScaleNormal="85" workbookViewId="0">
      <selection activeCell="AB7" sqref="AB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39"/>
      <c r="AA1" s="139"/>
      <c r="AB1" s="139"/>
      <c r="AC1" s="139"/>
      <c r="AD1" s="32"/>
    </row>
    <row r="2" spans="1:39" ht="18">
      <c r="A2" s="139" t="s">
        <v>206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236</v>
      </c>
      <c r="F5" s="27">
        <v>0</v>
      </c>
      <c r="G5" s="1" t="s">
        <v>236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1425.6</v>
      </c>
      <c r="AB5" s="27">
        <f t="shared" ref="AB5:AB6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237</v>
      </c>
      <c r="F6" s="27">
        <v>0</v>
      </c>
      <c r="G6" s="1" t="s">
        <v>237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238</v>
      </c>
      <c r="F7" s="80">
        <v>0</v>
      </c>
      <c r="G7" s="1" t="s">
        <v>238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6285.6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6285.6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V1" zoomScale="85" zoomScaleNormal="85" workbookViewId="0">
      <selection activeCell="Z18" sqref="Z1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73"/>
      <c r="AA1" s="73"/>
      <c r="AB1" s="73"/>
      <c r="AC1" s="73"/>
      <c r="AD1" s="32"/>
    </row>
    <row r="2" spans="1:39" ht="18">
      <c r="A2" s="133" t="s">
        <v>206</v>
      </c>
      <c r="B2" s="133"/>
      <c r="C2" s="133"/>
      <c r="D2" s="13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7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269</v>
      </c>
      <c r="F5" s="27">
        <v>0</v>
      </c>
      <c r="G5" t="s" s="1">
        <v>269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" si="1">IF($G$3=5,ROUND(((R5*Y5)/2),2),0)</f>
        <v>0</v>
      </c>
      <c r="AA5" s="27">
        <f t="shared" ref="AA5" si="2">U5+V5+W5+X5+Z5</f>
        <v>1425.6</v>
      </c>
      <c r="AB5" s="27">
        <f t="shared" ref="AB5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225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270</v>
      </c>
      <c r="F6" s="27">
        <v>0</v>
      </c>
      <c r="G6" t="s" s="1">
        <v>270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ref="L6" si="4">J6*K6</f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ref="Z6" si="5">IF($G$3=5,ROUND(((R6*Y6)/2),2),0)</f>
        <v>0</v>
      </c>
      <c r="AA6" s="27">
        <f t="shared" ref="AA6" si="6">U6+V6+W6+X6+Z6</f>
        <v>3528</v>
      </c>
      <c r="AB6" s="27">
        <f t="shared" ref="AB6" si="7">R6+AA6</f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225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t="s" s="1">
        <v>271</v>
      </c>
      <c r="F7" s="80">
        <v>0</v>
      </c>
      <c r="G7" t="s" s="1">
        <v>271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ref="L7" si="8">J7*K7</f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6285.6</v>
      </c>
      <c r="X7" s="27">
        <f>IF(D7:D8=4,ROUND(((R7*T7)/2),2),0)</f>
        <v>0</v>
      </c>
      <c r="Y7" s="30">
        <v>0.06</v>
      </c>
      <c r="Z7" s="27">
        <f t="shared" ref="Z7" si="9">IF($G$3=5,ROUND(((R7*Y7)/2),2),0)</f>
        <v>0</v>
      </c>
      <c r="AA7" s="27">
        <f t="shared" ref="AA7" si="10">U7+V7+W7+X7+Z7</f>
        <v>6285.6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225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P1" zoomScale="85" zoomScaleNormal="85" workbookViewId="0">
      <selection activeCell="AF7" sqref="AF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227</v>
      </c>
      <c r="F5" s="27">
        <v>0</v>
      </c>
      <c r="G5" s="1" t="s">
        <v>227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218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228</v>
      </c>
      <c r="F6" s="27">
        <v>0</v>
      </c>
      <c r="G6" s="1" t="s">
        <v>228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218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229</v>
      </c>
      <c r="F7" s="80">
        <v>0</v>
      </c>
      <c r="G7" s="1" t="s">
        <v>229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218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D1" zoomScale="85" zoomScaleNormal="85" workbookViewId="0">
      <selection activeCell="D8" sqref="D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219</v>
      </c>
      <c r="F5" s="27">
        <v>0</v>
      </c>
      <c r="G5" s="1" t="s">
        <v>219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220</v>
      </c>
      <c r="F6" s="27">
        <v>0</v>
      </c>
      <c r="G6" s="1" t="s">
        <v>220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221</v>
      </c>
      <c r="F7" s="80">
        <v>0</v>
      </c>
      <c r="G7" s="1" t="s">
        <v>221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224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8"/>
  <sheetViews>
    <sheetView showGridLines="0" tabSelected="1" zoomScale="85" zoomScaleNormal="85" workbookViewId="0">
      <selection activeCell="D21" sqref="D2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3"/>
      <c r="AA1" s="153"/>
      <c r="AB1" s="153"/>
      <c r="AC1" s="153"/>
      <c r="AD1" s="32"/>
    </row>
    <row r="2" spans="1:39" ht="18">
      <c r="A2" s="153" t="s">
        <v>206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2</v>
      </c>
      <c r="B5" s="27" t="s">
        <v>202</v>
      </c>
      <c r="C5" s="27" t="s">
        <v>203</v>
      </c>
      <c r="D5" s="27">
        <v>1</v>
      </c>
      <c r="E5" s="1" t="s">
        <v>252</v>
      </c>
      <c r="F5" s="27">
        <v>0</v>
      </c>
      <c r="G5" s="1" t="s">
        <v>252</v>
      </c>
      <c r="H5" s="27" t="s">
        <v>209</v>
      </c>
      <c r="I5" s="27" t="s">
        <v>10</v>
      </c>
      <c r="J5" s="27">
        <v>20</v>
      </c>
      <c r="K5" s="27">
        <v>3000</v>
      </c>
      <c r="L5" s="27">
        <f t="shared" ref="L5:L6" si="0">J5*K5</f>
        <v>60000</v>
      </c>
      <c r="M5" s="27">
        <v>10</v>
      </c>
      <c r="N5" s="27">
        <f>L5</f>
        <v>60000</v>
      </c>
      <c r="O5" s="27">
        <f>ROUND((N5*M5)/100,2)</f>
        <v>6000</v>
      </c>
      <c r="P5" s="27">
        <f>O5</f>
        <v>6000</v>
      </c>
      <c r="Q5" s="27">
        <f>ROUND(P5/J5,2)</f>
        <v>300</v>
      </c>
      <c r="R5" s="27">
        <f>(L5-P5)</f>
        <v>54000</v>
      </c>
      <c r="S5" s="27" t="s">
        <v>183</v>
      </c>
      <c r="T5" s="30">
        <v>0.12</v>
      </c>
      <c r="U5" s="27">
        <f>IF(OR(D5:D6=1,D5:D6=4),ROUND((R5*T5)/2,2),0)</f>
        <v>3240</v>
      </c>
      <c r="V5" s="27">
        <f>IF(D5:D6=1,ROUND(((R5*T5)/2),2),0)</f>
        <v>3240</v>
      </c>
      <c r="W5" s="27">
        <f>IF(D5:D6=2,ROUND(((R5*T5)),2),0)</f>
        <v>0</v>
      </c>
      <c r="X5" s="27">
        <f>IF(D5:D6=4,ROUND(((R5*T5)/2),2),0)</f>
        <v>0</v>
      </c>
      <c r="Y5" s="30">
        <v>0.06</v>
      </c>
      <c r="Z5" s="27">
        <f t="shared" ref="Z5:Z6" si="1">IF($G$3=5,ROUND(((R5*Y5)/2),2),0)</f>
        <v>0</v>
      </c>
      <c r="AA5" s="27">
        <f t="shared" ref="AA5:AA6" si="2">U5+V5+W5+X5+Z5</f>
        <v>6480</v>
      </c>
      <c r="AB5" s="27">
        <f t="shared" ref="AB5" si="3">R5+AA5</f>
        <v>60480</v>
      </c>
      <c r="AC5" s="27">
        <v>120</v>
      </c>
      <c r="AD5" s="27">
        <f>R5*$O$3</f>
        <v>54000</v>
      </c>
      <c r="AE5" s="113" t="s">
        <v>111</v>
      </c>
      <c r="AF5" s="136" t="s">
        <v>195</v>
      </c>
      <c r="AG5" s="136" t="s">
        <v>196</v>
      </c>
      <c r="AH5" s="27" t="s">
        <v>207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 ht="15">
      <c r="A6" s="27">
        <v>3</v>
      </c>
      <c r="B6" s="27" t="s">
        <v>205</v>
      </c>
      <c r="C6" s="27" t="s">
        <v>204</v>
      </c>
      <c r="D6" s="27">
        <v>2</v>
      </c>
      <c r="E6" s="1" t="s">
        <v>253</v>
      </c>
      <c r="F6" s="80">
        <v>0</v>
      </c>
      <c r="G6" s="1" t="s">
        <v>253</v>
      </c>
      <c r="H6" s="27" t="s">
        <v>209</v>
      </c>
      <c r="I6" s="27" t="s">
        <v>10</v>
      </c>
      <c r="J6" s="27">
        <v>30</v>
      </c>
      <c r="K6" s="27">
        <v>3600</v>
      </c>
      <c r="L6" s="27">
        <f t="shared" si="0"/>
        <v>108000</v>
      </c>
      <c r="M6" s="27">
        <v>10</v>
      </c>
      <c r="N6" s="27">
        <f>L6</f>
        <v>108000</v>
      </c>
      <c r="O6" s="27">
        <f>ROUND((N6*M6)/100,2)</f>
        <v>10800</v>
      </c>
      <c r="P6" s="27">
        <f>O6</f>
        <v>10800</v>
      </c>
      <c r="Q6" s="27">
        <f>ROUND(P6/J6,2)</f>
        <v>360</v>
      </c>
      <c r="R6" s="27">
        <f>(L6-P6)</f>
        <v>97200</v>
      </c>
      <c r="S6" s="27" t="s">
        <v>183</v>
      </c>
      <c r="T6" s="30">
        <v>0.18</v>
      </c>
      <c r="U6" s="27">
        <f>IF(OR(D6:D7=1,D6:D7=4),ROUND((R6*T6)/2,2),0)</f>
        <v>0</v>
      </c>
      <c r="V6" s="27">
        <f>IF(D6:D7=1,ROUND(((R6*T6)/2),2),0)</f>
        <v>0</v>
      </c>
      <c r="W6" s="27">
        <f>IF(D6:D7=2,ROUND(((R6*T6)),2),0)</f>
        <v>17496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17496</v>
      </c>
      <c r="AB6" s="27">
        <f>R6</f>
        <v>97200</v>
      </c>
      <c r="AC6" s="27">
        <v>120</v>
      </c>
      <c r="AD6" s="27">
        <f>R6*$O$3</f>
        <v>97200</v>
      </c>
      <c r="AE6" s="113" t="s">
        <v>111</v>
      </c>
      <c r="AF6" s="136" t="s">
        <v>195</v>
      </c>
      <c r="AG6" s="136" t="s">
        <v>196</v>
      </c>
      <c r="AH6" s="27" t="s">
        <v>208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217</v>
      </c>
      <c r="AM6" s="27" t="s">
        <v>223</v>
      </c>
    </row>
    <row r="7" spans="1:39" ht="14.25" customHeight="1">
      <c r="A7" s="11"/>
      <c r="B7" s="11"/>
      <c r="C7" s="11"/>
      <c r="D7" s="11"/>
      <c r="E7" s="11"/>
      <c r="F7" s="11"/>
      <c r="G7" s="11"/>
      <c r="H7" s="11"/>
      <c r="I7" s="11"/>
      <c r="J7" s="12"/>
      <c r="K7" s="13"/>
      <c r="L7" s="13"/>
      <c r="M7" s="14"/>
      <c r="N7" s="13"/>
      <c r="O7" s="13"/>
      <c r="P7" s="15"/>
      <c r="Q7" s="15"/>
      <c r="R7" s="13"/>
      <c r="S7" s="13"/>
      <c r="T7" s="14"/>
      <c r="U7" s="13"/>
      <c r="V7" s="13"/>
      <c r="W7" s="15" t="s">
        <v>39</v>
      </c>
      <c r="X7" s="15"/>
      <c r="Y7" s="15"/>
      <c r="Z7" s="15"/>
      <c r="AA7" s="15"/>
      <c r="AB7" s="79">
        <f>SUM(AB5:AB6)</f>
        <v>157680</v>
      </c>
      <c r="AC7" s="15" t="s">
        <v>40</v>
      </c>
      <c r="AD7" s="79">
        <f>SUM(AD5:AD6)</f>
        <v>151200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3"/>
      <c r="Q8" s="13"/>
      <c r="R8" s="13"/>
      <c r="S8" s="13"/>
      <c r="T8" s="14"/>
      <c r="U8" s="13"/>
      <c r="V8" s="13"/>
      <c r="W8" s="13"/>
      <c r="X8" s="13"/>
      <c r="Y8" s="13"/>
      <c r="Z8" s="13"/>
      <c r="AA8" s="13"/>
      <c r="AB8" s="12"/>
      <c r="AC8" s="13"/>
      <c r="AD8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C11" sqref="C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251</v>
      </c>
      <c r="F5" s="27">
        <v>0</v>
      </c>
      <c r="G5" s="1" t="s">
        <v>251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252</v>
      </c>
      <c r="F6" s="27">
        <v>0</v>
      </c>
      <c r="G6" s="1" t="s">
        <v>252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253</v>
      </c>
      <c r="F7" s="80">
        <v>0</v>
      </c>
      <c r="G7" s="1" t="s">
        <v>253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224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248</v>
      </c>
      <c r="F5" s="27">
        <v>0</v>
      </c>
      <c r="G5" s="1" t="s">
        <v>248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</v>
      </c>
      <c r="N5" s="27">
        <f>L5</f>
        <v>24000</v>
      </c>
      <c r="O5" s="27">
        <f>ROUND((N5*M5)/100,2)</f>
        <v>240</v>
      </c>
      <c r="P5" s="27">
        <f>O5</f>
        <v>240</v>
      </c>
      <c r="Q5" s="27">
        <f>ROUND(P5/J5,2)</f>
        <v>24</v>
      </c>
      <c r="R5" s="27">
        <f>(L5-P5)</f>
        <v>23760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4276.8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4276.8</v>
      </c>
      <c r="AB5" s="27">
        <f t="shared" ref="AB5:AB6" si="3">R5+AA5</f>
        <v>28036.799999999999</v>
      </c>
      <c r="AC5" s="27">
        <v>120</v>
      </c>
      <c r="AD5" s="27">
        <f>R5*$O$3</f>
        <v>23760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218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249</v>
      </c>
      <c r="F6" s="27">
        <v>0</v>
      </c>
      <c r="G6" s="1" t="s">
        <v>249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2</v>
      </c>
      <c r="N6" s="27">
        <f>L6</f>
        <v>60000</v>
      </c>
      <c r="O6" s="27">
        <f>ROUND((N6*M6)/100,2)</f>
        <v>1200</v>
      </c>
      <c r="P6" s="27">
        <f>O6</f>
        <v>1200</v>
      </c>
      <c r="Q6" s="27">
        <f>ROUND(P6/J6,2)</f>
        <v>60</v>
      </c>
      <c r="R6" s="27">
        <f>(L6-P6)</f>
        <v>58800</v>
      </c>
      <c r="S6" s="27" t="s">
        <v>183</v>
      </c>
      <c r="T6" s="30">
        <v>0.12</v>
      </c>
      <c r="U6" s="27">
        <f>IF(OR(D6:D7=1,D6:D7=4),ROUND((R6*T6)/2,2),0)</f>
        <v>3528</v>
      </c>
      <c r="V6" s="27">
        <f>IF(D6:D7=1,ROUND(((R6*T6)/2),2),0)</f>
        <v>3528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7056</v>
      </c>
      <c r="AB6" s="27">
        <f t="shared" si="3"/>
        <v>65856</v>
      </c>
      <c r="AC6" s="27">
        <v>120</v>
      </c>
      <c r="AD6" s="27">
        <f>R6*$O$3</f>
        <v>58800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218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250</v>
      </c>
      <c r="F7" s="80">
        <v>0</v>
      </c>
      <c r="G7" s="1" t="s">
        <v>250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3</v>
      </c>
      <c r="N7" s="27">
        <f>L7</f>
        <v>108000</v>
      </c>
      <c r="O7" s="27">
        <f>ROUND((N7*M7)/100,2)</f>
        <v>3240</v>
      </c>
      <c r="P7" s="27">
        <f>O7</f>
        <v>3240</v>
      </c>
      <c r="Q7" s="27">
        <f>ROUND(P7/J7,2)</f>
        <v>108</v>
      </c>
      <c r="R7" s="27">
        <f>(L7-P7)</f>
        <v>104760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18856.8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18856.8</v>
      </c>
      <c r="AB7" s="27">
        <f>R7</f>
        <v>104760</v>
      </c>
      <c r="AC7" s="27">
        <v>120</v>
      </c>
      <c r="AD7" s="27">
        <f>R7*$O$3</f>
        <v>104760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218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198652.79999999999</v>
      </c>
      <c r="AC8" s="15" t="s">
        <v>40</v>
      </c>
      <c r="AD8" s="79">
        <f>SUM(AD5:AD7)</f>
        <v>187320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M1" zoomScale="85" zoomScaleNormal="85" workbookViewId="0">
      <selection activeCell="AD7" sqref="A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245</v>
      </c>
      <c r="F5" s="27">
        <v>0</v>
      </c>
      <c r="G5" s="1" t="s">
        <v>245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246</v>
      </c>
      <c r="F6" s="27">
        <v>0</v>
      </c>
      <c r="G6" s="1" t="s">
        <v>246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247</v>
      </c>
      <c r="F7" s="80">
        <v>0</v>
      </c>
      <c r="G7" s="1" t="s">
        <v>247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230</v>
      </c>
      <c r="F5" s="27">
        <v>0</v>
      </c>
      <c r="G5" s="1" t="s">
        <v>230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231</v>
      </c>
      <c r="F6" s="27">
        <v>0</v>
      </c>
      <c r="G6" s="1" t="s">
        <v>231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232</v>
      </c>
      <c r="F7" s="80">
        <v>0</v>
      </c>
      <c r="G7" s="1" t="s">
        <v>232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L1" zoomScale="85" zoomScaleNormal="85" workbookViewId="0">
      <selection activeCell="AB8" sqref="A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3"/>
      <c r="AA1" s="143"/>
      <c r="AB1" s="143"/>
      <c r="AC1" s="143"/>
      <c r="AD1" s="32"/>
    </row>
    <row r="2" spans="1:39" ht="18">
      <c r="A2" s="143" t="s">
        <v>206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239</v>
      </c>
      <c r="F5" s="27">
        <v>0</v>
      </c>
      <c r="G5" s="1" t="s">
        <v>239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240</v>
      </c>
      <c r="F6" s="27">
        <v>0</v>
      </c>
      <c r="G6" s="1" t="s">
        <v>240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241</v>
      </c>
      <c r="F7" s="80">
        <v>0</v>
      </c>
      <c r="G7" s="1" t="s">
        <v>241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K11" sqref="AK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5"/>
      <c r="AA1" s="145"/>
      <c r="AB1" s="145"/>
      <c r="AC1" s="145"/>
      <c r="AD1" s="32"/>
    </row>
    <row r="2" spans="1:39" ht="18">
      <c r="A2" s="145" t="s">
        <v>206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6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216</v>
      </c>
      <c r="AM4" s="135" t="s">
        <v>222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242</v>
      </c>
      <c r="F5" s="27">
        <v>0</v>
      </c>
      <c r="G5" s="1" t="s">
        <v>242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226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223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243</v>
      </c>
      <c r="F6" s="27">
        <v>0</v>
      </c>
      <c r="G6" s="1" t="s">
        <v>243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226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223</v>
      </c>
    </row>
    <row r="7" spans="1:39" ht="15">
      <c r="A7" s="27">
        <v>3</v>
      </c>
      <c r="B7" s="27" t="s">
        <v>205</v>
      </c>
      <c r="C7" s="27" t="s">
        <v>204</v>
      </c>
      <c r="D7" s="27">
        <v>2</v>
      </c>
      <c r="E7" s="1" t="s">
        <v>244</v>
      </c>
      <c r="F7" s="80">
        <v>0</v>
      </c>
      <c r="G7" s="1" t="s">
        <v>244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226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217</v>
      </c>
      <c r="AM7" s="27" t="s">
        <v>223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J1" zoomScale="85" zoomScaleNormal="85" workbookViewId="0">
      <selection activeCell="U28" sqref="U2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5" width="12.28515625"/>
    <col min="38" max="38" customWidth="true" style="36" width="10.28515625"/>
    <col min="39" max="39" customWidth="true" style="1" width="13.5703125"/>
    <col min="40" max="40" customWidth="true" style="1" width="12.7109375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56" t="s">
        <v>35</v>
      </c>
      <c r="B3" s="156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39">
        <v>20</v>
      </c>
      <c r="F2" s="39">
        <f>'Case 1'!H5</f>
        <v>1234</v>
      </c>
      <c r="G2" t="s" s="0">
        <v>53</v>
      </c>
      <c r="H2" s="39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39">
        <v>30</v>
      </c>
      <c r="F3" s="39">
        <f>'Case 1'!H6</f>
        <v>3214</v>
      </c>
      <c r="G3" s="0">
        <v>675</v>
      </c>
      <c r="H3" s="39">
        <f>G3-E3</f>
        <v>645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F9" sqref="AF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56" t="s">
        <v>35</v>
      </c>
      <c r="B3" s="156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56" t="s">
        <v>35</v>
      </c>
      <c r="B3" s="156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56" t="s">
        <v>35</v>
      </c>
      <c r="B3" s="156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5703125"/>
    <col min="37" max="37" customWidth="true" style="1" width="13.7109375"/>
    <col min="38" max="39" style="1" width="9.140625"/>
    <col min="40" max="40" bestFit="true" customWidth="true" style="1" width="17.570312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56" t="s">
        <v>35</v>
      </c>
      <c r="B3" s="156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Z1" zoomScale="85" zoomScaleNormal="85" workbookViewId="0">
      <selection activeCell="AG23" sqref="AG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56" t="s">
        <v>35</v>
      </c>
      <c r="B3" s="156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O1" zoomScale="85" zoomScaleNormal="85" workbookViewId="0">
      <selection activeCell="X7" sqref="X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56" t="s">
        <v>35</v>
      </c>
      <c r="B3" s="156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Y1" zoomScale="85" zoomScaleNormal="85" workbookViewId="0">
      <selection activeCell="AP6" sqref="AP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56" t="s">
        <v>35</v>
      </c>
      <c r="B3" s="156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1625.53</v>
      </c>
      <c r="AE5" s="27">
        <f t="shared" ref="AE5:AE6" si="0">U5+AD5</f>
        <v>15171.58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60</v>
      </c>
      <c r="AO6" s="27">
        <v>6</v>
      </c>
      <c r="AP6" s="27">
        <f>ROUND(((AO6*U6)/100),2)</f>
        <v>1200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36171.58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3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56" t="s">
        <v>35</v>
      </c>
      <c r="B3" s="156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56"/>
      <c r="B16" s="156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G5" sqref="BG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I1" zoomScale="85" zoomScaleNormal="85" workbookViewId="0">
      <selection activeCell="V6" sqref="V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7" sqref="B7: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56" t="s">
        <v>35</v>
      </c>
      <c r="B3" s="156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0"/>
      <c r="AD1" s="120"/>
      <c r="AE1" s="120"/>
      <c r="AF1" s="120"/>
      <c r="AG1" s="32"/>
      <c r="AH1" s="32"/>
    </row>
    <row r="2" spans="1:66" ht="18">
      <c r="A2" s="120" t="s">
        <v>118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56" t="s">
        <v>35</v>
      </c>
      <c r="B3" s="156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32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customWidth="true" style="1" width="13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56" t="s">
        <v>35</v>
      </c>
      <c r="B3" s="156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58" style="1" width="9.140625"/>
    <col min="59" max="59" bestFit="true" customWidth="true" style="1" width="15.0"/>
    <col min="60" max="70" style="1" width="9.140625"/>
    <col min="71" max="71" bestFit="true" customWidth="true" style="1" width="12.85546875"/>
    <col min="72" max="72" bestFit="true" customWidth="true" style="1" width="11.0"/>
    <col min="73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183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183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56" t="s">
        <v>35</v>
      </c>
      <c r="B3" s="156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20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17"/>
      <c r="AD1" s="117"/>
      <c r="AE1" s="117"/>
      <c r="AF1" s="117"/>
      <c r="AG1" s="32"/>
      <c r="AH1" s="32"/>
    </row>
    <row r="2" spans="1:66" ht="18">
      <c r="A2" s="117" t="s">
        <v>118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56" t="s">
        <v>35</v>
      </c>
      <c r="B3" s="156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66" ht="18">
      <c r="A2" s="94" t="s">
        <v>118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56" t="s">
        <v>35</v>
      </c>
      <c r="B3" s="156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96" t="s">
        <v>122</v>
      </c>
      <c r="K4" s="96" t="s">
        <v>123</v>
      </c>
      <c r="L4" s="96" t="s">
        <v>124</v>
      </c>
      <c r="M4" s="97" t="s">
        <v>125</v>
      </c>
      <c r="N4" s="97" t="s">
        <v>126</v>
      </c>
      <c r="O4" s="97" t="s">
        <v>127</v>
      </c>
      <c r="P4" s="97" t="s">
        <v>128</v>
      </c>
      <c r="Q4" s="98" t="s">
        <v>129</v>
      </c>
      <c r="R4" s="97" t="s">
        <v>130</v>
      </c>
      <c r="S4" s="96" t="s">
        <v>131</v>
      </c>
      <c r="T4" s="21" t="s">
        <v>140</v>
      </c>
      <c r="U4" s="99" t="s">
        <v>132</v>
      </c>
      <c r="V4" s="99" t="s">
        <v>133</v>
      </c>
      <c r="W4" s="100" t="s">
        <v>134</v>
      </c>
      <c r="X4" s="100" t="s">
        <v>135</v>
      </c>
      <c r="Y4" s="100" t="s">
        <v>136</v>
      </c>
      <c r="Z4" s="100" t="s">
        <v>137</v>
      </c>
      <c r="AA4" s="100" t="s">
        <v>138</v>
      </c>
      <c r="AB4" s="101" t="s">
        <v>139</v>
      </c>
      <c r="AC4" s="101" t="s">
        <v>29</v>
      </c>
      <c r="AD4" s="102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103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169</v>
      </c>
    </row>
    <row r="7" spans="1:66" ht="15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171</v>
      </c>
      <c r="AF7" s="31"/>
      <c r="AG7" s="31"/>
      <c r="AH7" s="31"/>
      <c r="AI7" s="31"/>
      <c r="AJ7" s="31"/>
      <c r="AK7" s="31"/>
      <c r="AL7" s="31"/>
      <c r="AM7" s="31"/>
      <c r="AN7" s="27" t="s">
        <v>111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167</v>
      </c>
      <c r="BN7" s="27" t="s">
        <v>172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AC1" zoomScale="85" zoomScaleNormal="85" workbookViewId="0">
      <selection activeCell="AS7" sqref="AS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70" style="1" width="9.140625"/>
    <col min="71" max="71" bestFit="true" customWidth="true" style="1" width="12.85546875"/>
    <col min="72" max="16384" style="1" width="9.140625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56" t="s">
        <v>35</v>
      </c>
      <c r="B3" s="156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84</v>
      </c>
      <c r="AH5" t="s" s="0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83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176</v>
      </c>
      <c r="I10" s="57" t="s">
        <v>173</v>
      </c>
      <c r="J10" s="57" t="s">
        <v>174</v>
      </c>
      <c r="K10" s="111" t="s">
        <v>134</v>
      </c>
      <c r="L10" s="111" t="s">
        <v>135</v>
      </c>
      <c r="M10" s="111" t="s">
        <v>136</v>
      </c>
      <c r="N10" s="58" t="s">
        <v>137</v>
      </c>
      <c r="O10" s="59" t="s">
        <v>138</v>
      </c>
      <c r="P10" s="57" t="s">
        <v>177</v>
      </c>
      <c r="Q10" s="57" t="s">
        <v>175</v>
      </c>
      <c r="R10" s="58" t="s">
        <v>157</v>
      </c>
      <c r="S10" s="111" t="s">
        <v>158</v>
      </c>
      <c r="T10" s="58" t="s">
        <v>159</v>
      </c>
      <c r="U10" s="58" t="s">
        <v>160</v>
      </c>
      <c r="V10" s="112" t="s">
        <v>161</v>
      </c>
      <c r="W10" s="112" t="s">
        <v>178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180</v>
      </c>
      <c r="E13" s="62">
        <v>0</v>
      </c>
      <c r="F13" s="62" t="s">
        <v>180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56"/>
      <c r="B17" s="156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54</vt:i4>
      </vt:variant>
    </vt:vector>
  </HeadingPairs>
  <TitlesOfParts>
    <vt:vector size="54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CS DisSimilar</vt:lpstr>
      <vt:lpstr>CS</vt:lpstr>
      <vt:lpstr>CS DisSimilar Standard Price</vt:lpstr>
      <vt:lpstr>CS DisSimilar Catalog Price</vt:lpstr>
      <vt:lpstr>CSCat</vt:lpstr>
      <vt:lpstr>CS Similar Catalog Price</vt:lpstr>
      <vt:lpstr>CS Similar Standard Price</vt:lpstr>
      <vt:lpstr>CS Similar PriceList</vt:lpstr>
      <vt:lpstr>CS DisSimilar PriceList</vt:lpstr>
      <vt:lpstr>CS Similar Rate Contract</vt:lpstr>
      <vt:lpstr>CS DisSimilar Rate Contract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2025-10-13T14:05:56Z</dcterms:modified>
</cp:coreProperties>
</file>