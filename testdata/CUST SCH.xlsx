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8" activeTab="2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Cat" sheetId="59" r:id="rId16"/>
    <sheet name="CS Similar Catalog Price" sheetId="57" r:id="rId17"/>
    <sheet name="CS Similar Standard Price" sheetId="55" r:id="rId18"/>
    <sheet name="CS Similar PriceList" sheetId="54" r:id="rId19"/>
    <sheet name="CS DisSimilar PriceList" sheetId="53" r:id="rId20"/>
    <sheet name="CS Similar Rate Contract" sheetId="51" r:id="rId21"/>
    <sheet name="CS DisSimilar Rate Contract" sheetId="52" r:id="rId22"/>
    <sheet name="Case 1" sheetId="1" r:id="rId23"/>
    <sheet name="Item Stocks" sheetId="3" state="hidden" r:id="rId24"/>
    <sheet name="SO UTGST" sheetId="36" r:id="rId25"/>
    <sheet name="Free Sample" sheetId="12" r:id="rId26"/>
    <sheet name="Free Replacement" sheetId="13" r:id="rId27"/>
    <sheet name="SCRAP" sheetId="5" r:id="rId28"/>
    <sheet name="SERVICE" sheetId="6" r:id="rId29"/>
    <sheet name="PROMOTIONAL" sheetId="8" r:id="rId30"/>
    <sheet name="Local Customer" sheetId="9" r:id="rId31"/>
    <sheet name="SEZ Customer" sheetId="10" r:id="rId32"/>
    <sheet name="CESS" sheetId="11" r:id="rId33"/>
    <sheet name="Demo Exhibition" sheetId="14" r:id="rId34"/>
    <sheet name="CHARGES" sheetId="15" r:id="rId35"/>
    <sheet name="SO Amendment Disc UTGST" sheetId="43" r:id="rId36"/>
    <sheet name="SO Amendment Price UTGST" sheetId="42" r:id="rId37"/>
    <sheet name="SO Amendment AddItem UTGST" sheetId="44" r:id="rId38"/>
    <sheet name="SO Amendment Qty UTGST" sheetId="37" r:id="rId39"/>
    <sheet name="SO Amendment Qty" sheetId="33" r:id="rId40"/>
    <sheet name="Disc Change" sheetId="40" r:id="rId41"/>
    <sheet name="Price Change" sheetId="39" r:id="rId42"/>
    <sheet name="Qty Change" sheetId="38" r:id="rId43"/>
    <sheet name="So Amend Price Local" sheetId="46" r:id="rId44"/>
    <sheet name="So Amend Disc Local" sheetId="47" r:id="rId45"/>
    <sheet name="So Amend Qty Local" sheetId="45" r:id="rId46"/>
    <sheet name="SO" sheetId="29" r:id="rId47"/>
    <sheet name="SoAmendment PriceChange" sheetId="34" r:id="rId48"/>
    <sheet name="SO Amendment DiscountChange" sheetId="35" r:id="rId49"/>
    <sheet name="SO Amendment Different PC" sheetId="32" r:id="rId50"/>
    <sheet name="SO Amendment AdditionOfItem" sheetId="30" r:id="rId51"/>
    <sheet name="Add of Item" sheetId="41" r:id="rId52"/>
    <sheet name="So Amend AddOfItem Local" sheetId="48" r:id="rId53"/>
    <sheet name="SO Amendment With Charges" sheetId="31" r:id="rId54"/>
  </sheets>
  <definedNames>
    <definedName name="_xlnm._FilterDatabase" localSheetId="51" hidden="1">'Add of Item'!$V$1:$V$9</definedName>
    <definedName name="_xlnm._FilterDatabase" localSheetId="22" hidden="1">'Case 1'!$V$1:$V$8</definedName>
    <definedName name="_xlnm._FilterDatabase" localSheetId="32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9" hidden="1">'CS DisSimilar PriceList'!$S$1:$S$9</definedName>
    <definedName name="_xlnm._FilterDatabase" localSheetId="21" hidden="1">'CS DisSimilar Rate Contract'!$S$1:$S$9</definedName>
    <definedName name="_xlnm._FilterDatabase" localSheetId="13" hidden="1">'CS DisSimilar Standard Price'!$S$1:$S$9</definedName>
    <definedName name="_xlnm._FilterDatabase" localSheetId="16" hidden="1">'CS Similar Catalog Price'!$S$1:$S$9</definedName>
    <definedName name="_xlnm._FilterDatabase" localSheetId="18" hidden="1">'CS Similar PriceList'!$S$1:$S$9</definedName>
    <definedName name="_xlnm._FilterDatabase" localSheetId="20" hidden="1">'CS Similar Rate Contract'!$S$1:$S$9</definedName>
    <definedName name="_xlnm._FilterDatabase" localSheetId="17" hidden="1">'CS Similar Standard Price'!$S$1:$S$9</definedName>
    <definedName name="_xlnm._FilterDatabase" localSheetId="15" hidden="1">CSCat!$S$1:$S$8</definedName>
    <definedName name="_xlnm._FilterDatabase" localSheetId="33" hidden="1">'Demo Exhibition'!$V$1:$V$8</definedName>
    <definedName name="_xlnm._FilterDatabase" localSheetId="8" hidden="1">'Different Price Class (RC)'!$V$1:$V$8</definedName>
    <definedName name="_xlnm._FilterDatabase" localSheetId="40" hidden="1">'Disc Change'!$V$1:$V$8</definedName>
    <definedName name="_xlnm._FilterDatabase" localSheetId="26" hidden="1">'Free Replacement'!$V$1:$V$8</definedName>
    <definedName name="_xlnm._FilterDatabase" localSheetId="25" hidden="1">'Free Sample'!$V$1:$V$8</definedName>
    <definedName name="_xlnm._FilterDatabase" localSheetId="30" hidden="1">'Local Customer'!$V$1:$V$8</definedName>
    <definedName name="_xlnm._FilterDatabase" localSheetId="41" hidden="1">'Price Change'!$V$1:$V$8</definedName>
    <definedName name="_xlnm._FilterDatabase" localSheetId="29" hidden="1">PROMOTIONAL!$V$1:$V$8</definedName>
    <definedName name="_xlnm._FilterDatabase" localSheetId="42" hidden="1">'Qty Change'!$V$1:$V$8</definedName>
    <definedName name="_xlnm._FilterDatabase" localSheetId="27" hidden="1">SCRAP!$V$1:$V$7</definedName>
    <definedName name="_xlnm._FilterDatabase" localSheetId="28" hidden="1">SERVICE!$V$1:$V$7</definedName>
    <definedName name="_xlnm._FilterDatabase" localSheetId="31" hidden="1">'SEZ Customer'!$V$1:$V$8</definedName>
    <definedName name="_xlnm._FilterDatabase" localSheetId="7" hidden="1">ShipSet!$V$1:$V$8</definedName>
    <definedName name="_xlnm._FilterDatabase" localSheetId="46" hidden="1">SO!$V$1:$V$8</definedName>
    <definedName name="_xlnm._FilterDatabase" localSheetId="52" hidden="1">'So Amend AddOfItem Local'!$V$1:$V$9</definedName>
    <definedName name="_xlnm._FilterDatabase" localSheetId="44" hidden="1">'So Amend Disc Local'!$V$1:$V$8</definedName>
    <definedName name="_xlnm._FilterDatabase" localSheetId="43" hidden="1">'So Amend Price Local'!$V$1:$V$8</definedName>
    <definedName name="_xlnm._FilterDatabase" localSheetId="45" hidden="1">'So Amend Qty Local'!$V$1:$V$8</definedName>
    <definedName name="_xlnm._FilterDatabase" localSheetId="37" hidden="1">'SO Amendment AddItem UTGST'!$V$1:$V$9</definedName>
    <definedName name="_xlnm._FilterDatabase" localSheetId="50" hidden="1">'SO Amendment AdditionOfItem'!#REF!</definedName>
    <definedName name="_xlnm._FilterDatabase" localSheetId="49" hidden="1">'SO Amendment Different PC'!#REF!</definedName>
    <definedName name="_xlnm._FilterDatabase" localSheetId="35" hidden="1">'SO Amendment Disc UTGST'!$V$1:$V$8</definedName>
    <definedName name="_xlnm._FilterDatabase" localSheetId="48" hidden="1">'SO Amendment DiscountChange'!#REF!</definedName>
    <definedName name="_xlnm._FilterDatabase" localSheetId="36" hidden="1">'SO Amendment Price UTGST'!$V$1:$V$8</definedName>
    <definedName name="_xlnm._FilterDatabase" localSheetId="39" hidden="1">'SO Amendment Qty'!#REF!</definedName>
    <definedName name="_xlnm._FilterDatabase" localSheetId="38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4" hidden="1">'SO UTGST'!$V$1:$V$8</definedName>
    <definedName name="_xlnm._FilterDatabase" localSheetId="47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6" i="59"/>
  <c r="Z6"/>
  <c r="X6"/>
  <c r="V6"/>
  <c r="U6"/>
  <c r="L6"/>
  <c r="N6" s="1"/>
  <c r="O6" s="1"/>
  <c r="P6" s="1"/>
  <c r="AI5"/>
  <c r="Z5"/>
  <c r="X5"/>
  <c r="W5"/>
  <c r="L5"/>
  <c r="N5" s="1"/>
  <c r="O5" s="1"/>
  <c r="P5" s="1"/>
  <c r="AB7" i="52"/>
  <c r="AB7" i="51"/>
  <c r="AB7" i="53"/>
  <c r="AB7" i="54"/>
  <c r="AB7" i="55"/>
  <c r="AB7" i="57"/>
  <c r="AB7" i="58"/>
  <c r="AB7" i="56"/>
  <c r="AB7" i="49"/>
  <c r="AB7" i="17"/>
  <c r="AI5"/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Q5" i="59" l="1"/>
  <c r="R5"/>
  <c r="R6"/>
  <c r="Q6"/>
  <c r="AA7" i="51"/>
  <c r="AA7" i="53"/>
  <c r="AA7" i="54"/>
  <c r="AA7" i="56"/>
  <c r="AA7" i="49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D6" i="59" l="1"/>
  <c r="AB6"/>
  <c r="W6"/>
  <c r="AA6" s="1"/>
  <c r="AD5"/>
  <c r="AD7" s="1"/>
  <c r="U5"/>
  <c r="AA5" s="1"/>
  <c r="AB5" s="1"/>
  <c r="V5"/>
  <c r="R5" i="57"/>
  <c r="AD5" s="1"/>
  <c r="R5" i="58"/>
  <c r="AD6"/>
  <c r="U6"/>
  <c r="V6"/>
  <c r="AD7"/>
  <c r="AD6" i="57"/>
  <c r="U6"/>
  <c r="V6"/>
  <c r="AD7"/>
  <c r="W5"/>
  <c r="AA5" s="1"/>
  <c r="AB5" s="1"/>
  <c r="AD6" i="56"/>
  <c r="U6"/>
  <c r="V6"/>
  <c r="AD7"/>
  <c r="W5"/>
  <c r="AA5" s="1"/>
  <c r="AB5" s="1"/>
  <c r="AD5"/>
  <c r="AD6" i="55"/>
  <c r="U6"/>
  <c r="AA6" s="1"/>
  <c r="AB6" s="1"/>
  <c r="V6"/>
  <c r="R5"/>
  <c r="AD7"/>
  <c r="W5" i="54"/>
  <c r="AA5" s="1"/>
  <c r="AB5" s="1"/>
  <c r="AD5"/>
  <c r="AD7"/>
  <c r="AD6"/>
  <c r="U6"/>
  <c r="AA6" s="1"/>
  <c r="AB6" s="1"/>
  <c r="V6"/>
  <c r="AD7" i="53"/>
  <c r="AD6"/>
  <c r="U6"/>
  <c r="AA6" s="1"/>
  <c r="AB6" s="1"/>
  <c r="V6"/>
  <c r="W5"/>
  <c r="AA5" s="1"/>
  <c r="AB5" s="1"/>
  <c r="AD5"/>
  <c r="AD7" i="52"/>
  <c r="R5"/>
  <c r="AD6"/>
  <c r="U6"/>
  <c r="V6"/>
  <c r="AD6" i="51"/>
  <c r="U6"/>
  <c r="V6"/>
  <c r="AD7"/>
  <c r="W5"/>
  <c r="AA5" s="1"/>
  <c r="AB5" s="1"/>
  <c r="AD5"/>
  <c r="R5" i="49"/>
  <c r="AD6"/>
  <c r="U6"/>
  <c r="AA6" s="1"/>
  <c r="AB6" s="1"/>
  <c r="V6"/>
  <c r="AD7"/>
  <c r="AD7" i="1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A6" i="52" l="1"/>
  <c r="AB6" s="1"/>
  <c r="AB7" i="59"/>
  <c r="AB8" i="54"/>
  <c r="AA6" i="58"/>
  <c r="AB6" s="1"/>
  <c r="W5"/>
  <c r="AA5" s="1"/>
  <c r="AB5" s="1"/>
  <c r="AD5"/>
  <c r="AD8" s="1"/>
  <c r="AD8" i="57"/>
  <c r="AA6"/>
  <c r="AB6" s="1"/>
  <c r="AB8" s="1"/>
  <c r="AD8" i="56"/>
  <c r="AA6"/>
  <c r="AB6" s="1"/>
  <c r="AB8" s="1"/>
  <c r="W5" i="55"/>
  <c r="AA5" s="1"/>
  <c r="AB5" s="1"/>
  <c r="AB8" s="1"/>
  <c r="AD5"/>
  <c r="AD8" s="1"/>
  <c r="AD8" i="54"/>
  <c r="AB8" i="53"/>
  <c r="AD8"/>
  <c r="W5" i="52"/>
  <c r="AA5" s="1"/>
  <c r="AB5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2" l="1"/>
  <c r="AB8" i="58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<sst xmlns="http://schemas.openxmlformats.org/spreadsheetml/2006/main" count="4578" uniqueCount="270">
  <si>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</si>
  <si>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</si>
  <si>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</si>
  <si>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</si>
  <si>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</si>
  <si>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</si>
  <si>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</si>
  <si>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</si>
  <si>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</si>
  <si>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</si>
  <si>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</si>
  <si>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</si>
  <si>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</si>
  <si>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</si>
  <si>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</si>
  <si>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</si>
  <si>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</si>
  <si>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</si>
  <si>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</si>
  <si>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</si>
  <si>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</si>
  <si>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</si>
  <si>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</si>
  <si>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</si>
  <si>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</si>
  <si>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</si>
  <si>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</si>
  <si>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</si>
  <si>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</si>
  <si>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</si>
  <si>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</si>
  <si>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</si>
  <si>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</si>
  <si>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</si>
  <si>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</si>
  <si>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</si>
  <si>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</si>
  <si>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</si>
  <si>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</si>
  <si>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</si>
  <si>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</si>
  <si>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</si>
  <si>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</si>
  <si>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</si>
  <si>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</si>
  <si>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</si>
  <si>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</si>
  <si>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</si>
  <si>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</si>
  <si>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</si>
  <si>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</si>
  <si>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</si>
  <si>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</si>
  <si>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</si>
  <si>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</si>
  <si>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</si>
  <si>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</si>
  <si>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</si>
  <si>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</si>
  <si>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</si>
  <si>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</si>
  <si>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</si>
  <si>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</si>
  <si>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</si>
  <si>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</si>
  <si>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</si>
  <si>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</si>
  <si>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</si>
  <si>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</si>
  <si>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</si>
  <si>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</si>
  <si>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</si>
  <si>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</si>
  <si>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</si>
  <si>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</si>
  <si>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</si>
  <si>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</si>
  <si>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</si>
  <si>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</si>
  <si>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</si>
  <si>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</si>
  <si>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</si>
  <si>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</si>
  <si>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</si>
  <si>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</si>
  <si>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</si>
  <si>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</si>
  <si>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</si>
  <si>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</si>
  <si>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</si>
  <si>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</si>
  <si>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</si>
  <si>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</si>
  <si>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</si>
  <si>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</si>
  <si>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</si>
  <si>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</si>
  <si>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</si>
  <si>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</si>
  <si>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</si>
  <si>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</si>
  <si>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</si>
  <si>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</si>
  <si>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</si>
  <si>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</si>
  <si>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</si>
  <si>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</si>
  <si>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</si>
  <si>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</si>
  <si>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</si>
  <si>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</si>
  <si>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</si>
  <si>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</si>
  <si>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</si>
  <si>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</si>
  <si>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</si>
  <si>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</si>
  <si>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</si>
  <si>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</si>
  <si>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</si>
  <si>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</si>
  <si>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</si>
  <si>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</si>
  <si>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</si>
  <si>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</si>
  <si>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</si>
  <si>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</si>
  <si>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</si>
  <si>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</si>
  <si>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</si>
  <si>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</si>
  <si>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</si>
  <si>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</si>
  <si>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</si>
  <si>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</si>
  <si>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</si>
  <si>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</si>
  <si>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</si>
  <si>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</si>
  <si>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</si>
  <si>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</si>
  <si>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</si>
  <si>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</si>
  <si>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</si>
  <si>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</si>
  <si>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</si>
  <si>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</si>
  <si>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</si>
  <si>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</si>
  <si>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</si>
  <si>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</si>
  <si>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</si>
  <si>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</si>
  <si>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</si>
  <si>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</si>
  <si>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</si>
  <si>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</si>
  <si>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</si>
  <si>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</si>
  <si>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</si>
  <si>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</si>
  <si>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</si>
  <si>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</si>
  <si>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</si>
  <si>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</si>
  <si>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</si>
  <si>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</si>
  <si>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</si>
  <si>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</si>
  <si>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</si>
  <si>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</si>
  <si>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</si>
  <si>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</si>
  <si>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</si>
  <si>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</si>
  <si>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</si>
  <si>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</si>
  <si>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</si>
  <si>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</si>
  <si>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</si>
  <si>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</si>
  <si>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</si>
  <si>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</si>
  <si>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</si>
  <si>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</si>
  <si>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</si>
  <si>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</si>
  <si>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</si>
  <si>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</si>
  <si>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</si>
  <si>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</si>
  <si>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</si>
  <si>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</si>
  <si>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</si>
  <si>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</si>
  <si>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</si>
  <si>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</si>
  <si>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</si>
  <si>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</si>
  <si>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</si>
  <si>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</si>
  <si>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</si>
  <si>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</si>
  <si>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</si>
  <si>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</si>
  <si>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</si>
  <si>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</si>
  <si>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</si>
  <si>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</si>
  <si>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</si>
  <si>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</si>
  <si>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</si>
  <si>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</si>
  <si>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</si>
  <si>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</si>
  <si>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</si>
  <si>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</si>
  <si>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</si>
  <si>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</si>
  <si>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</si>
  <si>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</si>
  <si>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</si>
  <si>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</si>
  <si>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</si>
  <si>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HK-FG-CS-275469</t>
  </si>
  <si>
    <t>HK-FG-CS-041168</t>
  </si>
  <si>
    <t>HK-FG-CS-979005</t>
  </si>
  <si>
    <t>HK-FG-CS-463522</t>
  </si>
  <si>
    <t>HK-FG-CS-312941</t>
  </si>
  <si>
    <t>HK-FG-CS-023179</t>
  </si>
  <si>
    <t>HK-FG-CS-888457</t>
  </si>
  <si>
    <t>HK-FG-CS-037903</t>
  </si>
  <si>
    <t>HK-FG-CS-121525</t>
  </si>
  <si>
    <t>HK-FG-CS-489863</t>
  </si>
  <si>
    <t>HK-FG-CS-799277</t>
  </si>
  <si>
    <t>HK-FG-CS-038392</t>
  </si>
  <si>
    <t>HK-FG-CS-221473</t>
  </si>
  <si>
    <t>HK-FG-CS-721997</t>
  </si>
  <si>
    <t>HK-FG-CS-071353</t>
  </si>
  <si>
    <t>HK-FG-CS-521662</t>
  </si>
  <si>
    <t>HK-FG-CS-836044</t>
  </si>
  <si>
    <t>HK-FG-CS-588123</t>
  </si>
  <si>
    <t>HK-FG-CS-663353</t>
  </si>
  <si>
    <t>HK-FG-CS-766248</t>
  </si>
  <si>
    <t>HK-FG-CS-205539</t>
  </si>
  <si>
    <t>HK-FG-CS-810701</t>
  </si>
  <si>
    <t>HK-FG-CS-077378</t>
  </si>
  <si>
    <t>HK-FG-CS-980023</t>
  </si>
  <si>
    <t>HK-FG-CS-708843</t>
  </si>
  <si>
    <t>HK-FG-CS-858096</t>
  </si>
  <si>
    <t>HK-FG-CS-735532</t>
  </si>
  <si>
    <t>HK-FG-CS-188626</t>
  </si>
  <si>
    <t>HK-FG-CS-583158</t>
  </si>
  <si>
    <t>31-15-2026</t>
  </si>
  <si>
    <t>31-12-2026</t>
  </si>
  <si>
    <t>HK-FG-CS-985668</t>
  </si>
  <si>
    <t>HK-FG-CS-678340</t>
  </si>
  <si>
    <t>HK-FG-CS-972941</t>
  </si>
  <si>
    <t>HK-FG-CS-160621</t>
  </si>
  <si>
    <t>HK-FG-CS-171259</t>
  </si>
  <si>
    <t>HK-FG-CS-633007</t>
  </si>
  <si>
    <t>HK-FG-CS-459594</t>
  </si>
  <si>
    <t>HK-FG-CS-860468</t>
  </si>
  <si>
    <t>HK-FG-CS-957122</t>
  </si>
  <si>
    <t>HK-FG-CS-304587</t>
  </si>
  <si>
    <t>HK-FG-CS-193456</t>
  </si>
  <si>
    <t>HK-FG-CS-357115</t>
  </si>
  <si>
    <t>HK-FG-CS-085619</t>
  </si>
  <si>
    <t>HK-FG-CS-209229</t>
  </si>
  <si>
    <t>HK-FG-CS-422738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</si>
</sst>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theme/theme1.xml" Type="http://schemas.openxmlformats.org/officeDocument/2006/relationships/theme"/><Relationship Id="rId56" Target="styles.xml" Type="http://schemas.openxmlformats.org/officeDocument/2006/relationships/styles"/><Relationship Id="rId57" Target="sharedStrings.xml" Type="http://schemas.openxmlformats.org/officeDocument/2006/relationships/sharedStrings"/><Relationship Id="rId58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U16" sqref="U1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6" t="s">
        <v>35</v>
      </c>
      <c r="B3" s="156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6" t="s">
        <v>35</v>
      </c>
      <c r="B3" s="156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6" t="s">
        <v>35</v>
      </c>
      <c r="B3" s="156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6" t="s">
        <v>35</v>
      </c>
      <c r="B3" s="156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6" t="s">
        <v>35</v>
      </c>
      <c r="B3" s="156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S1" zoomScale="85" zoomScaleNormal="85" workbookViewId="0">
      <selection activeCell="AG6" sqref="AG6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39"/>
      <c r="AA1" s="139"/>
      <c r="AB1" s="139"/>
      <c r="AC1" s="139"/>
      <c r="AD1" s="32"/>
    </row>
    <row r="2" spans="1:39" ht="18">
      <c r="A2" s="139" t="s">
        <v>205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t="s" s="1">
        <v>261</v>
      </c>
      <c r="F5" s="27">
        <v>0</v>
      </c>
      <c r="G5" t="s" s="1">
        <v>261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253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t="s" s="1">
        <v>262</v>
      </c>
      <c r="F6" s="27">
        <v>0</v>
      </c>
      <c r="G6" t="s" s="1">
        <v>262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253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t="s" s="1">
        <v>263</v>
      </c>
      <c r="F7" s="80">
        <v>0</v>
      </c>
      <c r="G7" t="s" s="1">
        <v>263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253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AG6" sqref="AG6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73"/>
      <c r="AA1" s="73"/>
      <c r="AB1" s="73"/>
      <c r="AC1" s="73"/>
      <c r="AD1" s="32"/>
    </row>
    <row r="2" spans="1:39" ht="18">
      <c r="A2" s="133" t="s">
        <v>205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t="s" s="1">
        <v>258</v>
      </c>
      <c r="F5" s="27">
        <v>0</v>
      </c>
      <c r="G5" t="s" s="1">
        <v>258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2138.4</v>
      </c>
      <c r="AB5" s="27">
        <f t="shared" ref="AB5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t="s" s="1">
        <v>259</v>
      </c>
      <c r="F6" s="27">
        <v>0</v>
      </c>
      <c r="G6" t="s" s="1">
        <v>259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5292</v>
      </c>
      <c r="AB6" s="27">
        <f t="shared" ref="AB6" si="7">R6+AA6</f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t="s" s="1">
        <v>260</v>
      </c>
      <c r="F7" s="80">
        <v>0</v>
      </c>
      <c r="G7" t="s" s="1">
        <v>260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R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224</v>
      </c>
      <c r="F5" s="27">
        <v>0</v>
      </c>
      <c r="G5" s="1" t="s">
        <v>224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217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225</v>
      </c>
      <c r="F6" s="27">
        <v>0</v>
      </c>
      <c r="G6" s="1" t="s">
        <v>225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217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226</v>
      </c>
      <c r="F7" s="80">
        <v>0</v>
      </c>
      <c r="G7" s="1" t="s">
        <v>226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217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S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218</v>
      </c>
      <c r="F5" s="27">
        <v>0</v>
      </c>
      <c r="G5" s="1" t="s">
        <v>218</v>
      </c>
      <c r="H5" s="27" t="s">
        <v>208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223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219</v>
      </c>
      <c r="F6" s="27">
        <v>0</v>
      </c>
      <c r="G6" s="1" t="s">
        <v>219</v>
      </c>
      <c r="H6" s="27" t="s">
        <v>208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>
        <v>88363222</v>
      </c>
      <c r="T6" s="30">
        <v>0.18</v>
      </c>
      <c r="U6" s="27">
        <f>IF(OR(D6:D7=1,D6:D7=4),ROUND((R6*T6)/2,2),0)</f>
        <v>4860</v>
      </c>
      <c r="V6" s="27">
        <f>IF(D6:D7=1,ROUND(((R6*T6)/2),2),0)</f>
        <v>4860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9720</v>
      </c>
      <c r="AB6" s="27">
        <f t="shared" si="3"/>
        <v>63720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223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220</v>
      </c>
      <c r="F7" s="80">
        <v>0</v>
      </c>
      <c r="G7" s="1" t="s">
        <v>220</v>
      </c>
      <c r="H7" s="27" t="s">
        <v>208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223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186408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8"/>
  <sheetViews>
    <sheetView showGridLines="0" topLeftCell="R1" zoomScale="85" zoomScaleNormal="85" workbookViewId="0">
      <selection activeCell="AG5" sqref="AG5:AG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3"/>
      <c r="AA1" s="153"/>
      <c r="AB1" s="153"/>
      <c r="AC1" s="153"/>
      <c r="AD1" s="32"/>
    </row>
    <row r="2" spans="1:39" ht="18">
      <c r="A2" s="153" t="s">
        <v>205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2</v>
      </c>
      <c r="B5" s="27" t="s">
        <v>201</v>
      </c>
      <c r="C5" s="27" t="s">
        <v>202</v>
      </c>
      <c r="D5" s="27">
        <v>1</v>
      </c>
      <c r="E5" s="1" t="s">
        <v>233</v>
      </c>
      <c r="F5" s="27">
        <v>0</v>
      </c>
      <c r="G5" s="1" t="s">
        <v>233</v>
      </c>
      <c r="H5" s="27" t="s">
        <v>208</v>
      </c>
      <c r="I5" s="27" t="s">
        <v>10</v>
      </c>
      <c r="J5" s="27">
        <v>20</v>
      </c>
      <c r="K5" s="27">
        <v>3000</v>
      </c>
      <c r="L5" s="27">
        <f t="shared" ref="L5:L6" si="0">J5*K5</f>
        <v>60000</v>
      </c>
      <c r="M5" s="27">
        <v>10</v>
      </c>
      <c r="N5" s="27">
        <f>L5</f>
        <v>60000</v>
      </c>
      <c r="O5" s="27">
        <f>ROUND((N5*M5)/100,2)</f>
        <v>6000</v>
      </c>
      <c r="P5" s="27">
        <f>O5</f>
        <v>6000</v>
      </c>
      <c r="Q5" s="27">
        <f>ROUND(P5/J5,2)</f>
        <v>300</v>
      </c>
      <c r="R5" s="27">
        <f>(L5-P5)</f>
        <v>54000</v>
      </c>
      <c r="S5" s="27">
        <v>88363222</v>
      </c>
      <c r="T5" s="30">
        <v>0.18</v>
      </c>
      <c r="U5" s="27">
        <f>IF(OR(D5:D6=1,D5:D6=4),ROUND((R5*T5)/2,2),0)</f>
        <v>4860</v>
      </c>
      <c r="V5" s="27">
        <f>IF(D5:D6=1,ROUND(((R5*T5)/2),2),0)</f>
        <v>4860</v>
      </c>
      <c r="W5" s="27">
        <f>IF(D5:D6=2,ROUND(((R5*T5)),2),0)</f>
        <v>0</v>
      </c>
      <c r="X5" s="27">
        <f>IF(D5:D6=4,ROUND(((R5*T5)/2),2),0)</f>
        <v>0</v>
      </c>
      <c r="Y5" s="30">
        <v>0.06</v>
      </c>
      <c r="Z5" s="27">
        <f t="shared" ref="Z5:Z6" si="1">IF($G$3=5,ROUND(((R5*Y5)/2),2),0)</f>
        <v>0</v>
      </c>
      <c r="AA5" s="27">
        <f t="shared" ref="AA5:AA6" si="2">U5+V5+W5+X5+Z5</f>
        <v>9720</v>
      </c>
      <c r="AB5" s="27">
        <f t="shared" ref="AB5" si="3">R5+AA5</f>
        <v>63720</v>
      </c>
      <c r="AC5" s="27">
        <v>120</v>
      </c>
      <c r="AD5" s="27">
        <f>R5*$O$3</f>
        <v>54000</v>
      </c>
      <c r="AE5" s="113" t="s">
        <v>111</v>
      </c>
      <c r="AF5" s="136" t="s">
        <v>195</v>
      </c>
      <c r="AG5" s="136" t="s">
        <v>254</v>
      </c>
      <c r="AH5" s="27" t="s">
        <v>206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223</v>
      </c>
      <c r="AL5" s="27" t="s">
        <v>28</v>
      </c>
      <c r="AM5" s="27" t="s">
        <v>222</v>
      </c>
    </row>
    <row r="6" spans="1:39" ht="15">
      <c r="A6" s="27">
        <v>3</v>
      </c>
      <c r="B6" s="27" t="s">
        <v>204</v>
      </c>
      <c r="C6" s="27" t="s">
        <v>203</v>
      </c>
      <c r="D6" s="27">
        <v>2</v>
      </c>
      <c r="E6" s="1" t="s">
        <v>234</v>
      </c>
      <c r="F6" s="80">
        <v>0</v>
      </c>
      <c r="G6" s="1" t="s">
        <v>234</v>
      </c>
      <c r="H6" s="27" t="s">
        <v>208</v>
      </c>
      <c r="I6" s="27" t="s">
        <v>10</v>
      </c>
      <c r="J6" s="27">
        <v>30</v>
      </c>
      <c r="K6" s="27">
        <v>3600</v>
      </c>
      <c r="L6" s="27">
        <f t="shared" si="0"/>
        <v>108000</v>
      </c>
      <c r="M6" s="27">
        <v>10</v>
      </c>
      <c r="N6" s="27">
        <f>L6</f>
        <v>108000</v>
      </c>
      <c r="O6" s="27">
        <f>ROUND((N6*M6)/100,2)</f>
        <v>10800</v>
      </c>
      <c r="P6" s="27">
        <f>O6</f>
        <v>10800</v>
      </c>
      <c r="Q6" s="27">
        <f>ROUND(P6/J6,2)</f>
        <v>360</v>
      </c>
      <c r="R6" s="27">
        <f>(L6-P6)</f>
        <v>97200</v>
      </c>
      <c r="S6" s="27">
        <v>88363222</v>
      </c>
      <c r="T6" s="30">
        <v>0.18</v>
      </c>
      <c r="U6" s="27">
        <f>IF(OR(D6:D7=1,D6:D7=4),ROUND((R6*T6)/2,2),0)</f>
        <v>0</v>
      </c>
      <c r="V6" s="27">
        <f>IF(D6:D7=1,ROUND(((R6*T6)/2),2),0)</f>
        <v>0</v>
      </c>
      <c r="W6" s="27">
        <f>IF(D6:D7=2,ROUND(((R6*T6)),2),0)</f>
        <v>17496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17496</v>
      </c>
      <c r="AB6" s="27">
        <f>R6</f>
        <v>97200</v>
      </c>
      <c r="AC6" s="27">
        <v>120</v>
      </c>
      <c r="AD6" s="27">
        <f>R6*$O$3</f>
        <v>97200</v>
      </c>
      <c r="AE6" s="113" t="s">
        <v>111</v>
      </c>
      <c r="AF6" s="136" t="s">
        <v>195</v>
      </c>
      <c r="AG6" s="136" t="s">
        <v>254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223</v>
      </c>
      <c r="AL6" s="27" t="s">
        <v>216</v>
      </c>
      <c r="AM6" s="27" t="s">
        <v>222</v>
      </c>
    </row>
    <row r="7" spans="1:39" ht="14.25" customHeight="1">
      <c r="A7" s="11"/>
      <c r="B7" s="11"/>
      <c r="C7" s="11"/>
      <c r="D7" s="11"/>
      <c r="E7" s="11"/>
      <c r="F7" s="11"/>
      <c r="G7" s="11"/>
      <c r="H7" s="11"/>
      <c r="I7" s="11"/>
      <c r="J7" s="12"/>
      <c r="K7" s="13"/>
      <c r="L7" s="13"/>
      <c r="M7" s="14"/>
      <c r="N7" s="13"/>
      <c r="O7" s="13"/>
      <c r="P7" s="15"/>
      <c r="Q7" s="15"/>
      <c r="R7" s="13"/>
      <c r="S7" s="13"/>
      <c r="T7" s="14"/>
      <c r="U7" s="13"/>
      <c r="V7" s="13"/>
      <c r="W7" s="15" t="s">
        <v>39</v>
      </c>
      <c r="X7" s="15"/>
      <c r="Y7" s="15"/>
      <c r="Z7" s="15"/>
      <c r="AA7" s="15"/>
      <c r="AB7" s="79">
        <f>SUM(AB5:AB6)</f>
        <v>160920</v>
      </c>
      <c r="AC7" s="15" t="s">
        <v>40</v>
      </c>
      <c r="AD7" s="79">
        <f>SUM(AD5:AD6)</f>
        <v>151200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3"/>
      <c r="Q8" s="13"/>
      <c r="R8" s="13"/>
      <c r="S8" s="13"/>
      <c r="T8" s="14"/>
      <c r="U8" s="13"/>
      <c r="V8" s="13"/>
      <c r="W8" s="13"/>
      <c r="X8" s="13"/>
      <c r="Y8" s="13"/>
      <c r="Z8" s="13"/>
      <c r="AA8" s="13"/>
      <c r="AB8" s="12"/>
      <c r="AC8" s="13"/>
      <c r="AD8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W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247</v>
      </c>
      <c r="F5" s="27">
        <v>0</v>
      </c>
      <c r="G5" s="1" t="s">
        <v>247</v>
      </c>
      <c r="H5" s="27" t="s">
        <v>208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223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248</v>
      </c>
      <c r="F6" s="27">
        <v>0</v>
      </c>
      <c r="G6" s="1" t="s">
        <v>248</v>
      </c>
      <c r="H6" s="27" t="s">
        <v>208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>
        <v>88363222</v>
      </c>
      <c r="T6" s="30">
        <v>0.18</v>
      </c>
      <c r="U6" s="27">
        <f>IF(OR(D6:D7=1,D6:D7=4),ROUND((R6*T6)/2,2),0)</f>
        <v>4860</v>
      </c>
      <c r="V6" s="27">
        <f>IF(D6:D7=1,ROUND(((R6*T6)/2),2),0)</f>
        <v>4860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9720</v>
      </c>
      <c r="AB6" s="27">
        <f t="shared" si="3"/>
        <v>63720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223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249</v>
      </c>
      <c r="F7" s="80">
        <v>0</v>
      </c>
      <c r="G7" s="1" t="s">
        <v>249</v>
      </c>
      <c r="H7" s="27" t="s">
        <v>208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223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186408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S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241</v>
      </c>
      <c r="F5" s="27">
        <v>0</v>
      </c>
      <c r="G5" s="1" t="s">
        <v>241</v>
      </c>
      <c r="H5" s="27" t="s">
        <v>208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6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217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242</v>
      </c>
      <c r="F6" s="27">
        <v>0</v>
      </c>
      <c r="G6" s="1" t="s">
        <v>242</v>
      </c>
      <c r="H6" s="27" t="s">
        <v>208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>
        <v>88363222</v>
      </c>
      <c r="T6" s="30">
        <v>0.18</v>
      </c>
      <c r="U6" s="27">
        <f>IF(OR(D6:D7=1,D6:D7=4),ROUND((R6*T6)/2,2),0)</f>
        <v>5292</v>
      </c>
      <c r="V6" s="27">
        <f>IF(D6:D7=1,ROUND(((R6*T6)/2),2),0)</f>
        <v>5292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10584</v>
      </c>
      <c r="AB6" s="27">
        <f t="shared" si="3"/>
        <v>69384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217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243</v>
      </c>
      <c r="F7" s="80">
        <v>0</v>
      </c>
      <c r="G7" s="1" t="s">
        <v>243</v>
      </c>
      <c r="H7" s="27" t="s">
        <v>208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18856.8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18856.8</v>
      </c>
      <c r="AB7" s="27">
        <f>R7</f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217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202180.8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R1" zoomScale="85" zoomScaleNormal="85" workbookViewId="0">
      <selection activeCell="AG7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205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t="s" s="1">
        <v>267</v>
      </c>
      <c r="F5" s="27">
        <v>0</v>
      </c>
      <c r="G5" t="s" s="1">
        <v>267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214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t="s" s="1">
        <v>268</v>
      </c>
      <c r="F6" s="27">
        <v>0</v>
      </c>
      <c r="G6" t="s" s="1">
        <v>268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214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t="s" s="1">
        <v>269</v>
      </c>
      <c r="F7" s="80">
        <v>0</v>
      </c>
      <c r="G7" t="s" s="1">
        <v>269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214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R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205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227</v>
      </c>
      <c r="F5" s="27">
        <v>0</v>
      </c>
      <c r="G5" s="1" t="s">
        <v>227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214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228</v>
      </c>
      <c r="F6" s="27">
        <v>0</v>
      </c>
      <c r="G6" s="1" t="s">
        <v>228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214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229</v>
      </c>
      <c r="F7" s="80">
        <v>0</v>
      </c>
      <c r="G7" s="1" t="s">
        <v>229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214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3"/>
      <c r="AA1" s="143"/>
      <c r="AB1" s="143"/>
      <c r="AC1" s="143"/>
      <c r="AD1" s="32"/>
    </row>
    <row r="2" spans="1:39" ht="18">
      <c r="A2" s="143" t="s">
        <v>205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t="s" s="1">
        <v>264</v>
      </c>
      <c r="F5" s="27">
        <v>0</v>
      </c>
      <c r="G5" t="s" s="1">
        <v>264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t="s" s="1">
        <v>265</v>
      </c>
      <c r="F6" s="27">
        <v>0</v>
      </c>
      <c r="G6" t="s" s="1">
        <v>265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t="s" s="1">
        <v>266</v>
      </c>
      <c r="F7" s="80">
        <v>0</v>
      </c>
      <c r="G7" t="s" s="1">
        <v>266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M9"/>
  <sheetViews>
    <sheetView showGridLines="0" tabSelected="1" topLeftCell="R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5"/>
      <c r="AA1" s="145"/>
      <c r="AB1" s="145"/>
      <c r="AC1" s="145"/>
      <c r="AD1" s="32"/>
    </row>
    <row r="2" spans="1:39" ht="18">
      <c r="A2" s="145" t="s">
        <v>205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t="s" s="1">
        <v>255</v>
      </c>
      <c r="F5" s="27">
        <v>0</v>
      </c>
      <c r="G5" t="s" s="1">
        <v>255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t="s" s="1">
        <v>256</v>
      </c>
      <c r="F6" s="27">
        <v>0</v>
      </c>
      <c r="G6" t="s" s="1">
        <v>256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t="s" s="1">
        <v>257</v>
      </c>
      <c r="F7" s="80">
        <v>0</v>
      </c>
      <c r="G7" t="s" s="1">
        <v>257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6" t="s">
        <v>35</v>
      </c>
      <c r="B3" s="156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6" t="s">
        <v>35</v>
      </c>
      <c r="B3" s="156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6" t="s">
        <v>35</v>
      </c>
      <c r="B3" s="156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6" t="s">
        <v>35</v>
      </c>
      <c r="B3" s="156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6" t="s">
        <v>35</v>
      </c>
      <c r="B3" s="156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6" t="s">
        <v>35</v>
      </c>
      <c r="B3" s="156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6" t="s">
        <v>35</v>
      </c>
      <c r="B3" s="156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6" t="s">
        <v>35</v>
      </c>
      <c r="B3" s="156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6" t="s">
        <v>35</v>
      </c>
      <c r="B3" s="156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6"/>
      <c r="B16" s="156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6" t="s">
        <v>35</v>
      </c>
      <c r="B3" s="156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6" t="s">
        <v>35</v>
      </c>
      <c r="B3" s="156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6" t="s">
        <v>35</v>
      </c>
      <c r="B3" s="156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6" t="s">
        <v>35</v>
      </c>
      <c r="B3" s="156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6" t="s">
        <v>35</v>
      </c>
      <c r="B3" s="156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6" t="s">
        <v>35</v>
      </c>
      <c r="B3" s="156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6" t="s">
        <v>35</v>
      </c>
      <c r="B3" s="156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6"/>
      <c r="B17" s="156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CSCat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2025-11-17T09:16:37Z</dcterms:modified>
</cp:coreProperties>
</file>