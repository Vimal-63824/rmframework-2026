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 firstSheet="18" activeTab="21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ShipSet" sheetId="28" r:id="rId8"/>
    <sheet name="Different Price Class (RC)" sheetId="27" r:id="rId9"/>
    <sheet name="SO Domestic RC (S&amp;D)" sheetId="19" r:id="rId10"/>
    <sheet name="SO Export UD (S&amp;D)" sheetId="18" r:id="rId11"/>
    <sheet name="CS DisSimilar" sheetId="49" r:id="rId12"/>
    <sheet name="CS" sheetId="17" r:id="rId13"/>
    <sheet name="CS DisSimilar Standard Price" sheetId="56" r:id="rId14"/>
    <sheet name="CS DisSimilar Catalog Price" sheetId="58" r:id="rId15"/>
    <sheet name="CSCat" sheetId="59" r:id="rId16"/>
    <sheet name="CS Similar Catalog Price" sheetId="57" r:id="rId17"/>
    <sheet name="CS Similar Standard Price" sheetId="55" r:id="rId18"/>
    <sheet name="CS Similar PriceList" sheetId="54" r:id="rId19"/>
    <sheet name="CS DisSimilar PriceList" sheetId="53" r:id="rId20"/>
    <sheet name="CS Similar Rate Contract" sheetId="51" r:id="rId21"/>
    <sheet name="CS DisSimilar Rate Contract" sheetId="52" r:id="rId22"/>
    <sheet name="Case 1" sheetId="1" r:id="rId23"/>
    <sheet name="Item Stocks" sheetId="3" state="hidden" r:id="rId24"/>
    <sheet name="SO UTGST" sheetId="36" r:id="rId25"/>
    <sheet name="Free Sample" sheetId="12" r:id="rId26"/>
    <sheet name="Free Replacement" sheetId="13" r:id="rId27"/>
    <sheet name="SCRAP" sheetId="5" r:id="rId28"/>
    <sheet name="SERVICE" sheetId="6" r:id="rId29"/>
    <sheet name="PROMOTIONAL" sheetId="8" r:id="rId30"/>
    <sheet name="Local Customer" sheetId="9" r:id="rId31"/>
    <sheet name="SEZ Customer" sheetId="10" r:id="rId32"/>
    <sheet name="CESS" sheetId="11" r:id="rId33"/>
    <sheet name="Demo Exhibition" sheetId="14" r:id="rId34"/>
    <sheet name="CHARGES" sheetId="15" r:id="rId35"/>
    <sheet name="SO Amendment Disc UTGST" sheetId="43" r:id="rId36"/>
    <sheet name="SO Amendment Price UTGST" sheetId="42" r:id="rId37"/>
    <sheet name="SO Amendment AddItem UTGST" sheetId="44" r:id="rId38"/>
    <sheet name="SO Amendment Qty UTGST" sheetId="37" r:id="rId39"/>
    <sheet name="SO Amendment Qty" sheetId="33" r:id="rId40"/>
    <sheet name="Disc Change" sheetId="40" r:id="rId41"/>
    <sheet name="Price Change" sheetId="39" r:id="rId42"/>
    <sheet name="Qty Change" sheetId="38" r:id="rId43"/>
    <sheet name="So Amend Price Local" sheetId="46" r:id="rId44"/>
    <sheet name="So Amend Disc Local" sheetId="47" r:id="rId45"/>
    <sheet name="So Amend Qty Local" sheetId="45" r:id="rId46"/>
    <sheet name="SO" sheetId="29" r:id="rId47"/>
    <sheet name="SoAmendment PriceChange" sheetId="34" r:id="rId48"/>
    <sheet name="SO Amendment DiscountChange" sheetId="35" r:id="rId49"/>
    <sheet name="SO Amendment Different PC" sheetId="32" r:id="rId50"/>
    <sheet name="SO Amendment AdditionOfItem" sheetId="30" r:id="rId51"/>
    <sheet name="Add of Item" sheetId="41" r:id="rId52"/>
    <sheet name="So Amend AddOfItem Local" sheetId="48" r:id="rId53"/>
    <sheet name="SO Amendment With Charges" sheetId="31" r:id="rId54"/>
  </sheets>
  <definedNames>
    <definedName name="_xlnm._FilterDatabase" localSheetId="51" hidden="1">'Add of Item'!$V$1:$V$9</definedName>
    <definedName name="_xlnm._FilterDatabase" localSheetId="22" hidden="1">'Case 1'!$V$1:$V$8</definedName>
    <definedName name="_xlnm._FilterDatabase" localSheetId="32" hidden="1">CESS!$V$1:$V$8</definedName>
    <definedName name="_xlnm._FilterDatabase" localSheetId="12" hidden="1">CS!$S$1:$S$9</definedName>
    <definedName name="_xlnm._FilterDatabase" localSheetId="11" hidden="1">'CS DisSimilar'!$S$1:$S$9</definedName>
    <definedName name="_xlnm._FilterDatabase" localSheetId="14" hidden="1">'CS DisSimilar Catalog Price'!$S$1:$S$9</definedName>
    <definedName name="_xlnm._FilterDatabase" localSheetId="19" hidden="1">'CS DisSimilar PriceList'!$S$1:$S$9</definedName>
    <definedName name="_xlnm._FilterDatabase" localSheetId="21" hidden="1">'CS DisSimilar Rate Contract'!$S$1:$S$9</definedName>
    <definedName name="_xlnm._FilterDatabase" localSheetId="13" hidden="1">'CS DisSimilar Standard Price'!$S$1:$S$9</definedName>
    <definedName name="_xlnm._FilterDatabase" localSheetId="16" hidden="1">'CS Similar Catalog Price'!$S$1:$S$9</definedName>
    <definedName name="_xlnm._FilterDatabase" localSheetId="18" hidden="1">'CS Similar PriceList'!$S$1:$S$9</definedName>
    <definedName name="_xlnm._FilterDatabase" localSheetId="20" hidden="1">'CS Similar Rate Contract'!$S$1:$S$9</definedName>
    <definedName name="_xlnm._FilterDatabase" localSheetId="17" hidden="1">'CS Similar Standard Price'!$S$1:$S$9</definedName>
    <definedName name="_xlnm._FilterDatabase" localSheetId="15" hidden="1">CSCat!$S$1:$S$8</definedName>
    <definedName name="_xlnm._FilterDatabase" localSheetId="33" hidden="1">'Demo Exhibition'!$V$1:$V$8</definedName>
    <definedName name="_xlnm._FilterDatabase" localSheetId="8" hidden="1">'Different Price Class (RC)'!$V$1:$V$8</definedName>
    <definedName name="_xlnm._FilterDatabase" localSheetId="40" hidden="1">'Disc Change'!$V$1:$V$8</definedName>
    <definedName name="_xlnm._FilterDatabase" localSheetId="26" hidden="1">'Free Replacement'!$V$1:$V$8</definedName>
    <definedName name="_xlnm._FilterDatabase" localSheetId="25" hidden="1">'Free Sample'!$V$1:$V$8</definedName>
    <definedName name="_xlnm._FilterDatabase" localSheetId="30" hidden="1">'Local Customer'!$V$1:$V$8</definedName>
    <definedName name="_xlnm._FilterDatabase" localSheetId="41" hidden="1">'Price Change'!$V$1:$V$8</definedName>
    <definedName name="_xlnm._FilterDatabase" localSheetId="29" hidden="1">PROMOTIONAL!$V$1:$V$8</definedName>
    <definedName name="_xlnm._FilterDatabase" localSheetId="42" hidden="1">'Qty Change'!$V$1:$V$8</definedName>
    <definedName name="_xlnm._FilterDatabase" localSheetId="27" hidden="1">SCRAP!$V$1:$V$7</definedName>
    <definedName name="_xlnm._FilterDatabase" localSheetId="28" hidden="1">SERVICE!$V$1:$V$7</definedName>
    <definedName name="_xlnm._FilterDatabase" localSheetId="31" hidden="1">'SEZ Customer'!$V$1:$V$8</definedName>
    <definedName name="_xlnm._FilterDatabase" localSheetId="7" hidden="1">ShipSet!$V$1:$V$8</definedName>
    <definedName name="_xlnm._FilterDatabase" localSheetId="46" hidden="1">SO!$V$1:$V$8</definedName>
    <definedName name="_xlnm._FilterDatabase" localSheetId="52" hidden="1">'So Amend AddOfItem Local'!$V$1:$V$9</definedName>
    <definedName name="_xlnm._FilterDatabase" localSheetId="44" hidden="1">'So Amend Disc Local'!$V$1:$V$8</definedName>
    <definedName name="_xlnm._FilterDatabase" localSheetId="43" hidden="1">'So Amend Price Local'!$V$1:$V$8</definedName>
    <definedName name="_xlnm._FilterDatabase" localSheetId="45" hidden="1">'So Amend Qty Local'!$V$1:$V$8</definedName>
    <definedName name="_xlnm._FilterDatabase" localSheetId="37" hidden="1">'SO Amendment AddItem UTGST'!$V$1:$V$9</definedName>
    <definedName name="_xlnm._FilterDatabase" localSheetId="50" hidden="1">'SO Amendment AdditionOfItem'!#REF!</definedName>
    <definedName name="_xlnm._FilterDatabase" localSheetId="49" hidden="1">'SO Amendment Different PC'!#REF!</definedName>
    <definedName name="_xlnm._FilterDatabase" localSheetId="35" hidden="1">'SO Amendment Disc UTGST'!$V$1:$V$8</definedName>
    <definedName name="_xlnm._FilterDatabase" localSheetId="48" hidden="1">'SO Amendment DiscountChange'!#REF!</definedName>
    <definedName name="_xlnm._FilterDatabase" localSheetId="36" hidden="1">'SO Amendment Price UTGST'!$V$1:$V$8</definedName>
    <definedName name="_xlnm._FilterDatabase" localSheetId="39" hidden="1">'SO Amendment Qty'!#REF!</definedName>
    <definedName name="_xlnm._FilterDatabase" localSheetId="38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24" hidden="1">'SO UTGST'!$V$1:$V$8</definedName>
    <definedName name="_xlnm._FilterDatabase" localSheetId="47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I6" i="59"/>
  <c r="Z6"/>
  <c r="X6"/>
  <c r="V6"/>
  <c r="U6"/>
  <c r="L6"/>
  <c r="N6" s="1"/>
  <c r="O6" s="1"/>
  <c r="P6" s="1"/>
  <c r="AI5"/>
  <c r="Z5"/>
  <c r="X5"/>
  <c r="W5"/>
  <c r="L5"/>
  <c r="N5" s="1"/>
  <c r="O5" s="1"/>
  <c r="P5" s="1"/>
  <c r="AB7" i="52"/>
  <c r="AB7" i="51"/>
  <c r="AB7" i="53"/>
  <c r="AB7" i="54"/>
  <c r="AB7" i="55"/>
  <c r="AB7" i="57"/>
  <c r="AB7" i="58"/>
  <c r="AB7" i="56"/>
  <c r="AB7" i="49"/>
  <c r="AB7" i="17"/>
  <c r="AI5"/>
  <c r="AI7" i="58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7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6"/>
  <c r="Z7"/>
  <c r="X7"/>
  <c r="W7"/>
  <c r="V7"/>
  <c r="U7"/>
  <c r="O7"/>
  <c r="P7" s="1"/>
  <c r="N7"/>
  <c r="L7"/>
  <c r="AI6"/>
  <c r="Z6"/>
  <c r="X6"/>
  <c r="W6"/>
  <c r="O6"/>
  <c r="P6" s="1"/>
  <c r="N6"/>
  <c r="L6"/>
  <c r="AI5"/>
  <c r="Z5"/>
  <c r="X5"/>
  <c r="V5"/>
  <c r="U5"/>
  <c r="N5"/>
  <c r="O5" s="1"/>
  <c r="P5" s="1"/>
  <c r="L5"/>
  <c r="AI7" i="55"/>
  <c r="Z7"/>
  <c r="X7"/>
  <c r="W7"/>
  <c r="V7"/>
  <c r="U7"/>
  <c r="AA7" s="1"/>
  <c r="L7"/>
  <c r="N7" s="1"/>
  <c r="O7" s="1"/>
  <c r="P7" s="1"/>
  <c r="AI6"/>
  <c r="Z6"/>
  <c r="X6"/>
  <c r="W6"/>
  <c r="N6"/>
  <c r="O6" s="1"/>
  <c r="P6" s="1"/>
  <c r="L6"/>
  <c r="AI5"/>
  <c r="Z5"/>
  <c r="X5"/>
  <c r="V5"/>
  <c r="U5"/>
  <c r="L5"/>
  <c r="AI7" i="54"/>
  <c r="Z7"/>
  <c r="X7"/>
  <c r="W7"/>
  <c r="V7"/>
  <c r="U7"/>
  <c r="N7"/>
  <c r="O7" s="1"/>
  <c r="P7" s="1"/>
  <c r="L7"/>
  <c r="AI6"/>
  <c r="Z6"/>
  <c r="X6"/>
  <c r="W6"/>
  <c r="L6"/>
  <c r="AI5"/>
  <c r="Z5"/>
  <c r="X5"/>
  <c r="V5"/>
  <c r="U5"/>
  <c r="N5"/>
  <c r="O5" s="1"/>
  <c r="P5" s="1"/>
  <c r="L5"/>
  <c r="AI7" i="53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52"/>
  <c r="Z7"/>
  <c r="X7"/>
  <c r="W7"/>
  <c r="V7"/>
  <c r="U7"/>
  <c r="AA7" s="1"/>
  <c r="L7"/>
  <c r="AI6"/>
  <c r="Z6"/>
  <c r="X6"/>
  <c r="W6"/>
  <c r="N6"/>
  <c r="O6" s="1"/>
  <c r="P6" s="1"/>
  <c r="L6"/>
  <c r="AI5"/>
  <c r="Z5"/>
  <c r="X5"/>
  <c r="V5"/>
  <c r="U5"/>
  <c r="L5"/>
  <c r="AI7" i="51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49"/>
  <c r="Z7"/>
  <c r="X7"/>
  <c r="W7"/>
  <c r="V7"/>
  <c r="U7"/>
  <c r="O7"/>
  <c r="P7" s="1"/>
  <c r="N7"/>
  <c r="L7"/>
  <c r="AI6"/>
  <c r="Z6"/>
  <c r="X6"/>
  <c r="W6"/>
  <c r="N6"/>
  <c r="O6" s="1"/>
  <c r="P6" s="1"/>
  <c r="L6"/>
  <c r="AI5"/>
  <c r="Z5"/>
  <c r="X5"/>
  <c r="V5"/>
  <c r="U5"/>
  <c r="L5"/>
  <c r="AI7" i="17"/>
  <c r="Z7"/>
  <c r="X7"/>
  <c r="W7"/>
  <c r="V7"/>
  <c r="U7"/>
  <c r="L7"/>
  <c r="N7" s="1"/>
  <c r="O7" s="1"/>
  <c r="P7" s="1"/>
  <c r="AI6"/>
  <c r="Z6"/>
  <c r="X6"/>
  <c r="W6"/>
  <c r="L6"/>
  <c r="X5"/>
  <c r="V5"/>
  <c r="U5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R8" i="44"/>
  <c r="BP8"/>
  <c r="BD8"/>
  <c r="BN7"/>
  <c r="BK7"/>
  <c r="BJ7"/>
  <c r="AT7"/>
  <c r="BN6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1"/>
  <c r="AL6"/>
  <c r="AI6"/>
  <c r="AG6"/>
  <c r="AC6"/>
  <c r="AA6"/>
  <c r="Z6"/>
  <c r="Y6"/>
  <c r="AD6" s="1"/>
  <c r="AE6" s="1"/>
  <c r="X6"/>
  <c r="AL5"/>
  <c r="AI5"/>
  <c r="AC5"/>
  <c r="AA5"/>
  <c r="Y5"/>
  <c r="X5"/>
  <c r="AP6" i="20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Z5" i="17"/>
  <c r="BG6" i="35"/>
  <c r="BF6"/>
  <c r="AN6"/>
  <c r="AK6"/>
  <c r="AF6"/>
  <c r="AI6" s="1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AP6" s="1"/>
  <c r="G6"/>
  <c r="AO6" s="1"/>
  <c r="AQ6" s="1"/>
  <c r="AU6" s="1"/>
  <c r="AV6" s="1"/>
  <c r="BG5"/>
  <c r="BF5"/>
  <c r="AN5"/>
  <c r="AK5"/>
  <c r="AF5"/>
  <c r="AB5"/>
  <c r="AB7" s="1"/>
  <c r="AA5"/>
  <c r="Z5"/>
  <c r="Y5"/>
  <c r="X5"/>
  <c r="W5"/>
  <c r="V5"/>
  <c r="BD5" s="1"/>
  <c r="U5"/>
  <c r="AM5" s="1"/>
  <c r="T5"/>
  <c r="S5"/>
  <c r="R5"/>
  <c r="Q5"/>
  <c r="P5"/>
  <c r="O5"/>
  <c r="N5"/>
  <c r="M5"/>
  <c r="L5"/>
  <c r="K5"/>
  <c r="J5"/>
  <c r="I5"/>
  <c r="H5"/>
  <c r="AP5" s="1"/>
  <c r="G5"/>
  <c r="AI5" s="1"/>
  <c r="D3"/>
  <c r="BG6" i="34"/>
  <c r="BF6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AT6" s="1"/>
  <c r="K6"/>
  <c r="AS6" s="1"/>
  <c r="J6"/>
  <c r="AR6" s="1"/>
  <c r="I6"/>
  <c r="H6"/>
  <c r="G6"/>
  <c r="AF6" s="1"/>
  <c r="AI6" s="1"/>
  <c r="BG5"/>
  <c r="BF5"/>
  <c r="AN5"/>
  <c r="AK5"/>
  <c r="AB5"/>
  <c r="AA5"/>
  <c r="Z5"/>
  <c r="Y5"/>
  <c r="X5"/>
  <c r="W5"/>
  <c r="V5"/>
  <c r="BD5" s="1"/>
  <c r="U5"/>
  <c r="AM5" s="1"/>
  <c r="T5"/>
  <c r="S5"/>
  <c r="S7" s="1"/>
  <c r="R5"/>
  <c r="Q5"/>
  <c r="P5"/>
  <c r="O5"/>
  <c r="N5"/>
  <c r="M5"/>
  <c r="L5"/>
  <c r="AT5" s="1"/>
  <c r="K5"/>
  <c r="AS5" s="1"/>
  <c r="J5"/>
  <c r="AR5" s="1"/>
  <c r="I5"/>
  <c r="H5"/>
  <c r="G5"/>
  <c r="AF5" s="1"/>
  <c r="D3"/>
  <c r="V5" i="33"/>
  <c r="BD5" s="1"/>
  <c r="AS6"/>
  <c r="AT6"/>
  <c r="AT5"/>
  <c r="AS5"/>
  <c r="AR6"/>
  <c r="AR5"/>
  <c r="AP6"/>
  <c r="AP5"/>
  <c r="BG6"/>
  <c r="BF6"/>
  <c r="AQ6"/>
  <c r="AU6" s="1"/>
  <c r="AV6" s="1"/>
  <c r="AN6"/>
  <c r="AK6"/>
  <c r="AB6"/>
  <c r="AA6"/>
  <c r="Z6"/>
  <c r="Y6"/>
  <c r="X6"/>
  <c r="W6"/>
  <c r="V6"/>
  <c r="BD6" s="1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N5"/>
  <c r="AK5"/>
  <c r="AB5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Q5" i="59" l="1"/>
  <c r="R5"/>
  <c r="R6"/>
  <c r="Q6"/>
  <c r="AA7" i="51"/>
  <c r="AA7" i="53"/>
  <c r="AA7" i="54"/>
  <c r="AA7" i="56"/>
  <c r="AA7" i="49"/>
  <c r="AA7" i="58"/>
  <c r="AA7" i="57"/>
  <c r="Q6" i="58"/>
  <c r="R6"/>
  <c r="R7"/>
  <c r="Q7"/>
  <c r="N5"/>
  <c r="O5" s="1"/>
  <c r="P5" s="1"/>
  <c r="Q5" s="1"/>
  <c r="Q6" i="57"/>
  <c r="R6"/>
  <c r="R7"/>
  <c r="Q7"/>
  <c r="N5"/>
  <c r="O5" s="1"/>
  <c r="P5" s="1"/>
  <c r="Q5" s="1"/>
  <c r="Q5" i="56"/>
  <c r="R5"/>
  <c r="Q6"/>
  <c r="R6"/>
  <c r="R7"/>
  <c r="Q7"/>
  <c r="R7" i="55"/>
  <c r="Q7"/>
  <c r="Q6"/>
  <c r="R6"/>
  <c r="N5"/>
  <c r="O5" s="1"/>
  <c r="P5" s="1"/>
  <c r="Q5" s="1"/>
  <c r="R6" i="54"/>
  <c r="Q5"/>
  <c r="R5"/>
  <c r="R7"/>
  <c r="Q7"/>
  <c r="N6"/>
  <c r="O6" s="1"/>
  <c r="P6" s="1"/>
  <c r="Q6" s="1"/>
  <c r="R5" i="53"/>
  <c r="Q6"/>
  <c r="R6"/>
  <c r="R7"/>
  <c r="Q7"/>
  <c r="N5"/>
  <c r="O5" s="1"/>
  <c r="P5" s="1"/>
  <c r="Q5" s="1"/>
  <c r="Q6" i="52"/>
  <c r="R6"/>
  <c r="R7"/>
  <c r="N5"/>
  <c r="O5" s="1"/>
  <c r="P5" s="1"/>
  <c r="Q5" s="1"/>
  <c r="N7"/>
  <c r="O7" s="1"/>
  <c r="P7" s="1"/>
  <c r="Q7" s="1"/>
  <c r="R5" i="51"/>
  <c r="Q6"/>
  <c r="R6"/>
  <c r="R7"/>
  <c r="Q7"/>
  <c r="N5"/>
  <c r="O5" s="1"/>
  <c r="P5" s="1"/>
  <c r="Q5" s="1"/>
  <c r="Q6" i="49"/>
  <c r="R6"/>
  <c r="R7"/>
  <c r="Q7"/>
  <c r="N5"/>
  <c r="O5" s="1"/>
  <c r="P5" s="1"/>
  <c r="Q5" s="1"/>
  <c r="AA7" i="17"/>
  <c r="Q7"/>
  <c r="R7"/>
  <c r="N6"/>
  <c r="O6" s="1"/>
  <c r="P6" s="1"/>
  <c r="Q6" s="1"/>
  <c r="AU5" i="33"/>
  <c r="AV5" s="1"/>
  <c r="S7" i="35"/>
  <c r="AO5" i="34"/>
  <c r="AQ5" s="1"/>
  <c r="AF5" i="33"/>
  <c r="AO6" i="34"/>
  <c r="AQ6" s="1"/>
  <c r="AB7" i="33"/>
  <c r="AQ5"/>
  <c r="AB7" i="34"/>
  <c r="AO5" i="35"/>
  <c r="AQ5" s="1"/>
  <c r="AU5" s="1"/>
  <c r="AV5" s="1"/>
  <c r="AW5" s="1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X7" i="44"/>
  <c r="AY7" s="1"/>
  <c r="AZ7" s="1"/>
  <c r="AZ5"/>
  <c r="AZ6"/>
  <c r="AX6"/>
  <c r="AY6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W6" i="35"/>
  <c r="AU5" i="34"/>
  <c r="AV5" s="1"/>
  <c r="AU6"/>
  <c r="AV6" s="1"/>
  <c r="AW6" s="1"/>
  <c r="AI5"/>
  <c r="AW5" i="33"/>
  <c r="AW6"/>
  <c r="BG6" i="32"/>
  <c r="BF6"/>
  <c r="AQ6"/>
  <c r="AF6"/>
  <c r="AI6" s="1"/>
  <c r="AD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D6" i="59" l="1"/>
  <c r="AB6"/>
  <c r="W6"/>
  <c r="AA6" s="1"/>
  <c r="AD5"/>
  <c r="AD7" s="1"/>
  <c r="U5"/>
  <c r="AA5" s="1"/>
  <c r="AB5" s="1"/>
  <c r="V5"/>
  <c r="R5" i="57"/>
  <c r="AD5" s="1"/>
  <c r="R5" i="58"/>
  <c r="AD6"/>
  <c r="U6"/>
  <c r="V6"/>
  <c r="AD7"/>
  <c r="AD6" i="57"/>
  <c r="U6"/>
  <c r="V6"/>
  <c r="AD7"/>
  <c r="W5"/>
  <c r="AA5" s="1"/>
  <c r="AB5" s="1"/>
  <c r="AD6" i="56"/>
  <c r="U6"/>
  <c r="V6"/>
  <c r="AD7"/>
  <c r="W5"/>
  <c r="AA5" s="1"/>
  <c r="AB5" s="1"/>
  <c r="AD5"/>
  <c r="AD6" i="55"/>
  <c r="U6"/>
  <c r="AA6" s="1"/>
  <c r="AB6" s="1"/>
  <c r="V6"/>
  <c r="R5"/>
  <c r="AD7"/>
  <c r="W5" i="54"/>
  <c r="AA5" s="1"/>
  <c r="AB5" s="1"/>
  <c r="AD5"/>
  <c r="AD7"/>
  <c r="AD6"/>
  <c r="U6"/>
  <c r="AA6" s="1"/>
  <c r="AB6" s="1"/>
  <c r="V6"/>
  <c r="AD7" i="53"/>
  <c r="AD6"/>
  <c r="U6"/>
  <c r="AA6" s="1"/>
  <c r="AB6" s="1"/>
  <c r="V6"/>
  <c r="W5"/>
  <c r="AA5" s="1"/>
  <c r="AB5" s="1"/>
  <c r="AD5"/>
  <c r="AD7" i="52"/>
  <c r="R5"/>
  <c r="AD6"/>
  <c r="U6"/>
  <c r="V6"/>
  <c r="AD6" i="51"/>
  <c r="U6"/>
  <c r="V6"/>
  <c r="AD7"/>
  <c r="W5"/>
  <c r="AA5" s="1"/>
  <c r="AB5" s="1"/>
  <c r="AD5"/>
  <c r="R5" i="49"/>
  <c r="AD6"/>
  <c r="U6"/>
  <c r="AA6" s="1"/>
  <c r="AB6" s="1"/>
  <c r="V6"/>
  <c r="AD7"/>
  <c r="AD7" i="17"/>
  <c r="R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7" i="44"/>
  <c r="BB7" s="1"/>
  <c r="BC7" s="1"/>
  <c r="BD7" s="1"/>
  <c r="BA6"/>
  <c r="BA5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AA6" i="52" l="1"/>
  <c r="AB6" s="1"/>
  <c r="AB7" i="59"/>
  <c r="AB8" i="54"/>
  <c r="AA6" i="58"/>
  <c r="AB6" s="1"/>
  <c r="W5"/>
  <c r="AA5" s="1"/>
  <c r="AB5" s="1"/>
  <c r="AD5"/>
  <c r="AD8" s="1"/>
  <c r="AD8" i="57"/>
  <c r="AA6"/>
  <c r="AB6" s="1"/>
  <c r="AB8" s="1"/>
  <c r="AD8" i="56"/>
  <c r="AA6"/>
  <c r="AB6" s="1"/>
  <c r="AB8" s="1"/>
  <c r="W5" i="55"/>
  <c r="AA5" s="1"/>
  <c r="AB5" s="1"/>
  <c r="AB8" s="1"/>
  <c r="AD5"/>
  <c r="AD8" s="1"/>
  <c r="AD8" i="54"/>
  <c r="AB8" i="53"/>
  <c r="AD8"/>
  <c r="W5" i="52"/>
  <c r="AA5" s="1"/>
  <c r="AB5" s="1"/>
  <c r="AD5"/>
  <c r="AD8" s="1"/>
  <c r="AB8" i="51"/>
  <c r="AD8"/>
  <c r="AA6"/>
  <c r="AB6" s="1"/>
  <c r="W5" i="49"/>
  <c r="AA5" s="1"/>
  <c r="AB5" s="1"/>
  <c r="AB8" s="1"/>
  <c r="AD5"/>
  <c r="AD8" s="1"/>
  <c r="V6" i="17"/>
  <c r="AD6"/>
  <c r="U6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E7" i="44"/>
  <c r="BF7"/>
  <c r="BD5"/>
  <c r="BB5"/>
  <c r="BC5" s="1"/>
  <c r="BB6"/>
  <c r="BC6" s="1"/>
  <c r="BD6" s="1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AB8" i="52" l="1"/>
  <c r="AB8" i="58"/>
  <c r="AA6" i="17"/>
  <c r="AB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I7" i="44"/>
  <c r="BR7"/>
  <c r="BL7"/>
  <c r="BE6"/>
  <c r="BF6"/>
  <c r="BE5"/>
  <c r="BF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I7" i="48" l="1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O7" i="44"/>
  <c r="BP7" s="1"/>
  <c r="BR5"/>
  <c r="BL5"/>
  <c r="BI5"/>
  <c r="BO5" s="1"/>
  <c r="BP5" s="1"/>
  <c r="BR6"/>
  <c r="BL6"/>
  <c r="BI6"/>
  <c r="BO6" s="1"/>
  <c r="BP6" s="1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L7" i="35" l="1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O6" s="1"/>
  <c r="BP6" s="1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P8" i="48" l="1"/>
  <c r="BP7" i="47"/>
  <c r="BP7" i="46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N6"/>
  <c r="BM6" s="1"/>
  <c r="W6"/>
  <c r="V6"/>
  <c r="BD6" s="1"/>
  <c r="L6"/>
  <c r="AT6" s="1"/>
  <c r="K6"/>
  <c r="AS6" s="1"/>
  <c r="J6"/>
  <c r="AR6" s="1"/>
  <c r="H6"/>
  <c r="AP6" s="1"/>
  <c r="G6"/>
  <c r="BG5"/>
  <c r="BF5"/>
  <c r="AN5"/>
  <c r="BM5" s="1"/>
  <c r="Y5"/>
  <c r="W5"/>
  <c r="V5"/>
  <c r="BD5" s="1"/>
  <c r="M5"/>
  <c r="AU5" s="1"/>
  <c r="L5"/>
  <c r="AT5" s="1"/>
  <c r="K5"/>
  <c r="AS5" s="1"/>
  <c r="J5"/>
  <c r="AR5" s="1"/>
  <c r="I5"/>
  <c r="H5"/>
  <c r="AP5" s="1"/>
  <c r="G5"/>
  <c r="D3"/>
  <c r="Y6"/>
  <c r="X6"/>
  <c r="I6" i="29"/>
  <c r="I6" i="30" s="1"/>
  <c r="X5"/>
  <c r="M5" i="29"/>
  <c r="N5" s="1"/>
  <c r="N5" i="30" s="1"/>
  <c r="AV5" s="1"/>
  <c r="I5" i="29"/>
  <c r="I6" i="28"/>
  <c r="I5"/>
  <c r="M5" i="27"/>
  <c r="N5" s="1"/>
  <c r="I5"/>
  <c r="AF6" i="30" l="1"/>
  <c r="AI6" s="1"/>
  <c r="AO6"/>
  <c r="AQ6" s="1"/>
  <c r="AF5"/>
  <c r="AO5"/>
  <c r="AQ5" s="1"/>
  <c r="AU7"/>
  <c r="AV7" s="1"/>
  <c r="AI5"/>
  <c r="M6" i="29"/>
  <c r="M6" i="30" s="1"/>
  <c r="AU6" s="1"/>
  <c r="N6" i="29"/>
  <c r="N6" i="30" s="1"/>
  <c r="AV6" s="1"/>
  <c r="O5" i="29"/>
  <c r="O5" i="30" s="1"/>
  <c r="AW5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M6" i="21"/>
  <c r="N6" s="1"/>
  <c r="I6"/>
  <c r="I5"/>
  <c r="I6" i="20"/>
  <c r="I5"/>
  <c r="M5" s="1"/>
  <c r="N5" s="1"/>
  <c r="S7" i="18"/>
  <c r="I6"/>
  <c r="I5"/>
  <c r="M5" s="1"/>
  <c r="N5" s="1"/>
  <c r="AL6" i="1"/>
  <c r="L5" i="17"/>
  <c r="N5" s="1"/>
  <c r="O5" s="1"/>
  <c r="P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AW6" s="1"/>
  <c r="P6" i="29"/>
  <c r="P6" i="30" s="1"/>
  <c r="AX6" s="1"/>
  <c r="P5" i="29"/>
  <c r="P5" i="30" s="1"/>
  <c r="AX5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AY6" s="1"/>
  <c r="Q5" i="29"/>
  <c r="Q5" i="30" s="1"/>
  <c r="AY5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R6" i="29"/>
  <c r="R6" i="30" s="1"/>
  <c r="AZ6" s="1"/>
  <c r="R5" i="29"/>
  <c r="R5" i="30" s="1"/>
  <c r="AZ5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S6" i="29"/>
  <c r="S6" i="30" s="1"/>
  <c r="BA6" s="1"/>
  <c r="S5" i="29"/>
  <c r="S5" i="30" s="1"/>
  <c r="BA5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Q5" i="17"/>
  <c r="R5"/>
  <c r="W5" s="1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BA8" i="30" l="1"/>
  <c r="AD5" i="17"/>
  <c r="AD8" s="1"/>
  <c r="AP5" i="21"/>
  <c r="AG5"/>
  <c r="AG7" s="1"/>
  <c r="Z5"/>
  <c r="AD5" s="1"/>
  <c r="AE5" s="1"/>
  <c r="AE7" s="1"/>
  <c r="S8" i="30"/>
  <c r="BL7"/>
  <c r="BH7"/>
  <c r="BI7" s="1"/>
  <c r="BJ7" s="1"/>
  <c r="S7" i="29"/>
  <c r="U6"/>
  <c r="U6" i="30" s="1"/>
  <c r="T6" i="29"/>
  <c r="T6" i="30" s="1"/>
  <c r="BB6" s="1"/>
  <c r="U5" i="29"/>
  <c r="U5" i="30" s="1"/>
  <c r="T5" i="29"/>
  <c r="T5" i="30" s="1"/>
  <c r="BB5" s="1"/>
  <c r="T5" i="26"/>
  <c r="U5"/>
  <c r="T5" i="25"/>
  <c r="U5"/>
  <c r="T5" i="24"/>
  <c r="U5"/>
  <c r="T5" i="22"/>
  <c r="U5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A5" i="17" l="1"/>
  <c r="AB5" s="1"/>
  <c r="AB8" s="1"/>
  <c r="AM6" i="30"/>
  <c r="BC6"/>
  <c r="AM5"/>
  <c r="BC5"/>
  <c r="AE6" i="1"/>
  <c r="AE7" s="1"/>
  <c r="AD6"/>
  <c r="Z5" i="30"/>
  <c r="AD5"/>
  <c r="Z6"/>
  <c r="AD6"/>
  <c r="I13" i="15"/>
  <c r="N11"/>
  <c r="AB6" i="10"/>
  <c r="AB7" s="1"/>
  <c r="BH6" i="30" l="1"/>
  <c r="BI6" s="1"/>
  <c r="BJ6" s="1"/>
  <c r="BJ8" s="1"/>
  <c r="BL6"/>
  <c r="BH5"/>
  <c r="BI5" s="1"/>
  <c r="BJ5" s="1"/>
  <c r="BL5"/>
  <c r="AD8"/>
  <c r="AA5"/>
  <c r="AA6"/>
  <c r="N13" i="15"/>
  <c r="O11"/>
  <c r="O13" s="1"/>
  <c r="BL8" i="30" l="1"/>
  <c r="AB6"/>
  <c r="AB5"/>
  <c r="AB8" l="1"/>
</calcChain>
</file>

<file path=xl/sharedStrings.xml><?xml version="1.0" encoding="utf-8"?>
<sst xmlns="http://schemas.openxmlformats.org/spreadsheetml/2006/main" count="4548" uniqueCount="255">
  <si>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</si>
  <si>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</si>
  <si>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</si>
  <si>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</si>
  <si>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</si>
  <si>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</si>
  <si>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</si>
  <si>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</si>
  <si>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</si>
  <si>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</si>
  <si>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</si>
  <si>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</si>
  <si>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</si>
  <si>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</si>
  <si>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</si>
  <si>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</si>
  <si>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</si>
  <si>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</si>
  <si>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</si>
  <si>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</si>
  <si>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</si>
  <si>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</si>
  <si>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</si>
  <si>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</si>
  <si>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</si>
  <si>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</si>
  <si>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</si>
  <si>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</si>
  <si>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</si>
  <si>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</si>
  <si>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</si>
  <si>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</si>
  <si>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</si>
  <si>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</si>
  <si>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</si>
  <si>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</si>
  <si>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</si>
  <si>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</si>
  <si>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</si>
  <si>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</si>
  <si>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</si>
  <si>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</si>
  <si>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</si>
  <si>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</si>
  <si>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</si>
  <si>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</si>
  <si>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</si>
  <si>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</si>
  <si>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</si>
  <si>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</si>
  <si>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</si>
  <si>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</si>
  <si>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</si>
  <si>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</si>
  <si>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</si>
  <si>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</si>
  <si>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</si>
  <si>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</si>
  <si>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</si>
  <si>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</si>
  <si>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</si>
  <si>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</si>
  <si>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</si>
  <si>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</si>
  <si>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</si>
  <si>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</si>
  <si>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</si>
  <si>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</si>
  <si>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</si>
  <si>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</si>
  <si>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</si>
  <si>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</si>
  <si>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</si>
  <si>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</si>
  <si>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</si>
  <si>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</si>
  <si>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</si>
  <si>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</si>
  <si>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</si>
  <si>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</si>
  <si>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</si>
  <si>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</si>
  <si>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</si>
  <si>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</si>
  <si>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</si>
  <si>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</si>
  <si>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</si>
  <si>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</si>
  <si>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3120</t>
  </si>
  <si>
    <t>4</t>
  </si>
  <si>
    <t>2</t>
  </si>
  <si>
    <t>3156</t>
  </si>
  <si>
    <t>36</t>
  </si>
  <si>
    <t>17</t>
  </si>
  <si>
    <t>12</t>
  </si>
  <si>
    <t>HK-SER-MAC-10001(FG)</t>
  </si>
  <si>
    <t>HK-FG-STD-PRICE-DISSIMILAR ITEM-10001</t>
  </si>
  <si>
    <t>25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</si>
  <si>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</si>
  <si>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</si>
  <si>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</si>
  <si>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</si>
  <si>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</si>
  <si>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</si>
  <si>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</si>
  <si>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</si>
  <si>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</si>
  <si>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</si>
  <si>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</si>
  <si>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</si>
  <si>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</si>
  <si>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</si>
  <si>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</si>
  <si>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</si>
  <si>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</si>
  <si>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</si>
  <si>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</si>
  <si>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</si>
  <si>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</si>
  <si>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</si>
  <si>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</si>
  <si>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</si>
  <si>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</si>
  <si>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</si>
  <si>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</si>
  <si>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</si>
  <si>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</si>
  <si>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</si>
  <si>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</si>
  <si>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</si>
  <si>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</si>
  <si>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</si>
  <si>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</si>
  <si>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</si>
  <si>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</si>
  <si>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</si>
  <si>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</si>
  <si>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</si>
  <si>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</si>
  <si>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</si>
  <si>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</si>
  <si>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</si>
  <si>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</si>
  <si>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</si>
  <si>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</si>
  <si>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</si>
  <si>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</si>
  <si>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</si>
  <si>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</si>
  <si>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</si>
  <si>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</si>
  <si>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</si>
  <si>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</si>
  <si>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</si>
  <si>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</si>
  <si>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</si>
  <si>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</si>
  <si>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</si>
  <si>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</si>
  <si>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</si>
  <si>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</si>
  <si>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</si>
  <si>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</si>
  <si>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</si>
  <si>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</si>
  <si>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</si>
  <si>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</si>
  <si>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</si>
  <si>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</si>
  <si>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</si>
  <si>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</si>
  <si>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</si>
  <si>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</si>
  <si>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</si>
  <si>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</si>
  <si>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</si>
  <si>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</si>
  <si>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</si>
  <si>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</si>
  <si>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</si>
  <si>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</si>
  <si>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</si>
  <si>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</si>
  <si>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</si>
  <si>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2135</t>
  </si>
  <si>
    <t>New UTGST</t>
  </si>
  <si>
    <t>New CESS %</t>
  </si>
  <si>
    <t>New CESS AMT</t>
  </si>
  <si>
    <t>3523</t>
  </si>
  <si>
    <t>FIRM Qty (Sale UOM)</t>
  </si>
  <si>
    <t>FIRM Price</t>
  </si>
  <si>
    <t>Firm To Date</t>
  </si>
  <si>
    <t>Firm From Date</t>
  </si>
  <si>
    <t>Bucket Type</t>
  </si>
  <si>
    <t>No Of Buckets</t>
  </si>
  <si>
    <t>16-05-2025</t>
  </si>
  <si>
    <t>CUST DESC</t>
  </si>
  <si>
    <t>CUST ID</t>
  </si>
  <si>
    <t>CUS0015</t>
  </si>
  <si>
    <t>MURUGAN TRADERS</t>
  </si>
  <si>
    <t xml:space="preserve">GST CLASSIFICATION </t>
  </si>
  <si>
    <t>HK-CUS-001</t>
  </si>
  <si>
    <t>HARI TRADERS</t>
  </si>
  <si>
    <t>FRANCE FOREIGN TRADERS</t>
  </si>
  <si>
    <t>CU0060</t>
  </si>
  <si>
    <t>Customer Schedule</t>
  </si>
  <si>
    <t>W</t>
  </si>
  <si>
    <t>M</t>
  </si>
  <si>
    <t>F</t>
  </si>
  <si>
    <t>Sch Type</t>
  </si>
  <si>
    <t>CIType</t>
  </si>
  <si>
    <t>Standard</t>
  </si>
  <si>
    <t>Open SO</t>
  </si>
  <si>
    <t>PriceBasis</t>
  </si>
  <si>
    <t>Price List</t>
  </si>
  <si>
    <t>Currency</t>
  </si>
  <si>
    <t>USD</t>
  </si>
  <si>
    <t>Standard Price</t>
  </si>
  <si>
    <t>HK-FG-CS-409224</t>
  </si>
  <si>
    <t>HK-FG-CS-088472</t>
  </si>
  <si>
    <t>HK-FG-CS-532264</t>
  </si>
  <si>
    <t>Catalog</t>
  </si>
  <si>
    <t>GENERAL</t>
  </si>
  <si>
    <t>Catalog Price</t>
  </si>
  <si>
    <t>HK-FG-CS-275469</t>
  </si>
  <si>
    <t>HK-FG-CS-041168</t>
  </si>
  <si>
    <t>HK-FG-CS-979005</t>
  </si>
  <si>
    <t>HK-FG-CS-463522</t>
  </si>
  <si>
    <t>HK-FG-CS-312941</t>
  </si>
  <si>
    <t>HK-FG-CS-023179</t>
  </si>
  <si>
    <t>HK-FG-CS-888457</t>
  </si>
  <si>
    <t>HK-FG-CS-037903</t>
  </si>
  <si>
    <t>HK-FG-CS-121525</t>
  </si>
  <si>
    <t>HK-FG-CS-489863</t>
  </si>
  <si>
    <t>HK-FG-CS-799277</t>
  </si>
  <si>
    <t>HK-FG-CS-038392</t>
  </si>
  <si>
    <t>HK-FG-CS-221473</t>
  </si>
  <si>
    <t>HK-FG-CS-721997</t>
  </si>
  <si>
    <t>HK-FG-CS-071353</t>
  </si>
  <si>
    <t>HK-FG-CS-521662</t>
  </si>
  <si>
    <t>HK-FG-CS-836044</t>
  </si>
  <si>
    <t>HK-FG-CS-588123</t>
  </si>
  <si>
    <t>HK-FG-CS-663353</t>
  </si>
  <si>
    <t>HK-FG-CS-766248</t>
  </si>
  <si>
    <t>HK-FG-CS-205539</t>
  </si>
  <si>
    <t>HK-FG-CS-810701</t>
  </si>
  <si>
    <t>HK-FG-CS-077378</t>
  </si>
  <si>
    <t>HK-FG-CS-980023</t>
  </si>
  <si>
    <t>HK-FG-CS-708843</t>
  </si>
  <si>
    <t>HK-FG-CS-858096</t>
  </si>
  <si>
    <t>HK-FG-CS-735532</t>
  </si>
  <si>
    <t>HK-FG-CS-188626</t>
  </si>
  <si>
    <t>HK-FG-CS-583158</t>
  </si>
  <si>
    <t>31-15-2026</t>
  </si>
  <si>
    <t>31-12-2026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</si>
</sst>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5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2" fillId="6" borderId="1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15" fontId="1" fillId="0" borderId="1" xfId="0" applyNumberFormat="1" applyFont="1" applyBorder="1"/>
    <xf numFmtId="0" fontId="2" fillId="2" borderId="16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3" fillId="6" borderId="13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U16" sqref="U1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44</v>
      </c>
      <c r="H5" s="1" t="s">
        <v>106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53</v>
      </c>
      <c r="H6" s="1" t="s">
        <v>107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S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56" t="s">
        <v>35</v>
      </c>
      <c r="B3" s="156"/>
      <c r="C3" s="89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104</v>
      </c>
      <c r="C5" s="85">
        <v>0</v>
      </c>
      <c r="D5" s="85" t="s">
        <v>104</v>
      </c>
      <c r="E5" s="27" t="s">
        <v>10</v>
      </c>
      <c r="F5" s="27" t="s">
        <v>10</v>
      </c>
      <c r="G5" s="27">
        <v>5</v>
      </c>
      <c r="H5" s="1" t="s">
        <v>108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147.5</v>
      </c>
      <c r="AF5" s="27">
        <v>120</v>
      </c>
      <c r="AG5" s="27">
        <f t="shared" ref="AG5:AG6" si="1">U5*$N$3</f>
        <v>147.5</v>
      </c>
      <c r="AH5" s="27">
        <v>1</v>
      </c>
      <c r="AI5" s="27">
        <f t="shared" ref="AI5" si="2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105</v>
      </c>
      <c r="C6" s="85">
        <v>0</v>
      </c>
      <c r="D6" s="85" t="s">
        <v>105</v>
      </c>
      <c r="E6" s="27" t="s">
        <v>45</v>
      </c>
      <c r="F6" s="27" t="s">
        <v>10</v>
      </c>
      <c r="G6" s="27">
        <v>89</v>
      </c>
      <c r="H6" s="1" t="s">
        <v>109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3131.84</v>
      </c>
      <c r="AF6" s="27">
        <v>120</v>
      </c>
      <c r="AG6" s="27">
        <f t="shared" si="1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width="5.7109375" style="1" bestFit="1" customWidth="1"/>
    <col min="2" max="2" width="32.5703125" style="1" bestFit="1" customWidth="1"/>
    <col min="3" max="3" width="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21</v>
      </c>
      <c r="H5" s="1" t="s">
        <v>101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35</v>
      </c>
      <c r="H6" s="1" t="s">
        <v>102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56" t="s">
        <v>35</v>
      </c>
      <c r="B3" s="156"/>
      <c r="C3" s="87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99</v>
      </c>
      <c r="C5" s="80">
        <v>0</v>
      </c>
      <c r="D5" s="85" t="s">
        <v>99</v>
      </c>
      <c r="E5" s="27" t="s">
        <v>10</v>
      </c>
      <c r="F5" s="27" t="s">
        <v>10</v>
      </c>
      <c r="G5" s="27">
        <v>11</v>
      </c>
      <c r="H5" s="1" t="s">
        <v>98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253.52</v>
      </c>
      <c r="AF5" s="27">
        <v>120</v>
      </c>
      <c r="AG5" s="27">
        <f t="shared" ref="AG5:AG6" si="1">U5*$N$3</f>
        <v>253.52</v>
      </c>
      <c r="AH5" s="27">
        <v>1</v>
      </c>
      <c r="AI5" s="27">
        <f t="shared" ref="AI5" si="2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100</v>
      </c>
      <c r="C6" s="80">
        <v>0</v>
      </c>
      <c r="D6" s="85" t="s">
        <v>100</v>
      </c>
      <c r="E6" s="27" t="s">
        <v>45</v>
      </c>
      <c r="F6" s="27" t="s">
        <v>10</v>
      </c>
      <c r="G6" s="27">
        <v>15</v>
      </c>
      <c r="H6" s="1" t="s">
        <v>103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402.17</v>
      </c>
      <c r="AF6" s="27">
        <v>120</v>
      </c>
      <c r="AG6" s="27">
        <f t="shared" si="1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22</v>
      </c>
      <c r="H5" s="1" t="s">
        <v>97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730.14</v>
      </c>
      <c r="AF5" s="27">
        <v>120</v>
      </c>
      <c r="AG5" s="27">
        <f t="shared" ref="AG5:AG6" si="1">U5*$N$3</f>
        <v>730.14</v>
      </c>
      <c r="AH5" s="27">
        <v>1</v>
      </c>
      <c r="AI5" s="27">
        <f t="shared" ref="AI5" si="2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12</v>
      </c>
      <c r="H6" s="1" t="s">
        <v>98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170.92000000000002</v>
      </c>
      <c r="AF6" s="27">
        <v>120</v>
      </c>
      <c r="AG6" s="27">
        <f t="shared" si="1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L5" sqref="L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3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56" t="s">
        <v>35</v>
      </c>
      <c r="B3" s="156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5" t="s">
        <v>95</v>
      </c>
      <c r="C5" s="85">
        <v>0</v>
      </c>
      <c r="D5" s="85" t="s">
        <v>95</v>
      </c>
      <c r="E5" s="27" t="s">
        <v>10</v>
      </c>
      <c r="F5" s="27" t="s">
        <v>10</v>
      </c>
      <c r="G5" s="27">
        <v>12</v>
      </c>
      <c r="H5" s="1" t="s">
        <v>184</v>
      </c>
      <c r="I5" s="27">
        <f>G5*H5</f>
        <v>37440</v>
      </c>
      <c r="J5" s="27">
        <v>1</v>
      </c>
      <c r="K5" s="27">
        <v>2</v>
      </c>
      <c r="L5" s="27">
        <v>4</v>
      </c>
      <c r="M5" s="27">
        <f>I5</f>
        <v>37440</v>
      </c>
      <c r="N5" s="27">
        <f>ROUND((M5*J5)/100,2)</f>
        <v>374.4</v>
      </c>
      <c r="O5" s="27">
        <f>I5-N5</f>
        <v>37065.599999999999</v>
      </c>
      <c r="P5" s="27">
        <f>ROUND((O5*K5)/100,2)</f>
        <v>741.31</v>
      </c>
      <c r="Q5" s="27">
        <f>ROUND(O5-P5,2)</f>
        <v>36324.29</v>
      </c>
      <c r="R5" s="27">
        <f>ROUND((Q5*L5)/100,2)</f>
        <v>1452.97</v>
      </c>
      <c r="S5" s="27">
        <f>N5+P5+R5</f>
        <v>2568.6800000000003</v>
      </c>
      <c r="T5" s="27">
        <f>ROUND(S5/G5,2)</f>
        <v>214.06</v>
      </c>
      <c r="U5" s="27">
        <f>(I5-S5)</f>
        <v>34871.32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4184.5600000000004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4184.5600000000004</v>
      </c>
      <c r="AE5" s="27">
        <f t="shared" ref="AE5:AE6" si="0">U5+AD5</f>
        <v>39055.879999999997</v>
      </c>
      <c r="AF5" s="27">
        <v>120</v>
      </c>
      <c r="AG5" s="27">
        <f t="shared" ref="AG5:AG6" si="1">U5*$N$3</f>
        <v>34871.32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5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14</v>
      </c>
      <c r="H6" s="1" t="s">
        <v>188</v>
      </c>
      <c r="I6" s="27">
        <f>G6*H6</f>
        <v>44184</v>
      </c>
      <c r="J6" s="27">
        <v>1</v>
      </c>
      <c r="K6" s="27">
        <v>7</v>
      </c>
      <c r="L6" s="27">
        <v>9</v>
      </c>
      <c r="M6" s="27">
        <f>I6</f>
        <v>44184</v>
      </c>
      <c r="N6" s="27">
        <f>ROUND((M6*J6)/100,2)</f>
        <v>441.84</v>
      </c>
      <c r="O6" s="27">
        <f>I6-N6</f>
        <v>43742.16</v>
      </c>
      <c r="P6" s="27">
        <f>ROUND((O6*K6)/100,2)</f>
        <v>3061.95</v>
      </c>
      <c r="Q6" s="27">
        <f>ROUND(O6-P6,2)</f>
        <v>40680.21</v>
      </c>
      <c r="R6" s="27">
        <f>ROUND((Q6*L6)/100,2)</f>
        <v>3661.22</v>
      </c>
      <c r="S6" s="27">
        <f>N6+P6+R6</f>
        <v>7165.01</v>
      </c>
      <c r="T6" s="27">
        <f>ROUND(S6/G6,2)</f>
        <v>511.79</v>
      </c>
      <c r="U6" s="27">
        <f>(I6-S6)</f>
        <v>37018.99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1850.95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1850.95</v>
      </c>
      <c r="AE6" s="27">
        <f t="shared" si="0"/>
        <v>38869.939999999995</v>
      </c>
      <c r="AF6" s="27">
        <v>120</v>
      </c>
      <c r="AG6" s="27">
        <f t="shared" si="1"/>
        <v>37018.99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77925.819999999992</v>
      </c>
      <c r="AF7" s="15" t="s">
        <v>40</v>
      </c>
      <c r="AG7" s="79">
        <f>AG5</f>
        <v>34871.32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56" t="s">
        <v>35</v>
      </c>
      <c r="B3" s="156"/>
      <c r="C3" s="82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92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135.47999999999999</v>
      </c>
      <c r="AF5" s="27">
        <v>120</v>
      </c>
      <c r="AG5" s="27">
        <f t="shared" ref="AG5:AG6" si="1">U5*$N$3</f>
        <v>135.47999999999999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93</v>
      </c>
      <c r="I6" s="27">
        <f>G6*H6</f>
        <v>330</v>
      </c>
      <c r="J6" s="1" t="s">
        <v>94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273.69</v>
      </c>
      <c r="AF6" s="27">
        <v>120</v>
      </c>
      <c r="AG6" s="27">
        <f t="shared" si="1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2"/>
      <c r="AD1" s="92"/>
      <c r="AE1" s="92"/>
      <c r="AF1" s="92"/>
      <c r="AG1" s="32"/>
      <c r="AH1" s="32"/>
    </row>
    <row r="2" spans="1:43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3" ht="19.899999999999999" customHeight="1" thickBot="1">
      <c r="A3" s="156" t="s">
        <v>35</v>
      </c>
      <c r="B3" s="156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116</v>
      </c>
      <c r="C5" s="27">
        <v>0</v>
      </c>
      <c r="D5" s="80" t="s">
        <v>116</v>
      </c>
      <c r="E5" s="27" t="s">
        <v>10</v>
      </c>
      <c r="F5" s="27" t="s">
        <v>10</v>
      </c>
      <c r="G5" s="27">
        <v>10</v>
      </c>
      <c r="H5" s="1" t="s">
        <v>115</v>
      </c>
      <c r="I5" s="27">
        <f>G5*H5</f>
        <v>63000</v>
      </c>
      <c r="J5" s="1" t="s">
        <v>114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6756.83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6756.83</v>
      </c>
      <c r="AE5" s="27">
        <f t="shared" ref="AE5:AE6" si="0">U5+AD5</f>
        <v>63063.71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117</v>
      </c>
      <c r="C6" s="27">
        <v>0</v>
      </c>
      <c r="D6" s="80" t="s">
        <v>117</v>
      </c>
      <c r="E6" s="27" t="s">
        <v>45</v>
      </c>
      <c r="F6" s="27" t="s">
        <v>10</v>
      </c>
      <c r="G6" s="27">
        <v>10</v>
      </c>
      <c r="H6" s="1" t="s">
        <v>113</v>
      </c>
      <c r="I6" s="27">
        <f>G6*H6</f>
        <v>90000</v>
      </c>
      <c r="J6" s="1" t="s">
        <v>90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3732.18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3732.18</v>
      </c>
      <c r="AE6" s="27">
        <f t="shared" si="0"/>
        <v>78375.839999999997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141439.54999999999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Z13" sqref="Z13"/>
    </sheetView>
  </sheetViews>
  <sheetFormatPr defaultColWidth="9.140625" defaultRowHeight="14.25"/>
  <cols>
    <col min="1" max="1" width="5.7109375" style="1" bestFit="1" customWidth="1"/>
    <col min="2" max="2" width="31.7109375" style="1" bestFit="1" customWidth="1"/>
    <col min="3" max="3" width="4.5703125" style="1" bestFit="1" customWidth="1"/>
    <col min="4" max="4" width="31.71093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customWidth="1"/>
    <col min="41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56" t="s">
        <v>35</v>
      </c>
      <c r="B3" s="156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113</v>
      </c>
      <c r="I5" s="27">
        <f>G5*H5</f>
        <v>31200</v>
      </c>
      <c r="J5" s="1" t="s">
        <v>90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112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115</v>
      </c>
      <c r="I6" s="27">
        <f>G6*H6</f>
        <v>63000</v>
      </c>
      <c r="J6" s="1" t="s">
        <v>114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112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Z1" zoomScale="85" zoomScaleNormal="85" workbookViewId="0">
      <selection activeCell="AR6" sqref="AR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56" t="s">
        <v>35</v>
      </c>
      <c r="B3" s="156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88</v>
      </c>
      <c r="I5" s="27">
        <f>G5*H5</f>
        <v>31200</v>
      </c>
      <c r="J5" s="1" t="s">
        <v>89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91</v>
      </c>
      <c r="I6" s="27">
        <f>G6*H6</f>
        <v>31560</v>
      </c>
      <c r="J6" s="1" t="s">
        <v>90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K1" zoomScale="85" zoomScaleNormal="85" workbookViewId="0">
      <selection activeCell="AJ10" sqref="AJ10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56" t="s">
        <v>35</v>
      </c>
      <c r="B3" s="156"/>
      <c r="C3" s="76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257.07</v>
      </c>
      <c r="AF5" s="27">
        <v>120</v>
      </c>
      <c r="AG5" s="27">
        <f t="shared" ref="AG5:AG6" si="1">U5*$N$3</f>
        <v>257.07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366.58000000000004</v>
      </c>
      <c r="AF6" s="27">
        <v>120</v>
      </c>
      <c r="AG6" s="27">
        <f t="shared" si="1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S1" zoomScale="85" zoomScaleNormal="85" workbookViewId="0">
      <selection activeCell="AG6" sqref="AG6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39"/>
      <c r="AA1" s="139"/>
      <c r="AB1" s="139"/>
      <c r="AC1" s="139"/>
      <c r="AD1" s="32"/>
    </row>
    <row r="2" spans="1:39" ht="18">
      <c r="A2" s="139" t="s">
        <v>205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  <c r="AA2" s="139"/>
      <c r="AB2" s="139"/>
      <c r="AC2" s="13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250</v>
      </c>
      <c r="F5" s="27">
        <v>0</v>
      </c>
      <c r="G5" s="1" t="s">
        <v>250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253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251</v>
      </c>
      <c r="F6" s="27">
        <v>0</v>
      </c>
      <c r="G6" s="1" t="s">
        <v>251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253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252</v>
      </c>
      <c r="F7" s="80">
        <v>0</v>
      </c>
      <c r="G7" s="1" t="s">
        <v>252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253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V1" zoomScale="85" zoomScaleNormal="85" workbookViewId="0">
      <selection activeCell="AG6" sqref="AG6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0.85546875" style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73"/>
      <c r="AA1" s="73"/>
      <c r="AB1" s="73"/>
      <c r="AC1" s="73"/>
      <c r="AD1" s="32"/>
    </row>
    <row r="2" spans="1:39" ht="18">
      <c r="A2" s="133" t="s">
        <v>205</v>
      </c>
      <c r="B2" s="133"/>
      <c r="C2" s="133"/>
      <c r="D2" s="13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7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244</v>
      </c>
      <c r="F5" s="27">
        <v>0</v>
      </c>
      <c r="G5" s="1" t="s">
        <v>244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" si="1">IF($G$3=5,ROUND(((R5*Y5)/2),2),0)</f>
        <v>0</v>
      </c>
      <c r="AA5" s="27">
        <f t="shared" ref="AA5" si="2">U5+V5+W5+X5+Z5</f>
        <v>2138.4</v>
      </c>
      <c r="AB5" s="27">
        <f t="shared" ref="AB5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245</v>
      </c>
      <c r="F6" s="27">
        <v>0</v>
      </c>
      <c r="G6" s="1" t="s">
        <v>245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ref="L6" si="4">J6*K6</f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ref="Z6" si="5">IF($G$3=5,ROUND(((R6*Y6)/2),2),0)</f>
        <v>0</v>
      </c>
      <c r="AA6" s="27">
        <f t="shared" ref="AA6" si="6">U6+V6+W6+X6+Z6</f>
        <v>5292</v>
      </c>
      <c r="AB6" s="27">
        <f t="shared" ref="AB6" si="7">R6+AA6</f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246</v>
      </c>
      <c r="F7" s="80">
        <v>0</v>
      </c>
      <c r="G7" s="1" t="s">
        <v>246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ref="L7" si="8">J7*K7</f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ref="Z7" si="9">IF($G$3=5,ROUND(((R7*Y7)/2),2),0)</f>
        <v>0</v>
      </c>
      <c r="AA7" s="27">
        <f t="shared" ref="AA7" si="10">U7+V7+W7+X7+Z7</f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R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4.28515625" style="1" bestFit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224</v>
      </c>
      <c r="F5" s="27">
        <v>0</v>
      </c>
      <c r="G5" s="1" t="s">
        <v>224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217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225</v>
      </c>
      <c r="F6" s="27">
        <v>0</v>
      </c>
      <c r="G6" s="1" t="s">
        <v>225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217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226</v>
      </c>
      <c r="F7" s="80">
        <v>0</v>
      </c>
      <c r="G7" s="1" t="s">
        <v>226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217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S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4.28515625" style="1" bestFit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218</v>
      </c>
      <c r="F5" s="27">
        <v>0</v>
      </c>
      <c r="G5" s="1" t="s">
        <v>218</v>
      </c>
      <c r="H5" s="27" t="s">
        <v>208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223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219</v>
      </c>
      <c r="F6" s="27">
        <v>0</v>
      </c>
      <c r="G6" s="1" t="s">
        <v>219</v>
      </c>
      <c r="H6" s="27" t="s">
        <v>208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>
        <v>88363222</v>
      </c>
      <c r="T6" s="30">
        <v>0.18</v>
      </c>
      <c r="U6" s="27">
        <f>IF(OR(D6:D7=1,D6:D7=4),ROUND((R6*T6)/2,2),0)</f>
        <v>4860</v>
      </c>
      <c r="V6" s="27">
        <f>IF(D6:D7=1,ROUND(((R6*T6)/2),2),0)</f>
        <v>4860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9720</v>
      </c>
      <c r="AB6" s="27">
        <f t="shared" si="3"/>
        <v>63720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223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220</v>
      </c>
      <c r="F7" s="80">
        <v>0</v>
      </c>
      <c r="G7" s="1" t="s">
        <v>220</v>
      </c>
      <c r="H7" s="27" t="s">
        <v>208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223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186408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8"/>
  <sheetViews>
    <sheetView showGridLines="0" topLeftCell="R1" zoomScale="85" zoomScaleNormal="85" workbookViewId="0">
      <selection activeCell="AG5" sqref="AG5:AG6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4.28515625" style="1" bestFit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3"/>
      <c r="AA1" s="153"/>
      <c r="AB1" s="153"/>
      <c r="AC1" s="153"/>
      <c r="AD1" s="32"/>
    </row>
    <row r="2" spans="1:39" ht="18">
      <c r="A2" s="153" t="s">
        <v>205</v>
      </c>
      <c r="B2" s="153"/>
      <c r="C2" s="153"/>
      <c r="D2" s="153"/>
      <c r="E2" s="153"/>
      <c r="F2" s="153"/>
      <c r="G2" s="153"/>
      <c r="H2" s="153"/>
      <c r="I2" s="153"/>
      <c r="J2" s="153"/>
      <c r="K2" s="153"/>
      <c r="L2" s="153"/>
      <c r="M2" s="153"/>
      <c r="N2" s="153"/>
      <c r="O2" s="153"/>
      <c r="P2" s="153"/>
      <c r="Q2" s="153"/>
      <c r="R2" s="153"/>
      <c r="S2" s="153"/>
      <c r="T2" s="153"/>
      <c r="U2" s="153"/>
      <c r="V2" s="153"/>
      <c r="W2" s="153"/>
      <c r="X2" s="153"/>
      <c r="Y2" s="153"/>
      <c r="Z2" s="153"/>
      <c r="AA2" s="153"/>
      <c r="AB2" s="153"/>
      <c r="AC2" s="15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2</v>
      </c>
      <c r="B5" s="27" t="s">
        <v>201</v>
      </c>
      <c r="C5" s="27" t="s">
        <v>202</v>
      </c>
      <c r="D5" s="27">
        <v>1</v>
      </c>
      <c r="E5" s="1" t="s">
        <v>233</v>
      </c>
      <c r="F5" s="27">
        <v>0</v>
      </c>
      <c r="G5" s="1" t="s">
        <v>233</v>
      </c>
      <c r="H5" s="27" t="s">
        <v>208</v>
      </c>
      <c r="I5" s="27" t="s">
        <v>10</v>
      </c>
      <c r="J5" s="27">
        <v>20</v>
      </c>
      <c r="K5" s="27">
        <v>3000</v>
      </c>
      <c r="L5" s="27">
        <f t="shared" ref="L5:L6" si="0">J5*K5</f>
        <v>60000</v>
      </c>
      <c r="M5" s="27">
        <v>10</v>
      </c>
      <c r="N5" s="27">
        <f>L5</f>
        <v>60000</v>
      </c>
      <c r="O5" s="27">
        <f>ROUND((N5*M5)/100,2)</f>
        <v>6000</v>
      </c>
      <c r="P5" s="27">
        <f>O5</f>
        <v>6000</v>
      </c>
      <c r="Q5" s="27">
        <f>ROUND(P5/J5,2)</f>
        <v>300</v>
      </c>
      <c r="R5" s="27">
        <f>(L5-P5)</f>
        <v>54000</v>
      </c>
      <c r="S5" s="27">
        <v>88363222</v>
      </c>
      <c r="T5" s="30">
        <v>0.18</v>
      </c>
      <c r="U5" s="27">
        <f>IF(OR(D5:D6=1,D5:D6=4),ROUND((R5*T5)/2,2),0)</f>
        <v>4860</v>
      </c>
      <c r="V5" s="27">
        <f>IF(D5:D6=1,ROUND(((R5*T5)/2),2),0)</f>
        <v>4860</v>
      </c>
      <c r="W5" s="27">
        <f>IF(D5:D6=2,ROUND(((R5*T5)),2),0)</f>
        <v>0</v>
      </c>
      <c r="X5" s="27">
        <f>IF(D5:D6=4,ROUND(((R5*T5)/2),2),0)</f>
        <v>0</v>
      </c>
      <c r="Y5" s="30">
        <v>0.06</v>
      </c>
      <c r="Z5" s="27">
        <f t="shared" ref="Z5:Z6" si="1">IF($G$3=5,ROUND(((R5*Y5)/2),2),0)</f>
        <v>0</v>
      </c>
      <c r="AA5" s="27">
        <f t="shared" ref="AA5:AA6" si="2">U5+V5+W5+X5+Z5</f>
        <v>9720</v>
      </c>
      <c r="AB5" s="27">
        <f t="shared" ref="AB5" si="3">R5+AA5</f>
        <v>63720</v>
      </c>
      <c r="AC5" s="27">
        <v>120</v>
      </c>
      <c r="AD5" s="27">
        <f>R5*$O$3</f>
        <v>54000</v>
      </c>
      <c r="AE5" s="113" t="s">
        <v>111</v>
      </c>
      <c r="AF5" s="136" t="s">
        <v>195</v>
      </c>
      <c r="AG5" s="136" t="s">
        <v>254</v>
      </c>
      <c r="AH5" s="27" t="s">
        <v>206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223</v>
      </c>
      <c r="AL5" s="27" t="s">
        <v>28</v>
      </c>
      <c r="AM5" s="27" t="s">
        <v>222</v>
      </c>
    </row>
    <row r="6" spans="1:39" ht="15">
      <c r="A6" s="27">
        <v>3</v>
      </c>
      <c r="B6" s="27" t="s">
        <v>204</v>
      </c>
      <c r="C6" s="27" t="s">
        <v>203</v>
      </c>
      <c r="D6" s="27">
        <v>2</v>
      </c>
      <c r="E6" s="1" t="s">
        <v>234</v>
      </c>
      <c r="F6" s="80">
        <v>0</v>
      </c>
      <c r="G6" s="1" t="s">
        <v>234</v>
      </c>
      <c r="H6" s="27" t="s">
        <v>208</v>
      </c>
      <c r="I6" s="27" t="s">
        <v>10</v>
      </c>
      <c r="J6" s="27">
        <v>30</v>
      </c>
      <c r="K6" s="27">
        <v>3600</v>
      </c>
      <c r="L6" s="27">
        <f t="shared" si="0"/>
        <v>108000</v>
      </c>
      <c r="M6" s="27">
        <v>10</v>
      </c>
      <c r="N6" s="27">
        <f>L6</f>
        <v>108000</v>
      </c>
      <c r="O6" s="27">
        <f>ROUND((N6*M6)/100,2)</f>
        <v>10800</v>
      </c>
      <c r="P6" s="27">
        <f>O6</f>
        <v>10800</v>
      </c>
      <c r="Q6" s="27">
        <f>ROUND(P6/J6,2)</f>
        <v>360</v>
      </c>
      <c r="R6" s="27">
        <f>(L6-P6)</f>
        <v>97200</v>
      </c>
      <c r="S6" s="27">
        <v>88363222</v>
      </c>
      <c r="T6" s="30">
        <v>0.18</v>
      </c>
      <c r="U6" s="27">
        <f>IF(OR(D6:D7=1,D6:D7=4),ROUND((R6*T6)/2,2),0)</f>
        <v>0</v>
      </c>
      <c r="V6" s="27">
        <f>IF(D6:D7=1,ROUND(((R6*T6)/2),2),0)</f>
        <v>0</v>
      </c>
      <c r="W6" s="27">
        <f>IF(D6:D7=2,ROUND(((R6*T6)),2),0)</f>
        <v>17496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17496</v>
      </c>
      <c r="AB6" s="27">
        <f>R6</f>
        <v>97200</v>
      </c>
      <c r="AC6" s="27">
        <v>120</v>
      </c>
      <c r="AD6" s="27">
        <f>R6*$O$3</f>
        <v>97200</v>
      </c>
      <c r="AE6" s="113" t="s">
        <v>111</v>
      </c>
      <c r="AF6" s="136" t="s">
        <v>195</v>
      </c>
      <c r="AG6" s="136" t="s">
        <v>254</v>
      </c>
      <c r="AH6" s="27" t="s">
        <v>207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223</v>
      </c>
      <c r="AL6" s="27" t="s">
        <v>216</v>
      </c>
      <c r="AM6" s="27" t="s">
        <v>222</v>
      </c>
    </row>
    <row r="7" spans="1:39" ht="14.25" customHeight="1">
      <c r="A7" s="11"/>
      <c r="B7" s="11"/>
      <c r="C7" s="11"/>
      <c r="D7" s="11"/>
      <c r="E7" s="11"/>
      <c r="F7" s="11"/>
      <c r="G7" s="11"/>
      <c r="H7" s="11"/>
      <c r="I7" s="11"/>
      <c r="J7" s="12"/>
      <c r="K7" s="13"/>
      <c r="L7" s="13"/>
      <c r="M7" s="14"/>
      <c r="N7" s="13"/>
      <c r="O7" s="13"/>
      <c r="P7" s="15"/>
      <c r="Q7" s="15"/>
      <c r="R7" s="13"/>
      <c r="S7" s="13"/>
      <c r="T7" s="14"/>
      <c r="U7" s="13"/>
      <c r="V7" s="13"/>
      <c r="W7" s="15" t="s">
        <v>39</v>
      </c>
      <c r="X7" s="15"/>
      <c r="Y7" s="15"/>
      <c r="Z7" s="15"/>
      <c r="AA7" s="15"/>
      <c r="AB7" s="79">
        <f>SUM(AB5:AB6)</f>
        <v>160920</v>
      </c>
      <c r="AC7" s="15" t="s">
        <v>40</v>
      </c>
      <c r="AD7" s="79">
        <f>SUM(AD5:AD6)</f>
        <v>151200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3"/>
      <c r="Q8" s="13"/>
      <c r="R8" s="13"/>
      <c r="S8" s="13"/>
      <c r="T8" s="14"/>
      <c r="U8" s="13"/>
      <c r="V8" s="13"/>
      <c r="W8" s="13"/>
      <c r="X8" s="13"/>
      <c r="Y8" s="13"/>
      <c r="Z8" s="13"/>
      <c r="AA8" s="13"/>
      <c r="AB8" s="12"/>
      <c r="AC8" s="13"/>
      <c r="AD8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W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4.28515625" style="1" bestFit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1"/>
      <c r="AA1" s="151"/>
      <c r="AB1" s="151"/>
      <c r="AC1" s="151"/>
      <c r="AD1" s="32"/>
    </row>
    <row r="2" spans="1:39" ht="18">
      <c r="A2" s="151" t="s">
        <v>205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2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247</v>
      </c>
      <c r="F5" s="27">
        <v>0</v>
      </c>
      <c r="G5" s="1" t="s">
        <v>247</v>
      </c>
      <c r="H5" s="27" t="s">
        <v>208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10</v>
      </c>
      <c r="N5" s="27">
        <f>L5</f>
        <v>24000</v>
      </c>
      <c r="O5" s="27">
        <f>ROUND((N5*M5)/100,2)</f>
        <v>2400</v>
      </c>
      <c r="P5" s="27">
        <f>O5</f>
        <v>2400</v>
      </c>
      <c r="Q5" s="27">
        <f>ROUND(P5/J5,2)</f>
        <v>240</v>
      </c>
      <c r="R5" s="27">
        <f>(L5-P5)</f>
        <v>21600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3888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3888</v>
      </c>
      <c r="AB5" s="27">
        <f t="shared" ref="AB5:AB6" si="3">R5+AA5</f>
        <v>25488</v>
      </c>
      <c r="AC5" s="27">
        <v>120</v>
      </c>
      <c r="AD5" s="27">
        <f>R5*$O$3</f>
        <v>21600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223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248</v>
      </c>
      <c r="F6" s="27">
        <v>0</v>
      </c>
      <c r="G6" s="1" t="s">
        <v>248</v>
      </c>
      <c r="H6" s="27" t="s">
        <v>208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10</v>
      </c>
      <c r="N6" s="27">
        <f>L6</f>
        <v>60000</v>
      </c>
      <c r="O6" s="27">
        <f>ROUND((N6*M6)/100,2)</f>
        <v>6000</v>
      </c>
      <c r="P6" s="27">
        <f>O6</f>
        <v>6000</v>
      </c>
      <c r="Q6" s="27">
        <f>ROUND(P6/J6,2)</f>
        <v>300</v>
      </c>
      <c r="R6" s="27">
        <f>(L6-P6)</f>
        <v>54000</v>
      </c>
      <c r="S6" s="27">
        <v>88363222</v>
      </c>
      <c r="T6" s="30">
        <v>0.18</v>
      </c>
      <c r="U6" s="27">
        <f>IF(OR(D6:D7=1,D6:D7=4),ROUND((R6*T6)/2,2),0)</f>
        <v>4860</v>
      </c>
      <c r="V6" s="27">
        <f>IF(D6:D7=1,ROUND(((R6*T6)/2),2),0)</f>
        <v>4860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9720</v>
      </c>
      <c r="AB6" s="27">
        <f t="shared" si="3"/>
        <v>63720</v>
      </c>
      <c r="AC6" s="27">
        <v>120</v>
      </c>
      <c r="AD6" s="27">
        <f>R6*$O$3</f>
        <v>54000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223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249</v>
      </c>
      <c r="F7" s="80">
        <v>0</v>
      </c>
      <c r="G7" s="1" t="s">
        <v>249</v>
      </c>
      <c r="H7" s="27" t="s">
        <v>208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10</v>
      </c>
      <c r="N7" s="27">
        <f>L7</f>
        <v>108000</v>
      </c>
      <c r="O7" s="27">
        <f>ROUND((N7*M7)/100,2)</f>
        <v>10800</v>
      </c>
      <c r="P7" s="27">
        <f>O7</f>
        <v>10800</v>
      </c>
      <c r="Q7" s="27">
        <f>ROUND(P7/J7,2)</f>
        <v>360</v>
      </c>
      <c r="R7" s="27">
        <f>(L7-P7)</f>
        <v>97200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17496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17496</v>
      </c>
      <c r="AB7" s="27">
        <f>R7</f>
        <v>97200</v>
      </c>
      <c r="AC7" s="27">
        <v>120</v>
      </c>
      <c r="AD7" s="27">
        <f>R7*$O$3</f>
        <v>97200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223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186408</v>
      </c>
      <c r="AC8" s="15" t="s">
        <v>40</v>
      </c>
      <c r="AD8" s="79">
        <f>SUM(AD5:AD7)</f>
        <v>172800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S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4.28515625" style="1" bestFit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9"/>
      <c r="AA1" s="149"/>
      <c r="AB1" s="149"/>
      <c r="AC1" s="149"/>
      <c r="AD1" s="32"/>
    </row>
    <row r="2" spans="1:39" ht="18">
      <c r="A2" s="149" t="s">
        <v>205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50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241</v>
      </c>
      <c r="F5" s="27">
        <v>0</v>
      </c>
      <c r="G5" s="1" t="s">
        <v>241</v>
      </c>
      <c r="H5" s="27" t="s">
        <v>208</v>
      </c>
      <c r="I5" s="27" t="s">
        <v>10</v>
      </c>
      <c r="J5" s="27">
        <v>10</v>
      </c>
      <c r="K5" s="27">
        <v>2400</v>
      </c>
      <c r="L5" s="27">
        <f t="shared" ref="L5:L7" si="0">J5*K5</f>
        <v>24000</v>
      </c>
      <c r="M5" s="27">
        <v>1</v>
      </c>
      <c r="N5" s="27">
        <f>L5</f>
        <v>24000</v>
      </c>
      <c r="O5" s="27">
        <f>ROUND((N5*M5)/100,2)</f>
        <v>240</v>
      </c>
      <c r="P5" s="27">
        <f>O5</f>
        <v>240</v>
      </c>
      <c r="Q5" s="27">
        <f>ROUND(P5/J5,2)</f>
        <v>24</v>
      </c>
      <c r="R5" s="27">
        <f>(L5-P5)</f>
        <v>23760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4276.8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4276.8</v>
      </c>
      <c r="AB5" s="27">
        <f t="shared" ref="AB5:AB6" si="3">R5+AA5</f>
        <v>28036.799999999999</v>
      </c>
      <c r="AC5" s="27">
        <v>120</v>
      </c>
      <c r="AD5" s="27">
        <f>R5*$O$3</f>
        <v>23760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217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242</v>
      </c>
      <c r="F6" s="27">
        <v>0</v>
      </c>
      <c r="G6" s="1" t="s">
        <v>242</v>
      </c>
      <c r="H6" s="27" t="s">
        <v>208</v>
      </c>
      <c r="I6" s="27" t="s">
        <v>10</v>
      </c>
      <c r="J6" s="27">
        <v>20</v>
      </c>
      <c r="K6" s="27">
        <v>3000</v>
      </c>
      <c r="L6" s="27">
        <f t="shared" si="0"/>
        <v>60000</v>
      </c>
      <c r="M6" s="27">
        <v>2</v>
      </c>
      <c r="N6" s="27">
        <f>L6</f>
        <v>60000</v>
      </c>
      <c r="O6" s="27">
        <f>ROUND((N6*M6)/100,2)</f>
        <v>1200</v>
      </c>
      <c r="P6" s="27">
        <f>O6</f>
        <v>1200</v>
      </c>
      <c r="Q6" s="27">
        <f>ROUND(P6/J6,2)</f>
        <v>60</v>
      </c>
      <c r="R6" s="27">
        <f>(L6-P6)</f>
        <v>58800</v>
      </c>
      <c r="S6" s="27">
        <v>88363222</v>
      </c>
      <c r="T6" s="30">
        <v>0.18</v>
      </c>
      <c r="U6" s="27">
        <f>IF(OR(D6:D7=1,D6:D7=4),ROUND((R6*T6)/2,2),0)</f>
        <v>5292</v>
      </c>
      <c r="V6" s="27">
        <f>IF(D6:D7=1,ROUND(((R6*T6)/2),2),0)</f>
        <v>5292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10584</v>
      </c>
      <c r="AB6" s="27">
        <f t="shared" si="3"/>
        <v>69384</v>
      </c>
      <c r="AC6" s="27">
        <v>120</v>
      </c>
      <c r="AD6" s="27">
        <f>R6*$O$3</f>
        <v>58800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217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243</v>
      </c>
      <c r="F7" s="80">
        <v>0</v>
      </c>
      <c r="G7" s="1" t="s">
        <v>243</v>
      </c>
      <c r="H7" s="27" t="s">
        <v>208</v>
      </c>
      <c r="I7" s="27" t="s">
        <v>10</v>
      </c>
      <c r="J7" s="27">
        <v>30</v>
      </c>
      <c r="K7" s="27">
        <v>3600</v>
      </c>
      <c r="L7" s="27">
        <f t="shared" si="0"/>
        <v>108000</v>
      </c>
      <c r="M7" s="27">
        <v>3</v>
      </c>
      <c r="N7" s="27">
        <f>L7</f>
        <v>108000</v>
      </c>
      <c r="O7" s="27">
        <f>ROUND((N7*M7)/100,2)</f>
        <v>3240</v>
      </c>
      <c r="P7" s="27">
        <f>O7</f>
        <v>3240</v>
      </c>
      <c r="Q7" s="27">
        <f>ROUND(P7/J7,2)</f>
        <v>108</v>
      </c>
      <c r="R7" s="27">
        <f>(L7-P7)</f>
        <v>104760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18856.8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18856.8</v>
      </c>
      <c r="AB7" s="27">
        <f>R7</f>
        <v>104760</v>
      </c>
      <c r="AC7" s="27">
        <v>120</v>
      </c>
      <c r="AD7" s="27">
        <f>R7*$O$3</f>
        <v>104760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217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202180.8</v>
      </c>
      <c r="AC8" s="15" t="s">
        <v>40</v>
      </c>
      <c r="AD8" s="79">
        <f>SUM(AD5:AD7)</f>
        <v>187320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R1" zoomScale="85" zoomScaleNormal="85" workbookViewId="0">
      <selection activeCell="AG7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0.85546875" style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205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238</v>
      </c>
      <c r="F5" s="27">
        <v>0</v>
      </c>
      <c r="G5" s="1" t="s">
        <v>238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214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239</v>
      </c>
      <c r="F6" s="27">
        <v>0</v>
      </c>
      <c r="G6" s="1" t="s">
        <v>239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214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240</v>
      </c>
      <c r="F7" s="80">
        <v>0</v>
      </c>
      <c r="G7" s="1" t="s">
        <v>240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214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R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0.85546875" style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7"/>
      <c r="AA1" s="147"/>
      <c r="AB1" s="147"/>
      <c r="AC1" s="147"/>
      <c r="AD1" s="32"/>
    </row>
    <row r="2" spans="1:39" ht="18">
      <c r="A2" s="147" t="s">
        <v>205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8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227</v>
      </c>
      <c r="F5" s="27">
        <v>0</v>
      </c>
      <c r="G5" s="1" t="s">
        <v>227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214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228</v>
      </c>
      <c r="F6" s="27">
        <v>0</v>
      </c>
      <c r="G6" s="1" t="s">
        <v>228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214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229</v>
      </c>
      <c r="F7" s="80">
        <v>0</v>
      </c>
      <c r="G7" s="1" t="s">
        <v>229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214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M9"/>
  <sheetViews>
    <sheetView showGridLines="0" topLeftCell="U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0.85546875" style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3"/>
      <c r="AA1" s="143"/>
      <c r="AB1" s="143"/>
      <c r="AC1" s="143"/>
      <c r="AD1" s="32"/>
    </row>
    <row r="2" spans="1:39" ht="18">
      <c r="A2" s="143" t="s">
        <v>205</v>
      </c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4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235</v>
      </c>
      <c r="F5" s="27">
        <v>0</v>
      </c>
      <c r="G5" s="1" t="s">
        <v>235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236</v>
      </c>
      <c r="F6" s="27">
        <v>0</v>
      </c>
      <c r="G6" s="1" t="s">
        <v>236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237</v>
      </c>
      <c r="F7" s="80">
        <v>0</v>
      </c>
      <c r="G7" s="1" t="s">
        <v>237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M9"/>
  <sheetViews>
    <sheetView showGridLines="0" tabSelected="1" topLeftCell="R1" zoomScale="85" zoomScaleNormal="85" workbookViewId="0">
      <selection activeCell="AG5" sqref="AG5:AG7"/>
    </sheetView>
  </sheetViews>
  <sheetFormatPr defaultColWidth="9.140625" defaultRowHeight="14.25"/>
  <cols>
    <col min="1" max="1" width="5.7109375" style="1" bestFit="1" customWidth="1"/>
    <col min="2" max="2" width="12.7109375" style="1" bestFit="1" customWidth="1"/>
    <col min="3" max="3" width="27.5703125" style="1" bestFit="1" customWidth="1"/>
    <col min="4" max="4" width="23.140625" style="1" bestFit="1" customWidth="1"/>
    <col min="5" max="5" width="28.85546875" style="1" bestFit="1" customWidth="1"/>
    <col min="6" max="6" width="4.5703125" style="1" bestFit="1" customWidth="1"/>
    <col min="7" max="7" width="28.85546875" style="1" bestFit="1" customWidth="1"/>
    <col min="8" max="8" width="10" style="1" bestFit="1" customWidth="1"/>
    <col min="9" max="9" width="12.5703125" style="1" bestFit="1" customWidth="1"/>
    <col min="10" max="10" width="14.7109375" style="1" bestFit="1" customWidth="1"/>
    <col min="11" max="11" width="12.140625" style="1" bestFit="1" customWidth="1"/>
    <col min="12" max="12" width="13.5703125" style="1" customWidth="1"/>
    <col min="13" max="13" width="8.140625" style="1" bestFit="1" customWidth="1"/>
    <col min="14" max="14" width="13.85546875" style="1" bestFit="1" customWidth="1"/>
    <col min="15" max="15" width="9.7109375" style="1" bestFit="1" customWidth="1"/>
    <col min="16" max="16" width="10.85546875" style="1" bestFit="1" customWidth="1"/>
    <col min="17" max="17" width="17.85546875" style="1" bestFit="1" customWidth="1"/>
    <col min="18" max="18" width="10.5703125" style="1" bestFit="1" customWidth="1"/>
    <col min="19" max="19" width="15" style="1" bestFit="1" customWidth="1"/>
    <col min="20" max="20" width="9.28515625" style="1" bestFit="1" customWidth="1"/>
    <col min="21" max="22" width="10.7109375" style="1" bestFit="1" customWidth="1"/>
    <col min="23" max="23" width="11.28515625" style="1" customWidth="1"/>
    <col min="24" max="24" width="10.7109375" style="1" bestFit="1" customWidth="1"/>
    <col min="25" max="25" width="11.7109375" style="1" customWidth="1"/>
    <col min="26" max="26" width="16" style="1" bestFit="1" customWidth="1"/>
    <col min="27" max="27" width="12" style="1" bestFit="1" customWidth="1"/>
    <col min="28" max="28" width="12.28515625" style="1" customWidth="1"/>
    <col min="29" max="29" width="14.7109375" style="1" bestFit="1" customWidth="1"/>
    <col min="30" max="30" width="12.28515625" style="35" customWidth="1"/>
    <col min="31" max="31" width="11" style="1" bestFit="1" customWidth="1"/>
    <col min="32" max="32" width="20.140625" style="1" bestFit="1" customWidth="1"/>
    <col min="33" max="33" width="12.28515625" style="1" bestFit="1" customWidth="1"/>
    <col min="34" max="34" width="11.85546875" style="1" bestFit="1" customWidth="1"/>
    <col min="35" max="35" width="13" style="1" bestFit="1" customWidth="1"/>
    <col min="36" max="36" width="12.28515625" style="1" customWidth="1"/>
    <col min="37" max="37" width="10.85546875" style="1" customWidth="1"/>
    <col min="38" max="16384" width="9.140625" style="1"/>
  </cols>
  <sheetData>
    <row r="1" spans="1:39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45"/>
      <c r="AA1" s="145"/>
      <c r="AB1" s="145"/>
      <c r="AC1" s="145"/>
      <c r="AD1" s="32"/>
    </row>
    <row r="2" spans="1:39" ht="18">
      <c r="A2" s="145" t="s">
        <v>205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32"/>
    </row>
    <row r="3" spans="1:39" ht="19.899999999999999" customHeight="1" thickBot="1">
      <c r="A3" s="156" t="s">
        <v>35</v>
      </c>
      <c r="B3" s="156"/>
      <c r="C3" s="156"/>
      <c r="D3" s="156"/>
      <c r="E3" s="156"/>
      <c r="F3" s="146"/>
      <c r="G3" s="3"/>
      <c r="H3" s="8" t="s">
        <v>64</v>
      </c>
      <c r="I3" s="6"/>
      <c r="J3" s="6"/>
      <c r="K3" s="6"/>
      <c r="L3" s="5"/>
      <c r="M3" s="4" t="s">
        <v>27</v>
      </c>
      <c r="N3" s="4" t="s">
        <v>26</v>
      </c>
      <c r="O3" s="4">
        <v>1</v>
      </c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33"/>
    </row>
    <row r="4" spans="1:39" s="2" customFormat="1" ht="28.5">
      <c r="A4" s="138" t="s">
        <v>17</v>
      </c>
      <c r="B4" s="138" t="s">
        <v>197</v>
      </c>
      <c r="C4" s="138" t="s">
        <v>196</v>
      </c>
      <c r="D4" s="138" t="s">
        <v>200</v>
      </c>
      <c r="E4" s="137" t="s">
        <v>0</v>
      </c>
      <c r="F4" s="18" t="s">
        <v>38</v>
      </c>
      <c r="G4" s="19" t="s">
        <v>16</v>
      </c>
      <c r="H4" s="18" t="s">
        <v>209</v>
      </c>
      <c r="I4" s="18" t="s">
        <v>37</v>
      </c>
      <c r="J4" s="20" t="s">
        <v>189</v>
      </c>
      <c r="K4" s="18" t="s">
        <v>190</v>
      </c>
      <c r="L4" s="18" t="s">
        <v>1</v>
      </c>
      <c r="M4" s="21" t="s">
        <v>2</v>
      </c>
      <c r="N4" s="22" t="s">
        <v>8</v>
      </c>
      <c r="O4" s="22" t="s">
        <v>5</v>
      </c>
      <c r="P4" s="21" t="s">
        <v>15</v>
      </c>
      <c r="Q4" s="21" t="s">
        <v>46</v>
      </c>
      <c r="R4" s="18" t="s">
        <v>33</v>
      </c>
      <c r="S4" s="18" t="s">
        <v>22</v>
      </c>
      <c r="T4" s="24" t="s">
        <v>18</v>
      </c>
      <c r="U4" s="24" t="s">
        <v>19</v>
      </c>
      <c r="V4" s="24" t="s">
        <v>20</v>
      </c>
      <c r="W4" s="24" t="s">
        <v>21</v>
      </c>
      <c r="X4" s="24" t="s">
        <v>181</v>
      </c>
      <c r="Y4" s="24" t="s">
        <v>182</v>
      </c>
      <c r="Z4" s="24" t="s">
        <v>66</v>
      </c>
      <c r="AA4" s="24" t="s">
        <v>12</v>
      </c>
      <c r="AB4" s="25" t="s">
        <v>11</v>
      </c>
      <c r="AC4" s="25" t="s">
        <v>29</v>
      </c>
      <c r="AD4" s="26" t="s">
        <v>34</v>
      </c>
      <c r="AE4" s="134" t="s">
        <v>110</v>
      </c>
      <c r="AF4" s="135" t="s">
        <v>192</v>
      </c>
      <c r="AG4" s="135" t="s">
        <v>191</v>
      </c>
      <c r="AH4" s="135" t="s">
        <v>193</v>
      </c>
      <c r="AI4" s="135" t="s">
        <v>194</v>
      </c>
      <c r="AJ4" s="141" t="s">
        <v>210</v>
      </c>
      <c r="AK4" s="142" t="s">
        <v>213</v>
      </c>
      <c r="AL4" s="135" t="s">
        <v>215</v>
      </c>
      <c r="AM4" s="135" t="s">
        <v>221</v>
      </c>
    </row>
    <row r="5" spans="1:39">
      <c r="A5" s="27">
        <v>1</v>
      </c>
      <c r="B5" s="27" t="s">
        <v>198</v>
      </c>
      <c r="C5" s="27" t="s">
        <v>199</v>
      </c>
      <c r="D5" s="27">
        <v>2</v>
      </c>
      <c r="E5" s="1" t="s">
        <v>230</v>
      </c>
      <c r="F5" s="27">
        <v>0</v>
      </c>
      <c r="G5" s="1" t="s">
        <v>230</v>
      </c>
      <c r="H5" s="27" t="s">
        <v>208</v>
      </c>
      <c r="I5" s="27" t="s">
        <v>10</v>
      </c>
      <c r="J5" s="27">
        <v>10</v>
      </c>
      <c r="K5" s="27">
        <v>1200</v>
      </c>
      <c r="L5" s="27">
        <f t="shared" ref="L5:L7" si="0">J5*K5</f>
        <v>12000</v>
      </c>
      <c r="M5" s="27">
        <v>1</v>
      </c>
      <c r="N5" s="27">
        <f>L5</f>
        <v>12000</v>
      </c>
      <c r="O5" s="27">
        <f>ROUND((N5*M5)/100,2)</f>
        <v>120</v>
      </c>
      <c r="P5" s="27">
        <f>O5</f>
        <v>120</v>
      </c>
      <c r="Q5" s="27">
        <f>ROUND(P5/J5,2)</f>
        <v>12</v>
      </c>
      <c r="R5" s="27">
        <f>(L5-P5)</f>
        <v>11880</v>
      </c>
      <c r="S5" s="27">
        <v>88363222</v>
      </c>
      <c r="T5" s="30">
        <v>0.18</v>
      </c>
      <c r="U5" s="27">
        <f>IF(OR(D5:D6=1,D5:D6=4),ROUND((R5*T5)/2,2),0)</f>
        <v>0</v>
      </c>
      <c r="V5" s="27">
        <f>IF(D5:D6=1,ROUND(((R5*T5)/2),2),0)</f>
        <v>0</v>
      </c>
      <c r="W5" s="27">
        <f>IF(D5:D6=2,ROUND(((R5*T5)),2),0)</f>
        <v>2138.4</v>
      </c>
      <c r="X5" s="27">
        <f>IF(D5:D6=4,ROUND(((R5*T5)/2),2),0)</f>
        <v>0</v>
      </c>
      <c r="Y5" s="30">
        <v>0.06</v>
      </c>
      <c r="Z5" s="27">
        <f t="shared" ref="Z5:Z7" si="1">IF($G$3=5,ROUND(((R5*Y5)/2),2),0)</f>
        <v>0</v>
      </c>
      <c r="AA5" s="27">
        <f t="shared" ref="AA5:AA7" si="2">U5+V5+W5+X5+Z5</f>
        <v>2138.4</v>
      </c>
      <c r="AB5" s="27">
        <f t="shared" ref="AB5:AB6" si="3">R5+AA5</f>
        <v>14018.4</v>
      </c>
      <c r="AC5" s="27">
        <v>120</v>
      </c>
      <c r="AD5" s="27">
        <f>R5*$O$3</f>
        <v>11880</v>
      </c>
      <c r="AE5" s="113" t="s">
        <v>111</v>
      </c>
      <c r="AF5" s="136" t="s">
        <v>195</v>
      </c>
      <c r="AG5" s="136" t="s">
        <v>254</v>
      </c>
      <c r="AH5" s="27" t="s">
        <v>208</v>
      </c>
      <c r="AI5" s="27" t="e">
        <f>IF(AH:AH="D",AG:AG -AF:AF+1, IF(AH:AH="W", INT((AG:AG-AF:AF)/7)+1, IF(AH:AH="M", DATEDIF(AF:AF,AG:AG,"M")+1, IF(AH:AH="F", INT((AG:AG-AF:AF)/14)+1, ""))))</f>
        <v>#VALUE!</v>
      </c>
      <c r="AJ5" s="113" t="s">
        <v>211</v>
      </c>
      <c r="AK5" s="27" t="s">
        <v>212</v>
      </c>
      <c r="AL5" s="27" t="s">
        <v>28</v>
      </c>
      <c r="AM5" s="27" t="s">
        <v>222</v>
      </c>
    </row>
    <row r="6" spans="1:39">
      <c r="A6" s="27">
        <v>2</v>
      </c>
      <c r="B6" s="27" t="s">
        <v>201</v>
      </c>
      <c r="C6" s="27" t="s">
        <v>202</v>
      </c>
      <c r="D6" s="27">
        <v>1</v>
      </c>
      <c r="E6" s="1" t="s">
        <v>231</v>
      </c>
      <c r="F6" s="27">
        <v>0</v>
      </c>
      <c r="G6" s="1" t="s">
        <v>231</v>
      </c>
      <c r="H6" s="27" t="s">
        <v>208</v>
      </c>
      <c r="I6" s="27" t="s">
        <v>10</v>
      </c>
      <c r="J6" s="27">
        <v>20</v>
      </c>
      <c r="K6" s="27">
        <v>1500</v>
      </c>
      <c r="L6" s="27">
        <f t="shared" si="0"/>
        <v>30000</v>
      </c>
      <c r="M6" s="27">
        <v>2</v>
      </c>
      <c r="N6" s="27">
        <f>L6</f>
        <v>30000</v>
      </c>
      <c r="O6" s="27">
        <f>ROUND((N6*M6)/100,2)</f>
        <v>600</v>
      </c>
      <c r="P6" s="27">
        <f>O6</f>
        <v>600</v>
      </c>
      <c r="Q6" s="27">
        <f>ROUND(P6/J6,2)</f>
        <v>30</v>
      </c>
      <c r="R6" s="27">
        <f>(L6-P6)</f>
        <v>29400</v>
      </c>
      <c r="S6" s="27">
        <v>88363222</v>
      </c>
      <c r="T6" s="30">
        <v>0.18</v>
      </c>
      <c r="U6" s="27">
        <f>IF(OR(D6:D7=1,D6:D7=4),ROUND((R6*T6)/2,2),0)</f>
        <v>2646</v>
      </c>
      <c r="V6" s="27">
        <f>IF(D6:D7=1,ROUND(((R6*T6)/2),2),0)</f>
        <v>2646</v>
      </c>
      <c r="W6" s="27">
        <f>IF(D6:D7=2,ROUND(((R6*T6)),2),0)</f>
        <v>0</v>
      </c>
      <c r="X6" s="27">
        <f>IF(D6:D7=4,ROUND(((R6*T6)/2),2),0)</f>
        <v>0</v>
      </c>
      <c r="Y6" s="30">
        <v>0.06</v>
      </c>
      <c r="Z6" s="27">
        <f t="shared" si="1"/>
        <v>0</v>
      </c>
      <c r="AA6" s="27">
        <f t="shared" si="2"/>
        <v>5292</v>
      </c>
      <c r="AB6" s="27">
        <f t="shared" si="3"/>
        <v>34692</v>
      </c>
      <c r="AC6" s="27">
        <v>120</v>
      </c>
      <c r="AD6" s="27">
        <f>R6*$O$3</f>
        <v>29400</v>
      </c>
      <c r="AE6" s="113" t="s">
        <v>111</v>
      </c>
      <c r="AF6" s="136" t="s">
        <v>195</v>
      </c>
      <c r="AG6" s="136" t="s">
        <v>254</v>
      </c>
      <c r="AH6" s="27" t="s">
        <v>206</v>
      </c>
      <c r="AI6" s="27" t="e">
        <f>IF(AH:AH="D",AG:AG -AF:AF+1, IF(AH:AH="W", INT((AG:AG-AF:AF)/7)+1, IF(AH:AH="M", DATEDIF(AF:AF,AG:AG,"M")+1, IF(AH:AH="F", INT((AG:AG-AF:AF)/14)+1, ""))))</f>
        <v>#VALUE!</v>
      </c>
      <c r="AJ6" s="113" t="s">
        <v>211</v>
      </c>
      <c r="AK6" s="27" t="s">
        <v>212</v>
      </c>
      <c r="AL6" s="27" t="s">
        <v>28</v>
      </c>
      <c r="AM6" s="27" t="s">
        <v>222</v>
      </c>
    </row>
    <row r="7" spans="1:39" ht="15">
      <c r="A7" s="27">
        <v>3</v>
      </c>
      <c r="B7" s="27" t="s">
        <v>204</v>
      </c>
      <c r="C7" s="27" t="s">
        <v>203</v>
      </c>
      <c r="D7" s="27">
        <v>2</v>
      </c>
      <c r="E7" s="1" t="s">
        <v>232</v>
      </c>
      <c r="F7" s="80">
        <v>0</v>
      </c>
      <c r="G7" s="1" t="s">
        <v>232</v>
      </c>
      <c r="H7" s="27" t="s">
        <v>208</v>
      </c>
      <c r="I7" s="27" t="s">
        <v>10</v>
      </c>
      <c r="J7" s="27">
        <v>30</v>
      </c>
      <c r="K7" s="27">
        <v>1800</v>
      </c>
      <c r="L7" s="27">
        <f t="shared" si="0"/>
        <v>54000</v>
      </c>
      <c r="M7" s="27">
        <v>3</v>
      </c>
      <c r="N7" s="27">
        <f>L7</f>
        <v>54000</v>
      </c>
      <c r="O7" s="27">
        <f>ROUND((N7*M7)/100,2)</f>
        <v>1620</v>
      </c>
      <c r="P7" s="27">
        <f>O7</f>
        <v>1620</v>
      </c>
      <c r="Q7" s="27">
        <f>ROUND(P7/J7,2)</f>
        <v>54</v>
      </c>
      <c r="R7" s="27">
        <f>(L7-P7)</f>
        <v>52380</v>
      </c>
      <c r="S7" s="27">
        <v>88363222</v>
      </c>
      <c r="T7" s="30">
        <v>0.18</v>
      </c>
      <c r="U7" s="27">
        <f>IF(OR(D7:D8=1,D7:D8=4),ROUND((R7*T7)/2,2),0)</f>
        <v>0</v>
      </c>
      <c r="V7" s="27">
        <f>IF(D7:D8=1,ROUND(((R7*T7)/2),2),0)</f>
        <v>0</v>
      </c>
      <c r="W7" s="27">
        <f>IF(D7:D8=2,ROUND(((R7*T7)),2),0)</f>
        <v>9428.4</v>
      </c>
      <c r="X7" s="27">
        <f>IF(D7:D8=4,ROUND(((R7*T7)/2),2),0)</f>
        <v>0</v>
      </c>
      <c r="Y7" s="30">
        <v>0.06</v>
      </c>
      <c r="Z7" s="27">
        <f t="shared" si="1"/>
        <v>0</v>
      </c>
      <c r="AA7" s="27">
        <f t="shared" si="2"/>
        <v>9428.4</v>
      </c>
      <c r="AB7" s="27">
        <f>R7</f>
        <v>52380</v>
      </c>
      <c r="AC7" s="27">
        <v>120</v>
      </c>
      <c r="AD7" s="27">
        <f>R7*$O$3</f>
        <v>52380</v>
      </c>
      <c r="AE7" s="113" t="s">
        <v>111</v>
      </c>
      <c r="AF7" s="136" t="s">
        <v>195</v>
      </c>
      <c r="AG7" s="136" t="s">
        <v>254</v>
      </c>
      <c r="AH7" s="27" t="s">
        <v>207</v>
      </c>
      <c r="AI7" s="27" t="e">
        <f>IF(AH:AH="D",AG:AG -AF:AF+1, IF(AH:AH="W", INT((AG:AG-AF:AF)/7)+1, IF(AH:AH="M", DATEDIF(AF:AF,AG:AG,"M")+1, IF(AH:AH="F", INT((AG:AG-AF:AF)/14)+1, ""))))</f>
        <v>#VALUE!</v>
      </c>
      <c r="AJ7" s="113" t="s">
        <v>211</v>
      </c>
      <c r="AK7" s="27" t="s">
        <v>212</v>
      </c>
      <c r="AL7" s="27" t="s">
        <v>216</v>
      </c>
      <c r="AM7" s="27" t="s">
        <v>222</v>
      </c>
    </row>
    <row r="8" spans="1:39" ht="14.25" customHeight="1">
      <c r="A8" s="11"/>
      <c r="B8" s="11"/>
      <c r="C8" s="11"/>
      <c r="D8" s="11"/>
      <c r="E8" s="11"/>
      <c r="F8" s="11"/>
      <c r="G8" s="11"/>
      <c r="H8" s="11"/>
      <c r="I8" s="11"/>
      <c r="J8" s="12"/>
      <c r="K8" s="13"/>
      <c r="L8" s="13"/>
      <c r="M8" s="14"/>
      <c r="N8" s="13"/>
      <c r="O8" s="13"/>
      <c r="P8" s="15"/>
      <c r="Q8" s="15"/>
      <c r="R8" s="13"/>
      <c r="S8" s="13"/>
      <c r="T8" s="14"/>
      <c r="U8" s="13"/>
      <c r="V8" s="13"/>
      <c r="W8" s="15" t="s">
        <v>39</v>
      </c>
      <c r="X8" s="15"/>
      <c r="Y8" s="15"/>
      <c r="Z8" s="15"/>
      <c r="AA8" s="15"/>
      <c r="AB8" s="79">
        <f>SUM(AB5:AB7)</f>
        <v>101090.4</v>
      </c>
      <c r="AC8" s="15" t="s">
        <v>40</v>
      </c>
      <c r="AD8" s="79">
        <f>SUM(AD5:AD7)</f>
        <v>93660</v>
      </c>
    </row>
    <row r="9" spans="1:39" ht="14.25" customHeight="1">
      <c r="A9" s="11"/>
      <c r="B9" s="11"/>
      <c r="C9" s="11"/>
      <c r="D9" s="11"/>
      <c r="E9" s="11"/>
      <c r="F9" s="11"/>
      <c r="G9" s="11"/>
      <c r="H9" s="11"/>
      <c r="I9" s="11"/>
      <c r="J9" s="12"/>
      <c r="K9" s="13"/>
      <c r="L9" s="13"/>
      <c r="M9" s="14"/>
      <c r="N9" s="13"/>
      <c r="O9" s="13"/>
      <c r="P9" s="13"/>
      <c r="Q9" s="13"/>
      <c r="R9" s="13"/>
      <c r="S9" s="13"/>
      <c r="T9" s="14"/>
      <c r="U9" s="13"/>
      <c r="V9" s="13"/>
      <c r="W9" s="13"/>
      <c r="X9" s="13"/>
      <c r="Y9" s="13"/>
      <c r="Z9" s="13"/>
      <c r="AA9" s="13"/>
      <c r="AB9" s="12"/>
      <c r="AC9" s="13"/>
      <c r="AD9" s="13"/>
    </row>
  </sheetData>
  <mergeCells count="2">
    <mergeCell ref="A1:Y1"/>
    <mergeCell ref="A3:E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1"/>
  <dimension ref="A1:AQ8"/>
  <sheetViews>
    <sheetView showGridLines="0" topLeftCell="J1" zoomScale="85" zoomScaleNormal="85" workbookViewId="0">
      <selection activeCell="U28" sqref="U28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9" width="11.28515625" style="1" customWidth="1"/>
    <col min="30" max="30" width="10.7109375" style="1" bestFit="1" customWidth="1"/>
    <col min="31" max="31" width="11.7109375" style="1" customWidth="1"/>
    <col min="32" max="32" width="16" style="1" bestFit="1" customWidth="1"/>
    <col min="33" max="33" width="12" style="1" bestFit="1" customWidth="1"/>
    <col min="34" max="34" width="12.28515625" style="1" customWidth="1"/>
    <col min="35" max="35" width="14.7109375" style="1" bestFit="1" customWidth="1"/>
    <col min="36" max="37" width="12.28515625" style="35" customWidth="1"/>
    <col min="38" max="38" width="10.28515625" style="36" customWidth="1"/>
    <col min="39" max="39" width="13.5703125" style="1" customWidth="1"/>
    <col min="40" max="40" width="12.7109375" style="1" customWidth="1"/>
    <col min="41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5"/>
      <c r="AE1" s="155"/>
      <c r="AF1" s="7"/>
      <c r="AG1" s="7"/>
      <c r="AH1" s="7"/>
      <c r="AI1" s="7"/>
      <c r="AJ1" s="32"/>
      <c r="AK1" s="32"/>
    </row>
    <row r="2" spans="1:43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3" ht="19.899999999999999" customHeight="1" thickBot="1">
      <c r="A3" s="156" t="s">
        <v>35</v>
      </c>
      <c r="B3" s="156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width="6.42578125" bestFit="1" customWidth="1"/>
    <col min="2" max="2" width="28.7109375" bestFit="1" customWidth="1"/>
    <col min="3" max="3" width="5" bestFit="1" customWidth="1"/>
    <col min="4" max="4" width="28.7109375" bestFit="1" customWidth="1"/>
    <col min="5" max="5" width="10.85546875" bestFit="1" customWidth="1"/>
    <col min="6" max="6" width="10.140625" bestFit="1" customWidth="1"/>
    <col min="7" max="7" width="17.85546875" bestFit="1" customWidth="1"/>
    <col min="8" max="8" width="16" bestFit="1" customWidth="1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39">
        <v>20</v>
      </c>
      <c r="F2" s="39">
        <f>'Case 1'!H5</f>
        <v>1234</v>
      </c>
      <c r="G2" t="s">
        <v>53</v>
      </c>
      <c r="H2" s="39">
        <f>G2-E2</f>
        <v>4547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39">
        <v>30</v>
      </c>
      <c r="F3" s="39">
        <f>'Case 1'!H6</f>
        <v>3214</v>
      </c>
      <c r="G3">
        <v>675</v>
      </c>
      <c r="H3" s="39">
        <f>G3-E3</f>
        <v>645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B1" zoomScale="85" zoomScaleNormal="85" workbookViewId="0">
      <selection activeCell="AF9" sqref="AF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56" t="s">
        <v>35</v>
      </c>
      <c r="B3" s="156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4.5703125" style="36" bestFit="1" customWidth="1"/>
    <col min="36" max="36" width="11.85546875" style="1" customWidth="1"/>
    <col min="37" max="37" width="13.14062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56" t="s">
        <v>35</v>
      </c>
      <c r="B3" s="156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45</v>
      </c>
      <c r="F5" s="27" t="s">
        <v>45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7109375" style="1" customWidth="1"/>
    <col min="37" max="37" width="14.28515625" style="1" customWidth="1"/>
    <col min="38" max="39" width="9.140625" style="1"/>
    <col min="40" max="40" width="11" style="1" bestFit="1" customWidth="1"/>
    <col min="41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56" t="s">
        <v>35</v>
      </c>
      <c r="B3" s="156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3.5703125" style="1" bestFit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1.5703125" style="1" customWidth="1"/>
    <col min="37" max="37" width="13.7109375" style="1" customWidth="1"/>
    <col min="38" max="39" width="9.140625" style="1"/>
    <col min="40" max="40" width="17.5703125" style="1" bestFit="1" customWidth="1"/>
    <col min="41" max="42" width="9.140625" style="1"/>
    <col min="43" max="43" width="11" style="1" bestFit="1" customWidth="1"/>
    <col min="44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56" t="s">
        <v>35</v>
      </c>
      <c r="B3" s="156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Z1" zoomScale="85" zoomScaleNormal="85" workbookViewId="0">
      <selection activeCell="AG23" sqref="AG23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56" t="s">
        <v>35</v>
      </c>
      <c r="B3" s="156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O1" zoomScale="85" zoomScaleNormal="85" workbookViewId="0">
      <selection activeCell="X7" sqref="X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0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56" t="s">
        <v>35</v>
      </c>
      <c r="B3" s="156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Y1" zoomScale="85" zoomScaleNormal="85" workbookViewId="0">
      <selection activeCell="AP6" sqref="AP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2.140625" style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56" t="s">
        <v>35</v>
      </c>
      <c r="B3" s="156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1625.53</v>
      </c>
      <c r="AE5" s="27">
        <f t="shared" ref="AE5:AE6" si="0">U5+AD5</f>
        <v>15171.58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60</v>
      </c>
      <c r="AO6" s="27">
        <v>6</v>
      </c>
      <c r="AP6" s="27">
        <f>ROUND(((AO6*U6)/100),2)</f>
        <v>1200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36171.58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11"/>
  <dimension ref="A1:AQ8"/>
  <sheetViews>
    <sheetView showGridLines="0" topLeftCell="W1" zoomScale="85" zoomScaleNormal="85" workbookViewId="0">
      <selection activeCell="W4" sqref="W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56" t="s">
        <v>35</v>
      </c>
      <c r="B3" s="156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3" max="13" width="15.140625" customWidth="1"/>
    <col min="14" max="14" width="11.7109375" customWidth="1"/>
    <col min="15" max="15" width="13.28515625" customWidth="1"/>
    <col min="16" max="16" width="10.5703125" bestFit="1" customWidth="1"/>
    <col min="18" max="18" width="10.5703125" bestFit="1" customWidth="1"/>
    <col min="19" max="19" width="11" customWidth="1"/>
    <col min="20" max="20" width="17.85546875" bestFit="1" customWidth="1"/>
    <col min="21" max="21" width="10.7109375" bestFit="1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7" max="37" width="12.7109375" bestFit="1" customWidth="1"/>
  </cols>
  <sheetData>
    <row r="1" spans="1:43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56" t="s">
        <v>35</v>
      </c>
      <c r="B3" s="156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56"/>
      <c r="B16" s="156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G5" sqref="BG5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183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I1" zoomScale="85" zoomScaleNormal="85" workbookViewId="0">
      <selection activeCell="V6" sqref="V6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183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B7" sqref="B7:D7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56" t="s">
        <v>35</v>
      </c>
      <c r="B3" s="156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111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3" width="12.28515625" style="35" customWidth="1"/>
    <col min="34" max="34" width="13.5703125" style="35" bestFit="1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2.85546875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6" style="1" bestFit="1" customWidth="1"/>
    <col min="46" max="46" width="16.85546875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8.85546875" style="1" bestFit="1" customWidth="1"/>
    <col min="51" max="51" width="13.7109375" style="1" bestFit="1" customWidth="1"/>
    <col min="52" max="52" width="18.42578125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.85546875" style="1" bestFit="1" customWidth="1"/>
    <col min="57" max="57" width="22.85546875" style="1" bestFit="1" customWidth="1"/>
    <col min="58" max="58" width="15.570312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" style="1" bestFit="1" customWidth="1"/>
    <col min="65" max="65" width="13.5703125" style="1" bestFit="1" customWidth="1"/>
    <col min="66" max="66" width="16.28515625" style="1" bestFit="1" customWidth="1"/>
    <col min="67" max="67" width="14" style="1" bestFit="1" customWidth="1"/>
    <col min="68" max="68" width="13.85546875" style="1" bestFit="1" customWidth="1"/>
    <col min="69" max="69" width="15" style="1" bestFit="1" customWidth="1"/>
    <col min="70" max="70" width="11.7109375" style="1" bestFit="1" customWidth="1"/>
    <col min="71" max="71" width="11" style="1" bestFit="1" customWidth="1"/>
    <col min="72" max="16384" width="9.140625" style="1"/>
  </cols>
  <sheetData>
    <row r="1" spans="1:71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56" t="s">
        <v>35</v>
      </c>
      <c r="B3" s="156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142</v>
      </c>
      <c r="AS4" s="18" t="s">
        <v>143</v>
      </c>
      <c r="AT4" s="18" t="s">
        <v>144</v>
      </c>
      <c r="AU4" s="21" t="s">
        <v>145</v>
      </c>
      <c r="AV4" s="21" t="s">
        <v>146</v>
      </c>
      <c r="AW4" s="21" t="s">
        <v>147</v>
      </c>
      <c r="AX4" s="22" t="s">
        <v>148</v>
      </c>
      <c r="AY4" s="22" t="s">
        <v>149</v>
      </c>
      <c r="AZ4" s="22" t="s">
        <v>150</v>
      </c>
      <c r="BA4" s="22" t="s">
        <v>151</v>
      </c>
      <c r="BB4" s="23" t="s">
        <v>152</v>
      </c>
      <c r="BC4" s="22" t="s">
        <v>153</v>
      </c>
      <c r="BD4" s="21" t="s">
        <v>154</v>
      </c>
      <c r="BE4" s="21" t="s">
        <v>164</v>
      </c>
      <c r="BF4" s="18" t="s">
        <v>155</v>
      </c>
      <c r="BG4" s="18" t="s">
        <v>156</v>
      </c>
      <c r="BH4" s="24" t="s">
        <v>157</v>
      </c>
      <c r="BI4" s="24" t="s">
        <v>158</v>
      </c>
      <c r="BJ4" s="24" t="s">
        <v>159</v>
      </c>
      <c r="BK4" s="24" t="s">
        <v>160</v>
      </c>
      <c r="BL4" s="24" t="s">
        <v>185</v>
      </c>
      <c r="BM4" s="24" t="s">
        <v>186</v>
      </c>
      <c r="BN4" s="24" t="s">
        <v>187</v>
      </c>
      <c r="BO4" s="24" t="s">
        <v>161</v>
      </c>
      <c r="BP4" s="25" t="s">
        <v>162</v>
      </c>
      <c r="BQ4" s="25" t="s">
        <v>29</v>
      </c>
      <c r="BR4" s="26" t="s">
        <v>163</v>
      </c>
      <c r="BS4" s="26" t="s">
        <v>166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111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111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0"/>
      <c r="AD1" s="120"/>
      <c r="AE1" s="120"/>
      <c r="AF1" s="120"/>
      <c r="AG1" s="32"/>
      <c r="AH1" s="32"/>
    </row>
    <row r="2" spans="1:66" ht="18">
      <c r="A2" s="120" t="s">
        <v>118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56" t="s">
        <v>35</v>
      </c>
      <c r="B3" s="156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width="5.7109375" style="1" bestFit="1" customWidth="1"/>
    <col min="2" max="2" width="32" style="1" bestFit="1" customWidth="1"/>
    <col min="3" max="3" width="10.85546875" style="1" customWidth="1"/>
    <col min="4" max="4" width="32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3" style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56" t="s">
        <v>35</v>
      </c>
      <c r="B3" s="156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F1" zoomScale="85" zoomScaleNormal="85" workbookViewId="0">
      <selection activeCell="AT6" sqref="AT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23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3265</v>
      </c>
      <c r="AT6" s="27">
        <f>AR6*AS6</f>
        <v>65300</v>
      </c>
      <c r="AU6" s="27">
        <v>5</v>
      </c>
      <c r="AV6" s="27">
        <v>7</v>
      </c>
      <c r="AW6" s="27">
        <v>9</v>
      </c>
      <c r="AX6" s="27">
        <f>AT6</f>
        <v>65300</v>
      </c>
      <c r="AY6" s="27">
        <f>ROUND((AX6*AU6)/100,2)</f>
        <v>3265</v>
      </c>
      <c r="AZ6" s="27">
        <f>AT6-AY6</f>
        <v>62035</v>
      </c>
      <c r="BA6" s="27">
        <f>ROUND((AZ6*AV6)/100,2)</f>
        <v>4342.45</v>
      </c>
      <c r="BB6" s="27">
        <f>ROUND(AZ6-BA6,2)</f>
        <v>57692.55</v>
      </c>
      <c r="BC6" s="27">
        <f>ROUND((BB6*AW6)/100,2)</f>
        <v>5192.33</v>
      </c>
      <c r="BD6" s="27">
        <f>ROUND(AY6+BA6+BC6,2)</f>
        <v>12799.78</v>
      </c>
      <c r="BE6" s="27">
        <f>ROUND(BD6/AR6,2)</f>
        <v>639.99</v>
      </c>
      <c r="BF6" s="27">
        <f>(AT6-BD6)</f>
        <v>52500.22</v>
      </c>
      <c r="BG6" s="27" t="s">
        <v>23</v>
      </c>
      <c r="BH6" s="30">
        <v>0.05</v>
      </c>
      <c r="BI6" s="27">
        <f>IF(OR($D$3=1,$D$3=4),ROUND((BF6*BH6)/2,2),0)</f>
        <v>1312.51</v>
      </c>
      <c r="BJ6" s="27">
        <f>IF($D$3=1,ROUND(((BF6*BH6)/2),2),0)</f>
        <v>1312.51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2625.02</v>
      </c>
      <c r="BP6" s="27">
        <f t="shared" si="3"/>
        <v>55125.24</v>
      </c>
      <c r="BQ6" s="27">
        <v>120</v>
      </c>
      <c r="BR6" s="27">
        <f t="shared" si="4"/>
        <v>52500.22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81088.86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5" style="1" bestFit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58" width="9.140625" style="1"/>
    <col min="59" max="59" width="15" style="1" bestFit="1" customWidth="1"/>
    <col min="60" max="70" width="9.140625" style="1"/>
    <col min="71" max="71" width="12.85546875" style="1" bestFit="1" customWidth="1"/>
    <col min="72" max="72" width="11" style="1" bestFit="1" customWidth="1"/>
    <col min="73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183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183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16384" width="9.140625" style="1"/>
  </cols>
  <sheetData>
    <row r="1" spans="1:4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56" t="s">
        <v>35</v>
      </c>
      <c r="B3" s="156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183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20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4.140625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3.140625" style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22"/>
      <c r="AD1" s="122"/>
      <c r="AE1" s="122"/>
      <c r="AF1" s="122"/>
      <c r="AG1" s="32"/>
      <c r="AH1" s="32"/>
    </row>
    <row r="2" spans="1:66" ht="18">
      <c r="A2" s="122" t="s">
        <v>118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56" t="s">
        <v>35</v>
      </c>
      <c r="B3" s="156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17"/>
      <c r="AD1" s="117"/>
      <c r="AE1" s="117"/>
      <c r="AF1" s="117"/>
      <c r="AG1" s="32"/>
      <c r="AH1" s="32"/>
    </row>
    <row r="2" spans="1:66" ht="18">
      <c r="A2" s="117" t="s">
        <v>118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56" t="s">
        <v>35</v>
      </c>
      <c r="B3" s="156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21" t="s">
        <v>122</v>
      </c>
      <c r="K4" s="21" t="s">
        <v>123</v>
      </c>
      <c r="L4" s="21" t="s">
        <v>124</v>
      </c>
      <c r="M4" s="22" t="s">
        <v>125</v>
      </c>
      <c r="N4" s="22" t="s">
        <v>126</v>
      </c>
      <c r="O4" s="22" t="s">
        <v>127</v>
      </c>
      <c r="P4" s="22" t="s">
        <v>128</v>
      </c>
      <c r="Q4" s="23" t="s">
        <v>129</v>
      </c>
      <c r="R4" s="22" t="s">
        <v>130</v>
      </c>
      <c r="S4" s="21" t="s">
        <v>131</v>
      </c>
      <c r="T4" s="21" t="s">
        <v>140</v>
      </c>
      <c r="U4" s="18" t="s">
        <v>132</v>
      </c>
      <c r="V4" s="18" t="s">
        <v>133</v>
      </c>
      <c r="W4" s="24" t="s">
        <v>134</v>
      </c>
      <c r="X4" s="24" t="s">
        <v>135</v>
      </c>
      <c r="Y4" s="24" t="s">
        <v>136</v>
      </c>
      <c r="Z4" s="24" t="s">
        <v>137</v>
      </c>
      <c r="AA4" s="24" t="s">
        <v>138</v>
      </c>
      <c r="AB4" s="25" t="s">
        <v>139</v>
      </c>
      <c r="AC4" s="25" t="s">
        <v>29</v>
      </c>
      <c r="AD4" s="26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20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167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167</v>
      </c>
      <c r="BN6" s="27" t="s">
        <v>169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G1" zoomScale="85" zoomScaleNormal="85" workbookViewId="0">
      <selection activeCell="A7" sqref="A7:AN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3" style="1" customWidth="1"/>
    <col min="6" max="6" width="12.5703125" style="1" bestFit="1" customWidth="1"/>
    <col min="7" max="7" width="21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2" width="13.8554687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4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9.28515625" style="1" bestFit="1" customWidth="1"/>
    <col min="57" max="57" width="13.85546875" style="1" bestFit="1" customWidth="1"/>
    <col min="58" max="58" width="9.7109375" style="1" bestFit="1" customWidth="1"/>
    <col min="59" max="59" width="9.570312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6" width="12.140625" style="1" customWidth="1"/>
    <col min="67" max="16384" width="9.140625" style="1"/>
  </cols>
  <sheetData>
    <row r="1" spans="1:66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94"/>
      <c r="AD1" s="94"/>
      <c r="AE1" s="94"/>
      <c r="AF1" s="94"/>
      <c r="AG1" s="32"/>
      <c r="AH1" s="32"/>
    </row>
    <row r="2" spans="1:66" ht="18">
      <c r="A2" s="94" t="s">
        <v>118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56" t="s">
        <v>35</v>
      </c>
      <c r="B3" s="156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119</v>
      </c>
      <c r="H4" s="18" t="s">
        <v>120</v>
      </c>
      <c r="I4" s="18" t="s">
        <v>121</v>
      </c>
      <c r="J4" s="96" t="s">
        <v>122</v>
      </c>
      <c r="K4" s="96" t="s">
        <v>123</v>
      </c>
      <c r="L4" s="96" t="s">
        <v>124</v>
      </c>
      <c r="M4" s="97" t="s">
        <v>125</v>
      </c>
      <c r="N4" s="97" t="s">
        <v>126</v>
      </c>
      <c r="O4" s="97" t="s">
        <v>127</v>
      </c>
      <c r="P4" s="97" t="s">
        <v>128</v>
      </c>
      <c r="Q4" s="98" t="s">
        <v>129</v>
      </c>
      <c r="R4" s="97" t="s">
        <v>130</v>
      </c>
      <c r="S4" s="96" t="s">
        <v>131</v>
      </c>
      <c r="T4" s="21" t="s">
        <v>140</v>
      </c>
      <c r="U4" s="99" t="s">
        <v>132</v>
      </c>
      <c r="V4" s="99" t="s">
        <v>133</v>
      </c>
      <c r="W4" s="100" t="s">
        <v>134</v>
      </c>
      <c r="X4" s="100" t="s">
        <v>135</v>
      </c>
      <c r="Y4" s="100" t="s">
        <v>136</v>
      </c>
      <c r="Z4" s="100" t="s">
        <v>137</v>
      </c>
      <c r="AA4" s="100" t="s">
        <v>138</v>
      </c>
      <c r="AB4" s="101" t="s">
        <v>139</v>
      </c>
      <c r="AC4" s="101" t="s">
        <v>29</v>
      </c>
      <c r="AD4" s="102" t="s">
        <v>141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165</v>
      </c>
      <c r="AO4" s="103" t="s">
        <v>142</v>
      </c>
      <c r="AP4" s="103" t="s">
        <v>143</v>
      </c>
      <c r="AQ4" s="103" t="s">
        <v>144</v>
      </c>
      <c r="AR4" s="96" t="s">
        <v>145</v>
      </c>
      <c r="AS4" s="96" t="s">
        <v>146</v>
      </c>
      <c r="AT4" s="96" t="s">
        <v>147</v>
      </c>
      <c r="AU4" s="98" t="s">
        <v>148</v>
      </c>
      <c r="AV4" s="98" t="s">
        <v>149</v>
      </c>
      <c r="AW4" s="98" t="s">
        <v>150</v>
      </c>
      <c r="AX4" s="98" t="s">
        <v>151</v>
      </c>
      <c r="AY4" s="98" t="s">
        <v>152</v>
      </c>
      <c r="AZ4" s="98" t="s">
        <v>153</v>
      </c>
      <c r="BA4" s="105" t="s">
        <v>154</v>
      </c>
      <c r="BB4" s="21" t="s">
        <v>164</v>
      </c>
      <c r="BC4" s="103" t="s">
        <v>155</v>
      </c>
      <c r="BD4" s="103" t="s">
        <v>156</v>
      </c>
      <c r="BE4" s="104" t="s">
        <v>157</v>
      </c>
      <c r="BF4" s="104" t="s">
        <v>158</v>
      </c>
      <c r="BG4" s="104" t="s">
        <v>159</v>
      </c>
      <c r="BH4" s="104" t="s">
        <v>160</v>
      </c>
      <c r="BI4" s="104" t="s">
        <v>161</v>
      </c>
      <c r="BJ4" s="102" t="s">
        <v>162</v>
      </c>
      <c r="BK4" s="102" t="s">
        <v>29</v>
      </c>
      <c r="BL4" s="102" t="s">
        <v>163</v>
      </c>
      <c r="BM4" s="26" t="s">
        <v>166</v>
      </c>
      <c r="BN4" s="26" t="s">
        <v>168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169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169</v>
      </c>
    </row>
    <row r="7" spans="1:66" ht="15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171</v>
      </c>
      <c r="AF7" s="31"/>
      <c r="AG7" s="31"/>
      <c r="AH7" s="31"/>
      <c r="AI7" s="31"/>
      <c r="AJ7" s="31"/>
      <c r="AK7" s="31"/>
      <c r="AL7" s="31"/>
      <c r="AM7" s="31"/>
      <c r="AN7" s="27" t="s">
        <v>111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167</v>
      </c>
      <c r="BN7" s="27" t="s">
        <v>172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AC1" zoomScale="85" zoomScaleNormal="85" workbookViewId="0">
      <selection activeCell="AS7" sqref="AS7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10.85546875" style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5" style="1" bestFit="1" customWidth="1"/>
    <col min="9" max="9" width="16" style="1" bestFit="1" customWidth="1"/>
    <col min="10" max="10" width="10.28515625" style="1" bestFit="1" customWidth="1"/>
    <col min="11" max="11" width="10" style="1" bestFit="1" customWidth="1"/>
    <col min="12" max="12" width="10.140625" style="1" bestFit="1" customWidth="1"/>
    <col min="13" max="13" width="17.85546875" style="1" bestFit="1" customWidth="1"/>
    <col min="14" max="14" width="13.140625" style="1" bestFit="1" customWidth="1"/>
    <col min="15" max="15" width="17.5703125" style="1" bestFit="1" customWidth="1"/>
    <col min="16" max="16" width="14.7109375" style="1" customWidth="1"/>
    <col min="17" max="17" width="9.7109375" style="1" bestFit="1" customWidth="1"/>
    <col min="18" max="18" width="13" style="1" bestFit="1" customWidth="1"/>
    <col min="19" max="19" width="14.85546875" style="1" bestFit="1" customWidth="1"/>
    <col min="20" max="20" width="21.85546875" style="1" bestFit="1" customWidth="1"/>
    <col min="21" max="21" width="14.5703125" style="1" bestFit="1" customWidth="1"/>
    <col min="22" max="22" width="15" style="1" bestFit="1" customWidth="1"/>
    <col min="23" max="23" width="13.85546875" style="1" bestFit="1" customWidth="1"/>
    <col min="24" max="25" width="10.7109375" style="1" bestFit="1" customWidth="1"/>
    <col min="26" max="26" width="11.28515625" style="1" customWidth="1"/>
    <col min="27" max="27" width="13.140625" style="1" bestFit="1" customWidth="1"/>
    <col min="28" max="28" width="13" style="1" bestFit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5.7109375" style="36" bestFit="1" customWidth="1"/>
    <col min="36" max="36" width="13.5703125" style="1" customWidth="1"/>
    <col min="37" max="37" width="12.7109375" style="1" customWidth="1"/>
    <col min="38" max="39" width="9.140625" style="1"/>
    <col min="40" max="40" width="11" style="1" bestFit="1" customWidth="1"/>
    <col min="41" max="41" width="10.42578125" style="1" bestFit="1" customWidth="1"/>
    <col min="42" max="42" width="15" style="1" bestFit="1" customWidth="1"/>
    <col min="43" max="43" width="16" style="1" bestFit="1" customWidth="1"/>
    <col min="44" max="44" width="11.140625" style="1" bestFit="1" customWidth="1"/>
    <col min="45" max="45" width="10.85546875" style="1" bestFit="1" customWidth="1"/>
    <col min="46" max="46" width="11" style="1" bestFit="1" customWidth="1"/>
    <col min="47" max="47" width="17.85546875" style="1" bestFit="1" customWidth="1"/>
    <col min="48" max="48" width="13.140625" style="1" bestFit="1" customWidth="1"/>
    <col min="49" max="49" width="17.5703125" style="1" bestFit="1" customWidth="1"/>
    <col min="50" max="50" width="12.85546875" style="1" bestFit="1" customWidth="1"/>
    <col min="51" max="51" width="13.7109375" style="1" bestFit="1" customWidth="1"/>
    <col min="52" max="52" width="13" style="1" bestFit="1" customWidth="1"/>
    <col min="53" max="53" width="14.85546875" style="1" bestFit="1" customWidth="1"/>
    <col min="54" max="54" width="21.85546875" style="1" bestFit="1" customWidth="1"/>
    <col min="55" max="55" width="14.5703125" style="1" bestFit="1" customWidth="1"/>
    <col min="56" max="56" width="10.85546875" style="1" bestFit="1" customWidth="1"/>
    <col min="57" max="57" width="17.85546875" style="1" bestFit="1" customWidth="1"/>
    <col min="58" max="58" width="11.85546875" style="1" customWidth="1"/>
    <col min="59" max="59" width="15" style="1" bestFit="1" customWidth="1"/>
    <col min="60" max="60" width="13.5703125" style="1" bestFit="1" customWidth="1"/>
    <col min="61" max="61" width="13.140625" style="1" bestFit="1" customWidth="1"/>
    <col min="62" max="62" width="11.85546875" style="1" bestFit="1" customWidth="1"/>
    <col min="63" max="63" width="15" style="1" bestFit="1" customWidth="1"/>
    <col min="64" max="64" width="10.5703125" style="1" bestFit="1" customWidth="1"/>
    <col min="65" max="65" width="11" style="1" bestFit="1" customWidth="1"/>
    <col min="66" max="67" width="9.140625" style="1"/>
    <col min="68" max="68" width="10.5703125" style="1" bestFit="1" customWidth="1"/>
    <col min="69" max="69" width="15" style="1" bestFit="1" customWidth="1"/>
    <col min="70" max="70" width="9.140625" style="1"/>
    <col min="71" max="71" width="12.85546875" style="1" bestFit="1" customWidth="1"/>
    <col min="72" max="72" width="11" style="1" bestFit="1" customWidth="1"/>
    <col min="73" max="73" width="12.7109375" style="1" customWidth="1"/>
    <col min="74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183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width="5.7109375" style="1" bestFit="1" customWidth="1"/>
    <col min="2" max="2" width="28.85546875" style="1" bestFit="1" customWidth="1"/>
    <col min="3" max="3" width="4.5703125" style="1" bestFit="1" customWidth="1"/>
    <col min="4" max="4" width="28.85546875" style="1" bestFit="1" customWidth="1"/>
    <col min="5" max="5" width="10" style="1" bestFit="1" customWidth="1"/>
    <col min="6" max="6" width="12.5703125" style="1" bestFit="1" customWidth="1"/>
    <col min="7" max="7" width="14.7109375" style="1" bestFit="1" customWidth="1"/>
    <col min="8" max="8" width="10.140625" style="1" bestFit="1" customWidth="1"/>
    <col min="9" max="9" width="13.5703125" style="1" customWidth="1"/>
    <col min="10" max="11" width="8.140625" style="1" bestFit="1" customWidth="1"/>
    <col min="12" max="12" width="8" style="1" bestFit="1" customWidth="1"/>
    <col min="13" max="13" width="13.85546875" style="1" bestFit="1" customWidth="1"/>
    <col min="14" max="14" width="9.7109375" style="1" bestFit="1" customWidth="1"/>
    <col min="15" max="15" width="12.5703125" style="1" customWidth="1"/>
    <col min="16" max="16" width="14.7109375" style="1" customWidth="1"/>
    <col min="17" max="17" width="9.7109375" style="1" bestFit="1" customWidth="1"/>
    <col min="18" max="18" width="9" style="1" customWidth="1"/>
    <col min="19" max="19" width="10.85546875" style="1" bestFit="1" customWidth="1"/>
    <col min="20" max="20" width="17.85546875" style="1" bestFit="1" customWidth="1"/>
    <col min="21" max="21" width="10.5703125" style="1" bestFit="1" customWidth="1"/>
    <col min="22" max="22" width="11.5703125" style="1" customWidth="1"/>
    <col min="23" max="23" width="9.28515625" style="1" bestFit="1" customWidth="1"/>
    <col min="24" max="25" width="10.7109375" style="1" bestFit="1" customWidth="1"/>
    <col min="26" max="26" width="11.28515625" style="1" customWidth="1"/>
    <col min="27" max="27" width="10.7109375" style="1" bestFit="1" customWidth="1"/>
    <col min="28" max="28" width="11.7109375" style="1" customWidth="1"/>
    <col min="29" max="29" width="16" style="1" bestFit="1" customWidth="1"/>
    <col min="30" max="30" width="12" style="1" bestFit="1" customWidth="1"/>
    <col min="31" max="31" width="12.28515625" style="1" customWidth="1"/>
    <col min="32" max="32" width="14.7109375" style="1" bestFit="1" customWidth="1"/>
    <col min="33" max="34" width="12.28515625" style="35" customWidth="1"/>
    <col min="35" max="35" width="10.28515625" style="36" customWidth="1"/>
    <col min="36" max="36" width="13.5703125" style="1" customWidth="1"/>
    <col min="37" max="37" width="12.7109375" style="1" customWidth="1"/>
    <col min="38" max="42" width="9.140625" style="1"/>
    <col min="43" max="43" width="11" style="1" bestFit="1" customWidth="1"/>
    <col min="44" max="49" width="9.140625" style="1"/>
    <col min="50" max="50" width="13.85546875" style="1" bestFit="1" customWidth="1"/>
    <col min="51" max="51" width="9.140625" style="1"/>
    <col min="52" max="52" width="13.5703125" style="1" bestFit="1" customWidth="1"/>
    <col min="53" max="70" width="9.140625" style="1"/>
    <col min="71" max="71" width="12.85546875" style="1" bestFit="1" customWidth="1"/>
    <col min="72" max="16384" width="9.140625" style="1"/>
  </cols>
  <sheetData>
    <row r="1" spans="1:73" ht="27.75" customHeight="1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56" t="s">
        <v>35</v>
      </c>
      <c r="B3" s="156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181</v>
      </c>
      <c r="AB4" s="24" t="s">
        <v>182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110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181</v>
      </c>
      <c r="BM4" s="24" t="s">
        <v>182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110</v>
      </c>
      <c r="BU4" s="26" t="s">
        <v>168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111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111</v>
      </c>
      <c r="BU5" s="27" t="s">
        <v>169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111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111</v>
      </c>
      <c r="BU6" s="27" t="s">
        <v>169</v>
      </c>
    </row>
    <row r="7" spans="1:73" ht="14.25" customHeight="1">
      <c r="A7" s="27">
        <v>3</v>
      </c>
      <c r="B7" s="85" t="s">
        <v>116</v>
      </c>
      <c r="C7" s="80">
        <v>0</v>
      </c>
      <c r="D7" s="85" t="s">
        <v>116</v>
      </c>
      <c r="E7" s="106" t="s">
        <v>170</v>
      </c>
      <c r="F7" s="106" t="s">
        <v>170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111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111</v>
      </c>
      <c r="BU7" s="27" t="s">
        <v>172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7" sqref="F17"/>
    </sheetView>
  </sheetViews>
  <sheetFormatPr defaultRowHeight="15"/>
  <cols>
    <col min="2" max="2" width="28.7109375" bestFit="1" customWidth="1"/>
    <col min="4" max="4" width="28.7109375" bestFit="1" customWidth="1"/>
    <col min="5" max="5" width="10.42578125" customWidth="1"/>
    <col min="6" max="6" width="17.85546875" bestFit="1" customWidth="1"/>
    <col min="8" max="8" width="11" bestFit="1" customWidth="1"/>
    <col min="9" max="9" width="11.85546875" bestFit="1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bestFit="1" customWidth="1"/>
    <col min="18" max="18" width="14.7109375" bestFit="1" customWidth="1"/>
    <col min="19" max="19" width="11" customWidth="1"/>
    <col min="20" max="20" width="17.85546875" bestFit="1" customWidth="1"/>
    <col min="21" max="21" width="10.7109375" bestFit="1" customWidth="1"/>
    <col min="22" max="22" width="14" bestFit="1" customWidth="1"/>
    <col min="23" max="23" width="11.140625" customWidth="1"/>
    <col min="28" max="28" width="10.7109375" bestFit="1" customWidth="1"/>
    <col min="29" max="29" width="14.85546875" bestFit="1" customWidth="1"/>
    <col min="30" max="30" width="10.7109375" bestFit="1" customWidth="1"/>
    <col min="31" max="31" width="13.5703125" bestFit="1" customWidth="1"/>
    <col min="32" max="32" width="15.5703125" bestFit="1" customWidth="1"/>
    <col min="35" max="35" width="10" customWidth="1"/>
    <col min="36" max="36" width="14.85546875" customWidth="1"/>
    <col min="37" max="37" width="15" customWidth="1"/>
    <col min="40" max="40" width="11" bestFit="1" customWidth="1"/>
  </cols>
  <sheetData>
    <row r="1" spans="1:40" ht="18">
      <c r="A1" s="155" t="s">
        <v>42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56" t="s">
        <v>35</v>
      </c>
      <c r="B3" s="156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110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>
        <v>84</v>
      </c>
      <c r="AH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111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>
        <v>83</v>
      </c>
      <c r="AH6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111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176</v>
      </c>
      <c r="I10" s="57" t="s">
        <v>173</v>
      </c>
      <c r="J10" s="57" t="s">
        <v>174</v>
      </c>
      <c r="K10" s="111" t="s">
        <v>134</v>
      </c>
      <c r="L10" s="111" t="s">
        <v>135</v>
      </c>
      <c r="M10" s="111" t="s">
        <v>136</v>
      </c>
      <c r="N10" s="58" t="s">
        <v>137</v>
      </c>
      <c r="O10" s="59" t="s">
        <v>138</v>
      </c>
      <c r="P10" s="57" t="s">
        <v>177</v>
      </c>
      <c r="Q10" s="57" t="s">
        <v>175</v>
      </c>
      <c r="R10" s="58" t="s">
        <v>157</v>
      </c>
      <c r="S10" s="111" t="s">
        <v>158</v>
      </c>
      <c r="T10" s="58" t="s">
        <v>159</v>
      </c>
      <c r="U10" s="58" t="s">
        <v>160</v>
      </c>
      <c r="V10" s="112" t="s">
        <v>161</v>
      </c>
      <c r="W10" s="112" t="s">
        <v>178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169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169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180</v>
      </c>
      <c r="E13" s="62">
        <v>0</v>
      </c>
      <c r="F13" s="62" t="s">
        <v>180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179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56"/>
      <c r="B17" s="156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ShipSet</vt:lpstr>
      <vt:lpstr>Different Price Class (RC)</vt:lpstr>
      <vt:lpstr>SO Domestic RC (S&amp;D)</vt:lpstr>
      <vt:lpstr>SO Export UD (S&amp;D)</vt:lpstr>
      <vt:lpstr>CS DisSimilar</vt:lpstr>
      <vt:lpstr>CS</vt:lpstr>
      <vt:lpstr>CS DisSimilar Standard Price</vt:lpstr>
      <vt:lpstr>CS DisSimilar Catalog Price</vt:lpstr>
      <vt:lpstr>CSCat</vt:lpstr>
      <vt:lpstr>CS Similar Catalog Price</vt:lpstr>
      <vt:lpstr>CS Similar Standard Price</vt:lpstr>
      <vt:lpstr>CS Similar PriceList</vt:lpstr>
      <vt:lpstr>CS DisSimilar PriceList</vt:lpstr>
      <vt:lpstr>CS Similar Rate Contract</vt:lpstr>
      <vt:lpstr>CS DisSimilar Rate Contract</vt:lpstr>
      <vt:lpstr>Case 1</vt:lpstr>
      <vt:lpstr>Item Stocks</vt:lpstr>
      <vt:lpstr>SO UTGST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CESS</vt:lpstr>
      <vt:lpstr>Demo Exhibition</vt:lpstr>
      <vt:lpstr>CHARGES</vt:lpstr>
      <vt:lpstr>SO Amendment Disc UTGST</vt:lpstr>
      <vt:lpstr>SO Amendment Price UTGST</vt:lpstr>
      <vt:lpstr>SO Amendment AddItem UTGST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Add of 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Harikrishna</cp:lastModifiedBy>
  <dcterms:created xsi:type="dcterms:W3CDTF">2024-02-02T08:07:09Z</dcterms:created>
  <dcterms:modified xsi:type="dcterms:W3CDTF">2025-11-17T09:16:37Z</dcterms:modified>
</cp:coreProperties>
</file>