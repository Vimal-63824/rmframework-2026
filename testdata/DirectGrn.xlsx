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1" activeTab="1"/>
  </bookViews>
  <sheets>
    <sheet name="DGSUomWI" sheetId="6" r:id="rId1"/>
    <sheet name="DGSUomWoQWI" sheetId="60" r:id="rId2"/>
    <sheet name="DGDUomWI" sheetId="57" r:id="rId3"/>
    <sheet name="DGDUomWoQWI" sheetId="66" r:id="rId4"/>
    <sheet name="DGSUomWISer" sheetId="54" r:id="rId5"/>
    <sheet name="DGSUomWoQWISer" sheetId="63" r:id="rId6"/>
    <sheet name="DGSUomWoQRcWISer" sheetId="64" r:id="rId7"/>
    <sheet name="DGSUomWIRcSer" sheetId="55" r:id="rId8"/>
    <sheet name="DGSUomWIPlSer" sheetId="56" r:id="rId9"/>
    <sheet name="DGSUomWoQWIPlSer" sheetId="65" r:id="rId10"/>
    <sheet name="DGSUomWIRcImp" sheetId="52" r:id="rId11"/>
    <sheet name="DGSUomWIWoQRcImp" sheetId="61" r:id="rId12"/>
    <sheet name="DGDUomWIRcImp" sheetId="58" r:id="rId13"/>
    <sheet name="DGDUomWoQWIRcImp" sheetId="67" r:id="rId14"/>
    <sheet name="DGSUomWIPlImp" sheetId="53" r:id="rId15"/>
    <sheet name="DGSUomWIWoQPlImp" sheetId="62" r:id="rId16"/>
    <sheet name="DGDUomWIPlImp" sheetId="59" r:id="rId17"/>
    <sheet name="DGDUomWoQWIPlImp" sheetId="6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<sst xmlns="http://schemas.openxmlformats.org/spreadsheetml/2006/main" count="2784" uniqueCount="235">
  <si>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</si>
  <si>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</si>
  <si>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</si>
  <si>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</si>
  <si>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</si>
  <si>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</si>
  <si>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</si>
  <si>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</si>
  <si>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</si>
  <si>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</si>
  <si>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</si>
  <si>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</si>
  <si>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</si>
  <si>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</si>
  <si>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</si>
  <si>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</si>
  <si>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</si>
  <si>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</si>
  <si>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</si>
  <si>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</si>
  <si>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</si>
  <si>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</si>
  <si>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</si>
  <si>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</si>
  <si>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</si>
  <si>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</si>
  <si>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</si>
  <si>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</si>
  <si>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</si>
  <si>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</si>
  <si>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</si>
  <si>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</si>
  <si>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</si>
  <si>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</si>
  <si>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</si>
  <si>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</si>
  <si>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</si>
  <si>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</si>
  <si>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</si>
  <si>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</si>
  <si>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</si>
  <si>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</si>
  <si>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</si>
  <si>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</si>
  <si>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</si>
  <si>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</si>
  <si>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</si>
  <si>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</si>
  <si>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</si>
  <si>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</si>
  <si>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</si>
  <si>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</si>
  <si>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</si>
  <si>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</si>
  <si>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</si>
  <si>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</si>
  <si>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</si>
  <si>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</si>
  <si>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</si>
  <si>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</si>
  <si>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</si>
  <si>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</si>
  <si>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</si>
  <si>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</si>
  <si>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</si>
  <si>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</si>
  <si>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</si>
  <si>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</si>
  <si>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</si>
  <si>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</si>
  <si>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</si>
  <si>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</si>
  <si>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</si>
  <si>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</si>
  <si>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</si>
  <si>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GWL_Item_Similar_04</t>
  </si>
  <si>
    <t>GWL_Item_Similar_04_Desc</t>
  </si>
  <si>
    <t>NOS</t>
  </si>
  <si>
    <t>150</t>
  </si>
  <si>
    <t>5</t>
  </si>
  <si>
    <t>INS WH-1</t>
  </si>
  <si>
    <t>375</t>
  </si>
  <si>
    <t>3578.59301</t>
  </si>
  <si>
    <t>Receipt Qty &amp; Unit cost</t>
  </si>
  <si>
    <t>LOT</t>
  </si>
  <si>
    <t>RM</t>
  </si>
  <si>
    <t>RMS</t>
  </si>
  <si>
    <t>RM WH-49</t>
  </si>
  <si>
    <t>124.545</t>
  </si>
  <si>
    <t>80</t>
  </si>
  <si>
    <t>GWL_Item_Similar_2</t>
  </si>
  <si>
    <t>GWL_Item_Similar_02</t>
  </si>
  <si>
    <t>100</t>
  </si>
  <si>
    <t>4</t>
  </si>
  <si>
    <t>188</t>
  </si>
  <si>
    <t>1972.62723</t>
  </si>
  <si>
    <t>82.12</t>
  </si>
  <si>
    <t>60</t>
  </si>
  <si>
    <t>GWL_Item_Similar_05</t>
  </si>
  <si>
    <t>GWL_Item_Similar_05_Desc</t>
  </si>
  <si>
    <t>50</t>
  </si>
  <si>
    <t>3</t>
  </si>
  <si>
    <t>480</t>
  </si>
  <si>
    <t>1095.12917</t>
  </si>
  <si>
    <t>43.3</t>
  </si>
  <si>
    <t>300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</si>
  <si>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</si>
  <si>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</si>
  <si>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</si>
  <si>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</si>
  <si>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</si>
  <si>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</si>
  <si>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</si>
  <si>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</si>
  <si>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</si>
  <si>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</si>
  <si>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</si>
  <si>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</si>
  <si>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</si>
  <si>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</si>
  <si>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</si>
  <si>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</si>
  <si>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</si>
  <si>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</si>
  <si>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</si>
  <si>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</si>
  <si>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GWL_Item_WoQ_UD_Similar_01</t>
  </si>
  <si>
    <t>0</t>
  </si>
  <si>
    <t>10586.325</t>
  </si>
  <si>
    <t>GWL_Item_WoQ_UD_Similar_02</t>
  </si>
  <si>
    <t>6980.2</t>
  </si>
  <si>
    <t>GWL_Item_WoQ_UD_Similar_03</t>
  </si>
  <si>
    <t>3680.5</t>
  </si>
  <si>
    <t>GWL_Item_Dissimilar_03</t>
  </si>
  <si>
    <t>48.329</t>
  </si>
  <si>
    <t>12278.62068</t>
  </si>
  <si>
    <t>GWL_Item_Dissimilar_04</t>
  </si>
  <si>
    <t>22.661</t>
  </si>
  <si>
    <t>7550.20941</t>
  </si>
  <si>
    <t>GWL_Item_Dissimilar_05</t>
  </si>
  <si>
    <t>59.995</t>
  </si>
  <si>
    <t>4373.41115</t>
  </si>
  <si>
    <t>GWL_Dissimilar_01</t>
  </si>
  <si>
    <t>31758.975</t>
  </si>
  <si>
    <t>GWL_Dissimilar_02</t>
  </si>
  <si>
    <t>20940.6</t>
  </si>
  <si>
    <t>GWL_ITem_service_03</t>
  </si>
  <si>
    <t>GWL_Item_service_04</t>
  </si>
  <si>
    <t>GWL_Item_service_05</t>
  </si>
  <si>
    <t>GWL_Item_FP_service_01</t>
  </si>
  <si>
    <t>GWL_Item_FP_service_02</t>
  </si>
  <si>
    <t>GWL_Item_FP_service_03</t>
  </si>
  <si>
    <t>GWL_Item_FP_Rc_Service_01</t>
  </si>
  <si>
    <t>GWL_Item_FP_Rc_Service_02</t>
  </si>
  <si>
    <t>GWL_Item_FP_Rc_Service_03</t>
  </si>
  <si>
    <t>GWL_Item_Service_Rc_04</t>
  </si>
  <si>
    <t>GWL_Item_Service_Rc_05</t>
  </si>
  <si>
    <t>GWL_Item_Service_Rc_06</t>
  </si>
  <si>
    <t>GWL_Item_Service_Pl_01</t>
  </si>
  <si>
    <t>GWL_Item_Service_Pl_02</t>
  </si>
  <si>
    <t>GWL_Item_Service_Pl_03</t>
  </si>
  <si>
    <t>GWL_Item_FP_Pl_Service_04</t>
  </si>
  <si>
    <t>GWL_Item_FP_Pl_Service_01</t>
  </si>
  <si>
    <t>GWL_Item_FP_Pl_Service_05</t>
  </si>
  <si>
    <t>GWL_Item_FP_Pl_Service_02</t>
  </si>
  <si>
    <t>GWL_Item_FP_Pl_Service_06</t>
  </si>
  <si>
    <t>GWL_Item_FP_Pl_Service_03</t>
  </si>
  <si>
    <t>GWL_Item_Similar_Rc_01</t>
  </si>
  <si>
    <t>155</t>
  </si>
  <si>
    <t>800.03461</t>
  </si>
  <si>
    <t>GWL_Item_Similar_Rc_02</t>
  </si>
  <si>
    <t>6</t>
  </si>
  <si>
    <t>124</t>
  </si>
  <si>
    <t>1545.84427</t>
  </si>
  <si>
    <t>GWL_Item_Similar_Rc_03</t>
  </si>
  <si>
    <t>7</t>
  </si>
  <si>
    <t>320</t>
  </si>
  <si>
    <t>2652.80851</t>
  </si>
  <si>
    <t>GWL_Item_FP_Rc_01</t>
  </si>
  <si>
    <t>3714.5</t>
  </si>
  <si>
    <t>GWL_Item_FP_Rc_02</t>
  </si>
  <si>
    <t>GWL_Item_FP_Rc_03</t>
  </si>
  <si>
    <t>GWL_Item_Dissimilar_Rc_01</t>
  </si>
  <si>
    <t>58.328</t>
  </si>
  <si>
    <t>12031.21611</t>
  </si>
  <si>
    <t>GWL_Item_Dissimilar_Rc_02</t>
  </si>
  <si>
    <t>59.327</t>
  </si>
  <si>
    <t>7686.96602</t>
  </si>
  <si>
    <t>GWL_Item_Dissimilar_Rc_03</t>
  </si>
  <si>
    <t>66.661</t>
  </si>
  <si>
    <t>4494.63821</t>
  </si>
  <si>
    <t>GWL_Item_FP_Rc_Dissimilar_01</t>
  </si>
  <si>
    <t>GWL_Item_FP_Rc_Dissimilar_02</t>
  </si>
  <si>
    <t>GWL_Item_FP_Rc_Dissimilar_03</t>
  </si>
  <si>
    <t>GWL_Item_Similar_Pl_01</t>
  </si>
  <si>
    <t>4047.7125</t>
  </si>
  <si>
    <t>GWL_Item_Similar_Pl_02</t>
  </si>
  <si>
    <t>68</t>
  </si>
  <si>
    <t>2516.73647</t>
  </si>
  <si>
    <t>GWL_Item_Similar_Pl_03</t>
  </si>
  <si>
    <t>330</t>
  </si>
  <si>
    <t>1365.91819</t>
  </si>
  <si>
    <t>GWL_Item_FP_Pl_Similar_01</t>
  </si>
  <si>
    <t>GWL_Item_FP_Pl_Similar_02</t>
  </si>
  <si>
    <t>GWL_Item_FP_Pl_Similar_03</t>
  </si>
  <si>
    <t>GWL_Item_Dissimilar_Pl_01</t>
  </si>
  <si>
    <t>63.328</t>
  </si>
  <si>
    <t>11936.96801</t>
  </si>
  <si>
    <t>GWL_Item_Dissimilar_Pl_02</t>
  </si>
  <si>
    <t>100.999</t>
  </si>
  <si>
    <t>6939.4762</t>
  </si>
  <si>
    <t>GWL_Item_Dissimilar_Pl_03</t>
  </si>
  <si>
    <t>79.994</t>
  </si>
  <si>
    <t>4676.55914</t>
  </si>
  <si>
    <t>GWL_Item_FP_Pl_Dissimilar_01</t>
  </si>
  <si>
    <t>GWL_Item_FP_Pl_Dissimilar_02</t>
  </si>
  <si>
    <t>GWL_Item_FP_Pl_Dissimilar_03</t>
  </si>
  <si>
    <t>662</t>
  </si>
  <si>
    <t>3764.23791</t>
  </si>
  <si>
    <t>274</t>
  </si>
  <si>
    <t>2881.34244</t>
  </si>
  <si>
    <t>730</t>
  </si>
  <si>
    <t>1539.19605</t>
  </si>
  <si>
    <t>667</t>
  </si>
  <si>
    <t>3815.37799</t>
  </si>
  <si>
    <t>278</t>
  </si>
  <si>
    <t>2940.31881</t>
  </si>
  <si>
    <t>750</t>
  </si>
  <si>
    <t>1596.29749</t>
  </si>
  <si>
    <t>672</t>
  </si>
  <si>
    <t>3865.75706</t>
  </si>
  <si>
    <t>282</t>
  </si>
  <si>
    <t>2997.62209</t>
  </si>
  <si>
    <t>770</t>
  </si>
  <si>
    <t>1650.43262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</si>
</sst>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5" applyNumberFormat="0" applyAlignment="0" applyProtection="0">
      <alignment vertical="center"/>
    </xf>
    <xf numFmtId="0" fontId="16" fillId="13" borderId="14" applyNumberFormat="0" applyAlignment="0" applyProtection="0">
      <alignment vertical="center"/>
    </xf>
    <xf numFmtId="0" fontId="17" fillId="14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2" fontId="2" fillId="0" borderId="8" xfId="0" applyNumberFormat="1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5" fillId="0" borderId="10" xfId="0" applyFont="1" applyBorder="1">
      <alignment vertical="center"/>
    </xf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2" fillId="0" borderId="0" xfId="0" applyFont="1" applyFill="1" applyAlignme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J7" sqref="BJ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76</v>
      </c>
      <c r="D4" s="7" t="s">
        <v>77</v>
      </c>
      <c r="E4" s="7" t="s">
        <v>77</v>
      </c>
      <c r="F4" s="8">
        <v>5</v>
      </c>
      <c r="G4" t="s" s="0">
        <v>78</v>
      </c>
      <c r="H4" s="8">
        <f>F4*G4</f>
        <v>750</v>
      </c>
      <c r="I4" t="s" s="0">
        <v>79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26">
        <f>ROUND(M4+O4+Q4,3)</f>
        <v>127.28</v>
      </c>
      <c r="S4" s="26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>F4/AL4</f>
        <v>5</v>
      </c>
      <c r="AN4" s="26">
        <f>ROUND(AI4/AM4,5)</f>
        <v>10586.24</v>
      </c>
      <c r="AO4" s="26">
        <f>AJ4/AM4</f>
        <v>0</v>
      </c>
      <c r="AP4" s="26">
        <f>AK4/AM4</f>
        <v>0</v>
      </c>
      <c r="AQ4" s="26" t="s">
        <v>77</v>
      </c>
      <c r="AR4" s="26">
        <f>ROUND(AN4+AO4+AP4,5)</f>
        <v>10586.24</v>
      </c>
      <c r="AS4" s="38" t="s">
        <v>80</v>
      </c>
      <c r="AT4" s="39" t="s">
        <v>77</v>
      </c>
      <c r="AU4" t="s" s="0">
        <v>229</v>
      </c>
      <c r="AV4" t="s" s="0">
        <v>230</v>
      </c>
      <c r="AW4" s="39">
        <f>AM4</f>
        <v>5</v>
      </c>
      <c r="AX4" s="42">
        <f>AR4</f>
        <v>10586.24</v>
      </c>
      <c r="AY4" s="39">
        <f>AU4+AW4</f>
        <v>15</v>
      </c>
      <c r="AZ4" s="39">
        <f>ROUND(((AU4*AV4)+(AW4*AX4))/(AU4+AW4),5)</f>
        <v>3670.79889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>ROUND((((AW4*AZ4)+(BN4*BM4))/(AW4+BN4)),5)</f>
        <v>333.14817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90</v>
      </c>
      <c r="C5" s="7" t="s">
        <v>91</v>
      </c>
      <c r="D5" s="7" t="s">
        <v>77</v>
      </c>
      <c r="E5" s="7" t="s">
        <v>77</v>
      </c>
      <c r="F5" s="8">
        <v>4</v>
      </c>
      <c r="G5" t="s" s="0">
        <v>92</v>
      </c>
      <c r="H5" s="8">
        <f>F5*G5</f>
        <v>400</v>
      </c>
      <c r="I5" t="s" s="0">
        <v>93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0</v>
      </c>
      <c r="AC5" s="8">
        <f>IF($V3=1,S5+AB5,S5)</f>
        <v>328.47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27919.95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>F5/AL5</f>
        <v>4</v>
      </c>
      <c r="AN5" s="26">
        <f>ROUND(AI5/AM5,5)</f>
        <v>6979.9875</v>
      </c>
      <c r="AO5" s="26">
        <f>AJ5/AM5</f>
        <v>0</v>
      </c>
      <c r="AP5" s="26">
        <f>AK5/AM5</f>
        <v>0</v>
      </c>
      <c r="AQ5" s="26" t="s">
        <v>77</v>
      </c>
      <c r="AR5" s="26">
        <f>ROUND(AN5+AO5+AP5,5)</f>
        <v>6979.9875</v>
      </c>
      <c r="AS5" s="38" t="s">
        <v>80</v>
      </c>
      <c r="AT5" s="39" t="s">
        <v>77</v>
      </c>
      <c r="AU5" t="s" s="0">
        <v>231</v>
      </c>
      <c r="AV5" t="s" s="0">
        <v>232</v>
      </c>
      <c r="AW5" s="39">
        <f>AM5</f>
        <v>4</v>
      </c>
      <c r="AX5" s="42">
        <f>AR5</f>
        <v>6979.9875</v>
      </c>
      <c r="AY5" s="39">
        <f>AU5+AW5</f>
        <v>12</v>
      </c>
      <c r="AZ5" s="39">
        <f>ROUND(((AU5*AV5)+(AW5*AX5))/(AU5+AW5),5)</f>
        <v>2076.94724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>ROUND((((AW5*AZ5)+(BN5*BM5))/(AW5+BN5)),5)</f>
        <v>206.7967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7" t="s">
        <v>98</v>
      </c>
      <c r="C6" s="7" t="s">
        <v>99</v>
      </c>
      <c r="D6" s="7" t="s">
        <v>77</v>
      </c>
      <c r="E6" s="7" t="s">
        <v>77</v>
      </c>
      <c r="F6" s="8">
        <v>20</v>
      </c>
      <c r="G6" t="s" s="0">
        <v>100</v>
      </c>
      <c r="H6" s="8">
        <f>F6*G6</f>
        <v>1000</v>
      </c>
      <c r="I6" t="s" s="0">
        <v>101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0</v>
      </c>
      <c r="AC6" s="8">
        <f>IF($V4=1,S6+AB6,S6)</f>
        <v>866.02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73611.7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>F6/AL6</f>
        <v>20</v>
      </c>
      <c r="AN6" s="26">
        <f>ROUND(AI6/AM6,5)</f>
        <v>3680.585</v>
      </c>
      <c r="AO6" s="26">
        <f>AJ6/AM6</f>
        <v>0</v>
      </c>
      <c r="AP6" s="26">
        <f>AK6/AM6</f>
        <v>0</v>
      </c>
      <c r="AQ6" s="26" t="s">
        <v>77</v>
      </c>
      <c r="AR6" s="26">
        <f>ROUND(AN6+AO6+AP6,5)</f>
        <v>3680.585</v>
      </c>
      <c r="AS6" s="38" t="s">
        <v>80</v>
      </c>
      <c r="AT6" s="39" t="s">
        <v>77</v>
      </c>
      <c r="AU6" t="s" s="0">
        <v>233</v>
      </c>
      <c r="AV6" t="s" s="0">
        <v>234</v>
      </c>
      <c r="AW6" s="39">
        <f>AM6</f>
        <v>20</v>
      </c>
      <c r="AX6" s="39">
        <f>AR6</f>
        <v>3680.585</v>
      </c>
      <c r="AY6" s="39">
        <f>AU6+AW6</f>
        <v>50</v>
      </c>
      <c r="AZ6" s="39">
        <f>ROUND(((AU6*AV6)+(AW6*AX6))/(AU6+AW6),5)</f>
        <v>1198.5474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>ROUND((((AW6*AZ6)+(BN6*BM6))/(AW6+BN6)),5)</f>
        <v>115.50296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">SUM(R4:R4)</f>
        <v>127.28</v>
      </c>
      <c r="S7" s="13">
        <f t="shared" si="1"/>
        <v>622.72</v>
      </c>
      <c r="T7" s="27"/>
      <c r="U7" s="27"/>
      <c r="V7" s="28">
        <f t="shared" si="1"/>
        <v>0</v>
      </c>
      <c r="W7" s="28">
        <f t="shared" si="1"/>
        <v>0</v>
      </c>
      <c r="X7" s="28">
        <f t="shared" si="1"/>
        <v>0</v>
      </c>
      <c r="Y7" s="28"/>
      <c r="Z7" s="28"/>
      <c r="AA7" s="28"/>
      <c r="AB7" s="27">
        <f>SUM(AB4:AB4)</f>
        <v>0</v>
      </c>
      <c r="AC7" s="32">
        <f>SUM(AC4:AC4)</f>
        <v>622.72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52931.2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topLeftCell="AX1" workbookViewId="0">
      <selection activeCell="BM9" sqref="BM9"/>
    </sheetView>
  </sheetViews>
  <sheetFormatPr defaultColWidth="8.84761904761905" defaultRowHeight="15"/>
  <cols>
    <col min="2" max="3" customWidth="true" width="32.1428571428571"/>
    <col min="13" max="13" customWidth="true" width="9.14285714285714"/>
    <col min="14" max="14" customWidth="true" width="13.847619047619"/>
    <col min="29" max="29" width="9.28571428571429"/>
    <col min="35" max="35" customWidth="true" width="14.7142857142857"/>
    <col min="51" max="51" customWidth="true" width="14.5714285714286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126</v>
      </c>
      <c r="C4" s="7" t="s">
        <v>126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10586.18333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10586.18333</v>
      </c>
      <c r="AS4" s="38" t="s">
        <v>80</v>
      </c>
      <c r="AT4" s="39" t="s">
        <v>77</v>
      </c>
      <c r="AU4" t="s" s="0">
        <v>127</v>
      </c>
      <c r="AV4" t="s" s="0">
        <v>128</v>
      </c>
      <c r="AW4" s="39">
        <f t="shared" ref="AW4:AW6" si="12">AM4</f>
        <v>3</v>
      </c>
      <c r="AX4" s="42">
        <f t="shared" ref="AX4:AX6" si="13">AR4</f>
        <v>10586.18333</v>
      </c>
      <c r="AY4" s="39">
        <f t="shared" ref="AY4:AY6" si="14">AU4+AW4</f>
        <v>3</v>
      </c>
      <c r="AZ4" s="39">
        <f>ROUND(((AU4*AV4)+(AW4*AX4))/(AU4+AW4),5)</f>
        <v>10586.18333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502.67651</v>
      </c>
      <c r="BP4" s="48">
        <f t="shared" ref="BP4:BP6" si="16">ROUND(BN4+AW4,3)</f>
        <v>83</v>
      </c>
      <c r="BQ4" s="49">
        <v>123562</v>
      </c>
    </row>
    <row r="5" ht="15.75" spans="1:69">
      <c r="A5" s="7">
        <v>1</v>
      </c>
      <c r="B5" s="7" t="s">
        <v>129</v>
      </c>
      <c r="C5" s="7" t="s">
        <v>129</v>
      </c>
      <c r="D5" s="7" t="s">
        <v>77</v>
      </c>
      <c r="E5" s="7" t="s">
        <v>77</v>
      </c>
      <c r="F5" s="8">
        <v>9</v>
      </c>
      <c r="G5" t="s" s="0">
        <v>92</v>
      </c>
      <c r="H5" s="8">
        <f t="shared" si="0"/>
        <v>900</v>
      </c>
      <c r="I5" t="s" s="0">
        <v>93</v>
      </c>
      <c r="J5" s="8">
        <v>9</v>
      </c>
      <c r="K5" s="8">
        <v>6</v>
      </c>
      <c r="L5" s="8">
        <f t="shared" si="1"/>
        <v>900</v>
      </c>
      <c r="M5" s="8">
        <f>ROUND(L5*I5%,2)</f>
        <v>36</v>
      </c>
      <c r="N5" s="8">
        <f t="shared" si="2"/>
        <v>864</v>
      </c>
      <c r="O5" s="8">
        <f>ROUND(N5*J5%,2)</f>
        <v>77.76</v>
      </c>
      <c r="P5" s="8">
        <f t="shared" si="3"/>
        <v>786.24</v>
      </c>
      <c r="Q5" s="8">
        <f t="shared" si="4"/>
        <v>47.17</v>
      </c>
      <c r="R5" s="8">
        <f>M5+O5+Q5</f>
        <v>160.93</v>
      </c>
      <c r="S5" s="8">
        <f t="shared" si="5"/>
        <v>739.07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739.07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62820.95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9</v>
      </c>
      <c r="AN5" s="26">
        <f t="shared" si="8"/>
        <v>6980.10556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6980.10556</v>
      </c>
      <c r="AS5" s="38" t="s">
        <v>80</v>
      </c>
      <c r="AT5" s="39" t="s">
        <v>77</v>
      </c>
      <c r="AU5" t="s" s="0">
        <v>127</v>
      </c>
      <c r="AV5" t="s" s="0">
        <v>130</v>
      </c>
      <c r="AW5" s="39">
        <f t="shared" si="12"/>
        <v>9</v>
      </c>
      <c r="AX5" s="42">
        <f t="shared" si="13"/>
        <v>6980.10556</v>
      </c>
      <c r="AY5" s="39">
        <f t="shared" si="14"/>
        <v>9</v>
      </c>
      <c r="AZ5" s="39">
        <f>ROUND(((AU5*AV5)+(AW5*AX5))/(AU5+AW5),5)</f>
        <v>6980.10556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981.85725</v>
      </c>
      <c r="BP5" s="48">
        <f t="shared" si="16"/>
        <v>69</v>
      </c>
      <c r="BQ5" s="49">
        <v>123562</v>
      </c>
    </row>
    <row r="6" ht="15.75" spans="1:69">
      <c r="A6" s="7">
        <v>1</v>
      </c>
      <c r="B6" s="7" t="s">
        <v>131</v>
      </c>
      <c r="C6" s="7" t="s">
        <v>131</v>
      </c>
      <c r="D6" s="7" t="s">
        <v>77</v>
      </c>
      <c r="E6" s="7" t="s">
        <v>77</v>
      </c>
      <c r="F6" s="8">
        <v>12</v>
      </c>
      <c r="G6" t="s" s="0">
        <v>100</v>
      </c>
      <c r="H6" s="8">
        <f t="shared" si="0"/>
        <v>600</v>
      </c>
      <c r="I6" t="s" s="0">
        <v>101</v>
      </c>
      <c r="J6" s="8">
        <v>7</v>
      </c>
      <c r="K6" s="8">
        <v>4</v>
      </c>
      <c r="L6" s="8">
        <f t="shared" si="1"/>
        <v>600</v>
      </c>
      <c r="M6" s="8">
        <f>ROUND(L6*I6%,2)</f>
        <v>18</v>
      </c>
      <c r="N6" s="8">
        <f t="shared" si="2"/>
        <v>582</v>
      </c>
      <c r="O6" s="8">
        <f>ROUND(N6*J6%,2)</f>
        <v>40.74</v>
      </c>
      <c r="P6" s="8">
        <f t="shared" si="3"/>
        <v>541.26</v>
      </c>
      <c r="Q6" s="8">
        <f t="shared" si="4"/>
        <v>21.65</v>
      </c>
      <c r="R6" s="8">
        <f>M6+O6+Q6</f>
        <v>80.39</v>
      </c>
      <c r="S6" s="8">
        <f t="shared" si="5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519.61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44166.85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12</v>
      </c>
      <c r="AN6" s="26">
        <f t="shared" si="8"/>
        <v>3680.57083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3680.57083</v>
      </c>
      <c r="AS6" s="38" t="s">
        <v>80</v>
      </c>
      <c r="AT6" s="39" t="s">
        <v>77</v>
      </c>
      <c r="AU6" t="s" s="0">
        <v>127</v>
      </c>
      <c r="AV6" t="s" s="0">
        <v>132</v>
      </c>
      <c r="AW6" s="39">
        <f t="shared" si="12"/>
        <v>12</v>
      </c>
      <c r="AX6" s="39">
        <f t="shared" si="13"/>
        <v>3680.57083</v>
      </c>
      <c r="AY6" s="39">
        <f t="shared" si="14"/>
        <v>12</v>
      </c>
      <c r="AZ6" s="39">
        <f>ROUND(((AU6*AV6)+(AW6*AX6))/(AU6+AW6),5)</f>
        <v>3680.57083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183.19503</v>
      </c>
      <c r="BP6" s="48">
        <f t="shared" si="16"/>
        <v>312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M8" sqref="BM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133</v>
      </c>
      <c r="C4" s="7" t="s">
        <v>133</v>
      </c>
      <c r="D4" s="7" t="s">
        <v>77</v>
      </c>
      <c r="E4" s="7" t="s">
        <v>77</v>
      </c>
      <c r="F4" s="8">
        <v>12</v>
      </c>
      <c r="G4" t="s" s="0">
        <v>78</v>
      </c>
      <c r="H4" s="8">
        <f t="shared" ref="H4:H6" si="0">F4*G4</f>
        <v>1800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1800</v>
      </c>
      <c r="M4" s="8">
        <f>ROUND(L4*I4%,3)</f>
        <v>90</v>
      </c>
      <c r="N4" s="8">
        <f t="shared" ref="N4:N6" si="2">H4-M4</f>
        <v>1710</v>
      </c>
      <c r="O4" s="8">
        <f>ROUND(N4*J4%,3)</f>
        <v>136.8</v>
      </c>
      <c r="P4" s="8">
        <f t="shared" ref="P4:P6" si="3">ROUND(N4-O4,2)</f>
        <v>1573.2</v>
      </c>
      <c r="Q4" s="8">
        <f t="shared" ref="Q4:Q6" si="4">ROUND(P4*K4%,2)</f>
        <v>78.66</v>
      </c>
      <c r="R4" s="26">
        <f>ROUND(M4+O4+Q4,3)</f>
        <v>305.46</v>
      </c>
      <c r="S4" s="26">
        <f t="shared" ref="S4:S6" si="5"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1494.54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127035.9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4</v>
      </c>
      <c r="AN4" s="26">
        <f t="shared" ref="AN4:AN6" si="8">ROUND(AI4/AM4,5)</f>
        <v>31758.975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31758.975</v>
      </c>
      <c r="AS4" s="38" t="s">
        <v>80</v>
      </c>
      <c r="AT4" s="39" t="s">
        <v>77</v>
      </c>
      <c r="AU4" t="s" s="0">
        <v>134</v>
      </c>
      <c r="AV4" t="s" s="0">
        <v>135</v>
      </c>
      <c r="AW4" s="39">
        <f t="shared" ref="AW4:AW6" si="12">AM4</f>
        <v>4</v>
      </c>
      <c r="AX4" s="42">
        <f t="shared" ref="AX4:AX6" si="13">AR4</f>
        <v>31758.975</v>
      </c>
      <c r="AY4" s="39">
        <f t="shared" ref="AY4:AY6" si="14">AU4+AW4</f>
        <v>52.329</v>
      </c>
      <c r="AZ4" s="39">
        <f>ROUND(((AU4*AV4)+(AW4*AX4))/(AU4+AW4),5)</f>
        <v>13767.68826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774.21849</v>
      </c>
      <c r="BP4" s="48">
        <f t="shared" ref="BP4:BP6" si="16">ROUND(BN4+AW4,3)</f>
        <v>84</v>
      </c>
      <c r="BQ4" s="49">
        <v>123562</v>
      </c>
    </row>
    <row r="5" ht="15.75" spans="1:69">
      <c r="A5" s="7">
        <v>1</v>
      </c>
      <c r="B5" s="7" t="s">
        <v>136</v>
      </c>
      <c r="C5" s="7" t="s">
        <v>136</v>
      </c>
      <c r="D5" s="7" t="s">
        <v>77</v>
      </c>
      <c r="E5" s="7" t="s">
        <v>77</v>
      </c>
      <c r="F5" s="8">
        <v>3</v>
      </c>
      <c r="G5" t="s" s="0">
        <v>92</v>
      </c>
      <c r="H5" s="8">
        <f t="shared" si="0"/>
        <v>300</v>
      </c>
      <c r="I5" t="s" s="0">
        <v>93</v>
      </c>
      <c r="J5" s="8">
        <v>9</v>
      </c>
      <c r="K5" s="8">
        <v>6</v>
      </c>
      <c r="L5" s="8">
        <f t="shared" si="1"/>
        <v>300</v>
      </c>
      <c r="M5" s="8">
        <f>ROUND(L5*I5%,2)</f>
        <v>12</v>
      </c>
      <c r="N5" s="8">
        <f t="shared" si="2"/>
        <v>288</v>
      </c>
      <c r="O5" s="8">
        <f>ROUND(N5*J5%,2)</f>
        <v>25.92</v>
      </c>
      <c r="P5" s="8">
        <f t="shared" si="3"/>
        <v>262.08</v>
      </c>
      <c r="Q5" s="8">
        <f t="shared" si="4"/>
        <v>15.72</v>
      </c>
      <c r="R5" s="8">
        <f>M5+O5+Q5</f>
        <v>53.64</v>
      </c>
      <c r="S5" s="8">
        <f t="shared" si="5"/>
        <v>246.36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246.36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20940.6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 t="shared" si="7"/>
        <v>1</v>
      </c>
      <c r="AN5" s="26">
        <f t="shared" si="8"/>
        <v>20940.6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20940.6</v>
      </c>
      <c r="AS5" s="38" t="s">
        <v>80</v>
      </c>
      <c r="AT5" s="39" t="s">
        <v>77</v>
      </c>
      <c r="AU5" t="s" s="0">
        <v>137</v>
      </c>
      <c r="AV5" t="s" s="0">
        <v>138</v>
      </c>
      <c r="AW5" s="39">
        <f t="shared" si="12"/>
        <v>1</v>
      </c>
      <c r="AX5" s="42">
        <f t="shared" si="13"/>
        <v>20940.6</v>
      </c>
      <c r="AY5" s="39">
        <f t="shared" si="14"/>
        <v>23.661</v>
      </c>
      <c r="AZ5" s="39">
        <f>ROUND(((AU5*AV5)+(AW5*AX5))/(AU5+AW5),5)</f>
        <v>8116.13607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213.82518</v>
      </c>
      <c r="BP5" s="48">
        <f t="shared" si="16"/>
        <v>61</v>
      </c>
      <c r="BQ5" s="49">
        <v>123562</v>
      </c>
    </row>
    <row r="6" ht="15.75" spans="1:69">
      <c r="A6" s="7">
        <v>1</v>
      </c>
      <c r="B6" s="7" t="s">
        <v>139</v>
      </c>
      <c r="C6" s="7" t="s">
        <v>139</v>
      </c>
      <c r="D6" s="7" t="s">
        <v>77</v>
      </c>
      <c r="E6" s="7" t="s">
        <v>77</v>
      </c>
      <c r="F6" s="8">
        <v>9</v>
      </c>
      <c r="G6" t="s" s="0">
        <v>100</v>
      </c>
      <c r="H6" s="8">
        <f t="shared" si="0"/>
        <v>450</v>
      </c>
      <c r="I6" t="s" s="0">
        <v>101</v>
      </c>
      <c r="J6" s="8">
        <v>7</v>
      </c>
      <c r="K6" s="8">
        <v>4</v>
      </c>
      <c r="L6" s="8">
        <f t="shared" si="1"/>
        <v>450</v>
      </c>
      <c r="M6" s="8">
        <f>ROUND(L6*I6%,2)</f>
        <v>13.5</v>
      </c>
      <c r="N6" s="8">
        <f t="shared" si="2"/>
        <v>436.5</v>
      </c>
      <c r="O6" s="8">
        <f>ROUND(N6*J6%,2)</f>
        <v>30.56</v>
      </c>
      <c r="P6" s="8">
        <f t="shared" si="3"/>
        <v>405.94</v>
      </c>
      <c r="Q6" s="8">
        <f t="shared" si="4"/>
        <v>16.24</v>
      </c>
      <c r="R6" s="8">
        <f>M6+O6+Q6</f>
        <v>60.3</v>
      </c>
      <c r="S6" s="8">
        <f t="shared" si="5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389.7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33124.5</v>
      </c>
      <c r="AJ6" s="26">
        <f>IF($C$2=3,0,AG6+AH6)</f>
        <v>0</v>
      </c>
      <c r="AK6" s="26">
        <f>IF($C$2=3,AE6+AG6+AH6,0)</f>
        <v>0</v>
      </c>
      <c r="AL6" s="34">
        <v>3</v>
      </c>
      <c r="AM6" s="26">
        <f t="shared" si="7"/>
        <v>3</v>
      </c>
      <c r="AN6" s="26">
        <f t="shared" si="8"/>
        <v>11041.5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11041.5</v>
      </c>
      <c r="AS6" s="38" t="s">
        <v>80</v>
      </c>
      <c r="AT6" s="39" t="s">
        <v>77</v>
      </c>
      <c r="AU6" t="s" s="0">
        <v>140</v>
      </c>
      <c r="AV6" t="s" s="0">
        <v>141</v>
      </c>
      <c r="AW6" s="39">
        <f t="shared" si="12"/>
        <v>3</v>
      </c>
      <c r="AX6" s="39">
        <f t="shared" si="13"/>
        <v>11041.5</v>
      </c>
      <c r="AY6" s="39">
        <f t="shared" si="14"/>
        <v>62.995</v>
      </c>
      <c r="AZ6" s="39">
        <f>ROUND(((AU6*AV6)+(AW6*AX6))/(AU6+AW6),5)</f>
        <v>4690.96439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89.31648</v>
      </c>
      <c r="BP6" s="48">
        <f t="shared" si="16"/>
        <v>303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305.46</v>
      </c>
      <c r="S7" s="13">
        <f t="shared" si="17"/>
        <v>1494.54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1494.54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127035.9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1800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1494.54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49" max="49" width="14.5714285714286"/>
    <col min="50" max="50" width="10.1428571428571"/>
    <col min="51" max="51" width="14.5714285714286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142</v>
      </c>
      <c r="C4" s="7" t="s">
        <v>142</v>
      </c>
      <c r="D4" s="7" t="s">
        <v>77</v>
      </c>
      <c r="E4" s="7" t="s">
        <v>77</v>
      </c>
      <c r="F4" s="8">
        <v>5</v>
      </c>
      <c r="G4" t="s" s="0">
        <v>78</v>
      </c>
      <c r="H4" s="8">
        <f>F4*G4</f>
        <v>750</v>
      </c>
      <c r="I4" t="s" s="0">
        <v>79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26">
        <f>ROUND(M4+O4+Q4,3)</f>
        <v>127.28</v>
      </c>
      <c r="S4" s="26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1">
        <f>IF($V2=1,S4+AB4,S4)</f>
        <v>622.72</v>
      </c>
      <c r="AD4" s="26">
        <v>120</v>
      </c>
      <c r="AE4" s="26">
        <f>IF($P$2=1,(S4/$S$6)*$E$17,AD4/$AD$6*$E$17)</f>
        <v>0</v>
      </c>
      <c r="AF4" s="26"/>
      <c r="AG4" s="26">
        <f>IF($P$2=1,(S4/$S$6)*$E$19,AD4/$AD$6*$E$19)</f>
        <v>0</v>
      </c>
      <c r="AH4" s="26">
        <f>IF($P$2=1,(S4/$S$6)*$E$20,AD4/$AD$6*$E$20)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>F4/AL4</f>
        <v>1.66666666666667</v>
      </c>
      <c r="AN4" s="26">
        <f>ROUND(AI4/AM4,5)</f>
        <v>31758.72</v>
      </c>
      <c r="AO4" s="26">
        <f>AJ4/AM4</f>
        <v>0</v>
      </c>
      <c r="AP4" s="26">
        <f>AK4/AM4</f>
        <v>0</v>
      </c>
      <c r="AQ4" s="26" t="s">
        <v>77</v>
      </c>
      <c r="AR4" s="26">
        <f>ROUND(AN4+AO4+AP4,5)</f>
        <v>31758.72</v>
      </c>
      <c r="AS4" s="38" t="s">
        <v>80</v>
      </c>
      <c r="AT4" s="39" t="s">
        <v>77</v>
      </c>
      <c r="AU4" t="s" s="0">
        <v>127</v>
      </c>
      <c r="AV4" t="s" s="0">
        <v>143</v>
      </c>
      <c r="AW4" s="39">
        <f>AM4</f>
        <v>1.66666666666667</v>
      </c>
      <c r="AX4" s="42">
        <f>AR4</f>
        <v>31758.72</v>
      </c>
      <c r="AY4" s="39">
        <f>AU4+AW4</f>
        <v>49.9956666666667</v>
      </c>
      <c r="AZ4" s="43">
        <f>ROUND(((AU4*AV4)+(AW4*AX4))/(AU4+AW4),3)</f>
        <v>12928.014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>ROUND((((AW4*AZ4)+(BN4*BM4))/(AW4+BN4)),5)</f>
        <v>385.84029</v>
      </c>
      <c r="BP4" s="48">
        <f>ROUND(BN4+AW4,3)</f>
        <v>81.667</v>
      </c>
      <c r="BQ4" s="49">
        <v>123562</v>
      </c>
    </row>
    <row r="5" ht="15.75" spans="1:69">
      <c r="A5" s="7">
        <v>1</v>
      </c>
      <c r="B5" s="7" t="s">
        <v>144</v>
      </c>
      <c r="C5" s="7" t="s">
        <v>144</v>
      </c>
      <c r="D5" s="7" t="s">
        <v>77</v>
      </c>
      <c r="E5" s="7" t="s">
        <v>77</v>
      </c>
      <c r="F5" s="8">
        <v>4</v>
      </c>
      <c r="G5" t="s" s="0">
        <v>92</v>
      </c>
      <c r="H5" s="8">
        <f>F5*G5</f>
        <v>400</v>
      </c>
      <c r="I5" t="s" s="0">
        <v>93</v>
      </c>
      <c r="J5" s="8">
        <v>9</v>
      </c>
      <c r="K5" s="8">
        <v>6</v>
      </c>
      <c r="L5" s="8">
        <f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IF(OR(DGDUomWoQWI!$C$2=1,DGDUomWoQWI!$C$2=4),ROUND((((S5*U5)/100)/2),2),0)</f>
        <v>0</v>
      </c>
      <c r="W5" s="8">
        <f>IF(DGDUomWoQWI!$C$2=1,ROUND((((S5*U5)/100)/2),2),0)</f>
        <v>0</v>
      </c>
      <c r="X5" s="8">
        <f>IF(DGDUomWoQWI!$C$2=2,ROUND(((S5*U5)/100),2),0)</f>
        <v>0</v>
      </c>
      <c r="Y5" s="8">
        <f>IF(DGDUomWoQWI!$C$2=4,ROUND((((S5*U5)/100)/2),2),0)</f>
        <v>0</v>
      </c>
      <c r="Z5" s="8">
        <v>0</v>
      </c>
      <c r="AA5" s="8">
        <f>IF(DGDUomWoQWI!$C3=3,0,(S5*Z5)/100)</f>
        <v>0</v>
      </c>
      <c r="AB5" s="8">
        <f>V5+W5+X5+Y5+AA5</f>
        <v>0</v>
      </c>
      <c r="AC5" s="8">
        <f>IF(DGDUomWoQWI!$V3=1,S5+AB5,S5)</f>
        <v>328.47</v>
      </c>
      <c r="AD5" s="26">
        <v>120</v>
      </c>
      <c r="AE5" s="26">
        <f>IF(DGDUomWoQWI!$P$2=1,(S5/DGDUomWoQWI!$S$6)*DGDUomWoQWI!$E$17,AD5/DGDUomWoQWI!$AD$6*DGDUomWoQWI!$E$17)</f>
        <v>0</v>
      </c>
      <c r="AF5" s="26"/>
      <c r="AG5" s="26">
        <f>IF(DGDUomWoQWI!$P$2=1,(S5/DGDUomWoQWI!$S$6)*DGDUomWoQWI!$E$19,AD5/DGDUomWoQWI!$AD$6*DGDUomWoQWI!$E$19)</f>
        <v>0</v>
      </c>
      <c r="AH5" s="26">
        <f>IF(DGDUomWoQWI!$P$2=1,(S5/DGDUomWoQWI!$S$6)*DGDUomWoQWI!$E$20,AD5/DGDUomWoQWI!$AD$6*DGDUomWoQWI!$E$20)</f>
        <v>0</v>
      </c>
      <c r="AI5" s="26">
        <f>S5*DGDUomWoQWI!$M$2</f>
        <v>27919.95</v>
      </c>
      <c r="AJ5" s="26">
        <f>IF(DGDUomWoQWI!$C$2=3,0,AG5+AH5)</f>
        <v>0</v>
      </c>
      <c r="AK5" s="26">
        <f>IF(DGDUomWoQWI!$C$2=3,AE5+AG5+AH5,0)</f>
        <v>0</v>
      </c>
      <c r="AL5" s="34">
        <v>3</v>
      </c>
      <c r="AM5" s="26">
        <f>F5/AL5</f>
        <v>1.33333333333333</v>
      </c>
      <c r="AN5" s="26">
        <f>ROUND(AI5/AM5,5)</f>
        <v>20939.9625</v>
      </c>
      <c r="AO5" s="26">
        <f>AJ5/AM5</f>
        <v>0</v>
      </c>
      <c r="AP5" s="26">
        <f>AK5/AM5</f>
        <v>0</v>
      </c>
      <c r="AQ5" s="26" t="s">
        <v>77</v>
      </c>
      <c r="AR5" s="26">
        <f>ROUND(AN5+AO5+AP5,5)</f>
        <v>20939.9625</v>
      </c>
      <c r="AS5" s="38" t="s">
        <v>80</v>
      </c>
      <c r="AT5" s="39" t="s">
        <v>77</v>
      </c>
      <c r="AU5" t="s" s="0">
        <v>127</v>
      </c>
      <c r="AV5" t="s" s="0">
        <v>145</v>
      </c>
      <c r="AW5" s="39">
        <f>AM5</f>
        <v>1.33333333333333</v>
      </c>
      <c r="AX5" s="42">
        <f>AR5</f>
        <v>20939.9625</v>
      </c>
      <c r="AY5" s="39">
        <f>AU5+AW5</f>
        <v>23.9943333333333</v>
      </c>
      <c r="AZ5" s="42">
        <f>ROUND(((AU5*AV5)+(AW5*AX5))/(AU5+AW5),2)</f>
        <v>8294.26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>ROUND((((AW5*AZ5)+(BN5*BM5))/(AW5+BN5)),5)</f>
        <v>260.64478</v>
      </c>
      <c r="BP5" s="48">
        <f>ROUND(BN5+AW5,3)</f>
        <v>61.333</v>
      </c>
      <c r="BQ5" s="49">
        <v>123562</v>
      </c>
    </row>
    <row r="6" ht="15.75" spans="1:69">
      <c r="A6" s="9"/>
      <c r="B6" s="10"/>
      <c r="C6" s="10"/>
      <c r="D6" s="11" t="s">
        <v>106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7">
        <f t="shared" ref="R6:X6" si="0">SUM(R4:R4)</f>
        <v>127.28</v>
      </c>
      <c r="S6" s="13">
        <f t="shared" si="0"/>
        <v>622.72</v>
      </c>
      <c r="T6" s="27"/>
      <c r="U6" s="27"/>
      <c r="V6" s="28">
        <f t="shared" si="0"/>
        <v>0</v>
      </c>
      <c r="W6" s="28">
        <f t="shared" si="0"/>
        <v>0</v>
      </c>
      <c r="X6" s="28">
        <f t="shared" si="0"/>
        <v>0</v>
      </c>
      <c r="Y6" s="28"/>
      <c r="Z6" s="28"/>
      <c r="AA6" s="28"/>
      <c r="AB6" s="27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107</v>
      </c>
      <c r="H8" s="15"/>
      <c r="I8" s="19">
        <f>H6</f>
        <v>750</v>
      </c>
      <c r="J8" s="19"/>
      <c r="K8" s="9"/>
      <c r="L8" s="9"/>
      <c r="M8" s="20" t="s">
        <v>108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109</v>
      </c>
      <c r="BI8" s="55" t="s">
        <v>110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111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77</v>
      </c>
      <c r="O9" s="23">
        <v>2</v>
      </c>
      <c r="P9" s="23" t="s">
        <v>112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113</v>
      </c>
      <c r="BI9" s="55" t="s">
        <v>114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115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77</v>
      </c>
      <c r="O10" s="7">
        <v>2.5</v>
      </c>
      <c r="P10" s="7" t="s">
        <v>116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117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112</v>
      </c>
      <c r="O11" s="7">
        <v>0.001</v>
      </c>
      <c r="P11" s="7" t="s">
        <v>118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119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120</v>
      </c>
      <c r="BN13" s="9" t="s">
        <v>121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122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123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124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125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9" sqref="BK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146</v>
      </c>
      <c r="C4" s="7" t="s">
        <v>146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10586.18333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10586.18333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3</v>
      </c>
      <c r="AX4" s="42">
        <f t="shared" ref="AX4:AX6" si="13">AR4</f>
        <v>10586.18333</v>
      </c>
      <c r="AY4" s="39">
        <f t="shared" ref="AY4:AY6" si="14">AU4+AW4</f>
        <v>378</v>
      </c>
      <c r="AZ4" s="39">
        <f>ROUND(((AU4*AV4)+(AW4*AX4))/(AU4+AW4),5)</f>
        <v>3634.20881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251.40032</v>
      </c>
      <c r="BP4" s="48">
        <f t="shared" ref="BP4:BP6" si="16">ROUND(BN4+AW4,3)</f>
        <v>83</v>
      </c>
      <c r="BQ4" s="49">
        <v>123562</v>
      </c>
    </row>
    <row r="5" ht="15.75" spans="1:69">
      <c r="A5" s="7">
        <v>1</v>
      </c>
      <c r="B5" s="7" t="s">
        <v>147</v>
      </c>
      <c r="C5" s="7" t="s">
        <v>147</v>
      </c>
      <c r="D5" s="7" t="s">
        <v>77</v>
      </c>
      <c r="E5" s="7" t="s">
        <v>77</v>
      </c>
      <c r="F5" s="8">
        <v>6</v>
      </c>
      <c r="G5" t="s" s="0">
        <v>92</v>
      </c>
      <c r="H5" s="8">
        <f t="shared" si="0"/>
        <v>600</v>
      </c>
      <c r="I5" t="s" s="0">
        <v>93</v>
      </c>
      <c r="J5" s="8">
        <v>9</v>
      </c>
      <c r="K5" s="8">
        <v>6</v>
      </c>
      <c r="L5" s="8">
        <f t="shared" si="1"/>
        <v>600</v>
      </c>
      <c r="M5" s="8">
        <f>ROUND(L5*I5%,2)</f>
        <v>24</v>
      </c>
      <c r="N5" s="8">
        <f t="shared" si="2"/>
        <v>576</v>
      </c>
      <c r="O5" s="8">
        <f>ROUND(N5*J5%,2)</f>
        <v>51.84</v>
      </c>
      <c r="P5" s="8">
        <f t="shared" si="3"/>
        <v>524.16</v>
      </c>
      <c r="Q5" s="8">
        <f t="shared" si="4"/>
        <v>31.45</v>
      </c>
      <c r="R5" s="8">
        <f>M5+O5+Q5</f>
        <v>107.29</v>
      </c>
      <c r="S5" s="8">
        <f t="shared" si="5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492.71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41880.35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6</v>
      </c>
      <c r="AN5" s="26">
        <f t="shared" si="8"/>
        <v>6980.05833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6980.05833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6</v>
      </c>
      <c r="AX5" s="42">
        <f t="shared" si="13"/>
        <v>6980.05833</v>
      </c>
      <c r="AY5" s="39">
        <f t="shared" si="14"/>
        <v>194</v>
      </c>
      <c r="AZ5" s="39">
        <f>ROUND(((AU5*AV5)+(AW5*AX5))/(AU5+AW5),5)</f>
        <v>2127.49623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268.06329</v>
      </c>
      <c r="BP5" s="48">
        <f t="shared" si="16"/>
        <v>66</v>
      </c>
      <c r="BQ5" s="49">
        <v>123562</v>
      </c>
    </row>
    <row r="6" ht="15.75" spans="1:69">
      <c r="A6" s="7">
        <v>1</v>
      </c>
      <c r="B6" s="7" t="s">
        <v>148</v>
      </c>
      <c r="C6" s="7" t="s">
        <v>148</v>
      </c>
      <c r="D6" s="7" t="s">
        <v>77</v>
      </c>
      <c r="E6" s="7" t="s">
        <v>77</v>
      </c>
      <c r="F6" s="8">
        <v>12</v>
      </c>
      <c r="G6" t="s" s="0">
        <v>100</v>
      </c>
      <c r="H6" s="8">
        <f t="shared" si="0"/>
        <v>600</v>
      </c>
      <c r="I6" t="s" s="0">
        <v>101</v>
      </c>
      <c r="J6" s="8">
        <v>7</v>
      </c>
      <c r="K6" s="8">
        <v>4</v>
      </c>
      <c r="L6" s="8">
        <f t="shared" si="1"/>
        <v>600</v>
      </c>
      <c r="M6" s="8">
        <f>ROUND(L6*I6%,2)</f>
        <v>18</v>
      </c>
      <c r="N6" s="8">
        <f t="shared" si="2"/>
        <v>582</v>
      </c>
      <c r="O6" s="8">
        <f>ROUND(N6*J6%,2)</f>
        <v>40.74</v>
      </c>
      <c r="P6" s="8">
        <f t="shared" si="3"/>
        <v>541.26</v>
      </c>
      <c r="Q6" s="8">
        <f t="shared" si="4"/>
        <v>21.65</v>
      </c>
      <c r="R6" s="8">
        <f>M6+O6+Q6</f>
        <v>80.39</v>
      </c>
      <c r="S6" s="8">
        <f t="shared" si="5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519.61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44166.85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12</v>
      </c>
      <c r="AN6" s="26">
        <f t="shared" si="8"/>
        <v>3680.57083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3680.57083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12</v>
      </c>
      <c r="AX6" s="39">
        <f t="shared" si="13"/>
        <v>3680.57083</v>
      </c>
      <c r="AY6" s="39">
        <f t="shared" si="14"/>
        <v>492</v>
      </c>
      <c r="AZ6" s="39">
        <f>ROUND(((AU6*AV6)+(AW6*AX6))/(AU6+AW6),5)</f>
        <v>1158.18872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86.18034</v>
      </c>
      <c r="BP6" s="48">
        <f t="shared" si="16"/>
        <v>312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8" sqref="F1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2" t="s">
        <v>149</v>
      </c>
      <c r="C4" s="52" t="s">
        <v>149</v>
      </c>
      <c r="D4" s="7" t="s">
        <v>77</v>
      </c>
      <c r="E4" s="7" t="s">
        <v>77</v>
      </c>
      <c r="F4" s="8">
        <v>5</v>
      </c>
      <c r="G4" t="s" s="0">
        <v>78</v>
      </c>
      <c r="H4" s="8">
        <f t="shared" ref="H4:H6" si="0">F4*G4</f>
        <v>750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26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380</v>
      </c>
      <c r="AZ4" s="43">
        <f>ROUND(((AU4*AV4)+(AW4*AX4))/(AU4+AW4),3)</f>
        <v>3670.799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333.14818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52" t="s">
        <v>150</v>
      </c>
      <c r="C5" s="53" t="s">
        <v>150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IF(OR(DGSUomWoQWISer!$C$2=1,DGSUomWoQWISer!$C$2=4),ROUND((((S5*U5)/100)/2),2),0)</f>
        <v>0</v>
      </c>
      <c r="W5" s="8">
        <f>IF(DGSUomWoQWISer!$C$2=1,ROUND((((S5*U5)/100)/2),2),0)</f>
        <v>0</v>
      </c>
      <c r="X5" s="8">
        <f>IF(DGSUomWoQWISer!$C$2=2,ROUND(((S5*U5)/100),2),0)</f>
        <v>0</v>
      </c>
      <c r="Y5" s="8">
        <f>IF(DGSUomWoQWISer!$C$2=4,ROUND((((S5*U5)/100)/2),2),0)</f>
        <v>0</v>
      </c>
      <c r="Z5" s="8">
        <v>0</v>
      </c>
      <c r="AA5" s="8">
        <f>IF(DGSUomWoQWISer!$C3=3,0,(S5*Z5)/100)</f>
        <v>0</v>
      </c>
      <c r="AB5" s="8">
        <f t="shared" si="6"/>
        <v>0</v>
      </c>
      <c r="AC5" s="8">
        <f>IF(DGSUomWoQWISer!$V3=1,S5+AB5,S5)</f>
        <v>328.47</v>
      </c>
      <c r="AD5" s="26">
        <v>120</v>
      </c>
      <c r="AE5" s="26">
        <f>IF(DGSUomWoQWISer!$P$2=1,(S5/DGSUomWoQWISer!$S$7)*DGSUomWoQWISer!$E$18,AD5/DGSUomWoQWISer!$AD$7*DGSUomWoQWISer!$E$18)</f>
        <v>0</v>
      </c>
      <c r="AF5" s="26"/>
      <c r="AG5" s="26">
        <f>IF(DGSUomWoQWISer!$P$2=1,(S5/DGSUomWoQWISer!$S$7)*DGSUomWoQWISer!$E$20,AD5/DGSUomWoQWISer!$AD$7*DGSUomWoQWISer!$E$20)</f>
        <v>0</v>
      </c>
      <c r="AH5" s="26">
        <f>IF(DGSUomWoQWISer!$P$2=1,(S5/DGSUomWoQWISer!$S$7)*DGSUomWoQWISer!$E$21,AD5/DGSUomWoQWISer!$AD$7*DGSUomWoQWISer!$E$21)</f>
        <v>0</v>
      </c>
      <c r="AI5" s="26">
        <f>S5*DGSUomWoQWISer!$M$2</f>
        <v>27919.95</v>
      </c>
      <c r="AJ5" s="26">
        <f>IF(DGSUomWoQWISer!$C$2=3,0,AG5+AH5)</f>
        <v>0</v>
      </c>
      <c r="AK5" s="26">
        <f>IF(DGSUomWoQWISer!$C$2=3,AE5+AG5+AH5,0)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206.79688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53" t="s">
        <v>151</v>
      </c>
      <c r="C6" s="53" t="s">
        <v>151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IF(OR(DGSUomWoQWISer!$C$2=1,DGSUomWoQWISer!$C$2=4),ROUND((((S6*U6)/100)/2),2),0)</f>
        <v>0</v>
      </c>
      <c r="W6" s="8">
        <f>IF(DGSUomWoQWISer!$C$2=1,ROUND((((S6*U6)/100)/2),2),0)</f>
        <v>0</v>
      </c>
      <c r="X6" s="8">
        <f>IF(DGSUomWoQWISer!$C$2=2,ROUND(((S6*U6)/100),2),0)</f>
        <v>0</v>
      </c>
      <c r="Y6" s="8">
        <f>IF(DGSUomWoQWISer!$C$2=4,ROUND((((S6*U6)/100)/2),2),0)</f>
        <v>0</v>
      </c>
      <c r="Z6" s="8">
        <v>0</v>
      </c>
      <c r="AA6" s="8">
        <f>IF(DGSUomWoQWISer!$C4=3,0,(S6*Z6)/100)</f>
        <v>0</v>
      </c>
      <c r="AB6" s="8">
        <f t="shared" si="6"/>
        <v>0</v>
      </c>
      <c r="AC6" s="8">
        <f>IF(DGSUomWoQWISer!$V4=1,S6+AB6,S6)</f>
        <v>866.02</v>
      </c>
      <c r="AD6" s="26">
        <v>120</v>
      </c>
      <c r="AE6" s="26">
        <f>IF(DGSUomWoQWISer!$P$2=1,(S6/DGSUomWoQWISer!$S$7)*DGSUomWoQWISer!$E$18,AD6/DGSUomWoQWISer!$AD$7*DGSUomWoQWISer!$E$18)</f>
        <v>0</v>
      </c>
      <c r="AF6" s="26"/>
      <c r="AG6" s="26">
        <f>IF(DGSUomWoQWISer!$P$2=1,(S6/DGSUomWoQWISer!$S$7)*DGSUomWoQWISer!$E$20,AD6/DGSUomWoQWISer!$AD$7*DGSUomWoQWISer!$E$20)</f>
        <v>0</v>
      </c>
      <c r="AH6" s="26">
        <f>IF(DGSUomWoQWISer!$P$2=1,(S6/DGSUomWoQWISer!$S$7)*DGSUomWoQWISer!$E$21,AD6/DGSUomWoQWISer!$AD$7*DGSUomWoQWISer!$E$21)</f>
        <v>0</v>
      </c>
      <c r="AI6" s="26">
        <f>S6*DGSUomWoQWISer!$M$2</f>
        <v>73611.7</v>
      </c>
      <c r="AJ6" s="26">
        <f>IF(DGSUomWoQWISer!$C$2=3,0,AG6+AH6)</f>
        <v>0</v>
      </c>
      <c r="AK6" s="26">
        <f>IF(DGSUomWoQWISer!$C$2=3,AE6+AG6+AH6,0)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115.5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Q11" sqref="Q11"/>
    </sheetView>
  </sheetViews>
  <sheetFormatPr defaultColWidth="8.84761904761905" defaultRowHeight="15"/>
  <cols>
    <col min="2" max="2" customWidth="true" width="28.0"/>
    <col min="3" max="3" customWidth="true" width="29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2" t="s">
        <v>152</v>
      </c>
      <c r="C4" s="52" t="s">
        <v>152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8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380</v>
      </c>
      <c r="AZ4" s="43">
        <f>ROUND(((AU4*AV4)+(AW4*AX4))/(AU4+AW4),3)</f>
        <v>3580.381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327.82947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52" t="s">
        <v>153</v>
      </c>
      <c r="C5" s="53" t="s">
        <v>153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IF(OR(DGSUomWoQRcWISer!$C$2=1,DGSUomWoQRcWISer!$C$2=4),ROUND((((S5*U5)/100)/2),2),0)</f>
        <v>0</v>
      </c>
      <c r="W5" s="8">
        <f>IF(DGSUomWoQRcWISer!$C$2=1,ROUND((((S5*U5)/100)/2),2),0)</f>
        <v>0</v>
      </c>
      <c r="X5" s="8">
        <f>IF(DGSUomWoQRcWISer!$C$2=2,ROUND(((S5*U5)/100),2),0)</f>
        <v>0</v>
      </c>
      <c r="Y5" s="8">
        <f>IF(DGSUomWoQRcWISer!$C$2=4,ROUND((((S5*U5)/100)/2),2),0)</f>
        <v>0</v>
      </c>
      <c r="Z5" s="8">
        <v>0</v>
      </c>
      <c r="AA5" s="8">
        <f>IF(DGSUomWoQRcWISer!$C3=3,0,(S5*Z5)/100)</f>
        <v>0</v>
      </c>
      <c r="AB5" s="8">
        <f t="shared" si="6"/>
        <v>0</v>
      </c>
      <c r="AC5" s="8">
        <f>IF(DGSUomWoQRcWISer!$V3=1,S5+AB5,S5)</f>
        <v>328.47</v>
      </c>
      <c r="AD5" s="26">
        <v>120</v>
      </c>
      <c r="AE5" s="26">
        <f>IF(DGSUomWoQRcWISer!$P$2=1,(S5/DGSUomWoQRcWISer!$S$7)*DGSUomWoQRcWISer!$E$18,AD5/DGSUomWoQRcWISer!$AD$7*DGSUomWoQRcWISer!$E$18)</f>
        <v>0</v>
      </c>
      <c r="AF5" s="26"/>
      <c r="AG5" s="26">
        <f>IF(DGSUomWoQRcWISer!$P$2=1,(S5/DGSUomWoQRcWISer!$S$7)*DGSUomWoQRcWISer!$E$20,AD5/DGSUomWoQRcWISer!$AD$7*DGSUomWoQRcWISer!$E$20)</f>
        <v>0</v>
      </c>
      <c r="AH5" s="26">
        <f>IF(DGSUomWoQRcWISer!$P$2=1,(S5/DGSUomWoQRcWISer!$S$7)*DGSUomWoQRcWISer!$E$21,AD5/DGSUomWoQRcWISer!$AD$7*DGSUomWoQRcWISer!$E$21)</f>
        <v>0</v>
      </c>
      <c r="AI5" s="26">
        <f>S5*DGSUomWoQRcWISer!$M$2</f>
        <v>27919.95</v>
      </c>
      <c r="AJ5" s="26">
        <f>IF(DGSUomWoQRcWISer!$C$2=3,0,AG5+AH5)</f>
        <v>0</v>
      </c>
      <c r="AK5" s="26">
        <f>IF(DGSUomWoQRcWISer!$C$2=3,AE5+AG5+AH5,0)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206.79688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53" t="s">
        <v>154</v>
      </c>
      <c r="C6" s="53" t="s">
        <v>154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IF(OR(DGSUomWoQRcWISer!$C$2=1,DGSUomWoQRcWISer!$C$2=4),ROUND((((S6*U6)/100)/2),2),0)</f>
        <v>0</v>
      </c>
      <c r="W6" s="8">
        <f>IF(DGSUomWoQRcWISer!$C$2=1,ROUND((((S6*U6)/100)/2),2),0)</f>
        <v>0</v>
      </c>
      <c r="X6" s="8">
        <f>IF(DGSUomWoQRcWISer!$C$2=2,ROUND(((S6*U6)/100),2),0)</f>
        <v>0</v>
      </c>
      <c r="Y6" s="8">
        <f>IF(DGSUomWoQRcWISer!$C$2=4,ROUND((((S6*U6)/100)/2),2),0)</f>
        <v>0</v>
      </c>
      <c r="Z6" s="8">
        <v>0</v>
      </c>
      <c r="AA6" s="8">
        <f>IF(DGSUomWoQRcWISer!$C4=3,0,(S6*Z6)/100)</f>
        <v>0</v>
      </c>
      <c r="AB6" s="8">
        <f t="shared" si="6"/>
        <v>0</v>
      </c>
      <c r="AC6" s="8">
        <f>IF(DGSUomWoQRcWISer!$V4=1,S6+AB6,S6)</f>
        <v>866.02</v>
      </c>
      <c r="AD6" s="26">
        <v>120</v>
      </c>
      <c r="AE6" s="26">
        <f>IF(DGSUomWoQRcWISer!$P$2=1,(S6/DGSUomWoQRcWISer!$S$7)*DGSUomWoQRcWISer!$E$18,AD6/DGSUomWoQRcWISer!$AD$7*DGSUomWoQRcWISer!$E$18)</f>
        <v>0</v>
      </c>
      <c r="AF6" s="26"/>
      <c r="AG6" s="26">
        <f>IF(DGSUomWoQRcWISer!$P$2=1,(S6/DGSUomWoQRcWISer!$S$7)*DGSUomWoQRcWISer!$E$20,AD6/DGSUomWoQRcWISer!$AD$7*DGSUomWoQRcWISer!$E$20)</f>
        <v>0</v>
      </c>
      <c r="AH6" s="26">
        <f>IF(DGSUomWoQRcWISer!$P$2=1,(S6/DGSUomWoQRcWISer!$S$7)*DGSUomWoQRcWISer!$E$21,AD6/DGSUomWoQRcWISer!$AD$7*DGSUomWoQRcWISer!$E$21)</f>
        <v>0</v>
      </c>
      <c r="AI6" s="26">
        <f>S6*DGSUomWoQRcWISer!$M$2</f>
        <v>73611.7</v>
      </c>
      <c r="AJ6" s="26">
        <f>IF(DGSUomWoQRcWISer!$C$2=3,0,AG6+AH6)</f>
        <v>0</v>
      </c>
      <c r="AK6" s="26">
        <f>IF(DGSUomWoQRcWISer!$C$2=3,AE6+AG6+AH6,0)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115.5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V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155</v>
      </c>
      <c r="C4" s="7" t="s">
        <v>155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10586.18333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10586.18333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3</v>
      </c>
      <c r="AX4" s="42">
        <f t="shared" ref="AX4:AX6" si="13">AR4</f>
        <v>10586.18333</v>
      </c>
      <c r="AY4" s="39">
        <f t="shared" ref="AY4:AY6" si="14">AU4+AW4</f>
        <v>378</v>
      </c>
      <c r="AZ4" s="39">
        <f>ROUND(((AU4*AV4)+(AW4*AX4))/(AU4+AW4),5)</f>
        <v>3634.20881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251.40032</v>
      </c>
      <c r="BP4" s="48">
        <f t="shared" ref="BP4:BP6" si="16">ROUND(BN4+AW4,3)</f>
        <v>83</v>
      </c>
      <c r="BQ4" s="49">
        <v>123562</v>
      </c>
    </row>
    <row r="5" ht="15.75" spans="1:69">
      <c r="A5" s="7">
        <v>1</v>
      </c>
      <c r="B5" s="7" t="s">
        <v>156</v>
      </c>
      <c r="C5" s="7" t="s">
        <v>156</v>
      </c>
      <c r="D5" s="7" t="s">
        <v>77</v>
      </c>
      <c r="E5" s="7" t="s">
        <v>77</v>
      </c>
      <c r="F5" s="8">
        <v>6</v>
      </c>
      <c r="G5" t="s" s="0">
        <v>92</v>
      </c>
      <c r="H5" s="8">
        <f t="shared" si="0"/>
        <v>600</v>
      </c>
      <c r="I5" t="s" s="0">
        <v>93</v>
      </c>
      <c r="J5" s="8">
        <v>9</v>
      </c>
      <c r="K5" s="8">
        <v>6</v>
      </c>
      <c r="L5" s="8">
        <f t="shared" si="1"/>
        <v>600</v>
      </c>
      <c r="M5" s="8">
        <f>ROUND(L5*I5%,2)</f>
        <v>24</v>
      </c>
      <c r="N5" s="8">
        <f t="shared" si="2"/>
        <v>576</v>
      </c>
      <c r="O5" s="8">
        <f>ROUND(N5*J5%,2)</f>
        <v>51.84</v>
      </c>
      <c r="P5" s="8">
        <f t="shared" si="3"/>
        <v>524.16</v>
      </c>
      <c r="Q5" s="8">
        <f t="shared" si="4"/>
        <v>31.45</v>
      </c>
      <c r="R5" s="8">
        <f>M5+O5+Q5</f>
        <v>107.29</v>
      </c>
      <c r="S5" s="8">
        <f t="shared" si="5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492.71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41880.35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6</v>
      </c>
      <c r="AN5" s="26">
        <f t="shared" si="8"/>
        <v>6980.05833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6980.05833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6</v>
      </c>
      <c r="AX5" s="42">
        <f t="shared" si="13"/>
        <v>6980.05833</v>
      </c>
      <c r="AY5" s="39">
        <f t="shared" si="14"/>
        <v>194</v>
      </c>
      <c r="AZ5" s="39">
        <f>ROUND(((AU5*AV5)+(AW5*AX5))/(AU5+AW5),5)</f>
        <v>2127.49623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268.06329</v>
      </c>
      <c r="BP5" s="48">
        <f t="shared" si="16"/>
        <v>66</v>
      </c>
      <c r="BQ5" s="49">
        <v>123562</v>
      </c>
    </row>
    <row r="6" ht="15.75" spans="1:69">
      <c r="A6" s="7">
        <v>1</v>
      </c>
      <c r="B6" s="51" t="s">
        <v>157</v>
      </c>
      <c r="C6" s="51" t="s">
        <v>157</v>
      </c>
      <c r="D6" s="7" t="s">
        <v>77</v>
      </c>
      <c r="E6" s="7" t="s">
        <v>77</v>
      </c>
      <c r="F6" s="8">
        <v>9</v>
      </c>
      <c r="G6" t="s" s="0">
        <v>100</v>
      </c>
      <c r="H6" s="8">
        <f t="shared" si="0"/>
        <v>450</v>
      </c>
      <c r="I6" t="s" s="0">
        <v>101</v>
      </c>
      <c r="J6" s="8">
        <v>7</v>
      </c>
      <c r="K6" s="8">
        <v>4</v>
      </c>
      <c r="L6" s="8">
        <f t="shared" si="1"/>
        <v>450</v>
      </c>
      <c r="M6" s="8">
        <f>ROUND(L6*I6%,2)</f>
        <v>13.5</v>
      </c>
      <c r="N6" s="8">
        <f t="shared" si="2"/>
        <v>436.5</v>
      </c>
      <c r="O6" s="8">
        <f>ROUND(N6*J6%,2)</f>
        <v>30.56</v>
      </c>
      <c r="P6" s="8">
        <f t="shared" si="3"/>
        <v>405.94</v>
      </c>
      <c r="Q6" s="8">
        <f t="shared" si="4"/>
        <v>16.24</v>
      </c>
      <c r="R6" s="8">
        <f>M6+O6+Q6</f>
        <v>60.3</v>
      </c>
      <c r="S6" s="8">
        <f t="shared" si="5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389.7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33124.5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9</v>
      </c>
      <c r="AN6" s="26">
        <f t="shared" si="8"/>
        <v>3680.5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9</v>
      </c>
      <c r="AX6" s="39">
        <f t="shared" si="13"/>
        <v>3680.5</v>
      </c>
      <c r="AY6" s="39">
        <f t="shared" si="14"/>
        <v>489</v>
      </c>
      <c r="AZ6" s="39">
        <f>ROUND(((AU6*AV6)+(AW6*AX6))/(AU6+AW6),5)</f>
        <v>1142.71268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75.32173</v>
      </c>
      <c r="BP6" s="48">
        <f t="shared" si="16"/>
        <v>309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158</v>
      </c>
      <c r="C4" s="7" t="s">
        <v>158</v>
      </c>
      <c r="D4" s="7" t="s">
        <v>77</v>
      </c>
      <c r="E4" s="7" t="s">
        <v>77</v>
      </c>
      <c r="F4" s="8">
        <v>3</v>
      </c>
      <c r="G4" t="s" s="0">
        <v>100</v>
      </c>
      <c r="H4" s="8">
        <f t="shared" ref="H4:H6" si="0">F4*G4</f>
        <v>150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150</v>
      </c>
      <c r="O4" s="8">
        <f>ROUND(N4*J4%,3)</f>
        <v>12</v>
      </c>
      <c r="P4" s="8">
        <f t="shared" ref="P4:P6" si="3">ROUND(N4-O4,2)</f>
        <v>138</v>
      </c>
      <c r="Q4" s="8">
        <f t="shared" ref="Q4:Q6" si="4">ROUND(P4*K4%,2)</f>
        <v>6.9</v>
      </c>
      <c r="R4" s="26">
        <f>ROUND(M4+O4+Q4,3)</f>
        <v>18.9</v>
      </c>
      <c r="S4" s="8">
        <f>(H4-R4)</f>
        <v>131.1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5">V4+W4+X4+Y4+AA4</f>
        <v>0</v>
      </c>
      <c r="AC4" s="31">
        <f>IF($V2=1,S4+AB4,S4)</f>
        <v>131.1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11143.5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6">F4/AL4</f>
        <v>3</v>
      </c>
      <c r="AN4" s="26">
        <f t="shared" ref="AN4:AN6" si="7">ROUND(AI4/AM4,5)</f>
        <v>3714.5</v>
      </c>
      <c r="AO4" s="26">
        <f t="shared" ref="AO4:AO6" si="8">AJ4/AM4</f>
        <v>0</v>
      </c>
      <c r="AP4" s="26">
        <f t="shared" ref="AP4:AP6" si="9">AK4/AM4</f>
        <v>0</v>
      </c>
      <c r="AQ4" s="26" t="s">
        <v>77</v>
      </c>
      <c r="AR4" s="26">
        <f t="shared" ref="AR4:AR6" si="10">ROUND(AN4+AO4+AP4,5)</f>
        <v>3714.5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1">AM4</f>
        <v>3</v>
      </c>
      <c r="AX4" s="42">
        <f t="shared" ref="AX4:AX6" si="12">AR4</f>
        <v>3714.5</v>
      </c>
      <c r="AY4" s="39">
        <f t="shared" ref="AY4:AY6" si="13">AU4+AW4</f>
        <v>378</v>
      </c>
      <c r="AZ4" s="39">
        <f>ROUND(((AU4*AV4)+(AW4*AX4))/(AU4+AW4),5)</f>
        <v>3579.67164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4">ROUND((((AW4*AZ4)+(BN4*BM4))/(AW4+BN4)),5)</f>
        <v>249.4291</v>
      </c>
      <c r="BP4" s="48">
        <f t="shared" ref="BP4:BP6" si="15">ROUND(BN4+AW4,3)</f>
        <v>83</v>
      </c>
      <c r="BQ4" s="49">
        <v>123562</v>
      </c>
    </row>
    <row r="5" ht="15.75" spans="1:69">
      <c r="A5" s="7">
        <v>1</v>
      </c>
      <c r="B5" s="7" t="s">
        <v>159</v>
      </c>
      <c r="C5" s="7" t="s">
        <v>159</v>
      </c>
      <c r="D5" s="7" t="s">
        <v>77</v>
      </c>
      <c r="E5" s="7" t="s">
        <v>77</v>
      </c>
      <c r="F5" s="8">
        <v>12</v>
      </c>
      <c r="G5" t="s" s="0">
        <v>92</v>
      </c>
      <c r="H5" s="8">
        <f t="shared" si="0"/>
        <v>1200</v>
      </c>
      <c r="I5" t="s" s="0">
        <v>93</v>
      </c>
      <c r="J5" s="8">
        <v>9</v>
      </c>
      <c r="K5" s="8">
        <v>6</v>
      </c>
      <c r="L5" s="8">
        <f t="shared" si="1"/>
        <v>1200</v>
      </c>
      <c r="M5" s="8">
        <f>ROUND(L5*I5%,2)</f>
        <v>48</v>
      </c>
      <c r="N5" s="8">
        <f t="shared" si="2"/>
        <v>1152</v>
      </c>
      <c r="O5" s="8">
        <f>ROUND(N5*J5%,2)</f>
        <v>103.68</v>
      </c>
      <c r="P5" s="8">
        <f t="shared" si="3"/>
        <v>1048.32</v>
      </c>
      <c r="Q5" s="8">
        <f t="shared" si="4"/>
        <v>62.9</v>
      </c>
      <c r="R5" s="8">
        <f>M5+O5+Q5</f>
        <v>214.58</v>
      </c>
      <c r="S5" s="8">
        <f t="shared" ref="S4:S6" si="16">(H5-R5)</f>
        <v>985.42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5"/>
        <v>0</v>
      </c>
      <c r="AC5" s="8">
        <f>IF($V3=1,S5+AB5,S5)</f>
        <v>985.42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83760.7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6"/>
        <v>12</v>
      </c>
      <c r="AN5" s="26">
        <f t="shared" si="7"/>
        <v>6980.05833</v>
      </c>
      <c r="AO5" s="26">
        <f t="shared" si="8"/>
        <v>0</v>
      </c>
      <c r="AP5" s="26">
        <f t="shared" si="9"/>
        <v>0</v>
      </c>
      <c r="AQ5" s="26" t="s">
        <v>77</v>
      </c>
      <c r="AR5" s="26">
        <f t="shared" si="10"/>
        <v>6980.05833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1"/>
        <v>12</v>
      </c>
      <c r="AX5" s="42">
        <f t="shared" si="12"/>
        <v>6980.05833</v>
      </c>
      <c r="AY5" s="39">
        <f t="shared" si="13"/>
        <v>200</v>
      </c>
      <c r="AZ5" s="39">
        <f>ROUND(((AU5*AV5)+(AW5*AX5))/(AU5+AW5),5)</f>
        <v>2273.0731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4"/>
        <v>447.27885</v>
      </c>
      <c r="BP5" s="48">
        <f t="shared" si="15"/>
        <v>72</v>
      </c>
      <c r="BQ5" s="49">
        <v>123562</v>
      </c>
    </row>
    <row r="6" ht="15.75" spans="1:69">
      <c r="A6" s="7">
        <v>1</v>
      </c>
      <c r="B6" s="50" t="s">
        <v>160</v>
      </c>
      <c r="C6" s="51" t="s">
        <v>160</v>
      </c>
      <c r="D6" s="7" t="s">
        <v>77</v>
      </c>
      <c r="E6" s="7" t="s">
        <v>77</v>
      </c>
      <c r="F6" s="8">
        <v>9</v>
      </c>
      <c r="G6" t="s" s="0">
        <v>100</v>
      </c>
      <c r="H6" s="8">
        <f t="shared" si="0"/>
        <v>450</v>
      </c>
      <c r="I6" t="s" s="0">
        <v>101</v>
      </c>
      <c r="J6" s="8">
        <v>7</v>
      </c>
      <c r="K6" s="8">
        <v>4</v>
      </c>
      <c r="L6" s="8">
        <f t="shared" si="1"/>
        <v>450</v>
      </c>
      <c r="M6" s="8">
        <f>ROUND(L6*I6%,2)</f>
        <v>13.5</v>
      </c>
      <c r="N6" s="8">
        <f t="shared" si="2"/>
        <v>436.5</v>
      </c>
      <c r="O6" s="8">
        <f>ROUND(N6*J6%,2)</f>
        <v>30.56</v>
      </c>
      <c r="P6" s="8">
        <f t="shared" si="3"/>
        <v>405.94</v>
      </c>
      <c r="Q6" s="8">
        <f t="shared" si="4"/>
        <v>16.24</v>
      </c>
      <c r="R6" s="8">
        <f>M6+O6+Q6</f>
        <v>60.3</v>
      </c>
      <c r="S6" s="8">
        <f t="shared" si="16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5"/>
        <v>0</v>
      </c>
      <c r="AC6" s="8">
        <f>IF($V4=1,S6+AB6,S6)</f>
        <v>389.7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33124.5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6"/>
        <v>9</v>
      </c>
      <c r="AN6" s="26">
        <f t="shared" si="7"/>
        <v>3680.5</v>
      </c>
      <c r="AO6" s="26">
        <f t="shared" si="8"/>
        <v>0</v>
      </c>
      <c r="AP6" s="26">
        <f t="shared" si="9"/>
        <v>0</v>
      </c>
      <c r="AQ6" s="26" t="s">
        <v>77</v>
      </c>
      <c r="AR6" s="26">
        <f t="shared" si="10"/>
        <v>3680.5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1"/>
        <v>9</v>
      </c>
      <c r="AX6" s="39">
        <f t="shared" si="12"/>
        <v>3680.5</v>
      </c>
      <c r="AY6" s="39">
        <f t="shared" si="13"/>
        <v>489</v>
      </c>
      <c r="AZ6" s="39">
        <f>ROUND(((AU6*AV6)+(AW6*AX6))/(AU6+AW6),5)</f>
        <v>1142.71268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4"/>
        <v>75.32173</v>
      </c>
      <c r="BP6" s="48">
        <f t="shared" si="15"/>
        <v>309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150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18.9</v>
      </c>
      <c r="S7" s="13">
        <f t="shared" si="17"/>
        <v>131.1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131.1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150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18.9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131.1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131.1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C13" sqref="C13"/>
    </sheetView>
  </sheetViews>
  <sheetFormatPr defaultColWidth="8.84761904761905" defaultRowHeight="15"/>
  <cols>
    <col min="2" max="2" customWidth="true" width="28.0"/>
    <col min="3" max="3" customWidth="true" width="27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2" t="s">
        <v>161</v>
      </c>
      <c r="C4" s="52" t="s">
        <v>162</v>
      </c>
      <c r="D4" s="7" t="s">
        <v>77</v>
      </c>
      <c r="E4" s="7" t="s">
        <v>77</v>
      </c>
      <c r="F4" s="8">
        <v>5</v>
      </c>
      <c r="G4" s="0">
        <v>150</v>
      </c>
      <c r="H4" s="8">
        <f t="shared" ref="H4:H6" si="0">F4*G4</f>
        <v>750</v>
      </c>
      <c r="I4" s="0">
        <v>5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26">
        <f>ROUND(M4+O4+Q4,3)</f>
        <v>127.28</v>
      </c>
      <c r="S4" s="8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622.72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52931.2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10586.24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10586.24</v>
      </c>
      <c r="AS4" s="38" t="s">
        <v>80</v>
      </c>
      <c r="AT4" s="39" t="s">
        <v>77</v>
      </c>
      <c r="AU4" t="s" s="0">
        <v>81</v>
      </c>
      <c r="AV4" t="s" s="0">
        <v>82</v>
      </c>
      <c r="AW4" s="39">
        <f t="shared" ref="AW4:AW6" si="12">AM4</f>
        <v>5</v>
      </c>
      <c r="AX4" s="42">
        <f t="shared" ref="AX4:AX6" si="13">AR4</f>
        <v>10586.24</v>
      </c>
      <c r="AY4" s="39">
        <f t="shared" ref="AY4:AY6" si="14">AU4+AW4</f>
        <v>380</v>
      </c>
      <c r="AZ4" s="43">
        <f>ROUND(((AU4*AV4)+(AW4*AX4))/(AU4+AW4),3)</f>
        <v>3670.799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333.14818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52" t="s">
        <v>163</v>
      </c>
      <c r="C5" s="52" t="s">
        <v>164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IF(OR(DGSUomWoQWIPlSer!$C$2=1,DGSUomWoQWIPlSer!$C$2=4),ROUND((((S5*U5)/100)/2),2),0)</f>
        <v>0</v>
      </c>
      <c r="W5" s="8">
        <f>IF(DGSUomWoQWIPlSer!$C$2=1,ROUND((((S5*U5)/100)/2),2),0)</f>
        <v>0</v>
      </c>
      <c r="X5" s="8">
        <f>IF(DGSUomWoQWIPlSer!$C$2=2,ROUND(((S5*U5)/100),2),0)</f>
        <v>0</v>
      </c>
      <c r="Y5" s="8">
        <f>IF(DGSUomWoQWIPlSer!$C$2=4,ROUND((((S5*U5)/100)/2),2),0)</f>
        <v>0</v>
      </c>
      <c r="Z5" s="8">
        <v>0</v>
      </c>
      <c r="AA5" s="8">
        <f>IF(DGSUomWoQWIPlSer!$C3=3,0,(S5*Z5)/100)</f>
        <v>0</v>
      </c>
      <c r="AB5" s="8">
        <f t="shared" si="6"/>
        <v>0</v>
      </c>
      <c r="AC5" s="8">
        <f>IF(DGSUomWoQWIPlSer!$V3=1,S5+AB5,S5)</f>
        <v>328.47</v>
      </c>
      <c r="AD5" s="26">
        <v>120</v>
      </c>
      <c r="AE5" s="26">
        <f>IF(DGSUomWoQWIPlSer!$P$2=1,(S5/DGSUomWoQWIPlSer!$S$7)*DGSUomWoQWIPlSer!$E$18,AD5/DGSUomWoQWIPlSer!$AD$7*DGSUomWoQWIPlSer!$E$18)</f>
        <v>0</v>
      </c>
      <c r="AF5" s="26"/>
      <c r="AG5" s="26">
        <f>IF(DGSUomWoQWIPlSer!$P$2=1,(S5/DGSUomWoQWIPlSer!$S$7)*DGSUomWoQWIPlSer!$E$20,AD5/DGSUomWoQWIPlSer!$AD$7*DGSUomWoQWIPlSer!$E$20)</f>
        <v>0</v>
      </c>
      <c r="AH5" s="26">
        <f>IF(DGSUomWoQWIPlSer!$P$2=1,(S5/DGSUomWoQWIPlSer!$S$7)*DGSUomWoQWIPlSer!$E$21,AD5/DGSUomWoQWIPlSer!$AD$7*DGSUomWoQWIPlSer!$E$21)</f>
        <v>0</v>
      </c>
      <c r="AI5" s="26">
        <f>S5*DGSUomWoQWIPlSer!$M$2</f>
        <v>27919.95</v>
      </c>
      <c r="AJ5" s="26">
        <f>IF(DGSUomWoQWIPlSer!$C$2=3,0,AG5+AH5)</f>
        <v>0</v>
      </c>
      <c r="AK5" s="26">
        <f>IF(DGSUomWoQWIPlSer!$C$2=3,AE5+AG5+AH5,0)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94</v>
      </c>
      <c r="AV5" t="s" s="0">
        <v>95</v>
      </c>
      <c r="AW5" s="39">
        <f t="shared" si="12"/>
        <v>4</v>
      </c>
      <c r="AX5" s="42">
        <f t="shared" si="13"/>
        <v>6979.9875</v>
      </c>
      <c r="AY5" s="39">
        <f t="shared" si="14"/>
        <v>192</v>
      </c>
      <c r="AZ5" s="42">
        <f>ROUND(((AU5*AV5)+(AW5*AX5))/(AU5+AW5),2)</f>
        <v>2076.95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206.79688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53" t="s">
        <v>165</v>
      </c>
      <c r="C6" s="54" t="s">
        <v>166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IF(OR(DGSUomWoQWIPlSer!$C$2=1,DGSUomWoQWIPlSer!$C$2=4),ROUND((((S6*U6)/100)/2),2),0)</f>
        <v>0</v>
      </c>
      <c r="W6" s="8">
        <f>IF(DGSUomWoQWIPlSer!$C$2=1,ROUND((((S6*U6)/100)/2),2),0)</f>
        <v>0</v>
      </c>
      <c r="X6" s="8">
        <f>IF(DGSUomWoQWIPlSer!$C$2=2,ROUND(((S6*U6)/100),2),0)</f>
        <v>0</v>
      </c>
      <c r="Y6" s="8">
        <f>IF(DGSUomWoQWIPlSer!$C$2=4,ROUND((((S6*U6)/100)/2),2),0)</f>
        <v>0</v>
      </c>
      <c r="Z6" s="8">
        <v>0</v>
      </c>
      <c r="AA6" s="8">
        <f>IF(DGSUomWoQWIPlSer!$C4=3,0,(S6*Z6)/100)</f>
        <v>0</v>
      </c>
      <c r="AB6" s="8">
        <f t="shared" si="6"/>
        <v>0</v>
      </c>
      <c r="AC6" s="8">
        <f>IF(DGSUomWoQWIPlSer!$V4=1,S6+AB6,S6)</f>
        <v>866.02</v>
      </c>
      <c r="AD6" s="26">
        <v>120</v>
      </c>
      <c r="AE6" s="26">
        <f>IF(DGSUomWoQWIPlSer!$P$2=1,(S6/DGSUomWoQWIPlSer!$S$7)*DGSUomWoQWIPlSer!$E$18,AD6/DGSUomWoQWIPlSer!$AD$7*DGSUomWoQWIPlSer!$E$18)</f>
        <v>0</v>
      </c>
      <c r="AF6" s="26"/>
      <c r="AG6" s="26">
        <f>IF(DGSUomWoQWIPlSer!$P$2=1,(S6/DGSUomWoQWIPlSer!$S$7)*DGSUomWoQWIPlSer!$E$20,AD6/DGSUomWoQWIPlSer!$AD$7*DGSUomWoQWIPlSer!$E$20)</f>
        <v>0</v>
      </c>
      <c r="AH6" s="26">
        <f>IF(DGSUomWoQWIPlSer!$P$2=1,(S6/DGSUomWoQWIPlSer!$S$7)*DGSUomWoQWIPlSer!$E$21,AD6/DGSUomWoQWIPlSer!$AD$7*DGSUomWoQWIPlSer!$E$21)</f>
        <v>0</v>
      </c>
      <c r="AI6" s="26">
        <f>S6*DGSUomWoQWIPlSer!$M$2</f>
        <v>73611.7</v>
      </c>
      <c r="AJ6" s="26">
        <f>IF(DGSUomWoQWIPlSer!$C$2=3,0,AG6+AH6)</f>
        <v>0</v>
      </c>
      <c r="AK6" s="26">
        <f>IF(DGSUomWoQWIPlSer!$C$2=3,AE6+AG6+AH6,0)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102</v>
      </c>
      <c r="AV6" t="s" s="0">
        <v>103</v>
      </c>
      <c r="AW6" s="39">
        <f t="shared" si="12"/>
        <v>20</v>
      </c>
      <c r="AX6" s="39">
        <f t="shared" si="13"/>
        <v>3680.585</v>
      </c>
      <c r="AY6" s="39">
        <f t="shared" si="14"/>
        <v>500</v>
      </c>
      <c r="AZ6" s="39">
        <f>ROUND(((AU6*AV6)+(AW6*AX6))/(AU6+AW6),1)</f>
        <v>1198.5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115.5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127.28</v>
      </c>
      <c r="S7" s="13">
        <f t="shared" si="17"/>
        <v>622.72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750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4" sqref="BO4:BO6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35" max="35" customWidth="true" width="14.7142857142857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167</v>
      </c>
      <c r="C4" s="7" t="s">
        <v>167</v>
      </c>
      <c r="D4" s="7" t="s">
        <v>77</v>
      </c>
      <c r="E4" s="7" t="s">
        <v>77</v>
      </c>
      <c r="F4" s="8">
        <v>3</v>
      </c>
      <c r="G4" t="s" s="0">
        <v>100</v>
      </c>
      <c r="H4" s="8">
        <f t="shared" ref="H4:H6" si="0">F4*G4</f>
        <v>150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150</v>
      </c>
      <c r="M4" s="8">
        <f>ROUND(L4*I4%,3)</f>
        <v>7.5</v>
      </c>
      <c r="N4" s="8">
        <f t="shared" ref="N4:N6" si="2">H4-M4</f>
        <v>142.5</v>
      </c>
      <c r="O4" s="8">
        <f>ROUND(N4*J4%,3)</f>
        <v>11.4</v>
      </c>
      <c r="P4" s="8">
        <f t="shared" ref="P4:P6" si="3">ROUND(N4-O4,2)</f>
        <v>131.1</v>
      </c>
      <c r="Q4" s="8">
        <f t="shared" ref="Q4:Q6" si="4">ROUND(P4*K4%,2)</f>
        <v>6.56</v>
      </c>
      <c r="R4" s="26">
        <f>ROUND(M4+O4+Q4,3)</f>
        <v>25.46</v>
      </c>
      <c r="S4" s="26">
        <f t="shared" ref="S4:S6" si="5">(H4-R4)</f>
        <v>124.54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124.54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10585.9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3528.63333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3528.63333</v>
      </c>
      <c r="AS4" s="38" t="s">
        <v>80</v>
      </c>
      <c r="AT4" s="39" t="s">
        <v>77</v>
      </c>
      <c r="AU4" t="s" s="0">
        <v>168</v>
      </c>
      <c r="AV4" t="s" s="0">
        <v>169</v>
      </c>
      <c r="AW4" s="39">
        <f t="shared" ref="AW4:AW6" si="12">AM4</f>
        <v>3</v>
      </c>
      <c r="AX4" s="42">
        <f t="shared" ref="AX4:AX6" si="13">AR4</f>
        <v>3528.63333</v>
      </c>
      <c r="AY4" s="39">
        <f t="shared" ref="AY4:AY6" si="14">AU4+AW4</f>
        <v>158</v>
      </c>
      <c r="AZ4" s="39">
        <f>ROUND(((AU4*AV4)+(AW4*AX4))/(AU4+AW4),5)</f>
        <v>851.84345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150.8329</v>
      </c>
      <c r="BP4" s="48">
        <f t="shared" ref="BP4:BP6" si="16">ROUND(BN4+AW4,3)</f>
        <v>83</v>
      </c>
      <c r="BQ4" s="49">
        <v>123562</v>
      </c>
    </row>
    <row r="5" ht="15.75" spans="1:69">
      <c r="A5" s="7">
        <v>1</v>
      </c>
      <c r="B5" s="7" t="s">
        <v>170</v>
      </c>
      <c r="C5" s="7" t="s">
        <v>170</v>
      </c>
      <c r="D5" s="7" t="s">
        <v>77</v>
      </c>
      <c r="E5" s="7" t="s">
        <v>77</v>
      </c>
      <c r="F5" s="8">
        <v>6</v>
      </c>
      <c r="G5" t="s" s="0">
        <v>92</v>
      </c>
      <c r="H5" s="8">
        <f t="shared" si="0"/>
        <v>600</v>
      </c>
      <c r="I5" t="s" s="0">
        <v>171</v>
      </c>
      <c r="J5" s="8">
        <v>9</v>
      </c>
      <c r="K5" s="8">
        <v>6</v>
      </c>
      <c r="L5" s="8">
        <f t="shared" si="1"/>
        <v>600</v>
      </c>
      <c r="M5" s="8">
        <f>ROUND(L5*I5%,2)</f>
        <v>36</v>
      </c>
      <c r="N5" s="8">
        <f t="shared" si="2"/>
        <v>564</v>
      </c>
      <c r="O5" s="8">
        <f>ROUND(N5*J5%,2)</f>
        <v>50.76</v>
      </c>
      <c r="P5" s="8">
        <f t="shared" si="3"/>
        <v>513.24</v>
      </c>
      <c r="Q5" s="8">
        <f t="shared" si="4"/>
        <v>30.79</v>
      </c>
      <c r="R5" s="8">
        <f>M5+O5+Q5</f>
        <v>117.55</v>
      </c>
      <c r="S5" s="8">
        <f t="shared" si="5"/>
        <v>482.45</v>
      </c>
      <c r="T5" s="8">
        <v>88363222</v>
      </c>
      <c r="U5" s="8">
        <v>18</v>
      </c>
      <c r="V5" s="8">
        <f>IF(OR(DGSUomWIRcImp!$C$2=1,DGSUomWIRcImp!$C$2=4),ROUND((((S5*U5)/100)/2),2),0)</f>
        <v>0</v>
      </c>
      <c r="W5" s="8">
        <f>IF(DGSUomWIRcImp!$C$2=1,ROUND((((S5*U5)/100)/2),2),0)</f>
        <v>0</v>
      </c>
      <c r="X5" s="8">
        <f>IF(DGSUomWIRcImp!$C$2=2,ROUND(((S5*U5)/100),2),0)</f>
        <v>0</v>
      </c>
      <c r="Y5" s="8">
        <f>IF(DGSUomWIRcImp!$C$2=4,ROUND((((S5*U5)/100)/2),2),0)</f>
        <v>0</v>
      </c>
      <c r="Z5" s="8">
        <v>0</v>
      </c>
      <c r="AA5" s="8">
        <f>IF(DGSUomWIRcImp!$C3=3,0,(S5*Z5)/100)</f>
        <v>0</v>
      </c>
      <c r="AB5" s="8">
        <f t="shared" si="6"/>
        <v>0</v>
      </c>
      <c r="AC5" s="8">
        <f>IF(DGSUomWIRcImp!$V3=1,S5+AB5,S5)</f>
        <v>482.45</v>
      </c>
      <c r="AD5" s="26">
        <v>120</v>
      </c>
      <c r="AE5" s="26">
        <f>IF(DGSUomWIRcImp!$P$2=1,(S5/DGSUomWIRcImp!$S$7)*DGSUomWIRcImp!$E$18,AD5/DGSUomWIRcImp!$AD$7*DGSUomWIRcImp!$E$18)</f>
        <v>0</v>
      </c>
      <c r="AF5" s="26"/>
      <c r="AG5" s="26">
        <f>IF(DGSUomWIRcImp!$P$2=1,(S5/DGSUomWIRcImp!$S$7)*DGSUomWIRcImp!$E$20,AD5/DGSUomWIRcImp!$AD$7*DGSUomWIRcImp!$E$20)</f>
        <v>0</v>
      </c>
      <c r="AH5" s="26">
        <f>IF(DGSUomWIRcImp!$P$2=1,(S5/DGSUomWIRcImp!$S$7)*DGSUomWIRcImp!$E$21,AD5/DGSUomWIRcImp!$AD$7*DGSUomWIRcImp!$E$21)</f>
        <v>0</v>
      </c>
      <c r="AI5" s="26">
        <f>S5*DGSUomWIRcImp!$M$2</f>
        <v>41008.25</v>
      </c>
      <c r="AJ5" s="26">
        <f>IF(DGSUomWIRcImp!$C$2=3,0,AG5+AH5)</f>
        <v>0</v>
      </c>
      <c r="AK5" s="26">
        <f>IF(DGSUomWIRcImp!$C$2=3,AE5+AG5+AH5,0)</f>
        <v>0</v>
      </c>
      <c r="AL5" s="34">
        <v>1</v>
      </c>
      <c r="AM5" s="26">
        <f t="shared" si="7"/>
        <v>6</v>
      </c>
      <c r="AN5" s="26">
        <f t="shared" si="8"/>
        <v>6834.70833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6834.70833</v>
      </c>
      <c r="AS5" s="38" t="s">
        <v>80</v>
      </c>
      <c r="AT5" s="39" t="s">
        <v>77</v>
      </c>
      <c r="AU5" t="s" s="0">
        <v>172</v>
      </c>
      <c r="AV5" t="s" s="0">
        <v>173</v>
      </c>
      <c r="AW5" s="39">
        <f t="shared" si="12"/>
        <v>6</v>
      </c>
      <c r="AX5" s="42">
        <f t="shared" si="13"/>
        <v>6834.70833</v>
      </c>
      <c r="AY5" s="39">
        <f t="shared" si="14"/>
        <v>130</v>
      </c>
      <c r="AZ5" s="39">
        <f>ROUND(((AU5*AV5)+(AW5*AX5))/(AU5+AW5),5)</f>
        <v>1789.94569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237.37688</v>
      </c>
      <c r="BP5" s="48">
        <f t="shared" si="16"/>
        <v>66</v>
      </c>
      <c r="BQ5" s="49">
        <v>123562</v>
      </c>
    </row>
    <row r="6" ht="15.75" spans="1:69">
      <c r="A6" s="7">
        <v>1</v>
      </c>
      <c r="B6" s="7" t="s">
        <v>174</v>
      </c>
      <c r="C6" s="7" t="s">
        <v>174</v>
      </c>
      <c r="D6" s="7" t="s">
        <v>77</v>
      </c>
      <c r="E6" s="7" t="s">
        <v>77</v>
      </c>
      <c r="F6" s="8">
        <v>12</v>
      </c>
      <c r="G6" t="s" s="0">
        <v>78</v>
      </c>
      <c r="H6" s="8">
        <f t="shared" si="0"/>
        <v>1800</v>
      </c>
      <c r="I6" t="s" s="0">
        <v>175</v>
      </c>
      <c r="J6" s="8">
        <v>7</v>
      </c>
      <c r="K6" s="8">
        <v>4</v>
      </c>
      <c r="L6" s="8">
        <f t="shared" si="1"/>
        <v>1800</v>
      </c>
      <c r="M6" s="8">
        <f>ROUND(L6*I6%,2)</f>
        <v>126</v>
      </c>
      <c r="N6" s="8">
        <f t="shared" si="2"/>
        <v>1674</v>
      </c>
      <c r="O6" s="8">
        <f>ROUND(N6*J6%,2)</f>
        <v>117.18</v>
      </c>
      <c r="P6" s="8">
        <f t="shared" si="3"/>
        <v>1556.82</v>
      </c>
      <c r="Q6" s="8">
        <f t="shared" si="4"/>
        <v>62.27</v>
      </c>
      <c r="R6" s="8">
        <f>M6+O6+Q6</f>
        <v>305.45</v>
      </c>
      <c r="S6" s="8">
        <f t="shared" si="5"/>
        <v>1494.55</v>
      </c>
      <c r="T6" s="8">
        <v>88363222</v>
      </c>
      <c r="U6" s="8">
        <v>18</v>
      </c>
      <c r="V6" s="8">
        <f>IF(OR(DGSUomWIRcImp!$C$2=1,DGSUomWIRcImp!$C$2=4),ROUND((((S6*U6)/100)/2),2),0)</f>
        <v>0</v>
      </c>
      <c r="W6" s="8">
        <f>IF(DGSUomWIRcImp!$C$2=1,ROUND((((S6*U6)/100)/2),2),0)</f>
        <v>0</v>
      </c>
      <c r="X6" s="8">
        <f>IF(DGSUomWIRcImp!$C$2=2,ROUND(((S6*U6)/100),2),0)</f>
        <v>0</v>
      </c>
      <c r="Y6" s="8">
        <f>IF(DGSUomWIRcImp!$C$2=4,ROUND((((S6*U6)/100)/2),2),0)</f>
        <v>0</v>
      </c>
      <c r="Z6" s="8">
        <v>0</v>
      </c>
      <c r="AA6" s="8">
        <f>IF(DGSUomWIRcImp!$C4=3,0,(S6*Z6)/100)</f>
        <v>0</v>
      </c>
      <c r="AB6" s="8">
        <f t="shared" si="6"/>
        <v>0</v>
      </c>
      <c r="AC6" s="8">
        <f>IF(DGSUomWIRcImp!$V4=1,S6+AB6,S6)</f>
        <v>1494.55</v>
      </c>
      <c r="AD6" s="26">
        <v>120</v>
      </c>
      <c r="AE6" s="26">
        <f>IF(DGSUomWIRcImp!$P$2=1,(S6/DGSUomWIRcImp!$S$7)*DGSUomWIRcImp!$E$18,AD6/DGSUomWIRcImp!$AD$7*DGSUomWIRcImp!$E$18)</f>
        <v>0</v>
      </c>
      <c r="AF6" s="26"/>
      <c r="AG6" s="26">
        <f>IF(DGSUomWIRcImp!$P$2=1,(S6/DGSUomWIRcImp!$S$7)*DGSUomWIRcImp!$E$20,AD6/DGSUomWIRcImp!$AD$7*DGSUomWIRcImp!$E$20)</f>
        <v>0</v>
      </c>
      <c r="AH6" s="26">
        <f>IF(DGSUomWIRcImp!$P$2=1,(S6/DGSUomWIRcImp!$S$7)*DGSUomWIRcImp!$E$21,AD6/DGSUomWIRcImp!$AD$7*DGSUomWIRcImp!$E$21)</f>
        <v>0</v>
      </c>
      <c r="AI6" s="26">
        <f>S6*DGSUomWIRcImp!$M$2</f>
        <v>127036.75</v>
      </c>
      <c r="AJ6" s="26">
        <f>IF(DGSUomWIRcImp!$C$2=3,0,AG6+AH6)</f>
        <v>0</v>
      </c>
      <c r="AK6" s="26">
        <f>IF(DGSUomWIRcImp!$C$2=3,AE6+AG6+AH6,0)</f>
        <v>0</v>
      </c>
      <c r="AL6" s="34">
        <v>1</v>
      </c>
      <c r="AM6" s="26">
        <f t="shared" si="7"/>
        <v>12</v>
      </c>
      <c r="AN6" s="26">
        <f t="shared" si="8"/>
        <v>10586.39583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10586.39583</v>
      </c>
      <c r="AS6" s="38" t="s">
        <v>80</v>
      </c>
      <c r="AT6" s="39" t="s">
        <v>77</v>
      </c>
      <c r="AU6" t="s" s="0">
        <v>176</v>
      </c>
      <c r="AV6" t="s" s="0">
        <v>177</v>
      </c>
      <c r="AW6" s="39">
        <f t="shared" si="12"/>
        <v>12</v>
      </c>
      <c r="AX6" s="39">
        <f t="shared" si="13"/>
        <v>10586.39583</v>
      </c>
      <c r="AY6" s="39">
        <f t="shared" si="14"/>
        <v>332</v>
      </c>
      <c r="AZ6" s="39">
        <f>ROUND(((AU6*AV6)+(AW6*AX6))/(AU6+AW6),5)</f>
        <v>2939.56468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154.6948</v>
      </c>
      <c r="BP6" s="48">
        <f t="shared" si="16"/>
        <v>312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150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25.46</v>
      </c>
      <c r="S7" s="13">
        <f t="shared" si="17"/>
        <v>124.54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124.54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10585.9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150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25.46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124.54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124.54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3.0"/>
    <col min="12" max="12" customWidth="true" width="14.2857142857143"/>
    <col min="13" max="13" customWidth="true" width="9.42857142857143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178</v>
      </c>
      <c r="C4" s="7" t="s">
        <v>178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127</v>
      </c>
      <c r="AV4" t="s" s="0">
        <v>179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160</v>
      </c>
      <c r="AZ4" s="43">
        <f>ROUND(((AU4*AV4)+(AW4*AX4))/(AU4+AW4),3)</f>
        <v>3714.5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335.71882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180</v>
      </c>
      <c r="C5" s="7" t="s">
        <v>180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IF(OR(DGSUomWIWoQRcImp!$C$2=1,DGSUomWIWoQRcImp!$C$2=4),ROUND((((S5*U5)/100)/2),2),0)</f>
        <v>0</v>
      </c>
      <c r="W5" s="8">
        <f>IF(DGSUomWIWoQRcImp!$C$2=1,ROUND((((S5*U5)/100)/2),2),0)</f>
        <v>0</v>
      </c>
      <c r="X5" s="8">
        <f>IF(DGSUomWIWoQRcImp!$C$2=2,ROUND(((S5*U5)/100),2),0)</f>
        <v>0</v>
      </c>
      <c r="Y5" s="8">
        <f>IF(DGSUomWIWoQRcImp!$C$2=4,ROUND((((S5*U5)/100)/2),2),0)</f>
        <v>0</v>
      </c>
      <c r="Z5" s="8">
        <v>0</v>
      </c>
      <c r="AA5" s="8">
        <f>IF(DGSUomWIWoQRcImp!$C3=3,0,(S5*Z5)/100)</f>
        <v>0</v>
      </c>
      <c r="AB5" s="8">
        <f t="shared" si="6"/>
        <v>0</v>
      </c>
      <c r="AC5" s="8">
        <f>IF(DGSUomWIWoQRcImp!$V3=1,S5+AB5,S5)</f>
        <v>321.63</v>
      </c>
      <c r="AD5" s="26">
        <v>120</v>
      </c>
      <c r="AE5" s="26">
        <f>IF(DGSUomWIWoQRcImp!$P$2=1,(S5/DGSUomWIWoQRcImp!$S$7)*DGSUomWIWoQRcImp!$E$18,AD5/DGSUomWIWoQRcImp!$AD$7*DGSUomWIWoQRcImp!$E$18)</f>
        <v>0</v>
      </c>
      <c r="AF5" s="26"/>
      <c r="AG5" s="26">
        <f>IF(DGSUomWIWoQRcImp!$P$2=1,(S5/DGSUomWIWoQRcImp!$S$7)*DGSUomWIWoQRcImp!$E$20,AD5/DGSUomWIWoQRcImp!$AD$7*DGSUomWIWoQRcImp!$E$20)</f>
        <v>0</v>
      </c>
      <c r="AH5" s="26">
        <f>IF(DGSUomWIWoQRcImp!$P$2=1,(S5/DGSUomWIWoQRcImp!$S$7)*DGSUomWIWoQRcImp!$E$21,AD5/DGSUomWIWoQRcImp!$AD$7*DGSUomWIWoQRcImp!$E$21)</f>
        <v>0</v>
      </c>
      <c r="AI5" s="26">
        <f>S5*DGSUomWIWoQRcImp!$M$2</f>
        <v>27338.55</v>
      </c>
      <c r="AJ5" s="26">
        <f>IF(DGSUomWIWoQRcImp!$C$2=3,0,AG5+AH5)</f>
        <v>0</v>
      </c>
      <c r="AK5" s="26">
        <f>IF(DGSUomWIWoQRcImp!$C$2=3,AE5+AG5+AH5,0)</f>
        <v>0</v>
      </c>
      <c r="AL5" s="34">
        <v>1</v>
      </c>
      <c r="AM5" s="26">
        <f t="shared" si="7"/>
        <v>4</v>
      </c>
      <c r="AN5" s="26">
        <f t="shared" si="8"/>
        <v>6834.6375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6834.6375</v>
      </c>
      <c r="AS5" s="38" t="s">
        <v>80</v>
      </c>
      <c r="AT5" s="39" t="s">
        <v>77</v>
      </c>
      <c r="AU5" t="s" s="0">
        <v>127</v>
      </c>
      <c r="AV5" t="s" s="0">
        <v>130</v>
      </c>
      <c r="AW5" s="39">
        <f t="shared" si="12"/>
        <v>4</v>
      </c>
      <c r="AX5" s="42">
        <f t="shared" si="13"/>
        <v>6834.6375</v>
      </c>
      <c r="AY5" s="39">
        <f t="shared" si="14"/>
        <v>128</v>
      </c>
      <c r="AZ5" s="42">
        <f>ROUND(((AU5*AV5)+(AW5*AX5))/(AU5+AW5),2)</f>
        <v>6834.64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504.1525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7" t="s">
        <v>181</v>
      </c>
      <c r="C6" s="7" t="s">
        <v>181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3000</v>
      </c>
      <c r="I6" t="s" s="0">
        <v>101</v>
      </c>
      <c r="J6" s="8">
        <v>7</v>
      </c>
      <c r="K6" s="8">
        <v>4</v>
      </c>
      <c r="L6" s="8">
        <f t="shared" si="1"/>
        <v>3000</v>
      </c>
      <c r="M6" s="8">
        <f>ROUND(L6*I6%,2)</f>
        <v>210</v>
      </c>
      <c r="N6" s="8">
        <f t="shared" si="2"/>
        <v>2790</v>
      </c>
      <c r="O6" s="8">
        <f>ROUND(N6*J6%,2)</f>
        <v>195.3</v>
      </c>
      <c r="P6" s="8">
        <f t="shared" si="3"/>
        <v>2594.7</v>
      </c>
      <c r="Q6" s="8">
        <f t="shared" si="4"/>
        <v>103.79</v>
      </c>
      <c r="R6" s="8">
        <f>M6+O6+Q6</f>
        <v>509.09</v>
      </c>
      <c r="S6" s="8">
        <f t="shared" si="5"/>
        <v>2490.91</v>
      </c>
      <c r="T6" s="8">
        <v>88363222</v>
      </c>
      <c r="U6" s="8">
        <v>18</v>
      </c>
      <c r="V6" s="8">
        <f>IF(OR(DGSUomWIWoQRcImp!$C$2=1,DGSUomWIWoQRcImp!$C$2=4),ROUND((((S6*U6)/100)/2),2),0)</f>
        <v>0</v>
      </c>
      <c r="W6" s="8">
        <f>IF(DGSUomWIWoQRcImp!$C$2=1,ROUND((((S6*U6)/100)/2),2),0)</f>
        <v>0</v>
      </c>
      <c r="X6" s="8">
        <f>IF(DGSUomWIWoQRcImp!$C$2=2,ROUND(((S6*U6)/100),2),0)</f>
        <v>0</v>
      </c>
      <c r="Y6" s="8">
        <f>IF(DGSUomWIWoQRcImp!$C$2=4,ROUND((((S6*U6)/100)/2),2),0)</f>
        <v>0</v>
      </c>
      <c r="Z6" s="8">
        <v>0</v>
      </c>
      <c r="AA6" s="8">
        <f>IF(DGSUomWIWoQRcImp!$C4=3,0,(S6*Z6)/100)</f>
        <v>0</v>
      </c>
      <c r="AB6" s="8">
        <f t="shared" si="6"/>
        <v>0</v>
      </c>
      <c r="AC6" s="8">
        <f>IF(DGSUomWIWoQRcImp!$V4=1,S6+AB6,S6)</f>
        <v>2490.91</v>
      </c>
      <c r="AD6" s="26">
        <v>120</v>
      </c>
      <c r="AE6" s="26">
        <f>IF(DGSUomWIWoQRcImp!$P$2=1,(S6/DGSUomWIWoQRcImp!$S$7)*DGSUomWIWoQRcImp!$E$18,AD6/DGSUomWIWoQRcImp!$AD$7*DGSUomWIWoQRcImp!$E$18)</f>
        <v>0</v>
      </c>
      <c r="AF6" s="26"/>
      <c r="AG6" s="26">
        <f>IF(DGSUomWIWoQRcImp!$P$2=1,(S6/DGSUomWIWoQRcImp!$S$7)*DGSUomWIWoQRcImp!$E$20,AD6/DGSUomWIWoQRcImp!$AD$7*DGSUomWIWoQRcImp!$E$20)</f>
        <v>0</v>
      </c>
      <c r="AH6" s="26">
        <f>IF(DGSUomWIWoQRcImp!$P$2=1,(S6/DGSUomWIWoQRcImp!$S$7)*DGSUomWIWoQRcImp!$E$21,AD6/DGSUomWIWoQRcImp!$AD$7*DGSUomWIWoQRcImp!$E$21)</f>
        <v>0</v>
      </c>
      <c r="AI6" s="26">
        <f>S6*DGSUomWIWoQRcImp!$M$2</f>
        <v>211727.35</v>
      </c>
      <c r="AJ6" s="26">
        <f>IF(DGSUomWIWoQRcImp!$C$2=3,0,AG6+AH6)</f>
        <v>0</v>
      </c>
      <c r="AK6" s="26">
        <f>IF(DGSUomWIWoQRcImp!$C$2=3,AE6+AG6+AH6,0)</f>
        <v>0</v>
      </c>
      <c r="AL6" s="34">
        <v>1</v>
      </c>
      <c r="AM6" s="26">
        <f t="shared" si="7"/>
        <v>20</v>
      </c>
      <c r="AN6" s="26">
        <f t="shared" si="8"/>
        <v>10586.3675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10586.3675</v>
      </c>
      <c r="AS6" s="38" t="s">
        <v>80</v>
      </c>
      <c r="AT6" s="39" t="s">
        <v>77</v>
      </c>
      <c r="AU6" t="s" s="0">
        <v>127</v>
      </c>
      <c r="AV6" t="s" s="0">
        <v>132</v>
      </c>
      <c r="AW6" s="39">
        <f t="shared" si="12"/>
        <v>20</v>
      </c>
      <c r="AX6" s="39">
        <f t="shared" si="13"/>
        <v>10586.3675</v>
      </c>
      <c r="AY6" s="39">
        <f t="shared" si="14"/>
        <v>340</v>
      </c>
      <c r="AZ6" s="39">
        <f>ROUND(((AU6*AV6)+(AW6*AX6))/(AU6+AW6),1)</f>
        <v>10586.4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702.24375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182</v>
      </c>
      <c r="C4" s="7" t="s">
        <v>182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</v>
      </c>
      <c r="AN4" s="26">
        <f t="shared" ref="AN4:AN6" si="8">ROUND(AI4/AM4,5)</f>
        <v>31758.55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31758.55</v>
      </c>
      <c r="AS4" s="38" t="s">
        <v>80</v>
      </c>
      <c r="AT4" s="39" t="s">
        <v>77</v>
      </c>
      <c r="AU4" t="s" s="0">
        <v>183</v>
      </c>
      <c r="AV4" t="s" s="0">
        <v>184</v>
      </c>
      <c r="AW4" s="39">
        <f t="shared" ref="AW4:AW6" si="12">AM4</f>
        <v>1</v>
      </c>
      <c r="AX4" s="42">
        <f t="shared" ref="AX4:AX6" si="13">AR4</f>
        <v>31758.55</v>
      </c>
      <c r="AY4" s="39">
        <f t="shared" ref="AY4:AY6" si="14">AU4+AW4</f>
        <v>59.328</v>
      </c>
      <c r="AZ4" s="39">
        <f>ROUND(((AU4*AV4)+(AW4*AX4))/(AU4+AW4),5)</f>
        <v>12363.72915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275.64604</v>
      </c>
      <c r="BP4" s="48">
        <f t="shared" ref="BP4:BP6" si="16">ROUND(BN4+AW4,3)</f>
        <v>81</v>
      </c>
      <c r="BQ4" s="49">
        <v>123562</v>
      </c>
    </row>
    <row r="5" ht="15.75" spans="1:69">
      <c r="A5" s="7">
        <v>1</v>
      </c>
      <c r="B5" s="7" t="s">
        <v>185</v>
      </c>
      <c r="C5" s="7" t="s">
        <v>185</v>
      </c>
      <c r="D5" s="7" t="s">
        <v>77</v>
      </c>
      <c r="E5" s="7" t="s">
        <v>77</v>
      </c>
      <c r="F5" s="8">
        <v>12</v>
      </c>
      <c r="G5" t="s" s="0">
        <v>92</v>
      </c>
      <c r="H5" s="8">
        <f t="shared" si="0"/>
        <v>1200</v>
      </c>
      <c r="I5" t="s" s="0">
        <v>93</v>
      </c>
      <c r="J5" s="8">
        <v>9</v>
      </c>
      <c r="K5" s="8">
        <v>6</v>
      </c>
      <c r="L5" s="8">
        <f t="shared" si="1"/>
        <v>1200</v>
      </c>
      <c r="M5" s="8">
        <f>ROUND(L5*I5%,2)</f>
        <v>48</v>
      </c>
      <c r="N5" s="8">
        <f t="shared" si="2"/>
        <v>1152</v>
      </c>
      <c r="O5" s="8">
        <f>ROUND(N5*J5%,2)</f>
        <v>103.68</v>
      </c>
      <c r="P5" s="8">
        <f t="shared" si="3"/>
        <v>1048.32</v>
      </c>
      <c r="Q5" s="8">
        <f t="shared" si="4"/>
        <v>62.9</v>
      </c>
      <c r="R5" s="8">
        <f>M5+O5+Q5</f>
        <v>214.58</v>
      </c>
      <c r="S5" s="8">
        <f t="shared" si="5"/>
        <v>985.42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985.42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83760.7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 t="shared" si="7"/>
        <v>4</v>
      </c>
      <c r="AN5" s="26">
        <f t="shared" si="8"/>
        <v>20940.175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20940.175</v>
      </c>
      <c r="AS5" s="38" t="s">
        <v>80</v>
      </c>
      <c r="AT5" s="39" t="s">
        <v>77</v>
      </c>
      <c r="AU5" t="s" s="0">
        <v>186</v>
      </c>
      <c r="AV5" t="s" s="0">
        <v>187</v>
      </c>
      <c r="AW5" s="39">
        <f t="shared" si="12"/>
        <v>4</v>
      </c>
      <c r="AX5" s="42">
        <f t="shared" si="13"/>
        <v>20940.175</v>
      </c>
      <c r="AY5" s="39">
        <f t="shared" si="14"/>
        <v>63.327</v>
      </c>
      <c r="AZ5" s="39">
        <f>ROUND(((AU5*AV5)+(AW5*AX5))/(AU5+AW5),5)</f>
        <v>8524.09451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609.74341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7" t="s">
        <v>188</v>
      </c>
      <c r="C6" s="7" t="s">
        <v>188</v>
      </c>
      <c r="D6" s="7" t="s">
        <v>77</v>
      </c>
      <c r="E6" s="7" t="s">
        <v>77</v>
      </c>
      <c r="F6" s="8">
        <v>9</v>
      </c>
      <c r="G6" t="s" s="0">
        <v>100</v>
      </c>
      <c r="H6" s="8">
        <f t="shared" si="0"/>
        <v>450</v>
      </c>
      <c r="I6" t="s" s="0">
        <v>101</v>
      </c>
      <c r="J6" s="8">
        <v>7</v>
      </c>
      <c r="K6" s="8">
        <v>4</v>
      </c>
      <c r="L6" s="8">
        <f t="shared" si="1"/>
        <v>450</v>
      </c>
      <c r="M6" s="8">
        <f>ROUND(L6*I6%,2)</f>
        <v>13.5</v>
      </c>
      <c r="N6" s="8">
        <f t="shared" si="2"/>
        <v>436.5</v>
      </c>
      <c r="O6" s="8">
        <f>ROUND(N6*J6%,2)</f>
        <v>30.56</v>
      </c>
      <c r="P6" s="8">
        <f t="shared" si="3"/>
        <v>405.94</v>
      </c>
      <c r="Q6" s="8">
        <f t="shared" si="4"/>
        <v>16.24</v>
      </c>
      <c r="R6" s="8">
        <f>M6+O6+Q6</f>
        <v>60.3</v>
      </c>
      <c r="S6" s="8">
        <f t="shared" si="5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389.7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33124.5</v>
      </c>
      <c r="AJ6" s="26">
        <f>IF($C$2=3,0,AG6+AH6)</f>
        <v>0</v>
      </c>
      <c r="AK6" s="26">
        <f>IF($C$2=3,AE6+AG6+AH6,0)</f>
        <v>0</v>
      </c>
      <c r="AL6" s="34">
        <v>3</v>
      </c>
      <c r="AM6" s="26">
        <f t="shared" si="7"/>
        <v>3</v>
      </c>
      <c r="AN6" s="26">
        <f t="shared" si="8"/>
        <v>11041.5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11041.5</v>
      </c>
      <c r="AS6" s="38" t="s">
        <v>80</v>
      </c>
      <c r="AT6" s="39" t="s">
        <v>77</v>
      </c>
      <c r="AU6" t="s" s="0">
        <v>189</v>
      </c>
      <c r="AV6" t="s" s="0">
        <v>190</v>
      </c>
      <c r="AW6" s="39">
        <f t="shared" si="12"/>
        <v>3</v>
      </c>
      <c r="AX6" s="39">
        <f t="shared" si="13"/>
        <v>11041.5</v>
      </c>
      <c r="AY6" s="39">
        <f t="shared" si="14"/>
        <v>69.661</v>
      </c>
      <c r="AZ6" s="39">
        <f>ROUND(((AU6*AV6)+(AW6*AX6))/(AU6+AW6),5)</f>
        <v>4776.58342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90.16419</v>
      </c>
      <c r="BP6" s="48">
        <f t="shared" si="16"/>
        <v>303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S4" sqref="S4"/>
    </sheetView>
  </sheetViews>
  <sheetFormatPr defaultColWidth="8.84761904761905" defaultRowHeight="15"/>
  <cols>
    <col min="2" max="2" customWidth="true" width="28.0"/>
    <col min="3" max="3" customWidth="true" width="30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191</v>
      </c>
      <c r="C4" s="7" t="s">
        <v>191</v>
      </c>
      <c r="D4" s="7" t="s">
        <v>77</v>
      </c>
      <c r="E4" s="7" t="s">
        <v>77</v>
      </c>
      <c r="F4" s="8">
        <v>5</v>
      </c>
      <c r="G4" s="0">
        <v>50</v>
      </c>
      <c r="H4" s="8">
        <f t="shared" ref="H4:H6" si="0">F4*G4</f>
        <v>250</v>
      </c>
      <c r="I4" s="0">
        <v>0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1.66666666666667</v>
      </c>
      <c r="AN4" s="26">
        <f t="shared" ref="AN4:AN6" si="8">ROUND(AI4/AM4,5)</f>
        <v>11143.5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11143.5</v>
      </c>
      <c r="AS4" s="38" t="s">
        <v>80</v>
      </c>
      <c r="AT4" s="39" t="s">
        <v>77</v>
      </c>
      <c r="AU4" t="s" s="0">
        <v>183</v>
      </c>
      <c r="AV4" t="s" s="0">
        <v>184</v>
      </c>
      <c r="AW4" s="39">
        <f t="shared" ref="AW4:AW6" si="12">AM4</f>
        <v>1.66666666666667</v>
      </c>
      <c r="AX4" s="42">
        <f t="shared" ref="AX4:AX6" si="13">AR4</f>
        <v>11143.5</v>
      </c>
      <c r="AY4" s="39">
        <f t="shared" ref="AY4:AY6" si="14">AU4+AW4</f>
        <v>59.9946666666667</v>
      </c>
      <c r="AZ4" s="43">
        <f>ROUND(((AU4*AV4)+(AW4*AX4))/(AU4+AW4),3)</f>
        <v>12006.555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367.035</v>
      </c>
      <c r="BP4" s="48">
        <f t="shared" ref="BP4:BP6" si="16">ROUND(BN4+AW4,3)</f>
        <v>81.667</v>
      </c>
      <c r="BQ4" s="49">
        <v>123562</v>
      </c>
    </row>
    <row r="5" ht="15.75" spans="1:69">
      <c r="A5" s="7">
        <v>1</v>
      </c>
      <c r="B5" s="7" t="s">
        <v>192</v>
      </c>
      <c r="C5" s="7" t="s">
        <v>192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IF(OR(DGDUomWoQWIRcImp!$C$2=1,DGDUomWoQWIRcImp!$C$2=4),ROUND((((S5*U5)/100)/2),2),0)</f>
        <v>0</v>
      </c>
      <c r="W5" s="8">
        <f>IF(DGDUomWoQWIRcImp!$C$2=1,ROUND((((S5*U5)/100)/2),2),0)</f>
        <v>0</v>
      </c>
      <c r="X5" s="8">
        <f>IF(DGDUomWoQWIRcImp!$C$2=2,ROUND(((S5*U5)/100),2),0)</f>
        <v>0</v>
      </c>
      <c r="Y5" s="8">
        <f>IF(DGDUomWoQWIRcImp!$C$2=4,ROUND((((S5*U5)/100)/2),2),0)</f>
        <v>0</v>
      </c>
      <c r="Z5" s="8">
        <v>0</v>
      </c>
      <c r="AA5" s="8">
        <f>IF(DGDUomWoQWIRcImp!$C3=3,0,(S5*Z5)/100)</f>
        <v>0</v>
      </c>
      <c r="AB5" s="8">
        <f t="shared" si="6"/>
        <v>0</v>
      </c>
      <c r="AC5" s="8">
        <f>IF(DGDUomWoQWIRcImp!$V3=1,S5+AB5,S5)</f>
        <v>328.47</v>
      </c>
      <c r="AD5" s="26">
        <v>120</v>
      </c>
      <c r="AE5" s="26">
        <f>IF(DGDUomWoQWIRcImp!$P$2=1,(S5/DGDUomWoQWIRcImp!$S$7)*DGDUomWoQWIRcImp!$E$18,AD5/DGDUomWoQWIRcImp!$AD$7*DGDUomWoQWIRcImp!$E$18)</f>
        <v>0</v>
      </c>
      <c r="AF5" s="26"/>
      <c r="AG5" s="26">
        <f>IF(DGDUomWoQWIRcImp!$P$2=1,(S5/DGDUomWoQWIRcImp!$S$7)*DGDUomWoQWIRcImp!$E$20,AD5/DGDUomWoQWIRcImp!$AD$7*DGDUomWoQWIRcImp!$E$20)</f>
        <v>0</v>
      </c>
      <c r="AH5" s="26">
        <f>IF(DGDUomWoQWIRcImp!$P$2=1,(S5/DGDUomWoQWIRcImp!$S$7)*DGDUomWoQWIRcImp!$E$21,AD5/DGDUomWoQWIRcImp!$AD$7*DGDUomWoQWIRcImp!$E$21)</f>
        <v>0</v>
      </c>
      <c r="AI5" s="26">
        <f>S5*DGDUomWoQWIRcImp!$M$2</f>
        <v>27919.95</v>
      </c>
      <c r="AJ5" s="26">
        <f>IF(DGDUomWoQWIRcImp!$C$2=3,0,AG5+AH5)</f>
        <v>0</v>
      </c>
      <c r="AK5" s="26">
        <f>IF(DGDUomWoQWIRcImp!$C$2=3,AE5+AG5+AH5,0)</f>
        <v>0</v>
      </c>
      <c r="AL5" s="34">
        <v>3</v>
      </c>
      <c r="AM5" s="26">
        <f t="shared" si="7"/>
        <v>1.33333333333333</v>
      </c>
      <c r="AN5" s="26">
        <f t="shared" si="8"/>
        <v>20939.9625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20939.9625</v>
      </c>
      <c r="AS5" s="38" t="s">
        <v>80</v>
      </c>
      <c r="AT5" s="39" t="s">
        <v>77</v>
      </c>
      <c r="AU5" t="s" s="0">
        <v>186</v>
      </c>
      <c r="AV5" t="s" s="0">
        <v>187</v>
      </c>
      <c r="AW5" s="39">
        <f t="shared" si="12"/>
        <v>1.33333333333333</v>
      </c>
      <c r="AX5" s="42">
        <f t="shared" si="13"/>
        <v>20939.9625</v>
      </c>
      <c r="AY5" s="39">
        <f t="shared" si="14"/>
        <v>60.6603333333333</v>
      </c>
      <c r="AZ5" s="42">
        <f>ROUND(((AU5*AV5)+(AW5*AX5))/(AU5+AW5),2)</f>
        <v>7978.27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253.77543</v>
      </c>
      <c r="BP5" s="48">
        <f t="shared" si="16"/>
        <v>61.333</v>
      </c>
      <c r="BQ5" s="49">
        <v>123562</v>
      </c>
    </row>
    <row r="6" ht="15.75" spans="1:69">
      <c r="A6" s="7">
        <v>1</v>
      </c>
      <c r="B6" s="7" t="s">
        <v>193</v>
      </c>
      <c r="C6" s="7" t="s">
        <v>193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IF(OR(DGDUomWoQWIRcImp!$C$2=1,DGDUomWoQWIRcImp!$C$2=4),ROUND((((S6*U6)/100)/2),2),0)</f>
        <v>0</v>
      </c>
      <c r="W6" s="8">
        <f>IF(DGDUomWoQWIRcImp!$C$2=1,ROUND((((S6*U6)/100)/2),2),0)</f>
        <v>0</v>
      </c>
      <c r="X6" s="8">
        <f>IF(DGDUomWoQWIRcImp!$C$2=2,ROUND(((S6*U6)/100),2),0)</f>
        <v>0</v>
      </c>
      <c r="Y6" s="8">
        <f>IF(DGDUomWoQWIRcImp!$C$2=4,ROUND((((S6*U6)/100)/2),2),0)</f>
        <v>0</v>
      </c>
      <c r="Z6" s="8">
        <v>0</v>
      </c>
      <c r="AA6" s="8">
        <f>IF(DGDUomWoQWIRcImp!$C4=3,0,(S6*Z6)/100)</f>
        <v>0</v>
      </c>
      <c r="AB6" s="8">
        <f t="shared" si="6"/>
        <v>0</v>
      </c>
      <c r="AC6" s="8">
        <f>IF(DGDUomWoQWIRcImp!$V4=1,S6+AB6,S6)</f>
        <v>866.02</v>
      </c>
      <c r="AD6" s="26">
        <v>120</v>
      </c>
      <c r="AE6" s="26">
        <f>IF(DGDUomWoQWIRcImp!$P$2=1,(S6/DGDUomWoQWIRcImp!$S$7)*DGDUomWoQWIRcImp!$E$18,AD6/DGDUomWoQWIRcImp!$AD$7*DGDUomWoQWIRcImp!$E$18)</f>
        <v>0</v>
      </c>
      <c r="AF6" s="26"/>
      <c r="AG6" s="26">
        <f>IF(DGDUomWoQWIRcImp!$P$2=1,(S6/DGDUomWoQWIRcImp!$S$7)*DGDUomWoQWIRcImp!$E$20,AD6/DGDUomWoQWIRcImp!$AD$7*DGDUomWoQWIRcImp!$E$20)</f>
        <v>0</v>
      </c>
      <c r="AH6" s="26">
        <f>IF(DGDUomWoQWIRcImp!$P$2=1,(S6/DGDUomWoQWIRcImp!$S$7)*DGDUomWoQWIRcImp!$E$21,AD6/DGDUomWoQWIRcImp!$AD$7*DGDUomWoQWIRcImp!$E$21)</f>
        <v>0</v>
      </c>
      <c r="AI6" s="26">
        <f>S6*DGDUomWoQWIRcImp!$M$2</f>
        <v>73611.7</v>
      </c>
      <c r="AJ6" s="26">
        <f>IF(DGDUomWoQWIRcImp!$C$2=3,0,AG6+AH6)</f>
        <v>0</v>
      </c>
      <c r="AK6" s="26">
        <f>IF(DGDUomWoQWIRcImp!$C$2=3,AE6+AG6+AH6,0)</f>
        <v>0</v>
      </c>
      <c r="AL6" s="34">
        <v>3</v>
      </c>
      <c r="AM6" s="26">
        <f t="shared" si="7"/>
        <v>6.66666666666667</v>
      </c>
      <c r="AN6" s="26">
        <f t="shared" si="8"/>
        <v>11041.755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11041.755</v>
      </c>
      <c r="AS6" s="38" t="s">
        <v>80</v>
      </c>
      <c r="AT6" s="39" t="s">
        <v>77</v>
      </c>
      <c r="AU6" t="s" s="0">
        <v>189</v>
      </c>
      <c r="AV6" t="s" s="0">
        <v>190</v>
      </c>
      <c r="AW6" s="39">
        <f t="shared" si="12"/>
        <v>6.66666666666667</v>
      </c>
      <c r="AX6" s="39">
        <f t="shared" si="13"/>
        <v>11041.755</v>
      </c>
      <c r="AY6" s="39">
        <f t="shared" si="14"/>
        <v>73.3276666666667</v>
      </c>
      <c r="AZ6" s="39">
        <f>ROUND(((AU6*AV6)+(AW6*AX6))/(AU6+AW6),1)</f>
        <v>5089.9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153.0087</v>
      </c>
      <c r="BP6" s="48">
        <f t="shared" si="16"/>
        <v>306.667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9" sqref="BM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194</v>
      </c>
      <c r="C4" s="7" t="s">
        <v>194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3</v>
      </c>
      <c r="AN4" s="26">
        <f t="shared" ref="AN4:AN6" si="8">ROUND(AI4/AM4,5)</f>
        <v>10586.18333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10586.18333</v>
      </c>
      <c r="AS4" s="38" t="s">
        <v>80</v>
      </c>
      <c r="AT4" s="39" t="s">
        <v>77</v>
      </c>
      <c r="AU4" t="s" s="0">
        <v>89</v>
      </c>
      <c r="AV4" t="s" s="0">
        <v>195</v>
      </c>
      <c r="AW4" s="39">
        <f t="shared" ref="AW4:AW6" si="12">AM4</f>
        <v>3</v>
      </c>
      <c r="AX4" s="42">
        <f t="shared" ref="AX4:AX6" si="13">AR4</f>
        <v>10586.18333</v>
      </c>
      <c r="AY4" s="39">
        <f t="shared" ref="AY4:AY6" si="14">AU4+AW4</f>
        <v>83</v>
      </c>
      <c r="AZ4" s="39">
        <f>ROUND(((AU4*AV4)+(AW4*AX4))/(AU4+AW4),5)</f>
        <v>4284.04277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274.88829</v>
      </c>
      <c r="BP4" s="48">
        <f t="shared" ref="BP4:BP6" si="16">ROUND(BN4+AW4,3)</f>
        <v>83</v>
      </c>
      <c r="BQ4" s="49">
        <v>123562</v>
      </c>
    </row>
    <row r="5" ht="15.75" spans="1:69">
      <c r="A5" s="7">
        <v>1</v>
      </c>
      <c r="B5" s="7" t="s">
        <v>196</v>
      </c>
      <c r="C5" s="7" t="s">
        <v>196</v>
      </c>
      <c r="D5" s="7" t="s">
        <v>77</v>
      </c>
      <c r="E5" s="7" t="s">
        <v>77</v>
      </c>
      <c r="F5" s="8">
        <v>6</v>
      </c>
      <c r="G5" t="s" s="0">
        <v>92</v>
      </c>
      <c r="H5" s="8">
        <f t="shared" si="0"/>
        <v>600</v>
      </c>
      <c r="I5" t="s" s="0">
        <v>93</v>
      </c>
      <c r="J5" s="8">
        <v>9</v>
      </c>
      <c r="K5" s="8">
        <v>6</v>
      </c>
      <c r="L5" s="8">
        <f t="shared" si="1"/>
        <v>600</v>
      </c>
      <c r="M5" s="8">
        <f>ROUND(L5*I5%,2)</f>
        <v>24</v>
      </c>
      <c r="N5" s="8">
        <f t="shared" si="2"/>
        <v>576</v>
      </c>
      <c r="O5" s="8">
        <f>ROUND(N5*J5%,2)</f>
        <v>51.84</v>
      </c>
      <c r="P5" s="8">
        <f t="shared" si="3"/>
        <v>524.16</v>
      </c>
      <c r="Q5" s="8">
        <f t="shared" si="4"/>
        <v>31.45</v>
      </c>
      <c r="R5" s="8">
        <f>M5+O5+Q5</f>
        <v>107.29</v>
      </c>
      <c r="S5" s="8">
        <f t="shared" si="5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492.71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41880.35</v>
      </c>
      <c r="AJ5" s="26">
        <f>IF($C$2=3,0,AG5+AH5)</f>
        <v>0</v>
      </c>
      <c r="AK5" s="26">
        <f>IF($C$2=3,AE5+AG5+AH5,0)</f>
        <v>0</v>
      </c>
      <c r="AL5" s="34">
        <v>1</v>
      </c>
      <c r="AM5" s="26">
        <f t="shared" si="7"/>
        <v>6</v>
      </c>
      <c r="AN5" s="26">
        <f t="shared" si="8"/>
        <v>6980.05833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6980.05833</v>
      </c>
      <c r="AS5" s="38" t="s">
        <v>80</v>
      </c>
      <c r="AT5" s="39" t="s">
        <v>77</v>
      </c>
      <c r="AU5" t="s" s="0">
        <v>197</v>
      </c>
      <c r="AV5" t="s" s="0">
        <v>198</v>
      </c>
      <c r="AW5" s="39">
        <f t="shared" si="12"/>
        <v>6</v>
      </c>
      <c r="AX5" s="42">
        <f t="shared" si="13"/>
        <v>6980.05833</v>
      </c>
      <c r="AY5" s="39">
        <f t="shared" si="14"/>
        <v>74</v>
      </c>
      <c r="AZ5" s="39">
        <f>ROUND(((AU5*AV5)+(AW5*AX5))/(AU5+AW5),5)</f>
        <v>2878.62743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336.34795</v>
      </c>
      <c r="BP5" s="48">
        <f t="shared" si="16"/>
        <v>66</v>
      </c>
      <c r="BQ5" s="49">
        <v>123562</v>
      </c>
    </row>
    <row r="6" ht="15.75" spans="1:69">
      <c r="A6" s="7">
        <v>1</v>
      </c>
      <c r="B6" s="50" t="s">
        <v>199</v>
      </c>
      <c r="C6" s="51" t="s">
        <v>199</v>
      </c>
      <c r="D6" s="7" t="s">
        <v>77</v>
      </c>
      <c r="E6" s="7" t="s">
        <v>77</v>
      </c>
      <c r="F6" s="8">
        <v>12</v>
      </c>
      <c r="G6" t="s" s="0">
        <v>100</v>
      </c>
      <c r="H6" s="8">
        <f t="shared" si="0"/>
        <v>600</v>
      </c>
      <c r="I6" t="s" s="0">
        <v>101</v>
      </c>
      <c r="J6" s="8">
        <v>7</v>
      </c>
      <c r="K6" s="8">
        <v>4</v>
      </c>
      <c r="L6" s="8">
        <f t="shared" si="1"/>
        <v>600</v>
      </c>
      <c r="M6" s="8">
        <f>ROUND(L6*I6%,2)</f>
        <v>18</v>
      </c>
      <c r="N6" s="8">
        <f t="shared" si="2"/>
        <v>582</v>
      </c>
      <c r="O6" s="8">
        <f>ROUND(N6*J6%,2)</f>
        <v>40.74</v>
      </c>
      <c r="P6" s="8">
        <f t="shared" si="3"/>
        <v>541.26</v>
      </c>
      <c r="Q6" s="8">
        <f t="shared" si="4"/>
        <v>21.65</v>
      </c>
      <c r="R6" s="8">
        <f>M6+O6+Q6</f>
        <v>80.39</v>
      </c>
      <c r="S6" s="8">
        <f t="shared" si="5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519.61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44166.85</v>
      </c>
      <c r="AJ6" s="26">
        <f>IF($C$2=3,0,AG6+AH6)</f>
        <v>0</v>
      </c>
      <c r="AK6" s="26">
        <f>IF($C$2=3,AE6+AG6+AH6,0)</f>
        <v>0</v>
      </c>
      <c r="AL6" s="34">
        <v>1</v>
      </c>
      <c r="AM6" s="26">
        <f t="shared" si="7"/>
        <v>12</v>
      </c>
      <c r="AN6" s="26">
        <f t="shared" si="8"/>
        <v>3680.57083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3680.57083</v>
      </c>
      <c r="AS6" s="38" t="s">
        <v>80</v>
      </c>
      <c r="AT6" s="39" t="s">
        <v>77</v>
      </c>
      <c r="AU6" t="s" s="0">
        <v>200</v>
      </c>
      <c r="AV6" t="s" s="0">
        <v>201</v>
      </c>
      <c r="AW6" s="39">
        <f t="shared" si="12"/>
        <v>12</v>
      </c>
      <c r="AX6" s="39">
        <f t="shared" si="13"/>
        <v>3680.57083</v>
      </c>
      <c r="AY6" s="39">
        <f t="shared" si="14"/>
        <v>342</v>
      </c>
      <c r="AZ6" s="39">
        <f>ROUND(((AU6*AV6)+(AW6*AX6))/(AU6+AW6),5)</f>
        <v>1447.13407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97.29362</v>
      </c>
      <c r="BP6" s="48">
        <f t="shared" si="16"/>
        <v>312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8" sqref="R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202</v>
      </c>
      <c r="C4" s="7" t="s">
        <v>202</v>
      </c>
      <c r="D4" s="7" t="s">
        <v>77</v>
      </c>
      <c r="E4" s="7" t="s">
        <v>77</v>
      </c>
      <c r="F4" s="8">
        <v>5</v>
      </c>
      <c r="G4" t="s" s="0">
        <v>100</v>
      </c>
      <c r="H4" s="8">
        <f t="shared" ref="H4:H6" si="0">F4*G4</f>
        <v>250</v>
      </c>
      <c r="I4" t="s" s="0">
        <v>127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1</v>
      </c>
      <c r="AM4" s="26">
        <f t="shared" ref="AM4:AM6" si="7">F4/AL4</f>
        <v>5</v>
      </c>
      <c r="AN4" s="26">
        <f t="shared" ref="AN4:AN6" si="8">ROUND(AI4/AM4,5)</f>
        <v>3714.5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3714.5</v>
      </c>
      <c r="AS4" s="38" t="s">
        <v>80</v>
      </c>
      <c r="AT4" s="39" t="s">
        <v>77</v>
      </c>
      <c r="AU4" t="s" s="0">
        <v>127</v>
      </c>
      <c r="AV4" t="s" s="0">
        <v>179</v>
      </c>
      <c r="AW4" s="39">
        <f t="shared" ref="AW4:AW6" si="12">AM4</f>
        <v>5</v>
      </c>
      <c r="AX4" s="42">
        <f t="shared" ref="AX4:AX6" si="13">AR4</f>
        <v>3714.5</v>
      </c>
      <c r="AY4" s="39">
        <f t="shared" ref="AY4:AY6" si="14">AU4+AW4</f>
        <v>85</v>
      </c>
      <c r="AZ4" s="43">
        <f>ROUND(((AU4*AV4)+(AW4*AX4))/(AU4+AW4),3)</f>
        <v>3714.5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335.71882</v>
      </c>
      <c r="BP4" s="48">
        <f t="shared" ref="BP4:BP6" si="16">ROUND(BN4+AW4,3)</f>
        <v>85</v>
      </c>
      <c r="BQ4" s="49">
        <v>123562</v>
      </c>
    </row>
    <row r="5" ht="15.75" spans="1:69">
      <c r="A5" s="7">
        <v>1</v>
      </c>
      <c r="B5" s="7" t="s">
        <v>203</v>
      </c>
      <c r="C5" s="7" t="s">
        <v>203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IF(OR(DGSUomWIWoQPlImp!$C$2=1,DGSUomWIWoQPlImp!$C$2=4),ROUND((((S5*U5)/100)/2),2),0)</f>
        <v>0</v>
      </c>
      <c r="W5" s="8">
        <f>IF(DGSUomWIWoQPlImp!$C$2=1,ROUND((((S5*U5)/100)/2),2),0)</f>
        <v>0</v>
      </c>
      <c r="X5" s="8">
        <f>IF(DGSUomWIWoQPlImp!$C$2=2,ROUND(((S5*U5)/100),2),0)</f>
        <v>0</v>
      </c>
      <c r="Y5" s="8">
        <f>IF(DGSUomWIWoQPlImp!$C$2=4,ROUND((((S5*U5)/100)/2),2),0)</f>
        <v>0</v>
      </c>
      <c r="Z5" s="8">
        <v>0</v>
      </c>
      <c r="AA5" s="8">
        <f>IF(DGSUomWIWoQPlImp!$C3=3,0,(S5*Z5)/100)</f>
        <v>0</v>
      </c>
      <c r="AB5" s="8">
        <f t="shared" si="6"/>
        <v>0</v>
      </c>
      <c r="AC5" s="8">
        <f>IF(DGSUomWIWoQPlImp!$V3=1,S5+AB5,S5)</f>
        <v>328.47</v>
      </c>
      <c r="AD5" s="26">
        <v>120</v>
      </c>
      <c r="AE5" s="26">
        <f>IF(DGSUomWIWoQPlImp!$P$2=1,(S5/DGSUomWIWoQPlImp!$S$7)*DGSUomWIWoQPlImp!$E$18,AD5/DGSUomWIWoQPlImp!$AD$7*DGSUomWIWoQPlImp!$E$18)</f>
        <v>0</v>
      </c>
      <c r="AF5" s="26"/>
      <c r="AG5" s="26">
        <f>IF(DGSUomWIWoQPlImp!$P$2=1,(S5/DGSUomWIWoQPlImp!$S$7)*DGSUomWIWoQPlImp!$E$20,AD5/DGSUomWIWoQPlImp!$AD$7*DGSUomWIWoQPlImp!$E$20)</f>
        <v>0</v>
      </c>
      <c r="AH5" s="26">
        <f>IF(DGSUomWIWoQPlImp!$P$2=1,(S5/DGSUomWIWoQPlImp!$S$7)*DGSUomWIWoQPlImp!$E$21,AD5/DGSUomWIWoQPlImp!$AD$7*DGSUomWIWoQPlImp!$E$21)</f>
        <v>0</v>
      </c>
      <c r="AI5" s="26">
        <f>S5*DGSUomWIWoQPlImp!$M$2</f>
        <v>27919.95</v>
      </c>
      <c r="AJ5" s="26">
        <f>IF(DGSUomWIWoQPlImp!$C$2=3,0,AG5+AH5)</f>
        <v>0</v>
      </c>
      <c r="AK5" s="26">
        <f>IF(DGSUomWIWoQPlImp!$C$2=3,AE5+AG5+AH5,0)</f>
        <v>0</v>
      </c>
      <c r="AL5" s="34">
        <v>1</v>
      </c>
      <c r="AM5" s="26">
        <f t="shared" si="7"/>
        <v>4</v>
      </c>
      <c r="AN5" s="26">
        <f t="shared" si="8"/>
        <v>6979.9875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6979.9875</v>
      </c>
      <c r="AS5" s="38" t="s">
        <v>80</v>
      </c>
      <c r="AT5" s="39" t="s">
        <v>77</v>
      </c>
      <c r="AU5" t="s" s="0">
        <v>127</v>
      </c>
      <c r="AV5" t="s" s="0">
        <v>130</v>
      </c>
      <c r="AW5" s="39">
        <f t="shared" si="12"/>
        <v>4</v>
      </c>
      <c r="AX5" s="42">
        <f t="shared" si="13"/>
        <v>6979.9875</v>
      </c>
      <c r="AY5" s="39">
        <f t="shared" si="14"/>
        <v>72</v>
      </c>
      <c r="AZ5" s="42">
        <f>ROUND(((AU5*AV5)+(AW5*AX5))/(AU5+AW5),2)</f>
        <v>6979.99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513.23688</v>
      </c>
      <c r="BP5" s="48">
        <f t="shared" si="16"/>
        <v>64</v>
      </c>
      <c r="BQ5" s="49">
        <v>123562</v>
      </c>
    </row>
    <row r="6" ht="15.75" spans="1:69">
      <c r="A6" s="7">
        <v>1</v>
      </c>
      <c r="B6" s="7" t="s">
        <v>204</v>
      </c>
      <c r="C6" s="7" t="s">
        <v>204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IF(OR(DGSUomWIWoQPlImp!$C$2=1,DGSUomWIWoQPlImp!$C$2=4),ROUND((((S6*U6)/100)/2),2),0)</f>
        <v>0</v>
      </c>
      <c r="W6" s="8">
        <f>IF(DGSUomWIWoQPlImp!$C$2=1,ROUND((((S6*U6)/100)/2),2),0)</f>
        <v>0</v>
      </c>
      <c r="X6" s="8">
        <f>IF(DGSUomWIWoQPlImp!$C$2=2,ROUND(((S6*U6)/100),2),0)</f>
        <v>0</v>
      </c>
      <c r="Y6" s="8">
        <f>IF(DGSUomWIWoQPlImp!$C$2=4,ROUND((((S6*U6)/100)/2),2),0)</f>
        <v>0</v>
      </c>
      <c r="Z6" s="8">
        <v>0</v>
      </c>
      <c r="AA6" s="8">
        <f>IF(DGSUomWIWoQPlImp!$C4=3,0,(S6*Z6)/100)</f>
        <v>0</v>
      </c>
      <c r="AB6" s="8">
        <f t="shared" si="6"/>
        <v>0</v>
      </c>
      <c r="AC6" s="8">
        <f>IF(DGSUomWIWoQPlImp!$V4=1,S6+AB6,S6)</f>
        <v>866.02</v>
      </c>
      <c r="AD6" s="26">
        <v>120</v>
      </c>
      <c r="AE6" s="26">
        <f>IF(DGSUomWIWoQPlImp!$P$2=1,(S6/DGSUomWIWoQPlImp!$S$7)*DGSUomWIWoQPlImp!$E$18,AD6/DGSUomWIWoQPlImp!$AD$7*DGSUomWIWoQPlImp!$E$18)</f>
        <v>0</v>
      </c>
      <c r="AF6" s="26"/>
      <c r="AG6" s="26">
        <f>IF(DGSUomWIWoQPlImp!$P$2=1,(S6/DGSUomWIWoQPlImp!$S$7)*DGSUomWIWoQPlImp!$E$20,AD6/DGSUomWIWoQPlImp!$AD$7*DGSUomWIWoQPlImp!$E$20)</f>
        <v>0</v>
      </c>
      <c r="AH6" s="26">
        <f>IF(DGSUomWIWoQPlImp!$P$2=1,(S6/DGSUomWIWoQPlImp!$S$7)*DGSUomWIWoQPlImp!$E$21,AD6/DGSUomWIWoQPlImp!$AD$7*DGSUomWIWoQPlImp!$E$21)</f>
        <v>0</v>
      </c>
      <c r="AI6" s="26">
        <f>S6*DGSUomWIWoQPlImp!$M$2</f>
        <v>73611.7</v>
      </c>
      <c r="AJ6" s="26">
        <f>IF(DGSUomWIWoQPlImp!$C$2=3,0,AG6+AH6)</f>
        <v>0</v>
      </c>
      <c r="AK6" s="26">
        <f>IF(DGSUomWIWoQPlImp!$C$2=3,AE6+AG6+AH6,0)</f>
        <v>0</v>
      </c>
      <c r="AL6" s="34">
        <v>1</v>
      </c>
      <c r="AM6" s="26">
        <f t="shared" si="7"/>
        <v>20</v>
      </c>
      <c r="AN6" s="26">
        <f t="shared" si="8"/>
        <v>3680.585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3680.585</v>
      </c>
      <c r="AS6" s="38" t="s">
        <v>80</v>
      </c>
      <c r="AT6" s="39" t="s">
        <v>77</v>
      </c>
      <c r="AU6" t="s" s="0">
        <v>127</v>
      </c>
      <c r="AV6" t="s" s="0">
        <v>132</v>
      </c>
      <c r="AW6" s="39">
        <f t="shared" si="12"/>
        <v>20</v>
      </c>
      <c r="AX6" s="39">
        <f t="shared" si="13"/>
        <v>3680.585</v>
      </c>
      <c r="AY6" s="39">
        <f t="shared" si="14"/>
        <v>350</v>
      </c>
      <c r="AZ6" s="39">
        <f>ROUND(((AU6*AV6)+(AW6*AX6))/(AU6+AW6),1)</f>
        <v>3680.6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270.63125</v>
      </c>
      <c r="BP6" s="48">
        <f t="shared" si="16"/>
        <v>320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AZ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205</v>
      </c>
      <c r="C4" s="7" t="s">
        <v>205</v>
      </c>
      <c r="D4" s="7" t="s">
        <v>77</v>
      </c>
      <c r="E4" s="7" t="s">
        <v>77</v>
      </c>
      <c r="F4" s="8">
        <v>3</v>
      </c>
      <c r="G4" t="s" s="0">
        <v>78</v>
      </c>
      <c r="H4" s="8">
        <f t="shared" ref="H4:H6" si="0">F4*G4</f>
        <v>450</v>
      </c>
      <c r="I4" t="s" s="0">
        <v>79</v>
      </c>
      <c r="J4" s="8">
        <v>8</v>
      </c>
      <c r="K4" s="8">
        <v>5</v>
      </c>
      <c r="L4" s="8">
        <f t="shared" ref="L4:L6" si="1">IF(OR(I4=0,I4="0"),0,H4)</f>
        <v>450</v>
      </c>
      <c r="M4" s="8">
        <f>ROUND(L4*I4%,3)</f>
        <v>22.5</v>
      </c>
      <c r="N4" s="8">
        <f t="shared" ref="N4:N6" si="2">H4-M4</f>
        <v>427.5</v>
      </c>
      <c r="O4" s="8">
        <f>ROUND(N4*J4%,3)</f>
        <v>34.2</v>
      </c>
      <c r="P4" s="8">
        <f t="shared" ref="P4:P6" si="3">ROUND(N4-O4,2)</f>
        <v>393.3</v>
      </c>
      <c r="Q4" s="8">
        <f t="shared" ref="Q4:Q6" si="4">ROUND(P4*K4%,2)</f>
        <v>19.67</v>
      </c>
      <c r="R4" s="26">
        <f>ROUND(M4+O4+Q4,3)</f>
        <v>76.37</v>
      </c>
      <c r="S4" s="26">
        <f t="shared" ref="S4:S6" si="5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373.63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31758.55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</v>
      </c>
      <c r="AN4" s="26">
        <f t="shared" ref="AN4:AN6" si="8">ROUND(AI4/AM4,5)</f>
        <v>31758.55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31758.55</v>
      </c>
      <c r="AS4" s="38" t="s">
        <v>80</v>
      </c>
      <c r="AT4" s="39" t="s">
        <v>77</v>
      </c>
      <c r="AU4" t="s" s="0">
        <v>206</v>
      </c>
      <c r="AV4" t="s" s="0">
        <v>207</v>
      </c>
      <c r="AW4" s="39">
        <f t="shared" ref="AW4:AW6" si="12">AM4</f>
        <v>1</v>
      </c>
      <c r="AX4" s="42">
        <f t="shared" ref="AX4:AX6" si="13">AR4</f>
        <v>31758.55</v>
      </c>
      <c r="AY4" s="39">
        <f t="shared" ref="AY4:AY6" si="14">AU4+AW4</f>
        <v>64.328</v>
      </c>
      <c r="AZ4" s="39">
        <f>ROUND(((AU4*AV4)+(AW4*AX4))/(AU4+AW4),5)</f>
        <v>12245.10105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274.18149</v>
      </c>
      <c r="BP4" s="48">
        <f t="shared" ref="BP4:BP6" si="16">ROUND(BN4+AW4,3)</f>
        <v>81</v>
      </c>
      <c r="BQ4" s="49">
        <v>123562</v>
      </c>
    </row>
    <row r="5" ht="15.75" spans="1:69">
      <c r="A5" s="7">
        <v>1</v>
      </c>
      <c r="B5" s="7" t="s">
        <v>208</v>
      </c>
      <c r="C5" s="7" t="s">
        <v>208</v>
      </c>
      <c r="D5" s="7" t="s">
        <v>77</v>
      </c>
      <c r="E5" s="7" t="s">
        <v>77</v>
      </c>
      <c r="F5" s="8">
        <v>9</v>
      </c>
      <c r="G5" t="s" s="0">
        <v>92</v>
      </c>
      <c r="H5" s="8">
        <f t="shared" si="0"/>
        <v>900</v>
      </c>
      <c r="I5" t="s" s="0">
        <v>93</v>
      </c>
      <c r="J5" s="8">
        <v>9</v>
      </c>
      <c r="K5" s="8">
        <v>6</v>
      </c>
      <c r="L5" s="8">
        <f t="shared" si="1"/>
        <v>900</v>
      </c>
      <c r="M5" s="8">
        <f>ROUND(L5*I5%,2)</f>
        <v>36</v>
      </c>
      <c r="N5" s="8">
        <f t="shared" si="2"/>
        <v>864</v>
      </c>
      <c r="O5" s="8">
        <f>ROUND(N5*J5%,2)</f>
        <v>77.76</v>
      </c>
      <c r="P5" s="8">
        <f t="shared" si="3"/>
        <v>786.24</v>
      </c>
      <c r="Q5" s="8">
        <f t="shared" si="4"/>
        <v>47.17</v>
      </c>
      <c r="R5" s="8">
        <f>M5+O5+Q5</f>
        <v>160.93</v>
      </c>
      <c r="S5" s="8">
        <f t="shared" si="5"/>
        <v>739.07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6"/>
        <v>0</v>
      </c>
      <c r="AC5" s="8">
        <f>IF($V3=1,S5+AB5,S5)</f>
        <v>739.07</v>
      </c>
      <c r="AD5" s="26">
        <v>120</v>
      </c>
      <c r="AE5" s="26">
        <f>IF($P$2=1,(S5/$S$7)*$E$18,AD5/$AD$7*$E$18)</f>
        <v>0</v>
      </c>
      <c r="AF5" s="26"/>
      <c r="AG5" s="26">
        <f>IF($P$2=1,(S5/$S$7)*$E$20,AD5/$AD$7*$E$20)</f>
        <v>0</v>
      </c>
      <c r="AH5" s="26">
        <f>IF($P$2=1,(S5/$S$7)*$E$21,AD5/$AD$7*$E$21)</f>
        <v>0</v>
      </c>
      <c r="AI5" s="26">
        <f>S5*$M$2</f>
        <v>62820.95</v>
      </c>
      <c r="AJ5" s="26">
        <f>IF($C$2=3,0,AG5+AH5)</f>
        <v>0</v>
      </c>
      <c r="AK5" s="26">
        <f>IF($C$2=3,AE5+AG5+AH5,0)</f>
        <v>0</v>
      </c>
      <c r="AL5" s="34">
        <v>3</v>
      </c>
      <c r="AM5" s="26">
        <f t="shared" si="7"/>
        <v>3</v>
      </c>
      <c r="AN5" s="26">
        <f t="shared" si="8"/>
        <v>20940.31667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20940.31667</v>
      </c>
      <c r="AS5" s="38" t="s">
        <v>80</v>
      </c>
      <c r="AT5" s="39" t="s">
        <v>77</v>
      </c>
      <c r="AU5" t="s" s="0">
        <v>209</v>
      </c>
      <c r="AV5" t="s" s="0">
        <v>210</v>
      </c>
      <c r="AW5" s="39">
        <f t="shared" si="12"/>
        <v>3</v>
      </c>
      <c r="AX5" s="42">
        <f t="shared" si="13"/>
        <v>20940.31667</v>
      </c>
      <c r="AY5" s="39">
        <f t="shared" si="14"/>
        <v>103.999</v>
      </c>
      <c r="AZ5" s="39">
        <f>ROUND(((AU5*AV5)+(AW5*AX5))/(AU5+AW5),5)</f>
        <v>7343.35048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427.89288</v>
      </c>
      <c r="BP5" s="48">
        <f t="shared" si="16"/>
        <v>63</v>
      </c>
      <c r="BQ5" s="49">
        <v>123562</v>
      </c>
    </row>
    <row r="6" ht="15.75" spans="1:69">
      <c r="A6" s="7">
        <v>1</v>
      </c>
      <c r="B6" s="7" t="s">
        <v>211</v>
      </c>
      <c r="C6" s="7" t="s">
        <v>211</v>
      </c>
      <c r="D6" s="7" t="s">
        <v>77</v>
      </c>
      <c r="E6" s="7" t="s">
        <v>77</v>
      </c>
      <c r="F6" s="8">
        <v>12</v>
      </c>
      <c r="G6" t="s" s="0">
        <v>100</v>
      </c>
      <c r="H6" s="8">
        <f t="shared" si="0"/>
        <v>600</v>
      </c>
      <c r="I6" t="s" s="0">
        <v>101</v>
      </c>
      <c r="J6" s="8">
        <v>7</v>
      </c>
      <c r="K6" s="8">
        <v>4</v>
      </c>
      <c r="L6" s="8">
        <f t="shared" si="1"/>
        <v>600</v>
      </c>
      <c r="M6" s="8">
        <f>ROUND(L6*I6%,2)</f>
        <v>18</v>
      </c>
      <c r="N6" s="8">
        <f t="shared" si="2"/>
        <v>582</v>
      </c>
      <c r="O6" s="8">
        <f>ROUND(N6*J6%,2)</f>
        <v>40.74</v>
      </c>
      <c r="P6" s="8">
        <f t="shared" si="3"/>
        <v>541.26</v>
      </c>
      <c r="Q6" s="8">
        <f t="shared" si="4"/>
        <v>21.65</v>
      </c>
      <c r="R6" s="8">
        <f>M6+O6+Q6</f>
        <v>80.39</v>
      </c>
      <c r="S6" s="8">
        <f t="shared" si="5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6"/>
        <v>0</v>
      </c>
      <c r="AC6" s="8">
        <f>IF($V4=1,S6+AB6,S6)</f>
        <v>519.61</v>
      </c>
      <c r="AD6" s="26">
        <v>120</v>
      </c>
      <c r="AE6" s="26">
        <f>IF($P$2=1,(S6/$S$7)*$E$18,AD6/$AD$7*$E$18)</f>
        <v>0</v>
      </c>
      <c r="AF6" s="26"/>
      <c r="AG6" s="26">
        <f>IF($P$2=1,(S6/$S$7)*$E$20,AD6/$AD$7*$E$20)</f>
        <v>0</v>
      </c>
      <c r="AH6" s="26">
        <f>IF($P$2=1,(S6/$S$7)*$E$21,AD6/$AD$7*$E$21)</f>
        <v>0</v>
      </c>
      <c r="AI6" s="26">
        <f>S6*$M$2</f>
        <v>44166.85</v>
      </c>
      <c r="AJ6" s="26">
        <f>IF($C$2=3,0,AG6+AH6)</f>
        <v>0</v>
      </c>
      <c r="AK6" s="26">
        <f>IF($C$2=3,AE6+AG6+AH6,0)</f>
        <v>0</v>
      </c>
      <c r="AL6" s="34">
        <v>3</v>
      </c>
      <c r="AM6" s="26">
        <f t="shared" si="7"/>
        <v>4</v>
      </c>
      <c r="AN6" s="26">
        <f t="shared" si="8"/>
        <v>11041.7125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11041.7125</v>
      </c>
      <c r="AS6" s="38" t="s">
        <v>80</v>
      </c>
      <c r="AT6" s="39" t="s">
        <v>77</v>
      </c>
      <c r="AU6" t="s" s="0">
        <v>212</v>
      </c>
      <c r="AV6" t="s" s="0">
        <v>213</v>
      </c>
      <c r="AW6" s="39">
        <f t="shared" si="12"/>
        <v>4</v>
      </c>
      <c r="AX6" s="39">
        <f t="shared" si="13"/>
        <v>11041.7125</v>
      </c>
      <c r="AY6" s="39">
        <f t="shared" si="14"/>
        <v>83.994</v>
      </c>
      <c r="AZ6" s="39">
        <f>ROUND(((AU6*AV6)+(AW6*AX6))/(AU6+AW6),5)</f>
        <v>4979.68333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108.25241</v>
      </c>
      <c r="BP6" s="48">
        <f t="shared" si="16"/>
        <v>304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76.37</v>
      </c>
      <c r="S7" s="13">
        <f t="shared" si="17"/>
        <v>373.63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31758.55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450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C1" workbookViewId="0">
      <selection activeCell="O3" sqref="O3"/>
    </sheetView>
  </sheetViews>
  <sheetFormatPr defaultColWidth="8.84761904761905" defaultRowHeight="15"/>
  <cols>
    <col min="2" max="2" customWidth="true" width="28.0"/>
    <col min="3" max="3" customWidth="true" width="29.447619047619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9" t="s">
        <v>33</v>
      </c>
      <c r="Z3" s="29" t="s">
        <v>34</v>
      </c>
      <c r="AA3" s="29" t="s">
        <v>35</v>
      </c>
      <c r="AB3" s="29" t="s">
        <v>36</v>
      </c>
      <c r="AC3" s="30" t="s">
        <v>37</v>
      </c>
      <c r="AD3" s="30" t="s">
        <v>38</v>
      </c>
      <c r="AE3" s="30" t="s">
        <v>39</v>
      </c>
      <c r="AF3" s="30" t="s">
        <v>40</v>
      </c>
      <c r="AG3" s="30" t="s">
        <v>41</v>
      </c>
      <c r="AH3" s="30" t="s">
        <v>42</v>
      </c>
      <c r="AI3" s="30" t="s">
        <v>43</v>
      </c>
      <c r="AJ3" s="30" t="s">
        <v>44</v>
      </c>
      <c r="AK3" s="30" t="s">
        <v>45</v>
      </c>
      <c r="AL3" s="30" t="s">
        <v>46</v>
      </c>
      <c r="AM3" s="30" t="s">
        <v>47</v>
      </c>
      <c r="AN3" s="30" t="s">
        <v>48</v>
      </c>
      <c r="AO3" s="30" t="s">
        <v>49</v>
      </c>
      <c r="AP3" s="30" t="s">
        <v>50</v>
      </c>
      <c r="AQ3" s="30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214</v>
      </c>
      <c r="C4" s="7" t="s">
        <v>214</v>
      </c>
      <c r="D4" s="7" t="s">
        <v>77</v>
      </c>
      <c r="E4" s="7" t="s">
        <v>77</v>
      </c>
      <c r="F4" s="8">
        <v>5</v>
      </c>
      <c r="G4" s="0">
        <v>50</v>
      </c>
      <c r="H4" s="8">
        <f t="shared" ref="H4:H6" si="0">F4*G4</f>
        <v>250</v>
      </c>
      <c r="I4" s="0">
        <v>0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26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1">
        <f>IF($V2=1,S4+AB4,S4)</f>
        <v>218.5</v>
      </c>
      <c r="AD4" s="26">
        <v>120</v>
      </c>
      <c r="AE4" s="26">
        <f>IF($P$2=1,(S4/$S$7)*$E$18,AD4/$AD$7*$E$18)</f>
        <v>0</v>
      </c>
      <c r="AF4" s="26"/>
      <c r="AG4" s="26">
        <f>IF($P$2=1,(S4/$S$7)*$E$20,AD4/$AD$7*$E$20)</f>
        <v>0</v>
      </c>
      <c r="AH4" s="26">
        <f>IF($P$2=1,(S4/$S$7)*$E$21,AD4/$AD$7*$E$21)</f>
        <v>0</v>
      </c>
      <c r="AI4" s="26">
        <f>S4*$M2</f>
        <v>18572.5</v>
      </c>
      <c r="AJ4" s="26">
        <f>IF($C$2=3,0,AG4+AH4)</f>
        <v>0</v>
      </c>
      <c r="AK4" s="26">
        <f>IF($C$2=3,AE4+AG4+AH4,0)</f>
        <v>0</v>
      </c>
      <c r="AL4" s="34">
        <v>3</v>
      </c>
      <c r="AM4" s="26">
        <f t="shared" ref="AM4:AM6" si="7">F4/AL4</f>
        <v>1.66666666666667</v>
      </c>
      <c r="AN4" s="26">
        <f t="shared" ref="AN4:AN6" si="8">ROUND(AI4/AM4,5)</f>
        <v>11143.5</v>
      </c>
      <c r="AO4" s="26">
        <f t="shared" ref="AO4:AO6" si="9">AJ4/AM4</f>
        <v>0</v>
      </c>
      <c r="AP4" s="26">
        <f t="shared" ref="AP4:AP6" si="10">AK4/AM4</f>
        <v>0</v>
      </c>
      <c r="AQ4" s="26" t="s">
        <v>77</v>
      </c>
      <c r="AR4" s="26">
        <f t="shared" ref="AR4:AR6" si="11">ROUND(AN4+AO4+AP4,5)</f>
        <v>11143.5</v>
      </c>
      <c r="AS4" s="38" t="s">
        <v>80</v>
      </c>
      <c r="AT4" s="39" t="s">
        <v>77</v>
      </c>
      <c r="AU4" t="s" s="0">
        <v>206</v>
      </c>
      <c r="AV4" t="s" s="0">
        <v>207</v>
      </c>
      <c r="AW4" s="39">
        <f t="shared" ref="AW4:AW6" si="12">AM4</f>
        <v>1.66666666666667</v>
      </c>
      <c r="AX4" s="42">
        <f t="shared" ref="AX4:AX6" si="13">AR4</f>
        <v>11143.5</v>
      </c>
      <c r="AY4" s="39">
        <f t="shared" ref="AY4:AY6" si="14">AU4+AW4</f>
        <v>64.9946666666667</v>
      </c>
      <c r="AZ4" s="43">
        <f>ROUND(((AU4*AV4)+(AW4*AX4))/(AU4+AW4),3)</f>
        <v>11916.621</v>
      </c>
      <c r="BA4" s="44"/>
      <c r="BB4" s="44" t="s">
        <v>83</v>
      </c>
      <c r="BC4" s="45" t="s">
        <v>84</v>
      </c>
      <c r="BD4" s="46" t="s">
        <v>85</v>
      </c>
      <c r="BE4" s="46" t="s">
        <v>86</v>
      </c>
      <c r="BF4" s="44"/>
      <c r="BG4" s="44"/>
      <c r="BH4" s="44"/>
      <c r="BI4" s="39"/>
      <c r="BJ4" s="39"/>
      <c r="BK4" s="39"/>
      <c r="BL4" s="47" t="s">
        <v>87</v>
      </c>
      <c r="BM4" t="s" s="0">
        <v>88</v>
      </c>
      <c r="BN4" t="s" s="0">
        <v>89</v>
      </c>
      <c r="BO4" s="39">
        <f t="shared" ref="BO4:BO6" si="15">ROUND((((AW4*AZ4)+(BN4*BM4))/(AW4+BN4)),5)</f>
        <v>365.19961</v>
      </c>
      <c r="BP4" s="48">
        <f t="shared" ref="BP4:BP6" si="16">ROUND(BN4+AW4,3)</f>
        <v>81.667</v>
      </c>
      <c r="BQ4" s="49">
        <v>123562</v>
      </c>
    </row>
    <row r="5" ht="15.75" spans="1:69">
      <c r="A5" s="7">
        <v>1</v>
      </c>
      <c r="B5" s="7" t="s">
        <v>215</v>
      </c>
      <c r="C5" s="7" t="s">
        <v>215</v>
      </c>
      <c r="D5" s="7" t="s">
        <v>77</v>
      </c>
      <c r="E5" s="7" t="s">
        <v>77</v>
      </c>
      <c r="F5" s="8">
        <v>4</v>
      </c>
      <c r="G5" t="s" s="0">
        <v>92</v>
      </c>
      <c r="H5" s="8">
        <f t="shared" si="0"/>
        <v>400</v>
      </c>
      <c r="I5" t="s" s="0">
        <v>93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IF(OR(DGDUomWoQWIPlImp!$C$2=1,DGDUomWoQWIPlImp!$C$2=4),ROUND((((S5*U5)/100)/2),2),0)</f>
        <v>0</v>
      </c>
      <c r="W5" s="8">
        <f>IF(DGDUomWoQWIPlImp!$C$2=1,ROUND((((S5*U5)/100)/2),2),0)</f>
        <v>0</v>
      </c>
      <c r="X5" s="8">
        <f>IF(DGDUomWoQWIPlImp!$C$2=2,ROUND(((S5*U5)/100),2),0)</f>
        <v>0</v>
      </c>
      <c r="Y5" s="8">
        <f>IF(DGDUomWoQWIPlImp!$C$2=4,ROUND((((S5*U5)/100)/2),2),0)</f>
        <v>0</v>
      </c>
      <c r="Z5" s="8">
        <v>0</v>
      </c>
      <c r="AA5" s="8">
        <f>IF(DGDUomWoQWIPlImp!$C3=3,0,(S5*Z5)/100)</f>
        <v>0</v>
      </c>
      <c r="AB5" s="8">
        <f t="shared" si="6"/>
        <v>0</v>
      </c>
      <c r="AC5" s="8">
        <f>IF(DGDUomWoQWIPlImp!$V3=1,S5+AB5,S5)</f>
        <v>328.47</v>
      </c>
      <c r="AD5" s="26">
        <v>120</v>
      </c>
      <c r="AE5" s="26">
        <f>IF(DGDUomWoQWIPlImp!$P$2=1,(S5/DGDUomWoQWIPlImp!$S$7)*DGDUomWoQWIPlImp!$E$18,AD5/DGDUomWoQWIPlImp!$AD$7*DGDUomWoQWIPlImp!$E$18)</f>
        <v>0</v>
      </c>
      <c r="AF5" s="26"/>
      <c r="AG5" s="26">
        <f>IF(DGDUomWoQWIPlImp!$P$2=1,(S5/DGDUomWoQWIPlImp!$S$7)*DGDUomWoQWIPlImp!$E$20,AD5/DGDUomWoQWIPlImp!$AD$7*DGDUomWoQWIPlImp!$E$20)</f>
        <v>0</v>
      </c>
      <c r="AH5" s="26">
        <f>IF(DGDUomWoQWIPlImp!$P$2=1,(S5/DGDUomWoQWIPlImp!$S$7)*DGDUomWoQWIPlImp!$E$21,AD5/DGDUomWoQWIPlImp!$AD$7*DGDUomWoQWIPlImp!$E$21)</f>
        <v>0</v>
      </c>
      <c r="AI5" s="26">
        <f>S5*DGDUomWoQWIPlImp!$M$2</f>
        <v>27919.95</v>
      </c>
      <c r="AJ5" s="26">
        <f>IF(DGDUomWoQWIPlImp!$C$2=3,0,AG5+AH5)</f>
        <v>0</v>
      </c>
      <c r="AK5" s="26">
        <f>IF(DGDUomWoQWIPlImp!$C$2=3,AE5+AG5+AH5,0)</f>
        <v>0</v>
      </c>
      <c r="AL5" s="34">
        <v>3</v>
      </c>
      <c r="AM5" s="26">
        <f t="shared" si="7"/>
        <v>1.33333333333333</v>
      </c>
      <c r="AN5" s="26">
        <f t="shared" si="8"/>
        <v>20939.9625</v>
      </c>
      <c r="AO5" s="26">
        <f t="shared" si="9"/>
        <v>0</v>
      </c>
      <c r="AP5" s="26">
        <f t="shared" si="10"/>
        <v>0</v>
      </c>
      <c r="AQ5" s="26" t="s">
        <v>77</v>
      </c>
      <c r="AR5" s="26">
        <f t="shared" si="11"/>
        <v>20939.9625</v>
      </c>
      <c r="AS5" s="38" t="s">
        <v>80</v>
      </c>
      <c r="AT5" s="39" t="s">
        <v>77</v>
      </c>
      <c r="AU5" t="s" s="0">
        <v>209</v>
      </c>
      <c r="AV5" t="s" s="0">
        <v>210</v>
      </c>
      <c r="AW5" s="39">
        <f t="shared" si="12"/>
        <v>1.33333333333333</v>
      </c>
      <c r="AX5" s="42">
        <f t="shared" si="13"/>
        <v>20939.9625</v>
      </c>
      <c r="AY5" s="39">
        <f t="shared" si="14"/>
        <v>102.332333333333</v>
      </c>
      <c r="AZ5" s="42">
        <f>ROUND(((AU5*AV5)+(AW5*AX5))/(AU5+AW5),2)</f>
        <v>7121.89</v>
      </c>
      <c r="BA5" s="44"/>
      <c r="BB5" s="44" t="s">
        <v>83</v>
      </c>
      <c r="BC5" s="45" t="s">
        <v>84</v>
      </c>
      <c r="BD5" s="46" t="s">
        <v>85</v>
      </c>
      <c r="BE5" s="46" t="s">
        <v>86</v>
      </c>
      <c r="BF5" s="44"/>
      <c r="BG5" s="44"/>
      <c r="BH5" s="44"/>
      <c r="BI5" s="39"/>
      <c r="BJ5" s="39"/>
      <c r="BK5" s="39"/>
      <c r="BL5" s="47" t="s">
        <v>87</v>
      </c>
      <c r="BM5" t="s" s="0">
        <v>96</v>
      </c>
      <c r="BN5" t="s" s="0">
        <v>97</v>
      </c>
      <c r="BO5" s="39">
        <f t="shared" si="15"/>
        <v>235.15848</v>
      </c>
      <c r="BP5" s="48">
        <f t="shared" si="16"/>
        <v>61.333</v>
      </c>
      <c r="BQ5" s="49">
        <v>123562</v>
      </c>
    </row>
    <row r="6" ht="15.75" spans="1:69">
      <c r="A6" s="7">
        <v>1</v>
      </c>
      <c r="B6" s="7" t="s">
        <v>216</v>
      </c>
      <c r="C6" s="7" t="s">
        <v>216</v>
      </c>
      <c r="D6" s="7" t="s">
        <v>77</v>
      </c>
      <c r="E6" s="7" t="s">
        <v>77</v>
      </c>
      <c r="F6" s="8">
        <v>20</v>
      </c>
      <c r="G6" t="s" s="0">
        <v>100</v>
      </c>
      <c r="H6" s="8">
        <f t="shared" si="0"/>
        <v>1000</v>
      </c>
      <c r="I6" t="s" s="0">
        <v>101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IF(OR(DGDUomWoQWIPlImp!$C$2=1,DGDUomWoQWIPlImp!$C$2=4),ROUND((((S6*U6)/100)/2),2),0)</f>
        <v>0</v>
      </c>
      <c r="W6" s="8">
        <f>IF(DGDUomWoQWIPlImp!$C$2=1,ROUND((((S6*U6)/100)/2),2),0)</f>
        <v>0</v>
      </c>
      <c r="X6" s="8">
        <f>IF(DGDUomWoQWIPlImp!$C$2=2,ROUND(((S6*U6)/100),2),0)</f>
        <v>0</v>
      </c>
      <c r="Y6" s="8">
        <f>IF(DGDUomWoQWIPlImp!$C$2=4,ROUND((((S6*U6)/100)/2),2),0)</f>
        <v>0</v>
      </c>
      <c r="Z6" s="8">
        <v>0</v>
      </c>
      <c r="AA6" s="8">
        <f>IF(DGDUomWoQWIPlImp!$C4=3,0,(S6*Z6)/100)</f>
        <v>0</v>
      </c>
      <c r="AB6" s="8">
        <f t="shared" si="6"/>
        <v>0</v>
      </c>
      <c r="AC6" s="8">
        <f>IF(DGDUomWoQWIPlImp!$V4=1,S6+AB6,S6)</f>
        <v>866.02</v>
      </c>
      <c r="AD6" s="26">
        <v>120</v>
      </c>
      <c r="AE6" s="26">
        <f>IF(DGDUomWoQWIPlImp!$P$2=1,(S6/DGDUomWoQWIPlImp!$S$7)*DGDUomWoQWIPlImp!$E$18,AD6/DGDUomWoQWIPlImp!$AD$7*DGDUomWoQWIPlImp!$E$18)</f>
        <v>0</v>
      </c>
      <c r="AF6" s="26"/>
      <c r="AG6" s="26">
        <f>IF(DGDUomWoQWIPlImp!$P$2=1,(S6/DGDUomWoQWIPlImp!$S$7)*DGDUomWoQWIPlImp!$E$20,AD6/DGDUomWoQWIPlImp!$AD$7*DGDUomWoQWIPlImp!$E$20)</f>
        <v>0</v>
      </c>
      <c r="AH6" s="26">
        <f>IF(DGDUomWoQWIPlImp!$P$2=1,(S6/DGDUomWoQWIPlImp!$S$7)*DGDUomWoQWIPlImp!$E$21,AD6/DGDUomWoQWIPlImp!$AD$7*DGDUomWoQWIPlImp!$E$21)</f>
        <v>0</v>
      </c>
      <c r="AI6" s="26">
        <f>S6*DGDUomWoQWIPlImp!$M$2</f>
        <v>73611.7</v>
      </c>
      <c r="AJ6" s="26">
        <f>IF(DGDUomWoQWIPlImp!$C$2=3,0,AG6+AH6)</f>
        <v>0</v>
      </c>
      <c r="AK6" s="26">
        <f>IF(DGDUomWoQWIPlImp!$C$2=3,AE6+AG6+AH6,0)</f>
        <v>0</v>
      </c>
      <c r="AL6" s="34">
        <v>3</v>
      </c>
      <c r="AM6" s="26">
        <f t="shared" si="7"/>
        <v>6.66666666666667</v>
      </c>
      <c r="AN6" s="26">
        <f t="shared" si="8"/>
        <v>11041.755</v>
      </c>
      <c r="AO6" s="26">
        <f t="shared" si="9"/>
        <v>0</v>
      </c>
      <c r="AP6" s="26">
        <f t="shared" si="10"/>
        <v>0</v>
      </c>
      <c r="AQ6" s="26" t="s">
        <v>77</v>
      </c>
      <c r="AR6" s="26">
        <f t="shared" si="11"/>
        <v>11041.755</v>
      </c>
      <c r="AS6" s="38" t="s">
        <v>80</v>
      </c>
      <c r="AT6" s="39" t="s">
        <v>77</v>
      </c>
      <c r="AU6" t="s" s="0">
        <v>212</v>
      </c>
      <c r="AV6" t="s" s="0">
        <v>213</v>
      </c>
      <c r="AW6" s="39">
        <f t="shared" si="12"/>
        <v>6.66666666666667</v>
      </c>
      <c r="AX6" s="39">
        <f t="shared" si="13"/>
        <v>11041.755</v>
      </c>
      <c r="AY6" s="39">
        <f t="shared" si="14"/>
        <v>86.6606666666667</v>
      </c>
      <c r="AZ6" s="39">
        <f>ROUND(((AU6*AV6)+(AW6*AX6))/(AU6+AW6),1)</f>
        <v>5166.2</v>
      </c>
      <c r="BA6" s="44"/>
      <c r="BB6" s="44" t="s">
        <v>83</v>
      </c>
      <c r="BC6" s="45" t="s">
        <v>84</v>
      </c>
      <c r="BD6" s="46" t="s">
        <v>85</v>
      </c>
      <c r="BE6" s="46" t="s">
        <v>86</v>
      </c>
      <c r="BF6" s="44"/>
      <c r="BG6" s="44"/>
      <c r="BH6" s="44"/>
      <c r="BI6" s="39"/>
      <c r="BJ6" s="39"/>
      <c r="BK6" s="39"/>
      <c r="BL6" s="47" t="s">
        <v>87</v>
      </c>
      <c r="BM6" t="s" s="0">
        <v>104</v>
      </c>
      <c r="BN6" t="s" s="0">
        <v>105</v>
      </c>
      <c r="BO6" s="39">
        <f t="shared" si="15"/>
        <v>154.66739</v>
      </c>
      <c r="BP6" s="48">
        <f t="shared" si="16"/>
        <v>306.667</v>
      </c>
      <c r="BQ6" s="49">
        <v>123562</v>
      </c>
    </row>
    <row r="7" ht="15.75" spans="1:69">
      <c r="A7" s="9"/>
      <c r="B7" s="10"/>
      <c r="C7" s="10"/>
      <c r="D7" s="11" t="s">
        <v>106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7">
        <f t="shared" ref="R7:X7" si="17">SUM(R4:R4)</f>
        <v>31.5</v>
      </c>
      <c r="S7" s="13">
        <f t="shared" si="17"/>
        <v>218.5</v>
      </c>
      <c r="T7" s="27"/>
      <c r="U7" s="27"/>
      <c r="V7" s="28">
        <f t="shared" si="17"/>
        <v>0</v>
      </c>
      <c r="W7" s="28">
        <f t="shared" si="17"/>
        <v>0</v>
      </c>
      <c r="X7" s="28">
        <f t="shared" si="17"/>
        <v>0</v>
      </c>
      <c r="Y7" s="28"/>
      <c r="Z7" s="28"/>
      <c r="AA7" s="28"/>
      <c r="AB7" s="27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107</v>
      </c>
      <c r="H9" s="15"/>
      <c r="I9" s="19">
        <f>H7</f>
        <v>250</v>
      </c>
      <c r="J9" s="19"/>
      <c r="K9" s="9"/>
      <c r="L9" s="9"/>
      <c r="M9" s="20" t="s">
        <v>108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109</v>
      </c>
      <c r="BI9" s="55" t="s">
        <v>110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111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77</v>
      </c>
      <c r="O10" s="23">
        <v>2</v>
      </c>
      <c r="P10" s="23" t="s">
        <v>112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113</v>
      </c>
      <c r="BI10" s="55" t="s">
        <v>114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115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77</v>
      </c>
      <c r="O11" s="7">
        <v>2.5</v>
      </c>
      <c r="P11" s="7" t="s">
        <v>116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117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112</v>
      </c>
      <c r="O12" s="7">
        <v>0.001</v>
      </c>
      <c r="P12" s="7" t="s">
        <v>118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119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120</v>
      </c>
      <c r="BN14" s="9" t="s">
        <v>121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122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123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124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125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DGSUomWI</vt:lpstr>
      <vt:lpstr>DGSUomWoQWI</vt:lpstr>
      <vt:lpstr>DGDUomWI</vt:lpstr>
      <vt:lpstr>DGDUomWoQWI</vt:lpstr>
      <vt:lpstr>DGSUomWISer</vt:lpstr>
      <vt:lpstr>DGSUomWoQWISer</vt:lpstr>
      <vt:lpstr>DGSUomWoQRcWISer</vt:lpstr>
      <vt:lpstr>DGSUomWIRcSer</vt:lpstr>
      <vt:lpstr>DGSUomWIPlSer</vt:lpstr>
      <vt:lpstr>DGSUomWoQWIPlSer</vt:lpstr>
      <vt:lpstr>DGSUomWIRcImp</vt:lpstr>
      <vt:lpstr>DGSUomWIWoQRcImp</vt:lpstr>
      <vt:lpstr>DGDUomWIRcImp</vt:lpstr>
      <vt:lpstr>DGDUomWoQWIRcImp</vt:lpstr>
      <vt:lpstr>DGSUomWIPlImp</vt:lpstr>
      <vt:lpstr>DGSUomWIWoQPlImp</vt:lpstr>
      <vt:lpstr>DGDUomWIPlImp</vt:lpstr>
      <vt:lpstr>DGDUomWoQWIPlImp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2026-03-05T07:28:12Z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