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703" firstSheet="9" activeTab="9"/>
  </bookViews>
  <sheets>
    <sheet name="DGSUomWI" sheetId="6" r:id="rId1"/>
    <sheet name="DGSUomWoQWI" sheetId="60" r:id="rId2"/>
    <sheet name="DGDUomWI" sheetId="57" r:id="rId3"/>
    <sheet name="DGDUomWoQWI" sheetId="66" r:id="rId4"/>
    <sheet name="DGSUomWISer" sheetId="54" r:id="rId5"/>
    <sheet name="DGSUomWoQWISer" sheetId="63" r:id="rId6"/>
    <sheet name="DGSUomWoQRcWISer" sheetId="64" r:id="rId7"/>
    <sheet name="DGSUomWIRcSer" sheetId="55" r:id="rId8"/>
    <sheet name="DGSUomWIPlSer" sheetId="56" r:id="rId9"/>
    <sheet name="DGSUomWoQWIPlSer" sheetId="65" r:id="rId10"/>
    <sheet name="DGSUomWIRcImp" sheetId="52" r:id="rId11"/>
    <sheet name="DGSUomWIWoQRcImp" sheetId="61" r:id="rId12"/>
    <sheet name="DGDUomWIRcImp" sheetId="58" r:id="rId13"/>
    <sheet name="DGDUomWoQWIRcImp" sheetId="67" r:id="rId14"/>
    <sheet name="DGSUomWIPlImp" sheetId="53" r:id="rId15"/>
    <sheet name="DGSUomWIWoQPlImp" sheetId="62" r:id="rId16"/>
    <sheet name="DGDUomWIPlImp" sheetId="59" r:id="rId17"/>
    <sheet name="DGDUomWoQWIPlImp" sheetId="6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<sst xmlns="http://schemas.openxmlformats.org/spreadsheetml/2006/main" count="2766" uniqueCount="217">
  <si>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</si>
  <si>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</si>
  <si>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</si>
  <si>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</si>
  <si>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</si>
  <si>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</si>
  <si>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</si>
  <si>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</si>
  <si>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</si>
  <si>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No.</t>
  </si>
  <si>
    <t>Item</t>
  </si>
  <si>
    <t>Item Desc</t>
  </si>
  <si>
    <t>Stk. UOM</t>
  </si>
  <si>
    <t>Pur. UOM</t>
  </si>
  <si>
    <t>Qty</t>
  </si>
  <si>
    <t>Unit Cost</t>
  </si>
  <si>
    <t>Gross Amt.</t>
  </si>
  <si>
    <t>TD%</t>
  </si>
  <si>
    <t>CD%</t>
  </si>
  <si>
    <t>SD%</t>
  </si>
  <si>
    <t>TD Asbl. Val.</t>
  </si>
  <si>
    <t>TD Amt.</t>
  </si>
  <si>
    <t>CD Asbl. Val.</t>
  </si>
  <si>
    <t>CD Amt.</t>
  </si>
  <si>
    <t>VD Asbl. Val.</t>
  </si>
  <si>
    <t>SD Amt.</t>
  </si>
  <si>
    <t>Disc. Amt.</t>
  </si>
  <si>
    <t>Pur. Value</t>
  </si>
  <si>
    <t>HSN</t>
  </si>
  <si>
    <t>Tax%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</si>
  <si>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</si>
  <si>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</si>
  <si>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</si>
  <si>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</si>
  <si>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</si>
  <si>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</si>
  <si>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</si>
  <si>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</si>
  <si>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</si>
  <si>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</si>
  <si>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</si>
  <si>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</si>
  <si>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</si>
  <si>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</si>
  <si>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</si>
  <si>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</si>
  <si>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</si>
  <si>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</si>
  <si>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</si>
  <si>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</si>
  <si>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</si>
  <si>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</si>
  <si>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(Stk.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</si>
  <si>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</si>
  <si>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</si>
  <si>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</si>
  <si>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</si>
  <si>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</si>
  <si>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</si>
  <si>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</si>
  <si>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</si>
  <si>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</si>
  <si>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</si>
  <si>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</si>
  <si>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</si>
  <si>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</si>
  <si>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</si>
  <si>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</si>
  <si>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</si>
  <si>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</si>
  <si>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</si>
  <si>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</si>
  <si>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</si>
  <si>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</si>
  <si>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</si>
  <si>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GWL_Item_Similar_04</t>
  </si>
  <si>
    <t>GWL_Item_Similar_04_Desc</t>
  </si>
  <si>
    <t>NOS</t>
  </si>
  <si>
    <t>150</t>
  </si>
  <si>
    <t>5</t>
  </si>
  <si>
    <t>INS WH-1</t>
  </si>
  <si>
    <t>375</t>
  </si>
  <si>
    <t>3578.59301</t>
  </si>
  <si>
    <t>Receipt Qty &amp; Unit cost</t>
  </si>
  <si>
    <t>LOT</t>
  </si>
  <si>
    <t>RM</t>
  </si>
  <si>
    <t>RMS</t>
  </si>
  <si>
    <t>RM WH-49</t>
  </si>
  <si>
    <t>124.545</t>
  </si>
  <si>
    <t>80</t>
  </si>
  <si>
    <t>GWL_Item_Similar_2</t>
  </si>
  <si>
    <t>GWL_Item_Similar_02</t>
  </si>
  <si>
    <t>100</t>
  </si>
  <si>
    <t>4</t>
  </si>
  <si>
    <t>188</t>
  </si>
  <si>
    <t>1972.62723</t>
  </si>
  <si>
    <t>82.12</t>
  </si>
  <si>
    <t>60</t>
  </si>
  <si>
    <t>GWL_Item_Similar_05</t>
  </si>
  <si>
    <t>GWL_Item_Similar_05_Desc</t>
  </si>
  <si>
    <t>50</t>
  </si>
  <si>
    <t>3</t>
  </si>
  <si>
    <t>480</t>
  </si>
  <si>
    <t>1095.12917</t>
  </si>
  <si>
    <t>43.3</t>
  </si>
  <si>
    <t>300</t>
  </si>
  <si>
    <t>Total</t>
  </si>
  <si>
    <t>Gross Purchase</t>
  </si>
  <si>
    <t>Conv factor</t>
  </si>
  <si>
    <t>ACPT</t>
  </si>
  <si>
    <t>Acpt Qty. * Insp. Unit Cost + OLD. Qty in GRN WH * OLD Unitcost in GRN WH / Acpt. Qty + OLD. Qty in GRN WH</t>
  </si>
  <si>
    <t>Disc amt</t>
  </si>
  <si>
    <t>KGS</t>
  </si>
  <si>
    <t>REJ</t>
  </si>
  <si>
    <t>Rej Qty. * Insp. Unit Cost + OLD. Qty in REJ WH * OLD Unitcost in REJ WH / Acpt. Qty + OLD. Qty in REJ WH</t>
  </si>
  <si>
    <t>Net Purchase</t>
  </si>
  <si>
    <t>MTR</t>
  </si>
  <si>
    <t>Tax Amt</t>
  </si>
  <si>
    <t>MT</t>
  </si>
  <si>
    <t>Gross Amont</t>
  </si>
  <si>
    <t>old</t>
  </si>
  <si>
    <t>new</t>
  </si>
  <si>
    <t>acpt Qty</t>
  </si>
  <si>
    <t>Inspection Unit Cost</t>
  </si>
  <si>
    <t>old Qty</t>
  </si>
  <si>
    <t>old UnitCost</t>
  </si>
  <si>
    <t>GWL_Item_WoQ_UD_Similar_01</t>
  </si>
  <si>
    <t>0</t>
  </si>
  <si>
    <t>10586.325</t>
  </si>
  <si>
    <t>GWL_Item_WoQ_UD_Similar_02</t>
  </si>
  <si>
    <t>6980.2</t>
  </si>
  <si>
    <t>GWL_Item_WoQ_UD_Similar_03</t>
  </si>
  <si>
    <t>3680.5</t>
  </si>
  <si>
    <t>GWL_Item_Dissimilar_03</t>
  </si>
  <si>
    <t>48.329</t>
  </si>
  <si>
    <t>12278.62068</t>
  </si>
  <si>
    <t>GWL_Item_Dissimilar_04</t>
  </si>
  <si>
    <t>22.661</t>
  </si>
  <si>
    <t>7550.20941</t>
  </si>
  <si>
    <t>GWL_Item_Dissimilar_05</t>
  </si>
  <si>
    <t>59.995</t>
  </si>
  <si>
    <t>4373.41115</t>
  </si>
  <si>
    <t>GWL_Dissimilar_01</t>
  </si>
  <si>
    <t>31758.975</t>
  </si>
  <si>
    <t>GWL_Dissimilar_02</t>
  </si>
  <si>
    <t>20940.6</t>
  </si>
  <si>
    <t>GWL_ITem_service_03</t>
  </si>
  <si>
    <t>GWL_Item_service_04</t>
  </si>
  <si>
    <t>GWL_Item_service_05</t>
  </si>
  <si>
    <t>GWL_Item_FP_service_01</t>
  </si>
  <si>
    <t>GWL_Item_FP_service_02</t>
  </si>
  <si>
    <t>GWL_Item_FP_service_03</t>
  </si>
  <si>
    <t>GWL_Item_FP_Rc_Service_01</t>
  </si>
  <si>
    <t>GWL_Item_FP_Rc_Service_02</t>
  </si>
  <si>
    <t>GWL_Item_FP_Rc_Service_03</t>
  </si>
  <si>
    <t>GWL_Item_Service_Rc_04</t>
  </si>
  <si>
    <t>GWL_Item_Service_Rc_05</t>
  </si>
  <si>
    <t>GWL_Item_Service_Rc_06</t>
  </si>
  <si>
    <t>GWL_Item_Service_Pl_01</t>
  </si>
  <si>
    <t>GWL_Item_Service_Pl_02</t>
  </si>
  <si>
    <t>GWL_Item_Service_Pl_03</t>
  </si>
  <si>
    <t>GWL_Item_FP_Pl_Service_04</t>
  </si>
  <si>
    <t>GWL_Item_FP_Pl_Service_01</t>
  </si>
  <si>
    <t>GWL_Item_FP_Pl_Service_05</t>
  </si>
  <si>
    <t>GWL_Item_FP_Pl_Service_02</t>
  </si>
  <si>
    <t>GWL_Item_FP_Pl_Service_06</t>
  </si>
  <si>
    <t>GWL_Item_FP_Pl_Service_03</t>
  </si>
  <si>
    <t>GWL_Item_Similar_Rc_01</t>
  </si>
  <si>
    <t>155</t>
  </si>
  <si>
    <t>800.03461</t>
  </si>
  <si>
    <t>GWL_Item_Similar_Rc_02</t>
  </si>
  <si>
    <t>6</t>
  </si>
  <si>
    <t>124</t>
  </si>
  <si>
    <t>1545.84427</t>
  </si>
  <si>
    <t>GWL_Item_Similar_Rc_03</t>
  </si>
  <si>
    <t>7</t>
  </si>
  <si>
    <t>320</t>
  </si>
  <si>
    <t>2652.80851</t>
  </si>
  <si>
    <t>GWL_Item_FP_Rc_01</t>
  </si>
  <si>
    <t>3714.5</t>
  </si>
  <si>
    <t>GWL_Item_FP_Rc_02</t>
  </si>
  <si>
    <t>GWL_Item_FP_Rc_03</t>
  </si>
  <si>
    <t>GWL_Item_Dissimilar_Rc_01</t>
  </si>
  <si>
    <t>58.328</t>
  </si>
  <si>
    <t>12031.21611</t>
  </si>
  <si>
    <t>GWL_Item_Dissimilar_Rc_02</t>
  </si>
  <si>
    <t>59.327</t>
  </si>
  <si>
    <t>7686.96602</t>
  </si>
  <si>
    <t>GWL_Item_Dissimilar_Rc_03</t>
  </si>
  <si>
    <t>66.661</t>
  </si>
  <si>
    <t>4494.63821</t>
  </si>
  <si>
    <t>GWL_Item_FP_Rc_Dissimilar_01</t>
  </si>
  <si>
    <t>GWL_Item_FP_Rc_Dissimilar_02</t>
  </si>
  <si>
    <t>GWL_Item_FP_Rc_Dissimilar_03</t>
  </si>
  <si>
    <t>GWL_Item_Similar_Pl_01</t>
  </si>
  <si>
    <t>4047.7125</t>
  </si>
  <si>
    <t>GWL_Item_Similar_Pl_02</t>
  </si>
  <si>
    <t>68</t>
  </si>
  <si>
    <t>2516.73647</t>
  </si>
  <si>
    <t>GWL_Item_Similar_Pl_03</t>
  </si>
  <si>
    <t>330</t>
  </si>
  <si>
    <t>1365.91819</t>
  </si>
  <si>
    <t>GWL_Item_FP_Pl_Similar_01</t>
  </si>
  <si>
    <t>GWL_Item_FP_Pl_Similar_02</t>
  </si>
  <si>
    <t>GWL_Item_FP_Pl_Similar_03</t>
  </si>
  <si>
    <t>GWL_Item_Dissimilar_Pl_01</t>
  </si>
  <si>
    <t>63.328</t>
  </si>
  <si>
    <t>11936.96801</t>
  </si>
  <si>
    <t>GWL_Item_Dissimilar_Pl_02</t>
  </si>
  <si>
    <t>100.999</t>
  </si>
  <si>
    <t>6939.4762</t>
  </si>
  <si>
    <t>GWL_Item_Dissimilar_Pl_03</t>
  </si>
  <si>
    <t>79.994</t>
  </si>
  <si>
    <t>4676.55914</t>
  </si>
  <si>
    <t>GWL_Item_FP_Pl_Dissimilar_01</t>
  </si>
  <si>
    <t>GWL_Item_FP_Pl_Dissimilar_02</t>
  </si>
  <si>
    <t>GWL_Item_FP_Pl_Dissimilar_03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</si>
</sst>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.00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color rgb="FF004153"/>
      <name val="Arial"/>
      <charset val="134"/>
    </font>
    <font>
      <sz val="11"/>
      <color rgb="FF000000"/>
      <name val="Calibri Light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15" fillId="13" borderId="15" applyNumberFormat="0" applyAlignment="0" applyProtection="0">
      <alignment vertical="center"/>
    </xf>
    <xf numFmtId="0" fontId="16" fillId="13" borderId="14" applyNumberFormat="0" applyAlignment="0" applyProtection="0">
      <alignment vertical="center"/>
    </xf>
    <xf numFmtId="0" fontId="17" fillId="14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Font="1" applyFill="1" applyAlignment="1"/>
    <xf numFmtId="0" fontId="0" fillId="0" borderId="0" xfId="0" applyFill="1" applyBorder="1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1" xfId="0" applyNumberFormat="1" applyFont="1" applyFill="1" applyBorder="1" applyAlignment="1"/>
    <xf numFmtId="0" fontId="2" fillId="0" borderId="4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5" xfId="0" applyFont="1" applyFill="1" applyBorder="1" applyAlignment="1"/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/>
    <xf numFmtId="0" fontId="1" fillId="3" borderId="1" xfId="0" applyFont="1" applyFill="1" applyBorder="1" applyAlignment="1"/>
    <xf numFmtId="2" fontId="1" fillId="3" borderId="1" xfId="0" applyNumberFormat="1" applyFont="1" applyFill="1" applyBorder="1" applyAlignment="1"/>
    <xf numFmtId="0" fontId="1" fillId="8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/>
    <xf numFmtId="0" fontId="1" fillId="7" borderId="1" xfId="0" applyFont="1" applyFill="1" applyBorder="1" applyAlignment="1"/>
    <xf numFmtId="2" fontId="1" fillId="7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0" fontId="1" fillId="9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/>
    <xf numFmtId="0" fontId="3" fillId="10" borderId="7" xfId="0" applyFont="1" applyFill="1" applyBorder="1">
      <alignment vertical="center"/>
    </xf>
    <xf numFmtId="0" fontId="2" fillId="0" borderId="8" xfId="0" applyNumberFormat="1" applyFont="1" applyFill="1" applyBorder="1" applyAlignment="1"/>
    <xf numFmtId="0" fontId="0" fillId="0" borderId="0" xfId="0" applyFill="1" applyAlignment="1"/>
    <xf numFmtId="0" fontId="2" fillId="2" borderId="9" xfId="0" applyFont="1" applyFill="1" applyBorder="1" applyAlignment="1"/>
    <xf numFmtId="2" fontId="2" fillId="0" borderId="8" xfId="0" applyNumberFormat="1" applyFont="1" applyFill="1" applyBorder="1" applyAlignment="1"/>
    <xf numFmtId="181" fontId="2" fillId="0" borderId="8" xfId="0" applyNumberFormat="1" applyFont="1" applyFill="1" applyBorder="1" applyAlignment="1"/>
    <xf numFmtId="0" fontId="0" fillId="0" borderId="8" xfId="0" applyNumberFormat="1" applyFill="1" applyBorder="1" applyAlignment="1"/>
    <xf numFmtId="0" fontId="0" fillId="0" borderId="10" xfId="0" applyNumberFormat="1" applyFill="1" applyBorder="1" applyAlignment="1"/>
    <xf numFmtId="0" fontId="0" fillId="0" borderId="10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0" fontId="2" fillId="0" borderId="1" xfId="0" applyFont="1" applyFill="1" applyBorder="1" applyAlignment="1">
      <alignment wrapText="1"/>
    </xf>
    <xf numFmtId="0" fontId="4" fillId="0" borderId="1" xfId="0" applyFont="1" applyBorder="1" applyAlignment="1"/>
    <xf numFmtId="0" fontId="5" fillId="0" borderId="10" xfId="0" applyFont="1" applyBorder="1">
      <alignment vertical="center"/>
    </xf>
    <xf numFmtId="0" fontId="2" fillId="0" borderId="10" xfId="0" applyFont="1" applyFill="1" applyBorder="1" applyAlignment="1"/>
    <xf numFmtId="0" fontId="2" fillId="0" borderId="10" xfId="0" applyFont="1" applyFill="1" applyBorder="1" applyAlignment="1">
      <alignment wrapText="1"/>
    </xf>
    <xf numFmtId="0" fontId="2" fillId="0" borderId="0" xfId="0" applyFont="1" applyFill="1" applyAlignme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M3" sqref="M3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75</v>
      </c>
      <c r="C4" s="7" t="s">
        <v>76</v>
      </c>
      <c r="D4" s="7" t="s">
        <v>77</v>
      </c>
      <c r="E4" s="7" t="s">
        <v>77</v>
      </c>
      <c r="F4" s="8">
        <v>5</v>
      </c>
      <c r="G4" t="s">
        <v>78</v>
      </c>
      <c r="H4" s="8">
        <f>F4*G4</f>
        <v>750</v>
      </c>
      <c r="I4" t="s">
        <v>79</v>
      </c>
      <c r="J4" s="8">
        <v>8</v>
      </c>
      <c r="K4" s="8">
        <v>5</v>
      </c>
      <c r="L4" s="8">
        <f>IF(OR(I4=0,I4="0"),0,H4)</f>
        <v>750</v>
      </c>
      <c r="M4" s="8">
        <f>ROUND(L4*I4%,3)</f>
        <v>37.5</v>
      </c>
      <c r="N4" s="8">
        <f>H4-M4</f>
        <v>712.5</v>
      </c>
      <c r="O4" s="8">
        <f>ROUND(N4*J4%,3)</f>
        <v>57</v>
      </c>
      <c r="P4" s="8">
        <f>ROUND(N4-O4,2)</f>
        <v>655.5</v>
      </c>
      <c r="Q4" s="8">
        <f>ROUND(P4*K4%,2)</f>
        <v>32.78</v>
      </c>
      <c r="R4" s="26">
        <f>ROUND(M4+O4+Q4,3)</f>
        <v>127.28</v>
      </c>
      <c r="S4" s="26">
        <f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>F4/AL4</f>
        <v>5</v>
      </c>
      <c r="AN4" s="26">
        <f>ROUND(AI4/AM4,5)</f>
        <v>10586.24</v>
      </c>
      <c r="AO4" s="26">
        <f>AJ4/AM4</f>
        <v>0</v>
      </c>
      <c r="AP4" s="26">
        <f>AK4/AM4</f>
        <v>0</v>
      </c>
      <c r="AQ4" s="26" t="s">
        <v>77</v>
      </c>
      <c r="AR4" s="26">
        <f>ROUND(AN4+AO4+AP4,5)</f>
        <v>10586.24</v>
      </c>
      <c r="AS4" s="38" t="s">
        <v>80</v>
      </c>
      <c r="AT4" s="39" t="s">
        <v>77</v>
      </c>
      <c r="AU4" t="s">
        <v>81</v>
      </c>
      <c r="AV4" t="s">
        <v>82</v>
      </c>
      <c r="AW4" s="39">
        <f>AM4</f>
        <v>5</v>
      </c>
      <c r="AX4" s="42">
        <f>AR4</f>
        <v>10586.24</v>
      </c>
      <c r="AY4" s="39">
        <f>AU4+AW4</f>
        <v>15</v>
      </c>
      <c r="AZ4" s="43">
        <f>ROUND(((AU4*AV4)+(AW4*AX4))/(AU4+AW4),3)</f>
        <v>3578.592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>ROUND((((AW4*AZ4)+(BN4*BM4))/(AW4+BN4)),5)</f>
        <v>327.72424</v>
      </c>
      <c r="BP4" s="48">
        <f>ROUND(BN4+AW4,3)</f>
        <v>5</v>
      </c>
      <c r="BQ4" s="49">
        <v>123562</v>
      </c>
    </row>
    <row r="5" ht="15.15" spans="1:69">
      <c r="A5" s="7">
        <v>1</v>
      </c>
      <c r="B5" s="7" t="s">
        <v>90</v>
      </c>
      <c r="C5" s="7" t="s">
        <v>91</v>
      </c>
      <c r="D5" s="7" t="s">
        <v>77</v>
      </c>
      <c r="E5" s="7" t="s">
        <v>77</v>
      </c>
      <c r="F5" s="8">
        <v>4</v>
      </c>
      <c r="G5" t="s">
        <v>92</v>
      </c>
      <c r="H5" s="8">
        <f>F5*G5</f>
        <v>400</v>
      </c>
      <c r="I5" t="s">
        <v>93</v>
      </c>
      <c r="J5" s="8">
        <v>9</v>
      </c>
      <c r="K5" s="8">
        <v>6</v>
      </c>
      <c r="L5" s="8">
        <f t="shared" ref="L5:L6" si="0">IF(OR(I5=0,I5="0"),0,H5)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IF(OR(DGSUomWI!$C$2=1,DGSUomWI!$C$2=4),ROUND((((S5*U5)/100)/2),2),0)</f>
        <v>0</v>
      </c>
      <c r="W5" s="8">
        <f>IF(DGSUomWI!$C$2=1,ROUND((((S5*U5)/100)/2),2),0)</f>
        <v>0</v>
      </c>
      <c r="X5" s="8">
        <f>IF(DGSUomWI!$C$2=2,ROUND(((S5*U5)/100),2),0)</f>
        <v>0</v>
      </c>
      <c r="Y5" s="8">
        <f>IF(DGSUomWI!$C$2=4,ROUND((((S5*U5)/100)/2),2),0)</f>
        <v>0</v>
      </c>
      <c r="Z5" s="8">
        <v>0</v>
      </c>
      <c r="AA5" s="8">
        <f>IF(DGSUomWI!$C3=3,0,(S5*Z5)/100)</f>
        <v>0</v>
      </c>
      <c r="AB5" s="8">
        <f>V5+W5+X5+Y5+AA5</f>
        <v>0</v>
      </c>
      <c r="AC5" s="8">
        <f>IF(DGSUomWI!$V3=1,S5+AB5,S5)</f>
        <v>328.47</v>
      </c>
      <c r="AD5" s="26">
        <v>120</v>
      </c>
      <c r="AE5" s="26">
        <f>IF(DGSUomWI!$P$2=1,(S5/DGSUomWI!$S$7)*DGSUomWI!$E$18,AD5/DGSUomWI!$AD$7*DGSUomWI!$E$18)</f>
        <v>0</v>
      </c>
      <c r="AF5" s="26"/>
      <c r="AG5" s="26">
        <f>IF(DGSUomWI!$P$2=1,(S5/DGSUomWI!$S$7)*DGSUomWI!$E$20,AD5/DGSUomWI!$AD$7*DGSUomWI!$E$20)</f>
        <v>0</v>
      </c>
      <c r="AH5" s="26">
        <f>IF(DGSUomWI!$P$2=1,(S5/DGSUomWI!$S$7)*DGSUomWI!$E$21,AD5/DGSUomWI!$AD$7*DGSUomWI!$E$21)</f>
        <v>0</v>
      </c>
      <c r="AI5" s="26">
        <f>S5*DGSUomWI!$M$2</f>
        <v>27919.95</v>
      </c>
      <c r="AJ5" s="26">
        <f>IF(DGSUomWI!$C$2=3,0,AG5+AH5)</f>
        <v>0</v>
      </c>
      <c r="AK5" s="26">
        <f>IF(DGSUomWI!$C$2=3,AE5+AG5+AH5,0)</f>
        <v>0</v>
      </c>
      <c r="AL5" s="34">
        <v>1</v>
      </c>
      <c r="AM5" s="26">
        <f>F5/AL5</f>
        <v>4</v>
      </c>
      <c r="AN5" s="26">
        <f>ROUND(AI5/AM5,5)</f>
        <v>6979.9875</v>
      </c>
      <c r="AO5" s="26">
        <f>AJ5/AM5</f>
        <v>0</v>
      </c>
      <c r="AP5" s="26">
        <f>AK5/AM5</f>
        <v>0</v>
      </c>
      <c r="AQ5" s="26" t="s">
        <v>77</v>
      </c>
      <c r="AR5" s="26">
        <f>ROUND(AN5+AO5+AP5,5)</f>
        <v>6979.9875</v>
      </c>
      <c r="AS5" s="38" t="s">
        <v>80</v>
      </c>
      <c r="AT5" s="39" t="s">
        <v>77</v>
      </c>
      <c r="AU5" t="s">
        <v>94</v>
      </c>
      <c r="AV5" t="s">
        <v>95</v>
      </c>
      <c r="AW5" s="39">
        <f>AM5</f>
        <v>4</v>
      </c>
      <c r="AX5" s="42">
        <f>AR5</f>
        <v>6979.9875</v>
      </c>
      <c r="AY5" s="39">
        <f>AU5+AW5</f>
        <v>12</v>
      </c>
      <c r="AZ5" s="42">
        <f>ROUND(((AU5*AV5)+(AW5*AX5))/(AU5+AW5),2)</f>
        <v>1972.62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>ROUND((((AW5*AZ5)+(BN5*BM5))/(AW5+BN5)),5)</f>
        <v>200.27625</v>
      </c>
      <c r="BP5" s="48">
        <f>ROUND(BN5+AW5,3)</f>
        <v>4</v>
      </c>
      <c r="BQ5" s="49">
        <v>123562</v>
      </c>
    </row>
    <row r="6" ht="15.15" spans="1:69">
      <c r="A6" s="7">
        <v>1</v>
      </c>
      <c r="B6" s="7" t="s">
        <v>98</v>
      </c>
      <c r="C6" s="7" t="s">
        <v>99</v>
      </c>
      <c r="D6" s="7" t="s">
        <v>77</v>
      </c>
      <c r="E6" s="7" t="s">
        <v>77</v>
      </c>
      <c r="F6" s="8">
        <v>20</v>
      </c>
      <c r="G6" t="s">
        <v>100</v>
      </c>
      <c r="H6" s="8">
        <f>F6*G6</f>
        <v>1000</v>
      </c>
      <c r="I6" t="s">
        <v>101</v>
      </c>
      <c r="J6" s="8">
        <v>7</v>
      </c>
      <c r="K6" s="8">
        <v>4</v>
      </c>
      <c r="L6" s="8">
        <f t="shared" si="0"/>
        <v>1000</v>
      </c>
      <c r="M6" s="8">
        <f>ROUND(L6*I6%,2)</f>
        <v>30</v>
      </c>
      <c r="N6" s="8">
        <f>H6-M6</f>
        <v>970</v>
      </c>
      <c r="O6" s="8">
        <f>ROUND(N6*J6%,2)</f>
        <v>67.9</v>
      </c>
      <c r="P6" s="8">
        <f>ROUND(N6-O6,2)</f>
        <v>902.1</v>
      </c>
      <c r="Q6" s="8">
        <f>ROUND(P6*K6%,2)</f>
        <v>36.08</v>
      </c>
      <c r="R6" s="8">
        <f>M6+O6+Q6</f>
        <v>133.98</v>
      </c>
      <c r="S6" s="8">
        <f>(H6-R6)</f>
        <v>866.02</v>
      </c>
      <c r="T6" s="8">
        <v>88363222</v>
      </c>
      <c r="U6" s="8">
        <v>18</v>
      </c>
      <c r="V6" s="8">
        <f>IF(OR(DGSUomWI!$C$2=1,DGSUomWI!$C$2=4),ROUND((((S6*U6)/100)/2),2),0)</f>
        <v>0</v>
      </c>
      <c r="W6" s="8">
        <f>IF(DGSUomWI!$C$2=1,ROUND((((S6*U6)/100)/2),2),0)</f>
        <v>0</v>
      </c>
      <c r="X6" s="8">
        <f>IF(DGSUomWI!$C$2=2,ROUND(((S6*U6)/100),2),0)</f>
        <v>0</v>
      </c>
      <c r="Y6" s="8">
        <f>IF(DGSUomWI!$C$2=4,ROUND((((S6*U6)/100)/2),2),0)</f>
        <v>0</v>
      </c>
      <c r="Z6" s="8">
        <v>0</v>
      </c>
      <c r="AA6" s="8">
        <f>IF(DGSUomWI!$C4=3,0,(S6*Z6)/100)</f>
        <v>0</v>
      </c>
      <c r="AB6" s="8">
        <f>V6+W6+X6+Y6+AA6</f>
        <v>0</v>
      </c>
      <c r="AC6" s="8">
        <f>IF(DGSUomWI!$V4=1,S6+AB6,S6)</f>
        <v>866.02</v>
      </c>
      <c r="AD6" s="26">
        <v>120</v>
      </c>
      <c r="AE6" s="26">
        <f>IF(DGSUomWI!$P$2=1,(S6/DGSUomWI!$S$7)*DGSUomWI!$E$18,AD6/DGSUomWI!$AD$7*DGSUomWI!$E$18)</f>
        <v>0</v>
      </c>
      <c r="AF6" s="26"/>
      <c r="AG6" s="26">
        <f>IF(DGSUomWI!$P$2=1,(S6/DGSUomWI!$S$7)*DGSUomWI!$E$20,AD6/DGSUomWI!$AD$7*DGSUomWI!$E$20)</f>
        <v>0</v>
      </c>
      <c r="AH6" s="26">
        <f>IF(DGSUomWI!$P$2=1,(S6/DGSUomWI!$S$7)*DGSUomWI!$E$21,AD6/DGSUomWI!$AD$7*DGSUomWI!$E$21)</f>
        <v>0</v>
      </c>
      <c r="AI6" s="26">
        <f>S6*DGSUomWI!$M$2</f>
        <v>73611.7</v>
      </c>
      <c r="AJ6" s="26">
        <f>IF(DGSUomWI!$C$2=3,0,AG6+AH6)</f>
        <v>0</v>
      </c>
      <c r="AK6" s="26">
        <f>IF(DGSUomWI!$C$2=3,AE6+AG6+AH6,0)</f>
        <v>0</v>
      </c>
      <c r="AL6" s="34">
        <v>1</v>
      </c>
      <c r="AM6" s="26">
        <f>F6/AL6</f>
        <v>20</v>
      </c>
      <c r="AN6" s="26">
        <f>ROUND(AI6/AM6,5)</f>
        <v>3680.585</v>
      </c>
      <c r="AO6" s="26">
        <f>AJ6/AM6</f>
        <v>0</v>
      </c>
      <c r="AP6" s="26">
        <f>AK6/AM6</f>
        <v>0</v>
      </c>
      <c r="AQ6" s="26" t="s">
        <v>77</v>
      </c>
      <c r="AR6" s="26">
        <f>ROUND(AN6+AO6+AP6,5)</f>
        <v>3680.585</v>
      </c>
      <c r="AS6" s="38" t="s">
        <v>80</v>
      </c>
      <c r="AT6" s="39" t="s">
        <v>77</v>
      </c>
      <c r="AU6" t="s">
        <v>102</v>
      </c>
      <c r="AV6" t="s">
        <v>103</v>
      </c>
      <c r="AW6" s="39">
        <f>AM6</f>
        <v>20</v>
      </c>
      <c r="AX6" s="39">
        <f>AR6</f>
        <v>3680.585</v>
      </c>
      <c r="AY6" s="39">
        <f>AU6+AW6</f>
        <v>50</v>
      </c>
      <c r="AZ6" s="39">
        <f>ROUND(((AU6*AV6)+(AW6*AX6))/(AU6+AW6),1)</f>
        <v>1095.1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>ROUND((((AW6*AZ6)+(BN6*BM6))/(AW6+BN6)),5)</f>
        <v>109.0375</v>
      </c>
      <c r="BP6" s="48">
        <f>ROUND(BN6+AW6,3)</f>
        <v>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">SUM(R4:R4)</f>
        <v>127.28</v>
      </c>
      <c r="S7" s="13">
        <f t="shared" si="1"/>
        <v>622.72</v>
      </c>
      <c r="T7" s="27"/>
      <c r="U7" s="27"/>
      <c r="V7" s="28">
        <f t="shared" si="1"/>
        <v>0</v>
      </c>
      <c r="W7" s="28">
        <f t="shared" si="1"/>
        <v>0</v>
      </c>
      <c r="X7" s="28">
        <f t="shared" si="1"/>
        <v>0</v>
      </c>
      <c r="Y7" s="28"/>
      <c r="Z7" s="28"/>
      <c r="AA7" s="28"/>
      <c r="AB7" s="27">
        <f>SUM(AB4:AB4)</f>
        <v>0</v>
      </c>
      <c r="AC7" s="32">
        <f>SUM(AC4:AC4)</f>
        <v>622.72</v>
      </c>
      <c r="AD7" s="33">
        <f>SUM(AD4:AD4)</f>
        <v>120</v>
      </c>
      <c r="AE7" s="33">
        <f>SUM(AE4:AE4)</f>
        <v>0</v>
      </c>
      <c r="AF7" s="32"/>
      <c r="AG7" s="33">
        <f t="shared" ref="AG7:AK7" si="2">SUM(AG4:AG4)</f>
        <v>0</v>
      </c>
      <c r="AH7" s="33">
        <f>IF($P$2=1,(S7/$S$7)*$E$21,AD7/$AD$7*$E$21)</f>
        <v>0</v>
      </c>
      <c r="AI7" s="33">
        <f t="shared" si="2"/>
        <v>52931.2</v>
      </c>
      <c r="AJ7" s="33">
        <f t="shared" si="2"/>
        <v>0</v>
      </c>
      <c r="AK7" s="33">
        <f t="shared" si="2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L7" sqref="AL7"/>
    </sheetView>
  </sheetViews>
  <sheetFormatPr defaultColWidth="8.85185185185185" defaultRowHeight="14.4"/>
  <cols>
    <col min="2" max="3" width="32.1388888888889" customWidth="1"/>
    <col min="13" max="13" width="9.13888888888889" customWidth="1"/>
    <col min="14" max="14" width="13.8518518518519" customWidth="1"/>
    <col min="35" max="35" width="14.712962962963" customWidth="1"/>
    <col min="51" max="51" width="14.5740740740741" customWidth="1"/>
    <col min="52" max="52" width="19.425925925925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126</v>
      </c>
      <c r="C4" s="7" t="s">
        <v>126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750</v>
      </c>
      <c r="I4" t="s">
        <v>79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26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10586.24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10586.24</v>
      </c>
      <c r="AS4" s="38" t="s">
        <v>80</v>
      </c>
      <c r="AT4" s="39" t="s">
        <v>77</v>
      </c>
      <c r="AU4" t="s">
        <v>127</v>
      </c>
      <c r="AV4" t="s">
        <v>128</v>
      </c>
      <c r="AW4" s="39">
        <f t="shared" ref="AW4:AW6" si="12">AM4</f>
        <v>5</v>
      </c>
      <c r="AX4" s="42">
        <f t="shared" ref="AX4:AX6" si="13">AR4</f>
        <v>10586.24</v>
      </c>
      <c r="AY4" s="39">
        <f t="shared" ref="AY4:AY6" si="14">AU4+AW4</f>
        <v>5</v>
      </c>
      <c r="AZ4" s="43">
        <f>ROUND(((AU4*AV4)+(AW4*AX4))/(AU4+AW4),3)</f>
        <v>10586.24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739.93882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7" t="s">
        <v>129</v>
      </c>
      <c r="C5" s="7" t="s">
        <v>129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IF(OR(DGSUomWoQWI!$C$2=1,DGSUomWoQWI!$C$2=4),ROUND((((S5*U5)/100)/2),2),0)</f>
        <v>0</v>
      </c>
      <c r="W5" s="8">
        <f>IF(DGSUomWoQWI!$C$2=1,ROUND((((S5*U5)/100)/2),2),0)</f>
        <v>0</v>
      </c>
      <c r="X5" s="8">
        <f>IF(DGSUomWoQWI!$C$2=2,ROUND(((S5*U5)/100),2),0)</f>
        <v>0</v>
      </c>
      <c r="Y5" s="8">
        <f>IF(DGSUomWoQWI!$C$2=4,ROUND((((S5*U5)/100)/2),2),0)</f>
        <v>0</v>
      </c>
      <c r="Z5" s="8">
        <v>0</v>
      </c>
      <c r="AA5" s="8">
        <f>IF(DGSUomWoQWI!$C3=3,0,(S5*Z5)/100)</f>
        <v>0</v>
      </c>
      <c r="AB5" s="8">
        <f t="shared" si="6"/>
        <v>0</v>
      </c>
      <c r="AC5" s="8">
        <f>IF(DGSUomWoQWI!$V3=1,S5+AB5,S5)</f>
        <v>328.47</v>
      </c>
      <c r="AD5" s="26">
        <v>120</v>
      </c>
      <c r="AE5" s="26">
        <f>IF(DGSUomWoQWI!$P$2=1,(S5/DGSUomWoQWI!$S$7)*DGSUomWoQWI!$E$18,AD5/DGSUomWoQWI!$AD$7*DGSUomWoQWI!$E$18)</f>
        <v>0</v>
      </c>
      <c r="AF5" s="26"/>
      <c r="AG5" s="26">
        <f>IF(DGSUomWoQWI!$P$2=1,(S5/DGSUomWoQWI!$S$7)*DGSUomWoQWI!$E$20,AD5/DGSUomWoQWI!$AD$7*DGSUomWoQWI!$E$20)</f>
        <v>0</v>
      </c>
      <c r="AH5" s="26">
        <f>IF(DGSUomWoQWI!$P$2=1,(S5/DGSUomWoQWI!$S$7)*DGSUomWoQWI!$E$21,AD5/DGSUomWoQWI!$AD$7*DGSUomWoQWI!$E$21)</f>
        <v>0</v>
      </c>
      <c r="AI5" s="26">
        <f>S5*DGSUomWoQWI!$M$2</f>
        <v>27919.95</v>
      </c>
      <c r="AJ5" s="26">
        <f>IF(DGSUomWoQWI!$C$2=3,0,AG5+AH5)</f>
        <v>0</v>
      </c>
      <c r="AK5" s="26">
        <f>IF(DGSUomWoQWI!$C$2=3,AE5+AG5+AH5,0)</f>
        <v>0</v>
      </c>
      <c r="AL5" s="34">
        <v>1</v>
      </c>
      <c r="AM5" s="26">
        <f t="shared" si="7"/>
        <v>4</v>
      </c>
      <c r="AN5" s="26">
        <f t="shared" si="8"/>
        <v>6979.9875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6979.9875</v>
      </c>
      <c r="AS5" s="38" t="s">
        <v>80</v>
      </c>
      <c r="AT5" s="39" t="s">
        <v>77</v>
      </c>
      <c r="AU5" t="s">
        <v>127</v>
      </c>
      <c r="AV5" t="s">
        <v>130</v>
      </c>
      <c r="AW5" s="39">
        <f t="shared" si="12"/>
        <v>4</v>
      </c>
      <c r="AX5" s="42">
        <f t="shared" si="13"/>
        <v>6979.9875</v>
      </c>
      <c r="AY5" s="39">
        <f t="shared" si="14"/>
        <v>4</v>
      </c>
      <c r="AZ5" s="42">
        <f>ROUND(((AU5*AV5)+(AW5*AX5))/(AU5+AW5),2)</f>
        <v>6979.99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513.23688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7" t="s">
        <v>131</v>
      </c>
      <c r="C6" s="7" t="s">
        <v>131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IF(OR(DGSUomWoQWI!$C$2=1,DGSUomWoQWI!$C$2=4),ROUND((((S6*U6)/100)/2),2),0)</f>
        <v>0</v>
      </c>
      <c r="W6" s="8">
        <f>IF(DGSUomWoQWI!$C$2=1,ROUND((((S6*U6)/100)/2),2),0)</f>
        <v>0</v>
      </c>
      <c r="X6" s="8">
        <f>IF(DGSUomWoQWI!$C$2=2,ROUND(((S6*U6)/100),2),0)</f>
        <v>0</v>
      </c>
      <c r="Y6" s="8">
        <f>IF(DGSUomWoQWI!$C$2=4,ROUND((((S6*U6)/100)/2),2),0)</f>
        <v>0</v>
      </c>
      <c r="Z6" s="8">
        <v>0</v>
      </c>
      <c r="AA6" s="8">
        <f>IF(DGSUomWoQWI!$C4=3,0,(S6*Z6)/100)</f>
        <v>0</v>
      </c>
      <c r="AB6" s="8">
        <f t="shared" si="6"/>
        <v>0</v>
      </c>
      <c r="AC6" s="8">
        <f>IF(DGSUomWoQWI!$V4=1,S6+AB6,S6)</f>
        <v>866.02</v>
      </c>
      <c r="AD6" s="26">
        <v>120</v>
      </c>
      <c r="AE6" s="26">
        <f>IF(DGSUomWoQWI!$P$2=1,(S6/DGSUomWoQWI!$S$7)*DGSUomWoQWI!$E$18,AD6/DGSUomWoQWI!$AD$7*DGSUomWoQWI!$E$18)</f>
        <v>0</v>
      </c>
      <c r="AF6" s="26"/>
      <c r="AG6" s="26">
        <f>IF(DGSUomWoQWI!$P$2=1,(S6/DGSUomWoQWI!$S$7)*DGSUomWoQWI!$E$20,AD6/DGSUomWoQWI!$AD$7*DGSUomWoQWI!$E$20)</f>
        <v>0</v>
      </c>
      <c r="AH6" s="26">
        <f>IF(DGSUomWoQWI!$P$2=1,(S6/DGSUomWoQWI!$S$7)*DGSUomWoQWI!$E$21,AD6/DGSUomWoQWI!$AD$7*DGSUomWoQWI!$E$21)</f>
        <v>0</v>
      </c>
      <c r="AI6" s="26">
        <f>S6*DGSUomWoQWI!$M$2</f>
        <v>73611.7</v>
      </c>
      <c r="AJ6" s="26">
        <f>IF(DGSUomWoQWI!$C$2=3,0,AG6+AH6)</f>
        <v>0</v>
      </c>
      <c r="AK6" s="26">
        <f>IF(DGSUomWoQWI!$C$2=3,AE6+AG6+AH6,0)</f>
        <v>0</v>
      </c>
      <c r="AL6" s="34">
        <v>1</v>
      </c>
      <c r="AM6" s="26">
        <f t="shared" si="7"/>
        <v>20</v>
      </c>
      <c r="AN6" s="26">
        <f t="shared" si="8"/>
        <v>3680.585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3680.585</v>
      </c>
      <c r="AS6" s="38" t="s">
        <v>80</v>
      </c>
      <c r="AT6" s="39" t="s">
        <v>77</v>
      </c>
      <c r="AU6" t="s">
        <v>127</v>
      </c>
      <c r="AV6" t="s">
        <v>132</v>
      </c>
      <c r="AW6" s="39">
        <f t="shared" si="12"/>
        <v>20</v>
      </c>
      <c r="AX6" s="39">
        <f t="shared" si="13"/>
        <v>3680.585</v>
      </c>
      <c r="AY6" s="39">
        <f t="shared" si="14"/>
        <v>20</v>
      </c>
      <c r="AZ6" s="39">
        <f>ROUND(((AU6*AV6)+(AW6*AX6))/(AU6+AW6),1)</f>
        <v>3680.6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270.63125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R1" workbookViewId="0">
      <selection activeCell="AL7" sqref="AL7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133</v>
      </c>
      <c r="C4" s="7" t="s">
        <v>133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750</v>
      </c>
      <c r="I4" t="s">
        <v>79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26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3</v>
      </c>
      <c r="AM4" s="26">
        <f t="shared" ref="AM4:AM6" si="7">F4/AL4</f>
        <v>1.66666666666667</v>
      </c>
      <c r="AN4" s="26">
        <f t="shared" ref="AN4:AN6" si="8">ROUND(AI4/AM4,5)</f>
        <v>31758.72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31758.72</v>
      </c>
      <c r="AS4" s="38" t="s">
        <v>80</v>
      </c>
      <c r="AT4" s="39" t="s">
        <v>77</v>
      </c>
      <c r="AU4" t="s">
        <v>134</v>
      </c>
      <c r="AV4" t="s">
        <v>135</v>
      </c>
      <c r="AW4" s="39">
        <f t="shared" ref="AW4:AW6" si="12">AM4</f>
        <v>1.66666666666667</v>
      </c>
      <c r="AX4" s="42">
        <f t="shared" ref="AX4:AX6" si="13">AR4</f>
        <v>31758.72</v>
      </c>
      <c r="AY4" s="39">
        <f t="shared" ref="AY4:AY6" si="14">AU4+AW4</f>
        <v>376.666666666667</v>
      </c>
      <c r="AZ4" s="43">
        <f>ROUND(((AU4*AV4)+(AW4*AX4))/(AU4+AW4),3)</f>
        <v>3703.284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197.58049</v>
      </c>
      <c r="BP4" s="48">
        <f t="shared" ref="BP4:BP6" si="16">ROUND(BN4+AW4,3)</f>
        <v>81.667</v>
      </c>
      <c r="BQ4" s="49">
        <v>123562</v>
      </c>
    </row>
    <row r="5" ht="15.15" spans="1:69">
      <c r="A5" s="7">
        <v>1</v>
      </c>
      <c r="B5" s="7" t="s">
        <v>136</v>
      </c>
      <c r="C5" s="7" t="s">
        <v>136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IF(OR(DGDUomWI!$C$2=1,DGDUomWI!$C$2=4),ROUND((((S5*U5)/100)/2),2),0)</f>
        <v>0</v>
      </c>
      <c r="W5" s="8">
        <f>IF(DGDUomWI!$C$2=1,ROUND((((S5*U5)/100)/2),2),0)</f>
        <v>0</v>
      </c>
      <c r="X5" s="8">
        <f>IF(DGDUomWI!$C$2=2,ROUND(((S5*U5)/100),2),0)</f>
        <v>0</v>
      </c>
      <c r="Y5" s="8">
        <f>IF(DGDUomWI!$C$2=4,ROUND((((S5*U5)/100)/2),2),0)</f>
        <v>0</v>
      </c>
      <c r="Z5" s="8">
        <v>0</v>
      </c>
      <c r="AA5" s="8">
        <f>IF(DGDUomWI!$C3=3,0,(S5*Z5)/100)</f>
        <v>0</v>
      </c>
      <c r="AB5" s="8">
        <f t="shared" si="6"/>
        <v>0</v>
      </c>
      <c r="AC5" s="8">
        <f>IF(DGDUomWI!$V3=1,S5+AB5,S5)</f>
        <v>328.47</v>
      </c>
      <c r="AD5" s="26">
        <v>120</v>
      </c>
      <c r="AE5" s="26">
        <f>IF(DGDUomWI!$P$2=1,(S5/DGDUomWI!$S$7)*DGDUomWI!$E$18,AD5/DGDUomWI!$AD$7*DGDUomWI!$E$18)</f>
        <v>0</v>
      </c>
      <c r="AF5" s="26"/>
      <c r="AG5" s="26">
        <f>IF(DGDUomWI!$P$2=1,(S5/DGDUomWI!$S$7)*DGDUomWI!$E$20,AD5/DGDUomWI!$AD$7*DGDUomWI!$E$20)</f>
        <v>0</v>
      </c>
      <c r="AH5" s="26">
        <f>IF(DGDUomWI!$P$2=1,(S5/DGDUomWI!$S$7)*DGDUomWI!$E$21,AD5/DGDUomWI!$AD$7*DGDUomWI!$E$21)</f>
        <v>0</v>
      </c>
      <c r="AI5" s="26">
        <f>S5*DGDUomWI!$M$2</f>
        <v>27919.95</v>
      </c>
      <c r="AJ5" s="26">
        <f>IF(DGDUomWI!$C$2=3,0,AG5+AH5)</f>
        <v>0</v>
      </c>
      <c r="AK5" s="26">
        <f>IF(DGDUomWI!$C$2=3,AE5+AG5+AH5,0)</f>
        <v>0</v>
      </c>
      <c r="AL5" s="34">
        <v>3</v>
      </c>
      <c r="AM5" s="26">
        <f t="shared" si="7"/>
        <v>1.33333333333333</v>
      </c>
      <c r="AN5" s="26">
        <f t="shared" si="8"/>
        <v>20939.9625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20939.9625</v>
      </c>
      <c r="AS5" s="38" t="s">
        <v>80</v>
      </c>
      <c r="AT5" s="39" t="s">
        <v>77</v>
      </c>
      <c r="AU5" t="s">
        <v>137</v>
      </c>
      <c r="AV5" t="s">
        <v>138</v>
      </c>
      <c r="AW5" s="39">
        <f t="shared" si="12"/>
        <v>1.33333333333333</v>
      </c>
      <c r="AX5" s="42">
        <f t="shared" si="13"/>
        <v>20939.9625</v>
      </c>
      <c r="AY5" s="39">
        <f t="shared" si="14"/>
        <v>189.333333333333</v>
      </c>
      <c r="AZ5" s="42">
        <f>ROUND(((AU5*AV5)+(AW5*AX5))/(AU5+AW5),2)</f>
        <v>2106.2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126.12174</v>
      </c>
      <c r="BP5" s="48">
        <f t="shared" si="16"/>
        <v>61.333</v>
      </c>
      <c r="BQ5" s="49">
        <v>123562</v>
      </c>
    </row>
    <row r="6" ht="15.15" spans="1:69">
      <c r="A6" s="7">
        <v>1</v>
      </c>
      <c r="B6" s="7" t="s">
        <v>139</v>
      </c>
      <c r="C6" s="7" t="s">
        <v>139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IF(OR(DGDUomWI!$C$2=1,DGDUomWI!$C$2=4),ROUND((((S6*U6)/100)/2),2),0)</f>
        <v>0</v>
      </c>
      <c r="W6" s="8">
        <f>IF(DGDUomWI!$C$2=1,ROUND((((S6*U6)/100)/2),2),0)</f>
        <v>0</v>
      </c>
      <c r="X6" s="8">
        <f>IF(DGDUomWI!$C$2=2,ROUND(((S6*U6)/100),2),0)</f>
        <v>0</v>
      </c>
      <c r="Y6" s="8">
        <f>IF(DGDUomWI!$C$2=4,ROUND((((S6*U6)/100)/2),2),0)</f>
        <v>0</v>
      </c>
      <c r="Z6" s="8">
        <v>0</v>
      </c>
      <c r="AA6" s="8">
        <f>IF(DGDUomWI!$C4=3,0,(S6*Z6)/100)</f>
        <v>0</v>
      </c>
      <c r="AB6" s="8">
        <f t="shared" si="6"/>
        <v>0</v>
      </c>
      <c r="AC6" s="8">
        <f>IF(DGDUomWI!$V4=1,S6+AB6,S6)</f>
        <v>866.02</v>
      </c>
      <c r="AD6" s="26">
        <v>120</v>
      </c>
      <c r="AE6" s="26">
        <f>IF(DGDUomWI!$P$2=1,(S6/DGDUomWI!$S$7)*DGDUomWI!$E$18,AD6/DGDUomWI!$AD$7*DGDUomWI!$E$18)</f>
        <v>0</v>
      </c>
      <c r="AF6" s="26"/>
      <c r="AG6" s="26">
        <f>IF(DGDUomWI!$P$2=1,(S6/DGDUomWI!$S$7)*DGDUomWI!$E$20,AD6/DGDUomWI!$AD$7*DGDUomWI!$E$20)</f>
        <v>0</v>
      </c>
      <c r="AH6" s="26">
        <f>IF(DGDUomWI!$P$2=1,(S6/DGDUomWI!$S$7)*DGDUomWI!$E$21,AD6/DGDUomWI!$AD$7*DGDUomWI!$E$21)</f>
        <v>0</v>
      </c>
      <c r="AI6" s="26">
        <f>S6*DGDUomWI!$M$2</f>
        <v>73611.7</v>
      </c>
      <c r="AJ6" s="26">
        <f>IF(DGDUomWI!$C$2=3,0,AG6+AH6)</f>
        <v>0</v>
      </c>
      <c r="AK6" s="26">
        <f>IF(DGDUomWI!$C$2=3,AE6+AG6+AH6,0)</f>
        <v>0</v>
      </c>
      <c r="AL6" s="34">
        <v>3</v>
      </c>
      <c r="AM6" s="26">
        <f t="shared" si="7"/>
        <v>6.66666666666667</v>
      </c>
      <c r="AN6" s="26">
        <f t="shared" si="8"/>
        <v>11041.755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11041.755</v>
      </c>
      <c r="AS6" s="38" t="s">
        <v>80</v>
      </c>
      <c r="AT6" s="39" t="s">
        <v>77</v>
      </c>
      <c r="AU6" t="s">
        <v>140</v>
      </c>
      <c r="AV6" t="s">
        <v>141</v>
      </c>
      <c r="AW6" s="39">
        <f t="shared" si="12"/>
        <v>6.66666666666667</v>
      </c>
      <c r="AX6" s="39">
        <f t="shared" si="13"/>
        <v>11041.755</v>
      </c>
      <c r="AY6" s="39">
        <f t="shared" si="14"/>
        <v>486.666666666667</v>
      </c>
      <c r="AZ6" s="39">
        <f>ROUND(((AU6*AV6)+(AW6*AX6))/(AU6+AW6),1)</f>
        <v>1231.4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69.12826</v>
      </c>
      <c r="BP6" s="48">
        <f t="shared" si="16"/>
        <v>306.667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C12" sqref="C12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18" max="19" width="9.28703703703704"/>
    <col min="20" max="20" width="10.712962962963"/>
    <col min="29" max="29" width="9.28703703703704"/>
    <col min="35" max="35" width="11.4259259259259"/>
    <col min="40" max="40" width="10.1388888888889"/>
    <col min="44" max="44" width="10.1388888888889"/>
    <col min="49" max="49" width="14.5740740740741"/>
    <col min="50" max="50" width="10.1388888888889"/>
    <col min="51" max="51" width="14.5740740740741"/>
    <col min="52" max="52" width="19.4259259259259" customWidth="1"/>
    <col min="64" max="64" width="11" customWidth="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44.7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142</v>
      </c>
      <c r="C4" s="7" t="s">
        <v>142</v>
      </c>
      <c r="D4" s="7" t="s">
        <v>77</v>
      </c>
      <c r="E4" s="7" t="s">
        <v>77</v>
      </c>
      <c r="F4" s="8">
        <v>5</v>
      </c>
      <c r="G4" t="s">
        <v>78</v>
      </c>
      <c r="H4" s="8">
        <f>F4*G4</f>
        <v>750</v>
      </c>
      <c r="I4" t="s">
        <v>79</v>
      </c>
      <c r="J4" s="8">
        <v>8</v>
      </c>
      <c r="K4" s="8">
        <v>5</v>
      </c>
      <c r="L4" s="8">
        <f>IF(OR(I4=0,I4="0"),0,H4)</f>
        <v>750</v>
      </c>
      <c r="M4" s="8">
        <f>ROUND(L4*I4%,3)</f>
        <v>37.5</v>
      </c>
      <c r="N4" s="8">
        <f>H4-M4</f>
        <v>712.5</v>
      </c>
      <c r="O4" s="8">
        <f>ROUND(N4*J4%,3)</f>
        <v>57</v>
      </c>
      <c r="P4" s="8">
        <f>ROUND(N4-O4,2)</f>
        <v>655.5</v>
      </c>
      <c r="Q4" s="8">
        <f>ROUND(P4*K4%,2)</f>
        <v>32.78</v>
      </c>
      <c r="R4" s="26">
        <f>ROUND(M4+O4+Q4,3)</f>
        <v>127.28</v>
      </c>
      <c r="S4" s="26">
        <f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>V4+W4+X4+Y4+AA4</f>
        <v>0</v>
      </c>
      <c r="AC4" s="31">
        <f>IF($V2=1,S4+AB4,S4)</f>
        <v>622.72</v>
      </c>
      <c r="AD4" s="26">
        <v>120</v>
      </c>
      <c r="AE4" s="26">
        <f>IF($P$2=1,(S4/$S$6)*$E$17,AD4/$AD$6*$E$17)</f>
        <v>0</v>
      </c>
      <c r="AF4" s="26"/>
      <c r="AG4" s="26">
        <f>IF($P$2=1,(S4/$S$6)*$E$19,AD4/$AD$6*$E$19)</f>
        <v>0</v>
      </c>
      <c r="AH4" s="26">
        <f>IF($P$2=1,(S4/$S$6)*$E$20,AD4/$AD$6*$E$20)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3</v>
      </c>
      <c r="AM4" s="26">
        <f>F4/AL4</f>
        <v>1.66666666666667</v>
      </c>
      <c r="AN4" s="26">
        <f>ROUND(AI4/AM4,5)</f>
        <v>31758.72</v>
      </c>
      <c r="AO4" s="26">
        <f>AJ4/AM4</f>
        <v>0</v>
      </c>
      <c r="AP4" s="26">
        <f>AK4/AM4</f>
        <v>0</v>
      </c>
      <c r="AQ4" s="26" t="s">
        <v>77</v>
      </c>
      <c r="AR4" s="26">
        <f>ROUND(AN4+AO4+AP4,5)</f>
        <v>31758.72</v>
      </c>
      <c r="AS4" s="38" t="s">
        <v>80</v>
      </c>
      <c r="AT4" s="39" t="s">
        <v>77</v>
      </c>
      <c r="AU4" t="s">
        <v>127</v>
      </c>
      <c r="AV4" t="s">
        <v>143</v>
      </c>
      <c r="AW4" s="39">
        <f>AM4</f>
        <v>1.66666666666667</v>
      </c>
      <c r="AX4" s="42">
        <f>AR4</f>
        <v>31758.72</v>
      </c>
      <c r="AY4" s="39">
        <f>AU4+AW4</f>
        <v>49.9956666666667</v>
      </c>
      <c r="AZ4" s="43">
        <f>ROUND(((AU4*AV4)+(AW4*AX4))/(AU4+AW4),3)</f>
        <v>12928.014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>ROUND((((AW4*AZ4)+(BN4*BM4))/(AW4+BN4)),5)</f>
        <v>385.84029</v>
      </c>
      <c r="BP4" s="48">
        <f>ROUND(BN4+AW4,3)</f>
        <v>81.667</v>
      </c>
      <c r="BQ4" s="49">
        <v>123562</v>
      </c>
    </row>
    <row r="5" ht="15.15" spans="1:69">
      <c r="A5" s="7">
        <v>1</v>
      </c>
      <c r="B5" s="7" t="s">
        <v>144</v>
      </c>
      <c r="C5" s="7" t="s">
        <v>144</v>
      </c>
      <c r="D5" s="7" t="s">
        <v>77</v>
      </c>
      <c r="E5" s="7" t="s">
        <v>77</v>
      </c>
      <c r="F5" s="8">
        <v>4</v>
      </c>
      <c r="G5" t="s">
        <v>92</v>
      </c>
      <c r="H5" s="8">
        <f>F5*G5</f>
        <v>400</v>
      </c>
      <c r="I5" t="s">
        <v>93</v>
      </c>
      <c r="J5" s="8">
        <v>9</v>
      </c>
      <c r="K5" s="8">
        <v>6</v>
      </c>
      <c r="L5" s="8">
        <f>IF(OR(I5=0,I5="0"),0,H5)</f>
        <v>400</v>
      </c>
      <c r="M5" s="8">
        <f>ROUND(L5*I5%,2)</f>
        <v>16</v>
      </c>
      <c r="N5" s="8">
        <f>H5-M5</f>
        <v>384</v>
      </c>
      <c r="O5" s="8">
        <f>ROUND(N5*J5%,2)</f>
        <v>34.56</v>
      </c>
      <c r="P5" s="8">
        <f>ROUND(N5-O5,2)</f>
        <v>349.44</v>
      </c>
      <c r="Q5" s="8">
        <f>ROUND(P5*K5%,2)</f>
        <v>20.97</v>
      </c>
      <c r="R5" s="8">
        <f>M5+O5+Q5</f>
        <v>71.53</v>
      </c>
      <c r="S5" s="8">
        <f>(H5-R5)</f>
        <v>328.47</v>
      </c>
      <c r="T5" s="8">
        <v>88363222</v>
      </c>
      <c r="U5" s="8">
        <v>18</v>
      </c>
      <c r="V5" s="8">
        <f>IF(OR(DGDUomWoQWI!$C$2=1,DGDUomWoQWI!$C$2=4),ROUND((((S5*U5)/100)/2),2),0)</f>
        <v>0</v>
      </c>
      <c r="W5" s="8">
        <f>IF(DGDUomWoQWI!$C$2=1,ROUND((((S5*U5)/100)/2),2),0)</f>
        <v>0</v>
      </c>
      <c r="X5" s="8">
        <f>IF(DGDUomWoQWI!$C$2=2,ROUND(((S5*U5)/100),2),0)</f>
        <v>0</v>
      </c>
      <c r="Y5" s="8">
        <f>IF(DGDUomWoQWI!$C$2=4,ROUND((((S5*U5)/100)/2),2),0)</f>
        <v>0</v>
      </c>
      <c r="Z5" s="8">
        <v>0</v>
      </c>
      <c r="AA5" s="8">
        <f>IF(DGDUomWoQWI!$C3=3,0,(S5*Z5)/100)</f>
        <v>0</v>
      </c>
      <c r="AB5" s="8">
        <f>V5+W5+X5+Y5+AA5</f>
        <v>0</v>
      </c>
      <c r="AC5" s="8">
        <f>IF(DGDUomWoQWI!$V3=1,S5+AB5,S5)</f>
        <v>328.47</v>
      </c>
      <c r="AD5" s="26">
        <v>120</v>
      </c>
      <c r="AE5" s="26">
        <f>IF(DGDUomWoQWI!$P$2=1,(S5/DGDUomWoQWI!$S$6)*DGDUomWoQWI!$E$17,AD5/DGDUomWoQWI!$AD$6*DGDUomWoQWI!$E$17)</f>
        <v>0</v>
      </c>
      <c r="AF5" s="26"/>
      <c r="AG5" s="26">
        <f>IF(DGDUomWoQWI!$P$2=1,(S5/DGDUomWoQWI!$S$6)*DGDUomWoQWI!$E$19,AD5/DGDUomWoQWI!$AD$6*DGDUomWoQWI!$E$19)</f>
        <v>0</v>
      </c>
      <c r="AH5" s="26">
        <f>IF(DGDUomWoQWI!$P$2=1,(S5/DGDUomWoQWI!$S$6)*DGDUomWoQWI!$E$20,AD5/DGDUomWoQWI!$AD$6*DGDUomWoQWI!$E$20)</f>
        <v>0</v>
      </c>
      <c r="AI5" s="26">
        <f>S5*DGDUomWoQWI!$M$2</f>
        <v>27919.95</v>
      </c>
      <c r="AJ5" s="26">
        <f>IF(DGDUomWoQWI!$C$2=3,0,AG5+AH5)</f>
        <v>0</v>
      </c>
      <c r="AK5" s="26">
        <f>IF(DGDUomWoQWI!$C$2=3,AE5+AG5+AH5,0)</f>
        <v>0</v>
      </c>
      <c r="AL5" s="34">
        <v>3</v>
      </c>
      <c r="AM5" s="26">
        <f>F5/AL5</f>
        <v>1.33333333333333</v>
      </c>
      <c r="AN5" s="26">
        <f>ROUND(AI5/AM5,5)</f>
        <v>20939.9625</v>
      </c>
      <c r="AO5" s="26">
        <f>AJ5/AM5</f>
        <v>0</v>
      </c>
      <c r="AP5" s="26">
        <f>AK5/AM5</f>
        <v>0</v>
      </c>
      <c r="AQ5" s="26" t="s">
        <v>77</v>
      </c>
      <c r="AR5" s="26">
        <f>ROUND(AN5+AO5+AP5,5)</f>
        <v>20939.9625</v>
      </c>
      <c r="AS5" s="38" t="s">
        <v>80</v>
      </c>
      <c r="AT5" s="39" t="s">
        <v>77</v>
      </c>
      <c r="AU5" t="s">
        <v>127</v>
      </c>
      <c r="AV5" t="s">
        <v>145</v>
      </c>
      <c r="AW5" s="39">
        <f>AM5</f>
        <v>1.33333333333333</v>
      </c>
      <c r="AX5" s="42">
        <f>AR5</f>
        <v>20939.9625</v>
      </c>
      <c r="AY5" s="39">
        <f>AU5+AW5</f>
        <v>23.9943333333333</v>
      </c>
      <c r="AZ5" s="42">
        <f>ROUND(((AU5*AV5)+(AW5*AX5))/(AU5+AW5),2)</f>
        <v>8294.26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>ROUND((((AW5*AZ5)+(BN5*BM5))/(AW5+BN5)),5)</f>
        <v>260.64478</v>
      </c>
      <c r="BP5" s="48">
        <f>ROUND(BN5+AW5,3)</f>
        <v>61.333</v>
      </c>
      <c r="BQ5" s="49">
        <v>123562</v>
      </c>
    </row>
    <row r="6" ht="15.15" spans="1:69">
      <c r="A6" s="9"/>
      <c r="B6" s="10"/>
      <c r="C6" s="10"/>
      <c r="D6" s="11" t="s">
        <v>106</v>
      </c>
      <c r="E6" s="11"/>
      <c r="F6" s="11"/>
      <c r="G6" s="12"/>
      <c r="H6" s="13">
        <f>SUM(H4:H4)</f>
        <v>750</v>
      </c>
      <c r="I6" s="7"/>
      <c r="J6" s="7"/>
      <c r="K6" s="7"/>
      <c r="L6" s="7"/>
      <c r="M6" s="7"/>
      <c r="N6" s="7"/>
      <c r="O6" s="7"/>
      <c r="P6" s="7"/>
      <c r="Q6" s="7"/>
      <c r="R6" s="27">
        <f t="shared" ref="R6:X6" si="0">SUM(R4:R4)</f>
        <v>127.28</v>
      </c>
      <c r="S6" s="13">
        <f t="shared" si="0"/>
        <v>622.72</v>
      </c>
      <c r="T6" s="27"/>
      <c r="U6" s="27"/>
      <c r="V6" s="28">
        <f t="shared" si="0"/>
        <v>0</v>
      </c>
      <c r="W6" s="28">
        <f t="shared" si="0"/>
        <v>0</v>
      </c>
      <c r="X6" s="28">
        <f t="shared" si="0"/>
        <v>0</v>
      </c>
      <c r="Y6" s="28"/>
      <c r="Z6" s="28"/>
      <c r="AA6" s="28"/>
      <c r="AB6" s="27">
        <f t="shared" ref="AB6:AE6" si="1">SUM(AB4:AB4)</f>
        <v>0</v>
      </c>
      <c r="AC6" s="32">
        <f t="shared" si="1"/>
        <v>622.72</v>
      </c>
      <c r="AD6" s="33">
        <f t="shared" si="1"/>
        <v>120</v>
      </c>
      <c r="AE6" s="33">
        <f t="shared" si="1"/>
        <v>0</v>
      </c>
      <c r="AF6" s="32"/>
      <c r="AG6" s="33">
        <f t="shared" ref="AG6:AK6" si="2">SUM(AG4:AG4)</f>
        <v>0</v>
      </c>
      <c r="AH6" s="33">
        <f>IF($P$2=1,(S6/$S$6)*$E$20,AD6/$AD$6*$E$20)</f>
        <v>0</v>
      </c>
      <c r="AI6" s="33">
        <f t="shared" si="2"/>
        <v>52931.2</v>
      </c>
      <c r="AJ6" s="33">
        <f t="shared" si="2"/>
        <v>0</v>
      </c>
      <c r="AK6" s="33">
        <f t="shared" si="2"/>
        <v>0</v>
      </c>
      <c r="AL6" s="32"/>
      <c r="AM6" s="32"/>
      <c r="AN6" s="32"/>
      <c r="AO6" s="32"/>
      <c r="AP6" s="32"/>
      <c r="AQ6" s="32"/>
      <c r="AR6" s="32"/>
      <c r="AS6" s="9"/>
      <c r="AT6" s="9"/>
      <c r="AU6" s="40"/>
      <c r="AV6" s="4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40"/>
      <c r="BQ6" s="40"/>
    </row>
    <row r="7" ht="15.15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14" t="s">
        <v>107</v>
      </c>
      <c r="H8" s="15"/>
      <c r="I8" s="19">
        <f>H6</f>
        <v>750</v>
      </c>
      <c r="J8" s="19"/>
      <c r="K8" s="9"/>
      <c r="L8" s="9"/>
      <c r="M8" s="20" t="s">
        <v>108</v>
      </c>
      <c r="N8" s="21"/>
      <c r="O8" s="21"/>
      <c r="P8" s="2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 t="s">
        <v>109</v>
      </c>
      <c r="BI8" s="55" t="s">
        <v>110</v>
      </c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111</v>
      </c>
      <c r="H9" s="15"/>
      <c r="I9" s="19">
        <f>R6</f>
        <v>127.28</v>
      </c>
      <c r="J9" s="19"/>
      <c r="K9" s="9"/>
      <c r="L9" s="9"/>
      <c r="M9" s="23">
        <v>1</v>
      </c>
      <c r="N9" s="23" t="s">
        <v>77</v>
      </c>
      <c r="O9" s="23">
        <v>2</v>
      </c>
      <c r="P9" s="23" t="s">
        <v>112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113</v>
      </c>
      <c r="BI9" s="55" t="s">
        <v>114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115</v>
      </c>
      <c r="H10" s="15"/>
      <c r="I10" s="19">
        <f>S6</f>
        <v>622.72</v>
      </c>
      <c r="J10" s="19"/>
      <c r="K10" s="9"/>
      <c r="L10" s="9"/>
      <c r="M10" s="7">
        <v>1</v>
      </c>
      <c r="N10" s="7" t="s">
        <v>77</v>
      </c>
      <c r="O10" s="7">
        <v>2.5</v>
      </c>
      <c r="P10" s="7" t="s">
        <v>116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117</v>
      </c>
      <c r="H11" s="15"/>
      <c r="I11" s="19">
        <f>AB6</f>
        <v>0</v>
      </c>
      <c r="J11" s="19"/>
      <c r="K11" s="9"/>
      <c r="L11" s="9"/>
      <c r="M11" s="7">
        <v>1</v>
      </c>
      <c r="N11" s="7" t="s">
        <v>112</v>
      </c>
      <c r="O11" s="7">
        <v>0.001</v>
      </c>
      <c r="P11" s="7" t="s">
        <v>118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119</v>
      </c>
      <c r="H12" s="15"/>
      <c r="I12" s="24">
        <f>I10+I11</f>
        <v>622.72</v>
      </c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 t="s">
        <v>120</v>
      </c>
      <c r="BN13" s="9" t="s">
        <v>121</v>
      </c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122</v>
      </c>
      <c r="BL14" s="9">
        <v>12.5</v>
      </c>
      <c r="BM14" s="9">
        <f>BL16*BL17</f>
        <v>18277.77</v>
      </c>
      <c r="BN14" s="9">
        <f>BL14*BL15</f>
        <v>6092.59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123</v>
      </c>
      <c r="BL15" s="9">
        <v>487.4072</v>
      </c>
      <c r="BM15" s="9">
        <f>BL14+BL16</f>
        <v>50</v>
      </c>
      <c r="BN15" s="9"/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124</v>
      </c>
      <c r="BL16" s="9">
        <v>37.5</v>
      </c>
      <c r="BM16" s="9"/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125</v>
      </c>
      <c r="BL17" s="9">
        <v>487.4072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>BM14+BN14</f>
        <v>24370.36</v>
      </c>
      <c r="BN18" s="9">
        <f>BM18/BM15</f>
        <v>487.4072</v>
      </c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40"/>
      <c r="BQ19" s="40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C12" sqref="C12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146</v>
      </c>
      <c r="C4" s="7" t="s">
        <v>146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750</v>
      </c>
      <c r="I4" t="s">
        <v>79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26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10586.24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10586.24</v>
      </c>
      <c r="AS4" s="38" t="s">
        <v>80</v>
      </c>
      <c r="AT4" s="39" t="s">
        <v>77</v>
      </c>
      <c r="AU4" t="s">
        <v>81</v>
      </c>
      <c r="AV4" t="s">
        <v>82</v>
      </c>
      <c r="AW4" s="39">
        <f t="shared" ref="AW4:AW6" si="12">AM4</f>
        <v>5</v>
      </c>
      <c r="AX4" s="42">
        <f t="shared" ref="AX4:AX6" si="13">AR4</f>
        <v>10586.24</v>
      </c>
      <c r="AY4" s="39">
        <f t="shared" ref="AY4:AY6" si="14">AU4+AW4</f>
        <v>380</v>
      </c>
      <c r="AZ4" s="43">
        <f>ROUND(((AU4*AV4)+(AW4*AX4))/(AU4+AW4),3)</f>
        <v>3670.799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333.14818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7" t="s">
        <v>147</v>
      </c>
      <c r="C5" s="7" t="s">
        <v>147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IF(OR(DGSUomWISer!$C$2=1,DGSUomWISer!$C$2=4),ROUND((((S5*U5)/100)/2),2),0)</f>
        <v>0</v>
      </c>
      <c r="W5" s="8">
        <f>IF(DGSUomWISer!$C$2=1,ROUND((((S5*U5)/100)/2),2),0)</f>
        <v>0</v>
      </c>
      <c r="X5" s="8">
        <f>IF(DGSUomWISer!$C$2=2,ROUND(((S5*U5)/100),2),0)</f>
        <v>0</v>
      </c>
      <c r="Y5" s="8">
        <f>IF(DGSUomWISer!$C$2=4,ROUND((((S5*U5)/100)/2),2),0)</f>
        <v>0</v>
      </c>
      <c r="Z5" s="8">
        <v>0</v>
      </c>
      <c r="AA5" s="8">
        <f>IF(DGSUomWISer!$C3=3,0,(S5*Z5)/100)</f>
        <v>0</v>
      </c>
      <c r="AB5" s="8">
        <f t="shared" si="6"/>
        <v>0</v>
      </c>
      <c r="AC5" s="8">
        <f>IF(DGSUomWISer!$V3=1,S5+AB5,S5)</f>
        <v>328.47</v>
      </c>
      <c r="AD5" s="26">
        <v>120</v>
      </c>
      <c r="AE5" s="26">
        <f>IF(DGSUomWISer!$P$2=1,(S5/DGSUomWISer!$S$7)*DGSUomWISer!$E$18,AD5/DGSUomWISer!$AD$7*DGSUomWISer!$E$18)</f>
        <v>0</v>
      </c>
      <c r="AF5" s="26"/>
      <c r="AG5" s="26">
        <f>IF(DGSUomWISer!$P$2=1,(S5/DGSUomWISer!$S$7)*DGSUomWISer!$E$20,AD5/DGSUomWISer!$AD$7*DGSUomWISer!$E$20)</f>
        <v>0</v>
      </c>
      <c r="AH5" s="26">
        <f>IF(DGSUomWISer!$P$2=1,(S5/DGSUomWISer!$S$7)*DGSUomWISer!$E$21,AD5/DGSUomWISer!$AD$7*DGSUomWISer!$E$21)</f>
        <v>0</v>
      </c>
      <c r="AI5" s="26">
        <f>S5*DGSUomWISer!$M$2</f>
        <v>27919.95</v>
      </c>
      <c r="AJ5" s="26">
        <f>IF(DGSUomWISer!$C$2=3,0,AG5+AH5)</f>
        <v>0</v>
      </c>
      <c r="AK5" s="26">
        <f>IF(DGSUomWISer!$C$2=3,AE5+AG5+AH5,0)</f>
        <v>0</v>
      </c>
      <c r="AL5" s="34">
        <v>1</v>
      </c>
      <c r="AM5" s="26">
        <f t="shared" si="7"/>
        <v>4</v>
      </c>
      <c r="AN5" s="26">
        <f t="shared" si="8"/>
        <v>6979.9875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6979.9875</v>
      </c>
      <c r="AS5" s="38" t="s">
        <v>80</v>
      </c>
      <c r="AT5" s="39" t="s">
        <v>77</v>
      </c>
      <c r="AU5" t="s">
        <v>94</v>
      </c>
      <c r="AV5" t="s">
        <v>95</v>
      </c>
      <c r="AW5" s="39">
        <f t="shared" si="12"/>
        <v>4</v>
      </c>
      <c r="AX5" s="42">
        <f t="shared" si="13"/>
        <v>6979.9875</v>
      </c>
      <c r="AY5" s="39">
        <f t="shared" si="14"/>
        <v>192</v>
      </c>
      <c r="AZ5" s="42">
        <f>ROUND(((AU5*AV5)+(AW5*AX5))/(AU5+AW5),2)</f>
        <v>2076.95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206.79688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7" t="s">
        <v>148</v>
      </c>
      <c r="C6" s="7" t="s">
        <v>148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IF(OR(DGSUomWISer!$C$2=1,DGSUomWISer!$C$2=4),ROUND((((S6*U6)/100)/2),2),0)</f>
        <v>0</v>
      </c>
      <c r="W6" s="8">
        <f>IF(DGSUomWISer!$C$2=1,ROUND((((S6*U6)/100)/2),2),0)</f>
        <v>0</v>
      </c>
      <c r="X6" s="8">
        <f>IF(DGSUomWISer!$C$2=2,ROUND(((S6*U6)/100),2),0)</f>
        <v>0</v>
      </c>
      <c r="Y6" s="8">
        <f>IF(DGSUomWISer!$C$2=4,ROUND((((S6*U6)/100)/2),2),0)</f>
        <v>0</v>
      </c>
      <c r="Z6" s="8">
        <v>0</v>
      </c>
      <c r="AA6" s="8">
        <f>IF(DGSUomWISer!$C4=3,0,(S6*Z6)/100)</f>
        <v>0</v>
      </c>
      <c r="AB6" s="8">
        <f t="shared" si="6"/>
        <v>0</v>
      </c>
      <c r="AC6" s="8">
        <f>IF(DGSUomWISer!$V4=1,S6+AB6,S6)</f>
        <v>866.02</v>
      </c>
      <c r="AD6" s="26">
        <v>120</v>
      </c>
      <c r="AE6" s="26">
        <f>IF(DGSUomWISer!$P$2=1,(S6/DGSUomWISer!$S$7)*DGSUomWISer!$E$18,AD6/DGSUomWISer!$AD$7*DGSUomWISer!$E$18)</f>
        <v>0</v>
      </c>
      <c r="AF6" s="26"/>
      <c r="AG6" s="26">
        <f>IF(DGSUomWISer!$P$2=1,(S6/DGSUomWISer!$S$7)*DGSUomWISer!$E$20,AD6/DGSUomWISer!$AD$7*DGSUomWISer!$E$20)</f>
        <v>0</v>
      </c>
      <c r="AH6" s="26">
        <f>IF(DGSUomWISer!$P$2=1,(S6/DGSUomWISer!$S$7)*DGSUomWISer!$E$21,AD6/DGSUomWISer!$AD$7*DGSUomWISer!$E$21)</f>
        <v>0</v>
      </c>
      <c r="AI6" s="26">
        <f>S6*DGSUomWISer!$M$2</f>
        <v>73611.7</v>
      </c>
      <c r="AJ6" s="26">
        <f>IF(DGSUomWISer!$C$2=3,0,AG6+AH6)</f>
        <v>0</v>
      </c>
      <c r="AK6" s="26">
        <f>IF(DGSUomWISer!$C$2=3,AE6+AG6+AH6,0)</f>
        <v>0</v>
      </c>
      <c r="AL6" s="34">
        <v>1</v>
      </c>
      <c r="AM6" s="26">
        <f t="shared" si="7"/>
        <v>20</v>
      </c>
      <c r="AN6" s="26">
        <f t="shared" si="8"/>
        <v>3680.585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3680.585</v>
      </c>
      <c r="AS6" s="38" t="s">
        <v>80</v>
      </c>
      <c r="AT6" s="39" t="s">
        <v>77</v>
      </c>
      <c r="AU6" t="s">
        <v>102</v>
      </c>
      <c r="AV6" t="s">
        <v>103</v>
      </c>
      <c r="AW6" s="39">
        <f t="shared" si="12"/>
        <v>20</v>
      </c>
      <c r="AX6" s="39">
        <f t="shared" si="13"/>
        <v>3680.585</v>
      </c>
      <c r="AY6" s="39">
        <f t="shared" si="14"/>
        <v>500</v>
      </c>
      <c r="AZ6" s="39">
        <f>ROUND(((AU6*AV6)+(AW6*AX6))/(AU6+AW6),1)</f>
        <v>1198.5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115.5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18" sqref="F18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52" t="s">
        <v>149</v>
      </c>
      <c r="C4" s="52" t="s">
        <v>149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750</v>
      </c>
      <c r="I4" t="s">
        <v>79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26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10586.24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10586.24</v>
      </c>
      <c r="AS4" s="38" t="s">
        <v>80</v>
      </c>
      <c r="AT4" s="39" t="s">
        <v>77</v>
      </c>
      <c r="AU4" t="s">
        <v>81</v>
      </c>
      <c r="AV4" t="s">
        <v>82</v>
      </c>
      <c r="AW4" s="39">
        <f t="shared" ref="AW4:AW6" si="12">AM4</f>
        <v>5</v>
      </c>
      <c r="AX4" s="42">
        <f t="shared" ref="AX4:AX6" si="13">AR4</f>
        <v>10586.24</v>
      </c>
      <c r="AY4" s="39">
        <f t="shared" ref="AY4:AY6" si="14">AU4+AW4</f>
        <v>380</v>
      </c>
      <c r="AZ4" s="43">
        <f>ROUND(((AU4*AV4)+(AW4*AX4))/(AU4+AW4),3)</f>
        <v>3670.799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333.14818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52" t="s">
        <v>150</v>
      </c>
      <c r="C5" s="53" t="s">
        <v>150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IF(OR(DGSUomWoQWISer!$C$2=1,DGSUomWoQWISer!$C$2=4),ROUND((((S5*U5)/100)/2),2),0)</f>
        <v>0</v>
      </c>
      <c r="W5" s="8">
        <f>IF(DGSUomWoQWISer!$C$2=1,ROUND((((S5*U5)/100)/2),2),0)</f>
        <v>0</v>
      </c>
      <c r="X5" s="8">
        <f>IF(DGSUomWoQWISer!$C$2=2,ROUND(((S5*U5)/100),2),0)</f>
        <v>0</v>
      </c>
      <c r="Y5" s="8">
        <f>IF(DGSUomWoQWISer!$C$2=4,ROUND((((S5*U5)/100)/2),2),0)</f>
        <v>0</v>
      </c>
      <c r="Z5" s="8">
        <v>0</v>
      </c>
      <c r="AA5" s="8">
        <f>IF(DGSUomWoQWISer!$C3=3,0,(S5*Z5)/100)</f>
        <v>0</v>
      </c>
      <c r="AB5" s="8">
        <f t="shared" si="6"/>
        <v>0</v>
      </c>
      <c r="AC5" s="8">
        <f>IF(DGSUomWoQWISer!$V3=1,S5+AB5,S5)</f>
        <v>328.47</v>
      </c>
      <c r="AD5" s="26">
        <v>120</v>
      </c>
      <c r="AE5" s="26">
        <f>IF(DGSUomWoQWISer!$P$2=1,(S5/DGSUomWoQWISer!$S$7)*DGSUomWoQWISer!$E$18,AD5/DGSUomWoQWISer!$AD$7*DGSUomWoQWISer!$E$18)</f>
        <v>0</v>
      </c>
      <c r="AF5" s="26"/>
      <c r="AG5" s="26">
        <f>IF(DGSUomWoQWISer!$P$2=1,(S5/DGSUomWoQWISer!$S$7)*DGSUomWoQWISer!$E$20,AD5/DGSUomWoQWISer!$AD$7*DGSUomWoQWISer!$E$20)</f>
        <v>0</v>
      </c>
      <c r="AH5" s="26">
        <f>IF(DGSUomWoQWISer!$P$2=1,(S5/DGSUomWoQWISer!$S$7)*DGSUomWoQWISer!$E$21,AD5/DGSUomWoQWISer!$AD$7*DGSUomWoQWISer!$E$21)</f>
        <v>0</v>
      </c>
      <c r="AI5" s="26">
        <f>S5*DGSUomWoQWISer!$M$2</f>
        <v>27919.95</v>
      </c>
      <c r="AJ5" s="26">
        <f>IF(DGSUomWoQWISer!$C$2=3,0,AG5+AH5)</f>
        <v>0</v>
      </c>
      <c r="AK5" s="26">
        <f>IF(DGSUomWoQWISer!$C$2=3,AE5+AG5+AH5,0)</f>
        <v>0</v>
      </c>
      <c r="AL5" s="34">
        <v>1</v>
      </c>
      <c r="AM5" s="26">
        <f t="shared" si="7"/>
        <v>4</v>
      </c>
      <c r="AN5" s="26">
        <f t="shared" si="8"/>
        <v>6979.9875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6979.9875</v>
      </c>
      <c r="AS5" s="38" t="s">
        <v>80</v>
      </c>
      <c r="AT5" s="39" t="s">
        <v>77</v>
      </c>
      <c r="AU5" t="s">
        <v>94</v>
      </c>
      <c r="AV5" t="s">
        <v>95</v>
      </c>
      <c r="AW5" s="39">
        <f t="shared" si="12"/>
        <v>4</v>
      </c>
      <c r="AX5" s="42">
        <f t="shared" si="13"/>
        <v>6979.9875</v>
      </c>
      <c r="AY5" s="39">
        <f t="shared" si="14"/>
        <v>192</v>
      </c>
      <c r="AZ5" s="42">
        <f>ROUND(((AU5*AV5)+(AW5*AX5))/(AU5+AW5),2)</f>
        <v>2076.95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206.79688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53" t="s">
        <v>151</v>
      </c>
      <c r="C6" s="53" t="s">
        <v>151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IF(OR(DGSUomWoQWISer!$C$2=1,DGSUomWoQWISer!$C$2=4),ROUND((((S6*U6)/100)/2),2),0)</f>
        <v>0</v>
      </c>
      <c r="W6" s="8">
        <f>IF(DGSUomWoQWISer!$C$2=1,ROUND((((S6*U6)/100)/2),2),0)</f>
        <v>0</v>
      </c>
      <c r="X6" s="8">
        <f>IF(DGSUomWoQWISer!$C$2=2,ROUND(((S6*U6)/100),2),0)</f>
        <v>0</v>
      </c>
      <c r="Y6" s="8">
        <f>IF(DGSUomWoQWISer!$C$2=4,ROUND((((S6*U6)/100)/2),2),0)</f>
        <v>0</v>
      </c>
      <c r="Z6" s="8">
        <v>0</v>
      </c>
      <c r="AA6" s="8">
        <f>IF(DGSUomWoQWISer!$C4=3,0,(S6*Z6)/100)</f>
        <v>0</v>
      </c>
      <c r="AB6" s="8">
        <f t="shared" si="6"/>
        <v>0</v>
      </c>
      <c r="AC6" s="8">
        <f>IF(DGSUomWoQWISer!$V4=1,S6+AB6,S6)</f>
        <v>866.02</v>
      </c>
      <c r="AD6" s="26">
        <v>120</v>
      </c>
      <c r="AE6" s="26">
        <f>IF(DGSUomWoQWISer!$P$2=1,(S6/DGSUomWoQWISer!$S$7)*DGSUomWoQWISer!$E$18,AD6/DGSUomWoQWISer!$AD$7*DGSUomWoQWISer!$E$18)</f>
        <v>0</v>
      </c>
      <c r="AF6" s="26"/>
      <c r="AG6" s="26">
        <f>IF(DGSUomWoQWISer!$P$2=1,(S6/DGSUomWoQWISer!$S$7)*DGSUomWoQWISer!$E$20,AD6/DGSUomWoQWISer!$AD$7*DGSUomWoQWISer!$E$20)</f>
        <v>0</v>
      </c>
      <c r="AH6" s="26">
        <f>IF(DGSUomWoQWISer!$P$2=1,(S6/DGSUomWoQWISer!$S$7)*DGSUomWoQWISer!$E$21,AD6/DGSUomWoQWISer!$AD$7*DGSUomWoQWISer!$E$21)</f>
        <v>0</v>
      </c>
      <c r="AI6" s="26">
        <f>S6*DGSUomWoQWISer!$M$2</f>
        <v>73611.7</v>
      </c>
      <c r="AJ6" s="26">
        <f>IF(DGSUomWoQWISer!$C$2=3,0,AG6+AH6)</f>
        <v>0</v>
      </c>
      <c r="AK6" s="26">
        <f>IF(DGSUomWoQWISer!$C$2=3,AE6+AG6+AH6,0)</f>
        <v>0</v>
      </c>
      <c r="AL6" s="34">
        <v>1</v>
      </c>
      <c r="AM6" s="26">
        <f t="shared" si="7"/>
        <v>20</v>
      </c>
      <c r="AN6" s="26">
        <f t="shared" si="8"/>
        <v>3680.585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3680.585</v>
      </c>
      <c r="AS6" s="38" t="s">
        <v>80</v>
      </c>
      <c r="AT6" s="39" t="s">
        <v>77</v>
      </c>
      <c r="AU6" t="s">
        <v>102</v>
      </c>
      <c r="AV6" t="s">
        <v>103</v>
      </c>
      <c r="AW6" s="39">
        <f t="shared" si="12"/>
        <v>20</v>
      </c>
      <c r="AX6" s="39">
        <f t="shared" si="13"/>
        <v>3680.585</v>
      </c>
      <c r="AY6" s="39">
        <f t="shared" si="14"/>
        <v>500</v>
      </c>
      <c r="AZ6" s="39">
        <f>ROUND(((AU6*AV6)+(AW6*AX6))/(AU6+AW6),1)</f>
        <v>1198.5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115.5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B1" workbookViewId="0">
      <selection activeCell="Q11" sqref="Q11"/>
    </sheetView>
  </sheetViews>
  <sheetFormatPr defaultColWidth="8.85185185185185" defaultRowHeight="14.4"/>
  <cols>
    <col min="2" max="2" width="28" customWidth="1"/>
    <col min="3" max="3" width="29.1388888888889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52" t="s">
        <v>152</v>
      </c>
      <c r="C4" s="52" t="s">
        <v>152</v>
      </c>
      <c r="D4" s="7" t="s">
        <v>77</v>
      </c>
      <c r="E4" s="7" t="s">
        <v>77</v>
      </c>
      <c r="F4" s="8">
        <v>5</v>
      </c>
      <c r="G4" t="s">
        <v>100</v>
      </c>
      <c r="H4" s="8">
        <f t="shared" ref="H4:H6" si="0">F4*G4</f>
        <v>250</v>
      </c>
      <c r="I4" t="s">
        <v>127</v>
      </c>
      <c r="J4" s="8">
        <v>8</v>
      </c>
      <c r="K4" s="8">
        <v>5</v>
      </c>
      <c r="L4" s="8">
        <f t="shared" ref="L4:L6" si="1">IF(OR(I4=0,I4="0"),0,H4)</f>
        <v>0</v>
      </c>
      <c r="M4" s="8">
        <f>ROUND(L4*I4%,3)</f>
        <v>0</v>
      </c>
      <c r="N4" s="8">
        <f t="shared" ref="N4:N6" si="2">H4-M4</f>
        <v>250</v>
      </c>
      <c r="O4" s="8">
        <f>ROUND(N4*J4%,3)</f>
        <v>20</v>
      </c>
      <c r="P4" s="8">
        <f t="shared" ref="P4:P6" si="3">ROUND(N4-O4,2)</f>
        <v>230</v>
      </c>
      <c r="Q4" s="8">
        <f t="shared" ref="Q4:Q6" si="4">ROUND(P4*K4%,2)</f>
        <v>11.5</v>
      </c>
      <c r="R4" s="26">
        <f>ROUND(M4+O4+Q4,3)</f>
        <v>31.5</v>
      </c>
      <c r="S4" s="8">
        <f t="shared" ref="S4:S6" si="5">(H4-R4)</f>
        <v>218.5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8">
        <f>IF($V2=1,S4+AB4,S4)</f>
        <v>218.5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18572.5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3714.5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3714.5</v>
      </c>
      <c r="AS4" s="38" t="s">
        <v>80</v>
      </c>
      <c r="AT4" s="39" t="s">
        <v>77</v>
      </c>
      <c r="AU4" t="s">
        <v>81</v>
      </c>
      <c r="AV4" t="s">
        <v>82</v>
      </c>
      <c r="AW4" s="39">
        <f t="shared" ref="AW4:AW6" si="12">AM4</f>
        <v>5</v>
      </c>
      <c r="AX4" s="42">
        <f t="shared" ref="AX4:AX6" si="13">AR4</f>
        <v>3714.5</v>
      </c>
      <c r="AY4" s="39">
        <f t="shared" ref="AY4:AY6" si="14">AU4+AW4</f>
        <v>380</v>
      </c>
      <c r="AZ4" s="43">
        <f>ROUND(((AU4*AV4)+(AW4*AX4))/(AU4+AW4),3)</f>
        <v>3580.381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327.82947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52" t="s">
        <v>153</v>
      </c>
      <c r="C5" s="53" t="s">
        <v>153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IF(OR(DGSUomWoQRcWISer!$C$2=1,DGSUomWoQRcWISer!$C$2=4),ROUND((((S5*U5)/100)/2),2),0)</f>
        <v>0</v>
      </c>
      <c r="W5" s="8">
        <f>IF(DGSUomWoQRcWISer!$C$2=1,ROUND((((S5*U5)/100)/2),2),0)</f>
        <v>0</v>
      </c>
      <c r="X5" s="8">
        <f>IF(DGSUomWoQRcWISer!$C$2=2,ROUND(((S5*U5)/100),2),0)</f>
        <v>0</v>
      </c>
      <c r="Y5" s="8">
        <f>IF(DGSUomWoQRcWISer!$C$2=4,ROUND((((S5*U5)/100)/2),2),0)</f>
        <v>0</v>
      </c>
      <c r="Z5" s="8">
        <v>0</v>
      </c>
      <c r="AA5" s="8">
        <f>IF(DGSUomWoQRcWISer!$C3=3,0,(S5*Z5)/100)</f>
        <v>0</v>
      </c>
      <c r="AB5" s="8">
        <f t="shared" si="6"/>
        <v>0</v>
      </c>
      <c r="AC5" s="8">
        <f>IF(DGSUomWoQRcWISer!$V3=1,S5+AB5,S5)</f>
        <v>328.47</v>
      </c>
      <c r="AD5" s="26">
        <v>120</v>
      </c>
      <c r="AE5" s="26">
        <f>IF(DGSUomWoQRcWISer!$P$2=1,(S5/DGSUomWoQRcWISer!$S$7)*DGSUomWoQRcWISer!$E$18,AD5/DGSUomWoQRcWISer!$AD$7*DGSUomWoQRcWISer!$E$18)</f>
        <v>0</v>
      </c>
      <c r="AF5" s="26"/>
      <c r="AG5" s="26">
        <f>IF(DGSUomWoQRcWISer!$P$2=1,(S5/DGSUomWoQRcWISer!$S$7)*DGSUomWoQRcWISer!$E$20,AD5/DGSUomWoQRcWISer!$AD$7*DGSUomWoQRcWISer!$E$20)</f>
        <v>0</v>
      </c>
      <c r="AH5" s="26">
        <f>IF(DGSUomWoQRcWISer!$P$2=1,(S5/DGSUomWoQRcWISer!$S$7)*DGSUomWoQRcWISer!$E$21,AD5/DGSUomWoQRcWISer!$AD$7*DGSUomWoQRcWISer!$E$21)</f>
        <v>0</v>
      </c>
      <c r="AI5" s="26">
        <f>S5*DGSUomWoQRcWISer!$M$2</f>
        <v>27919.95</v>
      </c>
      <c r="AJ5" s="26">
        <f>IF(DGSUomWoQRcWISer!$C$2=3,0,AG5+AH5)</f>
        <v>0</v>
      </c>
      <c r="AK5" s="26">
        <f>IF(DGSUomWoQRcWISer!$C$2=3,AE5+AG5+AH5,0)</f>
        <v>0</v>
      </c>
      <c r="AL5" s="34">
        <v>1</v>
      </c>
      <c r="AM5" s="26">
        <f t="shared" si="7"/>
        <v>4</v>
      </c>
      <c r="AN5" s="26">
        <f t="shared" si="8"/>
        <v>6979.9875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6979.9875</v>
      </c>
      <c r="AS5" s="38" t="s">
        <v>80</v>
      </c>
      <c r="AT5" s="39" t="s">
        <v>77</v>
      </c>
      <c r="AU5" t="s">
        <v>94</v>
      </c>
      <c r="AV5" t="s">
        <v>95</v>
      </c>
      <c r="AW5" s="39">
        <f t="shared" si="12"/>
        <v>4</v>
      </c>
      <c r="AX5" s="42">
        <f t="shared" si="13"/>
        <v>6979.9875</v>
      </c>
      <c r="AY5" s="39">
        <f t="shared" si="14"/>
        <v>192</v>
      </c>
      <c r="AZ5" s="42">
        <f>ROUND(((AU5*AV5)+(AW5*AX5))/(AU5+AW5),2)</f>
        <v>2076.95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206.79688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53" t="s">
        <v>154</v>
      </c>
      <c r="C6" s="53" t="s">
        <v>154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IF(OR(DGSUomWoQRcWISer!$C$2=1,DGSUomWoQRcWISer!$C$2=4),ROUND((((S6*U6)/100)/2),2),0)</f>
        <v>0</v>
      </c>
      <c r="W6" s="8">
        <f>IF(DGSUomWoQRcWISer!$C$2=1,ROUND((((S6*U6)/100)/2),2),0)</f>
        <v>0</v>
      </c>
      <c r="X6" s="8">
        <f>IF(DGSUomWoQRcWISer!$C$2=2,ROUND(((S6*U6)/100),2),0)</f>
        <v>0</v>
      </c>
      <c r="Y6" s="8">
        <f>IF(DGSUomWoQRcWISer!$C$2=4,ROUND((((S6*U6)/100)/2),2),0)</f>
        <v>0</v>
      </c>
      <c r="Z6" s="8">
        <v>0</v>
      </c>
      <c r="AA6" s="8">
        <f>IF(DGSUomWoQRcWISer!$C4=3,0,(S6*Z6)/100)</f>
        <v>0</v>
      </c>
      <c r="AB6" s="8">
        <f t="shared" si="6"/>
        <v>0</v>
      </c>
      <c r="AC6" s="8">
        <f>IF(DGSUomWoQRcWISer!$V4=1,S6+AB6,S6)</f>
        <v>866.02</v>
      </c>
      <c r="AD6" s="26">
        <v>120</v>
      </c>
      <c r="AE6" s="26">
        <f>IF(DGSUomWoQRcWISer!$P$2=1,(S6/DGSUomWoQRcWISer!$S$7)*DGSUomWoQRcWISer!$E$18,AD6/DGSUomWoQRcWISer!$AD$7*DGSUomWoQRcWISer!$E$18)</f>
        <v>0</v>
      </c>
      <c r="AF6" s="26"/>
      <c r="AG6" s="26">
        <f>IF(DGSUomWoQRcWISer!$P$2=1,(S6/DGSUomWoQRcWISer!$S$7)*DGSUomWoQRcWISer!$E$20,AD6/DGSUomWoQRcWISer!$AD$7*DGSUomWoQRcWISer!$E$20)</f>
        <v>0</v>
      </c>
      <c r="AH6" s="26">
        <f>IF(DGSUomWoQRcWISer!$P$2=1,(S6/DGSUomWoQRcWISer!$S$7)*DGSUomWoQRcWISer!$E$21,AD6/DGSUomWoQRcWISer!$AD$7*DGSUomWoQRcWISer!$E$21)</f>
        <v>0</v>
      </c>
      <c r="AI6" s="26">
        <f>S6*DGSUomWoQRcWISer!$M$2</f>
        <v>73611.7</v>
      </c>
      <c r="AJ6" s="26">
        <f>IF(DGSUomWoQRcWISer!$C$2=3,0,AG6+AH6)</f>
        <v>0</v>
      </c>
      <c r="AK6" s="26">
        <f>IF(DGSUomWoQRcWISer!$C$2=3,AE6+AG6+AH6,0)</f>
        <v>0</v>
      </c>
      <c r="AL6" s="34">
        <v>1</v>
      </c>
      <c r="AM6" s="26">
        <f t="shared" si="7"/>
        <v>20</v>
      </c>
      <c r="AN6" s="26">
        <f t="shared" si="8"/>
        <v>3680.585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3680.585</v>
      </c>
      <c r="AS6" s="38" t="s">
        <v>80</v>
      </c>
      <c r="AT6" s="39" t="s">
        <v>77</v>
      </c>
      <c r="AU6" t="s">
        <v>102</v>
      </c>
      <c r="AV6" t="s">
        <v>103</v>
      </c>
      <c r="AW6" s="39">
        <f t="shared" si="12"/>
        <v>20</v>
      </c>
      <c r="AX6" s="39">
        <f t="shared" si="13"/>
        <v>3680.585</v>
      </c>
      <c r="AY6" s="39">
        <f t="shared" si="14"/>
        <v>500</v>
      </c>
      <c r="AZ6" s="39">
        <f>ROUND(((AU6*AV6)+(AW6*AX6))/(AU6+AW6),1)</f>
        <v>1198.5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115.5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31.5</v>
      </c>
      <c r="S7" s="13">
        <f t="shared" si="17"/>
        <v>218.5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218.5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18572.5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31.5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218.5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218.5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C12" sqref="C12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155</v>
      </c>
      <c r="C4" s="7" t="s">
        <v>155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750</v>
      </c>
      <c r="I4" t="s">
        <v>79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26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10586.24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10586.24</v>
      </c>
      <c r="AS4" s="38" t="s">
        <v>80</v>
      </c>
      <c r="AT4" s="39" t="s">
        <v>77</v>
      </c>
      <c r="AU4" t="s">
        <v>81</v>
      </c>
      <c r="AV4" t="s">
        <v>82</v>
      </c>
      <c r="AW4" s="39">
        <f t="shared" ref="AW4:AW6" si="12">AM4</f>
        <v>5</v>
      </c>
      <c r="AX4" s="42">
        <f t="shared" ref="AX4:AX6" si="13">AR4</f>
        <v>10586.24</v>
      </c>
      <c r="AY4" s="39">
        <f t="shared" ref="AY4:AY6" si="14">AU4+AW4</f>
        <v>380</v>
      </c>
      <c r="AZ4" s="43">
        <f>ROUND(((AU4*AV4)+(AW4*AX4))/(AU4+AW4),3)</f>
        <v>3670.799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333.14818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7" t="s">
        <v>156</v>
      </c>
      <c r="C5" s="7" t="s">
        <v>156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IF(OR(DGSUomWIRcSer!$C$2=1,DGSUomWIRcSer!$C$2=4),ROUND((((S5*U5)/100)/2),2),0)</f>
        <v>0</v>
      </c>
      <c r="W5" s="8">
        <f>IF(DGSUomWIRcSer!$C$2=1,ROUND((((S5*U5)/100)/2),2),0)</f>
        <v>0</v>
      </c>
      <c r="X5" s="8">
        <f>IF(DGSUomWIRcSer!$C$2=2,ROUND(((S5*U5)/100),2),0)</f>
        <v>0</v>
      </c>
      <c r="Y5" s="8">
        <f>IF(DGSUomWIRcSer!$C$2=4,ROUND((((S5*U5)/100)/2),2),0)</f>
        <v>0</v>
      </c>
      <c r="Z5" s="8">
        <v>0</v>
      </c>
      <c r="AA5" s="8">
        <f>IF(DGSUomWIRcSer!$C3=3,0,(S5*Z5)/100)</f>
        <v>0</v>
      </c>
      <c r="AB5" s="8">
        <f t="shared" si="6"/>
        <v>0</v>
      </c>
      <c r="AC5" s="8">
        <f>IF(DGSUomWIRcSer!$V3=1,S5+AB5,S5)</f>
        <v>328.47</v>
      </c>
      <c r="AD5" s="26">
        <v>120</v>
      </c>
      <c r="AE5" s="26">
        <f>IF(DGSUomWIRcSer!$P$2=1,(S5/DGSUomWIRcSer!$S$7)*DGSUomWIRcSer!$E$18,AD5/DGSUomWIRcSer!$AD$7*DGSUomWIRcSer!$E$18)</f>
        <v>0</v>
      </c>
      <c r="AF5" s="26"/>
      <c r="AG5" s="26">
        <f>IF(DGSUomWIRcSer!$P$2=1,(S5/DGSUomWIRcSer!$S$7)*DGSUomWIRcSer!$E$20,AD5/DGSUomWIRcSer!$AD$7*DGSUomWIRcSer!$E$20)</f>
        <v>0</v>
      </c>
      <c r="AH5" s="26">
        <f>IF(DGSUomWIRcSer!$P$2=1,(S5/DGSUomWIRcSer!$S$7)*DGSUomWIRcSer!$E$21,AD5/DGSUomWIRcSer!$AD$7*DGSUomWIRcSer!$E$21)</f>
        <v>0</v>
      </c>
      <c r="AI5" s="26">
        <f>S5*DGSUomWIRcSer!$M$2</f>
        <v>27919.95</v>
      </c>
      <c r="AJ5" s="26">
        <f>IF(DGSUomWIRcSer!$C$2=3,0,AG5+AH5)</f>
        <v>0</v>
      </c>
      <c r="AK5" s="26">
        <f>IF(DGSUomWIRcSer!$C$2=3,AE5+AG5+AH5,0)</f>
        <v>0</v>
      </c>
      <c r="AL5" s="34">
        <v>1</v>
      </c>
      <c r="AM5" s="26">
        <f t="shared" si="7"/>
        <v>4</v>
      </c>
      <c r="AN5" s="26">
        <f t="shared" si="8"/>
        <v>6979.9875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6979.9875</v>
      </c>
      <c r="AS5" s="38" t="s">
        <v>80</v>
      </c>
      <c r="AT5" s="39" t="s">
        <v>77</v>
      </c>
      <c r="AU5" t="s">
        <v>94</v>
      </c>
      <c r="AV5" t="s">
        <v>95</v>
      </c>
      <c r="AW5" s="39">
        <f t="shared" si="12"/>
        <v>4</v>
      </c>
      <c r="AX5" s="42">
        <f t="shared" si="13"/>
        <v>6979.9875</v>
      </c>
      <c r="AY5" s="39">
        <f t="shared" si="14"/>
        <v>192</v>
      </c>
      <c r="AZ5" s="42">
        <f>ROUND(((AU5*AV5)+(AW5*AX5))/(AU5+AW5),2)</f>
        <v>2076.95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206.79688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51" t="s">
        <v>157</v>
      </c>
      <c r="C6" s="51" t="s">
        <v>157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IF(OR(DGSUomWIRcSer!$C$2=1,DGSUomWIRcSer!$C$2=4),ROUND((((S6*U6)/100)/2),2),0)</f>
        <v>0</v>
      </c>
      <c r="W6" s="8">
        <f>IF(DGSUomWIRcSer!$C$2=1,ROUND((((S6*U6)/100)/2),2),0)</f>
        <v>0</v>
      </c>
      <c r="X6" s="8">
        <f>IF(DGSUomWIRcSer!$C$2=2,ROUND(((S6*U6)/100),2),0)</f>
        <v>0</v>
      </c>
      <c r="Y6" s="8">
        <f>IF(DGSUomWIRcSer!$C$2=4,ROUND((((S6*U6)/100)/2),2),0)</f>
        <v>0</v>
      </c>
      <c r="Z6" s="8">
        <v>0</v>
      </c>
      <c r="AA6" s="8">
        <f>IF(DGSUomWIRcSer!$C4=3,0,(S6*Z6)/100)</f>
        <v>0</v>
      </c>
      <c r="AB6" s="8">
        <f t="shared" si="6"/>
        <v>0</v>
      </c>
      <c r="AC6" s="8">
        <f>IF(DGSUomWIRcSer!$V4=1,S6+AB6,S6)</f>
        <v>866.02</v>
      </c>
      <c r="AD6" s="26">
        <v>120</v>
      </c>
      <c r="AE6" s="26">
        <f>IF(DGSUomWIRcSer!$P$2=1,(S6/DGSUomWIRcSer!$S$7)*DGSUomWIRcSer!$E$18,AD6/DGSUomWIRcSer!$AD$7*DGSUomWIRcSer!$E$18)</f>
        <v>0</v>
      </c>
      <c r="AF6" s="26"/>
      <c r="AG6" s="26">
        <f>IF(DGSUomWIRcSer!$P$2=1,(S6/DGSUomWIRcSer!$S$7)*DGSUomWIRcSer!$E$20,AD6/DGSUomWIRcSer!$AD$7*DGSUomWIRcSer!$E$20)</f>
        <v>0</v>
      </c>
      <c r="AH6" s="26">
        <f>IF(DGSUomWIRcSer!$P$2=1,(S6/DGSUomWIRcSer!$S$7)*DGSUomWIRcSer!$E$21,AD6/DGSUomWIRcSer!$AD$7*DGSUomWIRcSer!$E$21)</f>
        <v>0</v>
      </c>
      <c r="AI6" s="26">
        <f>S6*DGSUomWIRcSer!$M$2</f>
        <v>73611.7</v>
      </c>
      <c r="AJ6" s="26">
        <f>IF(DGSUomWIRcSer!$C$2=3,0,AG6+AH6)</f>
        <v>0</v>
      </c>
      <c r="AK6" s="26">
        <f>IF(DGSUomWIRcSer!$C$2=3,AE6+AG6+AH6,0)</f>
        <v>0</v>
      </c>
      <c r="AL6" s="34">
        <v>1</v>
      </c>
      <c r="AM6" s="26">
        <f t="shared" si="7"/>
        <v>20</v>
      </c>
      <c r="AN6" s="26">
        <f t="shared" si="8"/>
        <v>3680.585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3680.585</v>
      </c>
      <c r="AS6" s="38" t="s">
        <v>80</v>
      </c>
      <c r="AT6" s="39" t="s">
        <v>77</v>
      </c>
      <c r="AU6" t="s">
        <v>102</v>
      </c>
      <c r="AV6" t="s">
        <v>103</v>
      </c>
      <c r="AW6" s="39">
        <f t="shared" si="12"/>
        <v>20</v>
      </c>
      <c r="AX6" s="39">
        <f t="shared" si="13"/>
        <v>3680.585</v>
      </c>
      <c r="AY6" s="39">
        <f t="shared" si="14"/>
        <v>500</v>
      </c>
      <c r="AZ6" s="39">
        <f>ROUND(((AU6*AV6)+(AW6*AX6))/(AU6+AW6),1)</f>
        <v>1198.5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115.5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C1" workbookViewId="0">
      <selection activeCell="S4" sqref="S4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158</v>
      </c>
      <c r="C4" s="7" t="s">
        <v>158</v>
      </c>
      <c r="D4" s="7" t="s">
        <v>77</v>
      </c>
      <c r="E4" s="7" t="s">
        <v>77</v>
      </c>
      <c r="F4" s="8">
        <v>5</v>
      </c>
      <c r="G4" t="s">
        <v>100</v>
      </c>
      <c r="H4" s="8">
        <f t="shared" ref="H4:H6" si="0">F4*G4</f>
        <v>250</v>
      </c>
      <c r="I4" t="s">
        <v>127</v>
      </c>
      <c r="J4" s="8">
        <v>8</v>
      </c>
      <c r="K4" s="8">
        <v>5</v>
      </c>
      <c r="L4" s="8">
        <f t="shared" ref="L4:L6" si="1">IF(OR(I4=0,I4="0"),0,H4)</f>
        <v>0</v>
      </c>
      <c r="M4" s="8">
        <f>ROUND(L4*I4%,3)</f>
        <v>0</v>
      </c>
      <c r="N4" s="8">
        <f t="shared" ref="N4:N6" si="2">H4-M4</f>
        <v>250</v>
      </c>
      <c r="O4" s="8">
        <f>ROUND(N4*J4%,3)</f>
        <v>20</v>
      </c>
      <c r="P4" s="8">
        <f t="shared" ref="P4:P6" si="3">ROUND(N4-O4,2)</f>
        <v>230</v>
      </c>
      <c r="Q4" s="8">
        <f t="shared" ref="Q4:Q6" si="4">ROUND(P4*K4%,2)</f>
        <v>11.5</v>
      </c>
      <c r="R4" s="26">
        <f>ROUND(M4+O4+Q4,3)</f>
        <v>31.5</v>
      </c>
      <c r="S4" s="8">
        <f>(H4-R4)</f>
        <v>218.5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5">V4+W4+X4+Y4+AA4</f>
        <v>0</v>
      </c>
      <c r="AC4" s="31">
        <f>IF($V2=1,S4+AB4,S4)</f>
        <v>218.5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18572.5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6">F4/AL4</f>
        <v>5</v>
      </c>
      <c r="AN4" s="26">
        <f t="shared" ref="AN4:AN6" si="7">ROUND(AI4/AM4,5)</f>
        <v>3714.5</v>
      </c>
      <c r="AO4" s="26">
        <f t="shared" ref="AO4:AO6" si="8">AJ4/AM4</f>
        <v>0</v>
      </c>
      <c r="AP4" s="26">
        <f t="shared" ref="AP4:AP6" si="9">AK4/AM4</f>
        <v>0</v>
      </c>
      <c r="AQ4" s="26" t="s">
        <v>77</v>
      </c>
      <c r="AR4" s="26">
        <f t="shared" ref="AR4:AR6" si="10">ROUND(AN4+AO4+AP4,5)</f>
        <v>3714.5</v>
      </c>
      <c r="AS4" s="38" t="s">
        <v>80</v>
      </c>
      <c r="AT4" s="39" t="s">
        <v>77</v>
      </c>
      <c r="AU4" t="s">
        <v>81</v>
      </c>
      <c r="AV4" t="s">
        <v>82</v>
      </c>
      <c r="AW4" s="39">
        <f t="shared" ref="AW4:AW6" si="11">AM4</f>
        <v>5</v>
      </c>
      <c r="AX4" s="42">
        <f t="shared" ref="AX4:AX6" si="12">AR4</f>
        <v>3714.5</v>
      </c>
      <c r="AY4" s="39">
        <f t="shared" ref="AY4:AY6" si="13">AU4+AW4</f>
        <v>380</v>
      </c>
      <c r="AZ4" s="43">
        <f>ROUND(((AU4*AV4)+(AW4*AX4))/(AU4+AW4),3)</f>
        <v>3580.381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4">ROUND((((AW4*AZ4)+(BN4*BM4))/(AW4+BN4)),5)</f>
        <v>327.82947</v>
      </c>
      <c r="BP4" s="48">
        <f t="shared" ref="BP4:BP6" si="15">ROUND(BN4+AW4,3)</f>
        <v>85</v>
      </c>
      <c r="BQ4" s="49">
        <v>123562</v>
      </c>
    </row>
    <row r="5" ht="15.15" spans="1:69">
      <c r="A5" s="7">
        <v>1</v>
      </c>
      <c r="B5" s="7" t="s">
        <v>159</v>
      </c>
      <c r="C5" s="7" t="s">
        <v>159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ref="S4:S6" si="16">(H5-R5)</f>
        <v>328.47</v>
      </c>
      <c r="T5" s="8">
        <v>88363222</v>
      </c>
      <c r="U5" s="8">
        <v>18</v>
      </c>
      <c r="V5" s="8">
        <f>IF(OR(DGSUomWIPlSer!$C$2=1,DGSUomWIPlSer!$C$2=4),ROUND((((S5*U5)/100)/2),2),0)</f>
        <v>0</v>
      </c>
      <c r="W5" s="8">
        <f>IF(DGSUomWIPlSer!$C$2=1,ROUND((((S5*U5)/100)/2),2),0)</f>
        <v>0</v>
      </c>
      <c r="X5" s="8">
        <f>IF(DGSUomWIPlSer!$C$2=2,ROUND(((S5*U5)/100),2),0)</f>
        <v>0</v>
      </c>
      <c r="Y5" s="8">
        <f>IF(DGSUomWIPlSer!$C$2=4,ROUND((((S5*U5)/100)/2),2),0)</f>
        <v>0</v>
      </c>
      <c r="Z5" s="8">
        <v>0</v>
      </c>
      <c r="AA5" s="8">
        <f>IF(DGSUomWIPlSer!$C3=3,0,(S5*Z5)/100)</f>
        <v>0</v>
      </c>
      <c r="AB5" s="8">
        <f t="shared" si="5"/>
        <v>0</v>
      </c>
      <c r="AC5" s="8">
        <f>IF(DGSUomWIPlSer!$V3=1,S5+AB5,S5)</f>
        <v>328.47</v>
      </c>
      <c r="AD5" s="26">
        <v>120</v>
      </c>
      <c r="AE5" s="26">
        <f>IF(DGSUomWIPlSer!$P$2=1,(S5/DGSUomWIPlSer!$S$7)*DGSUomWIPlSer!$E$18,AD5/DGSUomWIPlSer!$AD$7*DGSUomWIPlSer!$E$18)</f>
        <v>0</v>
      </c>
      <c r="AF5" s="26"/>
      <c r="AG5" s="26">
        <f>IF(DGSUomWIPlSer!$P$2=1,(S5/DGSUomWIPlSer!$S$7)*DGSUomWIPlSer!$E$20,AD5/DGSUomWIPlSer!$AD$7*DGSUomWIPlSer!$E$20)</f>
        <v>0</v>
      </c>
      <c r="AH5" s="26">
        <f>IF(DGSUomWIPlSer!$P$2=1,(S5/DGSUomWIPlSer!$S$7)*DGSUomWIPlSer!$E$21,AD5/DGSUomWIPlSer!$AD$7*DGSUomWIPlSer!$E$21)</f>
        <v>0</v>
      </c>
      <c r="AI5" s="26">
        <f>S5*DGSUomWIPlSer!$M$2</f>
        <v>27919.95</v>
      </c>
      <c r="AJ5" s="26">
        <f>IF(DGSUomWIPlSer!$C$2=3,0,AG5+AH5)</f>
        <v>0</v>
      </c>
      <c r="AK5" s="26">
        <f>IF(DGSUomWIPlSer!$C$2=3,AE5+AG5+AH5,0)</f>
        <v>0</v>
      </c>
      <c r="AL5" s="34">
        <v>1</v>
      </c>
      <c r="AM5" s="26">
        <f t="shared" si="6"/>
        <v>4</v>
      </c>
      <c r="AN5" s="26">
        <f t="shared" si="7"/>
        <v>6979.9875</v>
      </c>
      <c r="AO5" s="26">
        <f t="shared" si="8"/>
        <v>0</v>
      </c>
      <c r="AP5" s="26">
        <f t="shared" si="9"/>
        <v>0</v>
      </c>
      <c r="AQ5" s="26" t="s">
        <v>77</v>
      </c>
      <c r="AR5" s="26">
        <f t="shared" si="10"/>
        <v>6979.9875</v>
      </c>
      <c r="AS5" s="38" t="s">
        <v>80</v>
      </c>
      <c r="AT5" s="39" t="s">
        <v>77</v>
      </c>
      <c r="AU5" t="s">
        <v>94</v>
      </c>
      <c r="AV5" t="s">
        <v>95</v>
      </c>
      <c r="AW5" s="39">
        <f t="shared" si="11"/>
        <v>4</v>
      </c>
      <c r="AX5" s="42">
        <f t="shared" si="12"/>
        <v>6979.9875</v>
      </c>
      <c r="AY5" s="39">
        <f t="shared" si="13"/>
        <v>192</v>
      </c>
      <c r="AZ5" s="42">
        <f>ROUND(((AU5*AV5)+(AW5*AX5))/(AU5+AW5),2)</f>
        <v>2076.95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4"/>
        <v>206.79688</v>
      </c>
      <c r="BP5" s="48">
        <f t="shared" si="15"/>
        <v>64</v>
      </c>
      <c r="BQ5" s="49">
        <v>123562</v>
      </c>
    </row>
    <row r="6" ht="15.15" spans="1:69">
      <c r="A6" s="7">
        <v>1</v>
      </c>
      <c r="B6" s="50" t="s">
        <v>160</v>
      </c>
      <c r="C6" s="51" t="s">
        <v>160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16"/>
        <v>866.02</v>
      </c>
      <c r="T6" s="8">
        <v>88363222</v>
      </c>
      <c r="U6" s="8">
        <v>18</v>
      </c>
      <c r="V6" s="8">
        <f>IF(OR(DGSUomWIPlSer!$C$2=1,DGSUomWIPlSer!$C$2=4),ROUND((((S6*U6)/100)/2),2),0)</f>
        <v>0</v>
      </c>
      <c r="W6" s="8">
        <f>IF(DGSUomWIPlSer!$C$2=1,ROUND((((S6*U6)/100)/2),2),0)</f>
        <v>0</v>
      </c>
      <c r="X6" s="8">
        <f>IF(DGSUomWIPlSer!$C$2=2,ROUND(((S6*U6)/100),2),0)</f>
        <v>0</v>
      </c>
      <c r="Y6" s="8">
        <f>IF(DGSUomWIPlSer!$C$2=4,ROUND((((S6*U6)/100)/2),2),0)</f>
        <v>0</v>
      </c>
      <c r="Z6" s="8">
        <v>0</v>
      </c>
      <c r="AA6" s="8">
        <f>IF(DGSUomWIPlSer!$C4=3,0,(S6*Z6)/100)</f>
        <v>0</v>
      </c>
      <c r="AB6" s="8">
        <f t="shared" si="5"/>
        <v>0</v>
      </c>
      <c r="AC6" s="8">
        <f>IF(DGSUomWIPlSer!$V4=1,S6+AB6,S6)</f>
        <v>866.02</v>
      </c>
      <c r="AD6" s="26">
        <v>120</v>
      </c>
      <c r="AE6" s="26">
        <f>IF(DGSUomWIPlSer!$P$2=1,(S6/DGSUomWIPlSer!$S$7)*DGSUomWIPlSer!$E$18,AD6/DGSUomWIPlSer!$AD$7*DGSUomWIPlSer!$E$18)</f>
        <v>0</v>
      </c>
      <c r="AF6" s="26"/>
      <c r="AG6" s="26">
        <f>IF(DGSUomWIPlSer!$P$2=1,(S6/DGSUomWIPlSer!$S$7)*DGSUomWIPlSer!$E$20,AD6/DGSUomWIPlSer!$AD$7*DGSUomWIPlSer!$E$20)</f>
        <v>0</v>
      </c>
      <c r="AH6" s="26">
        <f>IF(DGSUomWIPlSer!$P$2=1,(S6/DGSUomWIPlSer!$S$7)*DGSUomWIPlSer!$E$21,AD6/DGSUomWIPlSer!$AD$7*DGSUomWIPlSer!$E$21)</f>
        <v>0</v>
      </c>
      <c r="AI6" s="26">
        <f>S6*DGSUomWIPlSer!$M$2</f>
        <v>73611.7</v>
      </c>
      <c r="AJ6" s="26">
        <f>IF(DGSUomWIPlSer!$C$2=3,0,AG6+AH6)</f>
        <v>0</v>
      </c>
      <c r="AK6" s="26">
        <f>IF(DGSUomWIPlSer!$C$2=3,AE6+AG6+AH6,0)</f>
        <v>0</v>
      </c>
      <c r="AL6" s="34">
        <v>1</v>
      </c>
      <c r="AM6" s="26">
        <f t="shared" si="6"/>
        <v>20</v>
      </c>
      <c r="AN6" s="26">
        <f t="shared" si="7"/>
        <v>3680.585</v>
      </c>
      <c r="AO6" s="26">
        <f t="shared" si="8"/>
        <v>0</v>
      </c>
      <c r="AP6" s="26">
        <f t="shared" si="9"/>
        <v>0</v>
      </c>
      <c r="AQ6" s="26" t="s">
        <v>77</v>
      </c>
      <c r="AR6" s="26">
        <f t="shared" si="10"/>
        <v>3680.585</v>
      </c>
      <c r="AS6" s="38" t="s">
        <v>80</v>
      </c>
      <c r="AT6" s="39" t="s">
        <v>77</v>
      </c>
      <c r="AU6" t="s">
        <v>102</v>
      </c>
      <c r="AV6" t="s">
        <v>103</v>
      </c>
      <c r="AW6" s="39">
        <f t="shared" si="11"/>
        <v>20</v>
      </c>
      <c r="AX6" s="39">
        <f t="shared" si="12"/>
        <v>3680.585</v>
      </c>
      <c r="AY6" s="39">
        <f t="shared" si="13"/>
        <v>500</v>
      </c>
      <c r="AZ6" s="39">
        <f>ROUND(((AU6*AV6)+(AW6*AX6))/(AU6+AW6),1)</f>
        <v>1198.5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4"/>
        <v>115.5</v>
      </c>
      <c r="BP6" s="48">
        <f t="shared" si="15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31.5</v>
      </c>
      <c r="S7" s="13">
        <f t="shared" si="17"/>
        <v>218.5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218.5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18572.5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31.5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218.5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218.5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abSelected="1" workbookViewId="0">
      <selection activeCell="C13" sqref="C13"/>
    </sheetView>
  </sheetViews>
  <sheetFormatPr defaultColWidth="8.85185185185185" defaultRowHeight="14.4"/>
  <cols>
    <col min="2" max="2" width="28" customWidth="1"/>
    <col min="3" max="3" width="27.1388888888889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52" t="s">
        <v>161</v>
      </c>
      <c r="C4" s="52" t="s">
        <v>162</v>
      </c>
      <c r="D4" s="7" t="s">
        <v>77</v>
      </c>
      <c r="E4" s="7" t="s">
        <v>77</v>
      </c>
      <c r="F4" s="8">
        <v>5</v>
      </c>
      <c r="G4">
        <v>150</v>
      </c>
      <c r="H4" s="8">
        <f t="shared" ref="H4:H6" si="0">F4*G4</f>
        <v>750</v>
      </c>
      <c r="I4">
        <v>5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8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10586.24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10586.24</v>
      </c>
      <c r="AS4" s="38" t="s">
        <v>80</v>
      </c>
      <c r="AT4" s="39" t="s">
        <v>77</v>
      </c>
      <c r="AU4" t="s">
        <v>81</v>
      </c>
      <c r="AV4" t="s">
        <v>82</v>
      </c>
      <c r="AW4" s="39">
        <f t="shared" ref="AW4:AW6" si="12">AM4</f>
        <v>5</v>
      </c>
      <c r="AX4" s="42">
        <f t="shared" ref="AX4:AX6" si="13">AR4</f>
        <v>10586.24</v>
      </c>
      <c r="AY4" s="39">
        <f t="shared" ref="AY4:AY6" si="14">AU4+AW4</f>
        <v>380</v>
      </c>
      <c r="AZ4" s="43">
        <f>ROUND(((AU4*AV4)+(AW4*AX4))/(AU4+AW4),3)</f>
        <v>3670.799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333.14818</v>
      </c>
      <c r="BP4" s="48">
        <f t="shared" ref="BP4:BP6" si="16">ROUND(BN4+AW4,3)</f>
        <v>85</v>
      </c>
      <c r="BQ4" s="49">
        <v>123562</v>
      </c>
    </row>
    <row r="5" spans="1:69">
      <c r="A5" s="7">
        <v>1</v>
      </c>
      <c r="B5" s="52" t="s">
        <v>163</v>
      </c>
      <c r="C5" s="52" t="s">
        <v>164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IF(OR(DGSUomWoQWIPlSer!$C$2=1,DGSUomWoQWIPlSer!$C$2=4),ROUND((((S5*U5)/100)/2),2),0)</f>
        <v>0</v>
      </c>
      <c r="W5" s="8">
        <f>IF(DGSUomWoQWIPlSer!$C$2=1,ROUND((((S5*U5)/100)/2),2),0)</f>
        <v>0</v>
      </c>
      <c r="X5" s="8">
        <f>IF(DGSUomWoQWIPlSer!$C$2=2,ROUND(((S5*U5)/100),2),0)</f>
        <v>0</v>
      </c>
      <c r="Y5" s="8">
        <f>IF(DGSUomWoQWIPlSer!$C$2=4,ROUND((((S5*U5)/100)/2),2),0)</f>
        <v>0</v>
      </c>
      <c r="Z5" s="8">
        <v>0</v>
      </c>
      <c r="AA5" s="8">
        <f>IF(DGSUomWoQWIPlSer!$C3=3,0,(S5*Z5)/100)</f>
        <v>0</v>
      </c>
      <c r="AB5" s="8">
        <f t="shared" si="6"/>
        <v>0</v>
      </c>
      <c r="AC5" s="8">
        <f>IF(DGSUomWoQWIPlSer!$V3=1,S5+AB5,S5)</f>
        <v>328.47</v>
      </c>
      <c r="AD5" s="26">
        <v>120</v>
      </c>
      <c r="AE5" s="26">
        <f>IF(DGSUomWoQWIPlSer!$P$2=1,(S5/DGSUomWoQWIPlSer!$S$7)*DGSUomWoQWIPlSer!$E$18,AD5/DGSUomWoQWIPlSer!$AD$7*DGSUomWoQWIPlSer!$E$18)</f>
        <v>0</v>
      </c>
      <c r="AF5" s="26"/>
      <c r="AG5" s="26">
        <f>IF(DGSUomWoQWIPlSer!$P$2=1,(S5/DGSUomWoQWIPlSer!$S$7)*DGSUomWoQWIPlSer!$E$20,AD5/DGSUomWoQWIPlSer!$AD$7*DGSUomWoQWIPlSer!$E$20)</f>
        <v>0</v>
      </c>
      <c r="AH5" s="26">
        <f>IF(DGSUomWoQWIPlSer!$P$2=1,(S5/DGSUomWoQWIPlSer!$S$7)*DGSUomWoQWIPlSer!$E$21,AD5/DGSUomWoQWIPlSer!$AD$7*DGSUomWoQWIPlSer!$E$21)</f>
        <v>0</v>
      </c>
      <c r="AI5" s="26">
        <f>S5*DGSUomWoQWIPlSer!$M$2</f>
        <v>27919.95</v>
      </c>
      <c r="AJ5" s="26">
        <f>IF(DGSUomWoQWIPlSer!$C$2=3,0,AG5+AH5)</f>
        <v>0</v>
      </c>
      <c r="AK5" s="26">
        <f>IF(DGSUomWoQWIPlSer!$C$2=3,AE5+AG5+AH5,0)</f>
        <v>0</v>
      </c>
      <c r="AL5" s="34">
        <v>1</v>
      </c>
      <c r="AM5" s="26">
        <f t="shared" si="7"/>
        <v>4</v>
      </c>
      <c r="AN5" s="26">
        <f t="shared" si="8"/>
        <v>6979.9875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6979.9875</v>
      </c>
      <c r="AS5" s="38" t="s">
        <v>80</v>
      </c>
      <c r="AT5" s="39" t="s">
        <v>77</v>
      </c>
      <c r="AU5" t="s">
        <v>94</v>
      </c>
      <c r="AV5" t="s">
        <v>95</v>
      </c>
      <c r="AW5" s="39">
        <f t="shared" si="12"/>
        <v>4</v>
      </c>
      <c r="AX5" s="42">
        <f t="shared" si="13"/>
        <v>6979.9875</v>
      </c>
      <c r="AY5" s="39">
        <f t="shared" si="14"/>
        <v>192</v>
      </c>
      <c r="AZ5" s="42">
        <f>ROUND(((AU5*AV5)+(AW5*AX5))/(AU5+AW5),2)</f>
        <v>2076.95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206.79688</v>
      </c>
      <c r="BP5" s="48">
        <f t="shared" si="16"/>
        <v>64</v>
      </c>
      <c r="BQ5" s="49">
        <v>123562</v>
      </c>
    </row>
    <row r="6" spans="1:69">
      <c r="A6" s="7">
        <v>1</v>
      </c>
      <c r="B6" s="53" t="s">
        <v>165</v>
      </c>
      <c r="C6" s="54" t="s">
        <v>166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IF(OR(DGSUomWoQWIPlSer!$C$2=1,DGSUomWoQWIPlSer!$C$2=4),ROUND((((S6*U6)/100)/2),2),0)</f>
        <v>0</v>
      </c>
      <c r="W6" s="8">
        <f>IF(DGSUomWoQWIPlSer!$C$2=1,ROUND((((S6*U6)/100)/2),2),0)</f>
        <v>0</v>
      </c>
      <c r="X6" s="8">
        <f>IF(DGSUomWoQWIPlSer!$C$2=2,ROUND(((S6*U6)/100),2),0)</f>
        <v>0</v>
      </c>
      <c r="Y6" s="8">
        <f>IF(DGSUomWoQWIPlSer!$C$2=4,ROUND((((S6*U6)/100)/2),2),0)</f>
        <v>0</v>
      </c>
      <c r="Z6" s="8">
        <v>0</v>
      </c>
      <c r="AA6" s="8">
        <f>IF(DGSUomWoQWIPlSer!$C4=3,0,(S6*Z6)/100)</f>
        <v>0</v>
      </c>
      <c r="AB6" s="8">
        <f t="shared" si="6"/>
        <v>0</v>
      </c>
      <c r="AC6" s="8">
        <f>IF(DGSUomWoQWIPlSer!$V4=1,S6+AB6,S6)</f>
        <v>866.02</v>
      </c>
      <c r="AD6" s="26">
        <v>120</v>
      </c>
      <c r="AE6" s="26">
        <f>IF(DGSUomWoQWIPlSer!$P$2=1,(S6/DGSUomWoQWIPlSer!$S$7)*DGSUomWoQWIPlSer!$E$18,AD6/DGSUomWoQWIPlSer!$AD$7*DGSUomWoQWIPlSer!$E$18)</f>
        <v>0</v>
      </c>
      <c r="AF6" s="26"/>
      <c r="AG6" s="26">
        <f>IF(DGSUomWoQWIPlSer!$P$2=1,(S6/DGSUomWoQWIPlSer!$S$7)*DGSUomWoQWIPlSer!$E$20,AD6/DGSUomWoQWIPlSer!$AD$7*DGSUomWoQWIPlSer!$E$20)</f>
        <v>0</v>
      </c>
      <c r="AH6" s="26">
        <f>IF(DGSUomWoQWIPlSer!$P$2=1,(S6/DGSUomWoQWIPlSer!$S$7)*DGSUomWoQWIPlSer!$E$21,AD6/DGSUomWoQWIPlSer!$AD$7*DGSUomWoQWIPlSer!$E$21)</f>
        <v>0</v>
      </c>
      <c r="AI6" s="26">
        <f>S6*DGSUomWoQWIPlSer!$M$2</f>
        <v>73611.7</v>
      </c>
      <c r="AJ6" s="26">
        <f>IF(DGSUomWoQWIPlSer!$C$2=3,0,AG6+AH6)</f>
        <v>0</v>
      </c>
      <c r="AK6" s="26">
        <f>IF(DGSUomWoQWIPlSer!$C$2=3,AE6+AG6+AH6,0)</f>
        <v>0</v>
      </c>
      <c r="AL6" s="34">
        <v>1</v>
      </c>
      <c r="AM6" s="26">
        <f t="shared" si="7"/>
        <v>20</v>
      </c>
      <c r="AN6" s="26">
        <f t="shared" si="8"/>
        <v>3680.585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3680.585</v>
      </c>
      <c r="AS6" s="38" t="s">
        <v>80</v>
      </c>
      <c r="AT6" s="39" t="s">
        <v>77</v>
      </c>
      <c r="AU6" t="s">
        <v>102</v>
      </c>
      <c r="AV6" t="s">
        <v>103</v>
      </c>
      <c r="AW6" s="39">
        <f t="shared" si="12"/>
        <v>20</v>
      </c>
      <c r="AX6" s="39">
        <f t="shared" si="13"/>
        <v>3680.585</v>
      </c>
      <c r="AY6" s="39">
        <f t="shared" si="14"/>
        <v>500</v>
      </c>
      <c r="AZ6" s="39">
        <f>ROUND(((AU6*AV6)+(AW6*AX6))/(AU6+AW6),1)</f>
        <v>1198.5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115.5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C21" sqref="C21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167</v>
      </c>
      <c r="C4" s="7" t="s">
        <v>167</v>
      </c>
      <c r="D4" s="7" t="s">
        <v>77</v>
      </c>
      <c r="E4" s="7" t="s">
        <v>77</v>
      </c>
      <c r="F4" s="8">
        <v>5</v>
      </c>
      <c r="G4" t="s">
        <v>100</v>
      </c>
      <c r="H4" s="8">
        <f t="shared" ref="H4:H6" si="0">F4*G4</f>
        <v>250</v>
      </c>
      <c r="I4" t="s">
        <v>79</v>
      </c>
      <c r="J4" s="8">
        <v>8</v>
      </c>
      <c r="K4" s="8">
        <v>5</v>
      </c>
      <c r="L4" s="8">
        <f t="shared" ref="L4:L6" si="1">IF(OR(I4=0,I4="0"),0,H4)</f>
        <v>250</v>
      </c>
      <c r="M4" s="8">
        <f>ROUND(L4*I4%,3)</f>
        <v>12.5</v>
      </c>
      <c r="N4" s="8">
        <f t="shared" ref="N4:N6" si="2">H4-M4</f>
        <v>237.5</v>
      </c>
      <c r="O4" s="8">
        <f>ROUND(N4*J4%,3)</f>
        <v>19</v>
      </c>
      <c r="P4" s="8">
        <f t="shared" ref="P4:P6" si="3">ROUND(N4-O4,2)</f>
        <v>218.5</v>
      </c>
      <c r="Q4" s="8">
        <f t="shared" ref="Q4:Q6" si="4">ROUND(P4*K4%,2)</f>
        <v>10.93</v>
      </c>
      <c r="R4" s="26">
        <f>ROUND(M4+O4+Q4,3)</f>
        <v>42.43</v>
      </c>
      <c r="S4" s="26">
        <f t="shared" ref="S4:S6" si="5">(H4-R4)</f>
        <v>207.57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207.57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17643.45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3528.69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3528.69</v>
      </c>
      <c r="AS4" s="38" t="s">
        <v>80</v>
      </c>
      <c r="AT4" s="39" t="s">
        <v>77</v>
      </c>
      <c r="AU4" t="s">
        <v>168</v>
      </c>
      <c r="AV4" t="s">
        <v>169</v>
      </c>
      <c r="AW4" s="39">
        <f t="shared" ref="AW4:AW6" si="12">AM4</f>
        <v>5</v>
      </c>
      <c r="AX4" s="42">
        <f t="shared" ref="AX4:AX6" si="13">AR4</f>
        <v>3528.69</v>
      </c>
      <c r="AY4" s="39">
        <f t="shared" ref="AY4:AY6" si="14">AU4+AW4</f>
        <v>380</v>
      </c>
      <c r="AZ4" s="43">
        <f>ROUND(((AU4*AV4)+(AW4*AX4))/(AU4+AW4),3)</f>
        <v>3577.936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327.68565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7" t="s">
        <v>170</v>
      </c>
      <c r="C5" s="7" t="s">
        <v>170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171</v>
      </c>
      <c r="J5" s="8">
        <v>9</v>
      </c>
      <c r="K5" s="8">
        <v>6</v>
      </c>
      <c r="L5" s="8">
        <f t="shared" si="1"/>
        <v>400</v>
      </c>
      <c r="M5" s="8">
        <f>ROUND(L5*I5%,2)</f>
        <v>24</v>
      </c>
      <c r="N5" s="8">
        <f t="shared" si="2"/>
        <v>376</v>
      </c>
      <c r="O5" s="8">
        <f>ROUND(N5*J5%,2)</f>
        <v>33.84</v>
      </c>
      <c r="P5" s="8">
        <f t="shared" si="3"/>
        <v>342.16</v>
      </c>
      <c r="Q5" s="8">
        <f t="shared" si="4"/>
        <v>20.53</v>
      </c>
      <c r="R5" s="8">
        <f>M5+O5+Q5</f>
        <v>78.37</v>
      </c>
      <c r="S5" s="8">
        <f t="shared" si="5"/>
        <v>321.63</v>
      </c>
      <c r="T5" s="8">
        <v>88363222</v>
      </c>
      <c r="U5" s="8">
        <v>18</v>
      </c>
      <c r="V5" s="8">
        <f>IF(OR(DGSUomWIRcImp!$C$2=1,DGSUomWIRcImp!$C$2=4),ROUND((((S5*U5)/100)/2),2),0)</f>
        <v>0</v>
      </c>
      <c r="W5" s="8">
        <f>IF(DGSUomWIRcImp!$C$2=1,ROUND((((S5*U5)/100)/2),2),0)</f>
        <v>0</v>
      </c>
      <c r="X5" s="8">
        <f>IF(DGSUomWIRcImp!$C$2=2,ROUND(((S5*U5)/100),2),0)</f>
        <v>0</v>
      </c>
      <c r="Y5" s="8">
        <f>IF(DGSUomWIRcImp!$C$2=4,ROUND((((S5*U5)/100)/2),2),0)</f>
        <v>0</v>
      </c>
      <c r="Z5" s="8">
        <v>0</v>
      </c>
      <c r="AA5" s="8">
        <f>IF(DGSUomWIRcImp!$C3=3,0,(S5*Z5)/100)</f>
        <v>0</v>
      </c>
      <c r="AB5" s="8">
        <f t="shared" si="6"/>
        <v>0</v>
      </c>
      <c r="AC5" s="8">
        <f>IF(DGSUomWIRcImp!$V3=1,S5+AB5,S5)</f>
        <v>321.63</v>
      </c>
      <c r="AD5" s="26">
        <v>120</v>
      </c>
      <c r="AE5" s="26">
        <f>IF(DGSUomWIRcImp!$P$2=1,(S5/DGSUomWIRcImp!$S$7)*DGSUomWIRcImp!$E$18,AD5/DGSUomWIRcImp!$AD$7*DGSUomWIRcImp!$E$18)</f>
        <v>0</v>
      </c>
      <c r="AF5" s="26"/>
      <c r="AG5" s="26">
        <f>IF(DGSUomWIRcImp!$P$2=1,(S5/DGSUomWIRcImp!$S$7)*DGSUomWIRcImp!$E$20,AD5/DGSUomWIRcImp!$AD$7*DGSUomWIRcImp!$E$20)</f>
        <v>0</v>
      </c>
      <c r="AH5" s="26">
        <f>IF(DGSUomWIRcImp!$P$2=1,(S5/DGSUomWIRcImp!$S$7)*DGSUomWIRcImp!$E$21,AD5/DGSUomWIRcImp!$AD$7*DGSUomWIRcImp!$E$21)</f>
        <v>0</v>
      </c>
      <c r="AI5" s="26">
        <f>S5*DGSUomWIRcImp!$M$2</f>
        <v>27338.55</v>
      </c>
      <c r="AJ5" s="26">
        <f>IF(DGSUomWIRcImp!$C$2=3,0,AG5+AH5)</f>
        <v>0</v>
      </c>
      <c r="AK5" s="26">
        <f>IF(DGSUomWIRcImp!$C$2=3,AE5+AG5+AH5,0)</f>
        <v>0</v>
      </c>
      <c r="AL5" s="34">
        <v>1</v>
      </c>
      <c r="AM5" s="26">
        <f t="shared" si="7"/>
        <v>4</v>
      </c>
      <c r="AN5" s="26">
        <f t="shared" si="8"/>
        <v>6834.6375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6834.6375</v>
      </c>
      <c r="AS5" s="38" t="s">
        <v>80</v>
      </c>
      <c r="AT5" s="39" t="s">
        <v>77</v>
      </c>
      <c r="AU5" t="s">
        <v>172</v>
      </c>
      <c r="AV5" t="s">
        <v>173</v>
      </c>
      <c r="AW5" s="39">
        <f t="shared" si="12"/>
        <v>4</v>
      </c>
      <c r="AX5" s="42">
        <f t="shared" si="13"/>
        <v>6834.6375</v>
      </c>
      <c r="AY5" s="39">
        <f t="shared" si="14"/>
        <v>192</v>
      </c>
      <c r="AZ5" s="42">
        <f>ROUND(((AU5*AV5)+(AW5*AX5))/(AU5+AW5),2)</f>
        <v>2073.92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206.6075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7" t="s">
        <v>174</v>
      </c>
      <c r="C6" s="7" t="s">
        <v>174</v>
      </c>
      <c r="D6" s="7" t="s">
        <v>77</v>
      </c>
      <c r="E6" s="7" t="s">
        <v>77</v>
      </c>
      <c r="F6" s="8">
        <v>20</v>
      </c>
      <c r="G6" t="s">
        <v>78</v>
      </c>
      <c r="H6" s="8">
        <f t="shared" si="0"/>
        <v>3000</v>
      </c>
      <c r="I6" t="s">
        <v>175</v>
      </c>
      <c r="J6" s="8">
        <v>7</v>
      </c>
      <c r="K6" s="8">
        <v>4</v>
      </c>
      <c r="L6" s="8">
        <f t="shared" si="1"/>
        <v>3000</v>
      </c>
      <c r="M6" s="8">
        <f>ROUND(L6*I6%,2)</f>
        <v>90</v>
      </c>
      <c r="N6" s="8">
        <f t="shared" si="2"/>
        <v>2910</v>
      </c>
      <c r="O6" s="8">
        <f>ROUND(N6*J6%,2)</f>
        <v>203.7</v>
      </c>
      <c r="P6" s="8">
        <f t="shared" si="3"/>
        <v>2706.3</v>
      </c>
      <c r="Q6" s="8">
        <f t="shared" si="4"/>
        <v>108.25</v>
      </c>
      <c r="R6" s="8">
        <f>M6+O6+Q6</f>
        <v>401.95</v>
      </c>
      <c r="S6" s="8">
        <f t="shared" si="5"/>
        <v>2598.05</v>
      </c>
      <c r="T6" s="8">
        <v>88363222</v>
      </c>
      <c r="U6" s="8">
        <v>18</v>
      </c>
      <c r="V6" s="8">
        <f>IF(OR(DGSUomWIRcImp!$C$2=1,DGSUomWIRcImp!$C$2=4),ROUND((((S6*U6)/100)/2),2),0)</f>
        <v>0</v>
      </c>
      <c r="W6" s="8">
        <f>IF(DGSUomWIRcImp!$C$2=1,ROUND((((S6*U6)/100)/2),2),0)</f>
        <v>0</v>
      </c>
      <c r="X6" s="8">
        <f>IF(DGSUomWIRcImp!$C$2=2,ROUND(((S6*U6)/100),2),0)</f>
        <v>0</v>
      </c>
      <c r="Y6" s="8">
        <f>IF(DGSUomWIRcImp!$C$2=4,ROUND((((S6*U6)/100)/2),2),0)</f>
        <v>0</v>
      </c>
      <c r="Z6" s="8">
        <v>0</v>
      </c>
      <c r="AA6" s="8">
        <f>IF(DGSUomWIRcImp!$C4=3,0,(S6*Z6)/100)</f>
        <v>0</v>
      </c>
      <c r="AB6" s="8">
        <f t="shared" si="6"/>
        <v>0</v>
      </c>
      <c r="AC6" s="8">
        <f>IF(DGSUomWIRcImp!$V4=1,S6+AB6,S6)</f>
        <v>2598.05</v>
      </c>
      <c r="AD6" s="26">
        <v>120</v>
      </c>
      <c r="AE6" s="26">
        <f>IF(DGSUomWIRcImp!$P$2=1,(S6/DGSUomWIRcImp!$S$7)*DGSUomWIRcImp!$E$18,AD6/DGSUomWIRcImp!$AD$7*DGSUomWIRcImp!$E$18)</f>
        <v>0</v>
      </c>
      <c r="AF6" s="26"/>
      <c r="AG6" s="26">
        <f>IF(DGSUomWIRcImp!$P$2=1,(S6/DGSUomWIRcImp!$S$7)*DGSUomWIRcImp!$E$20,AD6/DGSUomWIRcImp!$AD$7*DGSUomWIRcImp!$E$20)</f>
        <v>0</v>
      </c>
      <c r="AH6" s="26">
        <f>IF(DGSUomWIRcImp!$P$2=1,(S6/DGSUomWIRcImp!$S$7)*DGSUomWIRcImp!$E$21,AD6/DGSUomWIRcImp!$AD$7*DGSUomWIRcImp!$E$21)</f>
        <v>0</v>
      </c>
      <c r="AI6" s="26">
        <f>S6*DGSUomWIRcImp!$M$2</f>
        <v>220834.25</v>
      </c>
      <c r="AJ6" s="26">
        <f>IF(DGSUomWIRcImp!$C$2=3,0,AG6+AH6)</f>
        <v>0</v>
      </c>
      <c r="AK6" s="26">
        <f>IF(DGSUomWIRcImp!$C$2=3,AE6+AG6+AH6,0)</f>
        <v>0</v>
      </c>
      <c r="AL6" s="34">
        <v>1</v>
      </c>
      <c r="AM6" s="26">
        <f t="shared" si="7"/>
        <v>20</v>
      </c>
      <c r="AN6" s="26">
        <f t="shared" si="8"/>
        <v>11041.7125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11041.7125</v>
      </c>
      <c r="AS6" s="38" t="s">
        <v>80</v>
      </c>
      <c r="AT6" s="39" t="s">
        <v>77</v>
      </c>
      <c r="AU6" t="s">
        <v>176</v>
      </c>
      <c r="AV6" t="s">
        <v>177</v>
      </c>
      <c r="AW6" s="39">
        <f t="shared" si="12"/>
        <v>20</v>
      </c>
      <c r="AX6" s="39">
        <f t="shared" si="13"/>
        <v>11041.7125</v>
      </c>
      <c r="AY6" s="39">
        <f t="shared" si="14"/>
        <v>500</v>
      </c>
      <c r="AZ6" s="39">
        <f>ROUND(((AU6*AV6)+(AW6*AX6))/(AU6+AW6),1)</f>
        <v>1493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133.90625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42.43</v>
      </c>
      <c r="S7" s="13">
        <f t="shared" si="17"/>
        <v>207.57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207.57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17643.45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42.43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207.57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207.57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S9" sqref="S9"/>
    </sheetView>
  </sheetViews>
  <sheetFormatPr defaultColWidth="8.85185185185185" defaultRowHeight="14.4"/>
  <cols>
    <col min="2" max="2" width="28" customWidth="1"/>
    <col min="3" max="3" width="23" customWidth="1"/>
    <col min="12" max="12" width="14.287037037037" customWidth="1"/>
    <col min="13" max="13" width="9.42592592592593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178</v>
      </c>
      <c r="C4" s="7" t="s">
        <v>178</v>
      </c>
      <c r="D4" s="7" t="s">
        <v>77</v>
      </c>
      <c r="E4" s="7" t="s">
        <v>77</v>
      </c>
      <c r="F4" s="8">
        <v>5</v>
      </c>
      <c r="G4" t="s">
        <v>100</v>
      </c>
      <c r="H4" s="8">
        <f t="shared" ref="H4:H6" si="0">F4*G4</f>
        <v>250</v>
      </c>
      <c r="I4" t="s">
        <v>127</v>
      </c>
      <c r="J4" s="8">
        <v>8</v>
      </c>
      <c r="K4" s="8">
        <v>5</v>
      </c>
      <c r="L4" s="8">
        <f t="shared" ref="L4:L6" si="1">IF(OR(I4=0,I4="0"),0,H4)</f>
        <v>0</v>
      </c>
      <c r="M4" s="8">
        <f>ROUND(L4*I4%,3)</f>
        <v>0</v>
      </c>
      <c r="N4" s="8">
        <f t="shared" ref="N4:N6" si="2">H4-M4</f>
        <v>250</v>
      </c>
      <c r="O4" s="8">
        <f>ROUND(N4*J4%,3)</f>
        <v>20</v>
      </c>
      <c r="P4" s="8">
        <f t="shared" ref="P4:P6" si="3">ROUND(N4-O4,2)</f>
        <v>230</v>
      </c>
      <c r="Q4" s="8">
        <f t="shared" ref="Q4:Q6" si="4">ROUND(P4*K4%,2)</f>
        <v>11.5</v>
      </c>
      <c r="R4" s="26">
        <f>ROUND(M4+O4+Q4,3)</f>
        <v>31.5</v>
      </c>
      <c r="S4" s="8">
        <f t="shared" ref="S4:S6" si="5">(H4-R4)</f>
        <v>218.5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218.5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18572.5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3714.5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3714.5</v>
      </c>
      <c r="AS4" s="38" t="s">
        <v>80</v>
      </c>
      <c r="AT4" s="39" t="s">
        <v>77</v>
      </c>
      <c r="AU4" t="s">
        <v>127</v>
      </c>
      <c r="AV4" t="s">
        <v>179</v>
      </c>
      <c r="AW4" s="39">
        <f t="shared" ref="AW4:AW6" si="12">AM4</f>
        <v>5</v>
      </c>
      <c r="AX4" s="42">
        <f t="shared" ref="AX4:AX6" si="13">AR4</f>
        <v>3714.5</v>
      </c>
      <c r="AY4" s="39">
        <f t="shared" ref="AY4:AY6" si="14">AU4+AW4</f>
        <v>160</v>
      </c>
      <c r="AZ4" s="43">
        <f>ROUND(((AU4*AV4)+(AW4*AX4))/(AU4+AW4),3)</f>
        <v>3714.5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335.71882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7" t="s">
        <v>180</v>
      </c>
      <c r="C5" s="7" t="s">
        <v>180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24</v>
      </c>
      <c r="N5" s="8">
        <f t="shared" si="2"/>
        <v>376</v>
      </c>
      <c r="O5" s="8">
        <f>ROUND(N5*J5%,2)</f>
        <v>33.84</v>
      </c>
      <c r="P5" s="8">
        <f t="shared" si="3"/>
        <v>342.16</v>
      </c>
      <c r="Q5" s="8">
        <f t="shared" si="4"/>
        <v>20.53</v>
      </c>
      <c r="R5" s="8">
        <f>M5+O5+Q5</f>
        <v>78.37</v>
      </c>
      <c r="S5" s="8">
        <f t="shared" si="5"/>
        <v>321.63</v>
      </c>
      <c r="T5" s="8">
        <v>88363222</v>
      </c>
      <c r="U5" s="8">
        <v>18</v>
      </c>
      <c r="V5" s="8">
        <f>IF(OR(DGSUomWIWoQRcImp!$C$2=1,DGSUomWIWoQRcImp!$C$2=4),ROUND((((S5*U5)/100)/2),2),0)</f>
        <v>0</v>
      </c>
      <c r="W5" s="8">
        <f>IF(DGSUomWIWoQRcImp!$C$2=1,ROUND((((S5*U5)/100)/2),2),0)</f>
        <v>0</v>
      </c>
      <c r="X5" s="8">
        <f>IF(DGSUomWIWoQRcImp!$C$2=2,ROUND(((S5*U5)/100),2),0)</f>
        <v>0</v>
      </c>
      <c r="Y5" s="8">
        <f>IF(DGSUomWIWoQRcImp!$C$2=4,ROUND((((S5*U5)/100)/2),2),0)</f>
        <v>0</v>
      </c>
      <c r="Z5" s="8">
        <v>0</v>
      </c>
      <c r="AA5" s="8">
        <f>IF(DGSUomWIWoQRcImp!$C3=3,0,(S5*Z5)/100)</f>
        <v>0</v>
      </c>
      <c r="AB5" s="8">
        <f t="shared" si="6"/>
        <v>0</v>
      </c>
      <c r="AC5" s="8">
        <f>IF(DGSUomWIWoQRcImp!$V3=1,S5+AB5,S5)</f>
        <v>321.63</v>
      </c>
      <c r="AD5" s="26">
        <v>120</v>
      </c>
      <c r="AE5" s="26">
        <f>IF(DGSUomWIWoQRcImp!$P$2=1,(S5/DGSUomWIWoQRcImp!$S$7)*DGSUomWIWoQRcImp!$E$18,AD5/DGSUomWIWoQRcImp!$AD$7*DGSUomWIWoQRcImp!$E$18)</f>
        <v>0</v>
      </c>
      <c r="AF5" s="26"/>
      <c r="AG5" s="26">
        <f>IF(DGSUomWIWoQRcImp!$P$2=1,(S5/DGSUomWIWoQRcImp!$S$7)*DGSUomWIWoQRcImp!$E$20,AD5/DGSUomWIWoQRcImp!$AD$7*DGSUomWIWoQRcImp!$E$20)</f>
        <v>0</v>
      </c>
      <c r="AH5" s="26">
        <f>IF(DGSUomWIWoQRcImp!$P$2=1,(S5/DGSUomWIWoQRcImp!$S$7)*DGSUomWIWoQRcImp!$E$21,AD5/DGSUomWIWoQRcImp!$AD$7*DGSUomWIWoQRcImp!$E$21)</f>
        <v>0</v>
      </c>
      <c r="AI5" s="26">
        <f>S5*DGSUomWIWoQRcImp!$M$2</f>
        <v>27338.55</v>
      </c>
      <c r="AJ5" s="26">
        <f>IF(DGSUomWIWoQRcImp!$C$2=3,0,AG5+AH5)</f>
        <v>0</v>
      </c>
      <c r="AK5" s="26">
        <f>IF(DGSUomWIWoQRcImp!$C$2=3,AE5+AG5+AH5,0)</f>
        <v>0</v>
      </c>
      <c r="AL5" s="34">
        <v>1</v>
      </c>
      <c r="AM5" s="26">
        <f t="shared" si="7"/>
        <v>4</v>
      </c>
      <c r="AN5" s="26">
        <f t="shared" si="8"/>
        <v>6834.6375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6834.6375</v>
      </c>
      <c r="AS5" s="38" t="s">
        <v>80</v>
      </c>
      <c r="AT5" s="39" t="s">
        <v>77</v>
      </c>
      <c r="AU5" t="s">
        <v>127</v>
      </c>
      <c r="AV5" t="s">
        <v>130</v>
      </c>
      <c r="AW5" s="39">
        <f t="shared" si="12"/>
        <v>4</v>
      </c>
      <c r="AX5" s="42">
        <f t="shared" si="13"/>
        <v>6834.6375</v>
      </c>
      <c r="AY5" s="39">
        <f t="shared" si="14"/>
        <v>128</v>
      </c>
      <c r="AZ5" s="42">
        <f>ROUND(((AU5*AV5)+(AW5*AX5))/(AU5+AW5),2)</f>
        <v>6834.64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504.1525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7" t="s">
        <v>181</v>
      </c>
      <c r="C6" s="7" t="s">
        <v>181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3000</v>
      </c>
      <c r="I6" t="s">
        <v>101</v>
      </c>
      <c r="J6" s="8">
        <v>7</v>
      </c>
      <c r="K6" s="8">
        <v>4</v>
      </c>
      <c r="L6" s="8">
        <f t="shared" si="1"/>
        <v>3000</v>
      </c>
      <c r="M6" s="8">
        <f>ROUND(L6*I6%,2)</f>
        <v>210</v>
      </c>
      <c r="N6" s="8">
        <f t="shared" si="2"/>
        <v>2790</v>
      </c>
      <c r="O6" s="8">
        <f>ROUND(N6*J6%,2)</f>
        <v>195.3</v>
      </c>
      <c r="P6" s="8">
        <f t="shared" si="3"/>
        <v>2594.7</v>
      </c>
      <c r="Q6" s="8">
        <f t="shared" si="4"/>
        <v>103.79</v>
      </c>
      <c r="R6" s="8">
        <f>M6+O6+Q6</f>
        <v>509.09</v>
      </c>
      <c r="S6" s="8">
        <f t="shared" si="5"/>
        <v>2490.91</v>
      </c>
      <c r="T6" s="8">
        <v>88363222</v>
      </c>
      <c r="U6" s="8">
        <v>18</v>
      </c>
      <c r="V6" s="8">
        <f>IF(OR(DGSUomWIWoQRcImp!$C$2=1,DGSUomWIWoQRcImp!$C$2=4),ROUND((((S6*U6)/100)/2),2),0)</f>
        <v>0</v>
      </c>
      <c r="W6" s="8">
        <f>IF(DGSUomWIWoQRcImp!$C$2=1,ROUND((((S6*U6)/100)/2),2),0)</f>
        <v>0</v>
      </c>
      <c r="X6" s="8">
        <f>IF(DGSUomWIWoQRcImp!$C$2=2,ROUND(((S6*U6)/100),2),0)</f>
        <v>0</v>
      </c>
      <c r="Y6" s="8">
        <f>IF(DGSUomWIWoQRcImp!$C$2=4,ROUND((((S6*U6)/100)/2),2),0)</f>
        <v>0</v>
      </c>
      <c r="Z6" s="8">
        <v>0</v>
      </c>
      <c r="AA6" s="8">
        <f>IF(DGSUomWIWoQRcImp!$C4=3,0,(S6*Z6)/100)</f>
        <v>0</v>
      </c>
      <c r="AB6" s="8">
        <f t="shared" si="6"/>
        <v>0</v>
      </c>
      <c r="AC6" s="8">
        <f>IF(DGSUomWIWoQRcImp!$V4=1,S6+AB6,S6)</f>
        <v>2490.91</v>
      </c>
      <c r="AD6" s="26">
        <v>120</v>
      </c>
      <c r="AE6" s="26">
        <f>IF(DGSUomWIWoQRcImp!$P$2=1,(S6/DGSUomWIWoQRcImp!$S$7)*DGSUomWIWoQRcImp!$E$18,AD6/DGSUomWIWoQRcImp!$AD$7*DGSUomWIWoQRcImp!$E$18)</f>
        <v>0</v>
      </c>
      <c r="AF6" s="26"/>
      <c r="AG6" s="26">
        <f>IF(DGSUomWIWoQRcImp!$P$2=1,(S6/DGSUomWIWoQRcImp!$S$7)*DGSUomWIWoQRcImp!$E$20,AD6/DGSUomWIWoQRcImp!$AD$7*DGSUomWIWoQRcImp!$E$20)</f>
        <v>0</v>
      </c>
      <c r="AH6" s="26">
        <f>IF(DGSUomWIWoQRcImp!$P$2=1,(S6/DGSUomWIWoQRcImp!$S$7)*DGSUomWIWoQRcImp!$E$21,AD6/DGSUomWIWoQRcImp!$AD$7*DGSUomWIWoQRcImp!$E$21)</f>
        <v>0</v>
      </c>
      <c r="AI6" s="26">
        <f>S6*DGSUomWIWoQRcImp!$M$2</f>
        <v>211727.35</v>
      </c>
      <c r="AJ6" s="26">
        <f>IF(DGSUomWIWoQRcImp!$C$2=3,0,AG6+AH6)</f>
        <v>0</v>
      </c>
      <c r="AK6" s="26">
        <f>IF(DGSUomWIWoQRcImp!$C$2=3,AE6+AG6+AH6,0)</f>
        <v>0</v>
      </c>
      <c r="AL6" s="34">
        <v>1</v>
      </c>
      <c r="AM6" s="26">
        <f t="shared" si="7"/>
        <v>20</v>
      </c>
      <c r="AN6" s="26">
        <f t="shared" si="8"/>
        <v>10586.3675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10586.3675</v>
      </c>
      <c r="AS6" s="38" t="s">
        <v>80</v>
      </c>
      <c r="AT6" s="39" t="s">
        <v>77</v>
      </c>
      <c r="AU6" t="s">
        <v>127</v>
      </c>
      <c r="AV6" t="s">
        <v>132</v>
      </c>
      <c r="AW6" s="39">
        <f t="shared" si="12"/>
        <v>20</v>
      </c>
      <c r="AX6" s="39">
        <f t="shared" si="13"/>
        <v>10586.3675</v>
      </c>
      <c r="AY6" s="39">
        <f t="shared" si="14"/>
        <v>340</v>
      </c>
      <c r="AZ6" s="39">
        <f>ROUND(((AU6*AV6)+(AW6*AX6))/(AU6+AW6),1)</f>
        <v>10586.4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702.24375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31.5</v>
      </c>
      <c r="S7" s="13">
        <f t="shared" si="17"/>
        <v>218.5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218.5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18572.5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31.5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218.5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218.5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J19" sqref="J19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182</v>
      </c>
      <c r="C4" s="7" t="s">
        <v>182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250</v>
      </c>
      <c r="I4" t="s">
        <v>79</v>
      </c>
      <c r="J4" s="8">
        <v>8</v>
      </c>
      <c r="K4" s="8">
        <v>5</v>
      </c>
      <c r="L4" s="8">
        <f t="shared" ref="L4:L6" si="1">IF(OR(I4=0,I4="0"),0,H4)</f>
        <v>250</v>
      </c>
      <c r="M4" s="8">
        <f>ROUND(L4*I4%,3)</f>
        <v>12.5</v>
      </c>
      <c r="N4" s="8">
        <f t="shared" ref="N4:N6" si="2">H4-M4</f>
        <v>237.5</v>
      </c>
      <c r="O4" s="8">
        <f>ROUND(N4*J4%,3)</f>
        <v>19</v>
      </c>
      <c r="P4" s="8">
        <f t="shared" ref="P4:P6" si="3">ROUND(N4-O4,2)</f>
        <v>218.5</v>
      </c>
      <c r="Q4" s="8">
        <f t="shared" ref="Q4:Q6" si="4">ROUND(P4*K4%,2)</f>
        <v>10.93</v>
      </c>
      <c r="R4" s="26">
        <f>ROUND(M4+O4+Q4,3)</f>
        <v>42.43</v>
      </c>
      <c r="S4" s="26">
        <f t="shared" ref="S4:S6" si="5">(H4-R4)</f>
        <v>207.57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207.57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17643.45</v>
      </c>
      <c r="AJ4" s="26">
        <f>IF($C$2=3,0,AG4+AH4)</f>
        <v>0</v>
      </c>
      <c r="AK4" s="26">
        <f>IF($C$2=3,AE4+AG4+AH4,0)</f>
        <v>0</v>
      </c>
      <c r="AL4" s="34">
        <v>3</v>
      </c>
      <c r="AM4" s="26">
        <f t="shared" ref="AM4:AM6" si="7">F4/AL4</f>
        <v>1.66666666666667</v>
      </c>
      <c r="AN4" s="26">
        <f t="shared" ref="AN4:AN6" si="8">ROUND(AI4/AM4,5)</f>
        <v>10586.07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10586.07</v>
      </c>
      <c r="AS4" s="38" t="s">
        <v>80</v>
      </c>
      <c r="AT4" s="39" t="s">
        <v>77</v>
      </c>
      <c r="AU4" t="s">
        <v>183</v>
      </c>
      <c r="AV4" t="s">
        <v>184</v>
      </c>
      <c r="AW4" s="39">
        <f t="shared" ref="AW4:AW6" si="12">AM4</f>
        <v>1.66666666666667</v>
      </c>
      <c r="AX4" s="42">
        <f t="shared" ref="AX4:AX6" si="13">AR4</f>
        <v>10586.07</v>
      </c>
      <c r="AY4" s="39">
        <f t="shared" ref="AY4:AY6" si="14">AU4+AW4</f>
        <v>156.666666666667</v>
      </c>
      <c r="AZ4" s="43">
        <f>ROUND(((AU4*AV4)+(AW4*AX4))/(AU4+AW4),3)</f>
        <v>904.141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140.45512</v>
      </c>
      <c r="BP4" s="48">
        <f t="shared" ref="BP4:BP6" si="16">ROUND(BN4+AW4,3)</f>
        <v>81.667</v>
      </c>
      <c r="BQ4" s="49">
        <v>123562</v>
      </c>
    </row>
    <row r="5" ht="15.15" spans="1:69">
      <c r="A5" s="7">
        <v>1</v>
      </c>
      <c r="B5" s="7" t="s">
        <v>185</v>
      </c>
      <c r="C5" s="7" t="s">
        <v>185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24</v>
      </c>
      <c r="N5" s="8">
        <f t="shared" si="2"/>
        <v>376</v>
      </c>
      <c r="O5" s="8">
        <f>ROUND(N5*J5%,2)</f>
        <v>33.84</v>
      </c>
      <c r="P5" s="8">
        <f t="shared" si="3"/>
        <v>342.16</v>
      </c>
      <c r="Q5" s="8">
        <f t="shared" si="4"/>
        <v>20.53</v>
      </c>
      <c r="R5" s="8">
        <f>M5+O5+Q5</f>
        <v>78.37</v>
      </c>
      <c r="S5" s="8">
        <f t="shared" si="5"/>
        <v>321.63</v>
      </c>
      <c r="T5" s="8">
        <v>88363222</v>
      </c>
      <c r="U5" s="8">
        <v>18</v>
      </c>
      <c r="V5" s="8">
        <f>IF(OR(DGDUomWIRcImp!$C$2=1,DGDUomWIRcImp!$C$2=4),ROUND((((S5*U5)/100)/2),2),0)</f>
        <v>0</v>
      </c>
      <c r="W5" s="8">
        <f>IF(DGDUomWIRcImp!$C$2=1,ROUND((((S5*U5)/100)/2),2),0)</f>
        <v>0</v>
      </c>
      <c r="X5" s="8">
        <f>IF(DGDUomWIRcImp!$C$2=2,ROUND(((S5*U5)/100),2),0)</f>
        <v>0</v>
      </c>
      <c r="Y5" s="8">
        <f>IF(DGDUomWIRcImp!$C$2=4,ROUND((((S5*U5)/100)/2),2),0)</f>
        <v>0</v>
      </c>
      <c r="Z5" s="8">
        <v>0</v>
      </c>
      <c r="AA5" s="8">
        <f>IF(DGDUomWIRcImp!$C3=3,0,(S5*Z5)/100)</f>
        <v>0</v>
      </c>
      <c r="AB5" s="8">
        <f t="shared" si="6"/>
        <v>0</v>
      </c>
      <c r="AC5" s="8">
        <f>IF(DGDUomWIRcImp!$V3=1,S5+AB5,S5)</f>
        <v>321.63</v>
      </c>
      <c r="AD5" s="26">
        <v>120</v>
      </c>
      <c r="AE5" s="26">
        <f>IF(DGDUomWIRcImp!$P$2=1,(S5/DGDUomWIRcImp!$S$7)*DGDUomWIRcImp!$E$18,AD5/DGDUomWIRcImp!$AD$7*DGDUomWIRcImp!$E$18)</f>
        <v>0</v>
      </c>
      <c r="AF5" s="26"/>
      <c r="AG5" s="26">
        <f>IF(DGDUomWIRcImp!$P$2=1,(S5/DGDUomWIRcImp!$S$7)*DGDUomWIRcImp!$E$20,AD5/DGDUomWIRcImp!$AD$7*DGDUomWIRcImp!$E$20)</f>
        <v>0</v>
      </c>
      <c r="AH5" s="26">
        <f>IF(DGDUomWIRcImp!$P$2=1,(S5/DGDUomWIRcImp!$S$7)*DGDUomWIRcImp!$E$21,AD5/DGDUomWIRcImp!$AD$7*DGDUomWIRcImp!$E$21)</f>
        <v>0</v>
      </c>
      <c r="AI5" s="26">
        <f>S5*DGDUomWIRcImp!$M$2</f>
        <v>27338.55</v>
      </c>
      <c r="AJ5" s="26">
        <f>IF(DGDUomWIRcImp!$C$2=3,0,AG5+AH5)</f>
        <v>0</v>
      </c>
      <c r="AK5" s="26">
        <f>IF(DGDUomWIRcImp!$C$2=3,AE5+AG5+AH5,0)</f>
        <v>0</v>
      </c>
      <c r="AL5" s="34">
        <v>3</v>
      </c>
      <c r="AM5" s="26">
        <f t="shared" si="7"/>
        <v>1.33333333333333</v>
      </c>
      <c r="AN5" s="26">
        <f t="shared" si="8"/>
        <v>20503.9125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20503.9125</v>
      </c>
      <c r="AS5" s="38" t="s">
        <v>80</v>
      </c>
      <c r="AT5" s="39" t="s">
        <v>77</v>
      </c>
      <c r="AU5" t="s">
        <v>186</v>
      </c>
      <c r="AV5" t="s">
        <v>187</v>
      </c>
      <c r="AW5" s="39">
        <f t="shared" si="12"/>
        <v>1.33333333333333</v>
      </c>
      <c r="AX5" s="42">
        <f t="shared" si="13"/>
        <v>20503.9125</v>
      </c>
      <c r="AY5" s="39">
        <f t="shared" si="14"/>
        <v>125.333333333333</v>
      </c>
      <c r="AZ5" s="42">
        <f>ROUND(((AU5*AV5)+(AW5*AX5))/(AU5+AW5),2)</f>
        <v>1747.53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118.32457</v>
      </c>
      <c r="BP5" s="48">
        <f t="shared" si="16"/>
        <v>61.333</v>
      </c>
      <c r="BQ5" s="49">
        <v>123562</v>
      </c>
    </row>
    <row r="6" ht="15.15" spans="1:69">
      <c r="A6" s="7">
        <v>1</v>
      </c>
      <c r="B6" s="7" t="s">
        <v>188</v>
      </c>
      <c r="C6" s="7" t="s">
        <v>188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3000</v>
      </c>
      <c r="I6" t="s">
        <v>101</v>
      </c>
      <c r="J6" s="8">
        <v>7</v>
      </c>
      <c r="K6" s="8">
        <v>4</v>
      </c>
      <c r="L6" s="8">
        <f t="shared" si="1"/>
        <v>3000</v>
      </c>
      <c r="M6" s="8">
        <f>ROUND(L6*I6%,2)</f>
        <v>210</v>
      </c>
      <c r="N6" s="8">
        <f t="shared" si="2"/>
        <v>2790</v>
      </c>
      <c r="O6" s="8">
        <f>ROUND(N6*J6%,2)</f>
        <v>195.3</v>
      </c>
      <c r="P6" s="8">
        <f t="shared" si="3"/>
        <v>2594.7</v>
      </c>
      <c r="Q6" s="8">
        <f t="shared" si="4"/>
        <v>103.79</v>
      </c>
      <c r="R6" s="8">
        <f>M6+O6+Q6</f>
        <v>509.09</v>
      </c>
      <c r="S6" s="8">
        <f t="shared" si="5"/>
        <v>2490.91</v>
      </c>
      <c r="T6" s="8">
        <v>88363222</v>
      </c>
      <c r="U6" s="8">
        <v>18</v>
      </c>
      <c r="V6" s="8">
        <f>IF(OR(DGDUomWIRcImp!$C$2=1,DGDUomWIRcImp!$C$2=4),ROUND((((S6*U6)/100)/2),2),0)</f>
        <v>0</v>
      </c>
      <c r="W6" s="8">
        <f>IF(DGDUomWIRcImp!$C$2=1,ROUND((((S6*U6)/100)/2),2),0)</f>
        <v>0</v>
      </c>
      <c r="X6" s="8">
        <f>IF(DGDUomWIRcImp!$C$2=2,ROUND(((S6*U6)/100),2),0)</f>
        <v>0</v>
      </c>
      <c r="Y6" s="8">
        <f>IF(DGDUomWIRcImp!$C$2=4,ROUND((((S6*U6)/100)/2),2),0)</f>
        <v>0</v>
      </c>
      <c r="Z6" s="8">
        <v>0</v>
      </c>
      <c r="AA6" s="8">
        <f>IF(DGDUomWIRcImp!$C4=3,0,(S6*Z6)/100)</f>
        <v>0</v>
      </c>
      <c r="AB6" s="8">
        <f t="shared" si="6"/>
        <v>0</v>
      </c>
      <c r="AC6" s="8">
        <f>IF(DGDUomWIRcImp!$V4=1,S6+AB6,S6)</f>
        <v>2490.91</v>
      </c>
      <c r="AD6" s="26">
        <v>120</v>
      </c>
      <c r="AE6" s="26">
        <f>IF(DGDUomWIRcImp!$P$2=1,(S6/DGDUomWIRcImp!$S$7)*DGDUomWIRcImp!$E$18,AD6/DGDUomWIRcImp!$AD$7*DGDUomWIRcImp!$E$18)</f>
        <v>0</v>
      </c>
      <c r="AF6" s="26"/>
      <c r="AG6" s="26">
        <f>IF(DGDUomWIRcImp!$P$2=1,(S6/DGDUomWIRcImp!$S$7)*DGDUomWIRcImp!$E$20,AD6/DGDUomWIRcImp!$AD$7*DGDUomWIRcImp!$E$20)</f>
        <v>0</v>
      </c>
      <c r="AH6" s="26">
        <f>IF(DGDUomWIRcImp!$P$2=1,(S6/DGDUomWIRcImp!$S$7)*DGDUomWIRcImp!$E$21,AD6/DGDUomWIRcImp!$AD$7*DGDUomWIRcImp!$E$21)</f>
        <v>0</v>
      </c>
      <c r="AI6" s="26">
        <f>S6*DGDUomWIRcImp!$M$2</f>
        <v>211727.35</v>
      </c>
      <c r="AJ6" s="26">
        <f>IF(DGDUomWIRcImp!$C$2=3,0,AG6+AH6)</f>
        <v>0</v>
      </c>
      <c r="AK6" s="26">
        <f>IF(DGDUomWIRcImp!$C$2=3,AE6+AG6+AH6,0)</f>
        <v>0</v>
      </c>
      <c r="AL6" s="34">
        <v>3</v>
      </c>
      <c r="AM6" s="26">
        <f t="shared" si="7"/>
        <v>6.66666666666667</v>
      </c>
      <c r="AN6" s="26">
        <f t="shared" si="8"/>
        <v>31759.1025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31759.1025</v>
      </c>
      <c r="AS6" s="38" t="s">
        <v>80</v>
      </c>
      <c r="AT6" s="39" t="s">
        <v>77</v>
      </c>
      <c r="AU6" t="s">
        <v>189</v>
      </c>
      <c r="AV6" t="s">
        <v>190</v>
      </c>
      <c r="AW6" s="39">
        <f t="shared" si="12"/>
        <v>6.66666666666667</v>
      </c>
      <c r="AX6" s="39">
        <f t="shared" si="13"/>
        <v>31759.1025</v>
      </c>
      <c r="AY6" s="39">
        <f t="shared" si="14"/>
        <v>326.666666666667</v>
      </c>
      <c r="AZ6" s="39">
        <f>ROUND(((AU6*AV6)+(AW6*AX6))/(AU6+AW6),1)</f>
        <v>3246.8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112.9413</v>
      </c>
      <c r="BP6" s="48">
        <f t="shared" si="16"/>
        <v>306.667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42.43</v>
      </c>
      <c r="S7" s="13">
        <f t="shared" si="17"/>
        <v>207.57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207.57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17643.45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42.43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207.57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207.57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C1" workbookViewId="0">
      <selection activeCell="S4" sqref="S4"/>
    </sheetView>
  </sheetViews>
  <sheetFormatPr defaultColWidth="8.85185185185185" defaultRowHeight="14.4"/>
  <cols>
    <col min="2" max="2" width="28" customWidth="1"/>
    <col min="3" max="3" width="30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191</v>
      </c>
      <c r="C4" s="7" t="s">
        <v>191</v>
      </c>
      <c r="D4" s="7" t="s">
        <v>77</v>
      </c>
      <c r="E4" s="7" t="s">
        <v>77</v>
      </c>
      <c r="F4" s="8">
        <v>5</v>
      </c>
      <c r="G4">
        <v>50</v>
      </c>
      <c r="H4" s="8">
        <f t="shared" ref="H4:H6" si="0">F4*G4</f>
        <v>250</v>
      </c>
      <c r="I4">
        <v>0</v>
      </c>
      <c r="J4" s="8">
        <v>8</v>
      </c>
      <c r="K4" s="8">
        <v>5</v>
      </c>
      <c r="L4" s="8">
        <f t="shared" ref="L4:L6" si="1">IF(OR(I4=0,I4="0"),0,H4)</f>
        <v>0</v>
      </c>
      <c r="M4" s="8">
        <f>ROUND(L4*I4%,3)</f>
        <v>0</v>
      </c>
      <c r="N4" s="8">
        <f t="shared" ref="N4:N6" si="2">H4-M4</f>
        <v>250</v>
      </c>
      <c r="O4" s="8">
        <f>ROUND(N4*J4%,3)</f>
        <v>20</v>
      </c>
      <c r="P4" s="8">
        <f t="shared" ref="P4:P6" si="3">ROUND(N4-O4,2)</f>
        <v>230</v>
      </c>
      <c r="Q4" s="8">
        <f t="shared" ref="Q4:Q6" si="4">ROUND(P4*K4%,2)</f>
        <v>11.5</v>
      </c>
      <c r="R4" s="26">
        <f>ROUND(M4+O4+Q4,3)</f>
        <v>31.5</v>
      </c>
      <c r="S4" s="8">
        <f t="shared" ref="S4:S6" si="5">(H4-R4)</f>
        <v>218.5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218.5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18572.5</v>
      </c>
      <c r="AJ4" s="26">
        <f>IF($C$2=3,0,AG4+AH4)</f>
        <v>0</v>
      </c>
      <c r="AK4" s="26">
        <f>IF($C$2=3,AE4+AG4+AH4,0)</f>
        <v>0</v>
      </c>
      <c r="AL4" s="34">
        <v>3</v>
      </c>
      <c r="AM4" s="26">
        <f t="shared" ref="AM4:AM6" si="7">F4/AL4</f>
        <v>1.66666666666667</v>
      </c>
      <c r="AN4" s="26">
        <f t="shared" ref="AN4:AN6" si="8">ROUND(AI4/AM4,5)</f>
        <v>11143.5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11143.5</v>
      </c>
      <c r="AS4" s="38" t="s">
        <v>80</v>
      </c>
      <c r="AT4" s="39" t="s">
        <v>77</v>
      </c>
      <c r="AU4" t="s">
        <v>183</v>
      </c>
      <c r="AV4" t="s">
        <v>184</v>
      </c>
      <c r="AW4" s="39">
        <f t="shared" ref="AW4:AW6" si="12">AM4</f>
        <v>1.66666666666667</v>
      </c>
      <c r="AX4" s="42">
        <f t="shared" ref="AX4:AX6" si="13">AR4</f>
        <v>11143.5</v>
      </c>
      <c r="AY4" s="39">
        <f t="shared" ref="AY4:AY6" si="14">AU4+AW4</f>
        <v>59.9946666666667</v>
      </c>
      <c r="AZ4" s="43">
        <f>ROUND(((AU4*AV4)+(AW4*AX4))/(AU4+AW4),3)</f>
        <v>12006.555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367.035</v>
      </c>
      <c r="BP4" s="48">
        <f t="shared" ref="BP4:BP6" si="16">ROUND(BN4+AW4,3)</f>
        <v>81.667</v>
      </c>
      <c r="BQ4" s="49">
        <v>123562</v>
      </c>
    </row>
    <row r="5" ht="15.15" spans="1:69">
      <c r="A5" s="7">
        <v>1</v>
      </c>
      <c r="B5" s="7" t="s">
        <v>192</v>
      </c>
      <c r="C5" s="7" t="s">
        <v>192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IF(OR(DGDUomWoQWIRcImp!$C$2=1,DGDUomWoQWIRcImp!$C$2=4),ROUND((((S5*U5)/100)/2),2),0)</f>
        <v>0</v>
      </c>
      <c r="W5" s="8">
        <f>IF(DGDUomWoQWIRcImp!$C$2=1,ROUND((((S5*U5)/100)/2),2),0)</f>
        <v>0</v>
      </c>
      <c r="X5" s="8">
        <f>IF(DGDUomWoQWIRcImp!$C$2=2,ROUND(((S5*U5)/100),2),0)</f>
        <v>0</v>
      </c>
      <c r="Y5" s="8">
        <f>IF(DGDUomWoQWIRcImp!$C$2=4,ROUND((((S5*U5)/100)/2),2),0)</f>
        <v>0</v>
      </c>
      <c r="Z5" s="8">
        <v>0</v>
      </c>
      <c r="AA5" s="8">
        <f>IF(DGDUomWoQWIRcImp!$C3=3,0,(S5*Z5)/100)</f>
        <v>0</v>
      </c>
      <c r="AB5" s="8">
        <f t="shared" si="6"/>
        <v>0</v>
      </c>
      <c r="AC5" s="8">
        <f>IF(DGDUomWoQWIRcImp!$V3=1,S5+AB5,S5)</f>
        <v>328.47</v>
      </c>
      <c r="AD5" s="26">
        <v>120</v>
      </c>
      <c r="AE5" s="26">
        <f>IF(DGDUomWoQWIRcImp!$P$2=1,(S5/DGDUomWoQWIRcImp!$S$7)*DGDUomWoQWIRcImp!$E$18,AD5/DGDUomWoQWIRcImp!$AD$7*DGDUomWoQWIRcImp!$E$18)</f>
        <v>0</v>
      </c>
      <c r="AF5" s="26"/>
      <c r="AG5" s="26">
        <f>IF(DGDUomWoQWIRcImp!$P$2=1,(S5/DGDUomWoQWIRcImp!$S$7)*DGDUomWoQWIRcImp!$E$20,AD5/DGDUomWoQWIRcImp!$AD$7*DGDUomWoQWIRcImp!$E$20)</f>
        <v>0</v>
      </c>
      <c r="AH5" s="26">
        <f>IF(DGDUomWoQWIRcImp!$P$2=1,(S5/DGDUomWoQWIRcImp!$S$7)*DGDUomWoQWIRcImp!$E$21,AD5/DGDUomWoQWIRcImp!$AD$7*DGDUomWoQWIRcImp!$E$21)</f>
        <v>0</v>
      </c>
      <c r="AI5" s="26">
        <f>S5*DGDUomWoQWIRcImp!$M$2</f>
        <v>27919.95</v>
      </c>
      <c r="AJ5" s="26">
        <f>IF(DGDUomWoQWIRcImp!$C$2=3,0,AG5+AH5)</f>
        <v>0</v>
      </c>
      <c r="AK5" s="26">
        <f>IF(DGDUomWoQWIRcImp!$C$2=3,AE5+AG5+AH5,0)</f>
        <v>0</v>
      </c>
      <c r="AL5" s="34">
        <v>3</v>
      </c>
      <c r="AM5" s="26">
        <f t="shared" si="7"/>
        <v>1.33333333333333</v>
      </c>
      <c r="AN5" s="26">
        <f t="shared" si="8"/>
        <v>20939.9625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20939.9625</v>
      </c>
      <c r="AS5" s="38" t="s">
        <v>80</v>
      </c>
      <c r="AT5" s="39" t="s">
        <v>77</v>
      </c>
      <c r="AU5" t="s">
        <v>186</v>
      </c>
      <c r="AV5" t="s">
        <v>187</v>
      </c>
      <c r="AW5" s="39">
        <f t="shared" si="12"/>
        <v>1.33333333333333</v>
      </c>
      <c r="AX5" s="42">
        <f t="shared" si="13"/>
        <v>20939.9625</v>
      </c>
      <c r="AY5" s="39">
        <f t="shared" si="14"/>
        <v>60.6603333333333</v>
      </c>
      <c r="AZ5" s="42">
        <f>ROUND(((AU5*AV5)+(AW5*AX5))/(AU5+AW5),2)</f>
        <v>7978.27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253.77543</v>
      </c>
      <c r="BP5" s="48">
        <f t="shared" si="16"/>
        <v>61.333</v>
      </c>
      <c r="BQ5" s="49">
        <v>123562</v>
      </c>
    </row>
    <row r="6" ht="15.15" spans="1:69">
      <c r="A6" s="7">
        <v>1</v>
      </c>
      <c r="B6" s="7" t="s">
        <v>193</v>
      </c>
      <c r="C6" s="7" t="s">
        <v>193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IF(OR(DGDUomWoQWIRcImp!$C$2=1,DGDUomWoQWIRcImp!$C$2=4),ROUND((((S6*U6)/100)/2),2),0)</f>
        <v>0</v>
      </c>
      <c r="W6" s="8">
        <f>IF(DGDUomWoQWIRcImp!$C$2=1,ROUND((((S6*U6)/100)/2),2),0)</f>
        <v>0</v>
      </c>
      <c r="X6" s="8">
        <f>IF(DGDUomWoQWIRcImp!$C$2=2,ROUND(((S6*U6)/100),2),0)</f>
        <v>0</v>
      </c>
      <c r="Y6" s="8">
        <f>IF(DGDUomWoQWIRcImp!$C$2=4,ROUND((((S6*U6)/100)/2),2),0)</f>
        <v>0</v>
      </c>
      <c r="Z6" s="8">
        <v>0</v>
      </c>
      <c r="AA6" s="8">
        <f>IF(DGDUomWoQWIRcImp!$C4=3,0,(S6*Z6)/100)</f>
        <v>0</v>
      </c>
      <c r="AB6" s="8">
        <f t="shared" si="6"/>
        <v>0</v>
      </c>
      <c r="AC6" s="8">
        <f>IF(DGDUomWoQWIRcImp!$V4=1,S6+AB6,S6)</f>
        <v>866.02</v>
      </c>
      <c r="AD6" s="26">
        <v>120</v>
      </c>
      <c r="AE6" s="26">
        <f>IF(DGDUomWoQWIRcImp!$P$2=1,(S6/DGDUomWoQWIRcImp!$S$7)*DGDUomWoQWIRcImp!$E$18,AD6/DGDUomWoQWIRcImp!$AD$7*DGDUomWoQWIRcImp!$E$18)</f>
        <v>0</v>
      </c>
      <c r="AF6" s="26"/>
      <c r="AG6" s="26">
        <f>IF(DGDUomWoQWIRcImp!$P$2=1,(S6/DGDUomWoQWIRcImp!$S$7)*DGDUomWoQWIRcImp!$E$20,AD6/DGDUomWoQWIRcImp!$AD$7*DGDUomWoQWIRcImp!$E$20)</f>
        <v>0</v>
      </c>
      <c r="AH6" s="26">
        <f>IF(DGDUomWoQWIRcImp!$P$2=1,(S6/DGDUomWoQWIRcImp!$S$7)*DGDUomWoQWIRcImp!$E$21,AD6/DGDUomWoQWIRcImp!$AD$7*DGDUomWoQWIRcImp!$E$21)</f>
        <v>0</v>
      </c>
      <c r="AI6" s="26">
        <f>S6*DGDUomWoQWIRcImp!$M$2</f>
        <v>73611.7</v>
      </c>
      <c r="AJ6" s="26">
        <f>IF(DGDUomWoQWIRcImp!$C$2=3,0,AG6+AH6)</f>
        <v>0</v>
      </c>
      <c r="AK6" s="26">
        <f>IF(DGDUomWoQWIRcImp!$C$2=3,AE6+AG6+AH6,0)</f>
        <v>0</v>
      </c>
      <c r="AL6" s="34">
        <v>3</v>
      </c>
      <c r="AM6" s="26">
        <f t="shared" si="7"/>
        <v>6.66666666666667</v>
      </c>
      <c r="AN6" s="26">
        <f t="shared" si="8"/>
        <v>11041.755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11041.755</v>
      </c>
      <c r="AS6" s="38" t="s">
        <v>80</v>
      </c>
      <c r="AT6" s="39" t="s">
        <v>77</v>
      </c>
      <c r="AU6" t="s">
        <v>189</v>
      </c>
      <c r="AV6" t="s">
        <v>190</v>
      </c>
      <c r="AW6" s="39">
        <f t="shared" si="12"/>
        <v>6.66666666666667</v>
      </c>
      <c r="AX6" s="39">
        <f t="shared" si="13"/>
        <v>11041.755</v>
      </c>
      <c r="AY6" s="39">
        <f t="shared" si="14"/>
        <v>73.3276666666667</v>
      </c>
      <c r="AZ6" s="39">
        <f>ROUND(((AU6*AV6)+(AW6*AX6))/(AU6+AW6),1)</f>
        <v>5089.9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153.0087</v>
      </c>
      <c r="BP6" s="48">
        <f t="shared" si="16"/>
        <v>306.667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31.5</v>
      </c>
      <c r="S7" s="13">
        <f t="shared" si="17"/>
        <v>218.5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218.5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18572.5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31.5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218.5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218.5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194</v>
      </c>
      <c r="C4" s="7" t="s">
        <v>194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750</v>
      </c>
      <c r="I4" t="s">
        <v>79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26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10586.24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10586.24</v>
      </c>
      <c r="AS4" s="38" t="s">
        <v>80</v>
      </c>
      <c r="AT4" s="39" t="s">
        <v>77</v>
      </c>
      <c r="AU4" t="s">
        <v>89</v>
      </c>
      <c r="AV4" t="s">
        <v>195</v>
      </c>
      <c r="AW4" s="39">
        <f t="shared" ref="AW4:AW6" si="12">AM4</f>
        <v>5</v>
      </c>
      <c r="AX4" s="42">
        <f t="shared" ref="AX4:AX6" si="13">AR4</f>
        <v>10586.24</v>
      </c>
      <c r="AY4" s="39">
        <f t="shared" ref="AY4:AY6" si="14">AU4+AW4</f>
        <v>160</v>
      </c>
      <c r="AZ4" s="43">
        <f>ROUND(((AU4*AV4)+(AW4*AX4))/(AU4+AW4),3)</f>
        <v>4047.707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355.31924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7" t="s">
        <v>196</v>
      </c>
      <c r="C5" s="7" t="s">
        <v>196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24</v>
      </c>
      <c r="N5" s="8">
        <f t="shared" si="2"/>
        <v>376</v>
      </c>
      <c r="O5" s="8">
        <f>ROUND(N5*J5%,2)</f>
        <v>33.84</v>
      </c>
      <c r="P5" s="8">
        <f t="shared" si="3"/>
        <v>342.16</v>
      </c>
      <c r="Q5" s="8">
        <f t="shared" si="4"/>
        <v>20.53</v>
      </c>
      <c r="R5" s="8">
        <f>M5+O5+Q5</f>
        <v>78.37</v>
      </c>
      <c r="S5" s="8">
        <f t="shared" si="5"/>
        <v>321.63</v>
      </c>
      <c r="T5" s="8">
        <v>88363222</v>
      </c>
      <c r="U5" s="8">
        <v>18</v>
      </c>
      <c r="V5" s="8">
        <f>IF(OR(DGSUomWIPlImp!$C$2=1,DGSUomWIPlImp!$C$2=4),ROUND((((S5*U5)/100)/2),2),0)</f>
        <v>0</v>
      </c>
      <c r="W5" s="8">
        <f>IF(DGSUomWIPlImp!$C$2=1,ROUND((((S5*U5)/100)/2),2),0)</f>
        <v>0</v>
      </c>
      <c r="X5" s="8">
        <f>IF(DGSUomWIPlImp!$C$2=2,ROUND(((S5*U5)/100),2),0)</f>
        <v>0</v>
      </c>
      <c r="Y5" s="8">
        <f>IF(DGSUomWIPlImp!$C$2=4,ROUND((((S5*U5)/100)/2),2),0)</f>
        <v>0</v>
      </c>
      <c r="Z5" s="8">
        <v>0</v>
      </c>
      <c r="AA5" s="8">
        <f>IF(DGSUomWIPlImp!$C3=3,0,(S5*Z5)/100)</f>
        <v>0</v>
      </c>
      <c r="AB5" s="8">
        <f t="shared" si="6"/>
        <v>0</v>
      </c>
      <c r="AC5" s="8">
        <f>IF(DGSUomWIPlImp!$V3=1,S5+AB5,S5)</f>
        <v>321.63</v>
      </c>
      <c r="AD5" s="26">
        <v>120</v>
      </c>
      <c r="AE5" s="26">
        <f>IF(DGSUomWIPlImp!$P$2=1,(S5/DGSUomWIPlImp!$S$7)*DGSUomWIPlImp!$E$18,AD5/DGSUomWIPlImp!$AD$7*DGSUomWIPlImp!$E$18)</f>
        <v>0</v>
      </c>
      <c r="AF5" s="26"/>
      <c r="AG5" s="26">
        <f>IF(DGSUomWIPlImp!$P$2=1,(S5/DGSUomWIPlImp!$S$7)*DGSUomWIPlImp!$E$20,AD5/DGSUomWIPlImp!$AD$7*DGSUomWIPlImp!$E$20)</f>
        <v>0</v>
      </c>
      <c r="AH5" s="26">
        <f>IF(DGSUomWIPlImp!$P$2=1,(S5/DGSUomWIPlImp!$S$7)*DGSUomWIPlImp!$E$21,AD5/DGSUomWIPlImp!$AD$7*DGSUomWIPlImp!$E$21)</f>
        <v>0</v>
      </c>
      <c r="AI5" s="26">
        <f>S5*DGSUomWIPlImp!$M$2</f>
        <v>27338.55</v>
      </c>
      <c r="AJ5" s="26">
        <f>IF(DGSUomWIPlImp!$C$2=3,0,AG5+AH5)</f>
        <v>0</v>
      </c>
      <c r="AK5" s="26">
        <f>IF(DGSUomWIPlImp!$C$2=3,AE5+AG5+AH5,0)</f>
        <v>0</v>
      </c>
      <c r="AL5" s="34">
        <v>1</v>
      </c>
      <c r="AM5" s="26">
        <f t="shared" si="7"/>
        <v>4</v>
      </c>
      <c r="AN5" s="26">
        <f t="shared" si="8"/>
        <v>6834.6375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6834.6375</v>
      </c>
      <c r="AS5" s="38" t="s">
        <v>80</v>
      </c>
      <c r="AT5" s="39" t="s">
        <v>77</v>
      </c>
      <c r="AU5" t="s">
        <v>197</v>
      </c>
      <c r="AV5" t="s">
        <v>198</v>
      </c>
      <c r="AW5" s="39">
        <f t="shared" si="12"/>
        <v>4</v>
      </c>
      <c r="AX5" s="42">
        <f t="shared" si="13"/>
        <v>6834.6375</v>
      </c>
      <c r="AY5" s="39">
        <f t="shared" si="14"/>
        <v>128</v>
      </c>
      <c r="AZ5" s="42">
        <f>ROUND(((AU5*AV5)+(AW5*AX5))/(AU5+AW5),2)</f>
        <v>2508.17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233.74813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50" t="s">
        <v>199</v>
      </c>
      <c r="C6" s="51" t="s">
        <v>199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3000</v>
      </c>
      <c r="I6" t="s">
        <v>101</v>
      </c>
      <c r="J6" s="8">
        <v>7</v>
      </c>
      <c r="K6" s="8">
        <v>4</v>
      </c>
      <c r="L6" s="8">
        <f t="shared" si="1"/>
        <v>3000</v>
      </c>
      <c r="M6" s="8">
        <f>ROUND(L6*I6%,2)</f>
        <v>210</v>
      </c>
      <c r="N6" s="8">
        <f t="shared" si="2"/>
        <v>2790</v>
      </c>
      <c r="O6" s="8">
        <f>ROUND(N6*J6%,2)</f>
        <v>195.3</v>
      </c>
      <c r="P6" s="8">
        <f t="shared" si="3"/>
        <v>2594.7</v>
      </c>
      <c r="Q6" s="8">
        <f t="shared" si="4"/>
        <v>103.79</v>
      </c>
      <c r="R6" s="8">
        <f>M6+O6+Q6</f>
        <v>509.09</v>
      </c>
      <c r="S6" s="8">
        <f t="shared" si="5"/>
        <v>2490.91</v>
      </c>
      <c r="T6" s="8">
        <v>88363222</v>
      </c>
      <c r="U6" s="8">
        <v>18</v>
      </c>
      <c r="V6" s="8">
        <f>IF(OR(DGSUomWIPlImp!$C$2=1,DGSUomWIPlImp!$C$2=4),ROUND((((S6*U6)/100)/2),2),0)</f>
        <v>0</v>
      </c>
      <c r="W6" s="8">
        <f>IF(DGSUomWIPlImp!$C$2=1,ROUND((((S6*U6)/100)/2),2),0)</f>
        <v>0</v>
      </c>
      <c r="X6" s="8">
        <f>IF(DGSUomWIPlImp!$C$2=2,ROUND(((S6*U6)/100),2),0)</f>
        <v>0</v>
      </c>
      <c r="Y6" s="8">
        <f>IF(DGSUomWIPlImp!$C$2=4,ROUND((((S6*U6)/100)/2),2),0)</f>
        <v>0</v>
      </c>
      <c r="Z6" s="8">
        <v>0</v>
      </c>
      <c r="AA6" s="8">
        <f>IF(DGSUomWIPlImp!$C4=3,0,(S6*Z6)/100)</f>
        <v>0</v>
      </c>
      <c r="AB6" s="8">
        <f t="shared" si="6"/>
        <v>0</v>
      </c>
      <c r="AC6" s="8">
        <f>IF(DGSUomWIPlImp!$V4=1,S6+AB6,S6)</f>
        <v>2490.91</v>
      </c>
      <c r="AD6" s="26">
        <v>120</v>
      </c>
      <c r="AE6" s="26">
        <f>IF(DGSUomWIPlImp!$P$2=1,(S6/DGSUomWIPlImp!$S$7)*DGSUomWIPlImp!$E$18,AD6/DGSUomWIPlImp!$AD$7*DGSUomWIPlImp!$E$18)</f>
        <v>0</v>
      </c>
      <c r="AF6" s="26"/>
      <c r="AG6" s="26">
        <f>IF(DGSUomWIPlImp!$P$2=1,(S6/DGSUomWIPlImp!$S$7)*DGSUomWIPlImp!$E$20,AD6/DGSUomWIPlImp!$AD$7*DGSUomWIPlImp!$E$20)</f>
        <v>0</v>
      </c>
      <c r="AH6" s="26">
        <f>IF(DGSUomWIPlImp!$P$2=1,(S6/DGSUomWIPlImp!$S$7)*DGSUomWIPlImp!$E$21,AD6/DGSUomWIPlImp!$AD$7*DGSUomWIPlImp!$E$21)</f>
        <v>0</v>
      </c>
      <c r="AI6" s="26">
        <f>S6*DGSUomWIPlImp!$M$2</f>
        <v>211727.35</v>
      </c>
      <c r="AJ6" s="26">
        <f>IF(DGSUomWIPlImp!$C$2=3,0,AG6+AH6)</f>
        <v>0</v>
      </c>
      <c r="AK6" s="26">
        <f>IF(DGSUomWIPlImp!$C$2=3,AE6+AG6+AH6,0)</f>
        <v>0</v>
      </c>
      <c r="AL6" s="34">
        <v>1</v>
      </c>
      <c r="AM6" s="26">
        <f t="shared" si="7"/>
        <v>20</v>
      </c>
      <c r="AN6" s="26">
        <f t="shared" si="8"/>
        <v>10586.3675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10586.3675</v>
      </c>
      <c r="AS6" s="38" t="s">
        <v>80</v>
      </c>
      <c r="AT6" s="39" t="s">
        <v>77</v>
      </c>
      <c r="AU6" t="s">
        <v>200</v>
      </c>
      <c r="AV6" t="s">
        <v>201</v>
      </c>
      <c r="AW6" s="39">
        <f t="shared" si="12"/>
        <v>20</v>
      </c>
      <c r="AX6" s="39">
        <f t="shared" si="13"/>
        <v>10586.3675</v>
      </c>
      <c r="AY6" s="39">
        <f t="shared" si="14"/>
        <v>340</v>
      </c>
      <c r="AZ6" s="39">
        <f>ROUND(((AU6*AV6)+(AW6*AX6))/(AU6+AW6),1)</f>
        <v>1784.5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152.125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C1" workbookViewId="0">
      <selection activeCell="R8" sqref="R8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202</v>
      </c>
      <c r="C4" s="7" t="s">
        <v>202</v>
      </c>
      <c r="D4" s="7" t="s">
        <v>77</v>
      </c>
      <c r="E4" s="7" t="s">
        <v>77</v>
      </c>
      <c r="F4" s="8">
        <v>5</v>
      </c>
      <c r="G4" t="s">
        <v>100</v>
      </c>
      <c r="H4" s="8">
        <f t="shared" ref="H4:H6" si="0">F4*G4</f>
        <v>250</v>
      </c>
      <c r="I4" t="s">
        <v>127</v>
      </c>
      <c r="J4" s="8">
        <v>8</v>
      </c>
      <c r="K4" s="8">
        <v>5</v>
      </c>
      <c r="L4" s="8">
        <f t="shared" ref="L4:L6" si="1">IF(OR(I4=0,I4="0"),0,H4)</f>
        <v>0</v>
      </c>
      <c r="M4" s="8">
        <f>ROUND(L4*I4%,3)</f>
        <v>0</v>
      </c>
      <c r="N4" s="8">
        <f t="shared" ref="N4:N6" si="2">H4-M4</f>
        <v>250</v>
      </c>
      <c r="O4" s="8">
        <f>ROUND(N4*J4%,3)</f>
        <v>20</v>
      </c>
      <c r="P4" s="8">
        <f t="shared" ref="P4:P6" si="3">ROUND(N4-O4,2)</f>
        <v>230</v>
      </c>
      <c r="Q4" s="8">
        <f t="shared" ref="Q4:Q6" si="4">ROUND(P4*K4%,2)</f>
        <v>11.5</v>
      </c>
      <c r="R4" s="26">
        <f>ROUND(M4+O4+Q4,3)</f>
        <v>31.5</v>
      </c>
      <c r="S4" s="8">
        <f t="shared" ref="S4:S6" si="5">(H4-R4)</f>
        <v>218.5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218.5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18572.5</v>
      </c>
      <c r="AJ4" s="26">
        <f>IF($C$2=3,0,AG4+AH4)</f>
        <v>0</v>
      </c>
      <c r="AK4" s="26">
        <f>IF($C$2=3,AE4+AG4+AH4,0)</f>
        <v>0</v>
      </c>
      <c r="AL4" s="34">
        <v>1</v>
      </c>
      <c r="AM4" s="26">
        <f t="shared" ref="AM4:AM6" si="7">F4/AL4</f>
        <v>5</v>
      </c>
      <c r="AN4" s="26">
        <f t="shared" ref="AN4:AN6" si="8">ROUND(AI4/AM4,5)</f>
        <v>3714.5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3714.5</v>
      </c>
      <c r="AS4" s="38" t="s">
        <v>80</v>
      </c>
      <c r="AT4" s="39" t="s">
        <v>77</v>
      </c>
      <c r="AU4" t="s">
        <v>127</v>
      </c>
      <c r="AV4" t="s">
        <v>179</v>
      </c>
      <c r="AW4" s="39">
        <f t="shared" ref="AW4:AW6" si="12">AM4</f>
        <v>5</v>
      </c>
      <c r="AX4" s="42">
        <f t="shared" ref="AX4:AX6" si="13">AR4</f>
        <v>3714.5</v>
      </c>
      <c r="AY4" s="39">
        <f t="shared" ref="AY4:AY6" si="14">AU4+AW4</f>
        <v>85</v>
      </c>
      <c r="AZ4" s="43">
        <f>ROUND(((AU4*AV4)+(AW4*AX4))/(AU4+AW4),3)</f>
        <v>3714.5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335.71882</v>
      </c>
      <c r="BP4" s="48">
        <f t="shared" ref="BP4:BP6" si="16">ROUND(BN4+AW4,3)</f>
        <v>85</v>
      </c>
      <c r="BQ4" s="49">
        <v>123562</v>
      </c>
    </row>
    <row r="5" ht="15.15" spans="1:69">
      <c r="A5" s="7">
        <v>1</v>
      </c>
      <c r="B5" s="7" t="s">
        <v>203</v>
      </c>
      <c r="C5" s="7" t="s">
        <v>203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IF(OR(DGSUomWIWoQPlImp!$C$2=1,DGSUomWIWoQPlImp!$C$2=4),ROUND((((S5*U5)/100)/2),2),0)</f>
        <v>0</v>
      </c>
      <c r="W5" s="8">
        <f>IF(DGSUomWIWoQPlImp!$C$2=1,ROUND((((S5*U5)/100)/2),2),0)</f>
        <v>0</v>
      </c>
      <c r="X5" s="8">
        <f>IF(DGSUomWIWoQPlImp!$C$2=2,ROUND(((S5*U5)/100),2),0)</f>
        <v>0</v>
      </c>
      <c r="Y5" s="8">
        <f>IF(DGSUomWIWoQPlImp!$C$2=4,ROUND((((S5*U5)/100)/2),2),0)</f>
        <v>0</v>
      </c>
      <c r="Z5" s="8">
        <v>0</v>
      </c>
      <c r="AA5" s="8">
        <f>IF(DGSUomWIWoQPlImp!$C3=3,0,(S5*Z5)/100)</f>
        <v>0</v>
      </c>
      <c r="AB5" s="8">
        <f t="shared" si="6"/>
        <v>0</v>
      </c>
      <c r="AC5" s="8">
        <f>IF(DGSUomWIWoQPlImp!$V3=1,S5+AB5,S5)</f>
        <v>328.47</v>
      </c>
      <c r="AD5" s="26">
        <v>120</v>
      </c>
      <c r="AE5" s="26">
        <f>IF(DGSUomWIWoQPlImp!$P$2=1,(S5/DGSUomWIWoQPlImp!$S$7)*DGSUomWIWoQPlImp!$E$18,AD5/DGSUomWIWoQPlImp!$AD$7*DGSUomWIWoQPlImp!$E$18)</f>
        <v>0</v>
      </c>
      <c r="AF5" s="26"/>
      <c r="AG5" s="26">
        <f>IF(DGSUomWIWoQPlImp!$P$2=1,(S5/DGSUomWIWoQPlImp!$S$7)*DGSUomWIWoQPlImp!$E$20,AD5/DGSUomWIWoQPlImp!$AD$7*DGSUomWIWoQPlImp!$E$20)</f>
        <v>0</v>
      </c>
      <c r="AH5" s="26">
        <f>IF(DGSUomWIWoQPlImp!$P$2=1,(S5/DGSUomWIWoQPlImp!$S$7)*DGSUomWIWoQPlImp!$E$21,AD5/DGSUomWIWoQPlImp!$AD$7*DGSUomWIWoQPlImp!$E$21)</f>
        <v>0</v>
      </c>
      <c r="AI5" s="26">
        <f>S5*DGSUomWIWoQPlImp!$M$2</f>
        <v>27919.95</v>
      </c>
      <c r="AJ5" s="26">
        <f>IF(DGSUomWIWoQPlImp!$C$2=3,0,AG5+AH5)</f>
        <v>0</v>
      </c>
      <c r="AK5" s="26">
        <f>IF(DGSUomWIWoQPlImp!$C$2=3,AE5+AG5+AH5,0)</f>
        <v>0</v>
      </c>
      <c r="AL5" s="34">
        <v>1</v>
      </c>
      <c r="AM5" s="26">
        <f t="shared" si="7"/>
        <v>4</v>
      </c>
      <c r="AN5" s="26">
        <f t="shared" si="8"/>
        <v>6979.9875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6979.9875</v>
      </c>
      <c r="AS5" s="38" t="s">
        <v>80</v>
      </c>
      <c r="AT5" s="39" t="s">
        <v>77</v>
      </c>
      <c r="AU5" t="s">
        <v>127</v>
      </c>
      <c r="AV5" t="s">
        <v>130</v>
      </c>
      <c r="AW5" s="39">
        <f t="shared" si="12"/>
        <v>4</v>
      </c>
      <c r="AX5" s="42">
        <f t="shared" si="13"/>
        <v>6979.9875</v>
      </c>
      <c r="AY5" s="39">
        <f t="shared" si="14"/>
        <v>72</v>
      </c>
      <c r="AZ5" s="42">
        <f>ROUND(((AU5*AV5)+(AW5*AX5))/(AU5+AW5),2)</f>
        <v>6979.99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513.23688</v>
      </c>
      <c r="BP5" s="48">
        <f t="shared" si="16"/>
        <v>64</v>
      </c>
      <c r="BQ5" s="49">
        <v>123562</v>
      </c>
    </row>
    <row r="6" ht="15.15" spans="1:69">
      <c r="A6" s="7">
        <v>1</v>
      </c>
      <c r="B6" s="7" t="s">
        <v>204</v>
      </c>
      <c r="C6" s="7" t="s">
        <v>204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IF(OR(DGSUomWIWoQPlImp!$C$2=1,DGSUomWIWoQPlImp!$C$2=4),ROUND((((S6*U6)/100)/2),2),0)</f>
        <v>0</v>
      </c>
      <c r="W6" s="8">
        <f>IF(DGSUomWIWoQPlImp!$C$2=1,ROUND((((S6*U6)/100)/2),2),0)</f>
        <v>0</v>
      </c>
      <c r="X6" s="8">
        <f>IF(DGSUomWIWoQPlImp!$C$2=2,ROUND(((S6*U6)/100),2),0)</f>
        <v>0</v>
      </c>
      <c r="Y6" s="8">
        <f>IF(DGSUomWIWoQPlImp!$C$2=4,ROUND((((S6*U6)/100)/2),2),0)</f>
        <v>0</v>
      </c>
      <c r="Z6" s="8">
        <v>0</v>
      </c>
      <c r="AA6" s="8">
        <f>IF(DGSUomWIWoQPlImp!$C4=3,0,(S6*Z6)/100)</f>
        <v>0</v>
      </c>
      <c r="AB6" s="8">
        <f t="shared" si="6"/>
        <v>0</v>
      </c>
      <c r="AC6" s="8">
        <f>IF(DGSUomWIWoQPlImp!$V4=1,S6+AB6,S6)</f>
        <v>866.02</v>
      </c>
      <c r="AD6" s="26">
        <v>120</v>
      </c>
      <c r="AE6" s="26">
        <f>IF(DGSUomWIWoQPlImp!$P$2=1,(S6/DGSUomWIWoQPlImp!$S$7)*DGSUomWIWoQPlImp!$E$18,AD6/DGSUomWIWoQPlImp!$AD$7*DGSUomWIWoQPlImp!$E$18)</f>
        <v>0</v>
      </c>
      <c r="AF6" s="26"/>
      <c r="AG6" s="26">
        <f>IF(DGSUomWIWoQPlImp!$P$2=1,(S6/DGSUomWIWoQPlImp!$S$7)*DGSUomWIWoQPlImp!$E$20,AD6/DGSUomWIWoQPlImp!$AD$7*DGSUomWIWoQPlImp!$E$20)</f>
        <v>0</v>
      </c>
      <c r="AH6" s="26">
        <f>IF(DGSUomWIWoQPlImp!$P$2=1,(S6/DGSUomWIWoQPlImp!$S$7)*DGSUomWIWoQPlImp!$E$21,AD6/DGSUomWIWoQPlImp!$AD$7*DGSUomWIWoQPlImp!$E$21)</f>
        <v>0</v>
      </c>
      <c r="AI6" s="26">
        <f>S6*DGSUomWIWoQPlImp!$M$2</f>
        <v>73611.7</v>
      </c>
      <c r="AJ6" s="26">
        <f>IF(DGSUomWIWoQPlImp!$C$2=3,0,AG6+AH6)</f>
        <v>0</v>
      </c>
      <c r="AK6" s="26">
        <f>IF(DGSUomWIWoQPlImp!$C$2=3,AE6+AG6+AH6,0)</f>
        <v>0</v>
      </c>
      <c r="AL6" s="34">
        <v>1</v>
      </c>
      <c r="AM6" s="26">
        <f t="shared" si="7"/>
        <v>20</v>
      </c>
      <c r="AN6" s="26">
        <f t="shared" si="8"/>
        <v>3680.585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3680.585</v>
      </c>
      <c r="AS6" s="38" t="s">
        <v>80</v>
      </c>
      <c r="AT6" s="39" t="s">
        <v>77</v>
      </c>
      <c r="AU6" t="s">
        <v>127</v>
      </c>
      <c r="AV6" t="s">
        <v>132</v>
      </c>
      <c r="AW6" s="39">
        <f t="shared" si="12"/>
        <v>20</v>
      </c>
      <c r="AX6" s="39">
        <f t="shared" si="13"/>
        <v>3680.585</v>
      </c>
      <c r="AY6" s="39">
        <f t="shared" si="14"/>
        <v>350</v>
      </c>
      <c r="AZ6" s="39">
        <f>ROUND(((AU6*AV6)+(AW6*AX6))/(AU6+AW6),1)</f>
        <v>3680.6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270.63125</v>
      </c>
      <c r="BP6" s="48">
        <f t="shared" si="16"/>
        <v>320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31.5</v>
      </c>
      <c r="S7" s="13">
        <f t="shared" si="17"/>
        <v>218.5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218.5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18572.5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31.5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218.5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218.5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zoomScale="115" zoomScaleNormal="115" workbookViewId="0">
      <selection activeCell="AL7" sqref="AL7"/>
    </sheetView>
  </sheetViews>
  <sheetFormatPr defaultColWidth="8.85185185185185" defaultRowHeight="14.4"/>
  <cols>
    <col min="2" max="2" width="28" customWidth="1"/>
    <col min="3" max="3" width="23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205</v>
      </c>
      <c r="C4" s="7" t="s">
        <v>205</v>
      </c>
      <c r="D4" s="7" t="s">
        <v>77</v>
      </c>
      <c r="E4" s="7" t="s">
        <v>77</v>
      </c>
      <c r="F4" s="8">
        <v>5</v>
      </c>
      <c r="G4" t="s">
        <v>78</v>
      </c>
      <c r="H4" s="8">
        <f t="shared" ref="H4:H6" si="0">F4*G4</f>
        <v>750</v>
      </c>
      <c r="I4" t="s">
        <v>79</v>
      </c>
      <c r="J4" s="8">
        <v>8</v>
      </c>
      <c r="K4" s="8">
        <v>5</v>
      </c>
      <c r="L4" s="8">
        <f t="shared" ref="L4:L6" si="1">IF(OR(I4=0,I4="0"),0,H4)</f>
        <v>750</v>
      </c>
      <c r="M4" s="8">
        <f>ROUND(L4*I4%,3)</f>
        <v>37.5</v>
      </c>
      <c r="N4" s="8">
        <f t="shared" ref="N4:N6" si="2">H4-M4</f>
        <v>712.5</v>
      </c>
      <c r="O4" s="8">
        <f>ROUND(N4*J4%,3)</f>
        <v>57</v>
      </c>
      <c r="P4" s="8">
        <f t="shared" ref="P4:P6" si="3">ROUND(N4-O4,2)</f>
        <v>655.5</v>
      </c>
      <c r="Q4" s="8">
        <f t="shared" ref="Q4:Q6" si="4">ROUND(P4*K4%,2)</f>
        <v>32.78</v>
      </c>
      <c r="R4" s="26">
        <f>ROUND(M4+O4+Q4,3)</f>
        <v>127.28</v>
      </c>
      <c r="S4" s="26">
        <f t="shared" ref="S4:S6" si="5">(H4-R4)</f>
        <v>622.72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622.72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52931.2</v>
      </c>
      <c r="AJ4" s="26">
        <f>IF($C$2=3,0,AG4+AH4)</f>
        <v>0</v>
      </c>
      <c r="AK4" s="26">
        <f>IF($C$2=3,AE4+AG4+AH4,0)</f>
        <v>0</v>
      </c>
      <c r="AL4" s="34">
        <v>3</v>
      </c>
      <c r="AM4" s="26">
        <f t="shared" ref="AM4:AM6" si="7">F4/AL4</f>
        <v>1.66666666666667</v>
      </c>
      <c r="AN4" s="26">
        <f t="shared" ref="AN4:AN6" si="8">ROUND(AI4/AM4,5)</f>
        <v>31758.72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31758.72</v>
      </c>
      <c r="AS4" s="38" t="s">
        <v>80</v>
      </c>
      <c r="AT4" s="39" t="s">
        <v>77</v>
      </c>
      <c r="AU4" t="s">
        <v>206</v>
      </c>
      <c r="AV4" t="s">
        <v>207</v>
      </c>
      <c r="AW4" s="39">
        <f t="shared" ref="AW4:AW6" si="12">AM4</f>
        <v>1.66666666666667</v>
      </c>
      <c r="AX4" s="42">
        <f t="shared" ref="AX4:AX6" si="13">AR4</f>
        <v>31758.72</v>
      </c>
      <c r="AY4" s="39">
        <f t="shared" ref="AY4:AY6" si="14">AU4+AW4</f>
        <v>63.3276666666667</v>
      </c>
      <c r="AZ4" s="43">
        <f>ROUND(((AU4*AV4)+(AW4*AX4))/(AU4+AW4),3)</f>
        <v>11936.857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365.61259</v>
      </c>
      <c r="BP4" s="48">
        <f t="shared" ref="BP4:BP6" si="16">ROUND(BN4+AW4,3)</f>
        <v>81.667</v>
      </c>
      <c r="BQ4" s="49">
        <v>123562</v>
      </c>
    </row>
    <row r="5" ht="15.15" spans="1:69">
      <c r="A5" s="7">
        <v>1</v>
      </c>
      <c r="B5" s="7" t="s">
        <v>208</v>
      </c>
      <c r="C5" s="7" t="s">
        <v>208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IF(OR(DGDUomWIPlImp!$C$2=1,DGDUomWIPlImp!$C$2=4),ROUND((((S5*U5)/100)/2),2),0)</f>
        <v>0</v>
      </c>
      <c r="W5" s="8">
        <f>IF(DGDUomWIPlImp!$C$2=1,ROUND((((S5*U5)/100)/2),2),0)</f>
        <v>0</v>
      </c>
      <c r="X5" s="8">
        <f>IF(DGDUomWIPlImp!$C$2=2,ROUND(((S5*U5)/100),2),0)</f>
        <v>0</v>
      </c>
      <c r="Y5" s="8">
        <f>IF(DGDUomWIPlImp!$C$2=4,ROUND((((S5*U5)/100)/2),2),0)</f>
        <v>0</v>
      </c>
      <c r="Z5" s="8">
        <v>0</v>
      </c>
      <c r="AA5" s="8">
        <f>IF(DGDUomWIPlImp!$C3=3,0,(S5*Z5)/100)</f>
        <v>0</v>
      </c>
      <c r="AB5" s="8">
        <f t="shared" si="6"/>
        <v>0</v>
      </c>
      <c r="AC5" s="8">
        <f>IF(DGDUomWIPlImp!$V3=1,S5+AB5,S5)</f>
        <v>328.47</v>
      </c>
      <c r="AD5" s="26">
        <v>120</v>
      </c>
      <c r="AE5" s="26">
        <f>IF(DGDUomWIPlImp!$P$2=1,(S5/DGDUomWIPlImp!$S$7)*DGDUomWIPlImp!$E$18,AD5/DGDUomWIPlImp!$AD$7*DGDUomWIPlImp!$E$18)</f>
        <v>0</v>
      </c>
      <c r="AF5" s="26"/>
      <c r="AG5" s="26">
        <f>IF(DGDUomWIPlImp!$P$2=1,(S5/DGDUomWIPlImp!$S$7)*DGDUomWIPlImp!$E$20,AD5/DGDUomWIPlImp!$AD$7*DGDUomWIPlImp!$E$20)</f>
        <v>0</v>
      </c>
      <c r="AH5" s="26">
        <f>IF(DGDUomWIPlImp!$P$2=1,(S5/DGDUomWIPlImp!$S$7)*DGDUomWIPlImp!$E$21,AD5/DGDUomWIPlImp!$AD$7*DGDUomWIPlImp!$E$21)</f>
        <v>0</v>
      </c>
      <c r="AI5" s="26">
        <f>S5*DGDUomWIPlImp!$M$2</f>
        <v>27919.95</v>
      </c>
      <c r="AJ5" s="26">
        <f>IF(DGDUomWIPlImp!$C$2=3,0,AG5+AH5)</f>
        <v>0</v>
      </c>
      <c r="AK5" s="26">
        <f>IF(DGDUomWIPlImp!$C$2=3,AE5+AG5+AH5,0)</f>
        <v>0</v>
      </c>
      <c r="AL5" s="34">
        <v>3</v>
      </c>
      <c r="AM5" s="26">
        <f t="shared" si="7"/>
        <v>1.33333333333333</v>
      </c>
      <c r="AN5" s="26">
        <f t="shared" si="8"/>
        <v>20939.9625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20939.9625</v>
      </c>
      <c r="AS5" s="38" t="s">
        <v>80</v>
      </c>
      <c r="AT5" s="39" t="s">
        <v>77</v>
      </c>
      <c r="AU5" t="s">
        <v>209</v>
      </c>
      <c r="AV5" t="s">
        <v>210</v>
      </c>
      <c r="AW5" s="39">
        <f t="shared" si="12"/>
        <v>1.33333333333333</v>
      </c>
      <c r="AX5" s="42">
        <f t="shared" si="13"/>
        <v>20939.9625</v>
      </c>
      <c r="AY5" s="39">
        <f t="shared" si="14"/>
        <v>100.999333333333</v>
      </c>
      <c r="AZ5" s="42">
        <f>ROUND(((AU5*AV5)+(AW5*AX5))/(AU5+AW5),2)</f>
        <v>6939.51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231.1937</v>
      </c>
      <c r="BP5" s="48">
        <f t="shared" si="16"/>
        <v>61.333</v>
      </c>
      <c r="BQ5" s="49">
        <v>123562</v>
      </c>
    </row>
    <row r="6" ht="15.15" spans="1:69">
      <c r="A6" s="7">
        <v>1</v>
      </c>
      <c r="B6" s="7" t="s">
        <v>211</v>
      </c>
      <c r="C6" s="7" t="s">
        <v>211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IF(OR(DGDUomWIPlImp!$C$2=1,DGDUomWIPlImp!$C$2=4),ROUND((((S6*U6)/100)/2),2),0)</f>
        <v>0</v>
      </c>
      <c r="W6" s="8">
        <f>IF(DGDUomWIPlImp!$C$2=1,ROUND((((S6*U6)/100)/2),2),0)</f>
        <v>0</v>
      </c>
      <c r="X6" s="8">
        <f>IF(DGDUomWIPlImp!$C$2=2,ROUND(((S6*U6)/100),2),0)</f>
        <v>0</v>
      </c>
      <c r="Y6" s="8">
        <f>IF(DGDUomWIPlImp!$C$2=4,ROUND((((S6*U6)/100)/2),2),0)</f>
        <v>0</v>
      </c>
      <c r="Z6" s="8">
        <v>0</v>
      </c>
      <c r="AA6" s="8">
        <f>IF(DGDUomWIPlImp!$C4=3,0,(S6*Z6)/100)</f>
        <v>0</v>
      </c>
      <c r="AB6" s="8">
        <f t="shared" si="6"/>
        <v>0</v>
      </c>
      <c r="AC6" s="8">
        <f>IF(DGDUomWIPlImp!$V4=1,S6+AB6,S6)</f>
        <v>866.02</v>
      </c>
      <c r="AD6" s="26">
        <v>120</v>
      </c>
      <c r="AE6" s="26">
        <f>IF(DGDUomWIPlImp!$P$2=1,(S6/DGDUomWIPlImp!$S$7)*DGDUomWIPlImp!$E$18,AD6/DGDUomWIPlImp!$AD$7*DGDUomWIPlImp!$E$18)</f>
        <v>0</v>
      </c>
      <c r="AF6" s="26"/>
      <c r="AG6" s="26">
        <f>IF(DGDUomWIPlImp!$P$2=1,(S6/DGDUomWIPlImp!$S$7)*DGDUomWIPlImp!$E$20,AD6/DGDUomWIPlImp!$AD$7*DGDUomWIPlImp!$E$20)</f>
        <v>0</v>
      </c>
      <c r="AH6" s="26">
        <f>IF(DGDUomWIPlImp!$P$2=1,(S6/DGDUomWIPlImp!$S$7)*DGDUomWIPlImp!$E$21,AD6/DGDUomWIPlImp!$AD$7*DGDUomWIPlImp!$E$21)</f>
        <v>0</v>
      </c>
      <c r="AI6" s="26">
        <f>S6*DGDUomWIPlImp!$M$2</f>
        <v>73611.7</v>
      </c>
      <c r="AJ6" s="26">
        <f>IF(DGDUomWIPlImp!$C$2=3,0,AG6+AH6)</f>
        <v>0</v>
      </c>
      <c r="AK6" s="26">
        <f>IF(DGDUomWIPlImp!$C$2=3,AE6+AG6+AH6,0)</f>
        <v>0</v>
      </c>
      <c r="AL6" s="34">
        <v>3</v>
      </c>
      <c r="AM6" s="26">
        <f t="shared" si="7"/>
        <v>6.66666666666667</v>
      </c>
      <c r="AN6" s="26">
        <f t="shared" si="8"/>
        <v>11041.755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11041.755</v>
      </c>
      <c r="AS6" s="38" t="s">
        <v>80</v>
      </c>
      <c r="AT6" s="39" t="s">
        <v>77</v>
      </c>
      <c r="AU6" t="s">
        <v>212</v>
      </c>
      <c r="AV6" t="s">
        <v>213</v>
      </c>
      <c r="AW6" s="39">
        <f t="shared" si="12"/>
        <v>6.66666666666667</v>
      </c>
      <c r="AX6" s="39">
        <f t="shared" si="13"/>
        <v>11041.755</v>
      </c>
      <c r="AY6" s="39">
        <f t="shared" si="14"/>
        <v>79.9936666666667</v>
      </c>
      <c r="AZ6" s="39">
        <f>ROUND(((AU6*AV6)+(AW6*AX6))/(AU6+AW6),1)</f>
        <v>4676.6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144.02391</v>
      </c>
      <c r="BP6" s="48">
        <f t="shared" si="16"/>
        <v>306.667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750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127.28</v>
      </c>
      <c r="S7" s="13">
        <f t="shared" si="17"/>
        <v>622.72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622.72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52931.2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750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127.28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622.72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622.72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zoomScale="115" zoomScaleNormal="115" topLeftCell="C1" workbookViewId="0">
      <selection activeCell="O3" sqref="O3"/>
    </sheetView>
  </sheetViews>
  <sheetFormatPr defaultColWidth="8.85185185185185" defaultRowHeight="14.4"/>
  <cols>
    <col min="2" max="2" width="28" customWidth="1"/>
    <col min="3" max="3" width="29.4444444444444" customWidth="1"/>
    <col min="13" max="13" width="9.13888888888889" customWidth="1"/>
    <col min="14" max="14" width="13.85185185185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40"/>
      <c r="BQ1" s="40"/>
    </row>
    <row r="2" ht="15.15" spans="1:69">
      <c r="A2" s="3" t="s">
        <v>1</v>
      </c>
      <c r="B2" s="3"/>
      <c r="C2" s="4">
        <v>3</v>
      </c>
      <c r="D2" s="5" t="s">
        <v>2</v>
      </c>
      <c r="E2" s="2"/>
      <c r="F2" s="2"/>
      <c r="G2" s="2"/>
      <c r="H2" s="1"/>
      <c r="I2" s="16" t="s">
        <v>3</v>
      </c>
      <c r="J2" s="16" t="s">
        <v>4</v>
      </c>
      <c r="K2" s="16"/>
      <c r="L2" s="16" t="s">
        <v>5</v>
      </c>
      <c r="M2" s="16">
        <v>85</v>
      </c>
      <c r="N2" s="16"/>
      <c r="O2" s="16" t="s">
        <v>6</v>
      </c>
      <c r="P2" s="16">
        <v>2</v>
      </c>
      <c r="Q2" s="16" t="s">
        <v>7</v>
      </c>
      <c r="R2" s="1"/>
      <c r="S2" s="1"/>
      <c r="T2" s="1"/>
      <c r="U2" s="1"/>
      <c r="V2" s="1">
        <v>1</v>
      </c>
      <c r="W2" s="1" t="s">
        <v>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40"/>
      <c r="BQ2" s="40"/>
    </row>
    <row r="3" ht="59.1" spans="1:6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7" t="s">
        <v>19</v>
      </c>
      <c r="L3" s="18" t="s">
        <v>20</v>
      </c>
      <c r="M3" s="18" t="s">
        <v>21</v>
      </c>
      <c r="N3" s="18" t="s">
        <v>22</v>
      </c>
      <c r="O3" s="18" t="s">
        <v>23</v>
      </c>
      <c r="P3" s="18" t="s">
        <v>24</v>
      </c>
      <c r="Q3" s="18" t="s">
        <v>25</v>
      </c>
      <c r="R3" s="17" t="s">
        <v>26</v>
      </c>
      <c r="S3" s="6" t="s">
        <v>27</v>
      </c>
      <c r="T3" s="6" t="s">
        <v>28</v>
      </c>
      <c r="U3" s="25" t="s">
        <v>29</v>
      </c>
      <c r="V3" s="25" t="s">
        <v>30</v>
      </c>
      <c r="W3" s="25" t="s">
        <v>31</v>
      </c>
      <c r="X3" s="25" t="s">
        <v>32</v>
      </c>
      <c r="Y3" s="29" t="s">
        <v>33</v>
      </c>
      <c r="Z3" s="29" t="s">
        <v>34</v>
      </c>
      <c r="AA3" s="29" t="s">
        <v>35</v>
      </c>
      <c r="AB3" s="29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  <c r="AN3" s="30" t="s">
        <v>48</v>
      </c>
      <c r="AO3" s="30" t="s">
        <v>49</v>
      </c>
      <c r="AP3" s="30" t="s">
        <v>50</v>
      </c>
      <c r="AQ3" s="30" t="s">
        <v>51</v>
      </c>
      <c r="AR3" s="35" t="s">
        <v>52</v>
      </c>
      <c r="AS3" s="36" t="s">
        <v>53</v>
      </c>
      <c r="AT3" s="36" t="s">
        <v>51</v>
      </c>
      <c r="AU3" s="37" t="s">
        <v>54</v>
      </c>
      <c r="AV3" s="37" t="s">
        <v>55</v>
      </c>
      <c r="AW3" s="37" t="s">
        <v>56</v>
      </c>
      <c r="AX3" s="37" t="s">
        <v>57</v>
      </c>
      <c r="AY3" s="37" t="s">
        <v>58</v>
      </c>
      <c r="AZ3" s="37" t="s">
        <v>59</v>
      </c>
      <c r="BA3" s="37" t="s">
        <v>60</v>
      </c>
      <c r="BB3" s="37" t="s">
        <v>61</v>
      </c>
      <c r="BC3" s="41" t="s">
        <v>62</v>
      </c>
      <c r="BD3" s="41" t="s">
        <v>63</v>
      </c>
      <c r="BE3" s="41" t="s">
        <v>64</v>
      </c>
      <c r="BF3" s="37" t="s">
        <v>65</v>
      </c>
      <c r="BG3" s="37" t="s">
        <v>66</v>
      </c>
      <c r="BH3" s="37" t="s">
        <v>67</v>
      </c>
      <c r="BI3" s="37" t="s">
        <v>68</v>
      </c>
      <c r="BJ3" s="37" t="s">
        <v>69</v>
      </c>
      <c r="BK3" s="37" t="s">
        <v>70</v>
      </c>
      <c r="BL3" s="37" t="s">
        <v>71</v>
      </c>
      <c r="BM3" s="37" t="s">
        <v>72</v>
      </c>
      <c r="BN3" s="37" t="s">
        <v>73</v>
      </c>
      <c r="BO3" s="37" t="s">
        <v>59</v>
      </c>
      <c r="BP3" s="37" t="s">
        <v>74</v>
      </c>
      <c r="BQ3" s="37" t="s">
        <v>28</v>
      </c>
    </row>
    <row r="4" ht="15.15" spans="1:69">
      <c r="A4" s="7">
        <v>1</v>
      </c>
      <c r="B4" s="7" t="s">
        <v>214</v>
      </c>
      <c r="C4" s="7" t="s">
        <v>214</v>
      </c>
      <c r="D4" s="7" t="s">
        <v>77</v>
      </c>
      <c r="E4" s="7" t="s">
        <v>77</v>
      </c>
      <c r="F4" s="8">
        <v>5</v>
      </c>
      <c r="G4">
        <v>50</v>
      </c>
      <c r="H4" s="8">
        <f t="shared" ref="H4:H6" si="0">F4*G4</f>
        <v>250</v>
      </c>
      <c r="I4">
        <v>0</v>
      </c>
      <c r="J4" s="8">
        <v>8</v>
      </c>
      <c r="K4" s="8">
        <v>5</v>
      </c>
      <c r="L4" s="8">
        <f t="shared" ref="L4:L6" si="1">IF(OR(I4=0,I4="0"),0,H4)</f>
        <v>0</v>
      </c>
      <c r="M4" s="8">
        <f>ROUND(L4*I4%,3)</f>
        <v>0</v>
      </c>
      <c r="N4" s="8">
        <f t="shared" ref="N4:N6" si="2">H4-M4</f>
        <v>250</v>
      </c>
      <c r="O4" s="8">
        <f>ROUND(N4*J4%,3)</f>
        <v>20</v>
      </c>
      <c r="P4" s="8">
        <f t="shared" ref="P4:P6" si="3">ROUND(N4-O4,2)</f>
        <v>230</v>
      </c>
      <c r="Q4" s="8">
        <f t="shared" ref="Q4:Q6" si="4">ROUND(P4*K4%,2)</f>
        <v>11.5</v>
      </c>
      <c r="R4" s="26">
        <f>ROUND(M4+O4+Q4,3)</f>
        <v>31.5</v>
      </c>
      <c r="S4" s="8">
        <f t="shared" ref="S4:S6" si="5">(H4-R4)</f>
        <v>218.5</v>
      </c>
      <c r="T4" s="8">
        <v>88363222</v>
      </c>
      <c r="U4" s="8">
        <v>18</v>
      </c>
      <c r="V4" s="8">
        <f>IF(OR($C$2=1,$C$2=4),ROUND((((S4*U4)/100)/2),2),0)</f>
        <v>0</v>
      </c>
      <c r="W4" s="8">
        <f>IF($C$2=1,ROUND((((S4*U4)/100)/2),2),0)</f>
        <v>0</v>
      </c>
      <c r="X4" s="8">
        <f>IF($C$2=2,ROUND(((S4*U4)/100),2),0)</f>
        <v>0</v>
      </c>
      <c r="Y4" s="8">
        <f>IF($C$2=4,ROUND((((S4*U4)/100)/2),2),0)</f>
        <v>0</v>
      </c>
      <c r="Z4" s="8">
        <v>0</v>
      </c>
      <c r="AA4" s="8">
        <f>IF($C2=3,0,(S4*Z4)/100)</f>
        <v>0</v>
      </c>
      <c r="AB4" s="8">
        <f t="shared" ref="AB4:AB6" si="6">V4+W4+X4+Y4+AA4</f>
        <v>0</v>
      </c>
      <c r="AC4" s="31">
        <f>IF($V2=1,S4+AB4,S4)</f>
        <v>218.5</v>
      </c>
      <c r="AD4" s="26">
        <v>120</v>
      </c>
      <c r="AE4" s="26">
        <f>IF($P$2=1,(S4/$S$7)*$E$18,AD4/$AD$7*$E$18)</f>
        <v>0</v>
      </c>
      <c r="AF4" s="26"/>
      <c r="AG4" s="26">
        <f>IF($P$2=1,(S4/$S$7)*$E$20,AD4/$AD$7*$E$20)</f>
        <v>0</v>
      </c>
      <c r="AH4" s="26">
        <f>IF($P$2=1,(S4/$S$7)*$E$21,AD4/$AD$7*$E$21)</f>
        <v>0</v>
      </c>
      <c r="AI4" s="26">
        <f>S4*$M2</f>
        <v>18572.5</v>
      </c>
      <c r="AJ4" s="26">
        <f>IF($C$2=3,0,AG4+AH4)</f>
        <v>0</v>
      </c>
      <c r="AK4" s="26">
        <f>IF($C$2=3,AE4+AG4+AH4,0)</f>
        <v>0</v>
      </c>
      <c r="AL4" s="34">
        <v>3</v>
      </c>
      <c r="AM4" s="26">
        <f t="shared" ref="AM4:AM6" si="7">F4/AL4</f>
        <v>1.66666666666667</v>
      </c>
      <c r="AN4" s="26">
        <f t="shared" ref="AN4:AN6" si="8">ROUND(AI4/AM4,5)</f>
        <v>11143.5</v>
      </c>
      <c r="AO4" s="26">
        <f t="shared" ref="AO4:AO6" si="9">AJ4/AM4</f>
        <v>0</v>
      </c>
      <c r="AP4" s="26">
        <f t="shared" ref="AP4:AP6" si="10">AK4/AM4</f>
        <v>0</v>
      </c>
      <c r="AQ4" s="26" t="s">
        <v>77</v>
      </c>
      <c r="AR4" s="26">
        <f t="shared" ref="AR4:AR6" si="11">ROUND(AN4+AO4+AP4,5)</f>
        <v>11143.5</v>
      </c>
      <c r="AS4" s="38" t="s">
        <v>80</v>
      </c>
      <c r="AT4" s="39" t="s">
        <v>77</v>
      </c>
      <c r="AU4" t="s">
        <v>206</v>
      </c>
      <c r="AV4" t="s">
        <v>207</v>
      </c>
      <c r="AW4" s="39">
        <f t="shared" ref="AW4:AW6" si="12">AM4</f>
        <v>1.66666666666667</v>
      </c>
      <c r="AX4" s="42">
        <f t="shared" ref="AX4:AX6" si="13">AR4</f>
        <v>11143.5</v>
      </c>
      <c r="AY4" s="39">
        <f t="shared" ref="AY4:AY6" si="14">AU4+AW4</f>
        <v>64.9946666666667</v>
      </c>
      <c r="AZ4" s="43">
        <f>ROUND(((AU4*AV4)+(AW4*AX4))/(AU4+AW4),3)</f>
        <v>11916.621</v>
      </c>
      <c r="BA4" s="44"/>
      <c r="BB4" s="44" t="s">
        <v>83</v>
      </c>
      <c r="BC4" s="45" t="s">
        <v>84</v>
      </c>
      <c r="BD4" s="46" t="s">
        <v>85</v>
      </c>
      <c r="BE4" s="46" t="s">
        <v>86</v>
      </c>
      <c r="BF4" s="44"/>
      <c r="BG4" s="44"/>
      <c r="BH4" s="44"/>
      <c r="BI4" s="39"/>
      <c r="BJ4" s="39"/>
      <c r="BK4" s="39"/>
      <c r="BL4" s="47" t="s">
        <v>87</v>
      </c>
      <c r="BM4" t="s">
        <v>88</v>
      </c>
      <c r="BN4" t="s">
        <v>89</v>
      </c>
      <c r="BO4" s="39">
        <f t="shared" ref="BO4:BO6" si="15">ROUND((((AW4*AZ4)+(BN4*BM4))/(AW4+BN4)),5)</f>
        <v>365.19961</v>
      </c>
      <c r="BP4" s="48">
        <f t="shared" ref="BP4:BP6" si="16">ROUND(BN4+AW4,3)</f>
        <v>81.667</v>
      </c>
      <c r="BQ4" s="49">
        <v>123562</v>
      </c>
    </row>
    <row r="5" ht="15.15" spans="1:69">
      <c r="A5" s="7">
        <v>1</v>
      </c>
      <c r="B5" s="7" t="s">
        <v>215</v>
      </c>
      <c r="C5" s="7" t="s">
        <v>215</v>
      </c>
      <c r="D5" s="7" t="s">
        <v>77</v>
      </c>
      <c r="E5" s="7" t="s">
        <v>77</v>
      </c>
      <c r="F5" s="8">
        <v>4</v>
      </c>
      <c r="G5" t="s">
        <v>92</v>
      </c>
      <c r="H5" s="8">
        <f t="shared" si="0"/>
        <v>400</v>
      </c>
      <c r="I5" t="s">
        <v>93</v>
      </c>
      <c r="J5" s="8">
        <v>9</v>
      </c>
      <c r="K5" s="8">
        <v>6</v>
      </c>
      <c r="L5" s="8">
        <f t="shared" si="1"/>
        <v>400</v>
      </c>
      <c r="M5" s="8">
        <f>ROUND(L5*I5%,2)</f>
        <v>16</v>
      </c>
      <c r="N5" s="8">
        <f t="shared" si="2"/>
        <v>384</v>
      </c>
      <c r="O5" s="8">
        <f>ROUND(N5*J5%,2)</f>
        <v>34.56</v>
      </c>
      <c r="P5" s="8">
        <f t="shared" si="3"/>
        <v>349.44</v>
      </c>
      <c r="Q5" s="8">
        <f t="shared" si="4"/>
        <v>20.97</v>
      </c>
      <c r="R5" s="8">
        <f>M5+O5+Q5</f>
        <v>71.53</v>
      </c>
      <c r="S5" s="8">
        <f t="shared" si="5"/>
        <v>328.47</v>
      </c>
      <c r="T5" s="8">
        <v>88363222</v>
      </c>
      <c r="U5" s="8">
        <v>18</v>
      </c>
      <c r="V5" s="8">
        <f>IF(OR(DGDUomWoQWIPlImp!$C$2=1,DGDUomWoQWIPlImp!$C$2=4),ROUND((((S5*U5)/100)/2),2),0)</f>
        <v>0</v>
      </c>
      <c r="W5" s="8">
        <f>IF(DGDUomWoQWIPlImp!$C$2=1,ROUND((((S5*U5)/100)/2),2),0)</f>
        <v>0</v>
      </c>
      <c r="X5" s="8">
        <f>IF(DGDUomWoQWIPlImp!$C$2=2,ROUND(((S5*U5)/100),2),0)</f>
        <v>0</v>
      </c>
      <c r="Y5" s="8">
        <f>IF(DGDUomWoQWIPlImp!$C$2=4,ROUND((((S5*U5)/100)/2),2),0)</f>
        <v>0</v>
      </c>
      <c r="Z5" s="8">
        <v>0</v>
      </c>
      <c r="AA5" s="8">
        <f>IF(DGDUomWoQWIPlImp!$C3=3,0,(S5*Z5)/100)</f>
        <v>0</v>
      </c>
      <c r="AB5" s="8">
        <f t="shared" si="6"/>
        <v>0</v>
      </c>
      <c r="AC5" s="8">
        <f>IF(DGDUomWoQWIPlImp!$V3=1,S5+AB5,S5)</f>
        <v>328.47</v>
      </c>
      <c r="AD5" s="26">
        <v>120</v>
      </c>
      <c r="AE5" s="26">
        <f>IF(DGDUomWoQWIPlImp!$P$2=1,(S5/DGDUomWoQWIPlImp!$S$7)*DGDUomWoQWIPlImp!$E$18,AD5/DGDUomWoQWIPlImp!$AD$7*DGDUomWoQWIPlImp!$E$18)</f>
        <v>0</v>
      </c>
      <c r="AF5" s="26"/>
      <c r="AG5" s="26">
        <f>IF(DGDUomWoQWIPlImp!$P$2=1,(S5/DGDUomWoQWIPlImp!$S$7)*DGDUomWoQWIPlImp!$E$20,AD5/DGDUomWoQWIPlImp!$AD$7*DGDUomWoQWIPlImp!$E$20)</f>
        <v>0</v>
      </c>
      <c r="AH5" s="26">
        <f>IF(DGDUomWoQWIPlImp!$P$2=1,(S5/DGDUomWoQWIPlImp!$S$7)*DGDUomWoQWIPlImp!$E$21,AD5/DGDUomWoQWIPlImp!$AD$7*DGDUomWoQWIPlImp!$E$21)</f>
        <v>0</v>
      </c>
      <c r="AI5" s="26">
        <f>S5*DGDUomWoQWIPlImp!$M$2</f>
        <v>27919.95</v>
      </c>
      <c r="AJ5" s="26">
        <f>IF(DGDUomWoQWIPlImp!$C$2=3,0,AG5+AH5)</f>
        <v>0</v>
      </c>
      <c r="AK5" s="26">
        <f>IF(DGDUomWoQWIPlImp!$C$2=3,AE5+AG5+AH5,0)</f>
        <v>0</v>
      </c>
      <c r="AL5" s="34">
        <v>3</v>
      </c>
      <c r="AM5" s="26">
        <f t="shared" si="7"/>
        <v>1.33333333333333</v>
      </c>
      <c r="AN5" s="26">
        <f t="shared" si="8"/>
        <v>20939.9625</v>
      </c>
      <c r="AO5" s="26">
        <f t="shared" si="9"/>
        <v>0</v>
      </c>
      <c r="AP5" s="26">
        <f t="shared" si="10"/>
        <v>0</v>
      </c>
      <c r="AQ5" s="26" t="s">
        <v>77</v>
      </c>
      <c r="AR5" s="26">
        <f t="shared" si="11"/>
        <v>20939.9625</v>
      </c>
      <c r="AS5" s="38" t="s">
        <v>80</v>
      </c>
      <c r="AT5" s="39" t="s">
        <v>77</v>
      </c>
      <c r="AU5" t="s">
        <v>209</v>
      </c>
      <c r="AV5" t="s">
        <v>210</v>
      </c>
      <c r="AW5" s="39">
        <f t="shared" si="12"/>
        <v>1.33333333333333</v>
      </c>
      <c r="AX5" s="42">
        <f t="shared" si="13"/>
        <v>20939.9625</v>
      </c>
      <c r="AY5" s="39">
        <f t="shared" si="14"/>
        <v>102.332333333333</v>
      </c>
      <c r="AZ5" s="42">
        <f>ROUND(((AU5*AV5)+(AW5*AX5))/(AU5+AW5),2)</f>
        <v>7121.89</v>
      </c>
      <c r="BA5" s="44"/>
      <c r="BB5" s="44" t="s">
        <v>83</v>
      </c>
      <c r="BC5" s="45" t="s">
        <v>84</v>
      </c>
      <c r="BD5" s="46" t="s">
        <v>85</v>
      </c>
      <c r="BE5" s="46" t="s">
        <v>86</v>
      </c>
      <c r="BF5" s="44"/>
      <c r="BG5" s="44"/>
      <c r="BH5" s="44"/>
      <c r="BI5" s="39"/>
      <c r="BJ5" s="39"/>
      <c r="BK5" s="39"/>
      <c r="BL5" s="47" t="s">
        <v>87</v>
      </c>
      <c r="BM5" t="s">
        <v>96</v>
      </c>
      <c r="BN5" t="s">
        <v>97</v>
      </c>
      <c r="BO5" s="39">
        <f t="shared" si="15"/>
        <v>235.15848</v>
      </c>
      <c r="BP5" s="48">
        <f t="shared" si="16"/>
        <v>61.333</v>
      </c>
      <c r="BQ5" s="49">
        <v>123562</v>
      </c>
    </row>
    <row r="6" ht="15.15" spans="1:69">
      <c r="A6" s="7">
        <v>1</v>
      </c>
      <c r="B6" s="7" t="s">
        <v>216</v>
      </c>
      <c r="C6" s="7" t="s">
        <v>216</v>
      </c>
      <c r="D6" s="7" t="s">
        <v>77</v>
      </c>
      <c r="E6" s="7" t="s">
        <v>77</v>
      </c>
      <c r="F6" s="8">
        <v>20</v>
      </c>
      <c r="G6" t="s">
        <v>100</v>
      </c>
      <c r="H6" s="8">
        <f t="shared" si="0"/>
        <v>1000</v>
      </c>
      <c r="I6" t="s">
        <v>101</v>
      </c>
      <c r="J6" s="8">
        <v>7</v>
      </c>
      <c r="K6" s="8">
        <v>4</v>
      </c>
      <c r="L6" s="8">
        <f t="shared" si="1"/>
        <v>1000</v>
      </c>
      <c r="M6" s="8">
        <f>ROUND(L6*I6%,2)</f>
        <v>30</v>
      </c>
      <c r="N6" s="8">
        <f t="shared" si="2"/>
        <v>970</v>
      </c>
      <c r="O6" s="8">
        <f>ROUND(N6*J6%,2)</f>
        <v>67.9</v>
      </c>
      <c r="P6" s="8">
        <f t="shared" si="3"/>
        <v>902.1</v>
      </c>
      <c r="Q6" s="8">
        <f t="shared" si="4"/>
        <v>36.08</v>
      </c>
      <c r="R6" s="8">
        <f>M6+O6+Q6</f>
        <v>133.98</v>
      </c>
      <c r="S6" s="8">
        <f t="shared" si="5"/>
        <v>866.02</v>
      </c>
      <c r="T6" s="8">
        <v>88363222</v>
      </c>
      <c r="U6" s="8">
        <v>18</v>
      </c>
      <c r="V6" s="8">
        <f>IF(OR(DGDUomWoQWIPlImp!$C$2=1,DGDUomWoQWIPlImp!$C$2=4),ROUND((((S6*U6)/100)/2),2),0)</f>
        <v>0</v>
      </c>
      <c r="W6" s="8">
        <f>IF(DGDUomWoQWIPlImp!$C$2=1,ROUND((((S6*U6)/100)/2),2),0)</f>
        <v>0</v>
      </c>
      <c r="X6" s="8">
        <f>IF(DGDUomWoQWIPlImp!$C$2=2,ROUND(((S6*U6)/100),2),0)</f>
        <v>0</v>
      </c>
      <c r="Y6" s="8">
        <f>IF(DGDUomWoQWIPlImp!$C$2=4,ROUND((((S6*U6)/100)/2),2),0)</f>
        <v>0</v>
      </c>
      <c r="Z6" s="8">
        <v>0</v>
      </c>
      <c r="AA6" s="8">
        <f>IF(DGDUomWoQWIPlImp!$C4=3,0,(S6*Z6)/100)</f>
        <v>0</v>
      </c>
      <c r="AB6" s="8">
        <f t="shared" si="6"/>
        <v>0</v>
      </c>
      <c r="AC6" s="8">
        <f>IF(DGDUomWoQWIPlImp!$V4=1,S6+AB6,S6)</f>
        <v>866.02</v>
      </c>
      <c r="AD6" s="26">
        <v>120</v>
      </c>
      <c r="AE6" s="26">
        <f>IF(DGDUomWoQWIPlImp!$P$2=1,(S6/DGDUomWoQWIPlImp!$S$7)*DGDUomWoQWIPlImp!$E$18,AD6/DGDUomWoQWIPlImp!$AD$7*DGDUomWoQWIPlImp!$E$18)</f>
        <v>0</v>
      </c>
      <c r="AF6" s="26"/>
      <c r="AG6" s="26">
        <f>IF(DGDUomWoQWIPlImp!$P$2=1,(S6/DGDUomWoQWIPlImp!$S$7)*DGDUomWoQWIPlImp!$E$20,AD6/DGDUomWoQWIPlImp!$AD$7*DGDUomWoQWIPlImp!$E$20)</f>
        <v>0</v>
      </c>
      <c r="AH6" s="26">
        <f>IF(DGDUomWoQWIPlImp!$P$2=1,(S6/DGDUomWoQWIPlImp!$S$7)*DGDUomWoQWIPlImp!$E$21,AD6/DGDUomWoQWIPlImp!$AD$7*DGDUomWoQWIPlImp!$E$21)</f>
        <v>0</v>
      </c>
      <c r="AI6" s="26">
        <f>S6*DGDUomWoQWIPlImp!$M$2</f>
        <v>73611.7</v>
      </c>
      <c r="AJ6" s="26">
        <f>IF(DGDUomWoQWIPlImp!$C$2=3,0,AG6+AH6)</f>
        <v>0</v>
      </c>
      <c r="AK6" s="26">
        <f>IF(DGDUomWoQWIPlImp!$C$2=3,AE6+AG6+AH6,0)</f>
        <v>0</v>
      </c>
      <c r="AL6" s="34">
        <v>3</v>
      </c>
      <c r="AM6" s="26">
        <f t="shared" si="7"/>
        <v>6.66666666666667</v>
      </c>
      <c r="AN6" s="26">
        <f t="shared" si="8"/>
        <v>11041.755</v>
      </c>
      <c r="AO6" s="26">
        <f t="shared" si="9"/>
        <v>0</v>
      </c>
      <c r="AP6" s="26">
        <f t="shared" si="10"/>
        <v>0</v>
      </c>
      <c r="AQ6" s="26" t="s">
        <v>77</v>
      </c>
      <c r="AR6" s="26">
        <f t="shared" si="11"/>
        <v>11041.755</v>
      </c>
      <c r="AS6" s="38" t="s">
        <v>80</v>
      </c>
      <c r="AT6" s="39" t="s">
        <v>77</v>
      </c>
      <c r="AU6" t="s">
        <v>212</v>
      </c>
      <c r="AV6" t="s">
        <v>213</v>
      </c>
      <c r="AW6" s="39">
        <f t="shared" si="12"/>
        <v>6.66666666666667</v>
      </c>
      <c r="AX6" s="39">
        <f t="shared" si="13"/>
        <v>11041.755</v>
      </c>
      <c r="AY6" s="39">
        <f t="shared" si="14"/>
        <v>86.6606666666667</v>
      </c>
      <c r="AZ6" s="39">
        <f>ROUND(((AU6*AV6)+(AW6*AX6))/(AU6+AW6),1)</f>
        <v>5166.2</v>
      </c>
      <c r="BA6" s="44"/>
      <c r="BB6" s="44" t="s">
        <v>83</v>
      </c>
      <c r="BC6" s="45" t="s">
        <v>84</v>
      </c>
      <c r="BD6" s="46" t="s">
        <v>85</v>
      </c>
      <c r="BE6" s="46" t="s">
        <v>86</v>
      </c>
      <c r="BF6" s="44"/>
      <c r="BG6" s="44"/>
      <c r="BH6" s="44"/>
      <c r="BI6" s="39"/>
      <c r="BJ6" s="39"/>
      <c r="BK6" s="39"/>
      <c r="BL6" s="47" t="s">
        <v>87</v>
      </c>
      <c r="BM6" t="s">
        <v>104</v>
      </c>
      <c r="BN6" t="s">
        <v>105</v>
      </c>
      <c r="BO6" s="39">
        <f t="shared" si="15"/>
        <v>154.66739</v>
      </c>
      <c r="BP6" s="48">
        <f t="shared" si="16"/>
        <v>306.667</v>
      </c>
      <c r="BQ6" s="49">
        <v>123562</v>
      </c>
    </row>
    <row r="7" ht="15.15" spans="1:69">
      <c r="A7" s="9"/>
      <c r="B7" s="10"/>
      <c r="C7" s="10"/>
      <c r="D7" s="11" t="s">
        <v>106</v>
      </c>
      <c r="E7" s="11"/>
      <c r="F7" s="11"/>
      <c r="G7" s="12"/>
      <c r="H7" s="13">
        <f>SUM(H4:H4)</f>
        <v>250</v>
      </c>
      <c r="I7" s="7"/>
      <c r="J7" s="7"/>
      <c r="K7" s="7"/>
      <c r="L7" s="7"/>
      <c r="M7" s="7"/>
      <c r="N7" s="7"/>
      <c r="O7" s="7"/>
      <c r="P7" s="7"/>
      <c r="Q7" s="7"/>
      <c r="R7" s="27">
        <f t="shared" ref="R7:X7" si="17">SUM(R4:R4)</f>
        <v>31.5</v>
      </c>
      <c r="S7" s="13">
        <f t="shared" si="17"/>
        <v>218.5</v>
      </c>
      <c r="T7" s="27"/>
      <c r="U7" s="27"/>
      <c r="V7" s="28">
        <f t="shared" si="17"/>
        <v>0</v>
      </c>
      <c r="W7" s="28">
        <f t="shared" si="17"/>
        <v>0</v>
      </c>
      <c r="X7" s="28">
        <f t="shared" si="17"/>
        <v>0</v>
      </c>
      <c r="Y7" s="28"/>
      <c r="Z7" s="28"/>
      <c r="AA7" s="28"/>
      <c r="AB7" s="27">
        <f t="shared" ref="AB7:AE7" si="18">SUM(AB4:AB4)</f>
        <v>0</v>
      </c>
      <c r="AC7" s="32">
        <f t="shared" si="18"/>
        <v>218.5</v>
      </c>
      <c r="AD7" s="33">
        <f t="shared" si="18"/>
        <v>120</v>
      </c>
      <c r="AE7" s="33">
        <f t="shared" si="18"/>
        <v>0</v>
      </c>
      <c r="AF7" s="32"/>
      <c r="AG7" s="33">
        <f t="shared" ref="AG7:AK7" si="19">SUM(AG4:AG4)</f>
        <v>0</v>
      </c>
      <c r="AH7" s="33">
        <f>IF($P$2=1,(S7/$S$7)*$E$21,AD7/$AD$7*$E$21)</f>
        <v>0</v>
      </c>
      <c r="AI7" s="33">
        <f t="shared" si="19"/>
        <v>18572.5</v>
      </c>
      <c r="AJ7" s="33">
        <f t="shared" si="19"/>
        <v>0</v>
      </c>
      <c r="AK7" s="33">
        <f t="shared" si="19"/>
        <v>0</v>
      </c>
      <c r="AL7" s="32"/>
      <c r="AM7" s="32"/>
      <c r="AN7" s="32"/>
      <c r="AO7" s="32"/>
      <c r="AP7" s="32"/>
      <c r="AQ7" s="32"/>
      <c r="AR7" s="32"/>
      <c r="AS7" s="9"/>
      <c r="AT7" s="9"/>
      <c r="AU7" s="40"/>
      <c r="AV7" s="4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40"/>
      <c r="BQ7" s="40"/>
    </row>
    <row r="8" ht="15.15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40"/>
      <c r="BQ8" s="40"/>
    </row>
    <row r="9" ht="15.15" spans="1:69">
      <c r="A9" s="9"/>
      <c r="B9" s="9"/>
      <c r="C9" s="9"/>
      <c r="D9" s="9"/>
      <c r="E9" s="9"/>
      <c r="F9" s="9"/>
      <c r="G9" s="14" t="s">
        <v>107</v>
      </c>
      <c r="H9" s="15"/>
      <c r="I9" s="19">
        <f>H7</f>
        <v>250</v>
      </c>
      <c r="J9" s="19"/>
      <c r="K9" s="9"/>
      <c r="L9" s="9"/>
      <c r="M9" s="20" t="s">
        <v>108</v>
      </c>
      <c r="N9" s="21"/>
      <c r="O9" s="21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 t="s">
        <v>109</v>
      </c>
      <c r="BI9" s="55" t="s">
        <v>110</v>
      </c>
      <c r="BJ9" s="9"/>
      <c r="BK9" s="9"/>
      <c r="BL9" s="9"/>
      <c r="BM9" s="9"/>
      <c r="BN9" s="9"/>
      <c r="BO9" s="9"/>
      <c r="BP9" s="40"/>
      <c r="BQ9" s="40"/>
    </row>
    <row r="10" ht="15.15" spans="1:69">
      <c r="A10" s="9"/>
      <c r="B10" s="9"/>
      <c r="C10" s="9"/>
      <c r="D10" s="9"/>
      <c r="E10" s="9"/>
      <c r="F10" s="9"/>
      <c r="G10" s="14" t="s">
        <v>111</v>
      </c>
      <c r="H10" s="15"/>
      <c r="I10" s="19">
        <f>R7</f>
        <v>31.5</v>
      </c>
      <c r="J10" s="19"/>
      <c r="K10" s="9"/>
      <c r="L10" s="9"/>
      <c r="M10" s="23">
        <v>1</v>
      </c>
      <c r="N10" s="23" t="s">
        <v>77</v>
      </c>
      <c r="O10" s="23">
        <v>2</v>
      </c>
      <c r="P10" s="23" t="s">
        <v>112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 t="s">
        <v>113</v>
      </c>
      <c r="BI10" s="55" t="s">
        <v>114</v>
      </c>
      <c r="BJ10" s="9"/>
      <c r="BK10" s="9"/>
      <c r="BL10" s="9"/>
      <c r="BM10" s="9"/>
      <c r="BN10" s="9"/>
      <c r="BO10" s="9"/>
      <c r="BP10" s="40"/>
      <c r="BQ10" s="40"/>
    </row>
    <row r="11" ht="15.15" spans="1:69">
      <c r="A11" s="9"/>
      <c r="B11" s="9"/>
      <c r="C11" s="9"/>
      <c r="D11" s="9"/>
      <c r="E11" s="9"/>
      <c r="F11" s="9"/>
      <c r="G11" s="14" t="s">
        <v>115</v>
      </c>
      <c r="H11" s="15"/>
      <c r="I11" s="19">
        <f>S7</f>
        <v>218.5</v>
      </c>
      <c r="J11" s="19"/>
      <c r="K11" s="9"/>
      <c r="L11" s="9"/>
      <c r="M11" s="7">
        <v>1</v>
      </c>
      <c r="N11" s="7" t="s">
        <v>77</v>
      </c>
      <c r="O11" s="7">
        <v>2.5</v>
      </c>
      <c r="P11" s="7" t="s">
        <v>116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40"/>
      <c r="BQ11" s="40"/>
    </row>
    <row r="12" ht="15.15" spans="1:69">
      <c r="A12" s="9"/>
      <c r="B12" s="9"/>
      <c r="C12" s="9"/>
      <c r="D12" s="9"/>
      <c r="E12" s="9"/>
      <c r="F12" s="9"/>
      <c r="G12" s="14" t="s">
        <v>117</v>
      </c>
      <c r="H12" s="15"/>
      <c r="I12" s="19">
        <f>AB7</f>
        <v>0</v>
      </c>
      <c r="J12" s="19"/>
      <c r="K12" s="9"/>
      <c r="L12" s="9"/>
      <c r="M12" s="7">
        <v>1</v>
      </c>
      <c r="N12" s="7" t="s">
        <v>112</v>
      </c>
      <c r="O12" s="7">
        <v>0.001</v>
      </c>
      <c r="P12" s="7" t="s">
        <v>118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40"/>
      <c r="BQ12" s="40"/>
    </row>
    <row r="13" ht="15.15" spans="1:69">
      <c r="A13" s="9"/>
      <c r="B13" s="9"/>
      <c r="C13" s="9"/>
      <c r="D13" s="9"/>
      <c r="E13" s="9"/>
      <c r="F13" s="9"/>
      <c r="G13" s="14" t="s">
        <v>119</v>
      </c>
      <c r="H13" s="15"/>
      <c r="I13" s="24">
        <f>I11+I12</f>
        <v>218.5</v>
      </c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40"/>
      <c r="BQ13" s="40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120</v>
      </c>
      <c r="BN14" s="9" t="s">
        <v>121</v>
      </c>
      <c r="BO14" s="9"/>
      <c r="BP14" s="40"/>
      <c r="BQ14" s="40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 t="s">
        <v>122</v>
      </c>
      <c r="BL15" s="9">
        <v>12.5</v>
      </c>
      <c r="BM15" s="9">
        <f>BL17*BL18</f>
        <v>18277.77</v>
      </c>
      <c r="BN15" s="9">
        <f>BL15*BL16</f>
        <v>6092.59</v>
      </c>
      <c r="BO15" s="9"/>
      <c r="BP15" s="40"/>
      <c r="BQ15" s="40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 t="s">
        <v>123</v>
      </c>
      <c r="BL16" s="9">
        <v>487.4072</v>
      </c>
      <c r="BM16" s="9">
        <f>BL15+BL17</f>
        <v>50</v>
      </c>
      <c r="BN16" s="9"/>
      <c r="BO16" s="9"/>
      <c r="BP16" s="40"/>
      <c r="BQ16" s="40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 t="s">
        <v>124</v>
      </c>
      <c r="BL17" s="9">
        <v>37.5</v>
      </c>
      <c r="BM17" s="9"/>
      <c r="BN17" s="9"/>
      <c r="BO17" s="9"/>
      <c r="BP17" s="40"/>
      <c r="BQ17" s="40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 t="s">
        <v>125</v>
      </c>
      <c r="BL18" s="9">
        <v>487.4072</v>
      </c>
      <c r="BM18" s="9"/>
      <c r="BN18" s="9"/>
      <c r="BO18" s="9"/>
      <c r="BP18" s="40"/>
      <c r="BQ18" s="40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>
        <f>BM15+BN15</f>
        <v>24370.36</v>
      </c>
      <c r="BN19" s="9">
        <f>BM19/BM16</f>
        <v>487.4072</v>
      </c>
      <c r="BO19" s="9"/>
      <c r="BP19" s="40"/>
      <c r="BQ19" s="40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40"/>
      <c r="BQ20" s="40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DGSUomWI</vt:lpstr>
      <vt:lpstr>DGSUomWoQWI</vt:lpstr>
      <vt:lpstr>DGDUomWI</vt:lpstr>
      <vt:lpstr>DGDUomWoQWI</vt:lpstr>
      <vt:lpstr>DGSUomWISer</vt:lpstr>
      <vt:lpstr>DGSUomWoQWISer</vt:lpstr>
      <vt:lpstr>DGSUomWoQRcWISer</vt:lpstr>
      <vt:lpstr>DGSUomWIRcSer</vt:lpstr>
      <vt:lpstr>DGSUomWIPlSer</vt:lpstr>
      <vt:lpstr>DGSUomWoQWIPlSer</vt:lpstr>
      <vt:lpstr>DGSUomWIRcImp</vt:lpstr>
      <vt:lpstr>DGSUomWIWoQRcImp</vt:lpstr>
      <vt:lpstr>DGDUomWIRcImp</vt:lpstr>
      <vt:lpstr>DGDUomWoQWIRcImp</vt:lpstr>
      <vt:lpstr>DGSUomWIPlImp</vt:lpstr>
      <vt:lpstr>DGSUomWIWoQPlImp</vt:lpstr>
      <vt:lpstr>DGDUomWIPlImp</vt:lpstr>
      <vt:lpstr>DGDUomWoQWIPlImp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Galaxy</cp:lastModifiedBy>
  <dcterms:created xsi:type="dcterms:W3CDTF">2025-10-30T08:14:00Z</dcterms:created>
  <dcterms:modified xsi:type="dcterms:W3CDTF">2026-02-12T07:42:31Z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FEE8BF966D104914809F8EEF0568325F_11</vt:lpwstr>
  </property>
  <property fmtid="{D5CDD505-2E9C-101B-9397-08002B2CF9AE}" pid="3" name="KSOProductBuildVer">
    <vt:lpwstr>1033-12.2.0.23196</vt:lpwstr>
  </property>
</Properties>
</file>