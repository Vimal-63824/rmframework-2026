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firstSheet="15" activeTab="18"/>
  </bookViews>
  <sheets>
    <sheet name="Sheet1" sheetId="5" r:id="rId1"/>
    <sheet name="DirectGrnGenUD" sheetId="2" r:id="rId2"/>
    <sheet name="DirectGrnMatUDD" sheetId="7" r:id="rId3"/>
    <sheet name="DirectGrnService" sheetId="3" r:id="rId4"/>
    <sheet name="DirectGrnRateContract" sheetId="4" r:id="rId5"/>
    <sheet name="DirectGrnServiceRateContract" sheetId="8" r:id="rId6"/>
    <sheet name="DirectGrnPriceList" sheetId="9" r:id="rId7"/>
    <sheet name="DirectGrnServicePriceList" sheetId="10" r:id="rId8"/>
    <sheet name="DirectGrnGenUDWOI" sheetId="11" r:id="rId9"/>
    <sheet name="DirectGrnMatUDDWOI" sheetId="12" r:id="rId10"/>
    <sheet name="DirectGrnServiceWOI" sheetId="13" r:id="rId11"/>
    <sheet name="DirectGrnRateContractWOI" sheetId="14" r:id="rId12"/>
    <sheet name="DirectGrnServiceRateContractWOI" sheetId="15" r:id="rId13"/>
    <sheet name="DirectGrnPriceListWOI" sheetId="16" r:id="rId14"/>
    <sheet name="DirectGrnServicePriceListWOI" sheetId="17" r:id="rId15"/>
    <sheet name="DIfUOMDirectGrnGenUD" sheetId="18" r:id="rId16"/>
    <sheet name="DIfUOMDirectMatUD" sheetId="19" r:id="rId17"/>
    <sheet name="DIfUOMDirectSerUD" sheetId="20" r:id="rId18"/>
    <sheet name="DIFUOMDirectGrnRateContract" sheetId="21" r:id="rId19"/>
    <sheet name="DIFUOMDirectGrnMatRateContract" sheetId="22" r:id="rId20"/>
    <sheet name="DIFUOMDirectGrnSerRateContract" sheetId="23" r:id="rId21"/>
    <sheet name="DIFUOMDirectGrnPriceList" sheetId="24" r:id="rId22"/>
    <sheet name="DIFUOMDirectGrnMatPriceList" sheetId="25" r:id="rId23"/>
    <sheet name="DIFUOMDirectGrnSerPriceList" sheetId="26" r:id="rId24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23" i="21"/>
  <c r="BO23"/>
  <c r="AZ23" i="2"/>
  <c r="AY23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P16"/>
  <c r="AM16"/>
  <c r="AW16" s="1"/>
  <c r="AK16"/>
  <c r="Y16"/>
  <c r="X16"/>
  <c r="H16"/>
  <c r="AD24" i="25"/>
  <c r="X24"/>
  <c r="H24"/>
  <c r="AM23"/>
  <c r="AW23" s="1"/>
  <c r="AK23"/>
  <c r="AP23" s="1"/>
  <c r="Y23"/>
  <c r="X23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M23" i="24"/>
  <c r="AW23" s="1"/>
  <c r="AK23"/>
  <c r="AP23" s="1"/>
  <c r="Y23"/>
  <c r="X23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K23"/>
  <c r="AP23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K24" i="24"/>
  <c r="AD24"/>
  <c r="X24"/>
  <c r="H18"/>
  <c r="H17"/>
  <c r="H16"/>
  <c r="H15"/>
  <c r="H14"/>
  <c r="H13"/>
  <c r="H12"/>
  <c r="H11"/>
  <c r="H10"/>
  <c r="H9"/>
  <c r="H8"/>
  <c r="H7"/>
  <c r="H6"/>
  <c r="H5"/>
  <c r="H19" s="1"/>
  <c r="H4"/>
  <c r="AD24" i="23"/>
  <c r="X24"/>
  <c r="H24"/>
  <c r="AP23"/>
  <c r="AM23"/>
  <c r="AW23" s="1"/>
  <c r="AK23"/>
  <c r="AK24" s="1"/>
  <c r="Y23"/>
  <c r="X23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Y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K23"/>
  <c r="AP23" s="1"/>
  <c r="Y23"/>
  <c r="X23"/>
  <c r="X24" s="1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BP23"/>
  <c r="AW23"/>
  <c r="AY23" s="1"/>
  <c r="AP23"/>
  <c r="AM23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7"/>
  <c r="H24"/>
  <c r="AP23"/>
  <c r="AM23"/>
  <c r="AW23" s="1"/>
  <c r="AK23"/>
  <c r="AK24" s="1"/>
  <c r="Y23"/>
  <c r="X23"/>
  <c r="X24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P23"/>
  <c r="AM23"/>
  <c r="AW23" s="1"/>
  <c r="AK23"/>
  <c r="AK24" s="1"/>
  <c r="Y23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K24" i="10"/>
  <c r="AD24"/>
  <c r="AW23"/>
  <c r="BP23" s="1"/>
  <c r="AP23"/>
  <c r="AM23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D24" i="4"/>
  <c r="AM23"/>
  <c r="AW23" s="1"/>
  <c r="AK23"/>
  <c r="AK24" s="1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AD24" i="2"/>
  <c r="AM23"/>
  <c r="AW23" s="1"/>
  <c r="AK23"/>
  <c r="AK24" s="1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8" i="7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H19" i="4" l="1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BP23" i="2"/>
  <c r="BP23" i="25"/>
  <c r="AY23"/>
  <c r="AK24"/>
  <c r="N23"/>
  <c r="AY23" i="24"/>
  <c r="BP23"/>
  <c r="H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BP23"/>
  <c r="H19" i="19"/>
  <c r="H19" i="18"/>
  <c r="BP23" i="26"/>
  <c r="AY23"/>
  <c r="AK24"/>
  <c r="N23"/>
  <c r="BP23" i="23"/>
  <c r="AY23"/>
  <c r="N23"/>
  <c r="H24" i="22"/>
  <c r="AK24"/>
  <c r="L23"/>
  <c r="M23" s="1"/>
  <c r="N23" s="1"/>
  <c r="L23" i="21"/>
  <c r="M23" s="1"/>
  <c r="BP23" i="20"/>
  <c r="AY23"/>
  <c r="L23"/>
  <c r="M23" s="1"/>
  <c r="H24"/>
  <c r="L23" i="19"/>
  <c r="M23" s="1"/>
  <c r="N23" s="1"/>
  <c r="AY23" i="18"/>
  <c r="BP23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P23" i="4"/>
  <c r="N23"/>
  <c r="O23" s="1"/>
  <c r="AY15" i="5"/>
  <c r="BP15"/>
  <c r="N9"/>
  <c r="O9" s="1"/>
  <c r="P9" s="1"/>
  <c r="Q9" s="1"/>
  <c r="AY23" i="4"/>
  <c r="BP23"/>
  <c r="H24"/>
  <c r="AY23" i="3"/>
  <c r="BP23"/>
  <c r="N23"/>
  <c r="AY9" i="5"/>
  <c r="BP9"/>
  <c r="AK24" i="7"/>
  <c r="H19"/>
  <c r="BP23"/>
  <c r="P23"/>
  <c r="Q23" s="1"/>
  <c r="R23" s="1"/>
  <c r="S23" s="1"/>
  <c r="AP23" i="2"/>
  <c r="H19"/>
  <c r="N23"/>
  <c r="O23" s="1"/>
  <c r="H24"/>
  <c r="H24" i="7"/>
  <c r="AK24" i="3"/>
  <c r="H24"/>
  <c r="AG23" i="5" l="1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P23" s="1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P23" i="4"/>
  <c r="Q23" s="1"/>
  <c r="R23" s="1"/>
  <c r="O23" i="3"/>
  <c r="R9" i="5"/>
  <c r="S9" s="1"/>
  <c r="AI23" i="7"/>
  <c r="AN23" s="1"/>
  <c r="AA23"/>
  <c r="V23"/>
  <c r="W23"/>
  <c r="P23" i="2"/>
  <c r="Q23" s="1"/>
  <c r="R23" s="1"/>
  <c r="AI21" i="5" l="1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R23" i="25"/>
  <c r="P23"/>
  <c r="Q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3" i="19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R24" i="4"/>
  <c r="S23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R24" i="2"/>
  <c r="S23"/>
  <c r="AA20" i="5" l="1"/>
  <c r="AB20" s="1"/>
  <c r="AC20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W18"/>
  <c r="AI18"/>
  <c r="AN18" s="1"/>
  <c r="AA18"/>
  <c r="AC18"/>
  <c r="P17"/>
  <c r="Q17" s="1"/>
  <c r="R17" s="1"/>
  <c r="S17" s="1"/>
  <c r="R24" i="25"/>
  <c r="S23"/>
  <c r="V23" i="24"/>
  <c r="AB23" s="1"/>
  <c r="AC23" s="1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S23"/>
  <c r="AI23" i="18"/>
  <c r="AA23"/>
  <c r="S24"/>
  <c r="AH23" s="1"/>
  <c r="AH24" s="1"/>
  <c r="V23"/>
  <c r="W23"/>
  <c r="W24" s="1"/>
  <c r="S24" i="17"/>
  <c r="AI23"/>
  <c r="AA23"/>
  <c r="AC23"/>
  <c r="AC24" s="1"/>
  <c r="V23"/>
  <c r="W23"/>
  <c r="W24" s="1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I23"/>
  <c r="AA23"/>
  <c r="AC23"/>
  <c r="AC24" s="1"/>
  <c r="V23"/>
  <c r="W23"/>
  <c r="W24" s="1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AI23" i="4"/>
  <c r="AA23"/>
  <c r="S24"/>
  <c r="V23"/>
  <c r="W23"/>
  <c r="W24" s="1"/>
  <c r="V23" i="3"/>
  <c r="W23"/>
  <c r="AI23"/>
  <c r="AN23" s="1"/>
  <c r="AA23"/>
  <c r="AC23"/>
  <c r="AI23" i="2"/>
  <c r="AA23"/>
  <c r="V23"/>
  <c r="W23"/>
  <c r="W24" s="1"/>
  <c r="S24"/>
  <c r="AE18" i="5" s="1"/>
  <c r="AH23" i="17" l="1"/>
  <c r="AH24" s="1"/>
  <c r="AB23" i="3"/>
  <c r="AG18" i="5"/>
  <c r="AH23" i="3"/>
  <c r="AG23" i="13"/>
  <c r="AB18" i="5"/>
  <c r="AH17"/>
  <c r="W17"/>
  <c r="AI17"/>
  <c r="AN17" s="1"/>
  <c r="AA17"/>
  <c r="AC17"/>
  <c r="AE17"/>
  <c r="AG17"/>
  <c r="AJ17" s="1"/>
  <c r="AO17" s="1"/>
  <c r="V17"/>
  <c r="AI16"/>
  <c r="AN16" s="1"/>
  <c r="AA16"/>
  <c r="AC16"/>
  <c r="AE16"/>
  <c r="AG16"/>
  <c r="AJ16" s="1"/>
  <c r="AO16" s="1"/>
  <c r="V16"/>
  <c r="AB16" s="1"/>
  <c r="AH16"/>
  <c r="W16"/>
  <c r="AE23" i="3"/>
  <c r="AG23" i="17"/>
  <c r="AH23" i="13"/>
  <c r="AH24" s="1"/>
  <c r="AH18" i="5"/>
  <c r="AE23" i="17"/>
  <c r="AE24" s="1"/>
  <c r="AG23" i="3"/>
  <c r="AJ23" s="1"/>
  <c r="AO23" s="1"/>
  <c r="AR23" s="1"/>
  <c r="AX23" s="1"/>
  <c r="AZ23" s="1"/>
  <c r="BO23" s="1"/>
  <c r="AE23" i="13"/>
  <c r="AE24" s="1"/>
  <c r="AE23" i="25"/>
  <c r="AE24" s="1"/>
  <c r="AH23"/>
  <c r="AH24" s="1"/>
  <c r="AG23"/>
  <c r="S24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AE23" i="26"/>
  <c r="AE24" s="1"/>
  <c r="W23"/>
  <c r="W24" s="1"/>
  <c r="AH23"/>
  <c r="AH24" s="1"/>
  <c r="S24"/>
  <c r="AI23"/>
  <c r="AA23"/>
  <c r="AC23"/>
  <c r="AC24" s="1"/>
  <c r="AG23"/>
  <c r="V23"/>
  <c r="W24" i="24"/>
  <c r="S24"/>
  <c r="AE23" i="23"/>
  <c r="AE24" s="1"/>
  <c r="W23"/>
  <c r="W24" s="1"/>
  <c r="S24"/>
  <c r="AI23"/>
  <c r="AA23"/>
  <c r="AH23"/>
  <c r="AH24" s="1"/>
  <c r="AG23"/>
  <c r="AC23"/>
  <c r="AC24" s="1"/>
  <c r="V23"/>
  <c r="AN23" i="22"/>
  <c r="AI24"/>
  <c r="AB23"/>
  <c r="V24"/>
  <c r="AE23"/>
  <c r="AE24" s="1"/>
  <c r="AG23"/>
  <c r="R24" i="21"/>
  <c r="S23"/>
  <c r="R24" i="20"/>
  <c r="S23"/>
  <c r="AA23" i="19"/>
  <c r="S24"/>
  <c r="AH23" s="1"/>
  <c r="AH24" s="1"/>
  <c r="V23"/>
  <c r="W23"/>
  <c r="W24" s="1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AH23" i="15"/>
  <c r="AH24" s="1"/>
  <c r="W23"/>
  <c r="W24" s="1"/>
  <c r="AA23"/>
  <c r="S24"/>
  <c r="AI23"/>
  <c r="AG23"/>
  <c r="V23"/>
  <c r="AC23"/>
  <c r="AC24" s="1"/>
  <c r="AE23"/>
  <c r="AE24" s="1"/>
  <c r="AI24" i="14"/>
  <c r="AN23"/>
  <c r="AG24"/>
  <c r="AJ23"/>
  <c r="AB23"/>
  <c r="V24"/>
  <c r="AG24" i="13"/>
  <c r="V24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AG23" i="4"/>
  <c r="AG24" s="1"/>
  <c r="AE23"/>
  <c r="AE24" s="1"/>
  <c r="AH23"/>
  <c r="AH24" s="1"/>
  <c r="AN23"/>
  <c r="AI24"/>
  <c r="AB23"/>
  <c r="V24"/>
  <c r="AG23" i="2"/>
  <c r="AG24" s="1"/>
  <c r="AH23"/>
  <c r="AH24" s="1"/>
  <c r="AB23"/>
  <c r="V24"/>
  <c r="AN23"/>
  <c r="AI24"/>
  <c r="AE23"/>
  <c r="AE24" s="1"/>
  <c r="R24" i="7"/>
  <c r="R24" i="3"/>
  <c r="AJ18" i="5" l="1"/>
  <c r="AO18" s="1"/>
  <c r="AR18" s="1"/>
  <c r="AX18" s="1"/>
  <c r="AZ18" s="1"/>
  <c r="BO18" s="1"/>
  <c r="AB17"/>
  <c r="AJ23" i="17"/>
  <c r="AI24" i="7"/>
  <c r="AR16" i="5"/>
  <c r="AX16" s="1"/>
  <c r="AZ16" s="1"/>
  <c r="BO16" s="1"/>
  <c r="AR17"/>
  <c r="AX17" s="1"/>
  <c r="AZ17" s="1"/>
  <c r="BO17" s="1"/>
  <c r="AJ23" i="13"/>
  <c r="AO23" s="1"/>
  <c r="AR23" s="1"/>
  <c r="AX23" s="1"/>
  <c r="AZ23" s="1"/>
  <c r="BO23" s="1"/>
  <c r="AG24" i="1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AG24" i="26"/>
  <c r="AJ23"/>
  <c r="V24"/>
  <c r="AB23"/>
  <c r="AB24" s="1"/>
  <c r="AI24"/>
  <c r="AN23"/>
  <c r="V24" i="24"/>
  <c r="AI24"/>
  <c r="V24" i="23"/>
  <c r="AB23"/>
  <c r="AB24" s="1"/>
  <c r="AG24"/>
  <c r="AJ23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AE23" i="20"/>
  <c r="AE24" s="1"/>
  <c r="AG23"/>
  <c r="V23"/>
  <c r="AH23"/>
  <c r="AH24" s="1"/>
  <c r="W23"/>
  <c r="W24" s="1"/>
  <c r="S24"/>
  <c r="AI23"/>
  <c r="AC23"/>
  <c r="AC24" s="1"/>
  <c r="AA23"/>
  <c r="AE23" i="19"/>
  <c r="AE24" s="1"/>
  <c r="AG23"/>
  <c r="AN23"/>
  <c r="AI24"/>
  <c r="V24"/>
  <c r="AB23"/>
  <c r="AJ23" i="18"/>
  <c r="AG24"/>
  <c r="AB24"/>
  <c r="AC23"/>
  <c r="AC24" s="1"/>
  <c r="AJ24" i="17"/>
  <c r="AO23"/>
  <c r="AR23" s="1"/>
  <c r="AX23" s="1"/>
  <c r="AZ23" s="1"/>
  <c r="BO23" s="1"/>
  <c r="AE23" i="16"/>
  <c r="AE24" s="1"/>
  <c r="AG23"/>
  <c r="V23"/>
  <c r="AH23"/>
  <c r="AH24" s="1"/>
  <c r="W23"/>
  <c r="W24" s="1"/>
  <c r="S24"/>
  <c r="AI23"/>
  <c r="AA23"/>
  <c r="AI24" i="15"/>
  <c r="AN23"/>
  <c r="AG24"/>
  <c r="AJ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AE23" i="10"/>
  <c r="AE24" s="1"/>
  <c r="AH23"/>
  <c r="AH24" s="1"/>
  <c r="W23"/>
  <c r="W24" s="1"/>
  <c r="S24"/>
  <c r="AI23"/>
  <c r="AG23"/>
  <c r="AA23"/>
  <c r="V23"/>
  <c r="AC23"/>
  <c r="AC24" s="1"/>
  <c r="AB24" i="9"/>
  <c r="AC23"/>
  <c r="AC24" s="1"/>
  <c r="AJ23"/>
  <c r="AG24"/>
  <c r="AE23" i="8"/>
  <c r="AE24" s="1"/>
  <c r="AG23"/>
  <c r="V23"/>
  <c r="AH23"/>
  <c r="AH24" s="1"/>
  <c r="W23"/>
  <c r="W24" s="1"/>
  <c r="S24"/>
  <c r="AI23"/>
  <c r="AA23"/>
  <c r="AC23"/>
  <c r="AC24" s="1"/>
  <c r="AJ23" i="4"/>
  <c r="AJ24" s="1"/>
  <c r="AB24"/>
  <c r="AC23"/>
  <c r="AC24" s="1"/>
  <c r="AB24" i="7"/>
  <c r="AJ23" i="2"/>
  <c r="AJ24" s="1"/>
  <c r="AB24"/>
  <c r="AC23"/>
  <c r="AC24" s="1"/>
  <c r="W24" i="7"/>
  <c r="S24"/>
  <c r="AE24" i="3"/>
  <c r="AH24"/>
  <c r="W24"/>
  <c r="S24"/>
  <c r="AJ24" i="13" l="1"/>
  <c r="AO23" i="25"/>
  <c r="AR23" s="1"/>
  <c r="AX23" s="1"/>
  <c r="AZ23" s="1"/>
  <c r="BO23" s="1"/>
  <c r="AJ24"/>
  <c r="AB24"/>
  <c r="AC23"/>
  <c r="AC24" s="1"/>
  <c r="AG24" i="24"/>
  <c r="AH23" i="21"/>
  <c r="AH24" s="1"/>
  <c r="AO23" i="26"/>
  <c r="AR23" s="1"/>
  <c r="AX23" s="1"/>
  <c r="AZ23" s="1"/>
  <c r="BO23" s="1"/>
  <c r="AJ24"/>
  <c r="AB24" i="24"/>
  <c r="AC24"/>
  <c r="AJ24"/>
  <c r="AO23" i="23"/>
  <c r="AR23" s="1"/>
  <c r="AX23" s="1"/>
  <c r="AZ23" s="1"/>
  <c r="BO23" s="1"/>
  <c r="AJ24"/>
  <c r="AO23" i="22"/>
  <c r="AR23" s="1"/>
  <c r="AX23" s="1"/>
  <c r="AZ23" s="1"/>
  <c r="BO23" s="1"/>
  <c r="AJ24"/>
  <c r="AB23" i="21"/>
  <c r="V24"/>
  <c r="AN23"/>
  <c r="AI24"/>
  <c r="AG23"/>
  <c r="AG24" i="20"/>
  <c r="AJ23"/>
  <c r="V24"/>
  <c r="AB23"/>
  <c r="AB24" s="1"/>
  <c r="AN23"/>
  <c r="AI24"/>
  <c r="AG24" i="19"/>
  <c r="AJ23"/>
  <c r="AB24"/>
  <c r="AC23"/>
  <c r="AC24" s="1"/>
  <c r="AO23" i="18"/>
  <c r="AR23" s="1"/>
  <c r="AX23" s="1"/>
  <c r="AZ23" s="1"/>
  <c r="BO23" s="1"/>
  <c r="AJ24"/>
  <c r="V24" i="16"/>
  <c r="AB23"/>
  <c r="AG24"/>
  <c r="AJ23"/>
  <c r="AI24"/>
  <c r="AN23"/>
  <c r="AJ24" i="15"/>
  <c r="AO23"/>
  <c r="AR23" s="1"/>
  <c r="AX23" s="1"/>
  <c r="AZ23" s="1"/>
  <c r="BO23" s="1"/>
  <c r="AI24" i="10"/>
  <c r="AN23"/>
  <c r="AG24"/>
  <c r="AJ23"/>
  <c r="V24"/>
  <c r="AB23"/>
  <c r="AB24" s="1"/>
  <c r="AJ24" i="9"/>
  <c r="AO23"/>
  <c r="AR23" s="1"/>
  <c r="AX23" s="1"/>
  <c r="AZ23" s="1"/>
  <c r="BO23" s="1"/>
  <c r="AI24" i="8"/>
  <c r="AN23"/>
  <c r="AG24"/>
  <c r="AJ23"/>
  <c r="V24"/>
  <c r="AB23"/>
  <c r="AB24" s="1"/>
  <c r="AO23" i="4"/>
  <c r="AR23" s="1"/>
  <c r="AX23" s="1"/>
  <c r="AZ23" s="1"/>
  <c r="BO23" s="1"/>
  <c r="AH23" i="7"/>
  <c r="AH24" s="1"/>
  <c r="AE23"/>
  <c r="AE24" s="1"/>
  <c r="AG23"/>
  <c r="AG24" s="1"/>
  <c r="AO23" i="2"/>
  <c r="AR23" s="1"/>
  <c r="AX23" s="1"/>
  <c r="BO23" s="1"/>
  <c r="V24" i="7"/>
  <c r="AG24" i="3"/>
  <c r="V24"/>
  <c r="AI24"/>
  <c r="AB24" i="21" l="1"/>
  <c r="AC23"/>
  <c r="AC24" s="1"/>
  <c r="AJ23"/>
  <c r="AG24"/>
  <c r="AO23" i="20"/>
  <c r="AR23" s="1"/>
  <c r="AX23" s="1"/>
  <c r="AZ23" s="1"/>
  <c r="BO23" s="1"/>
  <c r="AJ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R23" i="10"/>
  <c r="AX23" s="1"/>
  <c r="AZ23" s="1"/>
  <c r="BO23" s="1"/>
  <c r="AO23"/>
  <c r="AJ24"/>
  <c r="AR23" i="8"/>
  <c r="AX23" s="1"/>
  <c r="AZ23" s="1"/>
  <c r="BO23" s="1"/>
  <c r="AO23"/>
  <c r="AJ24"/>
  <c r="AJ23" i="7"/>
  <c r="AJ24" i="3"/>
  <c r="AB24"/>
  <c r="AC24"/>
  <c r="AO23" i="21" l="1"/>
  <c r="AR23" s="1"/>
  <c r="AX23" s="1"/>
  <c r="AZ23" s="1"/>
  <c r="AJ24"/>
  <c r="AO23" i="7"/>
  <c r="AR23" s="1"/>
  <c r="AX23" s="1"/>
  <c r="AZ23" s="1"/>
  <c r="BO23" s="1"/>
  <c r="AJ24"/>
</calcChain>
</file>

<file path=xl/sharedStrings.xml><?xml version="1.0" encoding="utf-8"?>
<sst xmlns="http://schemas.openxmlformats.org/spreadsheetml/2006/main" count="4118" uniqueCount="197">
  <si>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</si>
  <si>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</si>
  <si>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</si>
  <si>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</si>
  <si>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</si>
  <si>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</si>
  <si>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</si>
  <si>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</si>
  <si>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</si>
  <si>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</si>
  <si>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</si>
  <si>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</si>
  <si>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</si>
  <si>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</si>
  <si>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</si>
  <si>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</si>
  <si>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</si>
  <si>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</si>
  <si>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</si>
  <si>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</si>
  <si>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</si>
  <si>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</si>
  <si>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</si>
  <si>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</si>
  <si>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</si>
  <si>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</si>
  <si>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</si>
  <si>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</si>
  <si>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</si>
  <si>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</si>
  <si>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</si>
  <si>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</si>
  <si>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</si>
  <si>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</si>
  <si>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</si>
  <si>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</si>
  <si>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</si>
  <si>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</si>
  <si>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</si>
  <si>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</si>
  <si>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</si>
  <si>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</si>
  <si>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</si>
  <si>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</si>
  <si>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</si>
  <si>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</si>
  <si>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</si>
  <si>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</si>
  <si>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</si>
  <si>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</si>
  <si>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</si>
  <si>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</si>
  <si>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</si>
  <si>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</si>
  <si>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</si>
  <si>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</si>
  <si>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</si>
  <si>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</si>
  <si>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</si>
  <si>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</si>
  <si>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</si>
  <si>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</si>
  <si>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</si>
  <si>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</si>
  <si>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</si>
  <si>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</si>
  <si>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</si>
  <si>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</si>
  <si>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</si>
  <si>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</si>
  <si>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</si>
  <si>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</si>
  <si>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</si>
  <si>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</si>
  <si>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</si>
  <si>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</si>
  <si>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</si>
  <si>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</si>
  <si>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</si>
  <si>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</si>
  <si>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</si>
  <si>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</si>
  <si>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</si>
  <si>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</si>
  <si>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</si>
  <si>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</si>
  <si>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</si>
  <si>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</si>
  <si>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</si>
  <si>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</si>
  <si>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</si>
  <si>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</si>
  <si>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</si>
  <si>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</si>
  <si>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</si>
  <si>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</si>
  <si>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</si>
  <si>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</si>
  <si>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</si>
  <si>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</si>
  <si>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</si>
  <si>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</si>
  <si>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</si>
  <si>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</si>
  <si>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</si>
  <si>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</si>
  <si>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</si>
  <si>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</si>
  <si>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</si>
  <si>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</si>
  <si>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</si>
  <si>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</si>
  <si>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</si>
  <si>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</si>
  <si>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</si>
  <si>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</si>
  <si>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</si>
  <si>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</si>
  <si>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</si>
  <si>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</si>
  <si>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</si>
  <si>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</si>
  <si>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</si>
  <si>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</si>
  <si>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</si>
  <si>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</si>
  <si>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</si>
  <si>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</si>
  <si>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</si>
  <si>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</si>
  <si>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</si>
  <si>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</si>
  <si>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</si>
  <si>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</si>
  <si>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</si>
  <si>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</si>
  <si>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</si>
  <si>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</si>
  <si>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</si>
  <si>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</si>
  <si>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</si>
  <si>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</si>
  <si>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</si>
  <si>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</si>
  <si>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</si>
  <si>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</si>
  <si>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</si>
  <si>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</si>
  <si>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</si>
  <si>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</si>
  <si>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</si>
  <si>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</si>
  <si>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</si>
  <si>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</si>
  <si>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</si>
  <si>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</si>
  <si>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</si>
  <si>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</si>
  <si>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</si>
  <si>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</si>
  <si>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</si>
  <si>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</si>
  <si>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</si>
  <si>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</si>
  <si>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</si>
  <si>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</si>
  <si>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KD-DISS-UOM-10001</t>
  </si>
  <si>
    <t>KD-DISS-UOM-10001-Rate Contract</t>
  </si>
  <si>
    <t>KGS</t>
  </si>
  <si>
    <t>KD-DISS-UOM-10001-PriceList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</si>
  <si>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</si>
  <si>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</si>
  <si>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</si>
  <si>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</si>
  <si>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</si>
  <si>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</si>
  <si>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</si>
  <si>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</si>
  <si>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</si>
  <si>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1.334</t>
  </si>
  <si>
    <t>55.89</t>
  </si>
  <si>
    <t>56.46</t>
  </si>
  <si>
    <t>18</t>
  </si>
  <si>
    <t>185.02695</t>
  </si>
  <si>
    <t>184.24408</t>
  </si>
  <si>
    <t>189.55072</t>
  </si>
  <si>
    <t>190.42571</t>
  </si>
  <si>
    <t>57.048</t>
  </si>
  <si>
    <t>71.668</t>
  </si>
  <si>
    <t>56.96721</t>
  </si>
  <si>
    <t>14090</t>
  </si>
  <si>
    <t>121.22038</t>
  </si>
  <si>
    <t>691</t>
  </si>
  <si>
    <t>146.85967</t>
  </si>
  <si>
    <t>TVS-SER-10001-PriceList</t>
  </si>
  <si>
    <t>TVS-SER-10001-RateContract</t>
  </si>
  <si>
    <t>TVS-RM-KDK-101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</si>
</sst>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Calibri"/>
      <charset val="134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0"/>
      <color rgb="FF000000"/>
      <name val="Consolas"/>
      <charset val="134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8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/>
    <xf numFmtId="0" fontId="1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3" fillId="0" borderId="0" xfId="0" applyFont="1" applyBorder="1" applyAlignment="1">
      <alignment horizontal="left" vertical="top"/>
    </xf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5" xfId="0" applyFont="1" applyBorder="1"/>
    <xf numFmtId="164" fontId="4" fillId="0" borderId="5" xfId="0" applyNumberFormat="1" applyFont="1" applyBorder="1"/>
    <xf numFmtId="2" fontId="4" fillId="0" borderId="5" xfId="0" applyNumberFormat="1" applyFont="1" applyBorder="1"/>
    <xf numFmtId="2" fontId="4" fillId="0" borderId="6" xfId="0" applyNumberFormat="1" applyFont="1" applyBorder="1"/>
    <xf numFmtId="10" fontId="4" fillId="0" borderId="0" xfId="0" applyNumberFormat="1" applyFont="1" applyFill="1" applyBorder="1"/>
    <xf numFmtId="2" fontId="4" fillId="0" borderId="0" xfId="0" applyNumberFormat="1" applyFont="1" applyFill="1" applyBorder="1"/>
    <xf numFmtId="0" fontId="6" fillId="0" borderId="0" xfId="0" applyFont="1"/>
    <xf numFmtId="0" fontId="4" fillId="0" borderId="7" xfId="0" applyFont="1" applyBorder="1"/>
    <xf numFmtId="0" fontId="4" fillId="0" borderId="8" xfId="0" applyFont="1" applyBorder="1"/>
    <xf numFmtId="164" fontId="4" fillId="0" borderId="8" xfId="0" applyNumberFormat="1" applyFont="1" applyBorder="1"/>
    <xf numFmtId="2" fontId="4" fillId="0" borderId="8" xfId="0" applyNumberFormat="1" applyFont="1" applyBorder="1"/>
    <xf numFmtId="2" fontId="4" fillId="0" borderId="9" xfId="0" applyNumberFormat="1" applyFont="1" applyBorder="1"/>
    <xf numFmtId="0" fontId="5" fillId="3" borderId="11" xfId="0" applyFont="1" applyFill="1" applyBorder="1" applyAlignment="1">
      <alignment vertical="top"/>
    </xf>
    <xf numFmtId="0" fontId="4" fillId="0" borderId="0" xfId="0" applyFont="1" applyBorder="1"/>
    <xf numFmtId="0" fontId="5" fillId="0" borderId="0" xfId="0" applyFont="1" applyFill="1" applyBorder="1"/>
    <xf numFmtId="0" fontId="5" fillId="0" borderId="0" xfId="0" applyFont="1" applyFill="1" applyBorder="1" applyAlignment="1">
      <alignment horizontal="center"/>
    </xf>
    <xf numFmtId="0" fontId="4" fillId="0" borderId="0" xfId="0" applyFont="1" applyFill="1" applyBorder="1"/>
    <xf numFmtId="0" fontId="5" fillId="0" borderId="0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 wrapText="1"/>
    </xf>
    <xf numFmtId="0" fontId="5" fillId="7" borderId="12" xfId="0" applyFont="1" applyFill="1" applyBorder="1" applyAlignment="1">
      <alignment horizontal="center" vertical="center"/>
    </xf>
    <xf numFmtId="0" fontId="4" fillId="2" borderId="2" xfId="0" applyFont="1" applyFill="1" applyBorder="1"/>
    <xf numFmtId="0" fontId="4" fillId="2" borderId="13" xfId="0" applyFont="1" applyFill="1" applyBorder="1"/>
    <xf numFmtId="0" fontId="4" fillId="2" borderId="2" xfId="0" applyFont="1" applyFill="1" applyBorder="1" applyAlignment="1"/>
    <xf numFmtId="0" fontId="4" fillId="0" borderId="14" xfId="0" applyFont="1" applyBorder="1"/>
    <xf numFmtId="0" fontId="4" fillId="0" borderId="14" xfId="0" applyNumberFormat="1" applyFont="1" applyBorder="1"/>
    <xf numFmtId="10" fontId="4" fillId="0" borderId="14" xfId="0" applyNumberFormat="1" applyFont="1" applyBorder="1"/>
    <xf numFmtId="0" fontId="4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5" fillId="3" borderId="16" xfId="0" applyFont="1" applyFill="1" applyBorder="1" applyAlignment="1"/>
    <xf numFmtId="0" fontId="5" fillId="3" borderId="17" xfId="0" applyFont="1" applyFill="1" applyBorder="1" applyAlignment="1"/>
    <xf numFmtId="0" fontId="5" fillId="3" borderId="14" xfId="0" applyFont="1" applyFill="1" applyBorder="1"/>
    <xf numFmtId="0" fontId="5" fillId="3" borderId="14" xfId="0" applyNumberFormat="1" applyFont="1" applyFill="1" applyBorder="1"/>
    <xf numFmtId="2" fontId="5" fillId="3" borderId="14" xfId="0" applyNumberFormat="1" applyFont="1" applyFill="1" applyBorder="1"/>
    <xf numFmtId="0" fontId="5" fillId="6" borderId="14" xfId="0" applyFont="1" applyFill="1" applyBorder="1"/>
    <xf numFmtId="2" fontId="5" fillId="6" borderId="14" xfId="0" applyNumberFormat="1" applyFont="1" applyFill="1" applyBorder="1"/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164" fontId="0" fillId="0" borderId="0" xfId="0" applyNumberFormat="1"/>
    <xf numFmtId="0" fontId="3" fillId="0" borderId="0" xfId="0" applyFont="1" applyBorder="1" applyAlignment="1">
      <alignment horizontal="left" vertical="top"/>
    </xf>
    <xf numFmtId="0" fontId="5" fillId="3" borderId="10" xfId="0" applyFont="1" applyFill="1" applyBorder="1" applyAlignment="1">
      <alignment horizontal="center" vertical="top"/>
    </xf>
    <xf numFmtId="0" fontId="4" fillId="0" borderId="0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width="27.28515625" bestFit="1" customWidth="1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>
        <v>127</v>
      </c>
      <c r="AV9" t="s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>
        <v>146</v>
      </c>
      <c r="BN9" t="s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>
        <f>ROUND(AN15+AO15+AP15,5)</f>
        <v>#DIV/0!</v>
      </c>
      <c r="AS15" t="s">
        <v>107</v>
      </c>
      <c r="AT15" s="48" t="s">
        <v>12</v>
      </c>
      <c r="AU15" t="s">
        <v>131</v>
      </c>
      <c r="AV15" t="s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>
        <v>149</v>
      </c>
      <c r="BN15" t="s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IF(OR(DirectGrnGenUD!$C$21=1,DirectGrnGenUD!$C$21=4),ROUND(((S16*U16)/2),2),0)</f>
        <v>42.18</v>
      </c>
      <c r="W16" s="46">
        <f>IF(DirectGrnGenUD!$C$21=1,ROUND(((S16*U16)/2),2),0)</f>
        <v>42.18</v>
      </c>
      <c r="X16" s="46">
        <f>IF(DirectGrnGenUD!$C$21=2,ROUND(((S16*U16)),2),0)</f>
        <v>0</v>
      </c>
      <c r="Y16" s="46">
        <f>IF(DirectGrnGenUD!$C$21=4,ROUND(((S16*U16)/2),2),0)</f>
        <v>0</v>
      </c>
      <c r="Z16" s="47">
        <v>0.06</v>
      </c>
      <c r="AA16" s="46">
        <f>IF(DirectGrnGenUD!$C22=3,0,S16*Z16)</f>
        <v>28.119600000000002</v>
      </c>
      <c r="AB16" s="46">
        <f>V16+W16+X16+Y16+AA16</f>
        <v>112.4796</v>
      </c>
      <c r="AC16" s="46">
        <f>IF(DirectGrnGenUD!$V22=1,S16+AB16,S16)</f>
        <v>468.66</v>
      </c>
      <c r="AD16" s="46">
        <v>120</v>
      </c>
      <c r="AE16" s="46">
        <f>IF(DirectGrnGenUD!$P$21=1,(S16/DirectGrnGenUD!$S$24)*DirectGrnGenUD!$E$35,AD16/DirectGrnGenUD!$AD$24*DirectGrnGenUD!$E$35)</f>
        <v>0</v>
      </c>
      <c r="AF16" s="46"/>
      <c r="AG16" s="46">
        <f>IF(DirectGrnGenUD!$P$21=1,(S16/DirectGrnGenUD!$S$24)*DirectGrnGenUD!$E$37,AD16/DirectGrnGenUD!$AD$24*DirectGrnGenUD!$E$37)</f>
        <v>0</v>
      </c>
      <c r="AH16" s="46">
        <f>IF(DirectGrnGenUD!$P$21=1,(S16/DirectGrnGenUD!$S$24)*DirectGrnGenUD!$E$37,AD16/DirectGrnGenUD!$AD$24*DirectGrnGenUD!$E$37)</f>
        <v>0</v>
      </c>
      <c r="AI16" s="46">
        <f>S16*DirectGrnGenUD!$M$21</f>
        <v>468.66</v>
      </c>
      <c r="AJ16" s="46">
        <f>IF(DirectGrnGenUD!$C$21=3,0,AG16+AH16)</f>
        <v>0</v>
      </c>
      <c r="AK16" s="46">
        <f>IF(DirectGrnGenUD!$C$21=3,AE16+AG16+AH16,0)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>
        <f>ROUND(AN16+AO16+AP16,5)</f>
        <v>234.33</v>
      </c>
      <c r="AS16" t="s">
        <v>107</v>
      </c>
      <c r="AT16" s="48" t="s">
        <v>12</v>
      </c>
      <c r="AU16" t="s">
        <v>135</v>
      </c>
      <c r="AV16" t="s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>
        <v>134</v>
      </c>
      <c r="BN16" t="s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IF(OR(DirectGrnGenUD!$C$21=1,DirectGrnGenUD!$C$21=4),ROUND(((S17*U17)/2),2),0)</f>
        <v>42.18</v>
      </c>
      <c r="W17" s="46">
        <f>IF(DirectGrnGenUD!$C$21=1,ROUND(((S17*U17)/2),2),0)</f>
        <v>42.18</v>
      </c>
      <c r="X17" s="46">
        <f>IF(DirectGrnGenUD!$C$21=2,ROUND(((S17*U17)),2),0)</f>
        <v>0</v>
      </c>
      <c r="Y17" s="46">
        <f>IF(DirectGrnGenUD!$C$21=4,ROUND(((S17*U17)/2),2),0)</f>
        <v>0</v>
      </c>
      <c r="Z17" s="47">
        <v>0.06</v>
      </c>
      <c r="AA17" s="46">
        <f>IF(DirectGrnGenUD!$C28=3,0,S17*Z17)</f>
        <v>28.119600000000002</v>
      </c>
      <c r="AB17" s="46">
        <f>V17+W17+X17+Y17+AA17</f>
        <v>112.4796</v>
      </c>
      <c r="AC17" s="46">
        <f>IF(DirectGrnGenUD!$V28=1,S17+AB17,S17)</f>
        <v>468.66</v>
      </c>
      <c r="AD17" s="46">
        <v>120</v>
      </c>
      <c r="AE17" s="46">
        <f>IF(DirectGrnGenUD!$P$21=1,(S17/DirectGrnGenUD!$S$24)*DirectGrnGenUD!$E$35,AD17/DirectGrnGenUD!$AD$24*DirectGrnGenUD!$E$35)</f>
        <v>0</v>
      </c>
      <c r="AF17" s="46"/>
      <c r="AG17" s="46">
        <f>IF(DirectGrnGenUD!$P$21=1,(S17/DirectGrnGenUD!$S$24)*DirectGrnGenUD!$E$37,AD17/DirectGrnGenUD!$AD$24*DirectGrnGenUD!$E$37)</f>
        <v>0</v>
      </c>
      <c r="AH17" s="46">
        <f>IF(DirectGrnGenUD!$P$21=1,(S17/DirectGrnGenUD!$S$24)*DirectGrnGenUD!$E$37,AD17/DirectGrnGenUD!$AD$24*DirectGrnGenUD!$E$37)</f>
        <v>0</v>
      </c>
      <c r="AI17" s="46">
        <f>S17*DirectGrnGenUD!$M$21</f>
        <v>468.66</v>
      </c>
      <c r="AJ17" s="46">
        <f>IF(DirectGrnGenUD!$C$21=3,0,AG17+AH17)</f>
        <v>0</v>
      </c>
      <c r="AK17" s="46">
        <f>IF(DirectGrnGenUD!$C$21=3,AE17+AG17+AH17,0)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>
        <f>ROUND(AN17+AO17+AP17,5)</f>
        <v>234.33</v>
      </c>
      <c r="AS17" t="s">
        <v>107</v>
      </c>
      <c r="AT17" s="48" t="s">
        <v>12</v>
      </c>
      <c r="AU17" t="s">
        <v>108</v>
      </c>
      <c r="AV17" t="s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IF(OR(DirectGrnGenUD!$C$21=1,DirectGrnGenUD!$C$21=4),ROUND(((S18*U18)/2),2),0)</f>
        <v>42.18</v>
      </c>
      <c r="W18" s="46">
        <f>IF(DirectGrnGenUD!$C$21=1,ROUND(((S18*U18)/2),2),0)</f>
        <v>42.18</v>
      </c>
      <c r="X18" s="46">
        <f>IF(DirectGrnGenUD!$C$21=2,ROUND(((S18*U18)),2),0)</f>
        <v>0</v>
      </c>
      <c r="Y18" s="46">
        <f>IF(DirectGrnGenUD!$C$21=4,ROUND(((S18*U18)/2),2),0)</f>
        <v>0</v>
      </c>
      <c r="Z18" s="47">
        <v>0.06</v>
      </c>
      <c r="AA18" s="46">
        <f>IF(DirectGrnGenUD!$C27=3,0,S18*Z18)</f>
        <v>28.119600000000002</v>
      </c>
      <c r="AB18" s="46">
        <f>V18+W18+X18+Y18+AA18</f>
        <v>112.4796</v>
      </c>
      <c r="AC18" s="46">
        <f>IF(DirectGrnGenUD!$V27=1,S18+AB18,S18)</f>
        <v>468.66</v>
      </c>
      <c r="AD18" s="46">
        <v>120</v>
      </c>
      <c r="AE18" s="46">
        <f>IF(DirectGrnGenUD!$P$21=1,(S18/DirectGrnGenUD!$S$24)*DirectGrnGenUD!$E$35,AD18/DirectGrnGenUD!$AD$24*DirectGrnGenUD!$E$35)</f>
        <v>0</v>
      </c>
      <c r="AF18" s="46"/>
      <c r="AG18" s="46">
        <f>IF(DirectGrnGenUD!$P$21=1,(S18/DirectGrnGenUD!$S$24)*DirectGrnGenUD!$E$37,AD18/DirectGrnGenUD!$AD$24*DirectGrnGenUD!$E$37)</f>
        <v>0</v>
      </c>
      <c r="AH18" s="46">
        <f>IF(DirectGrnGenUD!$P$21=1,(S18/DirectGrnGenUD!$S$24)*DirectGrnGenUD!$E$37,AD18/DirectGrnGenUD!$AD$24*DirectGrnGenUD!$E$37)</f>
        <v>0</v>
      </c>
      <c r="AI18" s="46">
        <f>S18*DirectGrnGenUD!$M$21</f>
        <v>468.66</v>
      </c>
      <c r="AJ18" s="46">
        <f>IF(DirectGrnGenUD!$C$21=3,0,AG18+AH18)</f>
        <v>0</v>
      </c>
      <c r="AK18" s="46">
        <f>IF(DirectGrnGenUD!$C$21=3,AE18+AG18+AH18,0)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>
        <f>ROUND(AN18+AO18+AP18,5)</f>
        <v>234.33</v>
      </c>
      <c r="AS18" t="s">
        <v>107</v>
      </c>
      <c r="AT18" s="48" t="s">
        <v>12</v>
      </c>
      <c r="AU18" t="s">
        <v>130</v>
      </c>
      <c r="AV18" t="s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>
        <v>153</v>
      </c>
      <c r="BN18" t="s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>
        <f>ROUND(AN20+AO20+AP20,5)</f>
        <v>#DIV/0!</v>
      </c>
      <c r="AS20" t="s">
        <v>107</v>
      </c>
      <c r="AT20" s="48" t="s">
        <v>12</v>
      </c>
      <c r="AU20" t="s">
        <v>155</v>
      </c>
      <c r="AV20" t="s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>
        <v>156</v>
      </c>
      <c r="BN20" t="s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>
        <f t="shared" ref="AR21:AR23" si="30">ROUND(AN21+AO21+AP21,5)</f>
        <v>#DIV/0!</v>
      </c>
      <c r="AS21" t="s">
        <v>107</v>
      </c>
      <c r="AT21" s="48" t="s">
        <v>12</v>
      </c>
      <c r="AU21" t="s">
        <v>131</v>
      </c>
      <c r="AV21" t="s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>
        <v>108</v>
      </c>
      <c r="BN21" t="s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>
        <f t="shared" si="30"/>
        <v>#DIV/0!</v>
      </c>
      <c r="AS22" t="s">
        <v>107</v>
      </c>
      <c r="AT22" s="48" t="s">
        <v>12</v>
      </c>
      <c r="AU22" t="s">
        <v>158</v>
      </c>
      <c r="AV22" t="s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>
        <v>108</v>
      </c>
      <c r="BN22" t="s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>
        <f t="shared" si="30"/>
        <v>#DIV/0!</v>
      </c>
      <c r="AS23" t="s">
        <v>107</v>
      </c>
      <c r="AT23" s="48" t="s">
        <v>12</v>
      </c>
      <c r="AU23" t="s">
        <v>108</v>
      </c>
      <c r="AV23" t="s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>
        <v>128</v>
      </c>
      <c r="H31" s="46">
        <f>F31*G31</f>
        <v>600</v>
      </c>
      <c r="I31" t="s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>
        <f>ROUND(AN31+AO31+AP31,5)</f>
        <v>279.47500000000002</v>
      </c>
      <c r="AS31" t="s">
        <v>107</v>
      </c>
      <c r="AT31" s="48" t="s">
        <v>12</v>
      </c>
      <c r="AU31" t="s">
        <v>162</v>
      </c>
      <c r="AV31" t="s">
        <v>170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>
        <v>108</v>
      </c>
      <c r="BN31" t="s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>
        <v>129</v>
      </c>
      <c r="H32" s="46">
        <f>F32*G32</f>
        <v>800</v>
      </c>
      <c r="I32" t="s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>
        <f>ROUND(AN32+AO32+AP32,5)</f>
        <v>372.63499999999999</v>
      </c>
      <c r="AS32" t="s">
        <v>107</v>
      </c>
      <c r="AT32" s="48" t="s">
        <v>12</v>
      </c>
      <c r="AU32" t="s">
        <v>171</v>
      </c>
      <c r="AV32" t="s">
        <v>172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>
        <v>108</v>
      </c>
      <c r="BN32" t="s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>
        <v>161</v>
      </c>
      <c r="H33" s="46">
        <f>F33*G33</f>
        <v>1000</v>
      </c>
      <c r="I33" t="s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>
        <f>ROUND(AN33+AO33+AP33,5)</f>
        <v>465.79500000000002</v>
      </c>
      <c r="AS33" t="s">
        <v>107</v>
      </c>
      <c r="AT33" s="48" t="s">
        <v>12</v>
      </c>
      <c r="AU33" t="s">
        <v>108</v>
      </c>
      <c r="AV33" t="s">
        <v>173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>
        <v>108</v>
      </c>
      <c r="BN33" t="s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>
        <v>128</v>
      </c>
      <c r="H35" s="46">
        <f>F35*G35</f>
        <v>600</v>
      </c>
      <c r="I35" t="s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>
        <f>ROUND(AN35+AO35+AP35,5)</f>
        <v>279.47500000000002</v>
      </c>
      <c r="AS35" t="s">
        <v>107</v>
      </c>
      <c r="AT35" s="48" t="s">
        <v>12</v>
      </c>
      <c r="AU35" t="s">
        <v>174</v>
      </c>
      <c r="AV35" t="s">
        <v>175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>
        <v>108</v>
      </c>
      <c r="BN35" t="s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>
        <v>129</v>
      </c>
      <c r="H36" s="46">
        <f>F36*G36</f>
        <v>800</v>
      </c>
      <c r="I36" t="s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>
        <f>ROUND(AN36+AO36+AP36,5)</f>
        <v>372.63499999999999</v>
      </c>
      <c r="AS36" t="s">
        <v>107</v>
      </c>
      <c r="AT36" s="48" t="s">
        <v>12</v>
      </c>
      <c r="AU36" t="s">
        <v>176</v>
      </c>
      <c r="AV36" t="s">
        <v>177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>
        <v>108</v>
      </c>
      <c r="BN36" t="s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>
        <v>161</v>
      </c>
      <c r="H37" s="46">
        <f>F37*G37</f>
        <v>1000</v>
      </c>
      <c r="I37" t="s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>
        <f>ROUND(AN37+AO37+AP37,5)</f>
        <v>465.79500000000002</v>
      </c>
      <c r="AS37" t="s">
        <v>107</v>
      </c>
      <c r="AT37" s="48" t="s">
        <v>12</v>
      </c>
      <c r="AU37" t="s">
        <v>108</v>
      </c>
      <c r="AV37" t="s">
        <v>173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>
        <v>108</v>
      </c>
      <c r="BN37" t="s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5"/>
  <sheetViews>
    <sheetView topLeftCell="A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196</v>
      </c>
      <c r="C23" s="2" t="s">
        <v>196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107</v>
      </c>
      <c r="AT23" s="48" t="s">
        <v>12</v>
      </c>
      <c r="AU23" t="s">
        <v>190</v>
      </c>
      <c r="AV23" t="s">
        <v>191</v>
      </c>
      <c r="AW23" s="48">
        <f>AM23</f>
        <v>2</v>
      </c>
      <c r="AX23" s="48">
        <f>AR23</f>
        <v>282.33</v>
      </c>
      <c r="AY23" s="48">
        <f>AU23+AW23</f>
        <v>49</v>
      </c>
      <c r="AZ23" s="48">
        <f>ROUND(((AU23*AV23)+(AW23*AX23))/(AU23+AW23),5)</f>
        <v>257.23235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193</v>
      </c>
      <c r="BN23" t="s">
        <v>192</v>
      </c>
      <c r="BO23" s="48">
        <f>ROUND((((AW23*AZ23)+(BN23*BM23))/(AW23+BN23)),5)</f>
        <v>282.33</v>
      </c>
      <c r="BP23" s="4">
        <f>BN23+AW23</f>
        <v>14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196</v>
      </c>
      <c r="C23" s="2" t="s">
        <v>196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107</v>
      </c>
      <c r="AT23" s="48" t="s">
        <v>12</v>
      </c>
      <c r="AU23" t="s">
        <v>131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182</v>
      </c>
      <c r="BO23" s="48">
        <f>ROUND((((AW23*AZ23)+(BN23*BM23))/(AW23+BN23)),5)</f>
        <v>282.33</v>
      </c>
      <c r="BP23" s="4">
        <f>BN23+AW23</f>
        <v>16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C31" sqref="C3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117</v>
      </c>
      <c r="C23" s="45" t="s">
        <v>117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107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123</v>
      </c>
      <c r="C23" s="2" t="s">
        <v>123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107</v>
      </c>
      <c r="AT23" s="48" t="s">
        <v>12</v>
      </c>
      <c r="AU23" t="s">
        <v>155</v>
      </c>
      <c r="AV23" t="s">
        <v>185</v>
      </c>
      <c r="AW23" s="48">
        <f>AM23</f>
        <v>2</v>
      </c>
      <c r="AX23" s="48">
        <f>AR23</f>
        <v>186.32</v>
      </c>
      <c r="AY23" s="48">
        <f>AU23+AW23</f>
        <v>10</v>
      </c>
      <c r="AZ23" s="48">
        <f>ROUND(((AU23*AV23)+(AW23*AX23))/(AU23+AW23),5)</f>
        <v>190.35839999999999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186</v>
      </c>
      <c r="BN23" t="s">
        <v>150</v>
      </c>
      <c r="BO23" s="48">
        <f>ROUND((((AW23*AZ23)+(BN23*BM23))/(AW23+BN23)),5)</f>
        <v>190.86320000000001</v>
      </c>
      <c r="BP23" s="4">
        <f>BN23+AW23</f>
        <v>4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195</v>
      </c>
      <c r="C23" s="45" t="s">
        <v>195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600</v>
      </c>
      <c r="I23" t="s">
        <v>115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107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3" sqref="B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119</v>
      </c>
      <c r="C23" s="2" t="s">
        <v>119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107</v>
      </c>
      <c r="AT23" s="48" t="s">
        <v>12</v>
      </c>
      <c r="AU23" t="s">
        <v>158</v>
      </c>
      <c r="AV23" t="s">
        <v>183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184</v>
      </c>
      <c r="BN23" t="s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A7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194</v>
      </c>
      <c r="C23" s="45" t="s">
        <v>194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C23" sqref="C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196</v>
      </c>
      <c r="C23" s="2" t="s">
        <v>196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107</v>
      </c>
      <c r="AT23" s="48" t="s">
        <v>12</v>
      </c>
      <c r="AU23" t="s">
        <v>108</v>
      </c>
      <c r="AV23" t="s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>
        <f>ROUND((((AW23*AZ23)+(BN23*BM23))/(AW23+BN23)),5)</f>
        <v>183.47001</v>
      </c>
      <c r="BP23" s="4">
        <f>BN23+AW23</f>
        <v>4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3" sqref="C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196</v>
      </c>
      <c r="C23" s="2" t="s">
        <v>196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107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D29" sqref="D29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117</v>
      </c>
      <c r="C23" s="45" t="s">
        <v>117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C23" sqref="C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123</v>
      </c>
      <c r="C23" s="2" t="s">
        <v>123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107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195</v>
      </c>
      <c r="C23" s="45" t="s">
        <v>195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8" workbookViewId="0">
      <selection activeCell="C23" sqref="C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119</v>
      </c>
      <c r="C23" s="2" t="s">
        <v>119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107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194</v>
      </c>
      <c r="C23" s="45" t="s">
        <v>194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5"/>
  <sheetViews>
    <sheetView topLeftCell="BK19" workbookViewId="0">
      <selection activeCell="BN24" sqref="BN24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166</v>
      </c>
      <c r="C23" s="2" t="s">
        <v>166</v>
      </c>
      <c r="D23" s="45" t="s">
        <v>12</v>
      </c>
      <c r="E23" s="45" t="s">
        <v>168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846.99</v>
      </c>
      <c r="AS23" t="s">
        <v>107</v>
      </c>
      <c r="AT23" s="48" t="s">
        <v>12</v>
      </c>
      <c r="AU23" t="s">
        <v>108</v>
      </c>
      <c r="AV23" t="s">
        <v>178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178</v>
      </c>
      <c r="BN23" t="s">
        <v>179</v>
      </c>
      <c r="BO23" s="48">
        <f>ROUND((((AW23*AZ23)+(BN23*BM23))/(AW23+BN23)),5)</f>
        <v>846.99</v>
      </c>
      <c r="BP23" s="62">
        <f>BN23+AW23</f>
        <v>0.66666666666666663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E23" sqref="E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166</v>
      </c>
      <c r="C23" s="2" t="s">
        <v>166</v>
      </c>
      <c r="D23" s="45" t="s">
        <v>12</v>
      </c>
      <c r="E23" s="45" t="s">
        <v>168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107</v>
      </c>
      <c r="AT23" s="48" t="s">
        <v>12</v>
      </c>
      <c r="AU23" t="s">
        <v>131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150</v>
      </c>
      <c r="BO23" s="48">
        <f>ROUND((((AW23*AZ23)+(BN23*BM23))/(AW23+BN23)),5)</f>
        <v>282.33</v>
      </c>
      <c r="BP23" s="4">
        <f>BN23+AW23</f>
        <v>8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D34" sqref="D34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117</v>
      </c>
      <c r="C23" s="45" t="s">
        <v>117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abSelected="1" topLeftCell="BK17" workbookViewId="0">
      <selection activeCell="BP24" sqref="BP24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167</v>
      </c>
      <c r="C23" s="2" t="s">
        <v>167</v>
      </c>
      <c r="D23" s="45" t="s">
        <v>12</v>
      </c>
      <c r="E23" s="45" t="s">
        <v>168</v>
      </c>
      <c r="F23" s="46">
        <v>50</v>
      </c>
      <c r="G23" t="s">
        <v>162</v>
      </c>
      <c r="H23" s="46">
        <f>F23*G23</f>
        <v>1000</v>
      </c>
      <c r="I23" t="s">
        <v>127</v>
      </c>
      <c r="J23" s="46">
        <v>2</v>
      </c>
      <c r="K23" s="46">
        <v>1</v>
      </c>
      <c r="L23" s="46">
        <f>H23</f>
        <v>1000</v>
      </c>
      <c r="M23" s="46">
        <f>ROUND(L23*I23%,2)</f>
        <v>20</v>
      </c>
      <c r="N23" s="46">
        <f>H23-M23</f>
        <v>980</v>
      </c>
      <c r="O23" s="46">
        <f>ROUND(N23*J23%,2)</f>
        <v>19.600000000000001</v>
      </c>
      <c r="P23" s="46">
        <f>ROUND(N23-O23,2)</f>
        <v>960.4</v>
      </c>
      <c r="Q23" s="46">
        <f>ROUND(P23*K23%,2)</f>
        <v>9.6</v>
      </c>
      <c r="R23" s="46">
        <f>M23+O23+Q23</f>
        <v>49.2</v>
      </c>
      <c r="S23" s="46">
        <f>(H23-R23)</f>
        <v>950.8</v>
      </c>
      <c r="T23" s="46" t="s">
        <v>106</v>
      </c>
      <c r="U23" s="46">
        <v>0.18</v>
      </c>
      <c r="V23" s="46">
        <f>IF(OR($C$21=1,$C$21=4),ROUND(((S23*U23)/2),2),0)</f>
        <v>85.57</v>
      </c>
      <c r="W23" s="46">
        <f>IF($C$21=1,ROUND(((S23*U23)/2),2),0)</f>
        <v>85.57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171.14</v>
      </c>
      <c r="AC23" s="46">
        <f>IF($V21=1,S23+AB23,S23)</f>
        <v>1121.94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950.8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16.666666666666668</v>
      </c>
      <c r="AN23" s="46">
        <f>AI23/AM23</f>
        <v>57.047999999999995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57.048000000000002</v>
      </c>
      <c r="AS23" t="s">
        <v>107</v>
      </c>
      <c r="AT23" s="48" t="s">
        <v>12</v>
      </c>
      <c r="AU23" t="s">
        <v>108</v>
      </c>
      <c r="AV23" t="s">
        <v>187</v>
      </c>
      <c r="AW23" s="48">
        <f>AM23</f>
        <v>16.666666666666668</v>
      </c>
      <c r="AX23" s="48">
        <f>AR23</f>
        <v>57.048000000000002</v>
      </c>
      <c r="AY23" s="48">
        <f>AU23+AW23</f>
        <v>16.666666666666668</v>
      </c>
      <c r="AZ23" s="48">
        <f>ROUND(((AU23*AV23)+(AW23*AX23))/(AU23+AW23),5)</f>
        <v>57.048000000000002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189</v>
      </c>
      <c r="BN23" t="s">
        <v>188</v>
      </c>
      <c r="BO23" s="48">
        <f>ROUND((((AW23*AZ23)+(BN23*BM23))/(AW23+BN23)),5)</f>
        <v>56.780769999999997</v>
      </c>
      <c r="BP23" s="4">
        <f>ROUND(BN23+AW23,3)</f>
        <v>21.667000000000002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1000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49.2</v>
      </c>
      <c r="S24" s="54">
        <f>SUM(S23:S23)</f>
        <v>950.8</v>
      </c>
      <c r="T24" s="53"/>
      <c r="U24" s="53"/>
      <c r="V24" s="55">
        <f>SUM(V23:V23)</f>
        <v>85.57</v>
      </c>
      <c r="W24" s="55">
        <f>SUM(W23:W23)</f>
        <v>85.57</v>
      </c>
      <c r="X24" s="55">
        <f>SUM(X23:X23)</f>
        <v>0</v>
      </c>
      <c r="Y24" s="55"/>
      <c r="Z24" s="55"/>
      <c r="AA24" s="55"/>
      <c r="AB24" s="53">
        <f>SUM(AB23:AB23)</f>
        <v>171.14</v>
      </c>
      <c r="AC24" s="56">
        <f>SUM(AC23:AC23)</f>
        <v>1121.94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950.8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:XFD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167</v>
      </c>
      <c r="C23" s="2" t="s">
        <v>167</v>
      </c>
      <c r="D23" s="45" t="s">
        <v>12</v>
      </c>
      <c r="E23" s="45" t="s">
        <v>168</v>
      </c>
      <c r="F23" s="46">
        <v>3</v>
      </c>
      <c r="G23" t="s">
        <v>162</v>
      </c>
      <c r="H23" s="46">
        <f>F23*G23</f>
        <v>60</v>
      </c>
      <c r="I23" t="s">
        <v>127</v>
      </c>
      <c r="J23" s="46">
        <v>2</v>
      </c>
      <c r="K23" s="46">
        <v>3</v>
      </c>
      <c r="L23" s="46">
        <f>H23</f>
        <v>60</v>
      </c>
      <c r="M23" s="46">
        <f>ROUND(L23*I23%,2)</f>
        <v>1.2</v>
      </c>
      <c r="N23" s="46">
        <f>H23-M23</f>
        <v>58.8</v>
      </c>
      <c r="O23" s="46">
        <f>ROUND(N23*J23%,2)</f>
        <v>1.18</v>
      </c>
      <c r="P23" s="46">
        <f>ROUND(N23-O23,2)</f>
        <v>57.62</v>
      </c>
      <c r="Q23" s="46">
        <f>ROUND(P23*K23%,2)</f>
        <v>1.73</v>
      </c>
      <c r="R23" s="46">
        <f>M23+O23+Q23</f>
        <v>4.1099999999999994</v>
      </c>
      <c r="S23" s="46">
        <f>(H23-R23)</f>
        <v>55.89</v>
      </c>
      <c r="T23" s="46" t="s">
        <v>106</v>
      </c>
      <c r="U23" s="46">
        <v>0.18</v>
      </c>
      <c r="V23" s="46">
        <f>IF(OR($C$21=1,$C$21=4),ROUND(((S23*U23)/2),2),0)</f>
        <v>5.03</v>
      </c>
      <c r="W23" s="46">
        <f>IF($C$21=1,ROUND(((S23*U23)/2),2),0)</f>
        <v>5.03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3.3533999999999997</v>
      </c>
      <c r="AB23" s="46">
        <f>V23+W23+X23+Y23+AA23</f>
        <v>13.413399999999999</v>
      </c>
      <c r="AC23" s="46">
        <f>IF($V21=1,S23+AB23,S23)</f>
        <v>69.303399999999996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55.89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55.89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55.89</v>
      </c>
      <c r="AS23" t="s">
        <v>107</v>
      </c>
      <c r="AT23" s="48" t="s">
        <v>12</v>
      </c>
      <c r="AU23" t="s">
        <v>108</v>
      </c>
      <c r="AV23" t="s">
        <v>180</v>
      </c>
      <c r="AW23" s="48">
        <f>AM23</f>
        <v>1</v>
      </c>
      <c r="AX23" s="48">
        <f>AR23</f>
        <v>55.89</v>
      </c>
      <c r="AY23" s="48">
        <f>AU23+AW23</f>
        <v>1</v>
      </c>
      <c r="AZ23" s="48">
        <f>ROUND(((AU23*AV23)+(AW23*AX23))/(AU23+AW23),5)</f>
        <v>55.89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180</v>
      </c>
      <c r="BN23" t="s">
        <v>130</v>
      </c>
      <c r="BO23" s="48">
        <f>ROUND((((AW23*AZ23)+(BN23*BM23))/(AW23+BN23)),5)</f>
        <v>55.89</v>
      </c>
      <c r="BP23" s="4">
        <f>BN23+AW23</f>
        <v>4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4.1099999999999994</v>
      </c>
      <c r="S24" s="54">
        <f>SUM(S23:S23)</f>
        <v>55.89</v>
      </c>
      <c r="T24" s="53"/>
      <c r="U24" s="53"/>
      <c r="V24" s="55">
        <f>SUM(V23:V23)</f>
        <v>5.03</v>
      </c>
      <c r="W24" s="55">
        <f>SUM(W23:W23)</f>
        <v>5.03</v>
      </c>
      <c r="X24" s="55">
        <f>SUM(X23:X23)</f>
        <v>0</v>
      </c>
      <c r="Y24" s="55"/>
      <c r="Z24" s="55"/>
      <c r="AA24" s="55"/>
      <c r="AB24" s="53">
        <f>SUM(AB23:AB23)</f>
        <v>13.413399999999999</v>
      </c>
      <c r="AC24" s="56">
        <f>SUM(AC23:AC23)</f>
        <v>69.303399999999996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55.89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D26" sqref="D2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117</v>
      </c>
      <c r="C23" s="45" t="s">
        <v>117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C30" sqref="A1:XFD1048576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169</v>
      </c>
      <c r="C23" s="2" t="s">
        <v>169</v>
      </c>
      <c r="D23" s="45" t="s">
        <v>12</v>
      </c>
      <c r="E23" s="45" t="s">
        <v>168</v>
      </c>
      <c r="F23" s="46">
        <v>3</v>
      </c>
      <c r="G23" t="s">
        <v>162</v>
      </c>
      <c r="H23" s="46">
        <f>F23*G23</f>
        <v>60</v>
      </c>
      <c r="I23" t="s">
        <v>115</v>
      </c>
      <c r="J23" s="46">
        <v>2</v>
      </c>
      <c r="K23" s="46">
        <v>3</v>
      </c>
      <c r="L23" s="46">
        <f>H23</f>
        <v>60</v>
      </c>
      <c r="M23" s="46">
        <f>ROUND(L23*I23%,2)</f>
        <v>1.2</v>
      </c>
      <c r="N23" s="46">
        <f>H23-M23</f>
        <v>58.8</v>
      </c>
      <c r="O23" s="46">
        <f>ROUND(N23*J23%,2)</f>
        <v>1.18</v>
      </c>
      <c r="P23" s="46">
        <f>ROUND(N23-O23,2)</f>
        <v>57.62</v>
      </c>
      <c r="Q23" s="46">
        <f>ROUND(P23*K23%,2)</f>
        <v>1.73</v>
      </c>
      <c r="R23" s="46">
        <f>M23+O23+Q23</f>
        <v>4.1099999999999994</v>
      </c>
      <c r="S23" s="46">
        <f>(H23-R23)</f>
        <v>55.89</v>
      </c>
      <c r="T23" s="46" t="s">
        <v>106</v>
      </c>
      <c r="U23" s="46">
        <v>0.18</v>
      </c>
      <c r="V23" s="46">
        <f>IF(OR($C$21=1,$C$21=4),ROUND(((S23*U23)/2),2),0)</f>
        <v>5.03</v>
      </c>
      <c r="W23" s="46">
        <f>IF($C$21=1,ROUND(((S23*U23)/2),2),0)</f>
        <v>5.03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3.3533999999999997</v>
      </c>
      <c r="AB23" s="46">
        <f>V23+W23+X23+Y23+AA23</f>
        <v>13.413399999999999</v>
      </c>
      <c r="AC23" s="46">
        <f>IF($V21=1,S23+AB23,S23)</f>
        <v>69.303399999999996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55.89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55.89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55.89</v>
      </c>
      <c r="AS23" t="s">
        <v>107</v>
      </c>
      <c r="AT23" s="48" t="s">
        <v>12</v>
      </c>
      <c r="AU23" t="s">
        <v>108</v>
      </c>
      <c r="AV23" t="s">
        <v>181</v>
      </c>
      <c r="AW23" s="48">
        <f>AM23</f>
        <v>1</v>
      </c>
      <c r="AX23" s="48">
        <f>AR23</f>
        <v>55.89</v>
      </c>
      <c r="AY23" s="48">
        <f>AU23+AW23</f>
        <v>1</v>
      </c>
      <c r="AZ23" s="48">
        <f>ROUND(((AU23*AV23)+(AW23*AX23))/(AU23+AW23),5)</f>
        <v>55.89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181</v>
      </c>
      <c r="BN23" t="s">
        <v>150</v>
      </c>
      <c r="BO23" s="48">
        <f>ROUND((((AW23*AZ23)+(BN23*BM23))/(AW23+BN23)),5)</f>
        <v>55.89</v>
      </c>
      <c r="BP23" s="4">
        <f>BN23+AW23</f>
        <v>5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4.1099999999999994</v>
      </c>
      <c r="S24" s="54">
        <f>SUM(S23:S23)</f>
        <v>55.89</v>
      </c>
      <c r="T24" s="53"/>
      <c r="U24" s="53"/>
      <c r="V24" s="55">
        <f>SUM(V23:V23)</f>
        <v>5.03</v>
      </c>
      <c r="W24" s="55">
        <f>SUM(W23:W23)</f>
        <v>5.03</v>
      </c>
      <c r="X24" s="55">
        <f>SUM(X23:X23)</f>
        <v>0</v>
      </c>
      <c r="Y24" s="55"/>
      <c r="Z24" s="55"/>
      <c r="AA24" s="55"/>
      <c r="AB24" s="53">
        <f>SUM(AB23:AB23)</f>
        <v>13.413399999999999</v>
      </c>
      <c r="AC24" s="56">
        <f>SUM(AC23:AC23)</f>
        <v>69.303399999999996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55.89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6" sqref="D26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169</v>
      </c>
      <c r="C23" s="2" t="s">
        <v>169</v>
      </c>
      <c r="D23" s="45" t="s">
        <v>12</v>
      </c>
      <c r="E23" s="45" t="s">
        <v>168</v>
      </c>
      <c r="F23" s="46">
        <v>3</v>
      </c>
      <c r="G23" t="s">
        <v>162</v>
      </c>
      <c r="H23" s="46">
        <f>F23*G23</f>
        <v>60</v>
      </c>
      <c r="I23" t="s">
        <v>115</v>
      </c>
      <c r="J23" s="46">
        <v>2</v>
      </c>
      <c r="K23" s="46">
        <v>3</v>
      </c>
      <c r="L23" s="46">
        <f>H23</f>
        <v>60</v>
      </c>
      <c r="M23" s="46">
        <f>ROUND(L23*I23%,2)</f>
        <v>0.6</v>
      </c>
      <c r="N23" s="46">
        <f>H23-M23</f>
        <v>59.4</v>
      </c>
      <c r="O23" s="46">
        <f>ROUND(N23*J23%,2)</f>
        <v>1.19</v>
      </c>
      <c r="P23" s="46">
        <f>ROUND(N23-O23,2)</f>
        <v>58.21</v>
      </c>
      <c r="Q23" s="46">
        <f>ROUND(P23*K23%,2)</f>
        <v>1.75</v>
      </c>
      <c r="R23" s="46">
        <f>M23+O23+Q23</f>
        <v>3.54</v>
      </c>
      <c r="S23" s="46">
        <f>(H23-R23)</f>
        <v>56.46</v>
      </c>
      <c r="T23" s="46" t="s">
        <v>106</v>
      </c>
      <c r="U23" s="46">
        <v>0.18</v>
      </c>
      <c r="V23" s="46">
        <f>IF(OR($C$21=1,$C$21=4),ROUND(((S23*U23)/2),2),0)</f>
        <v>5.08</v>
      </c>
      <c r="W23" s="46">
        <f>IF($C$21=1,ROUND(((S23*U23)/2),2),0)</f>
        <v>5.08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3.3875999999999999</v>
      </c>
      <c r="AB23" s="46">
        <f>V23+W23+X23+Y23+AA23</f>
        <v>13.547599999999999</v>
      </c>
      <c r="AC23" s="46">
        <f>IF($V21=1,S23+AB23,S23)</f>
        <v>70.007599999999996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56.46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56.46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56.46</v>
      </c>
      <c r="AS23" t="s">
        <v>107</v>
      </c>
      <c r="AT23" s="48" t="s">
        <v>12</v>
      </c>
      <c r="AU23" t="s">
        <v>108</v>
      </c>
      <c r="AV23" t="s">
        <v>181</v>
      </c>
      <c r="AW23" s="48">
        <f>AM23</f>
        <v>1</v>
      </c>
      <c r="AX23" s="48">
        <f>AR23</f>
        <v>56.46</v>
      </c>
      <c r="AY23" s="48">
        <f>AU23+AW23</f>
        <v>1</v>
      </c>
      <c r="AZ23" s="48">
        <f>ROUND(((AU23*AV23)+(AW23*AX23))/(AU23+AW23),5)</f>
        <v>56.46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181</v>
      </c>
      <c r="BN23" t="s">
        <v>158</v>
      </c>
      <c r="BO23" s="48">
        <f>ROUND((((AW23*AZ23)+(BN23*BM23))/(AW23+BN23)),5)</f>
        <v>56.46</v>
      </c>
      <c r="BP23" s="4">
        <f>BN23+AW23</f>
        <v>7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3.54</v>
      </c>
      <c r="S24" s="54">
        <f>SUM(S23:S23)</f>
        <v>56.46</v>
      </c>
      <c r="T24" s="53"/>
      <c r="U24" s="53"/>
      <c r="V24" s="55">
        <f>SUM(V23:V23)</f>
        <v>5.08</v>
      </c>
      <c r="W24" s="55">
        <f>SUM(W23:W23)</f>
        <v>5.08</v>
      </c>
      <c r="X24" s="55">
        <f>SUM(X23:X23)</f>
        <v>0</v>
      </c>
      <c r="Y24" s="55"/>
      <c r="Z24" s="55"/>
      <c r="AA24" s="55"/>
      <c r="AB24" s="53">
        <f>SUM(AB23:AB23)</f>
        <v>13.547599999999999</v>
      </c>
      <c r="AC24" s="56">
        <f>SUM(AC23:AC23)</f>
        <v>70.007599999999996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56.46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7" workbookViewId="0">
      <selection activeCell="C24" sqref="C24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117</v>
      </c>
      <c r="C23" s="45" t="s">
        <v>117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Sheet1</vt:lpstr>
      <vt:lpstr>DirectGrnGenUD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Durairaj.K</cp:lastModifiedBy>
  <dcterms:created xsi:type="dcterms:W3CDTF">2024-08-28T12:59:00Z</dcterms:created>
  <dcterms:modified xsi:type="dcterms:W3CDTF">2025-10-30T13:40:30Z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