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1" activeTab="23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BP23" i="21"/>
  <c r="BO23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X24"/>
  <c r="H24"/>
  <c r="AM23"/>
  <c r="AW23" s="1"/>
  <c r="AK23"/>
  <c r="AP23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M23" i="24"/>
  <c r="AW23" s="1"/>
  <c r="AK23"/>
  <c r="AP23" s="1"/>
  <c r="Y23"/>
  <c r="X23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K24" i="24"/>
  <c r="AD24"/>
  <c r="X24"/>
  <c r="H18"/>
  <c r="H17"/>
  <c r="H16"/>
  <c r="H15"/>
  <c r="H14"/>
  <c r="H13"/>
  <c r="H12"/>
  <c r="H11"/>
  <c r="H10"/>
  <c r="H9"/>
  <c r="H8"/>
  <c r="H7"/>
  <c r="H6"/>
  <c r="H5"/>
  <c r="H19" s="1"/>
  <c r="H4"/>
  <c r="AD24" i="23"/>
  <c r="H24"/>
  <c r="AM23"/>
  <c r="AW23" s="1"/>
  <c r="AK23"/>
  <c r="AK24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Y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BP23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BP23" i="4" l="1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BP23" i="25"/>
  <c r="AY23"/>
  <c r="AK24"/>
  <c r="N23"/>
  <c r="AY23" i="24"/>
  <c r="BP23"/>
  <c r="H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BP23"/>
  <c r="H19" i="19"/>
  <c r="H19" i="18"/>
  <c r="BP23" i="26"/>
  <c r="AY23"/>
  <c r="AK24"/>
  <c r="N23"/>
  <c r="BP23" i="23"/>
  <c r="AY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BP23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R24" i="4" l="1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4" l="1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R23" i="25"/>
  <c r="P23"/>
  <c r="Q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V24" i="4" l="1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AB23" s="1"/>
  <c r="AC23" s="1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V23"/>
  <c r="W23"/>
  <c r="W24" s="1"/>
  <c r="S24"/>
  <c r="AE18" i="5" s="1"/>
  <c r="AO23" i="4" l="1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AE23" i="25"/>
  <c r="AE24" s="1"/>
  <c r="AH23"/>
  <c r="AH24" s="1"/>
  <c r="AG23"/>
  <c r="S24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B16" i="5" l="1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BO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<sst xmlns="http://schemas.openxmlformats.org/spreadsheetml/2006/main" count="4118" uniqueCount="196">
  <si>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</si>
  <si>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</si>
  <si>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</si>
  <si>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</si>
  <si>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</si>
  <si>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</si>
  <si>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</si>
  <si>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</si>
  <si>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</si>
  <si>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</si>
  <si>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</si>
  <si>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</si>
  <si>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</si>
  <si>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</si>
  <si>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</si>
  <si>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</si>
  <si>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</si>
  <si>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</si>
  <si>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</si>
  <si>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</si>
  <si>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</si>
  <si>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</si>
  <si>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</si>
  <si>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</si>
  <si>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</si>
  <si>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</si>
  <si>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</si>
  <si>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</si>
  <si>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</si>
  <si>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</si>
  <si>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</si>
  <si>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</si>
  <si>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</si>
  <si>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</si>
  <si>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</si>
  <si>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</si>
  <si>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</si>
  <si>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</si>
  <si>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</si>
  <si>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</si>
  <si>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</si>
  <si>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</si>
  <si>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</si>
  <si>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</si>
  <si>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</si>
  <si>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</si>
  <si>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</si>
  <si>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</si>
  <si>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</si>
  <si>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</si>
  <si>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</si>
  <si>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</si>
  <si>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</si>
  <si>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</si>
  <si>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</si>
  <si>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</si>
  <si>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</si>
  <si>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</si>
  <si>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</si>
  <si>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</si>
  <si>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</si>
  <si>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</si>
  <si>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</si>
  <si>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</si>
  <si>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</si>
  <si>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</si>
  <si>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</si>
  <si>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</si>
  <si>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</si>
  <si>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</si>
  <si>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</si>
  <si>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</si>
  <si>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</si>
  <si>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</si>
  <si>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</si>
  <si>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</si>
  <si>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</si>
  <si>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</si>
  <si>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</si>
  <si>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</si>
  <si>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</si>
  <si>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</si>
  <si>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</si>
  <si>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</si>
  <si>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</si>
  <si>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</si>
  <si>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</si>
  <si>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</si>
  <si>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</si>
  <si>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</si>
  <si>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</si>
  <si>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</si>
  <si>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</si>
  <si>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</si>
  <si>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</si>
  <si>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</si>
  <si>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</si>
  <si>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</si>
  <si>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</si>
  <si>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</si>
  <si>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</si>
  <si>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</si>
  <si>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</si>
  <si>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</si>
  <si>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</si>
  <si>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</si>
  <si>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</si>
  <si>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</si>
  <si>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</si>
  <si>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</si>
  <si>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</si>
  <si>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</si>
  <si>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</si>
  <si>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</si>
  <si>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</si>
  <si>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</si>
  <si>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</si>
  <si>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</si>
  <si>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</si>
  <si>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</si>
  <si>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</si>
  <si>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</si>
  <si>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</si>
  <si>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</si>
  <si>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</si>
  <si>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</si>
  <si>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</si>
  <si>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</si>
  <si>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</si>
  <si>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</si>
  <si>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</si>
  <si>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</si>
  <si>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</si>
  <si>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</si>
  <si>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</si>
  <si>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</si>
  <si>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</si>
  <si>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</si>
  <si>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</si>
  <si>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</si>
  <si>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</si>
  <si>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</si>
  <si>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</si>
  <si>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</si>
  <si>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</si>
  <si>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</si>
  <si>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</si>
  <si>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</si>
  <si>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</si>
  <si>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</si>
  <si>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</si>
  <si>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</si>
  <si>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</si>
  <si>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</si>
  <si>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</si>
  <si>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</si>
  <si>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</si>
  <si>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</si>
  <si>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</si>
  <si>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</si>
  <si>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</si>
  <si>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</si>
  <si>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</si>
  <si>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</si>
  <si>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</si>
  <si>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</si>
  <si>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</si>
  <si>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</si>
  <si>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</si>
  <si>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</si>
  <si>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</si>
  <si>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</si>
  <si>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</si>
  <si>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</si>
  <si>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</si>
  <si>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</si>
  <si>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</si>
  <si>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55.89</t>
  </si>
  <si>
    <t>56.46</t>
  </si>
  <si>
    <t>185.02695</t>
  </si>
  <si>
    <t>184.24408</t>
  </si>
  <si>
    <t>57.048</t>
  </si>
  <si>
    <t>71.668</t>
  </si>
  <si>
    <t>56.96721</t>
  </si>
  <si>
    <t>TVS-RM-KDK-101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</si>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</sst>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J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194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C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194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M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194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K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194</v>
      </c>
      <c r="AT23" s="48" t="s">
        <v>12</v>
      </c>
      <c r="AU23" t="s">
        <v>108</v>
      </c>
      <c r="AV23" t="s">
        <v>195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G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194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I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194</v>
      </c>
      <c r="AT23" s="48" t="s">
        <v>12</v>
      </c>
      <c r="AU23" t="s">
        <v>158</v>
      </c>
      <c r="AV23" t="s">
        <v>179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180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L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190</v>
      </c>
      <c r="C23" s="45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AL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194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N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194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K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K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188</v>
      </c>
      <c r="C23" s="45" t="s">
        <v>188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194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J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R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194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J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190</v>
      </c>
      <c r="C23" s="45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N19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194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BN23+AW23</f>
        <v>0.66666666666666663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AL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194</v>
      </c>
      <c r="AT23" s="48" t="s">
        <v>12</v>
      </c>
      <c r="AU23" t="s">
        <v>131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150</v>
      </c>
      <c r="BO23" s="48">
        <f>ROUND((((AW23*AZ23)+(BN23*BM23))/(AW23+BN23)),5)</f>
        <v>282.33</v>
      </c>
      <c r="BP23" s="4">
        <f>BN23+AW23</f>
        <v>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D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M1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50</v>
      </c>
      <c r="G23" t="s">
        <v>162</v>
      </c>
      <c r="H23" s="46">
        <f>F23*G23</f>
        <v>1000</v>
      </c>
      <c r="I23" t="s">
        <v>127</v>
      </c>
      <c r="J23" s="46">
        <v>2</v>
      </c>
      <c r="K23" s="46">
        <v>1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9.6</v>
      </c>
      <c r="R23" s="46">
        <f>M23+O23+Q23</f>
        <v>49.2</v>
      </c>
      <c r="S23" s="46">
        <f>(H23-R23)</f>
        <v>950.8</v>
      </c>
      <c r="T23" s="46" t="s">
        <v>106</v>
      </c>
      <c r="U23" s="46">
        <v>0.18</v>
      </c>
      <c r="V23" s="46">
        <f>IF(OR($C$21=1,$C$21=4),ROUND(((S23*U23)/2),2),0)</f>
        <v>85.57</v>
      </c>
      <c r="W23" s="46">
        <f>IF($C$21=1,ROUND(((S23*U23)/2),2),0)</f>
        <v>85.57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171.14</v>
      </c>
      <c r="AC23" s="46">
        <f>IF($V21=1,S23+AB23,S23)</f>
        <v>1121.94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950.8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16.666666666666668</v>
      </c>
      <c r="AN23" s="46">
        <f>AI23/AM23</f>
        <v>57.047999999999995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57.048000000000002</v>
      </c>
      <c r="AS23" t="s">
        <v>194</v>
      </c>
      <c r="AT23" s="48" t="s">
        <v>12</v>
      </c>
      <c r="AU23" t="s">
        <v>108</v>
      </c>
      <c r="AV23" t="s">
        <v>181</v>
      </c>
      <c r="AW23" s="48">
        <f>AM23</f>
        <v>16.666666666666668</v>
      </c>
      <c r="AX23" s="48">
        <f>AR23</f>
        <v>57.048000000000002</v>
      </c>
      <c r="AY23" s="48">
        <f>AU23+AW23</f>
        <v>16.666666666666668</v>
      </c>
      <c r="AZ23" s="48">
        <f>ROUND(((AU23*AV23)+(AW23*AX23))/(AU23+AW23),5)</f>
        <v>57.048000000000002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183</v>
      </c>
      <c r="BN23" t="s">
        <v>182</v>
      </c>
      <c r="BO23" s="48">
        <f>ROUND((((AW23*AZ23)+(BN23*BM23))/(AW23+BN23)),5)</f>
        <v>56.780769999999997</v>
      </c>
      <c r="BP23" s="4">
        <f>ROUND(BN23+AW23,3)</f>
        <v>21.667000000000002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49.2</v>
      </c>
      <c r="S24" s="54">
        <f>SUM(S23:S23)</f>
        <v>950.8</v>
      </c>
      <c r="T24" s="53"/>
      <c r="U24" s="53"/>
      <c r="V24" s="55">
        <f>SUM(V23:V23)</f>
        <v>85.57</v>
      </c>
      <c r="W24" s="55">
        <f>SUM(W23:W23)</f>
        <v>85.57</v>
      </c>
      <c r="X24" s="55">
        <f>SUM(X23:X23)</f>
        <v>0</v>
      </c>
      <c r="Y24" s="55"/>
      <c r="Z24" s="55"/>
      <c r="AA24" s="55"/>
      <c r="AB24" s="53">
        <f>SUM(AB23:AB23)</f>
        <v>171.14</v>
      </c>
      <c r="AC24" s="56">
        <f>SUM(AC23:AC23)</f>
        <v>1121.94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950.8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J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3</v>
      </c>
      <c r="G23" t="s">
        <v>162</v>
      </c>
      <c r="H23" s="46">
        <f>F23*G23</f>
        <v>60</v>
      </c>
      <c r="I23" t="s">
        <v>127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55.89</v>
      </c>
      <c r="AS23" t="s">
        <v>194</v>
      </c>
      <c r="AT23" s="48" t="s">
        <v>12</v>
      </c>
      <c r="AU23" t="s">
        <v>108</v>
      </c>
      <c r="AV23" t="s">
        <v>177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177</v>
      </c>
      <c r="BN23" t="s">
        <v>130</v>
      </c>
      <c r="BO23" s="48">
        <f>ROUND((((AW23*AZ23)+(BN23*BM23))/(AW23+BN23)),5)</f>
        <v>55.89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L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166</v>
      </c>
      <c r="F23" s="46">
        <v>3</v>
      </c>
      <c r="G23" t="s">
        <v>162</v>
      </c>
      <c r="H23" s="46">
        <f>F23*G23</f>
        <v>60</v>
      </c>
      <c r="I23" t="s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55.89</v>
      </c>
      <c r="AS23" t="s">
        <v>194</v>
      </c>
      <c r="AT23" s="48" t="s">
        <v>12</v>
      </c>
      <c r="AU23" t="s">
        <v>108</v>
      </c>
      <c r="AV23" t="s">
        <v>178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150</v>
      </c>
      <c r="BO23" s="48">
        <f>ROUND((((AW23*AZ23)+(BN23*BM23))/(AW23+BN23)),5)</f>
        <v>55.89</v>
      </c>
      <c r="BP23" s="4">
        <f>BN23+AW23</f>
        <v>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AP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166</v>
      </c>
      <c r="F23" s="46">
        <v>3</v>
      </c>
      <c r="G23" t="s">
        <v>162</v>
      </c>
      <c r="H23" s="46">
        <f>F23*G23</f>
        <v>60</v>
      </c>
      <c r="I23" t="s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0.6</v>
      </c>
      <c r="N23" s="46">
        <f>H23-M23</f>
        <v>59.4</v>
      </c>
      <c r="O23" s="46">
        <f>ROUND(N23*J23%,2)</f>
        <v>1.19</v>
      </c>
      <c r="P23" s="46">
        <f>ROUND(N23-O23,2)</f>
        <v>58.21</v>
      </c>
      <c r="Q23" s="46">
        <f>ROUND(P23*K23%,2)</f>
        <v>1.75</v>
      </c>
      <c r="R23" s="46">
        <f>M23+O23+Q23</f>
        <v>3.54</v>
      </c>
      <c r="S23" s="46">
        <f>(H23-R23)</f>
        <v>56.46</v>
      </c>
      <c r="T23" s="46" t="s">
        <v>106</v>
      </c>
      <c r="U23" s="46">
        <v>0.18</v>
      </c>
      <c r="V23" s="46">
        <f>IF(OR($C$21=1,$C$21=4),ROUND(((S23*U23)/2),2),0)</f>
        <v>5.08</v>
      </c>
      <c r="W23" s="46">
        <f>IF($C$21=1,ROUND(((S23*U23)/2),2),0)</f>
        <v>5.08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3.3875999999999999</v>
      </c>
      <c r="AB23" s="46">
        <f>V23+W23+X23+Y23+AA23</f>
        <v>13.547599999999999</v>
      </c>
      <c r="AC23" s="46">
        <f>IF($V21=1,S23+AB23,S23)</f>
        <v>70.007599999999996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56.46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56.46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56.46</v>
      </c>
      <c r="AS23" t="s">
        <v>194</v>
      </c>
      <c r="AT23" s="48" t="s">
        <v>12</v>
      </c>
      <c r="AU23" t="s">
        <v>108</v>
      </c>
      <c r="AV23" t="s">
        <v>178</v>
      </c>
      <c r="AW23" s="48">
        <f>AM23</f>
        <v>1</v>
      </c>
      <c r="AX23" s="48">
        <f>AR23</f>
        <v>56.46</v>
      </c>
      <c r="AY23" s="48">
        <f>AU23+AW23</f>
        <v>1</v>
      </c>
      <c r="AZ23" s="48">
        <f>ROUND(((AU23*AV23)+(AW23*AX23))/(AU23+AW23),5)</f>
        <v>56.46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158</v>
      </c>
      <c r="BO23" s="48">
        <f>ROUND((((AW23*AZ23)+(BN23*BM23))/(AW23+BN23)),5)</f>
        <v>56.46</v>
      </c>
      <c r="BP23" s="4">
        <f>BN23+AW23</f>
        <v>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5.08</v>
      </c>
      <c r="W24" s="55">
        <f>SUM(W23:W23)</f>
        <v>5.08</v>
      </c>
      <c r="X24" s="55">
        <f>SUM(X23:X23)</f>
        <v>0</v>
      </c>
      <c r="Y24" s="55"/>
      <c r="Z24" s="55"/>
      <c r="AA24" s="55"/>
      <c r="AB24" s="53">
        <f>SUM(AB23:AB23)</f>
        <v>13.547599999999999</v>
      </c>
      <c r="AC24" s="56">
        <f>SUM(AC23:AC23)</f>
        <v>70.007599999999996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L7" workbookViewId="0">
      <selection activeCell="AU25" sqref="AU25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194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2025-11-18T05:24:51Z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