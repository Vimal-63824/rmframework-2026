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28" activeTab="31"/>
  </bookViews>
  <sheets>
    <sheet name="Sheet1" sheetId="5" r:id="rId1"/>
    <sheet name="GateEntry" sheetId="27" r:id="rId2"/>
    <sheet name="PurchaseBill" sheetId="28" r:id="rId3"/>
    <sheet name="PurchaseBillGRN" sheetId="29" r:id="rId4"/>
    <sheet name="DirectGrnGenUD" sheetId="2" r:id="rId5"/>
    <sheet name="DirectGrnMatUDD" sheetId="7" r:id="rId6"/>
    <sheet name="DirectGrnService" sheetId="3" r:id="rId7"/>
    <sheet name="DirectGrnRateContract" sheetId="4" r:id="rId8"/>
    <sheet name="DirectGrnServiceRateContract" sheetId="8" r:id="rId9"/>
    <sheet name="DirectGrnPriceList" sheetId="9" r:id="rId10"/>
    <sheet name="DirectGrnServicePriceList" sheetId="10" r:id="rId11"/>
    <sheet name="DirectGrnGenUDWOI" sheetId="11" r:id="rId12"/>
    <sheet name="DirectGrnMatUDDWOI" sheetId="12" r:id="rId13"/>
    <sheet name="DirectGrnServiceWOI" sheetId="13" r:id="rId14"/>
    <sheet name="DirectGrnRateContractWOI" sheetId="14" r:id="rId15"/>
    <sheet name="DirectGrnServiceRateContractWOI" sheetId="15" r:id="rId16"/>
    <sheet name="DirectGrnPriceListWOI" sheetId="16" r:id="rId17"/>
    <sheet name="DirectGrnServicePriceListWOI" sheetId="17" r:id="rId18"/>
    <sheet name="DIfUOMDirectGrnGenUD" sheetId="18" r:id="rId19"/>
    <sheet name="DIfUOMDirectMatUD" sheetId="19" r:id="rId20"/>
    <sheet name="DIfUOMDirectSerUD" sheetId="20" r:id="rId21"/>
    <sheet name="DIFUOMDirectGrnRateContract" sheetId="21" r:id="rId22"/>
    <sheet name="DIFUOMDirectGrnMatRateContract" sheetId="22" r:id="rId23"/>
    <sheet name="DIFUOMDirectGrnSerRateContract" sheetId="23" r:id="rId24"/>
    <sheet name="DIFUOMDirectGrnPriceList" sheetId="24" r:id="rId25"/>
    <sheet name="DIFUOMDirectGrnMatPriceList" sheetId="25" r:id="rId26"/>
    <sheet name="DIFUOMDirectGrnSerPriceList" sheetId="26" r:id="rId27"/>
    <sheet name="DirectGrnGenUDIMP" sheetId="31" r:id="rId28"/>
    <sheet name="DirectGrnGenUDMultiIMP" sheetId="32" r:id="rId29"/>
    <sheet name="DirectGrnGenUD50" sheetId="33" r:id="rId30"/>
    <sheet name="DirectGrnGenUDMulti50" sheetId="34" r:id="rId31"/>
    <sheet name="DirectGrnGenUDMulti" sheetId="35" r:id="rId32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5" i="35"/>
  <c r="AD25"/>
  <c r="X25"/>
  <c r="AM24"/>
  <c r="AW24" s="1"/>
  <c r="AK24"/>
  <c r="AP24" s="1"/>
  <c r="Y24"/>
  <c r="X24"/>
  <c r="L24"/>
  <c r="M24" s="1"/>
  <c r="H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34"/>
  <c r="H25"/>
  <c r="AP24"/>
  <c r="AM24"/>
  <c r="AW24" s="1"/>
  <c r="AK24"/>
  <c r="Y24"/>
  <c r="X24"/>
  <c r="L24"/>
  <c r="M24" s="1"/>
  <c r="H24"/>
  <c r="AM23"/>
  <c r="AW23" s="1"/>
  <c r="AK23"/>
  <c r="AK25" s="1"/>
  <c r="Y23"/>
  <c r="X23"/>
  <c r="X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33"/>
  <c r="H24"/>
  <c r="AW23"/>
  <c r="AY23" s="1"/>
  <c r="AP23"/>
  <c r="AM23"/>
  <c r="AK23"/>
  <c r="AK24" s="1"/>
  <c r="Y23"/>
  <c r="X23"/>
  <c r="X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J25" i="32"/>
  <c r="AD25"/>
  <c r="V25"/>
  <c r="AM24"/>
  <c r="AW24" s="1"/>
  <c r="AJ24"/>
  <c r="AO24" s="1"/>
  <c r="Y24"/>
  <c r="X24"/>
  <c r="W24"/>
  <c r="W25" s="1"/>
  <c r="V24"/>
  <c r="M24"/>
  <c r="N24" s="1"/>
  <c r="L24"/>
  <c r="H24"/>
  <c r="AO23"/>
  <c r="AM23"/>
  <c r="AW23" s="1"/>
  <c r="AJ23"/>
  <c r="AB23"/>
  <c r="AA23"/>
  <c r="Y23"/>
  <c r="X23"/>
  <c r="X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1"/>
  <c r="AM23"/>
  <c r="AW23" s="1"/>
  <c r="AJ23"/>
  <c r="AO23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BP23" i="35" l="1"/>
  <c r="AY23"/>
  <c r="BP24"/>
  <c r="AY24"/>
  <c r="N24"/>
  <c r="N23"/>
  <c r="H25"/>
  <c r="AY23" i="34"/>
  <c r="BP23"/>
  <c r="N24"/>
  <c r="O23"/>
  <c r="P23" s="1"/>
  <c r="Q23" s="1"/>
  <c r="AY24"/>
  <c r="BP24"/>
  <c r="AP23"/>
  <c r="R23" i="33"/>
  <c r="R24" s="1"/>
  <c r="BP23"/>
  <c r="BP24" i="32"/>
  <c r="AY24"/>
  <c r="O24"/>
  <c r="BP23"/>
  <c r="AY23"/>
  <c r="N23"/>
  <c r="H25"/>
  <c r="BP23" i="31"/>
  <c r="AY23"/>
  <c r="AB23"/>
  <c r="AB24" s="1"/>
  <c r="AJ24"/>
  <c r="N23"/>
  <c r="H24"/>
  <c r="O24" i="35" l="1"/>
  <c r="O23"/>
  <c r="O24" i="34"/>
  <c r="R23"/>
  <c r="S23" i="33"/>
  <c r="P24" i="32"/>
  <c r="Q24" s="1"/>
  <c r="R24" s="1"/>
  <c r="S24" s="1"/>
  <c r="O23"/>
  <c r="O23" i="31"/>
  <c r="R23" i="35" l="1"/>
  <c r="P24"/>
  <c r="Q24" s="1"/>
  <c r="R24" s="1"/>
  <c r="S24" s="1"/>
  <c r="P23"/>
  <c r="Q23" s="1"/>
  <c r="S23" i="34"/>
  <c r="P24"/>
  <c r="Q24" s="1"/>
  <c r="R24" s="1"/>
  <c r="AA23" i="33"/>
  <c r="V23"/>
  <c r="W23"/>
  <c r="W24" s="1"/>
  <c r="S24"/>
  <c r="AI23"/>
  <c r="AE23"/>
  <c r="AE24" s="1"/>
  <c r="AG23"/>
  <c r="AH23"/>
  <c r="AH24" s="1"/>
  <c r="AI24" i="32"/>
  <c r="AN24" s="1"/>
  <c r="AA24"/>
  <c r="AB24" s="1"/>
  <c r="AB25" s="1"/>
  <c r="AC24"/>
  <c r="P23"/>
  <c r="Q23" s="1"/>
  <c r="R23" s="1"/>
  <c r="P23" i="31"/>
  <c r="Q23" s="1"/>
  <c r="R23" s="1"/>
  <c r="V24" i="35" l="1"/>
  <c r="AB24" s="1"/>
  <c r="W24"/>
  <c r="AC24"/>
  <c r="AI24"/>
  <c r="AN24" s="1"/>
  <c r="AA24"/>
  <c r="R25"/>
  <c r="S23"/>
  <c r="S24" i="34"/>
  <c r="R25"/>
  <c r="AI23"/>
  <c r="AA23"/>
  <c r="V23"/>
  <c r="W23"/>
  <c r="AG24" i="33"/>
  <c r="AJ23"/>
  <c r="V24"/>
  <c r="AB23"/>
  <c r="AI24"/>
  <c r="AN23"/>
  <c r="R25" i="32"/>
  <c r="S23"/>
  <c r="R24" i="31"/>
  <c r="S23"/>
  <c r="AG23" i="35" l="1"/>
  <c r="V23"/>
  <c r="AH23"/>
  <c r="AH25" s="1"/>
  <c r="W23"/>
  <c r="W25" s="1"/>
  <c r="AI23"/>
  <c r="S25"/>
  <c r="AA23"/>
  <c r="AH24" i="34"/>
  <c r="W24"/>
  <c r="W25" s="1"/>
  <c r="AA24"/>
  <c r="AI24"/>
  <c r="AN24" s="1"/>
  <c r="AC24"/>
  <c r="V24"/>
  <c r="AB24" s="1"/>
  <c r="AB23"/>
  <c r="AI25"/>
  <c r="AN23"/>
  <c r="S25"/>
  <c r="AG24" s="1"/>
  <c r="AJ24" s="1"/>
  <c r="AO24" s="1"/>
  <c r="AJ24" i="33"/>
  <c r="AO23"/>
  <c r="AR23" s="1"/>
  <c r="AX23" s="1"/>
  <c r="AZ23" s="1"/>
  <c r="BO23" s="1"/>
  <c r="AB24"/>
  <c r="AC23"/>
  <c r="AC24" s="1"/>
  <c r="AG23" i="32"/>
  <c r="AG25" s="1"/>
  <c r="AE23"/>
  <c r="AH23"/>
  <c r="AH25" s="1"/>
  <c r="AI23"/>
  <c r="S25"/>
  <c r="AC23"/>
  <c r="AC25" s="1"/>
  <c r="AE23" i="31"/>
  <c r="AG23"/>
  <c r="AG24" s="1"/>
  <c r="AH23"/>
  <c r="AH24" s="1"/>
  <c r="S24"/>
  <c r="AI23"/>
  <c r="AC23"/>
  <c r="AC24" s="1"/>
  <c r="V25" i="35" l="1"/>
  <c r="AB23"/>
  <c r="AH24"/>
  <c r="AG24"/>
  <c r="AE24"/>
  <c r="AI25"/>
  <c r="AN23"/>
  <c r="AG25"/>
  <c r="AJ23"/>
  <c r="AE23"/>
  <c r="AE25" s="1"/>
  <c r="AR24" i="34"/>
  <c r="AX24" s="1"/>
  <c r="AZ24" s="1"/>
  <c r="BO24" s="1"/>
  <c r="AB25"/>
  <c r="AC23"/>
  <c r="AC25" s="1"/>
  <c r="AG23"/>
  <c r="AE23"/>
  <c r="AE25" s="1"/>
  <c r="AH23"/>
  <c r="AH25" s="1"/>
  <c r="V25"/>
  <c r="AE24"/>
  <c r="AE25" i="32"/>
  <c r="AK23"/>
  <c r="AI25"/>
  <c r="AN23"/>
  <c r="AE24"/>
  <c r="AK24" s="1"/>
  <c r="AP24" s="1"/>
  <c r="AR24" s="1"/>
  <c r="AX24" s="1"/>
  <c r="AZ24" s="1"/>
  <c r="BO24" s="1"/>
  <c r="AH24"/>
  <c r="AG24"/>
  <c r="AE24" i="31"/>
  <c r="AK23"/>
  <c r="AN23"/>
  <c r="AI24"/>
  <c r="AO23" i="35" l="1"/>
  <c r="AR23" s="1"/>
  <c r="AX23" s="1"/>
  <c r="AZ23" s="1"/>
  <c r="BO23" s="1"/>
  <c r="AJ25"/>
  <c r="AJ24"/>
  <c r="AO24" s="1"/>
  <c r="AR24" s="1"/>
  <c r="AX24" s="1"/>
  <c r="AZ24" s="1"/>
  <c r="BO24" s="1"/>
  <c r="AB25"/>
  <c r="AC23"/>
  <c r="AC25" s="1"/>
  <c r="AG25" i="34"/>
  <c r="AJ23"/>
  <c r="AP23" i="32"/>
  <c r="AR23" s="1"/>
  <c r="AX23" s="1"/>
  <c r="AZ23" s="1"/>
  <c r="BO23" s="1"/>
  <c r="AK25"/>
  <c r="AP23" i="31"/>
  <c r="AR23" s="1"/>
  <c r="AX23" s="1"/>
  <c r="AZ23" s="1"/>
  <c r="BO23" s="1"/>
  <c r="AK24"/>
  <c r="AJ25" i="34" l="1"/>
  <c r="AO23"/>
  <c r="AR23" s="1"/>
  <c r="AX23" s="1"/>
  <c r="AZ23" s="1"/>
  <c r="BO23" s="1"/>
  <c r="AM23" i="29" l="1"/>
  <c r="AW23" s="1"/>
  <c r="AK23"/>
  <c r="Y23"/>
  <c r="X23"/>
  <c r="X24" s="1"/>
  <c r="R23" i="28"/>
  <c r="Q23"/>
  <c r="P23"/>
  <c r="O23"/>
  <c r="N23"/>
  <c r="M23"/>
  <c r="L23"/>
  <c r="H23" i="29"/>
  <c r="L23" s="1"/>
  <c r="M23" s="1"/>
  <c r="BR23"/>
  <c r="S23" i="28"/>
  <c r="AH23" i="2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23" i="28"/>
  <c r="BO23" i="2"/>
  <c r="AY23" i="28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BR23" i="2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BO23" i="22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22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BP23" s="1"/>
  <c r="AK23"/>
  <c r="AK24" s="1"/>
  <c r="X24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AY23" i="29" l="1"/>
  <c r="BP23"/>
  <c r="AP23"/>
  <c r="N23"/>
  <c r="AK24"/>
  <c r="H24"/>
  <c r="AY23" i="2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H24" i="7"/>
  <c r="AK24" i="3"/>
  <c r="H24"/>
  <c r="O23" i="29" l="1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R23" i="29" l="1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R23" i="28"/>
  <c r="AX23" s="1"/>
  <c r="AZ23" s="1"/>
  <c r="BO23" s="1"/>
  <c r="AB24"/>
  <c r="AC23"/>
  <c r="AC24" s="1"/>
  <c r="AJ24"/>
  <c r="AO23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R23" s="1"/>
  <c r="AX23" s="1"/>
  <c r="AZ23" s="1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J23" i="29" l="1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H24" i="2" l="1"/>
  <c r="R24" l="1"/>
  <c r="S24" l="1"/>
  <c r="W24"/>
  <c r="AI23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E24" i="2"/>
  <c r="V24"/>
  <c r="AI24"/>
  <c r="AN23"/>
  <c r="AH24"/>
  <c r="AG24" i="3" l="1"/>
  <c r="AJ23"/>
  <c r="AG24" i="2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B24" i="2"/>
  <c r="AC24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J24" i="2"/>
  <c r="AO23"/>
  <c r="AR23" s="1"/>
  <c r="AX23" s="1"/>
  <c r="AZ23" s="1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<sst xmlns="http://schemas.openxmlformats.org/spreadsheetml/2006/main" count="5588" uniqueCount="244">
  <si>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</si>
  <si>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</si>
  <si>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</si>
  <si>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</si>
  <si>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</si>
  <si>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</si>
  <si>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</si>
  <si>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</si>
  <si>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</si>
  <si>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</si>
  <si>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</si>
  <si>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</si>
  <si>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</si>
  <si>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</si>
  <si>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</si>
  <si>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</si>
  <si>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</si>
  <si>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</si>
  <si>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</si>
  <si>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</si>
  <si>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</si>
  <si>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</si>
  <si>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</si>
  <si>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</si>
  <si>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</si>
  <si>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</si>
  <si>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</si>
  <si>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</si>
  <si>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</si>
  <si>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</si>
  <si>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</si>
  <si>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</si>
  <si>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</si>
  <si>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</si>
  <si>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</si>
  <si>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</si>
  <si>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</si>
  <si>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</si>
  <si>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</si>
  <si>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</si>
  <si>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</si>
  <si>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</si>
  <si>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</si>
  <si>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</si>
  <si>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</si>
  <si>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</si>
  <si>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</si>
  <si>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</si>
  <si>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</si>
  <si>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</si>
  <si>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</si>
  <si>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</si>
  <si>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</si>
  <si>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</si>
  <si>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</si>
  <si>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</si>
  <si>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</si>
  <si>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</si>
  <si>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</si>
  <si>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</si>
  <si>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</si>
  <si>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</si>
  <si>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</si>
  <si>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</si>
  <si>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</si>
  <si>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</si>
  <si>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</si>
  <si>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</si>
  <si>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</si>
  <si>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</si>
  <si>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</si>
  <si>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</si>
  <si>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</si>
  <si>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</si>
  <si>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</si>
  <si>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</si>
  <si>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</si>
  <si>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</si>
  <si>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</si>
  <si>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</si>
  <si>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</si>
  <si>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</si>
  <si>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</si>
  <si>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</si>
  <si>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</si>
  <si>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</si>
  <si>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</si>
  <si>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</si>
  <si>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</si>
  <si>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</si>
  <si>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</si>
  <si>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</si>
  <si>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</si>
  <si>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</si>
  <si>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</si>
  <si>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</si>
  <si>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</si>
  <si>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</si>
  <si>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</si>
  <si>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</si>
  <si>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</si>
  <si>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</si>
  <si>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</si>
  <si>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</si>
  <si>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</si>
  <si>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</si>
  <si>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</si>
  <si>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</si>
  <si>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</si>
  <si>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</si>
  <si>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</si>
  <si>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</si>
  <si>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</si>
  <si>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</si>
  <si>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</si>
  <si>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</si>
  <si>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</si>
  <si>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</si>
  <si>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</si>
  <si>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</si>
  <si>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</si>
  <si>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</si>
  <si>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</si>
  <si>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</si>
  <si>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</si>
  <si>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</si>
  <si>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</si>
  <si>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</si>
  <si>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</si>
  <si>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</si>
  <si>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</si>
  <si>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</si>
  <si>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</si>
  <si>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</si>
  <si>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</si>
  <si>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</si>
  <si>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</si>
  <si>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</si>
  <si>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</si>
  <si>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</si>
  <si>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</si>
  <si>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</si>
  <si>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</si>
  <si>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</si>
  <si>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</si>
  <si>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</si>
  <si>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</si>
  <si>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</si>
  <si>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</si>
  <si>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</si>
  <si>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</si>
  <si>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</si>
  <si>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</si>
  <si>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</si>
  <si>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</si>
  <si>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</si>
  <si>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</si>
  <si>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</si>
  <si>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</si>
  <si>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</si>
  <si>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</si>
  <si>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</si>
  <si>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</si>
  <si>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</si>
  <si>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</si>
  <si>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</si>
  <si>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</si>
  <si>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</si>
  <si>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</si>
  <si>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</si>
  <si>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</si>
  <si>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</si>
  <si>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</si>
  <si>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</si>
  <si>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</si>
  <si>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</si>
  <si>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</si>
  <si>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</si>
  <si>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</si>
  <si>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</si>
  <si>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</si>
  <si>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</si>
  <si>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</si>
  <si>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</si>
  <si>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</si>
  <si>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</si>
  <si>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</si>
  <si>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</si>
  <si>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</si>
  <si>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</si>
  <si>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</si>
  <si>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</si>
  <si>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</si>
  <si>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</si>
  <si>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</si>
  <si>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</si>
  <si>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</si>
  <si>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</si>
  <si>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</si>
  <si>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51.359</t>
  </si>
  <si>
    <t>565.24365</t>
  </si>
  <si>
    <t>Cost</t>
  </si>
  <si>
    <t>GL Account</t>
  </si>
  <si>
    <t>TYPE</t>
  </si>
  <si>
    <t>MANUFACTRING EXPENSES</t>
  </si>
  <si>
    <t>870</t>
  </si>
  <si>
    <t>328.55019</t>
  </si>
  <si>
    <t>540</t>
  </si>
  <si>
    <t>186.94459</t>
  </si>
  <si>
    <t>2328.975</t>
  </si>
  <si>
    <t>332.28328</t>
  </si>
  <si>
    <t>712</t>
  </si>
  <si>
    <t>266.61192</t>
  </si>
  <si>
    <t>386</t>
  </si>
  <si>
    <t>ROAU-RM-KDK-02</t>
  </si>
  <si>
    <t>261.53222</t>
  </si>
  <si>
    <t>144</t>
  </si>
  <si>
    <t>RM WH 50</t>
  </si>
  <si>
    <t>185.06929</t>
  </si>
  <si>
    <t>328.02245</t>
  </si>
  <si>
    <t>878</t>
  </si>
  <si>
    <t>257.49996</t>
  </si>
  <si>
    <t>294</t>
  </si>
  <si>
    <t>1102</t>
  </si>
  <si>
    <t>880.96853</t>
  </si>
  <si>
    <t>1104</t>
  </si>
  <si>
    <t>879.88404</t>
  </si>
  <si>
    <t>1106</t>
  </si>
  <si>
    <t>878.80347</t>
  </si>
  <si>
    <t>1810.39779</t>
  </si>
  <si>
    <t>1225</t>
  </si>
  <si>
    <t>186.65529</t>
  </si>
  <si>
    <t>1230</t>
  </si>
  <si>
    <t>186.65393</t>
  </si>
  <si>
    <t>1235</t>
  </si>
  <si>
    <t>186.65258</t>
  </si>
  <si>
    <t>1240</t>
  </si>
  <si>
    <t>186.65124</t>
  </si>
  <si>
    <t>1245</t>
  </si>
  <si>
    <t>186.64991</t>
  </si>
  <si>
    <t>1250</t>
  </si>
  <si>
    <t>186.64859</t>
  </si>
  <si>
    <t>1255</t>
  </si>
  <si>
    <t>186.64728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</si>
</sst>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3" fillId="0" borderId="0" xfId="0" applyFont="1"/>
    <xf numFmtId="0" fontId="2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164" fontId="5" fillId="0" borderId="5" xfId="0" applyNumberFormat="1" applyFont="1" applyBorder="1"/>
    <xf numFmtId="2" fontId="5" fillId="0" borderId="5" xfId="0" applyNumberFormat="1" applyFont="1" applyBorder="1"/>
    <xf numFmtId="2" fontId="5" fillId="0" borderId="6" xfId="0" applyNumberFormat="1" applyFont="1" applyBorder="1"/>
    <xf numFmtId="10" fontId="5" fillId="0" borderId="0" xfId="0" applyNumberFormat="1" applyFont="1" applyFill="1" applyBorder="1"/>
    <xf numFmtId="2" fontId="5" fillId="0" borderId="0" xfId="0" applyNumberFormat="1" applyFont="1" applyFill="1" applyBorder="1"/>
    <xf numFmtId="0" fontId="7" fillId="0" borderId="0" xfId="0" applyFont="1"/>
    <xf numFmtId="0" fontId="5" fillId="0" borderId="7" xfId="0" applyFont="1" applyBorder="1"/>
    <xf numFmtId="0" fontId="5" fillId="0" borderId="8" xfId="0" applyFont="1" applyBorder="1"/>
    <xf numFmtId="164" fontId="5" fillId="0" borderId="8" xfId="0" applyNumberFormat="1" applyFont="1" applyBorder="1"/>
    <xf numFmtId="2" fontId="5" fillId="0" borderId="8" xfId="0" applyNumberFormat="1" applyFont="1" applyBorder="1"/>
    <xf numFmtId="2" fontId="5" fillId="0" borderId="9" xfId="0" applyNumberFormat="1" applyFont="1" applyBorder="1"/>
    <xf numFmtId="0" fontId="6" fillId="3" borderId="11" xfId="0" applyFont="1" applyFill="1" applyBorder="1" applyAlignment="1">
      <alignment vertical="top"/>
    </xf>
    <xf numFmtId="0" fontId="5" fillId="0" borderId="0" xfId="0" applyFont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6" fillId="0" borderId="0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0" fontId="5" fillId="2" borderId="2" xfId="0" applyFont="1" applyFill="1" applyBorder="1"/>
    <xf numFmtId="0" fontId="5" fillId="2" borderId="13" xfId="0" applyFont="1" applyFill="1" applyBorder="1"/>
    <xf numFmtId="0" fontId="5" fillId="2" borderId="2" xfId="0" applyFont="1" applyFill="1" applyBorder="1" applyAlignment="1"/>
    <xf numFmtId="0" fontId="5" fillId="0" borderId="14" xfId="0" applyFont="1" applyBorder="1"/>
    <xf numFmtId="0" fontId="5" fillId="0" borderId="14" xfId="0" applyNumberFormat="1" applyFont="1" applyBorder="1"/>
    <xf numFmtId="10" fontId="5" fillId="0" borderId="14" xfId="0" applyNumberFormat="1" applyFont="1" applyBorder="1"/>
    <xf numFmtId="0" fontId="5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0" fontId="6" fillId="3" borderId="14" xfId="0" applyFont="1" applyFill="1" applyBorder="1"/>
    <xf numFmtId="0" fontId="6" fillId="3" borderId="14" xfId="0" applyNumberFormat="1" applyFont="1" applyFill="1" applyBorder="1"/>
    <xf numFmtId="2" fontId="6" fillId="3" borderId="14" xfId="0" applyNumberFormat="1" applyFont="1" applyFill="1" applyBorder="1"/>
    <xf numFmtId="0" fontId="6" fillId="6" borderId="14" xfId="0" applyFont="1" applyFill="1" applyBorder="1"/>
    <xf numFmtId="2" fontId="6" fillId="6" borderId="14" xfId="0" applyNumberFormat="1" applyFont="1" applyFill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164" fontId="0" fillId="0" borderId="0" xfId="0" applyNumberFormat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2" fillId="0" borderId="14" xfId="0" applyNumberFormat="1" applyFont="1" applyBorder="1"/>
    <xf numFmtId="0" fontId="2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2" fillId="2" borderId="18" xfId="0" applyFont="1" applyFill="1" applyBorder="1"/>
    <xf numFmtId="0" fontId="1" fillId="0" borderId="0" xfId="0" applyFont="1"/>
    <xf numFmtId="0" fontId="4" fillId="0" borderId="0" xfId="0" applyFont="1" applyBorder="1" applyAlignment="1">
      <alignment horizontal="left" vertical="top"/>
    </xf>
    <xf numFmtId="2" fontId="5" fillId="0" borderId="14" xfId="0" applyNumberFormat="1" applyFont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6" fillId="3" borderId="1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center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64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7" xfId="0" applyFont="1" applyBorder="1"/>
    <xf numFmtId="0" fontId="2" fillId="0" borderId="8" xfId="0" applyFont="1" applyBorder="1"/>
    <xf numFmtId="164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left" vertical="center"/>
    </xf>
    <xf numFmtId="0" fontId="2" fillId="2" borderId="2" xfId="0" applyFont="1" applyFill="1" applyBorder="1"/>
    <xf numFmtId="0" fontId="2" fillId="2" borderId="13" xfId="0" applyFont="1" applyFill="1" applyBorder="1"/>
    <xf numFmtId="0" fontId="2" fillId="2" borderId="2" xfId="0" applyFont="1" applyFill="1" applyBorder="1" applyAlignment="1"/>
    <xf numFmtId="10" fontId="2" fillId="0" borderId="14" xfId="0" applyNumberFormat="1" applyFont="1" applyBorder="1"/>
    <xf numFmtId="0" fontId="2" fillId="0" borderId="16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theme/theme1.xml" Type="http://schemas.openxmlformats.org/officeDocument/2006/relationships/theme"/><Relationship Id="rId34" Target="styles.xml" Type="http://schemas.openxmlformats.org/officeDocument/2006/relationships/styles"/><Relationship Id="rId35" Target="sharedStrings.xml" Type="http://schemas.openxmlformats.org/officeDocument/2006/relationships/sharedStrings"/><Relationship Id="rId36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U25"/>
  <sheetViews>
    <sheetView topLeftCell="E10" workbookViewId="0">
      <selection activeCell="R23" sqref="R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  <c r="BS22" s="69" t="s">
        <v>202</v>
      </c>
      <c r="BT22" s="69" t="s">
        <v>203</v>
      </c>
      <c r="BU22" s="70"/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72">
        <f>ROUND(M23+O23+Q23,3)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292.57458000000003</v>
      </c>
      <c r="BP23" s="4">
        <f>BN23+AW23</f>
        <v>684</v>
      </c>
      <c r="BQ23" s="50">
        <v>88363222</v>
      </c>
      <c r="BR23" s="4">
        <f>G23+100</f>
        <v>400</v>
      </c>
      <c r="BS23" s="4" t="s">
        <v>204</v>
      </c>
      <c r="BT23" s="70" t="s">
        <v>3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F13" workbookViewId="0">
      <selection activeCell="W23" sqref="W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 s="0">
        <v>128</v>
      </c>
      <c r="H23" s="46">
        <f>F23*G23</f>
        <v>1000</v>
      </c>
      <c r="I23" t="s" s="0">
        <v>127</v>
      </c>
      <c r="J23" s="46">
        <v>2</v>
      </c>
      <c r="K23" s="46">
        <v>3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28.81</v>
      </c>
      <c r="R23" s="72">
        <f>ROUND(M23+O23+Q23,3)</f>
        <v>68.41</v>
      </c>
      <c r="S23" s="72">
        <f>(H23-R23)</f>
        <v>931.59</v>
      </c>
      <c r="T23" s="65" t="s">
        <v>106</v>
      </c>
      <c r="U23" s="46">
        <v>0.18</v>
      </c>
      <c r="V23" s="72">
        <f>IF(OR($C$21=1,$C$21=4),ROUND(((S23*U23)/2),2),0)</f>
        <v>83.84</v>
      </c>
      <c r="W23" s="72">
        <f>IF($C$21=1,ROUND(((S23*U23)/2),2),0)</f>
        <v>83.84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167.68</v>
      </c>
      <c r="AC23" s="46">
        <f>IF($V21=1,S23+AB23,S23)</f>
        <v>1099.27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931.59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186.31800000000001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186.31800000000001</v>
      </c>
      <c r="AS23" t="s" s="0">
        <v>188</v>
      </c>
      <c r="AT23" s="66" t="s">
        <v>12</v>
      </c>
      <c r="AU23" t="s" s="0">
        <v>108</v>
      </c>
      <c r="AV23" t="s" s="0">
        <v>189</v>
      </c>
      <c r="AW23" s="48">
        <f>AM23</f>
        <v>5</v>
      </c>
      <c r="AX23" s="48">
        <f>ROUND(AR23,2)</f>
        <v>186.32</v>
      </c>
      <c r="AY23" s="48">
        <f>AU23+AW23</f>
        <v>5</v>
      </c>
      <c r="AZ23" s="48">
        <f>ROUND(((AU23*AV23)+(AW23*AX23))/(AU23+AW23),5)</f>
        <v>186.32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243</v>
      </c>
      <c r="BN23" t="s" s="0">
        <v>242</v>
      </c>
      <c r="BO23" s="48">
        <f>ROUND((((AW23*AZ23)+(BN23*BM23))/(AW23+BN23)),5)</f>
        <v>187.06620000000001</v>
      </c>
      <c r="BP23" s="4">
        <f>BN23+AW23</f>
        <v>452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68.41</v>
      </c>
      <c r="S24" s="54">
        <f>SUM(S23:S23)</f>
        <v>931.59</v>
      </c>
      <c r="T24" s="53"/>
      <c r="U24" s="53"/>
      <c r="V24" s="55">
        <f>SUM(V23:V23)</f>
        <v>83.84</v>
      </c>
      <c r="W24" s="55">
        <f>SUM(W23:W23)</f>
        <v>83.84</v>
      </c>
      <c r="X24" s="55">
        <f>SUM(X23:X23)</f>
        <v>0</v>
      </c>
      <c r="Y24" s="55"/>
      <c r="Z24" s="55"/>
      <c r="AA24" s="55"/>
      <c r="AB24" s="53">
        <f>SUM(AB23:AB23)</f>
        <v>167.68</v>
      </c>
      <c r="AC24" s="56">
        <f>SUM(AC23:AC23)</f>
        <v>1099.27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931.59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34" sqref="B3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0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226</v>
      </c>
      <c r="BN23" t="s" s="0">
        <v>225</v>
      </c>
      <c r="BO23" s="48">
        <f>ROUND((((AW23*AZ23)+(BN23*BM23))/(AW23+BN23)),5)</f>
        <v>334.91496000000001</v>
      </c>
      <c r="BP23" s="4">
        <f>BN23+AW23</f>
        <v>752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600</v>
      </c>
      <c r="I23" t="s" s="0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158</v>
      </c>
      <c r="AV23" t="s" s="0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195</v>
      </c>
      <c r="BN23" t="s" s="0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188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188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198</v>
      </c>
      <c r="BN23" t="s" s="0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K37" sqref="BK3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558.96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200</v>
      </c>
      <c r="BN23" t="s" s="0">
        <v>199</v>
      </c>
      <c r="BO23" s="48">
        <f>ROUND((((AW23*AZ23)+(BN23*BM23))/(AW23+BN23)),5)</f>
        <v>565.49843999999996</v>
      </c>
      <c r="BP23" s="4">
        <f>ROUND((BN23+AW23),3)</f>
        <v>49.357999999999997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188.22</v>
      </c>
      <c r="AS23" t="s" s="0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7" sqref="D1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3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</v>
      </c>
      <c r="H23" s="65">
        <f>F23*G23</f>
        <v>60</v>
      </c>
      <c r="I23" s="65">
        <v>1</v>
      </c>
      <c r="J23" s="65">
        <v>2</v>
      </c>
      <c r="K23" s="65">
        <v>3</v>
      </c>
      <c r="L23" s="65">
        <f>H23</f>
        <v>60</v>
      </c>
      <c r="M23" s="65">
        <f>ROUND(L23*I23%,2)</f>
        <v>0.6</v>
      </c>
      <c r="N23" s="65">
        <f>H23-M23</f>
        <v>59.4</v>
      </c>
      <c r="O23" s="65">
        <f>ROUND(N23*J23%,2)</f>
        <v>1.19</v>
      </c>
      <c r="P23" s="65">
        <f>ROUND(N23-O23,2)</f>
        <v>58.21</v>
      </c>
      <c r="Q23" s="65">
        <f>ROUND(P23*K23%,2)</f>
        <v>1.75</v>
      </c>
      <c r="R23" s="65">
        <f>M23+O23+Q23</f>
        <v>3.54</v>
      </c>
      <c r="S23" s="65">
        <f>(H23-R23)</f>
        <v>56.46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56.46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56.46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28.23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28.23</v>
      </c>
      <c r="AS23" t="s" s="0">
        <v>188</v>
      </c>
      <c r="AT23" s="66" t="s">
        <v>12</v>
      </c>
      <c r="AU23" t="s" s="0">
        <v>108</v>
      </c>
      <c r="AV23" t="s" s="0">
        <v>209</v>
      </c>
      <c r="AW23" s="66">
        <f>AM23</f>
        <v>2</v>
      </c>
      <c r="AX23" s="66">
        <f>AR23</f>
        <v>28.23</v>
      </c>
      <c r="AY23" s="66">
        <f>AU23+AW23</f>
        <v>2</v>
      </c>
      <c r="AZ23" s="66">
        <f>ROUND(((AU23*AV23)+(AW23*AX23))/(AU23+AW23),5)</f>
        <v>28.23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210</v>
      </c>
      <c r="BN23" t="s" s="0">
        <v>211</v>
      </c>
      <c r="BO23" s="66">
        <f>ROUND((((AW23*AZ23)+(BN23*BM23))/(AW23+BN23)),5)</f>
        <v>331.43159000000003</v>
      </c>
      <c r="BP23" s="4">
        <f>BN23+AW23</f>
        <v>714</v>
      </c>
      <c r="BQ23" s="50">
        <v>88363222</v>
      </c>
      <c r="BR23" s="4"/>
    </row>
    <row r="24" spans="1:70" ht="15.75" thickBot="1">
      <c r="A24" s="77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0</v>
      </c>
      <c r="Y24" s="55"/>
      <c r="Z24" s="55"/>
      <c r="AA24" s="55"/>
      <c r="AB24" s="53">
        <f>SUM(AB23:AB23)</f>
        <v>0</v>
      </c>
      <c r="AC24" s="56">
        <f>SUM(AC23:AC23)</f>
        <v>56.46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7"/>
    </row>
    <row r="25" spans="1:70">
      <c r="A25" s="77"/>
      <c r="B25" s="5"/>
      <c r="C25" s="5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3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564.66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212</v>
      </c>
      <c r="BN23" t="s" s="0">
        <v>213</v>
      </c>
      <c r="BO23" s="66">
        <f>ROUND((((AW23*AZ23)+(BN23*BM23))/(AW23+BN23)),5)</f>
        <v>266.69294000000002</v>
      </c>
      <c r="BP23" s="4">
        <f>BN23+AW23</f>
        <v>388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0</v>
      </c>
      <c r="W24" s="65">
        <f>IF($C$21=1,ROUND(((S24*U24)/2),2),0)</f>
        <v>0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0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215</v>
      </c>
      <c r="BN24" t="s" s="0">
        <v>216</v>
      </c>
      <c r="BO24" s="66">
        <f>ROUND((((AW24*AZ24)+(BN24*BM24))/(AW24+BN24)),5)</f>
        <v>261.81711999999999</v>
      </c>
      <c r="BP24" s="4">
        <f>BN24+AW24</f>
        <v>146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0</v>
      </c>
      <c r="W25" s="55">
        <f>SUM(W23:W24)</f>
        <v>0</v>
      </c>
      <c r="X25" s="55">
        <f>SUM(X23:X23)</f>
        <v>0</v>
      </c>
      <c r="Y25" s="55"/>
      <c r="Z25" s="55"/>
      <c r="AA25" s="55"/>
      <c r="AB25" s="53">
        <f>SUM(AB23:AB24)</f>
        <v>0</v>
      </c>
      <c r="AC25" s="56">
        <f>SUM(AC23:AC24)</f>
        <v>1129.32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217</v>
      </c>
      <c r="BM23" t="s" s="0">
        <v>218</v>
      </c>
      <c r="BN23" t="s" s="0">
        <v>173</v>
      </c>
      <c r="BO23" s="66">
        <f>ROUND((((AW23*AZ23)+(BN23*BM23))/(AW23+BN23)),5)</f>
        <v>191.55333999999999</v>
      </c>
      <c r="BP23" s="4">
        <f>BN23+AW23</f>
        <v>30</v>
      </c>
      <c r="BQ23" s="50">
        <v>88363222</v>
      </c>
      <c r="BR23" s="4"/>
    </row>
    <row r="24" spans="1:70" ht="15.75" thickBot="1">
      <c r="A24" s="77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7"/>
    </row>
    <row r="25" spans="1:70">
      <c r="A25" s="77"/>
      <c r="B25" s="5"/>
      <c r="C25" s="5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6" sqref="B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217</v>
      </c>
      <c r="BM23" t="s" s="0">
        <v>219</v>
      </c>
      <c r="BN23" t="s" s="0">
        <v>220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217</v>
      </c>
      <c r="BM24" t="s" s="0">
        <v>221</v>
      </c>
      <c r="BN24" t="s" s="0">
        <v>222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tabSelected="1" workbookViewId="0">
      <selection activeCell="D10" sqref="D10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228</v>
      </c>
      <c r="BN23" t="s" s="0">
        <v>227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229</v>
      </c>
      <c r="BN24" t="s" s="0">
        <v>213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Sheet1</vt:lpstr>
      <vt:lpstr>GateEntry</vt:lpstr>
      <vt:lpstr>PurchaseBill</vt:lpstr>
      <vt:lpstr>PurchaseBillGRN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  <vt:lpstr>DirectGrnGenUDIMP</vt:lpstr>
      <vt:lpstr>DirectGrnGenUDMultiIMP</vt:lpstr>
      <vt:lpstr>DirectGrnGenUD50</vt:lpstr>
      <vt:lpstr>DirectGrnGenUDMulti50</vt:lpstr>
      <vt:lpstr>DirectGrnGenUDMulti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2025-12-17T12:32:36Z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