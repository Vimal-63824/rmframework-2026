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16" activeTab="16"/>
  </bookViews>
  <sheets>
    <sheet name="Sheet1" sheetId="5" r:id="rId1"/>
    <sheet name="GateEntry" sheetId="27" r:id="rId2"/>
    <sheet name="DirectGrnGenUD" sheetId="2" r:id="rId3"/>
    <sheet name="DirectGrnMatUDD" sheetId="7" r:id="rId4"/>
    <sheet name="DirectGrnService" sheetId="3" r:id="rId5"/>
    <sheet name="DirectGrnRateContract" sheetId="4" r:id="rId6"/>
    <sheet name="DirectGrnServiceRateContract" sheetId="8" r:id="rId7"/>
    <sheet name="DirectGrnPriceList" sheetId="9" r:id="rId8"/>
    <sheet name="DirectGrnServicePriceList" sheetId="10" r:id="rId9"/>
    <sheet name="DirectGrnGenUDWOI" sheetId="11" r:id="rId10"/>
    <sheet name="DirectGrnMatUDDWOI" sheetId="12" r:id="rId11"/>
    <sheet name="DirectGrnServiceWOI" sheetId="13" r:id="rId12"/>
    <sheet name="DirectGrnRateContractWOI" sheetId="14" r:id="rId13"/>
    <sheet name="DirectGrnServiceRateContractWOI" sheetId="15" r:id="rId14"/>
    <sheet name="DirectGrnPriceListWOI" sheetId="16" r:id="rId15"/>
    <sheet name="DirectGrnServicePriceListWOI" sheetId="17" r:id="rId16"/>
    <sheet name="DIfUOMDirectGrnGenUD" sheetId="18" r:id="rId17"/>
    <sheet name="DIfUOMDirectMatUD" sheetId="19" r:id="rId18"/>
    <sheet name="DIfUOMDirectSerUD" sheetId="20" r:id="rId19"/>
    <sheet name="DIFUOMDirectGrnRateContract" sheetId="21" r:id="rId20"/>
    <sheet name="DIFUOMDirectGrnMatRateContract" sheetId="22" r:id="rId21"/>
    <sheet name="DIFUOMDirectGrnSerRateContract" sheetId="23" r:id="rId22"/>
    <sheet name="DIFUOMDirectGrnPriceList" sheetId="24" r:id="rId23"/>
    <sheet name="DIFUOMDirectGrnMatPriceList" sheetId="25" r:id="rId24"/>
    <sheet name="DIFUOMDirectGrnSerPriceList" sheetId="26" r:id="rId2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" i="2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O23" i="22"/>
  <c r="BP23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Y23" i="2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P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P23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AK23"/>
  <c r="AK24" s="1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W23" i="19" l="1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BP23" i="2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L23" i="19"/>
  <c r="M23" s="1"/>
  <c r="N23" s="1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N23"/>
  <c r="O23" s="1"/>
  <c r="H24"/>
  <c r="H24" i="7"/>
  <c r="AK24" i="3"/>
  <c r="H24"/>
  <c r="AY23" i="19" l="1"/>
  <c r="BP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P23" s="1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P23" i="2"/>
  <c r="Q23" s="1"/>
  <c r="R23" s="1"/>
  <c r="AE23" i="27" l="1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3" i="19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R24" i="2"/>
  <c r="S23"/>
  <c r="AG24" i="27" l="1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S23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I23" i="2"/>
  <c r="AA23"/>
  <c r="W23"/>
  <c r="W24" s="1"/>
  <c r="S24"/>
  <c r="AE18" i="5" s="1"/>
  <c r="AR23" i="27" l="1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H23" i="17"/>
  <c r="AH24" s="1"/>
  <c r="AB23" i="3"/>
  <c r="AG18" i="5"/>
  <c r="AH23" i="3"/>
  <c r="AG23" i="13"/>
  <c r="AB18" i="5"/>
  <c r="AH17"/>
  <c r="W17"/>
  <c r="AI17"/>
  <c r="AN17" s="1"/>
  <c r="AA17"/>
  <c r="AC17"/>
  <c r="AE17"/>
  <c r="AG17"/>
  <c r="AJ17" s="1"/>
  <c r="AO17" s="1"/>
  <c r="V17"/>
  <c r="AI16"/>
  <c r="AN16" s="1"/>
  <c r="AA16"/>
  <c r="AC16"/>
  <c r="AE16"/>
  <c r="AG16"/>
  <c r="AJ16" s="1"/>
  <c r="AO16" s="1"/>
  <c r="V16"/>
  <c r="AH16"/>
  <c r="W16"/>
  <c r="AE23" i="3"/>
  <c r="AG23" i="17"/>
  <c r="AH23" i="13"/>
  <c r="AH24" s="1"/>
  <c r="AH18" i="5"/>
  <c r="AE23" i="17"/>
  <c r="AE24" s="1"/>
  <c r="AG23" i="3"/>
  <c r="AJ23" s="1"/>
  <c r="AO23" s="1"/>
  <c r="AR23" s="1"/>
  <c r="AX23" s="1"/>
  <c r="AZ23" s="1"/>
  <c r="BO23" s="1"/>
  <c r="AE23" i="13"/>
  <c r="AE24" s="1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AE23" i="26"/>
  <c r="AE24" s="1"/>
  <c r="W23"/>
  <c r="W24" s="1"/>
  <c r="AH23"/>
  <c r="AH24" s="1"/>
  <c r="S24"/>
  <c r="AI23"/>
  <c r="AA23"/>
  <c r="AC23"/>
  <c r="AC24" s="1"/>
  <c r="AG23"/>
  <c r="V23"/>
  <c r="W24" i="24"/>
  <c r="S24"/>
  <c r="AE23" i="23"/>
  <c r="AE24" s="1"/>
  <c r="W23"/>
  <c r="W24" s="1"/>
  <c r="S24"/>
  <c r="AI23"/>
  <c r="AA23"/>
  <c r="AH23"/>
  <c r="AH24" s="1"/>
  <c r="AG23"/>
  <c r="AC23"/>
  <c r="AC24" s="1"/>
  <c r="V23"/>
  <c r="AN23" i="22"/>
  <c r="AI24"/>
  <c r="AB23"/>
  <c r="V24"/>
  <c r="AE23"/>
  <c r="AE24" s="1"/>
  <c r="AG23"/>
  <c r="R24" i="21"/>
  <c r="S23"/>
  <c r="R24" i="20"/>
  <c r="S23"/>
  <c r="AA23" i="19"/>
  <c r="S24"/>
  <c r="AH23" s="1"/>
  <c r="AH24" s="1"/>
  <c r="V23"/>
  <c r="W23"/>
  <c r="W24" s="1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AH23" i="15"/>
  <c r="AH24" s="1"/>
  <c r="W23"/>
  <c r="W24" s="1"/>
  <c r="AA23"/>
  <c r="S24"/>
  <c r="AI23"/>
  <c r="AG23"/>
  <c r="V23"/>
  <c r="AC23"/>
  <c r="AC24" s="1"/>
  <c r="AE23"/>
  <c r="AE24" s="1"/>
  <c r="AI24" i="14"/>
  <c r="AN23"/>
  <c r="AG24"/>
  <c r="AJ23"/>
  <c r="AB23"/>
  <c r="V24"/>
  <c r="AG24" i="13"/>
  <c r="V24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AG23" i="2"/>
  <c r="AG24" s="1"/>
  <c r="AH23"/>
  <c r="AH24" s="1"/>
  <c r="AB23"/>
  <c r="V24"/>
  <c r="AN23"/>
  <c r="AI24"/>
  <c r="AE23"/>
  <c r="AE24" s="1"/>
  <c r="R24" i="7"/>
  <c r="R24" i="3"/>
  <c r="AE23" i="25" l="1"/>
  <c r="AE24" s="1"/>
  <c r="AH23"/>
  <c r="AH24" s="1"/>
  <c r="AB16" i="5"/>
  <c r="AJ18"/>
  <c r="AO18" s="1"/>
  <c r="AR18" s="1"/>
  <c r="AX18" s="1"/>
  <c r="AZ18" s="1"/>
  <c r="BO18" s="1"/>
  <c r="AB17"/>
  <c r="AJ23" i="17"/>
  <c r="AJ24" s="1"/>
  <c r="AI24" i="7"/>
  <c r="AR16" i="5"/>
  <c r="AX16" s="1"/>
  <c r="AZ16" s="1"/>
  <c r="BO16" s="1"/>
  <c r="AR17"/>
  <c r="AX17" s="1"/>
  <c r="AZ17" s="1"/>
  <c r="BO17" s="1"/>
  <c r="AJ23" i="13"/>
  <c r="AO23" s="1"/>
  <c r="AR23" s="1"/>
  <c r="AX23" s="1"/>
  <c r="AZ23" s="1"/>
  <c r="BO23" s="1"/>
  <c r="AG24" i="1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AG24" i="26"/>
  <c r="AJ23"/>
  <c r="V24"/>
  <c r="AB23"/>
  <c r="AB24" s="1"/>
  <c r="AI24"/>
  <c r="AN23"/>
  <c r="V24" i="24"/>
  <c r="AI24"/>
  <c r="V24" i="23"/>
  <c r="AB23"/>
  <c r="AB24" s="1"/>
  <c r="AG24"/>
  <c r="AJ23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AE23" i="20"/>
  <c r="AE24" s="1"/>
  <c r="AG23"/>
  <c r="V23"/>
  <c r="AH23"/>
  <c r="AH24" s="1"/>
  <c r="W23"/>
  <c r="W24" s="1"/>
  <c r="S24"/>
  <c r="AI23"/>
  <c r="AC23"/>
  <c r="AC24" s="1"/>
  <c r="AA23"/>
  <c r="AE23" i="19"/>
  <c r="AE24" s="1"/>
  <c r="AG23"/>
  <c r="AN23"/>
  <c r="AI24"/>
  <c r="V24"/>
  <c r="AB23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AG24"/>
  <c r="AJ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AE23" i="10"/>
  <c r="AE24" s="1"/>
  <c r="AH23"/>
  <c r="AH24" s="1"/>
  <c r="W23"/>
  <c r="W24" s="1"/>
  <c r="S24"/>
  <c r="AI23"/>
  <c r="AG23"/>
  <c r="AA23"/>
  <c r="V23"/>
  <c r="AC23"/>
  <c r="AC24" s="1"/>
  <c r="AB24" i="9"/>
  <c r="AC23"/>
  <c r="AC24" s="1"/>
  <c r="AJ23"/>
  <c r="AG24"/>
  <c r="AE23" i="8"/>
  <c r="AE24" s="1"/>
  <c r="AG23"/>
  <c r="V23"/>
  <c r="AH23"/>
  <c r="AH24" s="1"/>
  <c r="W23"/>
  <c r="W24" s="1"/>
  <c r="S24"/>
  <c r="AI23"/>
  <c r="AA23"/>
  <c r="AC23"/>
  <c r="AC24" s="1"/>
  <c r="AB24" i="7"/>
  <c r="AJ23" i="2"/>
  <c r="AJ24" s="1"/>
  <c r="AB24"/>
  <c r="AC23"/>
  <c r="AC24" s="1"/>
  <c r="W24" i="7"/>
  <c r="S24"/>
  <c r="AE24" i="3"/>
  <c r="AH24"/>
  <c r="W24"/>
  <c r="S24"/>
  <c r="AO23" i="17" l="1"/>
  <c r="AR23" s="1"/>
  <c r="AX23" s="1"/>
  <c r="AZ23" s="1"/>
  <c r="BO23" s="1"/>
  <c r="AJ24" i="13"/>
  <c r="AO23" i="25"/>
  <c r="AR23" s="1"/>
  <c r="AX23" s="1"/>
  <c r="AZ23" s="1"/>
  <c r="BO23" s="1"/>
  <c r="AJ24"/>
  <c r="AB24"/>
  <c r="AC23"/>
  <c r="AC24" s="1"/>
  <c r="AG24" i="24"/>
  <c r="AH23" i="21"/>
  <c r="AH24" s="1"/>
  <c r="AO23" i="26"/>
  <c r="AR23" s="1"/>
  <c r="AX23" s="1"/>
  <c r="AZ23" s="1"/>
  <c r="BO23" s="1"/>
  <c r="AJ24"/>
  <c r="AB24" i="24"/>
  <c r="AC24"/>
  <c r="AJ24"/>
  <c r="AO23" i="23"/>
  <c r="AR23" s="1"/>
  <c r="AX23" s="1"/>
  <c r="AZ23" s="1"/>
  <c r="BO23" s="1"/>
  <c r="AJ24"/>
  <c r="AO23" i="22"/>
  <c r="AR23" s="1"/>
  <c r="AX23" s="1"/>
  <c r="AZ23" s="1"/>
  <c r="AJ24"/>
  <c r="AB23" i="21"/>
  <c r="V24"/>
  <c r="AN23"/>
  <c r="AI24"/>
  <c r="AG23"/>
  <c r="AG24" i="20"/>
  <c r="AJ23"/>
  <c r="V24"/>
  <c r="AB23"/>
  <c r="AB24" s="1"/>
  <c r="AN23"/>
  <c r="AI24"/>
  <c r="AG24" i="19"/>
  <c r="AJ23"/>
  <c r="AB24"/>
  <c r="AC23"/>
  <c r="AC24" s="1"/>
  <c r="AO23" i="18"/>
  <c r="AR23" s="1"/>
  <c r="AX23" s="1"/>
  <c r="AZ23" s="1"/>
  <c r="BO23" s="1"/>
  <c r="AJ24"/>
  <c r="V24" i="16"/>
  <c r="AB23"/>
  <c r="AG24"/>
  <c r="AJ23"/>
  <c r="AI24"/>
  <c r="AN23"/>
  <c r="AJ24" i="15"/>
  <c r="AO23"/>
  <c r="AR23" s="1"/>
  <c r="AX23" s="1"/>
  <c r="AZ23" s="1"/>
  <c r="BO23" s="1"/>
  <c r="AI24" i="10"/>
  <c r="AN23"/>
  <c r="AG24"/>
  <c r="AJ23"/>
  <c r="V24"/>
  <c r="AB23"/>
  <c r="AB24" s="1"/>
  <c r="AJ24" i="9"/>
  <c r="AO23"/>
  <c r="AR23" s="1"/>
  <c r="AX23" s="1"/>
  <c r="AZ23" s="1"/>
  <c r="BO23" s="1"/>
  <c r="AI24" i="8"/>
  <c r="AN23"/>
  <c r="AG24"/>
  <c r="AJ23"/>
  <c r="V24"/>
  <c r="AB23"/>
  <c r="AB24" s="1"/>
  <c r="AH23" i="7"/>
  <c r="AH24" s="1"/>
  <c r="AE23"/>
  <c r="AE24" s="1"/>
  <c r="AG23"/>
  <c r="AG24" s="1"/>
  <c r="AO23" i="2"/>
  <c r="AR23" s="1"/>
  <c r="AX23" s="1"/>
  <c r="V24" i="7"/>
  <c r="AG24" i="3"/>
  <c r="V24"/>
  <c r="AI24"/>
  <c r="AZ23" i="2" l="1"/>
  <c r="BO23" s="1"/>
  <c r="AB24" i="21"/>
  <c r="AC23"/>
  <c r="AC24" s="1"/>
  <c r="AJ23"/>
  <c r="AG24"/>
  <c r="AO23" i="20"/>
  <c r="AR23" s="1"/>
  <c r="AX23" s="1"/>
  <c r="AZ23" s="1"/>
  <c r="BO23" s="1"/>
  <c r="AJ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R23" i="10"/>
  <c r="AX23" s="1"/>
  <c r="AZ23" s="1"/>
  <c r="BO23" s="1"/>
  <c r="AO23"/>
  <c r="AJ24"/>
  <c r="AR23" i="8"/>
  <c r="AX23" s="1"/>
  <c r="AZ23" s="1"/>
  <c r="BO23" s="1"/>
  <c r="AO23"/>
  <c r="AJ24"/>
  <c r="AJ23" i="7"/>
  <c r="AJ24" i="3"/>
  <c r="AB24"/>
  <c r="AC24"/>
  <c r="AO23" i="21" l="1"/>
  <c r="AR23" s="1"/>
  <c r="AX23" s="1"/>
  <c r="AZ23" s="1"/>
  <c r="AJ24"/>
  <c r="AO23" i="7"/>
  <c r="AR23" s="1"/>
  <c r="AX23" s="1"/>
  <c r="AZ23" s="1"/>
  <c r="BO23" s="1"/>
  <c r="AJ24"/>
</calcChain>
</file>

<file path=xl/sharedStrings.xml><?xml version="1.0" encoding="utf-8"?>
<sst xmlns="http://schemas.openxmlformats.org/spreadsheetml/2006/main" count="4282" uniqueCount="197">
  <si>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</si>
  <si>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</si>
  <si>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</si>
  <si>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</si>
  <si>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</si>
  <si>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</si>
  <si>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</si>
  <si>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</si>
  <si>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</si>
  <si>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</si>
  <si>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</si>
  <si>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</si>
  <si>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</si>
  <si>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</si>
  <si>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</si>
  <si>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</si>
  <si>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</si>
  <si>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</si>
  <si>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</si>
  <si>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</si>
  <si>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</si>
  <si>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</si>
  <si>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</si>
  <si>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</si>
  <si>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</si>
  <si>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</si>
  <si>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</si>
  <si>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</si>
  <si>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</si>
  <si>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</si>
  <si>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</si>
  <si>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</si>
  <si>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</si>
  <si>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</si>
  <si>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</si>
  <si>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</si>
  <si>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</si>
  <si>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</si>
  <si>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</si>
  <si>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</si>
  <si>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</si>
  <si>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</si>
  <si>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</si>
  <si>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</si>
  <si>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</si>
  <si>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</si>
  <si>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</si>
  <si>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</si>
  <si>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</si>
  <si>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</si>
  <si>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</si>
  <si>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</si>
  <si>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</si>
  <si>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</si>
  <si>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</si>
  <si>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</si>
  <si>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</si>
  <si>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</si>
  <si>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</si>
  <si>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</si>
  <si>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</si>
  <si>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</si>
  <si>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</si>
  <si>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</si>
  <si>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</si>
  <si>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</si>
  <si>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</si>
  <si>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</si>
  <si>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</si>
  <si>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</si>
  <si>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</si>
  <si>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</si>
  <si>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</si>
  <si>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</si>
  <si>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</si>
  <si>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</si>
  <si>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</si>
  <si>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</si>
  <si>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</si>
  <si>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</si>
  <si>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</si>
  <si>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</si>
  <si>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</si>
  <si>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</si>
  <si>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</si>
  <si>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</si>
  <si>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</si>
  <si>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</si>
  <si>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</si>
  <si>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</si>
  <si>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</si>
  <si>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</si>
  <si>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</si>
  <si>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</si>
  <si>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</si>
  <si>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</si>
  <si>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</si>
  <si>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</si>
  <si>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</si>
  <si>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</si>
  <si>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</si>
  <si>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</si>
  <si>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</si>
  <si>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</si>
  <si>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</si>
  <si>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</si>
  <si>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</si>
  <si>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</si>
  <si>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</si>
  <si>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</si>
  <si>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</si>
  <si>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</si>
  <si>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</si>
  <si>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</si>
  <si>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</si>
  <si>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</si>
  <si>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</si>
  <si>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</si>
  <si>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</si>
  <si>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</si>
  <si>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</si>
  <si>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</si>
  <si>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</si>
  <si>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</si>
  <si>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</si>
  <si>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</si>
  <si>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</si>
  <si>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</si>
  <si>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</si>
  <si>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</si>
  <si>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</si>
  <si>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</si>
  <si>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</si>
  <si>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</si>
  <si>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</si>
  <si>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</si>
  <si>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</si>
  <si>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</si>
  <si>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</si>
  <si>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</si>
  <si>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</si>
  <si>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</si>
  <si>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</si>
  <si>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</si>
  <si>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</si>
  <si>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</si>
  <si>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</si>
  <si>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</si>
  <si>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</si>
  <si>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</si>
  <si>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</si>
  <si>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</si>
  <si>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</si>
  <si>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</si>
  <si>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</si>
  <si>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</si>
  <si>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</si>
  <si>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</si>
  <si>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</si>
  <si>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</si>
  <si>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</si>
  <si>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</si>
  <si>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</si>
  <si>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</si>
  <si>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</si>
  <si>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</si>
  <si>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</si>
  <si>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</si>
  <si>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</si>
  <si>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</si>
  <si>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</si>
  <si>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</si>
  <si>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</si>
  <si>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</si>
  <si>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</si>
  <si>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</si>
  <si>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</si>
  <si>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</si>
  <si>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</si>
  <si>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</si>
  <si>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</si>
  <si>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</si>
  <si>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</si>
  <si>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</si>
  <si>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</si>
  <si>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</si>
  <si>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</si>
  <si>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</si>
  <si>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</si>
  <si>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</si>
  <si>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</si>
  <si>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</si>
  <si>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</si>
  <si>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</si>
  <si>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570.48</t>
  </si>
  <si>
    <t>17.342</t>
  </si>
  <si>
    <t>567.37847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</si>
</sst>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Calibri"/>
      <charset val="134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0" xfId="0" applyFont="1"/>
    <xf numFmtId="0" fontId="1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3" fillId="0" borderId="0" xfId="0" applyFont="1" applyBorder="1" applyAlignment="1">
      <alignment horizontal="left" vertical="top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10" fontId="4" fillId="0" borderId="0" xfId="0" applyNumberFormat="1" applyFont="1" applyFill="1" applyBorder="1"/>
    <xf numFmtId="2" fontId="4" fillId="0" borderId="0" xfId="0" applyNumberFormat="1" applyFont="1" applyFill="1" applyBorder="1"/>
    <xf numFmtId="0" fontId="6" fillId="0" borderId="0" xfId="0" applyFont="1"/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2" fontId="4" fillId="0" borderId="8" xfId="0" applyNumberFormat="1" applyFont="1" applyBorder="1"/>
    <xf numFmtId="2" fontId="4" fillId="0" borderId="9" xfId="0" applyNumberFormat="1" applyFont="1" applyBorder="1"/>
    <xf numFmtId="0" fontId="5" fillId="3" borderId="11" xfId="0" applyFont="1" applyFill="1" applyBorder="1" applyAlignment="1">
      <alignment vertical="top"/>
    </xf>
    <xf numFmtId="0" fontId="4" fillId="0" borderId="0" xfId="0" applyFont="1" applyBorder="1"/>
    <xf numFmtId="0" fontId="5" fillId="0" borderId="0" xfId="0" applyFont="1" applyFill="1" applyBorder="1"/>
    <xf numFmtId="0" fontId="5" fillId="0" borderId="0" xfId="0" applyFont="1" applyFill="1" applyBorder="1" applyAlignment="1">
      <alignment horizont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13" xfId="0" applyFont="1" applyFill="1" applyBorder="1"/>
    <xf numFmtId="0" fontId="4" fillId="2" borderId="2" xfId="0" applyFont="1" applyFill="1" applyBorder="1" applyAlignment="1"/>
    <xf numFmtId="0" fontId="4" fillId="0" borderId="14" xfId="0" applyFont="1" applyBorder="1"/>
    <xf numFmtId="0" fontId="4" fillId="0" borderId="14" xfId="0" applyNumberFormat="1" applyFont="1" applyBorder="1"/>
    <xf numFmtId="10" fontId="4" fillId="0" borderId="14" xfId="0" applyNumberFormat="1" applyFont="1" applyBorder="1"/>
    <xf numFmtId="0" fontId="4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5" fillId="3" borderId="16" xfId="0" applyFont="1" applyFill="1" applyBorder="1" applyAlignment="1"/>
    <xf numFmtId="0" fontId="5" fillId="3" borderId="17" xfId="0" applyFont="1" applyFill="1" applyBorder="1" applyAlignment="1"/>
    <xf numFmtId="0" fontId="5" fillId="3" borderId="14" xfId="0" applyFont="1" applyFill="1" applyBorder="1"/>
    <xf numFmtId="0" fontId="5" fillId="3" borderId="14" xfId="0" applyNumberFormat="1" applyFont="1" applyFill="1" applyBorder="1"/>
    <xf numFmtId="2" fontId="5" fillId="3" borderId="14" xfId="0" applyNumberFormat="1" applyFont="1" applyFill="1" applyBorder="1"/>
    <xf numFmtId="0" fontId="5" fillId="6" borderId="14" xfId="0" applyFont="1" applyFill="1" applyBorder="1"/>
    <xf numFmtId="2" fontId="5" fillId="6" borderId="14" xfId="0" applyNumberFormat="1" applyFont="1" applyFill="1" applyBorder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164" fontId="0" fillId="0" borderId="0" xfId="0" applyNumberFormat="1"/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4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width="27.28515625" bestFit="1" customWidth="1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>
        <v>127</v>
      </c>
      <c r="AV9" t="s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>
        <v>146</v>
      </c>
      <c r="BN9" t="s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>
        <f>ROUND(AN15+AO15+AP15,5)</f>
        <v>#DIV/0!</v>
      </c>
      <c r="AS15" t="s">
        <v>107</v>
      </c>
      <c r="AT15" s="48" t="s">
        <v>12</v>
      </c>
      <c r="AU15" t="s">
        <v>131</v>
      </c>
      <c r="AV15" t="s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>
        <v>149</v>
      </c>
      <c r="BN15" t="s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>
        <f>ROUND(AN16+AO16+AP16,5)</f>
        <v>234.33</v>
      </c>
      <c r="AS16" t="s">
        <v>107</v>
      </c>
      <c r="AT16" s="48" t="s">
        <v>12</v>
      </c>
      <c r="AU16" t="s">
        <v>135</v>
      </c>
      <c r="AV16" t="s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>
        <v>134</v>
      </c>
      <c r="BN16" t="s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>
        <f>ROUND(AN17+AO17+AP17,5)</f>
        <v>234.33</v>
      </c>
      <c r="AS17" t="s">
        <v>107</v>
      </c>
      <c r="AT17" s="48" t="s">
        <v>12</v>
      </c>
      <c r="AU17" t="s">
        <v>108</v>
      </c>
      <c r="AV17" t="s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>
        <f>ROUND(AN18+AO18+AP18,5)</f>
        <v>234.33</v>
      </c>
      <c r="AS18" t="s">
        <v>107</v>
      </c>
      <c r="AT18" s="48" t="s">
        <v>12</v>
      </c>
      <c r="AU18" t="s">
        <v>130</v>
      </c>
      <c r="AV18" t="s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>
        <v>153</v>
      </c>
      <c r="BN18" t="s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>
        <f>ROUND(AN20+AO20+AP20,5)</f>
        <v>#DIV/0!</v>
      </c>
      <c r="AS20" t="s">
        <v>107</v>
      </c>
      <c r="AT20" s="48" t="s">
        <v>12</v>
      </c>
      <c r="AU20" t="s">
        <v>155</v>
      </c>
      <c r="AV20" t="s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>
        <v>156</v>
      </c>
      <c r="BN20" t="s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>
        <f t="shared" ref="AR21:AR23" si="30">ROUND(AN21+AO21+AP21,5)</f>
        <v>#DIV/0!</v>
      </c>
      <c r="AS21" t="s">
        <v>107</v>
      </c>
      <c r="AT21" s="48" t="s">
        <v>12</v>
      </c>
      <c r="AU21" t="s">
        <v>131</v>
      </c>
      <c r="AV21" t="s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>
        <v>108</v>
      </c>
      <c r="BN21" t="s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>
        <f t="shared" si="30"/>
        <v>#DIV/0!</v>
      </c>
      <c r="AS22" t="s">
        <v>107</v>
      </c>
      <c r="AT22" s="48" t="s">
        <v>12</v>
      </c>
      <c r="AU22" t="s">
        <v>158</v>
      </c>
      <c r="AV22" t="s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>
        <v>108</v>
      </c>
      <c r="BN22" t="s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>
        <f t="shared" si="30"/>
        <v>#DIV/0!</v>
      </c>
      <c r="AS23" t="s">
        <v>107</v>
      </c>
      <c r="AT23" s="48" t="s">
        <v>12</v>
      </c>
      <c r="AU23" t="s">
        <v>108</v>
      </c>
      <c r="AV23" t="s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>
        <v>128</v>
      </c>
      <c r="H31" s="46">
        <f>F31*G31</f>
        <v>600</v>
      </c>
      <c r="I31" t="s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>
        <f>ROUND(AN31+AO31+AP31,5)</f>
        <v>279.47500000000002</v>
      </c>
      <c r="AS31" t="s">
        <v>107</v>
      </c>
      <c r="AT31" s="48" t="s">
        <v>12</v>
      </c>
      <c r="AU31" t="s">
        <v>162</v>
      </c>
      <c r="AV31" t="s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>
        <v>108</v>
      </c>
      <c r="BN31" t="s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>
        <v>129</v>
      </c>
      <c r="H32" s="46">
        <f>F32*G32</f>
        <v>800</v>
      </c>
      <c r="I32" t="s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>
        <f>ROUND(AN32+AO32+AP32,5)</f>
        <v>372.63499999999999</v>
      </c>
      <c r="AS32" t="s">
        <v>107</v>
      </c>
      <c r="AT32" s="48" t="s">
        <v>12</v>
      </c>
      <c r="AU32" t="s">
        <v>168</v>
      </c>
      <c r="AV32" t="s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>
        <v>108</v>
      </c>
      <c r="BN32" t="s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>
        <v>161</v>
      </c>
      <c r="H33" s="46">
        <f>F33*G33</f>
        <v>1000</v>
      </c>
      <c r="I33" t="s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>
        <f>ROUND(AN33+AO33+AP33,5)</f>
        <v>465.79500000000002</v>
      </c>
      <c r="AS33" t="s">
        <v>107</v>
      </c>
      <c r="AT33" s="48" t="s">
        <v>12</v>
      </c>
      <c r="AU33" t="s">
        <v>108</v>
      </c>
      <c r="AV33" t="s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>
        <v>108</v>
      </c>
      <c r="BN33" t="s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>
        <v>128</v>
      </c>
      <c r="H35" s="46">
        <f>F35*G35</f>
        <v>600</v>
      </c>
      <c r="I35" t="s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>
        <f>ROUND(AN35+AO35+AP35,5)</f>
        <v>279.47500000000002</v>
      </c>
      <c r="AS35" t="s">
        <v>107</v>
      </c>
      <c r="AT35" s="48" t="s">
        <v>12</v>
      </c>
      <c r="AU35" t="s">
        <v>171</v>
      </c>
      <c r="AV35" t="s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>
        <v>108</v>
      </c>
      <c r="BN35" t="s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>
        <v>129</v>
      </c>
      <c r="H36" s="46">
        <f>F36*G36</f>
        <v>800</v>
      </c>
      <c r="I36" t="s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>
        <f>ROUND(AN36+AO36+AP36,5)</f>
        <v>372.63499999999999</v>
      </c>
      <c r="AS36" t="s">
        <v>107</v>
      </c>
      <c r="AT36" s="48" t="s">
        <v>12</v>
      </c>
      <c r="AU36" t="s">
        <v>173</v>
      </c>
      <c r="AV36" t="s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>
        <v>108</v>
      </c>
      <c r="BN36" t="s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>
        <v>161</v>
      </c>
      <c r="H37" s="46">
        <f>F37*G37</f>
        <v>1000</v>
      </c>
      <c r="I37" t="s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>
        <f>ROUND(AN37+AO37+AP37,5)</f>
        <v>465.79500000000002</v>
      </c>
      <c r="AS37" t="s">
        <v>107</v>
      </c>
      <c r="AT37" s="48" t="s">
        <v>12</v>
      </c>
      <c r="AU37" t="s">
        <v>108</v>
      </c>
      <c r="AV37" t="s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>
        <v>108</v>
      </c>
      <c r="BN37" t="s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R25"/>
  <sheetViews>
    <sheetView topLeftCell="F10" workbookViewId="0">
      <selection activeCell="V24" sqref="V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49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155</v>
      </c>
      <c r="BO23" s="48">
        <f>ROUND((((AW23*AZ23)+(BN23*BM23))/(AW23+BN23)),5)</f>
        <v>282.33</v>
      </c>
      <c r="BP23" s="4">
        <f>BN23+AW23</f>
        <v>14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600</v>
      </c>
      <c r="I23" t="s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U23" t="s">
        <v>108</v>
      </c>
      <c r="AV23" t="s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600</v>
      </c>
      <c r="I23" t="s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282.33</v>
      </c>
      <c r="AS23" t="s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158</v>
      </c>
      <c r="AV23" t="s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178</v>
      </c>
      <c r="BN23" t="s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108</v>
      </c>
      <c r="AV23" t="s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108</v>
      </c>
      <c r="BN23" t="s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186.32</v>
      </c>
      <c r="AS23" t="s">
        <v>188</v>
      </c>
      <c r="AT23" s="48" t="s">
        <v>12</v>
      </c>
      <c r="AU23" t="s">
        <v>164</v>
      </c>
      <c r="AV23" t="s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163</v>
      </c>
      <c r="BN23" t="s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5"/>
  <sheetViews>
    <sheetView tabSelected="1" topLeftCell="AA19" workbookViewId="0">
      <selection activeCell="AO33" sqref="AO3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188</v>
      </c>
      <c r="AT23" s="48" t="s">
        <v>12</v>
      </c>
      <c r="AU23" t="s">
        <v>108</v>
      </c>
      <c r="AV23" t="s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175</v>
      </c>
      <c r="BN23" t="s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C10" workbookViewId="0">
      <selection activeCell="AL24" sqref="AL24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846.99</v>
      </c>
      <c r="AS23" t="s">
        <v>188</v>
      </c>
      <c r="AT23" s="48" t="s">
        <v>12</v>
      </c>
      <c r="AU23" t="s">
        <v>131</v>
      </c>
      <c r="AV23" t="s">
        <v>149</v>
      </c>
      <c r="AW23" s="48">
        <f>AM23</f>
        <v>0.66666666666666663</v>
      </c>
      <c r="AX23" s="48">
        <f>AR23</f>
        <v>846.99</v>
      </c>
      <c r="AY23" s="48">
        <f>AU23+AW23</f>
        <v>12.666666666666666</v>
      </c>
      <c r="AZ23" s="48">
        <f>ROUND(((AU23*AV23)+(AW23*AX23))/(AU23+AW23),5)</f>
        <v>312.04894999999999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149</v>
      </c>
      <c r="BN23" t="s">
        <v>150</v>
      </c>
      <c r="BO23" s="48">
        <f>ROUND((((AW23*AZ23)+(BN23*BM23))/(AW23+BN23)),5)</f>
        <v>285.30189999999999</v>
      </c>
      <c r="BP23" s="4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BK14" workbookViewId="0">
      <selection activeCell="BP26" sqref="BP2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570.48</v>
      </c>
      <c r="AS23" t="s">
        <v>188</v>
      </c>
      <c r="AT23" s="48" t="s">
        <v>12</v>
      </c>
      <c r="AU23" t="s">
        <v>108</v>
      </c>
      <c r="AV23" t="s">
        <v>194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196</v>
      </c>
      <c r="BN23" t="s">
        <v>195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O23" sqref="BO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558.96</v>
      </c>
      <c r="AS23" t="s">
        <v>188</v>
      </c>
      <c r="AT23" s="48" t="s">
        <v>12</v>
      </c>
      <c r="AU23" t="s">
        <v>108</v>
      </c>
      <c r="AV23" t="s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>
        <v>565.87199999999996</v>
      </c>
      <c r="BN23">
        <v>10.005000000000001</v>
      </c>
      <c r="BO23" s="48">
        <f>ROUND((((AW23*AZ23)+(BN23*BM23))/(AW23+BN23)),3)</f>
        <v>565.44000000000005</v>
      </c>
      <c r="BP23" s="4">
        <f>ROUND((BN23+AW23),3)</f>
        <v>10.672000000000001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>
        <v>200</v>
      </c>
      <c r="H23" s="46">
        <f>F23*G23</f>
        <v>400</v>
      </c>
      <c r="I23" t="s">
        <v>115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188.22</v>
      </c>
      <c r="AS23" t="s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6"/>
  <sheetViews>
    <sheetView topLeftCell="BA10" workbookViewId="0">
      <selection activeCell="BP24" sqref="BP24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6"/>
  <sheetViews>
    <sheetView topLeftCell="BK13" workbookViewId="0">
      <selection activeCell="BP23" sqref="BP23"/>
    </sheetView>
  </sheetViews>
  <sheetFormatPr defaultColWidth="9" defaultRowHeight="15"/>
  <cols>
    <col min="2" max="2" width="36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bestFit="1" customWidth="1"/>
    <col min="53" max="53" width="19" bestFit="1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>
        <v>109</v>
      </c>
      <c r="H23" s="46">
        <f>F23*G23</f>
        <v>400</v>
      </c>
      <c r="I23" t="s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564.66</v>
      </c>
      <c r="AS23" t="s">
        <v>188</v>
      </c>
      <c r="AT23" s="48" t="s">
        <v>12</v>
      </c>
      <c r="AU23" t="s">
        <v>108</v>
      </c>
      <c r="AV23" t="s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>
        <v>191</v>
      </c>
      <c r="BN23" t="s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66" t="s">
        <v>41</v>
      </c>
      <c r="C19" s="66"/>
      <c r="D19" s="66"/>
      <c r="E19" s="66"/>
      <c r="F19" s="66"/>
      <c r="G19" s="66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67" t="s">
        <v>43</v>
      </c>
      <c r="B21" s="67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>
        <v>162</v>
      </c>
      <c r="H23" s="46">
        <f>F23*G23</f>
        <v>40</v>
      </c>
      <c r="I23" t="s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>
        <f>ROUND(AN23+AO23+AP23,5)</f>
        <v>18.824999999999999</v>
      </c>
      <c r="AS23" t="s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GateEntry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2025-12-05T12:55:27Z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