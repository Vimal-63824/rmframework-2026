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8" activeTab="18"/>
  </bookViews>
  <sheets>
    <sheet name="Sheet1" sheetId="5" r:id="rId1"/>
    <sheet name="DirectGrnGenUD" sheetId="2" r:id="rId2"/>
    <sheet name="DirectGrnMatUDD" sheetId="7" r:id="rId3"/>
    <sheet name="DirectGrnService" sheetId="3" r:id="rId4"/>
    <sheet name="DirectGrnRateContract" sheetId="4" r:id="rId5"/>
    <sheet name="DirectGrnServiceRateContract" sheetId="8" r:id="rId6"/>
    <sheet name="DirectGrnPriceList" sheetId="9" r:id="rId7"/>
    <sheet name="DirectGrnServicePriceList" sheetId="10" r:id="rId8"/>
    <sheet name="DirectGrnGenUDWOI" sheetId="11" r:id="rId9"/>
    <sheet name="DirectGrnMatUDDWOI" sheetId="12" r:id="rId10"/>
    <sheet name="DirectGrnServiceWOI" sheetId="13" r:id="rId11"/>
    <sheet name="DirectGrnRateContractWOI" sheetId="14" r:id="rId12"/>
    <sheet name="DirectGrnServiceRateContractWOI" sheetId="15" r:id="rId13"/>
    <sheet name="DirectGrnPriceListWOI" sheetId="16" r:id="rId14"/>
    <sheet name="DirectGrnServicePriceListWOI" sheetId="17" r:id="rId15"/>
    <sheet name="DIfUOMDirectGrnGenUD" sheetId="18" r:id="rId16"/>
    <sheet name="DIfUOMDirectMatUD" sheetId="19" r:id="rId17"/>
    <sheet name="DIfUOMDirectSerUD" sheetId="20" r:id="rId18"/>
    <sheet name="DIFUOMDirectGrnRateContract" sheetId="21" r:id="rId19"/>
    <sheet name="DIFUOMDirectGrnMatRateContract" sheetId="22" r:id="rId20"/>
    <sheet name="DIFUOMDirectGrnSerRateContract" sheetId="23" r:id="rId21"/>
    <sheet name="DIFUOMDirectGrnPriceList" sheetId="24" r:id="rId22"/>
    <sheet name="DIFUOMDirectGrnMatPriceList" sheetId="25" r:id="rId23"/>
    <sheet name="DIFUOMDirectGrnSerPriceList" sheetId="26" r:id="rId24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3" i="21"/>
  <c r="AY23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BP23"/>
  <c r="AW23"/>
  <c r="AY23" s="1"/>
  <c r="AP23"/>
  <c r="AM23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BP23" i="21" l="1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BP23" i="25"/>
  <c r="AK24"/>
  <c r="BP23" i="24"/>
  <c r="H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BP23"/>
  <c r="H19" i="19"/>
  <c r="H19" i="18"/>
  <c r="BP23" i="26"/>
  <c r="AY23"/>
  <c r="AK24"/>
  <c r="N23"/>
  <c r="BP23" i="23"/>
  <c r="AY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BP23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R24" i="4" l="1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4" l="1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V24" i="4" l="1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V23"/>
  <c r="W23"/>
  <c r="W24" s="1"/>
  <c r="S24"/>
  <c r="AE18" i="5" s="1"/>
  <c r="AB23" i="24" l="1"/>
  <c r="AC23" s="1"/>
  <c r="AO23" i="4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E23" i="25" l="1"/>
  <c r="AE24" s="1"/>
  <c r="AH23"/>
  <c r="AH24" s="1"/>
  <c r="AB16" i="5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BO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<sst xmlns="http://schemas.openxmlformats.org/spreadsheetml/2006/main" count="4113" uniqueCount="196">
  <si>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</si>
  <si>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</si>
  <si>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</si>
  <si>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</si>
  <si>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</si>
  <si>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</si>
  <si>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</si>
  <si>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</si>
  <si>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</si>
  <si>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</si>
  <si>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</si>
  <si>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</si>
  <si>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</si>
  <si>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</si>
  <si>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</si>
  <si>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</si>
  <si>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</si>
  <si>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</si>
  <si>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</si>
  <si>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</si>
  <si>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</si>
  <si>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</si>
  <si>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</si>
  <si>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</si>
  <si>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</si>
  <si>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</si>
  <si>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</si>
  <si>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</si>
  <si>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</si>
  <si>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</si>
  <si>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</si>
  <si>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</si>
  <si>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</si>
  <si>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</si>
  <si>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</si>
  <si>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</si>
  <si>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</si>
  <si>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</si>
  <si>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</si>
  <si>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</si>
  <si>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</si>
  <si>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</si>
  <si>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</si>
  <si>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</si>
  <si>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</si>
  <si>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</si>
  <si>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</si>
  <si>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</si>
  <si>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</si>
  <si>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</si>
  <si>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</si>
  <si>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</si>
  <si>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</si>
  <si>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</si>
  <si>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</si>
  <si>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</si>
  <si>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</si>
  <si>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</si>
  <si>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</si>
  <si>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</si>
  <si>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</si>
  <si>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</si>
  <si>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</si>
  <si>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</si>
  <si>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</si>
  <si>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</si>
  <si>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</si>
  <si>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</si>
  <si>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</si>
  <si>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</si>
  <si>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</si>
  <si>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</si>
  <si>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</si>
  <si>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</si>
  <si>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</si>
  <si>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</si>
  <si>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</si>
  <si>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</si>
  <si>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</si>
  <si>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</si>
  <si>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</si>
  <si>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</si>
  <si>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</si>
  <si>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</si>
  <si>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</si>
  <si>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</si>
  <si>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</si>
  <si>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</si>
  <si>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</si>
  <si>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</si>
  <si>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</si>
  <si>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</si>
  <si>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</si>
  <si>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</si>
  <si>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</si>
  <si>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</si>
  <si>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</si>
  <si>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</si>
  <si>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</si>
  <si>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</si>
  <si>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</si>
  <si>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</si>
  <si>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</si>
  <si>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</si>
  <si>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</si>
  <si>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</si>
  <si>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</si>
  <si>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</si>
  <si>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</si>
  <si>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</si>
  <si>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</si>
  <si>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</si>
  <si>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</si>
  <si>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</si>
  <si>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</si>
  <si>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</si>
  <si>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</si>
  <si>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</si>
  <si>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</si>
  <si>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</si>
  <si>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</si>
  <si>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</si>
  <si>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</si>
  <si>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</si>
  <si>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</si>
  <si>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</si>
  <si>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</si>
  <si>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</si>
  <si>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</si>
  <si>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</si>
  <si>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</si>
  <si>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</si>
  <si>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</si>
  <si>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</si>
  <si>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</si>
  <si>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</si>
  <si>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</si>
  <si>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</si>
  <si>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</si>
  <si>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</si>
  <si>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</si>
  <si>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</si>
  <si>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</si>
  <si>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</si>
  <si>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</si>
  <si>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</si>
  <si>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</si>
  <si>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</si>
  <si>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</si>
  <si>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</si>
  <si>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</si>
  <si>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</si>
  <si>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</si>
  <si>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</si>
  <si>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</si>
  <si>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</si>
  <si>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</si>
  <si>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</si>
  <si>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</si>
  <si>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</si>
  <si>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</si>
  <si>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</si>
  <si>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</si>
  <si>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</si>
  <si>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</si>
  <si>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</si>
  <si>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</si>
  <si>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</si>
  <si>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</si>
  <si>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</si>
  <si>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</si>
  <si>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</si>
  <si>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</si>
  <si>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</si>
  <si>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</si>
  <si>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</si>
  <si>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</si>
  <si>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55.89</t>
  </si>
  <si>
    <t>56.46</t>
  </si>
  <si>
    <t>185.02695</t>
  </si>
  <si>
    <t>184.24408</t>
  </si>
  <si>
    <t>57.048</t>
  </si>
  <si>
    <t>71.668</t>
  </si>
  <si>
    <t>56.96721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</si>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</sst>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108</v>
      </c>
      <c r="AV23" t="s">
        <v>194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158</v>
      </c>
      <c r="AV23" t="s">
        <v>179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180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189</v>
      </c>
      <c r="C23" s="45" t="s">
        <v>189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184</v>
      </c>
      <c r="C23" s="2" t="s">
        <v>184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185</v>
      </c>
      <c r="C23" s="45" t="s">
        <v>185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187</v>
      </c>
      <c r="C23" s="45" t="s">
        <v>187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186</v>
      </c>
      <c r="C23" s="45" t="s">
        <v>186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188</v>
      </c>
      <c r="C23" s="2" t="s">
        <v>188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193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189</v>
      </c>
      <c r="C23" s="45" t="s">
        <v>189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9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193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BN23+AW23</f>
        <v>0.66666666666666663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193</v>
      </c>
      <c r="AT23" s="48" t="s">
        <v>12</v>
      </c>
      <c r="AU23" t="s">
        <v>131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150</v>
      </c>
      <c r="BO23" s="48">
        <f>ROUND((((AW23*AZ23)+(BN23*BM23))/(AW23+BN23)),5)</f>
        <v>282.33</v>
      </c>
      <c r="BP23" s="4">
        <f>BN23+AW23</f>
        <v>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195</v>
      </c>
      <c r="C23" s="2" t="s">
        <v>195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BK17" workbookViewId="0">
      <selection activeCell="BN23" sqref="BN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2</v>
      </c>
      <c r="G23">
        <v>200</v>
      </c>
      <c r="H23" s="46">
        <f>F23*G23</f>
        <v>400</v>
      </c>
      <c r="I23" t="s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570.48</v>
      </c>
      <c r="AS23" t="s">
        <v>193</v>
      </c>
      <c r="AT23" s="48" t="s">
        <v>12</v>
      </c>
      <c r="AU23" t="s">
        <v>108</v>
      </c>
      <c r="AV23" t="s">
        <v>181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183</v>
      </c>
      <c r="BN23" t="s">
        <v>182</v>
      </c>
      <c r="BO23" s="48">
        <f>ROUND((((AW23*AZ23)+(BN23*BM23))/(AW23+BN23)),3)</f>
        <v>61.7</v>
      </c>
      <c r="BP23" s="4">
        <f>ROUND(BN23+AW23,3)</f>
        <v>72.334999999999994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I23" sqref="I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191</v>
      </c>
      <c r="C23" s="2" t="s">
        <v>191</v>
      </c>
      <c r="D23" s="45" t="s">
        <v>12</v>
      </c>
      <c r="E23" s="45" t="s">
        <v>166</v>
      </c>
      <c r="F23" s="46">
        <v>2</v>
      </c>
      <c r="G23">
        <v>200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558.96</v>
      </c>
      <c r="AS23" t="s">
        <v>193</v>
      </c>
      <c r="AT23" s="48" t="s">
        <v>12</v>
      </c>
      <c r="AU23" t="s">
        <v>108</v>
      </c>
      <c r="AV23" t="s">
        <v>177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177</v>
      </c>
      <c r="BN23" t="s">
        <v>130</v>
      </c>
      <c r="BO23" s="48">
        <f>ROUND((((AW23*AZ23)+(BN23*BM23))/(AW23+BN23)),5)</f>
        <v>127.75714000000001</v>
      </c>
      <c r="BP23" s="4">
        <f>BN23+AW23</f>
        <v>4.666666666666667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T16" workbookViewId="0">
      <selection activeCell="BD30" activeCellId="1" sqref="G24 BD30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195</v>
      </c>
      <c r="C23" s="2" t="s">
        <v>195</v>
      </c>
      <c r="D23" s="45" t="s">
        <v>12</v>
      </c>
      <c r="E23" s="45" t="s">
        <v>12</v>
      </c>
      <c r="F23" s="46">
        <v>2</v>
      </c>
      <c r="G23">
        <v>200</v>
      </c>
      <c r="H23" s="46">
        <f>F23*G23</f>
        <v>400</v>
      </c>
      <c r="I23" t="s">
        <v>115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188.22</v>
      </c>
      <c r="AS23" t="s">
        <v>193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W24" sqref="AW24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2</v>
      </c>
      <c r="G23">
        <v>200</v>
      </c>
      <c r="H23" s="46">
        <f>F23*G23</f>
        <v>400</v>
      </c>
      <c r="I23" t="s">
        <v>115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193</v>
      </c>
      <c r="AT23" s="48" t="s">
        <v>12</v>
      </c>
      <c r="AU23" t="s">
        <v>108</v>
      </c>
      <c r="AV23" t="s">
        <v>178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150</v>
      </c>
      <c r="BO23" s="48">
        <f>ROUND((((AW23*AZ23)+(BN23*BM23))/(AW23+BN23)),5)</f>
        <v>107.28</v>
      </c>
      <c r="BP23" s="4">
        <f>BN23+AW23</f>
        <v>6.666666666666667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AU13" workbookViewId="0">
      <selection activeCell="AY23" sqref="AY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192</v>
      </c>
      <c r="C23" s="2" t="s">
        <v>192</v>
      </c>
      <c r="D23" s="45" t="s">
        <v>12</v>
      </c>
      <c r="E23" s="45" t="s">
        <v>166</v>
      </c>
      <c r="F23" s="46">
        <v>2</v>
      </c>
      <c r="G23">
        <v>200</v>
      </c>
      <c r="H23" s="46">
        <f>F23*G23</f>
        <v>400</v>
      </c>
      <c r="I23" t="s">
        <v>115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193</v>
      </c>
      <c r="AT23" s="48" t="s">
        <v>12</v>
      </c>
      <c r="AU23" t="s">
        <v>108</v>
      </c>
      <c r="AV23" t="s">
        <v>178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158</v>
      </c>
      <c r="BO23" s="48">
        <f>ROUND((((AW23*AZ23)+(BN23*BM23))/(AW23+BN23)),5)</f>
        <v>76.787999999999997</v>
      </c>
      <c r="BP23" s="4">
        <f>BN23+AW23</f>
        <v>16.666666666666668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4" t="s">
        <v>41</v>
      </c>
      <c r="C19" s="64"/>
      <c r="D19" s="64"/>
      <c r="E19" s="64"/>
      <c r="F19" s="64"/>
      <c r="G19" s="64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5" t="s">
        <v>43</v>
      </c>
      <c r="B21" s="65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195</v>
      </c>
      <c r="C23" s="2" t="s">
        <v>195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193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Harikrishna</cp:lastModifiedBy>
  <dcterms:created xsi:type="dcterms:W3CDTF">2024-08-28T12:59:00Z</dcterms:created>
  <dcterms:modified xsi:type="dcterms:W3CDTF">2025-11-20T07:27:11Z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