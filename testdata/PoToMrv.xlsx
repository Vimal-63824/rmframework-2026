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000" tabRatio="703" firstSheet="11" activeTab="13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ithPoClosure" sheetId="66" r:id="rId13"/>
    <sheet name="PoToMrvWithPoClosureRcptQty" sheetId="67" r:id="rId14"/>
    <sheet name="PoToMRVWoQSUomSSO" sheetId="33" r:id="rId15"/>
    <sheet name="PoToMRVWFSUom" sheetId="14" r:id="rId16"/>
    <sheet name="PoToMRVWFSUomserv" sheetId="16" r:id="rId17"/>
    <sheet name="PoToMRVWFSUomservImp" sheetId="56" r:id="rId18"/>
    <sheet name="PoToMRVWoQSUomRC" sheetId="34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" sheetId="6" r:id="rId41"/>
    <sheet name="PoToMRVWOIpPlImp" sheetId="44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OIpDUomPlImp" sheetId="65" r:id="rId52"/>
    <sheet name="PoToMRVWFPDUomRc" sheetId="21" r:id="rId53"/>
    <sheet name="PoToMRVWoQDUomRc" sheetId="38" r:id="rId54"/>
    <sheet name="PoToMRVWoQDUomRcImp" sheetId="54" r:id="rId55"/>
    <sheet name="PoToMRVWFPDUomPl" sheetId="22" r:id="rId56"/>
    <sheet name="PoToMRVWoQDUomPl" sheetId="40" r:id="rId57"/>
    <sheet name="PoToMRVWoQDUomPlImp" sheetId="55" r:id="rId58"/>
    <sheet name="PoToMRVWOIpDUomPl" sheetId="1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<sst xmlns="http://schemas.openxmlformats.org/spreadsheetml/2006/main" count="8490" uniqueCount="478">
  <si>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</si>
  <si>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</si>
  <si>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</si>
  <si>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</si>
  <si>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</si>
  <si>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</si>
  <si>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</si>
  <si>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</si>
  <si>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</si>
  <si>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</si>
  <si>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</si>
  <si>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</si>
  <si>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</si>
  <si>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</si>
  <si>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</si>
  <si>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</si>
  <si>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</si>
  <si>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</si>
  <si>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</si>
  <si>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</si>
  <si>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</si>
  <si>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</si>
  <si>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</si>
  <si>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</si>
  <si>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</si>
  <si>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</si>
  <si>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</si>
  <si>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</si>
  <si>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</si>
  <si>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</si>
  <si>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</si>
  <si>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</si>
  <si>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</si>
  <si>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</si>
  <si>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</si>
  <si>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</si>
  <si>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</si>
  <si>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</si>
  <si>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</si>
  <si>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</si>
  <si>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</si>
  <si>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</si>
  <si>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</si>
  <si>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</si>
  <si>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</si>
  <si>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</si>
  <si>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</si>
  <si>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</si>
  <si>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</si>
  <si>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</si>
  <si>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</si>
  <si>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</si>
  <si>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</si>
  <si>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</si>
  <si>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</si>
  <si>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</si>
  <si>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</si>
  <si>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</si>
  <si>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</si>
  <si>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</si>
  <si>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</si>
  <si>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</si>
  <si>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</si>
  <si>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</si>
  <si>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</si>
  <si>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</si>
  <si>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</si>
  <si>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</si>
  <si>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</si>
  <si>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</si>
  <si>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</si>
  <si>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</si>
  <si>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</si>
  <si>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</si>
  <si>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</si>
  <si>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</si>
  <si>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</si>
  <si>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</si>
  <si>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</si>
  <si>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</si>
  <si>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</si>
  <si>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</si>
  <si>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</si>
  <si>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</si>
  <si>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</si>
  <si>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</si>
  <si>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</si>
  <si>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</si>
  <si>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</si>
  <si>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</si>
  <si>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</si>
  <si>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</si>
  <si>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</si>
  <si>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</si>
  <si>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</si>
  <si>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</si>
  <si>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</si>
  <si>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</si>
  <si>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</si>
  <si>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</si>
  <si>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</si>
  <si>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</si>
  <si>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</si>
  <si>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</si>
  <si>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</si>
  <si>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</si>
  <si>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</si>
  <si>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</si>
  <si>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</si>
  <si>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</si>
  <si>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</si>
  <si>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</si>
  <si>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</si>
  <si>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</si>
  <si>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</si>
  <si>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</si>
  <si>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</si>
  <si>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</si>
  <si>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</si>
  <si>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</si>
  <si>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</si>
  <si>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</si>
  <si>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</si>
  <si>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11528.73852</t>
  </si>
  <si>
    <t>200.664</t>
  </si>
  <si>
    <t>GWL_Dissimilar_02</t>
  </si>
  <si>
    <t>246.3555</t>
  </si>
  <si>
    <t>1992.22795</t>
  </si>
  <si>
    <t>268.678</t>
  </si>
  <si>
    <t>13816.57773</t>
  </si>
  <si>
    <t>33.334</t>
  </si>
  <si>
    <t>246.36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</si>
  <si>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</si>
  <si>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</si>
  <si>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</si>
  <si>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</si>
  <si>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</si>
  <si>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</si>
  <si>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</si>
  <si>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</si>
  <si>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</si>
  <si>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</si>
  <si>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</si>
  <si>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</si>
  <si>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</si>
  <si>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</si>
  <si>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</si>
  <si>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</si>
  <si>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</si>
  <si>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</si>
  <si>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</si>
  <si>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</si>
  <si>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</si>
  <si>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</si>
  <si>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</si>
  <si>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</si>
  <si>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</si>
  <si>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</si>
  <si>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</si>
  <si>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</si>
  <si>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</si>
  <si>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</si>
  <si>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</si>
  <si>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</si>
  <si>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</si>
  <si>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</si>
  <si>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</si>
  <si>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</si>
  <si>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</si>
  <si>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</si>
  <si>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</si>
  <si>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</si>
  <si>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</si>
  <si>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</si>
  <si>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712</t>
  </si>
  <si>
    <t>4255.41773</t>
  </si>
  <si>
    <t>2219.43201</t>
  </si>
  <si>
    <t>610</t>
  </si>
  <si>
    <t>GWL_Item_Similar_2</t>
  </si>
  <si>
    <t>326</t>
  </si>
  <si>
    <t>3858.62995</t>
  </si>
  <si>
    <t>1769.02317</t>
  </si>
  <si>
    <t>214</t>
  </si>
  <si>
    <t>990</t>
  </si>
  <si>
    <t>2297.6737</t>
  </si>
  <si>
    <t>995.7367</t>
  </si>
  <si>
    <t>462</t>
  </si>
  <si>
    <t>4431.92738</t>
  </si>
  <si>
    <t>2111.10743</t>
  </si>
  <si>
    <t>580</t>
  </si>
  <si>
    <t>GWL_Item_Similar_07</t>
  </si>
  <si>
    <t>80</t>
  </si>
  <si>
    <t>129.90184</t>
  </si>
  <si>
    <t>129.90161</t>
  </si>
  <si>
    <t>170</t>
  </si>
  <si>
    <t>GWL_Item_WoQ_UD_Similar_01</t>
  </si>
  <si>
    <t>4081.03942</t>
  </si>
  <si>
    <t>1133</t>
  </si>
  <si>
    <t>2877.41437</t>
  </si>
  <si>
    <t>1633</t>
  </si>
  <si>
    <t>ROAU-SIM-622684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</si>
  <si>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</si>
  <si>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</si>
  <si>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</si>
  <si>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</si>
  <si>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</si>
  <si>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</si>
  <si>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</si>
  <si>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</si>
  <si>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</si>
  <si>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</si>
  <si>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</si>
  <si>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</si>
  <si>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</si>
  <si>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</si>
  <si>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</si>
  <si>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</si>
  <si>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</si>
  <si>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</si>
  <si>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</si>
  <si>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</si>
  <si>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</si>
  <si>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</si>
  <si>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</si>
  <si>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</si>
  <si>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</si>
  <si>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</si>
  <si>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</si>
  <si>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</si>
  <si>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</si>
  <si>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</si>
  <si>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</si>
  <si>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</si>
  <si>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</si>
  <si>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</si>
  <si>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</si>
  <si>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</si>
  <si>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</si>
  <si>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</si>
  <si>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</si>
  <si>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</si>
  <si>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</si>
  <si>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</si>
  <si>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1016.11258</t>
  </si>
  <si>
    <t>825</t>
  </si>
  <si>
    <t>596.90193</t>
  </si>
  <si>
    <t>268</t>
  </si>
  <si>
    <t>412.29136</t>
  </si>
  <si>
    <t>690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</si>
  <si>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</si>
  <si>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</si>
  <si>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</si>
  <si>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</si>
  <si>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</si>
  <si>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</si>
  <si>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</si>
  <si>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</si>
  <si>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</si>
  <si>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</si>
  <si>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</si>
  <si>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</si>
  <si>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</si>
  <si>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</si>
  <si>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</si>
  <si>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186</t>
  </si>
  <si>
    <t>914.56572</t>
  </si>
  <si>
    <t>890.2325</t>
  </si>
  <si>
    <t>GWL_Item_Similar_Rc_02</t>
  </si>
  <si>
    <t>6</t>
  </si>
  <si>
    <t>1407.48145</t>
  </si>
  <si>
    <t>1631.99734</t>
  </si>
  <si>
    <t>GWL_Item_Similar_Rc_03</t>
  </si>
  <si>
    <t>7</t>
  </si>
  <si>
    <t>380</t>
  </si>
  <si>
    <t>3388.4385</t>
  </si>
  <si>
    <t>3282.8579</t>
  </si>
  <si>
    <t>60</t>
  </si>
  <si>
    <t>959.78937</t>
  </si>
  <si>
    <t>896.07061</t>
  </si>
  <si>
    <t>3488.55404</t>
  </si>
  <si>
    <t>3310.93372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</si>
  <si>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</si>
  <si>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</si>
  <si>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</si>
  <si>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</si>
  <si>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</si>
  <si>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</si>
  <si>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</si>
  <si>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</si>
  <si>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</si>
  <si>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</si>
  <si>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</si>
  <si>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</si>
  <si>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</si>
  <si>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</si>
  <si>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</si>
  <si>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8</t>
  </si>
  <si>
    <t>GWL_Item_Similar_St_08</t>
  </si>
  <si>
    <t>51</t>
  </si>
  <si>
    <t>60.65801</t>
  </si>
  <si>
    <t>70.23124</t>
  </si>
  <si>
    <t>9</t>
  </si>
  <si>
    <t>GWL_Item_Similar_St_09</t>
  </si>
  <si>
    <t>68</t>
  </si>
  <si>
    <t>119.19032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</si>
  <si>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</si>
  <si>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</si>
  <si>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</si>
  <si>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</si>
  <si>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</si>
  <si>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</si>
  <si>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</si>
  <si>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</si>
  <si>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</si>
  <si>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</si>
  <si>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</si>
  <si>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3895.72645</t>
  </si>
  <si>
    <t>1630.75203</t>
  </si>
  <si>
    <t>131</t>
  </si>
  <si>
    <t>GWL_Item_Similar_Pl_02</t>
  </si>
  <si>
    <t>84</t>
  </si>
  <si>
    <t>1976.94687</t>
  </si>
  <si>
    <t>993.37177</t>
  </si>
  <si>
    <t>98</t>
  </si>
  <si>
    <t>GWL_Item_Similar_Pl_03</t>
  </si>
  <si>
    <t>410</t>
  </si>
  <si>
    <t>1616.85319</t>
  </si>
  <si>
    <t>430.87665</t>
  </si>
  <si>
    <t>400</t>
  </si>
  <si>
    <t>4043.29365</t>
  </si>
  <si>
    <t>1790.25331</t>
  </si>
  <si>
    <t>141</t>
  </si>
  <si>
    <t>1643.05636</t>
  </si>
  <si>
    <t>536.55701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</si>
  <si>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</si>
  <si>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</si>
  <si>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</si>
  <si>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</si>
  <si>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</si>
  <si>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</si>
  <si>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</si>
  <si>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</si>
  <si>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</si>
  <si>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</si>
  <si>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</si>
  <si>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</si>
  <si>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</si>
  <si>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</si>
  <si>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77.994</t>
  </si>
  <si>
    <t>12339.19279</t>
  </si>
  <si>
    <t>4680.47965</t>
  </si>
  <si>
    <t>113.66</t>
  </si>
  <si>
    <t>GWL_Item_Dissimilar_04</t>
  </si>
  <si>
    <t>38.327</t>
  </si>
  <si>
    <t>9416.95194</t>
  </si>
  <si>
    <t>5016.05146</t>
  </si>
  <si>
    <t>67.666</t>
  </si>
  <si>
    <t>GWL_Item_Dissimilar_05</t>
  </si>
  <si>
    <t>100.328</t>
  </si>
  <si>
    <t>5039.22181</t>
  </si>
  <si>
    <t>2570.48684</t>
  </si>
  <si>
    <t>138.666</t>
  </si>
  <si>
    <t>6.666</t>
  </si>
  <si>
    <t>16066.305</t>
  </si>
  <si>
    <t>66.66</t>
  </si>
  <si>
    <t>5.332</t>
  </si>
  <si>
    <t>5419.92</t>
  </si>
  <si>
    <t>23.994</t>
  </si>
  <si>
    <t>13.332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</si>
  <si>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</si>
  <si>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</si>
  <si>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</si>
  <si>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</si>
  <si>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</si>
  <si>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</si>
  <si>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</si>
  <si>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</si>
  <si>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</si>
  <si>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</si>
  <si>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69.994</t>
  </si>
  <si>
    <t>9057.83534</t>
  </si>
  <si>
    <t>2784.79289</t>
  </si>
  <si>
    <t>90.66</t>
  </si>
  <si>
    <t>34.327</t>
  </si>
  <si>
    <t>7499.56444</t>
  </si>
  <si>
    <t>4168.08332</t>
  </si>
  <si>
    <t>55.666</t>
  </si>
  <si>
    <t>89.328</t>
  </si>
  <si>
    <t>4197.54743</t>
  </si>
  <si>
    <t>1988.94491</t>
  </si>
  <si>
    <t>110.666</t>
  </si>
  <si>
    <t>\</t>
  </si>
  <si>
    <t>GWL_Item_Dissimilar_Rc_01</t>
  </si>
  <si>
    <t>79.999</t>
  </si>
  <si>
    <t>9910.43322</t>
  </si>
  <si>
    <t>1926.55961</t>
  </si>
  <si>
    <t>87.326</t>
  </si>
  <si>
    <t>GWL_Item_Dissimilar_Rc_02</t>
  </si>
  <si>
    <t>79.997</t>
  </si>
  <si>
    <t>5854.62673</t>
  </si>
  <si>
    <t>1299.28785</t>
  </si>
  <si>
    <t>84.993</t>
  </si>
  <si>
    <t>GWL_Item_Dissimilar_Rc_03</t>
  </si>
  <si>
    <t>83.327</t>
  </si>
  <si>
    <t>5154.97906</t>
  </si>
  <si>
    <t>947.15324</t>
  </si>
  <si>
    <t>83.993</t>
  </si>
  <si>
    <t>9731.63446</t>
  </si>
  <si>
    <t>2337.32163</t>
  </si>
  <si>
    <t>92.326</t>
  </si>
  <si>
    <t>5312.23104</t>
  </si>
  <si>
    <t>1232.06867</t>
  </si>
  <si>
    <t>89.993</t>
  </si>
  <si>
    <t>GWL_Item_Dissimilar_Pl_01</t>
  </si>
  <si>
    <t>90.666</t>
  </si>
  <si>
    <t>9584.95431</t>
  </si>
  <si>
    <t>3318.55699</t>
  </si>
  <si>
    <t>131.658</t>
  </si>
  <si>
    <t>GWL_Item_Dissimilar_Pl_03</t>
  </si>
  <si>
    <t>103.327</t>
  </si>
  <si>
    <t>6418.90517</t>
  </si>
  <si>
    <t>2679.32915</t>
  </si>
  <si>
    <t>155.992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</si>
  <si>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</si>
  <si>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</si>
  <si>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</si>
  <si>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</si>
  <si>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</si>
  <si>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</si>
  <si>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</si>
  <si>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</si>
  <si>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</si>
  <si>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</si>
  <si>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</si>
  <si>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</si>
  <si>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</si>
  <si>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</si>
  <si>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</si>
  <si>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</si>
  <si>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4479.95495</t>
  </si>
  <si>
    <t>166.664</t>
  </si>
  <si>
    <t>GWL_Item_FP_Pl_Dissimilar_02</t>
  </si>
  <si>
    <t>2926.85776</t>
  </si>
  <si>
    <t>236.011</t>
  </si>
  <si>
    <t>GWL_Item_FP_Pl_Dissimilar_03</t>
  </si>
  <si>
    <t>129.903</t>
  </si>
  <si>
    <t>2438.40701</t>
  </si>
  <si>
    <t>129.989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</si>
  <si>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</si>
  <si>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</si>
  <si>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</si>
  <si>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</si>
  <si>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</si>
  <si>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</si>
  <si>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</si>
  <si>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</si>
  <si>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</si>
  <si>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</si>
  <si>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</si>
  <si>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</si>
  <si>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</si>
  <si>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81.666</t>
  </si>
  <si>
    <t>8826.16533</t>
  </si>
  <si>
    <t>1863.94338</t>
  </si>
  <si>
    <t>104.658</t>
  </si>
  <si>
    <t>GWL_Item_Dissimilar_Pl_02</t>
  </si>
  <si>
    <t>121.67</t>
  </si>
  <si>
    <t>5169.72808</t>
  </si>
  <si>
    <t>994.25361</t>
  </si>
  <si>
    <t>140</t>
  </si>
  <si>
    <t>93.327</t>
  </si>
  <si>
    <t>4769.94774</t>
  </si>
  <si>
    <t>1037.0311</t>
  </si>
  <si>
    <t>99.992</t>
  </si>
  <si>
    <t>PoToMRVWOIpDUomPlImpSheet</t>
  </si>
  <si>
    <t>2718.56444</t>
  </si>
  <si>
    <t>2568.88069</t>
  </si>
  <si>
    <t>2427.8342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</si>
</sst>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182" fontId="2" fillId="0" borderId="6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theme/theme1.xml" Type="http://schemas.openxmlformats.org/officeDocument/2006/relationships/theme"/><Relationship Id="rId61" Target="sharedStrings.xml" Type="http://schemas.openxmlformats.org/officeDocument/2006/relationships/sharedStrings"/><Relationship Id="rId62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2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2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2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2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5" si="0">F4*G4</f>
        <v>1500</v>
      </c>
      <c r="I4" s="20">
        <v>5</v>
      </c>
      <c r="J4" s="20">
        <v>8</v>
      </c>
      <c r="K4" s="20">
        <v>5</v>
      </c>
      <c r="L4" s="20">
        <f t="shared" ref="L4:L5" si="1">H4</f>
        <v>1500</v>
      </c>
      <c r="M4" s="20">
        <f t="shared" ref="M4:M5" si="2">ROUND(L4*I4%,2)</f>
        <v>75</v>
      </c>
      <c r="N4" s="20">
        <f t="shared" ref="N4:N5" si="3">H4-M4</f>
        <v>1425</v>
      </c>
      <c r="O4" s="20">
        <f t="shared" ref="O4:O5" si="4">ROUND(N4*J4%,2)</f>
        <v>114</v>
      </c>
      <c r="P4" s="20">
        <f t="shared" ref="P4:P5" si="5">ROUND(N4-O4,2)</f>
        <v>1311</v>
      </c>
      <c r="Q4" s="20">
        <f t="shared" ref="Q4:Q5" si="6">ROUND(P4*K4%,2)</f>
        <v>65.55</v>
      </c>
      <c r="R4" s="20">
        <f t="shared" ref="R4:R5" si="7">M4+O4+Q4</f>
        <v>254.55</v>
      </c>
      <c r="S4" s="20">
        <f t="shared" ref="S4:S5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3.33333333333333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3.33333333333333</v>
      </c>
      <c r="AX4" s="26">
        <f t="shared" ref="AX4:AX5" si="14">AR4</f>
        <v>373.635</v>
      </c>
      <c r="AY4" s="25">
        <f t="shared" ref="AY4:AY5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16.665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 t="shared" si="0"/>
        <v>2000</v>
      </c>
      <c r="I5" s="20">
        <v>4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IF(OR(PoToMRVWFDUom!$C$2=1,PoToMRVWFDUom!$C$2=4),ROUND((((S5*U5)/100)/2),2),0)</f>
        <v>0</v>
      </c>
      <c r="W5" s="20">
        <f>IF(PoToMRVWFDUom!$C$2=1,ROUND((((S5*U5)/100)/2),2),0)</f>
        <v>0</v>
      </c>
      <c r="X5" s="20">
        <f>IF(PoToMRVWFDUom!$C$2=2,ROUND(((S5*U5)/100),2),0)</f>
        <v>295.63</v>
      </c>
      <c r="Y5" s="20">
        <f>IF(PoToMRVWFDUom!$C$2=4,ROUND((((S5*U5)/100)/2),2),0)</f>
        <v>0</v>
      </c>
      <c r="Z5" s="20">
        <v>0</v>
      </c>
      <c r="AA5" s="20">
        <f>IF(PoToMRVWFDUom!$C3=3,0,(S5*Z5)/100)</f>
        <v>0</v>
      </c>
      <c r="AB5" s="20">
        <f t="shared" si="9"/>
        <v>295.63</v>
      </c>
      <c r="AC5" s="20">
        <f>IF(PoToMRVWFDUom!$V3=1,S5+AB5,S5)</f>
        <v>1642.37</v>
      </c>
      <c r="AD5" s="22">
        <v>120</v>
      </c>
      <c r="AE5" s="22">
        <f>IF(PoToMRVWFDUom!$P$2=1,(S5/PoToMRVWFDUom!$S$6)*PoToMRVWFDUom!$E$17,AD5/PoToMRVWFDUom!$AD$6*PoToMRVWFDUom!$E$17)</f>
        <v>0</v>
      </c>
      <c r="AF5" s="22"/>
      <c r="AG5" s="22">
        <f>IF(PoToMRVWFDUom!$P$2=1,(S5/PoToMRVWFDUom!$S$6)*PoToMRVWFDUom!$E$19,AD5/PoToMRVWFDUom!$AD$6*PoToMRVWFDUom!$E$19)</f>
        <v>0</v>
      </c>
      <c r="AH5" s="22">
        <f>IF(PoToMRVWFDUom!$P$2=1,(S5/PoToMRVWFDUom!$S$6)*PoToMRVWFDUom!$E$20,AD5/PoToMRVWFDUom!$AD$6*PoToMRVWFDUom!$E$20)</f>
        <v>0</v>
      </c>
      <c r="AI5" s="22">
        <f>S5*PoToMRVWFDUom!$M$2</f>
        <v>1642.37</v>
      </c>
      <c r="AJ5" s="22">
        <f>IF(PoToMRVWFDUom!$C$2=3,0,AG5+AH5)</f>
        <v>0</v>
      </c>
      <c r="AK5" s="22">
        <f>IF(PoToMRVWFDUom!$C$2=3,AE5+AG5+AH5,0)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25">
        <f t="shared" si="14"/>
        <v>246.3555</v>
      </c>
      <c r="AY5" s="25">
        <f t="shared" si="15"/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6"/>
        <v>246.36</v>
      </c>
      <c r="BP5" s="31">
        <f t="shared" si="17"/>
        <v>19.333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254.55</v>
      </c>
      <c r="S6" s="37">
        <f t="shared" si="18"/>
        <v>1245.45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224.18</v>
      </c>
      <c r="Y6" s="39"/>
      <c r="Z6" s="39"/>
      <c r="AA6" s="39"/>
      <c r="AB6" s="38">
        <f t="shared" ref="AB6:AE6" si="19">SUM(AB4:AB4)</f>
        <v>224.18</v>
      </c>
      <c r="AC6" s="40">
        <f t="shared" si="19"/>
        <v>1469.63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1245.45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>AM4</f>
        <v>3.33333333333333</v>
      </c>
      <c r="AX4" s="26">
        <f>AR4</f>
        <v>373.635</v>
      </c>
      <c r="AY4" s="25">
        <f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129</v>
      </c>
      <c r="BN4" t="s" s="0">
        <v>130</v>
      </c>
      <c r="BO4" s="25">
        <f>ROUND((((AW4*AZ4)+(BN4*BM4))/(AW4+BN4)),5)</f>
        <v>12594.51425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IF(OR(PoToMRVWoQDUom!$C$2=1,PoToMRVWoQDUom!$C$2=4),ROUND((((S5*U5)/100)/2),2),0)</f>
        <v>0</v>
      </c>
      <c r="W5" s="20">
        <f>IF(PoToMRVWoQDUom!$C$2=1,ROUND((((S5*U5)/100)/2),2),0)</f>
        <v>0</v>
      </c>
      <c r="X5" s="20">
        <f>IF(PoToMRVWoQDUom!$C$2=2,ROUND(((S5*U5)/100),2),0)</f>
        <v>295.63</v>
      </c>
      <c r="Y5" s="20">
        <f>IF(PoToMRVWoQDUom!$C$2=4,ROUND((((S5*U5)/100)/2),2),0)</f>
        <v>0</v>
      </c>
      <c r="Z5" s="20">
        <v>0</v>
      </c>
      <c r="AA5" s="20">
        <f>IF(PoToMRVWoQDUom!$C3=3,0,(S5*Z5)/100)</f>
        <v>0</v>
      </c>
      <c r="AB5" s="20">
        <f>V5+W5+X5+Y5+AA5</f>
        <v>295.63</v>
      </c>
      <c r="AC5" s="20">
        <f>IF(PoToMRVWoQDUom!$V3=1,S5+AB5,S5)</f>
        <v>1642.37</v>
      </c>
      <c r="AD5" s="22">
        <v>120</v>
      </c>
      <c r="AE5" s="22">
        <f>IF(PoToMRVWoQDUom!$P$2=1,(S5/PoToMRVWoQDUom!$S$6)*PoToMRVWoQDUom!$E$17,AD5/PoToMRVWoQDUom!$AD$6*PoToMRVWoQDUom!$E$17)</f>
        <v>0</v>
      </c>
      <c r="AF5" s="22"/>
      <c r="AG5" s="22">
        <f>IF(PoToMRVWoQDUom!$P$2=1,(S5/PoToMRVWoQDUom!$S$6)*PoToMRVWoQDUom!$E$19,AD5/PoToMRVWoQDUom!$AD$6*PoToMRVWoQDUom!$E$19)</f>
        <v>0</v>
      </c>
      <c r="AH5" s="22">
        <f>IF(PoToMRVWoQDUom!$P$2=1,(S5/PoToMRVWoQDUom!$S$6)*PoToMRVWoQDUom!$E$20,AD5/PoToMRVWoQDUom!$AD$6*PoToMRVWoQDUom!$E$20)</f>
        <v>0</v>
      </c>
      <c r="AI5" s="22">
        <f>S5*PoToMRVWoQDUom!$M$2</f>
        <v>1642.37</v>
      </c>
      <c r="AJ5" s="22">
        <f>IF(PoToMRVWoQDUom!$C$2=3,0,AG5+AH5)</f>
        <v>0</v>
      </c>
      <c r="AK5" s="22">
        <f>IF(PoToMRVWoQDUom!$C$2=3,AE5+AG5+AH5,0)</f>
        <v>0</v>
      </c>
      <c r="AL5" s="23">
        <v>3</v>
      </c>
      <c r="AM5" s="22">
        <f>F5/AL5</f>
        <v>6.66666666666667</v>
      </c>
      <c r="AN5" s="22">
        <f>ROUND(AI5/AM5,5)</f>
        <v>246.3555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>AM5</f>
        <v>6.66666666666667</v>
      </c>
      <c r="AX5" s="25">
        <f>AR5</f>
        <v>246.3555</v>
      </c>
      <c r="AY5" s="25">
        <f>AU5+AW5</f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132</v>
      </c>
      <c r="BO5" s="25">
        <f>ROUND((((AW5*AZ5)+(BN5*BM5))/(AW5+BN5)),5)</f>
        <v>246.36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 t="shared" ref="AB6:AE6" si="1">SUM(AB4:AB4)</f>
        <v>224.18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1245.45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133</v>
      </c>
      <c r="AW4" s="25">
        <f>AM4</f>
        <v>3.33333333333333</v>
      </c>
      <c r="AX4" s="26">
        <f>AR4</f>
        <v>31758.975</v>
      </c>
      <c r="AY4" s="25">
        <f>AU4+AW4</f>
        <v>3.33333333333333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134</v>
      </c>
      <c r="BN4" t="s" s="0">
        <v>135</v>
      </c>
      <c r="BO4" s="25">
        <f>ROUND((((AW4*AZ4)+(BN4*BM4))/(AW4+BN4)),5)</f>
        <v>15447.6751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1642.37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139601.45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6.66666666666667</v>
      </c>
      <c r="AN5" s="22">
        <f>ROUND(AI5/AM5,5)</f>
        <v>20940.2175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136</v>
      </c>
      <c r="AW5" s="25">
        <f>AM5</f>
        <v>6.66666666666667</v>
      </c>
      <c r="AX5" s="25">
        <f>AR5</f>
        <v>20940.2175</v>
      </c>
      <c r="AY5" s="25">
        <f>AU5+AW5</f>
        <v>6.66666666666667</v>
      </c>
      <c r="AZ5" s="102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137</v>
      </c>
      <c r="BN5" t="s" s="0">
        <v>138</v>
      </c>
      <c r="BO5" s="25">
        <f>ROUND((((AW5*AZ5)+(BN5*BM5))/(AW5+BN5)),5)</f>
        <v>4469.59673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105863.25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1245.45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0" t="s">
        <v>139</v>
      </c>
      <c r="B3" s="110" t="s">
        <v>10</v>
      </c>
      <c r="C3" s="111" t="s">
        <v>140</v>
      </c>
      <c r="D3" s="110" t="s">
        <v>12</v>
      </c>
      <c r="E3" s="110" t="s">
        <v>13</v>
      </c>
      <c r="F3" s="112" t="s">
        <v>141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142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143</v>
      </c>
      <c r="T3" s="110" t="s">
        <v>28</v>
      </c>
      <c r="U3" s="13" t="s">
        <v>144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145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148</v>
      </c>
      <c r="AT4" s="25" t="s">
        <v>76</v>
      </c>
      <c r="AU4" s="5" t="s">
        <v>149</v>
      </c>
      <c r="AV4" s="5" t="s">
        <v>150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151</v>
      </c>
      <c r="BM4" s="5" t="s">
        <v>152</v>
      </c>
      <c r="BN4" s="5" t="s">
        <v>153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154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29.56</v>
      </c>
      <c r="W5" s="20">
        <f>IF($C$2=1,ROUND((((S5*U5)/100)/2),2),0)</f>
        <v>29.56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155</v>
      </c>
      <c r="AV5" t="s" s="0">
        <v>156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158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38.97</v>
      </c>
      <c r="W6" s="20">
        <f>IF($C$2=1,ROUND((((S6*U6)/100)/2),2),0)</f>
        <v>38.97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161</v>
      </c>
      <c r="AV6" t="s" s="0">
        <v>162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163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IF($P2=1,(S4/$S$7)*$E$21,AD4/$AD$7*$E$21)</f>
        <v>0</v>
      </c>
      <c r="AI4" s="22">
        <f>S4*$M2</f>
        <v>105863.25</v>
      </c>
      <c r="AJ4" s="22">
        <f>IF($C2=3,0,AG4+AH4)</f>
        <v>0</v>
      </c>
      <c r="AK4" s="22">
        <f>IF($C2=3,AE4+AG4+AH4,0)</f>
        <v>0</v>
      </c>
      <c r="AL4" s="23">
        <v>1</v>
      </c>
      <c r="AM4" s="22">
        <f>F4/AL4</f>
        <v>10</v>
      </c>
      <c r="AN4" s="23">
        <f>AI4/AM4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174</v>
      </c>
      <c r="AV4" t="s" s="0">
        <v>175</v>
      </c>
      <c r="AW4" s="25">
        <f>AM4</f>
        <v>10</v>
      </c>
      <c r="AX4" s="26">
        <f>AR4</f>
        <v>10586.325</v>
      </c>
      <c r="AY4" s="25">
        <f>AU4+AW4</f>
        <v>492</v>
      </c>
      <c r="AZ4" s="25">
        <f>ROUND(((AU4*AV4)+(AW4*AX4))/(AU4+AW4),5)</f>
        <v>4891.2751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176</v>
      </c>
      <c r="BN4" t="s" s="0">
        <v>177</v>
      </c>
      <c r="BO4" s="25">
        <f>ROUND((((AW4*AZ4)+(BN4*BM4))/(AW4+BN4)),5)</f>
        <v>283.436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IF(OR($C2=1,$C2=4),ROUND((((S5*U5)/100)/2),2),0)</f>
        <v>0</v>
      </c>
      <c r="W5" s="20">
        <f>IF($C2=1,ROUND((((S5*U5)/100)/2),2),0)</f>
        <v>0</v>
      </c>
      <c r="X5" s="20">
        <f>IF($C2=2,ROUND(((S5*U5)/100),2),0)</f>
        <v>0</v>
      </c>
      <c r="Y5" s="20">
        <f>IF($C2=4,ROUND((((S5*U5)/100)/2),2),0)</f>
        <v>0</v>
      </c>
      <c r="Z5" s="20">
        <v>0</v>
      </c>
      <c r="AA5" s="20">
        <f>IF($C2=3,0,(S5*Z5)/100)</f>
        <v>0</v>
      </c>
      <c r="AB5" s="20">
        <f>V5+W5+X5+Y5+AA5</f>
        <v>0</v>
      </c>
      <c r="AC5" s="20">
        <f>IF($V2=1,S5+AB5,S5)</f>
        <v>328.47</v>
      </c>
      <c r="AD5" s="22">
        <v>120</v>
      </c>
      <c r="AE5" s="22">
        <f>IF($P2=1,(S5/$S7)*$E18,AD5/$AD7*$E18)</f>
        <v>0</v>
      </c>
      <c r="AF5" s="22"/>
      <c r="AG5" s="22">
        <f>IF($P2=1,(S5/$S7)*$E20,AD5/$AD7*$E20)</f>
        <v>0</v>
      </c>
      <c r="AH5" s="22">
        <f>IF($P2=1,(S5/$S7)*$E21,AD5/$AD7*$E21)</f>
        <v>0</v>
      </c>
      <c r="AI5" s="22">
        <f>S5*$M2</f>
        <v>27919.95</v>
      </c>
      <c r="AJ5" s="22">
        <f>IF($C2=3,0,AG5+AH5)</f>
        <v>0</v>
      </c>
      <c r="AK5" s="22">
        <f>IF($C2=3,AE5+AG5+AH5,0)</f>
        <v>0</v>
      </c>
      <c r="AL5" s="23">
        <v>1</v>
      </c>
      <c r="AM5" s="22">
        <f>F5/AL5</f>
        <v>4</v>
      </c>
      <c r="AN5" s="22">
        <f>AI5/AM5</f>
        <v>6979.9875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6979.9875</v>
      </c>
      <c r="AS5" s="24" t="s">
        <v>120</v>
      </c>
      <c r="AT5" s="25" t="s">
        <v>76</v>
      </c>
      <c r="AU5" t="s" s="0">
        <v>179</v>
      </c>
      <c r="AV5" t="s" s="0">
        <v>180</v>
      </c>
      <c r="AW5" s="102">
        <f>AM5</f>
        <v>4</v>
      </c>
      <c r="AX5" s="33">
        <f>AR5</f>
        <v>6979.9875</v>
      </c>
      <c r="AY5" s="25">
        <f>AU5+AW5</f>
        <v>242</v>
      </c>
      <c r="AZ5" s="25">
        <f>ROUND(((AU5*AV5)+(AW5*AX5))/(AU5+AW5),5)</f>
        <v>2771.58165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181</v>
      </c>
      <c r="BN5" t="s" s="0">
        <v>182</v>
      </c>
      <c r="BO5" s="25">
        <f>ROUND((((AW5*AZ5)+(BN5*BM5))/(AW5+BN5)),5)</f>
        <v>718.65307</v>
      </c>
      <c r="BP5" s="31">
        <f>ROUND(BN5+AW5,3)</f>
        <v>116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IF(OR($C2=1,$C$2=4),ROUND((((S6*U6)/100)/2),2),0)</f>
        <v>0</v>
      </c>
      <c r="W6" s="20">
        <f>IF($C2=1,ROUND((((S6*U6)/100)/2),2),0)</f>
        <v>0</v>
      </c>
      <c r="X6" s="20">
        <f>IF($C2=2,ROUND(((S6*U6)/100),2),0)</f>
        <v>0</v>
      </c>
      <c r="Y6" s="20">
        <f>IF($C2=4,ROUND((((S6*U6)/100)/2),2),0)</f>
        <v>0</v>
      </c>
      <c r="Z6" s="20">
        <v>0</v>
      </c>
      <c r="AA6" s="20">
        <f>IF($C2=3,0,(S6*Z6)/100)</f>
        <v>0</v>
      </c>
      <c r="AB6" s="20">
        <f>V6+W6+X6+Y6+AA6</f>
        <v>0</v>
      </c>
      <c r="AC6" s="20">
        <f>IF($V2=1,S6+AB6,S6)</f>
        <v>433.01</v>
      </c>
      <c r="AD6" s="22">
        <v>120</v>
      </c>
      <c r="AE6" s="22">
        <f>IF($P2=1,(S6/$S7)*$E18,AD6/$AD7*$E18)</f>
        <v>0</v>
      </c>
      <c r="AF6" s="22"/>
      <c r="AG6" s="22">
        <f>IF($P2=1,(S6/$S7)*$E20,AD6/$AD7*$E20)</f>
        <v>0</v>
      </c>
      <c r="AH6" s="22">
        <f>IF($P2=1,(S6/$S7)*$E21,AD6/$AD7*$E21)</f>
        <v>0</v>
      </c>
      <c r="AI6" s="22">
        <f>S6*$M2</f>
        <v>36805.85</v>
      </c>
      <c r="AJ6" s="22">
        <f>IF($C2=3,0,AG6+AH6)</f>
        <v>0</v>
      </c>
      <c r="AK6" s="22">
        <f>IF($C2=3,AE6+AG6+AH6,0)</f>
        <v>0</v>
      </c>
      <c r="AL6" s="23">
        <v>1</v>
      </c>
      <c r="AM6" s="22">
        <f>F6/AL6</f>
        <v>10</v>
      </c>
      <c r="AN6" s="22">
        <f>AI6/AM6</f>
        <v>3680.585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3680.585</v>
      </c>
      <c r="AS6" s="24" t="s">
        <v>120</v>
      </c>
      <c r="AT6" s="25" t="s">
        <v>76</v>
      </c>
      <c r="AU6" t="s" s="0">
        <v>183</v>
      </c>
      <c r="AV6" t="s" s="0">
        <v>184</v>
      </c>
      <c r="AW6" s="25">
        <f>AM6</f>
        <v>10</v>
      </c>
      <c r="AX6" s="33">
        <f>AR6</f>
        <v>3680.585</v>
      </c>
      <c r="AY6" s="25">
        <f>AU6+AW6</f>
        <v>622</v>
      </c>
      <c r="AZ6" s="25">
        <f>ROUND(((AU6*AV6)+(AW6*AX6))/(AU6+AW6),5)</f>
        <v>1532.9047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185</v>
      </c>
      <c r="BN6" t="s" s="0">
        <v>186</v>
      </c>
      <c r="BO6" s="25">
        <f>ROUND((((AW6*AZ6)+(BN6*BM6))/(AW6+BN6)),5)</f>
        <v>196.60825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0</v>
      </c>
      <c r="Y7" s="39"/>
      <c r="Z7" s="39"/>
      <c r="AA7" s="39"/>
      <c r="AB7" s="38">
        <f>SUM(AB4:AB4)</f>
        <v>0</v>
      </c>
      <c r="AC7" s="40">
        <f>SUM(AC4:AC4)</f>
        <v>1245.45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105863.25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71.53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328.47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0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328.47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P4" sqref="BP4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174</v>
      </c>
      <c r="AV4" t="s" s="0">
        <v>187</v>
      </c>
      <c r="AW4" s="25">
        <f>AM4</f>
        <v>10</v>
      </c>
      <c r="AX4" s="26">
        <f>AR4</f>
        <v>124.545</v>
      </c>
      <c r="AY4" s="25">
        <f>AU4+AW4</f>
        <v>40</v>
      </c>
      <c r="AZ4" s="25">
        <f>ROUND(((AU4*AV4)+(AW4*AX4))/(AU4+AW4),5)</f>
        <v>4216.48007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188</v>
      </c>
      <c r="BN4" t="s" s="0">
        <v>189</v>
      </c>
      <c r="BO4" s="25">
        <f>ROUND((((AW4*AZ4)+(BN4*BM4))/(AW4+BN4)),5)</f>
        <v>260.94284</v>
      </c>
      <c r="BP4" s="31">
        <f>ROUND(BN4+AW4,3)</f>
        <v>300</v>
      </c>
      <c r="BQ4" s="32">
        <v>123562</v>
      </c>
    </row>
    <row r="5" ht="15.75" spans="1:69">
      <c r="A5" s="19">
        <v>1</v>
      </c>
      <c r="B5" s="19" t="s">
        <v>190</v>
      </c>
      <c r="C5" s="19" t="s">
        <v>190</v>
      </c>
      <c r="D5" s="19" t="s">
        <v>76</v>
      </c>
      <c r="E5" s="19" t="s">
        <v>76</v>
      </c>
      <c r="F5" s="20">
        <v>10</v>
      </c>
      <c r="G5" s="20">
        <v>150</v>
      </c>
      <c r="H5" s="20">
        <f>F5*G5</f>
        <v>1500</v>
      </c>
      <c r="I5" s="20">
        <v>3</v>
      </c>
      <c r="J5" s="20">
        <v>7</v>
      </c>
      <c r="K5" s="20">
        <v>4</v>
      </c>
      <c r="L5" s="20">
        <f>H5</f>
        <v>1500</v>
      </c>
      <c r="M5" s="20">
        <f>ROUND(L5*I5%,2)</f>
        <v>45</v>
      </c>
      <c r="N5" s="20">
        <f>H5-M5</f>
        <v>1455</v>
      </c>
      <c r="O5" s="20">
        <f>ROUND(N5*J5%,2)</f>
        <v>101.85</v>
      </c>
      <c r="P5" s="20">
        <f>ROUND(N5-O5,2)</f>
        <v>1353.15</v>
      </c>
      <c r="Q5" s="20">
        <f>ROUND(P5*K5%,2)</f>
        <v>54.13</v>
      </c>
      <c r="R5" s="20">
        <f>M5+O5+Q5</f>
        <v>200.98</v>
      </c>
      <c r="S5" s="20">
        <f>(H5-R5)</f>
        <v>1299.02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233.82</v>
      </c>
      <c r="Y5" s="20">
        <f>IF($C$2=4,ROUND((((S5*U5)/100)/2),2),0)</f>
        <v>0</v>
      </c>
      <c r="Z5" s="20">
        <v>0</v>
      </c>
      <c r="AA5" s="20">
        <f>IF($C$4=3,0,(S5*Z5)/100)</f>
        <v>0</v>
      </c>
      <c r="AB5" s="20">
        <f>V5+W5+X5+Y5+AA5</f>
        <v>233.82</v>
      </c>
      <c r="AC5" s="20">
        <f>IF($V$4=1,S5+AB5,S5)</f>
        <v>1299.02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1299.02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AI5/AM5</f>
        <v>129.902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129.902</v>
      </c>
      <c r="AS5" s="24" t="s">
        <v>120</v>
      </c>
      <c r="AT5" s="25" t="s">
        <v>76</v>
      </c>
      <c r="AU5" t="s" s="0">
        <v>191</v>
      </c>
      <c r="AV5" t="s" s="0">
        <v>192</v>
      </c>
      <c r="AW5" s="25">
        <f>AM5</f>
        <v>10</v>
      </c>
      <c r="AX5" s="102">
        <f>AR5</f>
        <v>129.902</v>
      </c>
      <c r="AY5" s="25">
        <f>AU5+AW5</f>
        <v>130</v>
      </c>
      <c r="AZ5" s="25">
        <f>ROUND(((AU5*AV5)+(AW5*AX5))/(AU5+AW5),5)</f>
        <v>129.902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193</v>
      </c>
      <c r="BN5" t="s" s="0">
        <v>194</v>
      </c>
      <c r="BO5" s="25">
        <f>ROUND((((AW5*AZ5)+(BN5*BM5))/(AW5+BN5)),5)</f>
        <v>129.90067</v>
      </c>
      <c r="BP5" s="31">
        <f>ROUND(BN5+AW5,3)</f>
        <v>140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>SUM(AB4:AB4)</f>
        <v>224.18</v>
      </c>
      <c r="AC6" s="40">
        <f>SUM(AC4:AC4)</f>
        <v>1469.63</v>
      </c>
      <c r="AD6" s="41">
        <f>SUM(AD4:AD4)</f>
        <v>120</v>
      </c>
      <c r="AE6" s="41">
        <f>SUM(AE4:AE4)</f>
        <v>0</v>
      </c>
      <c r="AF6" s="40"/>
      <c r="AG6" s="41">
        <f t="shared" ref="AG6:AK6" si="1">SUM(AG4:AG4)</f>
        <v>0</v>
      </c>
      <c r="AH6" s="41">
        <f>IF($P$2=1,(S6/$S$6)*$E$20,AD6/$AD$6*$E$20)</f>
        <v>0</v>
      </c>
      <c r="AI6" s="41">
        <f t="shared" si="1"/>
        <v>1245.45</v>
      </c>
      <c r="AJ6" s="41">
        <f t="shared" si="1"/>
        <v>0</v>
      </c>
      <c r="AK6" s="41">
        <f t="shared" si="1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2" sqref="K2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>AM4</f>
        <v>100</v>
      </c>
      <c r="AX4" s="26">
        <f>AR4</f>
        <v>124.545</v>
      </c>
      <c r="AY4" s="25">
        <f>AU4+AW4</f>
        <v>812</v>
      </c>
      <c r="AZ4" s="25">
        <f>ROUND(((AU4*AV4)+(AW4*AX4))/(AU4+AW4),5)</f>
        <v>2839.35327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196</v>
      </c>
      <c r="BN4" t="s" s="0">
        <v>197</v>
      </c>
      <c r="BO4" s="25">
        <f>ROUND((((AW4*AZ4)+(BN4*BM4))/(AW4+BN4)),5)</f>
        <v>2688.90045</v>
      </c>
      <c r="BP4" s="31">
        <f>ROUND(BN4+AW4,3)</f>
        <v>680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abSelected="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477</v>
      </c>
      <c r="BN4" t="s" s="0">
        <v>199</v>
      </c>
      <c r="BO4" s="25">
        <f>ROUND((((AW4*AZ4)+(BN4*BM4))/(AW4+BN4)),5)</f>
        <v>2718.56444</v>
      </c>
      <c r="BP4" s="31">
        <f>ROUND(BN4+AW4,3)</f>
        <v>1233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200</v>
      </c>
      <c r="C4" t="s" s="0">
        <v>200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201</v>
      </c>
      <c r="BN4" t="s" s="0">
        <v>202</v>
      </c>
      <c r="BO4" s="25">
        <f t="shared" ref="BO4:BO6" si="16">ROUND((((AW4*AZ4)+(BN4*BM4))/(AW4+BN4)),5)</f>
        <v>124.545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IF(OR(PoToMRVWFSUom!$C$2=1,PoToMRVWFSUom!$C$2=4),ROUND((((S5*U5)/100)/2),2),0)</f>
        <v>0</v>
      </c>
      <c r="W5" s="20">
        <f>IF(PoToMRVWFSUom!$C$2=1,ROUND((((S5*U5)/100)/2),2),0)</f>
        <v>0</v>
      </c>
      <c r="X5" s="20">
        <f>IF(PoToMRVWFSUom!$C$2=2,ROUND(((S5*U5)/100),2),0)</f>
        <v>59.12</v>
      </c>
      <c r="Y5" s="20">
        <f>IF(PoToMRVWFSUom!$C$2=4,ROUND((((S5*U5)/100)/2),2),0)</f>
        <v>0</v>
      </c>
      <c r="Z5" s="20">
        <v>0</v>
      </c>
      <c r="AA5" s="20">
        <f>IF(PoToMRVWFSUom!$C3=3,0,(S5*Z5)/100)</f>
        <v>0</v>
      </c>
      <c r="AB5" s="20">
        <f t="shared" si="9"/>
        <v>59.12</v>
      </c>
      <c r="AC5" s="20">
        <f>IF(PoToMRVWFSUom!$V3=1,S5+AB5,S5)</f>
        <v>328.47</v>
      </c>
      <c r="AD5" s="22">
        <v>120</v>
      </c>
      <c r="AE5" s="22">
        <f>IF(PoToMRVWFSUom!$P$2=1,(S5/PoToMRVWFSUom!$S$7)*PoToMRVWFSUom!$E$18,AD5/PoToMRVWFSUom!$AD$7*PoToMRVWFSUom!$E$18)</f>
        <v>0</v>
      </c>
      <c r="AF5" s="22"/>
      <c r="AG5" s="22">
        <f>IF(PoToMRVWFSUom!$P$2=1,(S5/PoToMRVWFSUom!$S$7)*PoToMRVWFSUom!$E$20,AD5/PoToMRVWFSUom!$AD$7*PoToMRVWFSUom!$E$20)</f>
        <v>0</v>
      </c>
      <c r="AH5" s="22">
        <f>IF(PoToMRVWFSUom!$P$2=1,(S5/PoToMRVWFSUom!$S$7)*PoToMRVWFSUom!$E$21,AD5/PoToMRVWFSUom!$AD$7*PoToMRVWFSUom!$E$21)</f>
        <v>0</v>
      </c>
      <c r="AI5" s="22">
        <f>S5*PoToMRVWFSUom!$M$2</f>
        <v>328.47</v>
      </c>
      <c r="AJ5" s="22">
        <f>IF(PoToMRVWFSUom!$C$2=3,0,AG5+AH5)</f>
        <v>0</v>
      </c>
      <c r="AK5" s="22">
        <f>IF(PoToMRVWFSUom!$C$2=3,AE5+AG5+AH5,0)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204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205</v>
      </c>
      <c r="BN5" t="s" s="0">
        <v>206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IF(OR(PoToMRVWFSUom!$C$2=1,PoToMRVWFSUom!$C$2=4),ROUND((((S6*U6)/100)/2),2),0)</f>
        <v>0</v>
      </c>
      <c r="W6" s="20">
        <f>IF(PoToMRVWFSUom!$C$2=1,ROUND((((S6*U6)/100)/2),2),0)</f>
        <v>0</v>
      </c>
      <c r="X6" s="20">
        <f>IF(PoToMRVWFSUom!$C$2=2,ROUND(((S6*U6)/100),2),0)</f>
        <v>77.94</v>
      </c>
      <c r="Y6" s="20">
        <f>IF(PoToMRVWFSUom!$C$2=4,ROUND((((S6*U6)/100)/2),2),0)</f>
        <v>0</v>
      </c>
      <c r="Z6" s="20">
        <v>0</v>
      </c>
      <c r="AA6" s="20">
        <f>IF(PoToMRVWFSUom!$C4=3,0,(S6*Z6)/100)</f>
        <v>0</v>
      </c>
      <c r="AB6" s="20">
        <f t="shared" si="9"/>
        <v>77.94</v>
      </c>
      <c r="AC6" s="20">
        <f>IF(PoToMRVWFSUom!$V4=1,S6+AB6,S6)</f>
        <v>433.01</v>
      </c>
      <c r="AD6" s="22">
        <v>120</v>
      </c>
      <c r="AE6" s="22">
        <f>IF(PoToMRVWFSUom!$P$2=1,(S6/PoToMRVWFSUom!$S$7)*PoToMRVWFSUom!$E$18,AD6/PoToMRVWFSUom!$AD$7*PoToMRVWFSUom!$E$18)</f>
        <v>0</v>
      </c>
      <c r="AF6" s="22"/>
      <c r="AG6" s="22">
        <f>IF(PoToMRVWFSUom!$P$2=1,(S6/PoToMRVWFSUom!$S$7)*PoToMRVWFSUom!$E$20,AD6/PoToMRVWFSUom!$AD$7*PoToMRVWFSUom!$E$20)</f>
        <v>0</v>
      </c>
      <c r="AH6" s="22">
        <f>IF(PoToMRVWFSUom!$P$2=1,(S6/PoToMRVWFSUom!$S$7)*PoToMRVWFSUom!$E$21,AD6/PoToMRVWFSUom!$AD$7*PoToMRVWFSUom!$E$21)</f>
        <v>0</v>
      </c>
      <c r="AI6" s="22">
        <f>S6*PoToMRVWFSUom!$M$2</f>
        <v>433.01</v>
      </c>
      <c r="AJ6" s="22">
        <f>IF(PoToMRVWFSUom!$C$2=3,0,AG6+AH6)</f>
        <v>0</v>
      </c>
      <c r="AK6" s="22">
        <f>IF(PoToMRVWFSUom!$C$2=3,AE6+AG6+AH6,0)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209</v>
      </c>
      <c r="BN6" t="s" s="0">
        <v>177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210</v>
      </c>
      <c r="C4" s="106" t="s">
        <v>210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211</v>
      </c>
      <c r="C5" s="108" t="s">
        <v>211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212</v>
      </c>
      <c r="C6" s="108" t="s">
        <v>212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210</v>
      </c>
      <c r="C4" s="106" t="s">
        <v>210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5">
        <v>1</v>
      </c>
      <c r="B5" s="106" t="s">
        <v>211</v>
      </c>
      <c r="C5" s="108" t="s">
        <v>211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5">
        <v>1</v>
      </c>
      <c r="B6" s="108" t="s">
        <v>212</v>
      </c>
      <c r="C6" s="108" t="s">
        <v>212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215</v>
      </c>
      <c r="BN4" t="s" s="0">
        <v>216</v>
      </c>
      <c r="BO4" s="25">
        <f t="shared" ref="BO4:BO6" si="16">ROUND((((AW4*AZ4)+(BN4*BM4))/(AW4+BN4)),5)</f>
        <v>1458.03</v>
      </c>
      <c r="BP4" s="31">
        <f t="shared" ref="BP4:BP6" si="17">ROUND(BN4+AW4,3)</f>
        <v>60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IF(OR(PoToMRVWoQSUomRC!$C$2=1,PoToMRVWoQSUomRC!$C$2=4),ROUND((((S5*U5)/100)/2),2),0)</f>
        <v>0</v>
      </c>
      <c r="W5" s="20">
        <f>IF(PoToMRVWoQSUomRC!$C$2=1,ROUND((((S5*U5)/100)/2),2),0)</f>
        <v>0</v>
      </c>
      <c r="X5" s="20">
        <f>IF(PoToMRVWoQSUomRC!$C$2=2,ROUND(((S5*U5)/100),2),0)</f>
        <v>59.12</v>
      </c>
      <c r="Y5" s="20">
        <f>IF(PoToMRVWoQSUomRC!$C$2=4,ROUND((((S5*U5)/100)/2),2),0)</f>
        <v>0</v>
      </c>
      <c r="Z5" s="20">
        <v>0</v>
      </c>
      <c r="AA5" s="20">
        <f>IF(PoToMRVWoQSUomRC!$C3=3,0,(S5*Z5)/100)</f>
        <v>0</v>
      </c>
      <c r="AB5" s="20">
        <f t="shared" si="9"/>
        <v>59.12</v>
      </c>
      <c r="AC5" s="20">
        <f>IF(PoToMRVWoQSUomRC!$V3=1,S5+AB5,S5)</f>
        <v>328.47</v>
      </c>
      <c r="AD5" s="22">
        <v>120</v>
      </c>
      <c r="AE5" s="22">
        <f>IF(PoToMRVWoQSUomRC!$P$2=1,(S5/PoToMRVWoQSUomRC!$S$7)*PoToMRVWoQSUomRC!$E$18,AD5/PoToMRVWoQSUomRC!$AD$7*PoToMRVWoQSUomRC!$E$18)</f>
        <v>0</v>
      </c>
      <c r="AF5" s="22"/>
      <c r="AG5" s="22">
        <f>IF(PoToMRVWoQSUomRC!$P$2=1,(S5/PoToMRVWoQSUomRC!$S$7)*PoToMRVWoQSUomRC!$E$20,AD5/PoToMRVWoQSUomRC!$AD$7*PoToMRVWoQSUomRC!$E$20)</f>
        <v>0</v>
      </c>
      <c r="AH5" s="22">
        <f>IF(PoToMRVWoQSUomRC!$P$2=1,(S5/PoToMRVWoQSUomRC!$S$7)*PoToMRVWoQSUomRC!$E$21,AD5/PoToMRVWoQSUomRC!$AD$7*PoToMRVWoQSUomRC!$E$21)</f>
        <v>0</v>
      </c>
      <c r="AI5" s="22">
        <f>S5*PoToMRVWoQSUomRC!$M$2</f>
        <v>328.47</v>
      </c>
      <c r="AJ5" s="22">
        <f>IF(PoToMRVWoQSUomRC!$C$2=3,0,AG5+AH5)</f>
        <v>0</v>
      </c>
      <c r="AK5" s="22">
        <f>IF(PoToMRVWoQSUomRC!$C$2=3,AE5+AG5+AH5,0)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218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IF(OR(PoToMRVWoQSUomRC!$C$2=1,PoToMRVWoQSUomRC!$C$2=4),ROUND((((S6*U6)/100)/2),2),0)</f>
        <v>0</v>
      </c>
      <c r="W6" s="20">
        <f>IF(PoToMRVWoQSUomRC!$C$2=1,ROUND((((S6*U6)/100)/2),2),0)</f>
        <v>0</v>
      </c>
      <c r="X6" s="20">
        <f>IF(PoToMRVWoQSUomRC!$C$2=2,ROUND(((S6*U6)/100),2),0)</f>
        <v>77.94</v>
      </c>
      <c r="Y6" s="20">
        <f>IF(PoToMRVWoQSUomRC!$C$2=4,ROUND((((S6*U6)/100)/2),2),0)</f>
        <v>0</v>
      </c>
      <c r="Z6" s="20">
        <v>0</v>
      </c>
      <c r="AA6" s="20">
        <f>IF(PoToMRVWoQSUomRC!$C4=3,0,(S6*Z6)/100)</f>
        <v>0</v>
      </c>
      <c r="AB6" s="20">
        <f t="shared" si="9"/>
        <v>77.94</v>
      </c>
      <c r="AC6" s="20">
        <f>IF(PoToMRVWoQSUomRC!$V4=1,S6+AB6,S6)</f>
        <v>433.01</v>
      </c>
      <c r="AD6" s="22">
        <v>120</v>
      </c>
      <c r="AE6" s="22">
        <f>IF(PoToMRVWoQSUomRC!$P$2=1,(S6/PoToMRVWoQSUomRC!$S$7)*PoToMRVWoQSUomRC!$E$18,AD6/PoToMRVWoQSUomRC!$AD$7*PoToMRVWoQSUomRC!$E$18)</f>
        <v>0</v>
      </c>
      <c r="AF6" s="22"/>
      <c r="AG6" s="22">
        <f>IF(PoToMRVWoQSUomRC!$P$2=1,(S6/PoToMRVWoQSUomRC!$S$7)*PoToMRVWoQSUomRC!$E$20,AD6/PoToMRVWoQSUomRC!$AD$7*PoToMRVWoQSUomRC!$E$20)</f>
        <v>0</v>
      </c>
      <c r="AH6" s="22">
        <f>IF(PoToMRVWoQSUomRC!$P$2=1,(S6/PoToMRVWoQSUomRC!$S$7)*PoToMRVWoQSUomRC!$E$21,AD6/PoToMRVWoQSUomRC!$AD$7*PoToMRVWoQSUomRC!$E$21)</f>
        <v>0</v>
      </c>
      <c r="AI6" s="22">
        <f>S6*PoToMRVWoQSUomRC!$M$2</f>
        <v>433.01</v>
      </c>
      <c r="AJ6" s="22">
        <f>IF(PoToMRVWoQSUomRC!$C$2=3,0,AG6+AH6)</f>
        <v>0</v>
      </c>
      <c r="AK6" s="22">
        <f>IF(PoToMRVWoQSUomRC!$C$2=3,AE6+AG6+AH6,0)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221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222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223</v>
      </c>
      <c r="BN4" t="s" s="0">
        <v>189</v>
      </c>
      <c r="BO4" s="25">
        <f t="shared" ref="BO4:BO6" si="15">ROUND((((AW4*AZ4)+(BN4*BM4))/(AW4+BN4)),5)</f>
        <v>932.04355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IF(OR(PoToMRVWoQSUomRCImp!$C$2=1,PoToMRVWoQSUomRCImp!$C$2=4),ROUND((((S5*U5)/100)/2),2),0)</f>
        <v>0</v>
      </c>
      <c r="W5" s="20">
        <f>IF(PoToMRVWoQSUomRCImp!$C$2=1,ROUND((((S5*U5)/100)/2),2),0)</f>
        <v>0</v>
      </c>
      <c r="X5" s="20">
        <f>IF(PoToMRVWoQSUomRCImp!$C$2=2,ROUND(((S5*U5)/100),2),0)</f>
        <v>0</v>
      </c>
      <c r="Y5" s="20">
        <f>IF(PoToMRVWoQSUomRCImp!$C$2=4,ROUND((((S5*U5)/100)/2),2),0)</f>
        <v>0</v>
      </c>
      <c r="Z5" s="20">
        <v>0</v>
      </c>
      <c r="AA5" s="20">
        <f>IF(PoToMRVWoQSUomRCImp!$C3=3,0,(S5*Z5)/100)</f>
        <v>0</v>
      </c>
      <c r="AB5" s="20">
        <f t="shared" si="8"/>
        <v>0</v>
      </c>
      <c r="AC5" s="20">
        <f>IF(PoToMRVWoQSUomRCImp!$V3=1,S5+AB5,S5)</f>
        <v>328.47</v>
      </c>
      <c r="AD5" s="22">
        <v>120</v>
      </c>
      <c r="AE5" s="22">
        <f>IF(PoToMRVWoQSUomRCImp!$P$2=1,(S5/PoToMRVWoQSUomRCImp!$S$7)*PoToMRVWoQSUomRCImp!$E$18,AD5/PoToMRVWoQSUomRCImp!$AD$7*PoToMRVWoQSUomRCImp!$E$18)</f>
        <v>0</v>
      </c>
      <c r="AF5" s="22"/>
      <c r="AG5" s="22">
        <f>IF(PoToMRVWoQSUomRCImp!$P$2=1,(S5/PoToMRVWoQSUomRCImp!$S$7)*PoToMRVWoQSUomRCImp!$E$20,AD5/PoToMRVWoQSUomRCImp!$AD$7*PoToMRVWoQSUomRCImp!$E$20)</f>
        <v>0</v>
      </c>
      <c r="AH5" s="22">
        <f>IF(PoToMRVWoQSUomRCImp!$P$2=1,(S5/PoToMRVWoQSUomRCImp!$S$7)*PoToMRVWoQSUomRCImp!$E$21,AD5/PoToMRVWoQSUomRCImp!$AD$7*PoToMRVWoQSUomRCImp!$E$21)</f>
        <v>0</v>
      </c>
      <c r="AI5" s="22">
        <f>S5*PoToMRVWoQSUomRCImp!$M$2</f>
        <v>27919.95</v>
      </c>
      <c r="AJ5" s="22">
        <f>IF(PoToMRVWoQSUomRCImp!$C$2=3,0,AG5+AH5)</f>
        <v>0</v>
      </c>
      <c r="AK5" s="22">
        <f>IF(PoToMRVWoQSUomRCImp!$C$2=3,AE5+AG5+AH5,0)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224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225</v>
      </c>
      <c r="BN5" t="s" s="0">
        <v>226</v>
      </c>
      <c r="BO5" s="25">
        <f t="shared" si="15"/>
        <v>232.0737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IF(OR(PoToMRVWoQSUomRCImp!$C$2=1,PoToMRVWoQSUomRCImp!$C$2=4),ROUND((((S6*U6)/100)/2),2),0)</f>
        <v>0</v>
      </c>
      <c r="W6" s="20">
        <f>IF(PoToMRVWoQSUomRCImp!$C$2=1,ROUND((((S6*U6)/100)/2),2),0)</f>
        <v>0</v>
      </c>
      <c r="X6" s="20">
        <f>IF(PoToMRVWoQSUomRCImp!$C$2=2,ROUND(((S6*U6)/100),2),0)</f>
        <v>0</v>
      </c>
      <c r="Y6" s="20">
        <f>IF(PoToMRVWoQSUomRCImp!$C$2=4,ROUND((((S6*U6)/100)/2),2),0)</f>
        <v>0</v>
      </c>
      <c r="Z6" s="20">
        <v>0</v>
      </c>
      <c r="AA6" s="20">
        <f>IF(PoToMRVWoQSUomRCImp!$C4=3,0,(S6*Z6)/100)</f>
        <v>0</v>
      </c>
      <c r="AB6" s="20">
        <f t="shared" si="8"/>
        <v>0</v>
      </c>
      <c r="AC6" s="20">
        <f>IF(PoToMRVWoQSUomRCImp!$V4=1,S6+AB6,S6)</f>
        <v>433.01</v>
      </c>
      <c r="AD6" s="22">
        <v>120</v>
      </c>
      <c r="AE6" s="22">
        <f>IF(PoToMRVWoQSUomRCImp!$P$2=1,(S6/PoToMRVWoQSUomRCImp!$S$7)*PoToMRVWoQSUomRCImp!$E$18,AD6/PoToMRVWoQSUomRCImp!$AD$7*PoToMRVWoQSUomRCImp!$E$18)</f>
        <v>0</v>
      </c>
      <c r="AF6" s="22"/>
      <c r="AG6" s="22">
        <f>IF(PoToMRVWoQSUomRCImp!$P$2=1,(S6/PoToMRVWoQSUomRCImp!$S$7)*PoToMRVWoQSUomRCImp!$E$20,AD6/PoToMRVWoQSUomRCImp!$AD$7*PoToMRVWoQSUomRCImp!$E$20)</f>
        <v>0</v>
      </c>
      <c r="AH6" s="22">
        <f>IF(PoToMRVWoQSUomRCImp!$P$2=1,(S6/PoToMRVWoQSUomRCImp!$S$7)*PoToMRVWoQSUomRCImp!$E$21,AD6/PoToMRVWoQSUomRCImp!$AD$7*PoToMRVWoQSUomRCImp!$E$21)</f>
        <v>0</v>
      </c>
      <c r="AI6" s="22">
        <f>S6*PoToMRVWoQSUomRCImp!$M$2</f>
        <v>36805.85</v>
      </c>
      <c r="AJ6" s="22">
        <f>IF(PoToMRVWoQSUomRCImp!$C$2=3,0,AG6+AH6)</f>
        <v>0</v>
      </c>
      <c r="AK6" s="22">
        <f>IF(PoToMRVWoQSUomRCImp!$C$2=3,AE6+AG6+AH6,0)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227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228</v>
      </c>
      <c r="BN6" t="s" s="0">
        <v>229</v>
      </c>
      <c r="BO6" s="25">
        <f t="shared" si="15"/>
        <v>122.37152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213</v>
      </c>
      <c r="C4" s="19" t="s">
        <v>213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230</v>
      </c>
      <c r="BN4" t="s" s="0">
        <v>231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217</v>
      </c>
      <c r="C5" s="19" t="s">
        <v>217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IF(OR(PoToMRVWFSUomRC!$C$2=1,PoToMRVWFSUomRC!$C$2=4),ROUND((((S5*U5)/100)/2),2),0)</f>
        <v>0</v>
      </c>
      <c r="W5" s="20">
        <f>IF(PoToMRVWFSUomRC!$C$2=1,ROUND((((S5*U5)/100)/2),2),0)</f>
        <v>0</v>
      </c>
      <c r="X5" s="20">
        <f>IF(PoToMRVWFSUomRC!$C$2=2,ROUND(((S5*U5)/100),2),0)</f>
        <v>59.12</v>
      </c>
      <c r="Y5" s="20">
        <f>IF(PoToMRVWFSUomRC!$C$2=4,ROUND((((S5*U5)/100)/2),2),0)</f>
        <v>0</v>
      </c>
      <c r="Z5" s="20">
        <v>0</v>
      </c>
      <c r="AA5" s="20">
        <f>IF(PoToMRVWFSUomRC!$C3=3,0,(S5*Z5)/100)</f>
        <v>0</v>
      </c>
      <c r="AB5" s="20">
        <f t="shared" si="9"/>
        <v>59.12</v>
      </c>
      <c r="AC5" s="20">
        <f>IF(PoToMRVWFSUomRC!$V3=1,S5+AB5,S5)</f>
        <v>328.47</v>
      </c>
      <c r="AD5" s="22">
        <v>120</v>
      </c>
      <c r="AE5" s="22">
        <f>IF(PoToMRVWFSUomRC!$P$2=1,(S5/PoToMRVWFSUomRC!$S$7)*PoToMRVWFSUomRC!$E$18,AD5/PoToMRVWFSUomRC!$AD$7*PoToMRVWFSUomRC!$E$18)</f>
        <v>0</v>
      </c>
      <c r="AF5" s="22"/>
      <c r="AG5" s="22">
        <f>IF(PoToMRVWFSUomRC!$P$2=1,(S5/PoToMRVWFSUomRC!$S$7)*PoToMRVWFSUomRC!$E$20,AD5/PoToMRVWFSUomRC!$AD$7*PoToMRVWFSUomRC!$E$20)</f>
        <v>0</v>
      </c>
      <c r="AH5" s="22">
        <f>IF(PoToMRVWFSUomRC!$P$2=1,(S5/PoToMRVWFSUomRC!$S$7)*PoToMRVWFSUomRC!$E$21,AD5/PoToMRVWFSUomRC!$AD$7*PoToMRVWFSUomRC!$E$21)</f>
        <v>0</v>
      </c>
      <c r="AI5" s="22">
        <f>S5*PoToMRVWFSUomRC!$M$2</f>
        <v>328.47</v>
      </c>
      <c r="AJ5" s="22">
        <f>IF(PoToMRVWFSUomRC!$C$2=3,0,AG5+AH5)</f>
        <v>0</v>
      </c>
      <c r="AK5" s="22">
        <f>IF(PoToMRVWFSUomRC!$C$2=3,AE5+AG5+AH5,0)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232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219</v>
      </c>
      <c r="C6" s="19" t="s">
        <v>219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IF(OR(PoToMRVWFSUomRC!$C$2=1,PoToMRVWFSUomRC!$C$2=4),ROUND((((S6*U6)/100)/2),2),0)</f>
        <v>0</v>
      </c>
      <c r="W6" s="20">
        <f>IF(PoToMRVWFSUomRC!$C$2=1,ROUND((((S6*U6)/100)/2),2),0)</f>
        <v>0</v>
      </c>
      <c r="X6" s="20">
        <f>IF(PoToMRVWFSUomRC!$C$2=2,ROUND(((S6*U6)/100),2),0)</f>
        <v>77.94</v>
      </c>
      <c r="Y6" s="20">
        <f>IF(PoToMRVWFSUomRC!$C$2=4,ROUND((((S6*U6)/100)/2),2),0)</f>
        <v>0</v>
      </c>
      <c r="Z6" s="20">
        <v>0</v>
      </c>
      <c r="AA6" s="20">
        <f>IF(PoToMRVWFSUomRC!$C4=3,0,(S6*Z6)/100)</f>
        <v>0</v>
      </c>
      <c r="AB6" s="20">
        <f t="shared" si="9"/>
        <v>77.94</v>
      </c>
      <c r="AC6" s="20">
        <f>IF(PoToMRVWFSUomRC!$V4=1,S6+AB6,S6)</f>
        <v>433.01</v>
      </c>
      <c r="AD6" s="22">
        <v>120</v>
      </c>
      <c r="AE6" s="22">
        <f>IF(PoToMRVWFSUomRC!$P$2=1,(S6/PoToMRVWFSUomRC!$S$7)*PoToMRVWFSUomRC!$E$18,AD6/PoToMRVWFSUomRC!$AD$7*PoToMRVWFSUomRC!$E$18)</f>
        <v>0</v>
      </c>
      <c r="AF6" s="22"/>
      <c r="AG6" s="22">
        <f>IF(PoToMRVWFSUomRC!$P$2=1,(S6/PoToMRVWFSUomRC!$S$7)*PoToMRVWFSUomRC!$E$20,AD6/PoToMRVWFSUomRC!$AD$7*PoToMRVWFSUomRC!$E$20)</f>
        <v>0</v>
      </c>
      <c r="AH6" s="22">
        <f>IF(PoToMRVWFSUomRC!$P$2=1,(S6/PoToMRVWFSUomRC!$S$7)*PoToMRVWFSUomRC!$E$21,AD6/PoToMRVWFSUomRC!$AD$7*PoToMRVWFSUomRC!$E$21)</f>
        <v>0</v>
      </c>
      <c r="AI6" s="22">
        <f>S6*PoToMRVWFSUomRC!$M$2</f>
        <v>433.01</v>
      </c>
      <c r="AJ6" s="22">
        <f>IF(PoToMRVWFSUomRC!$C$2=3,0,AG6+AH6)</f>
        <v>0</v>
      </c>
      <c r="AK6" s="22">
        <f>IF(PoToMRVWFSUomRC!$C$2=3,AE6+AG6+AH6,0)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233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234</v>
      </c>
      <c r="C4" s="19" t="s">
        <v>234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222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235</v>
      </c>
      <c r="BN4" t="s" s="0">
        <v>236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237</v>
      </c>
      <c r="C5" s="19" t="s">
        <v>237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IF(OR(PoToMRVWFSUomPl!$C$2=1,PoToMRVWFSUomPl!$C$2=4),ROUND((((S5*U5)/100)/2),2),0)</f>
        <v>0</v>
      </c>
      <c r="W5" s="20">
        <f>IF(PoToMRVWFSUomPl!$C$2=1,ROUND((((S5*U5)/100)/2),2),0)</f>
        <v>0</v>
      </c>
      <c r="X5" s="20">
        <f>IF(PoToMRVWFSUomPl!$C$2=2,ROUND(((S5*U5)/100),2),0)</f>
        <v>59.12</v>
      </c>
      <c r="Y5" s="20">
        <f>IF(PoToMRVWFSUomPl!$C$2=4,ROUND((((S5*U5)/100)/2),2),0)</f>
        <v>0</v>
      </c>
      <c r="Z5" s="20">
        <v>0</v>
      </c>
      <c r="AA5" s="20">
        <f>IF(PoToMRVWFSUomPl!$C3=3,0,(S5*Z5)/100)</f>
        <v>0</v>
      </c>
      <c r="AB5" s="20">
        <f t="shared" si="9"/>
        <v>59.12</v>
      </c>
      <c r="AC5" s="20">
        <f>IF(PoToMRVWFSUomPl!$V3=1,S5+AB5,S5)</f>
        <v>328.47</v>
      </c>
      <c r="AD5" s="22">
        <v>120</v>
      </c>
      <c r="AE5" s="22">
        <f>IF(PoToMRVWFSUomPl!$P$2=1,(S5/PoToMRVWFSUomPl!$S$7)*PoToMRVWFSUomPl!$E$18,AD5/PoToMRVWFSUomPl!$AD$7*PoToMRVWFSUomPl!$E$18)</f>
        <v>0</v>
      </c>
      <c r="AF5" s="22"/>
      <c r="AG5" s="22">
        <f>IF(PoToMRVWFSUomPl!$P$2=1,(S5/PoToMRVWFSUomPl!$S$7)*PoToMRVWFSUomPl!$E$20,AD5/PoToMRVWFSUomPl!$AD$7*PoToMRVWFSUomPl!$E$20)</f>
        <v>0</v>
      </c>
      <c r="AH5" s="22">
        <f>IF(PoToMRVWFSUomPl!$P$2=1,(S5/PoToMRVWFSUomPl!$S$7)*PoToMRVWFSUomPl!$E$21,AD5/PoToMRVWFSUomPl!$AD$7*PoToMRVWFSUomPl!$E$21)</f>
        <v>0</v>
      </c>
      <c r="AI5" s="22">
        <f>S5*PoToMRVWFSUomPl!$M$2</f>
        <v>328.47</v>
      </c>
      <c r="AJ5" s="22">
        <f>IF(PoToMRVWFSUomPl!$C$2=3,0,AG5+AH5)</f>
        <v>0</v>
      </c>
      <c r="AK5" s="22">
        <f>IF(PoToMRVWFSUomPl!$C$2=3,AE5+AG5+AH5,0)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204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238</v>
      </c>
      <c r="BN5" t="s" s="0">
        <v>239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240</v>
      </c>
      <c r="C6" s="19" t="s">
        <v>240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IF(OR(PoToMRVWFSUomPl!$C$2=1,PoToMRVWFSUomPl!$C$2=4),ROUND((((S6*U6)/100)/2),2),0)</f>
        <v>0</v>
      </c>
      <c r="W6" s="20">
        <f>IF(PoToMRVWFSUomPl!$C$2=1,ROUND((((S6*U6)/100)/2),2),0)</f>
        <v>0</v>
      </c>
      <c r="X6" s="20">
        <f>IF(PoToMRVWFSUomPl!$C$2=2,ROUND(((S6*U6)/100),2),0)</f>
        <v>77.94</v>
      </c>
      <c r="Y6" s="20">
        <f>IF(PoToMRVWFSUomPl!$C$2=4,ROUND((((S6*U6)/100)/2),2),0)</f>
        <v>0</v>
      </c>
      <c r="Z6" s="20">
        <v>0</v>
      </c>
      <c r="AA6" s="20">
        <f>IF(PoToMRVWFSUomPl!$C4=3,0,(S6*Z6)/100)</f>
        <v>0</v>
      </c>
      <c r="AB6" s="20">
        <f t="shared" si="9"/>
        <v>77.94</v>
      </c>
      <c r="AC6" s="20">
        <f>IF(PoToMRVWFSUomPl!$V4=1,S6+AB6,S6)</f>
        <v>433.01</v>
      </c>
      <c r="AD6" s="22">
        <v>120</v>
      </c>
      <c r="AE6" s="22">
        <f>IF(PoToMRVWFSUomPl!$P$2=1,(S6/PoToMRVWFSUomPl!$S$7)*PoToMRVWFSUomPl!$E$18,AD6/PoToMRVWFSUomPl!$AD$7*PoToMRVWFSUomPl!$E$18)</f>
        <v>0</v>
      </c>
      <c r="AF6" s="22"/>
      <c r="AG6" s="22">
        <f>IF(PoToMRVWFSUomPl!$P$2=1,(S6/PoToMRVWFSUomPl!$S$7)*PoToMRVWFSUomPl!$E$20,AD6/PoToMRVWFSUomPl!$AD$7*PoToMRVWFSUomPl!$E$20)</f>
        <v>0</v>
      </c>
      <c r="AH6" s="22">
        <f>IF(PoToMRVWFSUomPl!$P$2=1,(S6/PoToMRVWFSUomPl!$S$7)*PoToMRVWFSUomPl!$E$21,AD6/PoToMRVWFSUomPl!$AD$7*PoToMRVWFSUomPl!$E$21)</f>
        <v>0</v>
      </c>
      <c r="AI6" s="22">
        <f>S6*PoToMRVWFSUomPl!$M$2</f>
        <v>433.01</v>
      </c>
      <c r="AJ6" s="22">
        <f>IF(PoToMRVWFSUomPl!$C$2=3,0,AG6+AH6)</f>
        <v>0</v>
      </c>
      <c r="AK6" s="22">
        <f>IF(PoToMRVWFSUomPl!$C$2=3,AE6+AG6+AH6,0)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208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241</v>
      </c>
      <c r="BN6" t="s" s="0">
        <v>242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234</v>
      </c>
      <c r="C4" s="19" t="s">
        <v>234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243</v>
      </c>
      <c r="BN4" t="s" s="0">
        <v>244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237</v>
      </c>
      <c r="C5" s="19" t="s">
        <v>237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IF(OR(PoToMRVWoQUomPl!$C$2=1,PoToMRVWoQUomPl!$C$2=4),ROUND((((S5*U5)/100)/2),2),0)</f>
        <v>0</v>
      </c>
      <c r="W5" s="20">
        <f>IF(PoToMRVWoQUomPl!$C$2=1,ROUND((((S5*U5)/100)/2),2),0)</f>
        <v>0</v>
      </c>
      <c r="X5" s="20">
        <f>IF(PoToMRVWoQUomPl!$C$2=2,ROUND(((S5*U5)/100),2),0)</f>
        <v>59.12</v>
      </c>
      <c r="Y5" s="20">
        <f>IF(PoToMRVWoQUomPl!$C$2=4,ROUND((((S5*U5)/100)/2),2),0)</f>
        <v>0</v>
      </c>
      <c r="Z5" s="20">
        <v>0</v>
      </c>
      <c r="AA5" s="20">
        <f>IF(PoToMRVWoQUomPl!$C3=3,0,(S5*Z5)/100)</f>
        <v>0</v>
      </c>
      <c r="AB5" s="20">
        <f t="shared" si="9"/>
        <v>59.12</v>
      </c>
      <c r="AC5" s="20">
        <f>IF(PoToMRVWoQUomPl!$V3=1,S5+AB5,S5)</f>
        <v>328.47</v>
      </c>
      <c r="AD5" s="22">
        <v>120</v>
      </c>
      <c r="AE5" s="22">
        <f>IF(PoToMRVWoQUomPl!$P$2=1,(S5/PoToMRVWoQUomPl!$S$7)*PoToMRVWoQUomPl!$E$18,AD5/PoToMRVWoQUomPl!$AD$7*PoToMRVWoQUomPl!$E$18)</f>
        <v>0</v>
      </c>
      <c r="AF5" s="22"/>
      <c r="AG5" s="22">
        <f>IF(PoToMRVWoQUomPl!$P$2=1,(S5/PoToMRVWoQUomPl!$S$7)*PoToMRVWoQUomPl!$E$20,AD5/PoToMRVWoQUomPl!$AD$7*PoToMRVWoQUomPl!$E$20)</f>
        <v>0</v>
      </c>
      <c r="AH5" s="22">
        <f>IF(PoToMRVWoQUomPl!$P$2=1,(S5/PoToMRVWoQUomPl!$S$7)*PoToMRVWoQUomPl!$E$21,AD5/PoToMRVWoQUomPl!$AD$7*PoToMRVWoQUomPl!$E$21)</f>
        <v>0</v>
      </c>
      <c r="AI5" s="22">
        <f>S5*PoToMRVWoQUomPl!$M$2</f>
        <v>328.47</v>
      </c>
      <c r="AJ5" s="22">
        <f>IF(PoToMRVWoQUomPl!$C$2=3,0,AG5+AH5)</f>
        <v>0</v>
      </c>
      <c r="AK5" s="22">
        <f>IF(PoToMRVWoQUomPl!$C$2=3,AE5+AG5+AH5,0)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204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245</v>
      </c>
      <c r="BN5" t="s" s="0">
        <v>246</v>
      </c>
      <c r="BO5" s="25">
        <f t="shared" si="16"/>
        <v>82.12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240</v>
      </c>
      <c r="C6" s="19" t="s">
        <v>240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IF(OR(PoToMRVWoQUomPl!$C$2=1,PoToMRVWoQUomPl!$C$2=4),ROUND((((S6*U6)/100)/2),2),0)</f>
        <v>0</v>
      </c>
      <c r="W6" s="20">
        <f>IF(PoToMRVWoQUomPl!$C$2=1,ROUND((((S6*U6)/100)/2),2),0)</f>
        <v>0</v>
      </c>
      <c r="X6" s="20">
        <f>IF(PoToMRVWoQUomPl!$C$2=2,ROUND(((S6*U6)/100),2),0)</f>
        <v>77.94</v>
      </c>
      <c r="Y6" s="20">
        <f>IF(PoToMRVWoQUomPl!$C$2=4,ROUND((((S6*U6)/100)/2),2),0)</f>
        <v>0</v>
      </c>
      <c r="Z6" s="20">
        <v>0</v>
      </c>
      <c r="AA6" s="20">
        <f>IF(PoToMRVWoQUomPl!$C4=3,0,(S6*Z6)/100)</f>
        <v>0</v>
      </c>
      <c r="AB6" s="20">
        <f t="shared" si="9"/>
        <v>77.94</v>
      </c>
      <c r="AC6" s="20">
        <f>IF(PoToMRVWoQUomPl!$V4=1,S6+AB6,S6)</f>
        <v>433.01</v>
      </c>
      <c r="AD6" s="22">
        <v>120</v>
      </c>
      <c r="AE6" s="22">
        <f>IF(PoToMRVWoQUomPl!$P$2=1,(S6/PoToMRVWoQUomPl!$S$7)*PoToMRVWoQUomPl!$E$18,AD6/PoToMRVWoQUomPl!$AD$7*PoToMRVWoQUomPl!$E$18)</f>
        <v>0</v>
      </c>
      <c r="AF6" s="22"/>
      <c r="AG6" s="22">
        <f>IF(PoToMRVWoQUomPl!$P$2=1,(S6/PoToMRVWoQUomPl!$S$7)*PoToMRVWoQUomPl!$E$20,AD6/PoToMRVWoQUomPl!$AD$7*PoToMRVWoQUomPl!$E$20)</f>
        <v>0</v>
      </c>
      <c r="AH6" s="22">
        <f>IF(PoToMRVWoQUomPl!$P$2=1,(S6/PoToMRVWoQUomPl!$S$7)*PoToMRVWoQUomPl!$E$21,AD6/PoToMRVWoQUomPl!$AD$7*PoToMRVWoQUomPl!$E$21)</f>
        <v>0</v>
      </c>
      <c r="AI6" s="22">
        <f>S6*PoToMRVWoQUomPl!$M$2</f>
        <v>433.01</v>
      </c>
      <c r="AJ6" s="22">
        <f>IF(PoToMRVWoQUomPl!$C$2=3,0,AG6+AH6)</f>
        <v>0</v>
      </c>
      <c r="AK6" s="22">
        <f>IF(PoToMRVWoQUomPl!$C$2=3,AE6+AG6+AH6,0)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247</v>
      </c>
      <c r="BN6" t="s" s="0">
        <v>248</v>
      </c>
      <c r="BO6" s="25">
        <f t="shared" si="16"/>
        <v>43.3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234</v>
      </c>
      <c r="C4" s="19" t="s">
        <v>234</v>
      </c>
      <c r="D4" s="19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222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6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249</v>
      </c>
      <c r="BN4" t="s" s="0">
        <v>250</v>
      </c>
      <c r="BO4" s="25">
        <f t="shared" ref="BO4:BO6" si="15">ROUND((((AW4*AZ4)+(BN4*BM4))/(AW4+BN4)),5)</f>
        <v>895.20786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237</v>
      </c>
      <c r="C5" s="19" t="s">
        <v>237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IF(OR(PoToMRVWoQUomPlImp!$C$2=1,PoToMRVWoQUomPlImp!$C$2=4),ROUND((((S5*U5)/100)/2),2),0)</f>
        <v>0</v>
      </c>
      <c r="W5" s="20">
        <f>IF(PoToMRVWoQUomPlImp!$C$2=1,ROUND((((S5*U5)/100)/2),2),0)</f>
        <v>0</v>
      </c>
      <c r="X5" s="20">
        <f>IF(PoToMRVWoQUomPlImp!$C$2=2,ROUND(((S5*U5)/100),2),0)</f>
        <v>0</v>
      </c>
      <c r="Y5" s="20">
        <f>IF(PoToMRVWoQUomPlImp!$C$2=4,ROUND((((S5*U5)/100)/2),2),0)</f>
        <v>0</v>
      </c>
      <c r="Z5" s="20">
        <v>0</v>
      </c>
      <c r="AA5" s="20">
        <f>IF(PoToMRVWoQUomPlImp!$C3=3,0,(S5*Z5)/100)</f>
        <v>0</v>
      </c>
      <c r="AB5" s="20">
        <f t="shared" si="8"/>
        <v>0</v>
      </c>
      <c r="AC5" s="20">
        <f>IF(PoToMRVWoQUomPlImp!$V3=1,S5+AB5,S5)</f>
        <v>328.47</v>
      </c>
      <c r="AD5" s="22">
        <v>120</v>
      </c>
      <c r="AE5" s="22">
        <f>IF(PoToMRVWoQUomPlImp!$P$2=1,(S5/PoToMRVWoQUomPlImp!$S$7)*PoToMRVWoQUomPlImp!$E$18,AD5/PoToMRVWoQUomPlImp!$AD$7*PoToMRVWoQUomPlImp!$E$18)</f>
        <v>0</v>
      </c>
      <c r="AF5" s="22"/>
      <c r="AG5" s="22">
        <f>IF(PoToMRVWoQUomPlImp!$P$2=1,(S5/PoToMRVWoQUomPlImp!$S$7)*PoToMRVWoQUomPlImp!$E$20,AD5/PoToMRVWoQUomPlImp!$AD$7*PoToMRVWoQUomPlImp!$E$20)</f>
        <v>0</v>
      </c>
      <c r="AH5" s="22">
        <f>IF(PoToMRVWoQUomPlImp!$P$2=1,(S5/PoToMRVWoQUomPlImp!$S$7)*PoToMRVWoQUomPlImp!$E$21,AD5/PoToMRVWoQUomPlImp!$AD$7*PoToMRVWoQUomPlImp!$E$21)</f>
        <v>0</v>
      </c>
      <c r="AI5" s="22">
        <f>S5*PoToMRVWoQUomPlImp!$M$2</f>
        <v>27919.95</v>
      </c>
      <c r="AJ5" s="22">
        <f>IF(PoToMRVWoQUomPlImp!$C$2=3,0,AG5+AH5)</f>
        <v>0</v>
      </c>
      <c r="AK5" s="22">
        <f>IF(PoToMRVWoQUomPlImp!$C$2=3,AE5+AG5+AH5,0)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224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251</v>
      </c>
      <c r="BN5" t="s" s="0">
        <v>252</v>
      </c>
      <c r="BO5" s="25">
        <f t="shared" si="15"/>
        <v>222.89286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240</v>
      </c>
      <c r="C6" s="19" t="s">
        <v>240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IF(OR(PoToMRVWoQUomPlImp!$C$2=1,PoToMRVWoQUomPlImp!$C$2=4),ROUND((((S6*U6)/100)/2),2),0)</f>
        <v>0</v>
      </c>
      <c r="W6" s="20">
        <f>IF(PoToMRVWoQUomPlImp!$C$2=1,ROUND((((S6*U6)/100)/2),2),0)</f>
        <v>0</v>
      </c>
      <c r="X6" s="20">
        <f>IF(PoToMRVWoQUomPlImp!$C$2=2,ROUND(((S6*U6)/100),2),0)</f>
        <v>0</v>
      </c>
      <c r="Y6" s="20">
        <f>IF(PoToMRVWoQUomPlImp!$C$2=4,ROUND((((S6*U6)/100)/2),2),0)</f>
        <v>0</v>
      </c>
      <c r="Z6" s="20">
        <v>0</v>
      </c>
      <c r="AA6" s="20">
        <f>IF(PoToMRVWoQUomPlImp!$C4=3,0,(S6*Z6)/100)</f>
        <v>0</v>
      </c>
      <c r="AB6" s="20">
        <f t="shared" si="8"/>
        <v>0</v>
      </c>
      <c r="AC6" s="20">
        <f>IF(PoToMRVWoQUomPlImp!$V4=1,S6+AB6,S6)</f>
        <v>433.01</v>
      </c>
      <c r="AD6" s="22">
        <v>120</v>
      </c>
      <c r="AE6" s="22">
        <f>IF(PoToMRVWoQUomPlImp!$P$2=1,(S6/PoToMRVWoQUomPlImp!$S$7)*PoToMRVWoQUomPlImp!$E$18,AD6/PoToMRVWoQUomPlImp!$AD$7*PoToMRVWoQUomPlImp!$E$18)</f>
        <v>0</v>
      </c>
      <c r="AF6" s="22"/>
      <c r="AG6" s="22">
        <f>IF(PoToMRVWoQUomPlImp!$P$2=1,(S6/PoToMRVWoQUomPlImp!$S$7)*PoToMRVWoQUomPlImp!$E$20,AD6/PoToMRVWoQUomPlImp!$AD$7*PoToMRVWoQUomPlImp!$E$20)</f>
        <v>0</v>
      </c>
      <c r="AH6" s="22">
        <f>IF(PoToMRVWoQUomPlImp!$P$2=1,(S6/PoToMRVWoQUomPlImp!$S$7)*PoToMRVWoQUomPlImp!$E$21,AD6/PoToMRVWoQUomPlImp!$AD$7*PoToMRVWoQUomPlImp!$E$21)</f>
        <v>0</v>
      </c>
      <c r="AI6" s="22">
        <f>S6*PoToMRVWoQUomPlImp!$M$2</f>
        <v>36805.85</v>
      </c>
      <c r="AJ6" s="22">
        <f>IF(PoToMRVWoQUomPlImp!$C$2=3,0,AG6+AH6)</f>
        <v>0</v>
      </c>
      <c r="AK6" s="22">
        <f>IF(PoToMRVWoQUomPlImp!$C$2=3,AE6+AG6+AH6,0)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227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253</v>
      </c>
      <c r="BN6" t="s" s="0">
        <v>254</v>
      </c>
      <c r="BO6" s="25">
        <f t="shared" si="15"/>
        <v>117.53041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255</v>
      </c>
      <c r="C4" s="106" t="s">
        <v>255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257</v>
      </c>
      <c r="C5" s="108" t="s">
        <v>257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259</v>
      </c>
      <c r="C6" s="108" t="s">
        <v>259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255</v>
      </c>
      <c r="C4" s="106" t="s">
        <v>255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257</v>
      </c>
      <c r="C5" s="108" t="s">
        <v>257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IF(AND($C$2=2,V$2=1),ROUND((S5*U5)/100,2),0)</f>
        <v>0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0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259</v>
      </c>
      <c r="C6" s="108" t="s">
        <v>259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IF(AND($C$2=2,V$2=1),ROUND((S6*U6)/100,2),0)</f>
        <v>0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0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255</v>
      </c>
      <c r="C4" s="106" t="s">
        <v>255</v>
      </c>
      <c r="D4" s="107" t="s">
        <v>76</v>
      </c>
      <c r="E4" s="19" t="s">
        <v>76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5">
        <v>1</v>
      </c>
      <c r="B5" s="106" t="s">
        <v>257</v>
      </c>
      <c r="C5" s="108" t="s">
        <v>257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5">
        <v>1</v>
      </c>
      <c r="B6" s="108" t="s">
        <v>259</v>
      </c>
      <c r="C6" s="108" t="s">
        <v>259</v>
      </c>
      <c r="D6" s="107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260</v>
      </c>
      <c r="C4" s="106" t="s">
        <v>260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261</v>
      </c>
      <c r="C5" s="106" t="s">
        <v>261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262</v>
      </c>
      <c r="C6" s="109" t="s">
        <v>262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260</v>
      </c>
      <c r="C4" s="106" t="s">
        <v>260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261</v>
      </c>
      <c r="C5" s="106" t="s">
        <v>261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262</v>
      </c>
      <c r="C6" s="109" t="s">
        <v>262</v>
      </c>
      <c r="D6" s="107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260</v>
      </c>
      <c r="C4" s="106" t="s">
        <v>260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256</v>
      </c>
      <c r="AV4" t="s" s="0">
        <v>166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261</v>
      </c>
      <c r="C5" s="106" t="s">
        <v>261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258</v>
      </c>
      <c r="AV5" t="s" s="0">
        <v>156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258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262</v>
      </c>
      <c r="C6" s="109" t="s">
        <v>262</v>
      </c>
      <c r="D6" s="107" t="s">
        <v>76</v>
      </c>
      <c r="E6" s="19" t="s">
        <v>76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263</v>
      </c>
      <c r="C4" s="19" t="s">
        <v>263</v>
      </c>
      <c r="D4" s="19" t="s">
        <v>76</v>
      </c>
      <c r="E4" s="19" t="s">
        <v>76</v>
      </c>
      <c r="F4" s="20">
        <v>5</v>
      </c>
      <c r="G4" t="s" s="0">
        <v>78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264</v>
      </c>
      <c r="AV4" t="s" s="0">
        <v>265</v>
      </c>
      <c r="AW4" s="25">
        <f>AM4</f>
        <v>5</v>
      </c>
      <c r="AX4" s="102">
        <f>AR4</f>
        <v>41.514</v>
      </c>
      <c r="AY4" s="25">
        <f>AU4+AW4</f>
        <v>20</v>
      </c>
      <c r="AZ4" s="25">
        <f>ROUND(((AU4*AV4)+(AW4*AX4))/(AU4+AW4),5)</f>
        <v>872.99347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266</v>
      </c>
      <c r="BN4" t="s" s="0">
        <v>214</v>
      </c>
      <c r="BO4" s="25">
        <f>ROUND((((AW4*AZ4)+(BN4*BM4))/(AW4+BN4)),5)</f>
        <v>923.96088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267</v>
      </c>
      <c r="C5" s="19" t="s">
        <v>267</v>
      </c>
      <c r="D5" s="19" t="s">
        <v>76</v>
      </c>
      <c r="E5" s="19" t="s">
        <v>76</v>
      </c>
      <c r="F5" s="20">
        <v>4</v>
      </c>
      <c r="G5" t="s" s="0">
        <v>88</v>
      </c>
      <c r="H5" s="20">
        <f>F5*G5</f>
        <v>400</v>
      </c>
      <c r="I5" t="s" s="0">
        <v>268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57.89</v>
      </c>
      <c r="AC5" s="20">
        <f>IF($V3=1,S5+AB5,S5)</f>
        <v>321.63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321.63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77</v>
      </c>
      <c r="AV5" t="s" s="0">
        <v>269</v>
      </c>
      <c r="AW5" s="25">
        <f>AM5</f>
        <v>4</v>
      </c>
      <c r="AX5" s="102">
        <f>AR5</f>
        <v>80.4075</v>
      </c>
      <c r="AY5" s="25">
        <f>AU5+AW5</f>
        <v>16</v>
      </c>
      <c r="AZ5" s="25">
        <f>ROUND(((AU5*AV5)+(AW5*AX5))/(AU5+AW5),5)</f>
        <v>1604.92618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270</v>
      </c>
      <c r="BN5" t="s" s="0">
        <v>258</v>
      </c>
      <c r="BO5" s="25">
        <f>ROUND((((AW5*AZ5)+(BN5*BM5))/(AW5+BN5)),5)</f>
        <v>1749.60706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271</v>
      </c>
      <c r="C6" s="19" t="s">
        <v>271</v>
      </c>
      <c r="D6" s="19" t="s">
        <v>76</v>
      </c>
      <c r="E6" s="19" t="s">
        <v>76</v>
      </c>
      <c r="F6" s="20">
        <v>10</v>
      </c>
      <c r="G6" t="s" s="0">
        <v>173</v>
      </c>
      <c r="H6" s="20">
        <f>F6*G6</f>
        <v>1500</v>
      </c>
      <c r="I6" t="s" s="0">
        <v>272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224.18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224.18</v>
      </c>
      <c r="AC6" s="20">
        <f>IF($V4=1,S6+AB6,S6)</f>
        <v>1245.46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1245.46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273</v>
      </c>
      <c r="AV6" t="s" s="0">
        <v>274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ROUND(((AU6*AV6)+(AW6*AX6))/(AU6+AW6),5)</f>
        <v>3351.79004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275</v>
      </c>
      <c r="BN6" t="s" s="0">
        <v>276</v>
      </c>
      <c r="BO6" s="25">
        <f>ROUND((((AW6*AZ6)+(BN6*BM6))/(AW6+BN6)),5)</f>
        <v>3351.79004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263</v>
      </c>
      <c r="C4" s="19" t="s">
        <v>263</v>
      </c>
      <c r="D4" s="19" t="s">
        <v>76</v>
      </c>
      <c r="E4" s="19" t="s">
        <v>76</v>
      </c>
      <c r="F4" s="20">
        <v>5</v>
      </c>
      <c r="G4" t="s" s="0">
        <v>214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207.57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3528.69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3528.69</v>
      </c>
      <c r="AS4" s="24" t="s">
        <v>120</v>
      </c>
      <c r="AT4" s="25" t="s">
        <v>76</v>
      </c>
      <c r="AU4" t="s" s="0">
        <v>264</v>
      </c>
      <c r="AV4" t="s" s="0">
        <v>277</v>
      </c>
      <c r="AW4" s="25">
        <f>AM4</f>
        <v>5</v>
      </c>
      <c r="AX4" s="102">
        <f>AR4</f>
        <v>3528.69</v>
      </c>
      <c r="AY4" s="25">
        <f>AU4+AW4</f>
        <v>191</v>
      </c>
      <c r="AZ4" s="25">
        <f>ROUND(((AU4*AV4)+(AW4*AX4))/(AU4+AW4),5)</f>
        <v>869.42494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278</v>
      </c>
      <c r="BN4" t="s" s="0">
        <v>276</v>
      </c>
      <c r="BO4" s="25">
        <f>ROUND((((AW4*AZ4)+(BN4*BM4))/(AW4+BN4)),5)</f>
        <v>881.09001</v>
      </c>
      <c r="BP4" s="31">
        <f>ROUND(BN4+AW4,3)</f>
        <v>40</v>
      </c>
      <c r="BQ4" s="32">
        <v>123562</v>
      </c>
    </row>
    <row r="5" ht="15.75" spans="1:69">
      <c r="A5" s="19">
        <v>1</v>
      </c>
      <c r="B5" s="19" t="s">
        <v>271</v>
      </c>
      <c r="C5" s="19" t="s">
        <v>271</v>
      </c>
      <c r="D5" s="19" t="s">
        <v>76</v>
      </c>
      <c r="E5" s="19" t="s">
        <v>76</v>
      </c>
      <c r="F5" s="20">
        <v>10</v>
      </c>
      <c r="G5" t="s" s="0">
        <v>77</v>
      </c>
      <c r="H5" s="20">
        <f>F5*G5</f>
        <v>1500</v>
      </c>
      <c r="I5" t="s" s="0">
        <v>272</v>
      </c>
      <c r="J5" s="20">
        <v>7</v>
      </c>
      <c r="K5" s="20">
        <v>4</v>
      </c>
      <c r="L5" s="20">
        <f>IF(OR(I5=0,I5="0"),0,H5)</f>
        <v>1500</v>
      </c>
      <c r="M5" s="20">
        <f>ROUND(L5*I5%,2)</f>
        <v>105</v>
      </c>
      <c r="N5" s="20">
        <f>H5-M5</f>
        <v>1395</v>
      </c>
      <c r="O5" s="20">
        <f>ROUND(N5*J5%,2)</f>
        <v>97.65</v>
      </c>
      <c r="P5" s="20">
        <f>ROUND(N5-O5,2)</f>
        <v>1297.35</v>
      </c>
      <c r="Q5" s="20">
        <f>ROUND(P5*K5%,2)</f>
        <v>51.89</v>
      </c>
      <c r="R5" s="20">
        <f>M5+O5+Q5</f>
        <v>254.54</v>
      </c>
      <c r="S5" s="20">
        <f>(H5-R5)</f>
        <v>1245.46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1245.46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105864.1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ROUND(AI5/AM5,5)</f>
        <v>10586.41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10586.41</v>
      </c>
      <c r="AS5" s="24" t="s">
        <v>120</v>
      </c>
      <c r="AT5" s="25" t="s">
        <v>76</v>
      </c>
      <c r="AU5" t="s" s="0">
        <v>273</v>
      </c>
      <c r="AV5" t="s" s="0">
        <v>279</v>
      </c>
      <c r="AW5" s="25">
        <f>AM5</f>
        <v>10</v>
      </c>
      <c r="AX5" s="25">
        <f>AR5</f>
        <v>10586.41</v>
      </c>
      <c r="AY5" s="25">
        <f>AU5+AW5</f>
        <v>390</v>
      </c>
      <c r="AZ5" s="25">
        <f>ROUND(((AU5*AV5)+(AW5*AX5))/(AU5+AW5),5)</f>
        <v>3290.30994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280</v>
      </c>
      <c r="BN5" t="s" s="0">
        <v>191</v>
      </c>
      <c r="BO5" s="25">
        <f>ROUND((((AW5*AZ5)+(BN5*BM5))/(AW5+BN5)),5)</f>
        <v>3207.82987</v>
      </c>
      <c r="BP5" s="31">
        <f>ROUND(BN5+AW5,3)</f>
        <v>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42.43</v>
      </c>
      <c r="S6" s="37">
        <f t="shared" si="0"/>
        <v>207.57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207.57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17643.45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42.43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207.57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207.57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281</v>
      </c>
      <c r="C4" s="19" t="s">
        <v>281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2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282</v>
      </c>
      <c r="C5" s="19" t="s">
        <v>282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283</v>
      </c>
      <c r="AW5" s="25">
        <f>AM5</f>
        <v>5</v>
      </c>
      <c r="AX5" s="102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284</v>
      </c>
      <c r="C4" s="19" t="s">
        <v>284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285</v>
      </c>
      <c r="C5" s="19" t="s">
        <v>285</v>
      </c>
      <c r="D5" s="19" t="s">
        <v>76</v>
      </c>
      <c r="E5" s="19" t="s">
        <v>76</v>
      </c>
      <c r="F5" s="20">
        <v>15</v>
      </c>
      <c r="G5" t="s" s="0">
        <v>87</v>
      </c>
      <c r="H5" s="20">
        <f>F5*G5</f>
        <v>1500</v>
      </c>
      <c r="I5" t="s" s="0">
        <v>88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286</v>
      </c>
      <c r="C4" s="19" t="s">
        <v>286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287</v>
      </c>
      <c r="C5" s="19" t="s">
        <v>287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288</v>
      </c>
      <c r="C4" s="19" t="s">
        <v>288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289</v>
      </c>
      <c r="BN4" t="s" s="0">
        <v>290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291</v>
      </c>
      <c r="C5" s="19" t="s">
        <v>291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292</v>
      </c>
      <c r="BN5" t="s" s="0">
        <v>293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L1" workbookViewId="0">
      <selection activeCell="X5" sqref="X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294</v>
      </c>
      <c r="C4" s="19" t="s">
        <v>294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3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ROUND(N4*J4%,2)</f>
        <v>21.38</v>
      </c>
      <c r="P4" s="20">
        <f>ROUND(N4-O4,2)</f>
        <v>691.12</v>
      </c>
      <c r="Q4" s="20">
        <f>ROUND(P4*K4%,2)</f>
        <v>34.56</v>
      </c>
      <c r="R4" s="22">
        <f>ROUND(M4+O4+Q4,3)</f>
        <v>93.44</v>
      </c>
      <c r="S4" s="20">
        <f>(H4-R4)</f>
        <v>656.56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118.18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118.18</v>
      </c>
      <c r="AC4" s="21">
        <f>IF($V2=1,S4+AB4,S4)</f>
        <v>774.74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656.56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131.312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131.312</v>
      </c>
      <c r="AS4" s="24" t="s">
        <v>79</v>
      </c>
      <c r="AT4" s="25" t="s">
        <v>76</v>
      </c>
      <c r="AU4" t="s" s="0">
        <v>173</v>
      </c>
      <c r="AV4" t="s" s="0">
        <v>112</v>
      </c>
      <c r="AW4" s="25">
        <f>AM4</f>
        <v>5</v>
      </c>
      <c r="AX4" s="102">
        <f>AR4</f>
        <v>131.312</v>
      </c>
      <c r="AY4" s="25">
        <f>AU4+AW4</f>
        <v>10</v>
      </c>
      <c r="AZ4" s="25">
        <f>ROUND(((AU4*AV4)+(AW4*AX4))/(AU4+AW4),5)</f>
        <v>136.906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289</v>
      </c>
      <c r="BN4" t="s" s="0">
        <v>290</v>
      </c>
      <c r="BO4" s="25">
        <f>ROUND((((AW4*AZ4)+(BN4*BM4))/(AW4+BN4)),5)</f>
        <v>100.00401</v>
      </c>
      <c r="BP4" s="31">
        <f>ROUND(BN4+AW4,3)</f>
        <v>99010</v>
      </c>
      <c r="BQ4" s="32">
        <v>123562</v>
      </c>
    </row>
    <row r="5" ht="15.75" spans="1:69">
      <c r="A5" s="19">
        <v>1</v>
      </c>
      <c r="B5" s="19" t="s">
        <v>295</v>
      </c>
      <c r="C5" s="19" t="s">
        <v>295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7</v>
      </c>
      <c r="K5" s="20">
        <v>8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26.88</v>
      </c>
      <c r="P5" s="20">
        <f>ROUND(N5-O5,2)</f>
        <v>357.12</v>
      </c>
      <c r="Q5" s="20">
        <f>ROUND(P5*K5%,2)</f>
        <v>28.57</v>
      </c>
      <c r="R5" s="20">
        <f>M5+O5+Q5</f>
        <v>71.45</v>
      </c>
      <c r="S5" s="20">
        <f>(H5-R5)</f>
        <v>328.55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59.14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59.14</v>
      </c>
      <c r="AC5" s="20">
        <f>IF($V3=1,S5+AB5,S5)</f>
        <v>328.55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328.55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82.1375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82.1375</v>
      </c>
      <c r="AS5" s="24" t="s">
        <v>79</v>
      </c>
      <c r="AT5" s="25" t="s">
        <v>76</v>
      </c>
      <c r="AU5" t="s" s="0">
        <v>296</v>
      </c>
      <c r="AV5" t="s" s="0">
        <v>114</v>
      </c>
      <c r="AW5" s="25">
        <f>AM5</f>
        <v>4</v>
      </c>
      <c r="AX5" s="102">
        <f>AR5</f>
        <v>82.1375</v>
      </c>
      <c r="AY5" s="25">
        <f>AU5+AW5</f>
        <v>4</v>
      </c>
      <c r="AZ5" s="25">
        <f>ROUND(((AU5*AV5)+(AW5*AX5))/(AU5+AW5),5)</f>
        <v>89.06875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292</v>
      </c>
      <c r="BN5" t="s" s="0">
        <v>293</v>
      </c>
      <c r="BO5" s="25">
        <f>ROUND((((AW5*AZ5)+(BN5*BM5))/(AW5+BN5)),5)</f>
        <v>99.9994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93.44</v>
      </c>
      <c r="S6" s="37">
        <f>SUM(S4:S4)</f>
        <v>656.56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118.18</v>
      </c>
      <c r="Y6" s="39"/>
      <c r="Z6" s="39"/>
      <c r="AA6" s="39"/>
      <c r="AB6" s="38">
        <f>SUM(AB4:AB4)</f>
        <v>118.18</v>
      </c>
      <c r="AC6" s="40">
        <f>SUM(AC4:AC4)</f>
        <v>774.74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656.56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93.44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656.56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118.18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774.74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297</v>
      </c>
      <c r="C4" s="19" t="s">
        <v>297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AN4+AO4+AP4</f>
        <v>38.474</v>
      </c>
      <c r="AS4" s="24" t="s">
        <v>79</v>
      </c>
      <c r="AT4" s="25" t="s">
        <v>76</v>
      </c>
      <c r="AU4" t="s" s="0">
        <v>298</v>
      </c>
      <c r="AV4" t="s" s="0">
        <v>299</v>
      </c>
      <c r="AW4" s="25">
        <f>AM4</f>
        <v>5</v>
      </c>
      <c r="AX4" s="102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300</v>
      </c>
      <c r="BN4" t="s" s="0">
        <v>301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302</v>
      </c>
      <c r="C5" s="19" t="s">
        <v>302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57.91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57.91</v>
      </c>
      <c r="AC5" s="20">
        <f>IF($V3=1,S5+AB5,S5)</f>
        <v>321.71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80.4275</v>
      </c>
      <c r="AS5" s="24" t="s">
        <v>79</v>
      </c>
      <c r="AT5" s="25" t="s">
        <v>76</v>
      </c>
      <c r="AU5" t="s" s="0">
        <v>303</v>
      </c>
      <c r="AV5" t="s" s="0">
        <v>304</v>
      </c>
      <c r="AW5" s="25">
        <f>AM5</f>
        <v>4</v>
      </c>
      <c r="AX5" s="102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305</v>
      </c>
      <c r="BN5" t="s" s="0">
        <v>306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308</v>
      </c>
      <c r="AV4" t="s" s="0">
        <v>309</v>
      </c>
      <c r="AW4" s="25">
        <f>AM4</f>
        <v>5</v>
      </c>
      <c r="AX4" s="102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310</v>
      </c>
      <c r="C5" s="19" t="s">
        <v>310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311</v>
      </c>
      <c r="AV5" t="s" s="0">
        <v>312</v>
      </c>
      <c r="AW5" s="25">
        <f>AM5</f>
        <v>4</v>
      </c>
      <c r="AX5" s="102">
        <f>AR5</f>
        <v>82.1175</v>
      </c>
      <c r="AY5" s="25">
        <f>AU5+AW5</f>
        <v>16</v>
      </c>
      <c r="AZ5" s="102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312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51" t="s">
        <v>313</v>
      </c>
      <c r="C6" s="51" t="s">
        <v>313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>F6*G6</f>
        <v>500</v>
      </c>
      <c r="I6" t="s" s="0">
        <v>220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314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19" sqref="I19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308</v>
      </c>
      <c r="AV4" t="s" s="0">
        <v>309</v>
      </c>
      <c r="AW4" s="25">
        <f>AM4</f>
        <v>5</v>
      </c>
      <c r="AX4" s="102">
        <f>AR4</f>
        <v>10586.24</v>
      </c>
      <c r="AY4" s="25">
        <f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1359.6055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51" t="s">
        <v>313</v>
      </c>
      <c r="C5" s="51" t="s">
        <v>313</v>
      </c>
      <c r="D5" s="19" t="s">
        <v>76</v>
      </c>
      <c r="E5" s="19" t="s">
        <v>76</v>
      </c>
      <c r="F5" s="20">
        <v>10</v>
      </c>
      <c r="G5" t="s" s="0">
        <v>214</v>
      </c>
      <c r="H5" s="20">
        <f>F5*G5</f>
        <v>1000</v>
      </c>
      <c r="I5" t="s" s="0">
        <v>220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IF(PoToMRVWOIpRcServImp!$C4=3,0,(S5*Z5)/100)</f>
        <v>0</v>
      </c>
      <c r="AB5" s="20">
        <f>V5+W5+X5+Y5+AA5</f>
        <v>0</v>
      </c>
      <c r="AC5" s="20">
        <f>IF(PoToMRVWOIpRcServImp!$V4=1,S5+AB5,S5)</f>
        <v>866.02</v>
      </c>
      <c r="AD5" s="22">
        <v>120</v>
      </c>
      <c r="AE5" s="22">
        <f>IF(PoToMRVWOIpRcServImp!$P$2=1,(S5/PoToMRVWOIpRcServImp!$S$6)*PoToMRVWOIpRcServImp!$E$17,AD5/PoToMRVWOIpRcServImp!$AD$6*PoToMRVWOIpRcServImp!$E$17)</f>
        <v>0</v>
      </c>
      <c r="AF5" s="22"/>
      <c r="AG5" s="22">
        <f>IF(PoToMRVWOIpRcServImp!$P$2=1,(S5/PoToMRVWOIpRcServImp!$S$6)*PoToMRVWOIpRcServImp!$E$19,AD5/PoToMRVWOIpRcServImp!$AD$6*PoToMRVWOIpRcServImp!$E$19)</f>
        <v>0</v>
      </c>
      <c r="AH5" s="22">
        <f>IF(PoToMRVWOIpRcServImp!$P$2=1,(S5/PoToMRVWOIpRcServImp!$S$6)*PoToMRVWOIpRcServImp!$E$20,AD5/PoToMRVWOIpRcServImp!$AD$6*PoToMRVWOIpRcServImp!$E$20)</f>
        <v>0</v>
      </c>
      <c r="AI5" s="22">
        <f>S5*PoToMRVWOIpRcServImp!$M$2</f>
        <v>73611.7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>F5/AL5</f>
        <v>10</v>
      </c>
      <c r="AN5" s="22">
        <f>ROUND(AI5/AM5,5)</f>
        <v>7361.17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7361.17</v>
      </c>
      <c r="AS5" s="24" t="s">
        <v>120</v>
      </c>
      <c r="AT5" s="25" t="s">
        <v>76</v>
      </c>
      <c r="AU5" t="s" s="0">
        <v>314</v>
      </c>
      <c r="AV5" t="s" s="0">
        <v>166</v>
      </c>
      <c r="AW5" s="25">
        <f>AM5</f>
        <v>10</v>
      </c>
      <c r="AX5" s="25">
        <f>AR5</f>
        <v>7361.17</v>
      </c>
      <c r="AY5" s="25">
        <f>AU5+AW5</f>
        <v>40</v>
      </c>
      <c r="AZ5" s="25">
        <f>ROUND(((AU5*AV5)+(AW5*AX5))/(AU5+AW5),3)</f>
        <v>1933.701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1029.123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315</v>
      </c>
      <c r="C4" s="19" t="s">
        <v>315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87</v>
      </c>
      <c r="AV4" t="s" s="0">
        <v>316</v>
      </c>
      <c r="AW4" s="25">
        <f>AM4</f>
        <v>5</v>
      </c>
      <c r="AX4" s="102">
        <f>AR4</f>
        <v>124.544</v>
      </c>
      <c r="AY4" s="25">
        <f>AU4+AW4</f>
        <v>15</v>
      </c>
      <c r="AZ4" s="25">
        <f>ROUND(((AU4*AV4)+(AW4*AX4))/(AU4+AW4),5)</f>
        <v>2739.98975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317</v>
      </c>
      <c r="BN4" t="s" s="0">
        <v>318</v>
      </c>
      <c r="BO4" s="25">
        <f>ROUND((((AW4*AZ4)+(BN4*BM4))/(AW4+BN4)),5)</f>
        <v>278.39469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319</v>
      </c>
      <c r="C5" s="19" t="s">
        <v>319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320</v>
      </c>
      <c r="AV5" t="s" s="0">
        <v>321</v>
      </c>
      <c r="AW5" s="25">
        <f>AM5</f>
        <v>4</v>
      </c>
      <c r="AX5" s="102">
        <f>AR5</f>
        <v>82.1175</v>
      </c>
      <c r="AY5" s="25">
        <f>AU5+AW5</f>
        <v>12</v>
      </c>
      <c r="AZ5" s="25">
        <f>ROUND(((AU5*AV5)+(AW5*AX5))/(AU5+AW5),5)</f>
        <v>1461.7355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322</v>
      </c>
      <c r="BN5" t="s" s="0">
        <v>323</v>
      </c>
      <c r="BO5" s="25">
        <f>ROUND((((AW5*AZ5)+(BN5*BM5))/(AW5+BN5)),5)</f>
        <v>168.34597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3" t="s">
        <v>324</v>
      </c>
      <c r="C6" s="51" t="s">
        <v>324</v>
      </c>
      <c r="D6" s="19" t="s">
        <v>76</v>
      </c>
      <c r="E6" s="19" t="s">
        <v>76</v>
      </c>
      <c r="F6" s="20">
        <v>20</v>
      </c>
      <c r="G6" t="s" s="0">
        <v>214</v>
      </c>
      <c r="H6" s="20">
        <f>F6*G6</f>
        <v>1000</v>
      </c>
      <c r="I6" t="s" s="0">
        <v>220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155.88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155.88</v>
      </c>
      <c r="AC6" s="20">
        <f>IF($V4=1,S6+AB6,S6)</f>
        <v>866.02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866.02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325</v>
      </c>
      <c r="AV6" t="s" s="0">
        <v>326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ROUND(((AU6*AV6)+(AW6*AX6))/(AU6+AW6),5)</f>
        <v>851.56689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327</v>
      </c>
      <c r="BN6" t="s" s="0">
        <v>328</v>
      </c>
      <c r="BO6" s="25">
        <f>ROUND((((AW6*AZ6)+(BN6*BM6))/(AW6+BN6)),5)</f>
        <v>93.81668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0" sqref="B10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315</v>
      </c>
      <c r="C4" s="19" t="s">
        <v>315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87</v>
      </c>
      <c r="AV4" t="s" s="0">
        <v>329</v>
      </c>
      <c r="AW4" s="25">
        <f>AM4</f>
        <v>5</v>
      </c>
      <c r="AX4" s="102">
        <f>AR4</f>
        <v>10586.24</v>
      </c>
      <c r="AY4" s="25">
        <f>AU4+AW4</f>
        <v>105</v>
      </c>
      <c r="AZ4" s="25">
        <f>ROUND(((AU4*AV4)+(AW4*AX4))/(AU4+AW4),5)</f>
        <v>3759.18785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330</v>
      </c>
      <c r="BN4" t="s" s="0">
        <v>331</v>
      </c>
      <c r="BO4" s="25">
        <f>ROUND((((AW4*AZ4)+(BN4*BM4))/(AW4+BN4)),5)</f>
        <v>1435.77236</v>
      </c>
      <c r="BP4" s="31">
        <f>ROUND(BN4+AW4,3)</f>
        <v>121</v>
      </c>
      <c r="BQ4" s="32">
        <v>123562</v>
      </c>
    </row>
    <row r="5" ht="15.75" spans="1:69">
      <c r="A5" s="19">
        <v>1</v>
      </c>
      <c r="B5" s="103" t="s">
        <v>324</v>
      </c>
      <c r="C5" s="51" t="s">
        <v>324</v>
      </c>
      <c r="D5" s="19" t="s">
        <v>76</v>
      </c>
      <c r="E5" s="19" t="s">
        <v>76</v>
      </c>
      <c r="F5" s="20">
        <v>20</v>
      </c>
      <c r="G5" t="s" s="0">
        <v>214</v>
      </c>
      <c r="H5" s="20">
        <f>F5*G5</f>
        <v>1000</v>
      </c>
      <c r="I5" t="s" s="0">
        <v>220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IF(PoToMRVWOIpPlImp!$C4=3,0,(S5*Z5)/100)</f>
        <v>0</v>
      </c>
      <c r="AB5" s="20">
        <f>V5+W5+X5+Y5+AA5</f>
        <v>0</v>
      </c>
      <c r="AC5" s="20">
        <f>IF(PoToMRVWOIpPlImp!$V4=1,S5+AB5,S5)</f>
        <v>866.02</v>
      </c>
      <c r="AD5" s="22">
        <v>120</v>
      </c>
      <c r="AE5" s="22">
        <f>IF(PoToMRVWOIpPlImp!$P$2=1,(S5/PoToMRVWOIpPlImp!$S$6)*PoToMRVWOIpPlImp!$E$17,AD5/PoToMRVWOIpPlImp!$AD$6*PoToMRVWOIpPlImp!$E$17)</f>
        <v>0</v>
      </c>
      <c r="AF5" s="22"/>
      <c r="AG5" s="22">
        <f>IF(PoToMRVWOIpPlImp!$P$2=1,(S5/PoToMRVWOIpPlImp!$S$6)*PoToMRVWOIpPlImp!$E$19,AD5/PoToMRVWOIpPlImp!$AD$6*PoToMRVWOIpPlImp!$E$19)</f>
        <v>0</v>
      </c>
      <c r="AH5" s="22">
        <f>IF(PoToMRVWOIpPlImp!$P$2=1,(S5/PoToMRVWOIpPlImp!$S$6)*PoToMRVWOIpPlImp!$E$20,AD5/PoToMRVWOIpPlImp!$AD$6*PoToMRVWOIpPlImp!$E$20)</f>
        <v>0</v>
      </c>
      <c r="AI5" s="22">
        <f>S5*PoToMRVWOIpPlImp!$M$2</f>
        <v>73611.7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325</v>
      </c>
      <c r="AV5" t="s" s="0">
        <v>332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1596.68631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333</v>
      </c>
      <c r="BN5" t="s" s="0">
        <v>231</v>
      </c>
      <c r="BO5" s="25">
        <f>ROUND((((AW5*AZ5)+(BN5*BM5))/(AW5+BN5)),5)</f>
        <v>294.83711</v>
      </c>
      <c r="BP5" s="31">
        <f>ROUND(BN5+AW5,3)</f>
        <v>360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334</v>
      </c>
      <c r="C4" s="19" t="s">
        <v>334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173</v>
      </c>
      <c r="AV4" t="s" s="0">
        <v>309</v>
      </c>
      <c r="AW4" s="25">
        <f>AM4</f>
        <v>5</v>
      </c>
      <c r="AX4" s="102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335</v>
      </c>
      <c r="C5" s="19" t="s">
        <v>335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296</v>
      </c>
      <c r="AV5" t="s" s="0">
        <v>312</v>
      </c>
      <c r="AW5" s="25">
        <f>AM5</f>
        <v>4</v>
      </c>
      <c r="AX5" s="102">
        <f>AR5</f>
        <v>82.1175</v>
      </c>
      <c r="AY5" s="25">
        <f>AU5+AW5</f>
        <v>12</v>
      </c>
      <c r="AZ5" s="102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312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3" t="s">
        <v>336</v>
      </c>
      <c r="C6" s="51" t="s">
        <v>336</v>
      </c>
      <c r="D6" s="19" t="s">
        <v>76</v>
      </c>
      <c r="E6" s="19" t="s">
        <v>76</v>
      </c>
      <c r="F6" s="20">
        <v>10</v>
      </c>
      <c r="G6" t="s" s="0">
        <v>214</v>
      </c>
      <c r="H6" s="20">
        <f>F6*G6</f>
        <v>500</v>
      </c>
      <c r="I6" t="s" s="0">
        <v>220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256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334</v>
      </c>
      <c r="C4" s="19" t="s">
        <v>334</v>
      </c>
      <c r="D4" s="19" t="s">
        <v>76</v>
      </c>
      <c r="E4" s="19" t="s">
        <v>76</v>
      </c>
      <c r="F4" s="20">
        <v>5</v>
      </c>
      <c r="G4" t="s" s="0">
        <v>214</v>
      </c>
      <c r="H4" s="20">
        <f>F4*G4</f>
        <v>250</v>
      </c>
      <c r="I4" t="s" s="0">
        <v>85</v>
      </c>
      <c r="J4" s="20">
        <v>8</v>
      </c>
      <c r="K4" s="20">
        <v>5</v>
      </c>
      <c r="L4" s="20">
        <f>IF(OR(I4=0,I4="0"),0,H4)</f>
        <v>0</v>
      </c>
      <c r="M4" s="20">
        <f>ROUND(L4*I4%,3)</f>
        <v>0</v>
      </c>
      <c r="N4" s="20">
        <f>H4-M4</f>
        <v>250</v>
      </c>
      <c r="O4" s="20">
        <f>ROUND(N4*J4%,3)</f>
        <v>20</v>
      </c>
      <c r="P4" s="20">
        <f>ROUND(N4-O4,2)</f>
        <v>230</v>
      </c>
      <c r="Q4" s="20">
        <f>ROUND(P4*K4%,2)</f>
        <v>11.5</v>
      </c>
      <c r="R4" s="22">
        <f>ROUND(M4+O4+Q4,3)</f>
        <v>31.5</v>
      </c>
      <c r="S4" s="20">
        <f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218.5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3714.5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3714.5</v>
      </c>
      <c r="AS4" s="24" t="s">
        <v>120</v>
      </c>
      <c r="AT4" s="25" t="s">
        <v>76</v>
      </c>
      <c r="AU4" t="s" s="0">
        <v>173</v>
      </c>
      <c r="AV4" t="s" s="0">
        <v>309</v>
      </c>
      <c r="AW4" s="25">
        <f>AM4</f>
        <v>5</v>
      </c>
      <c r="AX4" s="102">
        <f>AR4</f>
        <v>3714.5</v>
      </c>
      <c r="AY4" s="25">
        <f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309</v>
      </c>
      <c r="BN4" t="s" s="0">
        <v>78</v>
      </c>
      <c r="BO4" s="25">
        <f>ROUND((((AW4*AZ4)+(BN4*BM4))/(AW4+BN4)),5)</f>
        <v>653.679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03" t="s">
        <v>336</v>
      </c>
      <c r="C5" s="51" t="s">
        <v>336</v>
      </c>
      <c r="D5" s="19" t="s">
        <v>76</v>
      </c>
      <c r="E5" s="19" t="s">
        <v>76</v>
      </c>
      <c r="F5" s="20">
        <v>10</v>
      </c>
      <c r="G5" t="s" s="0">
        <v>214</v>
      </c>
      <c r="H5" s="20">
        <f>F5*G5</f>
        <v>500</v>
      </c>
      <c r="I5" t="s" s="0">
        <v>220</v>
      </c>
      <c r="J5" s="20">
        <v>7</v>
      </c>
      <c r="K5" s="20">
        <v>4</v>
      </c>
      <c r="L5" s="20">
        <f>IF(OR(I5=0,I5="0"),0,H5)</f>
        <v>500</v>
      </c>
      <c r="M5" s="20">
        <f>ROUND(L5*I5%,2)</f>
        <v>15</v>
      </c>
      <c r="N5" s="20">
        <f>H5-M5</f>
        <v>485</v>
      </c>
      <c r="O5" s="20">
        <f>ROUND(N5*J5%,2)</f>
        <v>33.95</v>
      </c>
      <c r="P5" s="20">
        <f>ROUND(N5-O5,2)</f>
        <v>451.05</v>
      </c>
      <c r="Q5" s="20">
        <f>ROUND(P5*K5%,2)</f>
        <v>18.04</v>
      </c>
      <c r="R5" s="20">
        <f>M5+O5+Q5</f>
        <v>66.99</v>
      </c>
      <c r="S5" s="20">
        <f>(H5-R5)</f>
        <v>433.01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IF(PoToMRVWOIpPlServImp!$C4=3,0,(S5*Z5)/100)</f>
        <v>0</v>
      </c>
      <c r="AB5" s="20">
        <f>V5+W5+X5+Y5+AA5</f>
        <v>0</v>
      </c>
      <c r="AC5" s="20">
        <f>IF(PoToMRVWOIpPlServImp!$V4=1,S5+AB5,S5)</f>
        <v>433.01</v>
      </c>
      <c r="AD5" s="22">
        <v>120</v>
      </c>
      <c r="AE5" s="22">
        <f>IF(PoToMRVWOIpPlServImp!$P$2=1,(S5/PoToMRVWOIpPlServImp!$S$6)*PoToMRVWOIpPlServImp!$E$17,AD5/PoToMRVWOIpPlServImp!$AD$6*PoToMRVWOIpPlServImp!$E$17)</f>
        <v>0</v>
      </c>
      <c r="AF5" s="22"/>
      <c r="AG5" s="22">
        <f>IF(PoToMRVWOIpPlServImp!$P$2=1,(S5/PoToMRVWOIpPlServImp!$S$6)*PoToMRVWOIpPlServImp!$E$19,AD5/PoToMRVWOIpPlServImp!$AD$6*PoToMRVWOIpPlServImp!$E$19)</f>
        <v>0</v>
      </c>
      <c r="AH5" s="22">
        <f>IF(PoToMRVWOIpPlServImp!$P$2=1,(S5/PoToMRVWOIpPlServImp!$S$6)*PoToMRVWOIpPlServImp!$E$20,AD5/PoToMRVWOIpPlServImp!$AD$6*PoToMRVWOIpPlServImp!$E$20)</f>
        <v>0</v>
      </c>
      <c r="AI5" s="22">
        <f>S5*PoToMRVWOIpPlServImp!$M$2</f>
        <v>36805.85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>F5/AL5</f>
        <v>10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256</v>
      </c>
      <c r="AV5" t="s" s="0">
        <v>166</v>
      </c>
      <c r="AW5" s="25">
        <f>AM5</f>
        <v>10</v>
      </c>
      <c r="AX5" s="25">
        <f>AR5</f>
        <v>3680.585</v>
      </c>
      <c r="AY5" s="25">
        <f>AU5+AW5</f>
        <v>30</v>
      </c>
      <c r="AZ5" s="26">
        <f>ROUND(((AU5*AV5)+(AW5*AX5))/(AU5+AW5),3)</f>
        <v>1309.892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717.2185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31.5</v>
      </c>
      <c r="S6" s="37">
        <f t="shared" si="0"/>
        <v>218.5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218.5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18572.5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31.5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218.5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218.5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9">
      <c r="A1" s="53" t="s">
        <v>0</v>
      </c>
      <c r="B1" s="54"/>
      <c r="C1" s="54"/>
      <c r="D1" s="54"/>
      <c r="E1" s="54"/>
      <c r="F1" s="54"/>
      <c r="G1" s="54"/>
      <c r="H1" s="53"/>
      <c r="I1" s="55"/>
      <c r="J1" s="55"/>
      <c r="K1" s="55"/>
      <c r="L1" s="55"/>
      <c r="M1" s="55"/>
      <c r="N1" s="55"/>
      <c r="O1" s="55"/>
      <c r="P1" s="55"/>
      <c r="Q1" s="55"/>
      <c r="R1" s="53"/>
      <c r="S1" s="53"/>
      <c r="T1" s="53"/>
      <c r="U1" s="53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</row>
    <row r="2" ht="15.75" spans="1:69">
      <c r="A2" s="57" t="s">
        <v>1</v>
      </c>
      <c r="B2" s="57"/>
      <c r="C2" s="58">
        <v>1</v>
      </c>
      <c r="D2" s="59" t="s">
        <v>2</v>
      </c>
      <c r="E2" s="54"/>
      <c r="F2" s="54"/>
      <c r="G2" s="54"/>
      <c r="H2" s="53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53"/>
      <c r="S2" s="53"/>
      <c r="T2" s="53"/>
      <c r="U2" s="53"/>
      <c r="V2" s="53">
        <v>1</v>
      </c>
      <c r="W2" s="53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ht="61.5" spans="1:69">
      <c r="A3" s="60" t="s">
        <v>9</v>
      </c>
      <c r="B3" s="60" t="s">
        <v>10</v>
      </c>
      <c r="C3" s="60" t="s">
        <v>11</v>
      </c>
      <c r="D3" s="60" t="s">
        <v>12</v>
      </c>
      <c r="E3" s="60" t="s">
        <v>13</v>
      </c>
      <c r="F3" s="60" t="s">
        <v>14</v>
      </c>
      <c r="G3" s="60" t="s">
        <v>15</v>
      </c>
      <c r="H3" s="60" t="s">
        <v>16</v>
      </c>
      <c r="I3" s="61" t="s">
        <v>17</v>
      </c>
      <c r="J3" s="61" t="s">
        <v>18</v>
      </c>
      <c r="K3" s="61" t="s">
        <v>19</v>
      </c>
      <c r="L3" s="62" t="s">
        <v>20</v>
      </c>
      <c r="M3" s="62" t="s">
        <v>21</v>
      </c>
      <c r="N3" s="62" t="s">
        <v>22</v>
      </c>
      <c r="O3" s="62" t="s">
        <v>23</v>
      </c>
      <c r="P3" s="62" t="s">
        <v>24</v>
      </c>
      <c r="Q3" s="62" t="s">
        <v>25</v>
      </c>
      <c r="R3" s="61" t="s">
        <v>26</v>
      </c>
      <c r="S3" s="60" t="s">
        <v>27</v>
      </c>
      <c r="T3" s="60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4" t="s">
        <v>33</v>
      </c>
      <c r="Z3" s="64" t="s">
        <v>34</v>
      </c>
      <c r="AA3" s="64" t="s">
        <v>35</v>
      </c>
      <c r="AB3" s="64" t="s">
        <v>36</v>
      </c>
      <c r="AC3" s="65" t="s">
        <v>37</v>
      </c>
      <c r="AD3" s="65" t="s">
        <v>38</v>
      </c>
      <c r="AE3" s="65" t="s">
        <v>39</v>
      </c>
      <c r="AF3" s="65" t="s">
        <v>40</v>
      </c>
      <c r="AG3" s="65" t="s">
        <v>41</v>
      </c>
      <c r="AH3" s="65" t="s">
        <v>42</v>
      </c>
      <c r="AI3" s="65" t="s">
        <v>43</v>
      </c>
      <c r="AJ3" s="65" t="s">
        <v>44</v>
      </c>
      <c r="AK3" s="65" t="s">
        <v>45</v>
      </c>
      <c r="AL3" s="65" t="s">
        <v>46</v>
      </c>
      <c r="AM3" s="65" t="s">
        <v>47</v>
      </c>
      <c r="AN3" s="65" t="s">
        <v>48</v>
      </c>
      <c r="AO3" s="65" t="s">
        <v>49</v>
      </c>
      <c r="AP3" s="65" t="s">
        <v>50</v>
      </c>
      <c r="AQ3" s="65" t="s">
        <v>51</v>
      </c>
      <c r="AR3" s="66" t="s">
        <v>52</v>
      </c>
      <c r="AS3" s="67" t="s">
        <v>53</v>
      </c>
      <c r="AT3" s="67" t="s">
        <v>51</v>
      </c>
      <c r="AU3" s="68" t="s">
        <v>54</v>
      </c>
      <c r="AV3" s="68" t="s">
        <v>55</v>
      </c>
      <c r="AW3" s="68" t="s">
        <v>56</v>
      </c>
      <c r="AX3" s="68" t="s">
        <v>57</v>
      </c>
      <c r="AY3" s="68" t="s">
        <v>58</v>
      </c>
      <c r="AZ3" s="68" t="s">
        <v>59</v>
      </c>
      <c r="BA3" s="68" t="s">
        <v>60</v>
      </c>
      <c r="BB3" s="68" t="s">
        <v>61</v>
      </c>
      <c r="BC3" s="69" t="s">
        <v>62</v>
      </c>
      <c r="BD3" s="69" t="s">
        <v>63</v>
      </c>
      <c r="BE3" s="69" t="s">
        <v>64</v>
      </c>
      <c r="BF3" s="68" t="s">
        <v>65</v>
      </c>
      <c r="BG3" s="68" t="s">
        <v>66</v>
      </c>
      <c r="BH3" s="68" t="s">
        <v>67</v>
      </c>
      <c r="BI3" s="68" t="s">
        <v>68</v>
      </c>
      <c r="BJ3" s="68" t="s">
        <v>69</v>
      </c>
      <c r="BK3" s="68" t="s">
        <v>70</v>
      </c>
      <c r="BL3" s="68" t="s">
        <v>71</v>
      </c>
      <c r="BM3" s="70" t="s">
        <v>72</v>
      </c>
      <c r="BN3" s="68" t="s">
        <v>73</v>
      </c>
      <c r="BO3" s="68" t="s">
        <v>59</v>
      </c>
      <c r="BP3" s="68" t="s">
        <v>74</v>
      </c>
      <c r="BQ3" s="68" t="s">
        <v>28</v>
      </c>
    </row>
    <row r="4" ht="15.75" spans="1:69">
      <c r="A4" s="71">
        <v>1</v>
      </c>
      <c r="B4" s="71"/>
      <c r="C4" s="71"/>
      <c r="D4" s="71" t="s">
        <v>76</v>
      </c>
      <c r="E4" s="71" t="s">
        <v>95</v>
      </c>
      <c r="F4" s="72">
        <v>25</v>
      </c>
      <c r="G4" s="72">
        <v>257.63</v>
      </c>
      <c r="H4" s="72">
        <f>F4*G4</f>
        <v>6440.75</v>
      </c>
      <c r="I4" s="72">
        <v>1</v>
      </c>
      <c r="J4" s="72">
        <v>2</v>
      </c>
      <c r="K4" s="72">
        <v>2.5</v>
      </c>
      <c r="L4" s="72">
        <f>H4</f>
        <v>6440.75</v>
      </c>
      <c r="M4" s="72">
        <f>ROUND(L4*I4%,2)</f>
        <v>64.41</v>
      </c>
      <c r="N4" s="72">
        <f>H4-M4</f>
        <v>6376.34</v>
      </c>
      <c r="O4" s="72">
        <f>ROUND(N4*J4%,2)</f>
        <v>127.53</v>
      </c>
      <c r="P4" s="72">
        <f>ROUND(N4-O4,2)</f>
        <v>6248.81</v>
      </c>
      <c r="Q4" s="72">
        <f>ROUND(P4*K4%,2)</f>
        <v>156.22</v>
      </c>
      <c r="R4" s="72">
        <f>ROUND((M4+O4+Q4),2)</f>
        <v>348.16</v>
      </c>
      <c r="S4" s="72">
        <f>ROUND((H4-R4),2)</f>
        <v>6092.59</v>
      </c>
      <c r="T4" s="73" t="s">
        <v>337</v>
      </c>
      <c r="U4" s="74">
        <v>0.18</v>
      </c>
      <c r="V4" s="72">
        <f>IF(OR($C$2=1,$C$2=4),ROUND(((S4*U4)/2),2),0)</f>
        <v>548.33</v>
      </c>
      <c r="W4" s="72">
        <f>IF($C$2=1,ROUND(((S4*U4)/2),2),0)</f>
        <v>548.33</v>
      </c>
      <c r="X4" s="72">
        <f>IF($C$2=2,ROUND(((S4*U4)),2),0)</f>
        <v>0</v>
      </c>
      <c r="Y4" s="72">
        <f>IF($C$2=4,ROUND(((S4*U4)/2),2),0)</f>
        <v>0</v>
      </c>
      <c r="Z4" s="75">
        <v>0</v>
      </c>
      <c r="AA4" s="72">
        <f>IF($C2=3,0,ROUND(S4*Z4,2))</f>
        <v>0</v>
      </c>
      <c r="AB4" s="71">
        <f>V4+W4+X4+Y4+AA4</f>
        <v>1096.66</v>
      </c>
      <c r="AC4" s="71">
        <f>IF($V2=1,S4+AB4,S4)</f>
        <v>7189.25</v>
      </c>
      <c r="AD4" s="73">
        <v>120</v>
      </c>
      <c r="AE4" s="73">
        <f>IF($P$2=1,(S4/$S$7)*$E$18,AD4/$AD$7*$E$18)</f>
        <v>0</v>
      </c>
      <c r="AF4" s="73"/>
      <c r="AG4" s="73">
        <f>IF($P$2=1,(S4/$S$7)*$E$20,AD4/$AD$7*$E$20)</f>
        <v>0</v>
      </c>
      <c r="AH4" s="73">
        <f>IF($P$2=1,(S4/$S$7)*$E$21,AD4/$AD$7*$E$21)</f>
        <v>0</v>
      </c>
      <c r="AI4" s="73">
        <f t="shared" ref="AI4:AI6" si="0">S4*$M$2</f>
        <v>6092.59</v>
      </c>
      <c r="AJ4" s="73">
        <f>IF($C$2=3,0,AG4+AH4)</f>
        <v>0</v>
      </c>
      <c r="AK4" s="73">
        <f t="shared" ref="AK4:AK6" si="1">IF($C$2=3,AE4+AG4+AH4,0)</f>
        <v>0</v>
      </c>
      <c r="AL4" s="76">
        <v>2</v>
      </c>
      <c r="AM4" s="73">
        <f>F4/AL4</f>
        <v>12.5</v>
      </c>
      <c r="AN4" s="73">
        <f>ROUND(AI4/AM4,5)</f>
        <v>487.4072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487.4072</v>
      </c>
      <c r="AS4" s="77" t="s">
        <v>148</v>
      </c>
      <c r="AT4" s="77" t="s">
        <v>76</v>
      </c>
      <c r="AU4" s="52" t="s">
        <v>85</v>
      </c>
      <c r="AV4" s="52" t="s">
        <v>338</v>
      </c>
      <c r="AW4" s="77">
        <f>AM4</f>
        <v>12.5</v>
      </c>
      <c r="AX4" s="77">
        <f>AR4</f>
        <v>487.4072</v>
      </c>
      <c r="AY4" s="77">
        <f>AU4+AW4</f>
        <v>12.5</v>
      </c>
      <c r="AZ4" s="77">
        <f>ROUND(((AU4*AV4)+(AW4*AX4))/(AU4+AW4),5)</f>
        <v>487.4072</v>
      </c>
      <c r="BA4" s="78"/>
      <c r="BB4" s="78" t="s">
        <v>80</v>
      </c>
      <c r="BC4" s="79" t="s">
        <v>81</v>
      </c>
      <c r="BD4" s="80" t="s">
        <v>82</v>
      </c>
      <c r="BE4" s="80" t="s">
        <v>83</v>
      </c>
      <c r="BF4" s="78"/>
      <c r="BG4" s="78"/>
      <c r="BH4" s="78"/>
      <c r="BI4" s="77"/>
      <c r="BJ4" s="77"/>
      <c r="BK4" s="77"/>
      <c r="BL4" s="81" t="s">
        <v>151</v>
      </c>
      <c r="BM4" s="52" t="s">
        <v>338</v>
      </c>
      <c r="BN4" s="52" t="s">
        <v>339</v>
      </c>
      <c r="BO4" s="77">
        <f>ROUND((((AW4*AZ4)+(BN4*BM4))/(AW4+BN4)),5)</f>
        <v>487.4072</v>
      </c>
      <c r="BP4" s="82">
        <f>BN4+AW4</f>
        <v>350</v>
      </c>
      <c r="BQ4" s="83">
        <v>123562</v>
      </c>
    </row>
    <row r="5" ht="15.75" spans="1:69">
      <c r="A5" s="71">
        <v>2</v>
      </c>
      <c r="B5" s="71"/>
      <c r="C5" s="71"/>
      <c r="D5" s="71" t="s">
        <v>76</v>
      </c>
      <c r="E5" s="71" t="s">
        <v>99</v>
      </c>
      <c r="F5" s="72">
        <v>28</v>
      </c>
      <c r="G5" s="72">
        <v>150.5</v>
      </c>
      <c r="H5" s="72">
        <f t="shared" ref="H5:H6" si="2">F5*G5</f>
        <v>4214</v>
      </c>
      <c r="I5" s="72">
        <v>1</v>
      </c>
      <c r="J5" s="72">
        <v>2</v>
      </c>
      <c r="K5" s="72">
        <v>2.5</v>
      </c>
      <c r="L5" s="72">
        <f t="shared" ref="L5:L6" si="3">H5</f>
        <v>4214</v>
      </c>
      <c r="M5" s="72">
        <f t="shared" ref="M5:M6" si="4">ROUND(L5*I5%,2)</f>
        <v>42.14</v>
      </c>
      <c r="N5" s="72">
        <f t="shared" ref="N5:N6" si="5">H5-M5</f>
        <v>4171.86</v>
      </c>
      <c r="O5" s="72">
        <f t="shared" ref="O5:O6" si="6">ROUND(N5*J5%,2)</f>
        <v>83.44</v>
      </c>
      <c r="P5" s="72">
        <f t="shared" ref="P5:P6" si="7">ROUND(N5-O5,2)</f>
        <v>4088.42</v>
      </c>
      <c r="Q5" s="72">
        <f t="shared" ref="Q5:Q6" si="8">ROUND(P5*K5%,2)</f>
        <v>102.21</v>
      </c>
      <c r="R5" s="72">
        <f t="shared" ref="R5:R6" si="9">ROUND((M5+O5+Q5),2)</f>
        <v>227.79</v>
      </c>
      <c r="S5" s="72">
        <f t="shared" ref="S5:S6" si="10">ROUND((H5-R5),2)</f>
        <v>3986.21</v>
      </c>
      <c r="T5" s="73" t="s">
        <v>340</v>
      </c>
      <c r="U5" s="74">
        <v>0.18</v>
      </c>
      <c r="V5" s="72">
        <f t="shared" ref="V5:V6" si="11">IF(OR($C$2=1,$C$2=4),ROUND(((S5*U5)/2),2),0)</f>
        <v>358.76</v>
      </c>
      <c r="W5" s="72">
        <f t="shared" ref="W5:W6" si="12">IF($C$2=1,ROUND(((S5*U5)/2),2),0)</f>
        <v>358.76</v>
      </c>
      <c r="X5" s="72">
        <f t="shared" ref="X5:X6" si="13">IF($C$2=2,ROUND(((S5*U5)),2),0)</f>
        <v>0</v>
      </c>
      <c r="Y5" s="72">
        <f t="shared" ref="Y5:Y6" si="14">IF($C$2=4,ROUND(((S5*U5)/2),2),0)</f>
        <v>0</v>
      </c>
      <c r="Z5" s="75">
        <v>0</v>
      </c>
      <c r="AA5" s="72">
        <f t="shared" ref="AA5:AA6" si="15">IF($C3=3,0,ROUND(S5*Z5,2))</f>
        <v>0</v>
      </c>
      <c r="AB5" s="71">
        <f t="shared" ref="AB5:AB6" si="16">V5+W5+X5+Y5+AA5</f>
        <v>717.52</v>
      </c>
      <c r="AC5" s="71">
        <f t="shared" ref="AC5:AC6" si="17">IF($V3=1,S5+AB5,S5)</f>
        <v>3986.21</v>
      </c>
      <c r="AD5" s="73">
        <v>350</v>
      </c>
      <c r="AE5" s="73">
        <f>IF($P$2=1,(S5/$S$7)*$E$18,AD5/$AD$7*$E$18)</f>
        <v>0</v>
      </c>
      <c r="AF5" s="73"/>
      <c r="AG5" s="73">
        <f>IF($P$2=1,(S5/$S$7)*$E$20,AD5/$AD$7*$E$20)</f>
        <v>0</v>
      </c>
      <c r="AH5" s="73">
        <f>IF($P$2=1,(S5/$S$7)*$E$21,AD5/$AD$7*$E$21)</f>
        <v>0</v>
      </c>
      <c r="AI5" s="73">
        <f t="shared" si="0"/>
        <v>3986.21</v>
      </c>
      <c r="AJ5" s="73">
        <f t="shared" ref="AJ5:AJ6" si="18">IF($C$2=3,0,AG5+AH5)</f>
        <v>0</v>
      </c>
      <c r="AK5" s="73">
        <f t="shared" si="1"/>
        <v>0</v>
      </c>
      <c r="AL5" s="76">
        <v>2.5</v>
      </c>
      <c r="AM5" s="73">
        <f>F5/AL5</f>
        <v>11.2</v>
      </c>
      <c r="AN5" s="73">
        <f t="shared" ref="AN5:AN6" si="19">ROUND(AI5/AM5,5)</f>
        <v>355.91161</v>
      </c>
      <c r="AO5" s="73">
        <f t="shared" ref="AO5:AO6" si="20">AJ5/AM5</f>
        <v>0</v>
      </c>
      <c r="AP5" s="73">
        <f t="shared" ref="AP5:AP6" si="21">AK5/AM5</f>
        <v>0</v>
      </c>
      <c r="AQ5" s="73" t="s">
        <v>76</v>
      </c>
      <c r="AR5" s="73">
        <f t="shared" ref="AR5:AR6" si="22">ROUND(AN5+AO5+AP5,5)</f>
        <v>355.91161</v>
      </c>
      <c r="AS5" s="77" t="s">
        <v>148</v>
      </c>
      <c r="AT5" s="77" t="s">
        <v>76</v>
      </c>
      <c r="AU5" s="52" t="s">
        <v>85</v>
      </c>
      <c r="AV5" s="52" t="s">
        <v>341</v>
      </c>
      <c r="AW5" s="77">
        <f>AM5</f>
        <v>11.2</v>
      </c>
      <c r="AX5" s="77">
        <f>AR5</f>
        <v>355.91161</v>
      </c>
      <c r="AY5" s="77">
        <f>AU5+AW5</f>
        <v>11.2</v>
      </c>
      <c r="AZ5" s="77">
        <f>ROUND(((AU5*AV5)+(AW5*AX5))/(AU5+AW5),5)</f>
        <v>355.91161</v>
      </c>
      <c r="BA5" s="78"/>
      <c r="BB5" s="78" t="s">
        <v>80</v>
      </c>
      <c r="BC5" s="79" t="s">
        <v>81</v>
      </c>
      <c r="BD5" s="80" t="s">
        <v>82</v>
      </c>
      <c r="BE5" s="80" t="s">
        <v>83</v>
      </c>
      <c r="BF5" s="78"/>
      <c r="BG5" s="78"/>
      <c r="BH5" s="78"/>
      <c r="BI5" s="77"/>
      <c r="BJ5" s="77"/>
      <c r="BK5" s="77"/>
      <c r="BL5" s="81" t="s">
        <v>151</v>
      </c>
      <c r="BM5" s="52" t="s">
        <v>341</v>
      </c>
      <c r="BN5" s="52" t="s">
        <v>342</v>
      </c>
      <c r="BO5" s="77">
        <f>ROUND((((AW5*AZ5)+(BN5*BM5))/(AW5+BN5)),5)</f>
        <v>355.91161</v>
      </c>
      <c r="BP5" s="82">
        <f>BN5+AW5</f>
        <v>313.6</v>
      </c>
      <c r="BQ5" s="83">
        <v>123562</v>
      </c>
    </row>
    <row r="6" ht="15.75" spans="1:69">
      <c r="A6" s="71">
        <v>3</v>
      </c>
      <c r="B6" s="71"/>
      <c r="C6" s="71"/>
      <c r="D6" s="71" t="s">
        <v>95</v>
      </c>
      <c r="E6" s="71" t="s">
        <v>101</v>
      </c>
      <c r="F6" s="72">
        <v>37</v>
      </c>
      <c r="G6" s="72">
        <v>89.54</v>
      </c>
      <c r="H6" s="72">
        <f t="shared" si="2"/>
        <v>3312.98</v>
      </c>
      <c r="I6" s="72">
        <v>1</v>
      </c>
      <c r="J6" s="72">
        <v>2</v>
      </c>
      <c r="K6" s="72">
        <v>2.5</v>
      </c>
      <c r="L6" s="72">
        <f t="shared" si="3"/>
        <v>3312.98</v>
      </c>
      <c r="M6" s="72">
        <f t="shared" si="4"/>
        <v>33.13</v>
      </c>
      <c r="N6" s="72">
        <f t="shared" si="5"/>
        <v>3279.85</v>
      </c>
      <c r="O6" s="72">
        <f t="shared" si="6"/>
        <v>65.6</v>
      </c>
      <c r="P6" s="72">
        <f t="shared" si="7"/>
        <v>3214.25</v>
      </c>
      <c r="Q6" s="72">
        <f t="shared" si="8"/>
        <v>80.36</v>
      </c>
      <c r="R6" s="72">
        <f t="shared" si="9"/>
        <v>179.09</v>
      </c>
      <c r="S6" s="72">
        <f t="shared" si="10"/>
        <v>3133.89</v>
      </c>
      <c r="T6" s="73" t="s">
        <v>343</v>
      </c>
      <c r="U6" s="74">
        <v>0.18</v>
      </c>
      <c r="V6" s="72">
        <f t="shared" si="11"/>
        <v>282.05</v>
      </c>
      <c r="W6" s="72">
        <f t="shared" si="12"/>
        <v>282.05</v>
      </c>
      <c r="X6" s="72">
        <f t="shared" si="13"/>
        <v>0</v>
      </c>
      <c r="Y6" s="72">
        <f t="shared" si="14"/>
        <v>0</v>
      </c>
      <c r="Z6" s="75">
        <v>0</v>
      </c>
      <c r="AA6" s="72">
        <f t="shared" si="15"/>
        <v>0</v>
      </c>
      <c r="AB6" s="71">
        <f t="shared" si="16"/>
        <v>564.1</v>
      </c>
      <c r="AC6" s="71">
        <f t="shared" si="17"/>
        <v>3133.89</v>
      </c>
      <c r="AD6" s="73">
        <v>220</v>
      </c>
      <c r="AE6" s="73">
        <f>IF($P$2=1,(S6/$S$7)*$E$18,AD6/$AD$7*$E$18)</f>
        <v>0</v>
      </c>
      <c r="AF6" s="73"/>
      <c r="AG6" s="73">
        <f>IF($P$2=1,(S6/$S$7)*$E$20,AD6/$AD$7*$E$20)</f>
        <v>0</v>
      </c>
      <c r="AH6" s="73">
        <f>IF($P$2=1,(S6/$S$7)*$E$21,AD6/$AD$7*$E$21)</f>
        <v>0</v>
      </c>
      <c r="AI6" s="73">
        <f t="shared" si="0"/>
        <v>3133.89</v>
      </c>
      <c r="AJ6" s="73">
        <f t="shared" si="18"/>
        <v>0</v>
      </c>
      <c r="AK6" s="73">
        <f t="shared" si="1"/>
        <v>0</v>
      </c>
      <c r="AL6" s="71">
        <v>0.001</v>
      </c>
      <c r="AM6" s="73">
        <f>F6/AL6</f>
        <v>37000</v>
      </c>
      <c r="AN6" s="73">
        <f t="shared" si="19"/>
        <v>0.0847</v>
      </c>
      <c r="AO6" s="73">
        <f t="shared" si="20"/>
        <v>0</v>
      </c>
      <c r="AP6" s="73">
        <f t="shared" si="21"/>
        <v>0</v>
      </c>
      <c r="AQ6" s="73" t="s">
        <v>76</v>
      </c>
      <c r="AR6" s="73">
        <f t="shared" si="22"/>
        <v>0.0847</v>
      </c>
      <c r="AS6" s="81" t="s">
        <v>148</v>
      </c>
      <c r="AT6" s="81" t="s">
        <v>76</v>
      </c>
      <c r="AU6" s="52" t="s">
        <v>85</v>
      </c>
      <c r="AV6" s="52" t="s">
        <v>344</v>
      </c>
      <c r="AW6" s="77">
        <f>AM6</f>
        <v>37000</v>
      </c>
      <c r="AX6" s="77">
        <f>AR6</f>
        <v>0.0847</v>
      </c>
      <c r="AY6" s="77">
        <f>AU6+AW6</f>
        <v>37000</v>
      </c>
      <c r="AZ6" s="77">
        <f>ROUND(((AU6*AV6)+(AW6*AX6))/(AU6+AW6),5)</f>
        <v>0.0847</v>
      </c>
      <c r="BA6" s="81"/>
      <c r="BB6" s="81"/>
      <c r="BC6" s="84" t="s">
        <v>81</v>
      </c>
      <c r="BD6" s="84" t="s">
        <v>345</v>
      </c>
      <c r="BE6" s="81"/>
      <c r="BF6" s="81"/>
      <c r="BG6" s="81"/>
      <c r="BH6" s="81"/>
      <c r="BI6" s="81"/>
      <c r="BJ6" s="81"/>
      <c r="BK6" s="81"/>
      <c r="BL6" s="81" t="s">
        <v>151</v>
      </c>
      <c r="BM6" s="52" t="s">
        <v>344</v>
      </c>
      <c r="BN6" s="52" t="s">
        <v>346</v>
      </c>
      <c r="BO6" s="77">
        <f>ROUND((((AW6*AZ6)+(BN6*BM6))/(AW6+BN6)),5)</f>
        <v>0.0847</v>
      </c>
      <c r="BP6" s="82">
        <f>BN6+AW6</f>
        <v>1036000</v>
      </c>
      <c r="BQ6" s="83">
        <v>123562</v>
      </c>
    </row>
    <row r="7" ht="15.75" spans="1:69">
      <c r="A7" s="56"/>
      <c r="C7" s="85" t="s">
        <v>89</v>
      </c>
      <c r="D7" s="86"/>
      <c r="E7" s="86"/>
      <c r="F7" s="86"/>
      <c r="G7" s="87"/>
      <c r="H7" s="88">
        <f>SUM(H4:H6)</f>
        <v>13967.73</v>
      </c>
      <c r="I7" s="71"/>
      <c r="J7" s="71"/>
      <c r="K7" s="71"/>
      <c r="L7" s="71"/>
      <c r="M7" s="71"/>
      <c r="N7" s="71"/>
      <c r="O7" s="71"/>
      <c r="P7" s="71"/>
      <c r="Q7" s="71"/>
      <c r="R7" s="88">
        <f>SUM(R4:R6)</f>
        <v>755.04</v>
      </c>
      <c r="S7" s="88">
        <f>SUM(S4:S6)</f>
        <v>13212.69</v>
      </c>
      <c r="T7" s="88"/>
      <c r="U7" s="88"/>
      <c r="V7" s="89">
        <f t="shared" ref="V7:AE7" si="23">SUM(V4:V6)</f>
        <v>1189.14</v>
      </c>
      <c r="W7" s="89">
        <f t="shared" si="23"/>
        <v>1189.14</v>
      </c>
      <c r="X7" s="89">
        <f t="shared" si="23"/>
        <v>0</v>
      </c>
      <c r="Y7" s="89">
        <f t="shared" si="23"/>
        <v>0</v>
      </c>
      <c r="Z7" s="90">
        <f t="shared" si="23"/>
        <v>0</v>
      </c>
      <c r="AA7" s="89">
        <f t="shared" si="23"/>
        <v>0</v>
      </c>
      <c r="AB7" s="88">
        <f t="shared" si="23"/>
        <v>2378.28</v>
      </c>
      <c r="AC7" s="91">
        <f t="shared" si="23"/>
        <v>14309.35</v>
      </c>
      <c r="AD7" s="92">
        <f t="shared" si="23"/>
        <v>690</v>
      </c>
      <c r="AE7" s="92">
        <f t="shared" si="23"/>
        <v>0</v>
      </c>
      <c r="AF7" s="91"/>
      <c r="AG7" s="92">
        <f>SUM(AG4:AG6)</f>
        <v>0</v>
      </c>
      <c r="AH7" s="92">
        <f>IF($P$2=1,(S7/$S$7)*$E$21,AD7/$AD$7*$E$21)</f>
        <v>0</v>
      </c>
      <c r="AI7" s="92">
        <f>SUM(AI4:AI6)</f>
        <v>13212.69</v>
      </c>
      <c r="AJ7" s="92">
        <f>SUM(AJ4:AJ6)</f>
        <v>0</v>
      </c>
      <c r="AK7" s="92">
        <f>SUM(AK4:AK6)</f>
        <v>0</v>
      </c>
      <c r="AL7" s="91"/>
      <c r="AM7" s="91"/>
      <c r="AN7" s="91"/>
      <c r="AO7" s="91"/>
      <c r="AP7" s="91"/>
      <c r="AQ7" s="91"/>
      <c r="AR7" s="91"/>
      <c r="AS7" s="56"/>
      <c r="AT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</row>
    <row r="8" ht="15.75" spans="1:69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</row>
    <row r="9" ht="15.75" spans="1:69">
      <c r="A9" s="56"/>
      <c r="B9" s="56"/>
      <c r="C9" s="56"/>
      <c r="D9" s="56"/>
      <c r="E9" s="56"/>
      <c r="F9" s="56"/>
      <c r="G9" s="93" t="s">
        <v>90</v>
      </c>
      <c r="H9" s="94"/>
      <c r="I9" s="95">
        <f>H7</f>
        <v>13967.73</v>
      </c>
      <c r="J9" s="95"/>
      <c r="K9" s="96"/>
      <c r="L9" s="56"/>
      <c r="M9" s="97" t="s">
        <v>91</v>
      </c>
      <c r="N9" s="98"/>
      <c r="O9" s="98"/>
      <c r="P9" s="99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 t="s">
        <v>92</v>
      </c>
      <c r="BI9" s="120" t="s">
        <v>93</v>
      </c>
      <c r="BJ9" s="56"/>
      <c r="BK9" s="56"/>
      <c r="BL9" s="56"/>
      <c r="BM9" s="56"/>
      <c r="BN9" s="56"/>
      <c r="BO9" s="56"/>
    </row>
    <row r="10" ht="15.75" spans="1:69">
      <c r="A10" s="56"/>
      <c r="B10" s="56"/>
      <c r="C10" s="56"/>
      <c r="D10" s="56"/>
      <c r="E10" s="56"/>
      <c r="F10" s="56"/>
      <c r="G10" s="93" t="s">
        <v>94</v>
      </c>
      <c r="H10" s="94"/>
      <c r="I10" s="95">
        <f>R7</f>
        <v>755.04</v>
      </c>
      <c r="J10" s="95"/>
      <c r="K10" s="56"/>
      <c r="L10" s="56"/>
      <c r="M10" s="100">
        <v>1</v>
      </c>
      <c r="N10" s="100" t="s">
        <v>76</v>
      </c>
      <c r="O10" s="100">
        <v>2</v>
      </c>
      <c r="P10" s="100" t="s">
        <v>95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 t="s">
        <v>96</v>
      </c>
      <c r="BI10" s="120" t="s">
        <v>97</v>
      </c>
      <c r="BJ10" s="56"/>
      <c r="BK10" s="56"/>
      <c r="BL10" s="56"/>
      <c r="BM10" s="56"/>
      <c r="BN10" s="56"/>
      <c r="BO10" s="56"/>
    </row>
    <row r="11" ht="15.75" spans="1:69">
      <c r="A11" s="56"/>
      <c r="B11" s="56"/>
      <c r="C11" s="56"/>
      <c r="D11" s="56"/>
      <c r="E11" s="56"/>
      <c r="F11" s="56"/>
      <c r="G11" s="93" t="s">
        <v>98</v>
      </c>
      <c r="H11" s="94"/>
      <c r="I11" s="95">
        <f>S7</f>
        <v>13212.69</v>
      </c>
      <c r="J11" s="95"/>
      <c r="K11" s="56"/>
      <c r="L11" s="56"/>
      <c r="M11" s="71">
        <v>1</v>
      </c>
      <c r="N11" s="71" t="s">
        <v>76</v>
      </c>
      <c r="O11" s="71">
        <v>2.5</v>
      </c>
      <c r="P11" s="71" t="s">
        <v>99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</row>
    <row r="12" ht="15.75" spans="1:69">
      <c r="A12" s="56"/>
      <c r="B12" s="56"/>
      <c r="C12" s="56"/>
      <c r="D12" s="56"/>
      <c r="E12" s="56"/>
      <c r="F12" s="56"/>
      <c r="G12" s="93" t="s">
        <v>100</v>
      </c>
      <c r="H12" s="94"/>
      <c r="I12" s="95">
        <f>AB7</f>
        <v>2378.28</v>
      </c>
      <c r="J12" s="95"/>
      <c r="K12" s="56"/>
      <c r="L12" s="56"/>
      <c r="M12" s="71">
        <v>1</v>
      </c>
      <c r="N12" s="71" t="s">
        <v>95</v>
      </c>
      <c r="O12" s="71">
        <v>0.001</v>
      </c>
      <c r="P12" s="71" t="s">
        <v>101</v>
      </c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</row>
    <row r="13" ht="15.75" spans="1:69">
      <c r="A13" s="56"/>
      <c r="B13" s="56"/>
      <c r="C13" s="56"/>
      <c r="D13" s="56"/>
      <c r="E13" s="56"/>
      <c r="F13" s="56"/>
      <c r="G13" s="93" t="s">
        <v>102</v>
      </c>
      <c r="H13" s="94"/>
      <c r="I13" s="101">
        <f>I11+I12</f>
        <v>15590.97</v>
      </c>
      <c r="J13" s="10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</row>
    <row r="14" spans="1:69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 t="s">
        <v>103</v>
      </c>
      <c r="BN14" s="56" t="s">
        <v>104</v>
      </c>
      <c r="BO14" s="56"/>
    </row>
    <row r="15" spans="1:69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 t="s">
        <v>105</v>
      </c>
      <c r="BL15" s="56">
        <v>12.5</v>
      </c>
      <c r="BM15" s="56">
        <f>BL17*BL18</f>
        <v>18277.77</v>
      </c>
      <c r="BN15" s="56">
        <f>BL15*BL16</f>
        <v>6092.59</v>
      </c>
      <c r="BO15" s="56"/>
    </row>
    <row r="16" spans="1:69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 t="s">
        <v>106</v>
      </c>
      <c r="BL16" s="56">
        <v>487.4072</v>
      </c>
      <c r="BM16" s="56">
        <f>BL15+BL17</f>
        <v>50</v>
      </c>
      <c r="BN16" s="56"/>
      <c r="BO16" s="56"/>
    </row>
    <row r="17" spans="1:6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 t="s">
        <v>107</v>
      </c>
      <c r="BL17" s="56">
        <v>37.5</v>
      </c>
      <c r="BM17" s="56"/>
      <c r="BN17" s="56"/>
      <c r="BO17" s="56"/>
    </row>
    <row r="18" spans="1:67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 t="s">
        <v>108</v>
      </c>
      <c r="BL18" s="56">
        <v>487.4072</v>
      </c>
      <c r="BM18" s="56"/>
      <c r="BN18" s="56"/>
      <c r="BO18" s="56"/>
    </row>
    <row r="19" spans="1:67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>
        <f>BM15+BN15</f>
        <v>24370.36</v>
      </c>
      <c r="BN19" s="56">
        <f>BM19/BM16</f>
        <v>487.4072</v>
      </c>
      <c r="BO19" s="56"/>
    </row>
    <row r="20" spans="1:67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</row>
    <row r="21" spans="1:67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95</v>
      </c>
      <c r="F4" s="20">
        <v>12</v>
      </c>
      <c r="G4" s="20">
        <v>150</v>
      </c>
      <c r="H4" s="20">
        <f>F4*G4</f>
        <v>1800</v>
      </c>
      <c r="I4" s="20">
        <v>5</v>
      </c>
      <c r="J4" s="20">
        <v>8</v>
      </c>
      <c r="K4" s="20">
        <v>5</v>
      </c>
      <c r="L4" s="20">
        <f>H4</f>
        <v>1800</v>
      </c>
      <c r="M4" s="20">
        <f>ROUND(L4*I4%,2)</f>
        <v>90</v>
      </c>
      <c r="N4" s="20">
        <f>H4-M4</f>
        <v>1710</v>
      </c>
      <c r="O4" s="20">
        <f>ROUND(N4*J4%,2)</f>
        <v>136.8</v>
      </c>
      <c r="P4" s="20">
        <f>ROUND(N4-O4,2)</f>
        <v>1573.2</v>
      </c>
      <c r="Q4" s="20">
        <f>ROUND(P4*K4%,2)</f>
        <v>78.66</v>
      </c>
      <c r="R4" s="20">
        <f>M4+O4+Q4</f>
        <v>305.46</v>
      </c>
      <c r="S4" s="20">
        <f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4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373.635</v>
      </c>
      <c r="AS4" s="24" t="s">
        <v>120</v>
      </c>
      <c r="AT4" s="25" t="s">
        <v>76</v>
      </c>
      <c r="AU4" t="s" s="0">
        <v>348</v>
      </c>
      <c r="AV4" t="s" s="0">
        <v>349</v>
      </c>
      <c r="AW4" s="25">
        <f>AM4</f>
        <v>4</v>
      </c>
      <c r="AX4" s="26">
        <f>AR4</f>
        <v>373.635</v>
      </c>
      <c r="AY4" s="25">
        <f>AU4+AW4</f>
        <v>70.661</v>
      </c>
      <c r="AZ4" s="25">
        <f>ROUND(((AU4*AV4)+(AW4*AX4))/(AU4+AW4),5)</f>
        <v>10013.87805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350</v>
      </c>
      <c r="BN4" t="s" s="0">
        <v>351</v>
      </c>
      <c r="BO4" s="25">
        <f>ROUND((((AW4*AZ4)+(BN4*BM4))/(AW4+BN4)),5)</f>
        <v>1558.60072</v>
      </c>
      <c r="BP4" s="31">
        <f>ROUND(BN4+AW4,3)</f>
        <v>75.66</v>
      </c>
      <c r="BQ4" s="32">
        <v>123562</v>
      </c>
    </row>
    <row r="5" ht="15.75" spans="1:69">
      <c r="A5" s="19">
        <v>1</v>
      </c>
      <c r="B5" s="19" t="s">
        <v>352</v>
      </c>
      <c r="C5" s="19" t="s">
        <v>352</v>
      </c>
      <c r="D5" s="19" t="s">
        <v>76</v>
      </c>
      <c r="E5" s="19" t="s">
        <v>95</v>
      </c>
      <c r="F5" s="20">
        <v>6</v>
      </c>
      <c r="G5" s="20">
        <v>100</v>
      </c>
      <c r="H5" s="20">
        <f>F5*G5</f>
        <v>600</v>
      </c>
      <c r="I5" s="20">
        <v>4</v>
      </c>
      <c r="J5" s="20">
        <v>9</v>
      </c>
      <c r="K5" s="20">
        <v>6</v>
      </c>
      <c r="L5" s="20">
        <f>H5</f>
        <v>600</v>
      </c>
      <c r="M5" s="20">
        <f>ROUND(L5*I5%,2)</f>
        <v>24</v>
      </c>
      <c r="N5" s="20">
        <f>H5-M5</f>
        <v>576</v>
      </c>
      <c r="O5" s="20">
        <f>ROUND(N5*J5%,2)</f>
        <v>51.84</v>
      </c>
      <c r="P5" s="20">
        <f>ROUND(N5-O5,2)</f>
        <v>524.16</v>
      </c>
      <c r="Q5" s="20">
        <f>ROUND(P5*K5%,2)</f>
        <v>31.45</v>
      </c>
      <c r="R5" s="20">
        <f>M5+O5+Q5</f>
        <v>107.29</v>
      </c>
      <c r="S5" s="20">
        <f>(H5-R5)</f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2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246.355</v>
      </c>
      <c r="AS5" s="24" t="s">
        <v>120</v>
      </c>
      <c r="AT5" s="25" t="s">
        <v>76</v>
      </c>
      <c r="AU5" t="s" s="0">
        <v>353</v>
      </c>
      <c r="AV5" t="s" s="0">
        <v>354</v>
      </c>
      <c r="AW5" s="25">
        <f>AM5</f>
        <v>2</v>
      </c>
      <c r="AX5" s="25">
        <f>AR5</f>
        <v>246.355</v>
      </c>
      <c r="AY5" s="25">
        <f>AU5+AW5</f>
        <v>34.66</v>
      </c>
      <c r="AZ5" s="25">
        <f>ROUND(((AU5*AV5)+(AW5*AX5))/(AU5+AW5),5)</f>
        <v>6494.64411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355</v>
      </c>
      <c r="BN5" t="s" s="0">
        <v>356</v>
      </c>
      <c r="BO5" s="25">
        <f>ROUND((((AW5*AZ5)+(BN5*BM5))/(AW5+BN5)),5)</f>
        <v>3183.94445</v>
      </c>
      <c r="BP5" s="31">
        <f>ROUND(BN5+AW5,3)</f>
        <v>39.666</v>
      </c>
      <c r="BQ5" s="32">
        <v>123562</v>
      </c>
    </row>
    <row r="6" ht="15.75" spans="1:69">
      <c r="A6" s="19">
        <v>1</v>
      </c>
      <c r="B6" s="19" t="s">
        <v>357</v>
      </c>
      <c r="C6" s="19" t="s">
        <v>357</v>
      </c>
      <c r="D6" s="19" t="s">
        <v>76</v>
      </c>
      <c r="E6" s="19" t="s">
        <v>95</v>
      </c>
      <c r="F6" s="20">
        <v>15</v>
      </c>
      <c r="G6" s="20">
        <v>50</v>
      </c>
      <c r="H6" s="20">
        <f>F6*G6</f>
        <v>750</v>
      </c>
      <c r="I6" s="20">
        <v>3</v>
      </c>
      <c r="J6" s="20">
        <v>7</v>
      </c>
      <c r="K6" s="20">
        <v>4</v>
      </c>
      <c r="L6" s="20">
        <f>H6</f>
        <v>750</v>
      </c>
      <c r="M6" s="20">
        <f>ROUND(L6*I6%,2)</f>
        <v>22.5</v>
      </c>
      <c r="N6" s="20">
        <f>H6-M6</f>
        <v>727.5</v>
      </c>
      <c r="O6" s="20">
        <f>ROUND(N6*J6%,2)</f>
        <v>50.93</v>
      </c>
      <c r="P6" s="20">
        <f>ROUND(N6-O6,2)</f>
        <v>676.57</v>
      </c>
      <c r="Q6" s="20">
        <f>ROUND(P6*K6%,2)</f>
        <v>27.06</v>
      </c>
      <c r="R6" s="20">
        <f>M6+O6+Q6</f>
        <v>100.49</v>
      </c>
      <c r="S6" s="20">
        <f>(H6-R6)</f>
        <v>649.51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116.91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116.91</v>
      </c>
      <c r="AC6" s="20">
        <f>IF($V4=1,S6+AB6,S6)</f>
        <v>649.51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649.51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>F6/AL6</f>
        <v>5</v>
      </c>
      <c r="AN6" s="22">
        <f>ROUND(AI6/AM6,5)</f>
        <v>129.902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129.902</v>
      </c>
      <c r="AS6" s="24" t="s">
        <v>120</v>
      </c>
      <c r="AT6" s="25" t="s">
        <v>76</v>
      </c>
      <c r="AU6" t="s" s="0">
        <v>358</v>
      </c>
      <c r="AV6" t="s" s="0">
        <v>359</v>
      </c>
      <c r="AW6" s="25">
        <f>AM6</f>
        <v>5</v>
      </c>
      <c r="AX6" s="25">
        <f>AR6</f>
        <v>129.902</v>
      </c>
      <c r="AY6" s="25">
        <f>AU6+AW6</f>
        <v>90.328</v>
      </c>
      <c r="AZ6" s="25">
        <f>ROUND(((AU6*AV6)+(AW6*AX6))/(AU6+AW6),5)</f>
        <v>4076.4892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360</v>
      </c>
      <c r="BN6" t="s" s="0">
        <v>361</v>
      </c>
      <c r="BO6" s="25">
        <f>ROUND((((AW6*AZ6)+(BN6*BM6))/(AW6+BN6)),5)</f>
        <v>1222.91186</v>
      </c>
      <c r="BP6" s="31">
        <f>ROUND(BN6+AW6,3)</f>
        <v>79.666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305.46</v>
      </c>
      <c r="S7" s="37">
        <f t="shared" si="0"/>
        <v>1494.54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269.02</v>
      </c>
      <c r="Y7" s="39"/>
      <c r="Z7" s="39"/>
      <c r="AA7" s="39"/>
      <c r="AB7" s="38">
        <f>SUM(AB4:AB4)</f>
        <v>269.02</v>
      </c>
      <c r="AC7" s="40">
        <f>SUM(AC4:AC4)</f>
        <v>1763.56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1494.54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362</v>
      </c>
      <c r="AV4" t="s" s="0">
        <v>363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9.99933333333333</v>
      </c>
      <c r="AZ4" s="26">
        <f>ROUND(((AU4*AV4)+(AW4*AX4))/(AU4+AW4),5)</f>
        <v>10835.06625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364</v>
      </c>
      <c r="BO4" s="25">
        <f t="shared" ref="BO4:BO6" si="16">ROUND((((AW4*AZ4)+(BN4*BM4))/(AW4+BN4)),5)</f>
        <v>871.84584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IF(OR(PoToMRVWoQSUom!$C$2=1,PoToMRVWoQSUom!$C$2=4),ROUND((((S5*U5)/100)/2),2),0)</f>
        <v>0</v>
      </c>
      <c r="W5" s="20">
        <f>IF(PoToMRVWoQSUom!$C$2=1,ROUND((((S5*U5)/100)/2),2),0)</f>
        <v>0</v>
      </c>
      <c r="X5" s="20">
        <f>IF(AND($C$2=2,V$2=1),ROUND(((S5*U5)/100),2),0)</f>
        <v>0</v>
      </c>
      <c r="Y5" s="20">
        <f>IF(PoToMRVWoQSUom!$C$2=4,ROUND((((S5*U5)/100)/2),2),0)</f>
        <v>0</v>
      </c>
      <c r="Z5" s="20">
        <v>0</v>
      </c>
      <c r="AA5" s="20">
        <f>IF(PoToMRVWoQSUom!$C3=3,0,(S5*Z5)/100)</f>
        <v>0</v>
      </c>
      <c r="AB5" s="20">
        <f t="shared" si="9"/>
        <v>0</v>
      </c>
      <c r="AC5" s="20">
        <f>IF(PoToMRVWoQSUom!$V3=1,S5+AB5,S5)</f>
        <v>328.47</v>
      </c>
      <c r="AD5" s="22">
        <v>120</v>
      </c>
      <c r="AE5" s="22">
        <f>IF(PoToMRVWoQSUom!$P$2=1,(S5/PoToMRVWoQSUom!$S$7)*PoToMRVWoQSUom!$E$18,AD5/PoToMRVWoQSUom!$AD$7*PoToMRVWoQSUom!$E$18)</f>
        <v>0</v>
      </c>
      <c r="AF5" s="22"/>
      <c r="AG5" s="22">
        <f>IF(PoToMRVWoQSUom!$P$2=1,(S5/PoToMRVWoQSUom!$S$7)*PoToMRVWoQSUom!$E$20,AD5/PoToMRVWoQSUom!$AD$7*PoToMRVWoQSUom!$E$20)</f>
        <v>0</v>
      </c>
      <c r="AH5" s="22">
        <f>IF(PoToMRVWoQSUom!$P$2=1,(S5/PoToMRVWoQSUom!$S$7)*PoToMRVWoQSUom!$E$21,AD5/PoToMRVWoQSUom!$AD$7*PoToMRVWoQSUom!$E$21)</f>
        <v>0</v>
      </c>
      <c r="AI5" s="22">
        <f>S5*PoToMRVWoQSUom!$M$2</f>
        <v>328.47</v>
      </c>
      <c r="AJ5" s="22">
        <f>IF(PoToMRVWoQSUom!$C$2=3,0,AG5+AH5)</f>
        <v>0</v>
      </c>
      <c r="AK5" s="22">
        <f>IF(PoToMRVWoQSUom!$C$2=3,AE5+AG5+AH5,0)</f>
        <v>0</v>
      </c>
      <c r="AL5" s="23">
        <v>3</v>
      </c>
      <c r="AM5" s="22">
        <f t="shared" si="10"/>
        <v>1.33333333333333</v>
      </c>
      <c r="AN5" s="22">
        <f>ROUND(AI5/AM5,5)</f>
        <v>246.3525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365</v>
      </c>
      <c r="AV5" t="s" s="0">
        <v>366</v>
      </c>
      <c r="AW5" s="25">
        <f t="shared" si="13"/>
        <v>1.33333333333333</v>
      </c>
      <c r="AX5" s="25">
        <f t="shared" si="14"/>
        <v>246.3525</v>
      </c>
      <c r="AY5" s="25">
        <f t="shared" si="15"/>
        <v>6.66533333333333</v>
      </c>
      <c r="AZ5" s="25">
        <f>ROUND(((AU5*AV5)+(AW5*AX5))/(AU5+AW5),2)</f>
        <v>4385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367</v>
      </c>
      <c r="BO5" s="25">
        <f t="shared" si="16"/>
        <v>464.23476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IF(OR(PoToMRVWoQSUom!$C$2=1,PoToMRVWoQSUom!$C$2=4),ROUND((((S6*U6)/100)/2),2),0)</f>
        <v>0</v>
      </c>
      <c r="W6" s="20">
        <f>IF(PoToMRVWoQSUom!$C$2=1,ROUND((((S6*U6)/100)/2),2),0)</f>
        <v>0</v>
      </c>
      <c r="X6" s="20">
        <f>IF(AND($C$2=2,V$2=1),ROUND(((S6*U6)/100),2),0)</f>
        <v>0</v>
      </c>
      <c r="Y6" s="20">
        <f>IF(PoToMRVWoQSUom!$C$2=4,ROUND((((S6*U6)/100)/2),2),0)</f>
        <v>0</v>
      </c>
      <c r="Z6" s="20">
        <v>0</v>
      </c>
      <c r="AA6" s="20">
        <f>IF(PoToMRVWoQSUom!$C4=3,0,(S6*Z6)/100)</f>
        <v>0</v>
      </c>
      <c r="AB6" s="20">
        <f t="shared" si="9"/>
        <v>0</v>
      </c>
      <c r="AC6" s="20">
        <f>IF(PoToMRVWoQSUom!$V4=1,S6+AB6,S6)</f>
        <v>433.01</v>
      </c>
      <c r="AD6" s="22">
        <v>120</v>
      </c>
      <c r="AE6" s="22">
        <f>IF(PoToMRVWoQSUom!$P$2=1,(S6/PoToMRVWoQSUom!$S$7)*PoToMRVWoQSUom!$E$18,AD6/PoToMRVWoQSUom!$AD$7*PoToMRVWoQSUom!$E$18)</f>
        <v>0</v>
      </c>
      <c r="AF6" s="22"/>
      <c r="AG6" s="22">
        <f>IF(PoToMRVWoQSUom!$P$2=1,(S6/PoToMRVWoQSUom!$S$7)*PoToMRVWoQSUom!$E$20,AD6/PoToMRVWoQSUom!$AD$7*PoToMRVWoQSUom!$E$20)</f>
        <v>0</v>
      </c>
      <c r="AH6" s="22">
        <f>IF(PoToMRVWoQSUom!$P$2=1,(S6/PoToMRVWoQSUom!$S$7)*PoToMRVWoQSUom!$E$21,AD6/PoToMRVWoQSUom!$AD$7*PoToMRVWoQSUom!$E$21)</f>
        <v>0</v>
      </c>
      <c r="AI6" s="22">
        <f>S6*PoToMRVWoQSUom!$M$2</f>
        <v>433.01</v>
      </c>
      <c r="AJ6" s="22">
        <f>IF(PoToMRVWoQSUom!$C$2=3,0,AG6+AH6)</f>
        <v>0</v>
      </c>
      <c r="AK6" s="22">
        <f>IF(PoToMRVWoQSUom!$C$2=3,AE6+AG6+AH6,0)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368</v>
      </c>
      <c r="AV6" t="s" s="0">
        <v>369</v>
      </c>
      <c r="AW6" s="25">
        <f t="shared" si="13"/>
        <v>3.33333333333333</v>
      </c>
      <c r="AX6" s="25">
        <f t="shared" si="14"/>
        <v>129.903</v>
      </c>
      <c r="AY6" s="25">
        <f t="shared" si="15"/>
        <v>16.6653333333333</v>
      </c>
      <c r="AZ6" s="25">
        <f>ROUND(((AU6*AV6)+(AW6*AX6))/(AU6+AW6),2)</f>
        <v>2312.18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371</v>
      </c>
      <c r="BO6" s="25">
        <f t="shared" si="16"/>
        <v>244.76772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372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9.99933333333333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373</v>
      </c>
      <c r="BN4" t="s" s="0">
        <v>374</v>
      </c>
      <c r="BO4" s="25">
        <f t="shared" ref="BO4:BO6" si="16">ROUND((((AW4*AZ4)+(BN4*BM4))/(AW4+BN4)),5)</f>
        <v>3238.83622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203</v>
      </c>
      <c r="C5" s="19" t="s">
        <v>203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IF(OR(PoToMRVWoQSUomImp!$C$2=1,PoToMRVWoQSUomImp!$C$2=4),ROUND((((S5*U5)/100)/2),2),0)</f>
        <v>0</v>
      </c>
      <c r="W5" s="20">
        <f>IF(PoToMRVWoQSUomImp!$C$2=1,ROUND((((S5*U5)/100)/2),2),0)</f>
        <v>0</v>
      </c>
      <c r="X5" s="20">
        <f>IF(AND($C$2=2,V$2=1),ROUND(((S5*U5)/100),2),0)</f>
        <v>0</v>
      </c>
      <c r="Y5" s="20">
        <f>IF(PoToMRVWoQSUomImp!$C$2=4,ROUND((((S5*U5)/100)/2),2),0)</f>
        <v>0</v>
      </c>
      <c r="Z5" s="20">
        <v>0</v>
      </c>
      <c r="AA5" s="20">
        <f>IF(PoToMRVWoQSUomImp!$C3=3,0,(S5*Z5)/100)</f>
        <v>0</v>
      </c>
      <c r="AB5" s="20">
        <f t="shared" si="9"/>
        <v>0</v>
      </c>
      <c r="AC5" s="20">
        <f>IF(PoToMRVWoQSUomImp!$V3=1,S5+AB5,S5)</f>
        <v>328.47</v>
      </c>
      <c r="AD5" s="22">
        <v>120</v>
      </c>
      <c r="AE5" s="22">
        <f>IF(PoToMRVWoQSUomImp!$P$2=1,(S5/PoToMRVWoQSUomImp!$S$7)*PoToMRVWoQSUomImp!$E$18,AD5/PoToMRVWoQSUomImp!$AD$7*PoToMRVWoQSUomImp!$E$18)</f>
        <v>0</v>
      </c>
      <c r="AF5" s="22"/>
      <c r="AG5" s="22">
        <f>IF(PoToMRVWoQSUomImp!$P$2=1,(S5/PoToMRVWoQSUomImp!$S$7)*PoToMRVWoQSUomImp!$E$20,AD5/PoToMRVWoQSUomImp!$AD$7*PoToMRVWoQSUomImp!$E$20)</f>
        <v>0</v>
      </c>
      <c r="AH5" s="22">
        <f>IF(PoToMRVWoQSUomImp!$P$2=1,(S5/PoToMRVWoQSUomImp!$S$7)*PoToMRVWoQSUomImp!$E$21,AD5/PoToMRVWoQSUomImp!$AD$7*PoToMRVWoQSUomImp!$E$21)</f>
        <v>0</v>
      </c>
      <c r="AI5" s="22">
        <f>S5*PoToMRVWoQSUomImp!$M$2</f>
        <v>27919.95</v>
      </c>
      <c r="AJ5" s="22">
        <f>IF(PoToMRVWoQSUomImp!$C$2=3,0,AG5+AH5)</f>
        <v>0</v>
      </c>
      <c r="AK5" s="22">
        <f>IF(PoToMRVWoQSUomImp!$C$2=3,AE5+AG5+AH5,0)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85</v>
      </c>
      <c r="AV5" t="s" s="0">
        <v>224</v>
      </c>
      <c r="AW5" s="25">
        <f t="shared" si="13"/>
        <v>1.33333333333333</v>
      </c>
      <c r="AX5" s="25">
        <f t="shared" si="14"/>
        <v>20939.9625</v>
      </c>
      <c r="AY5" s="25">
        <f t="shared" si="15"/>
        <v>6.66533333333333</v>
      </c>
      <c r="AZ5" s="25">
        <f>ROUND(((AU5*AV5)+(AW5*AX5))/(AU5+AW5),2)</f>
        <v>20939.96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375</v>
      </c>
      <c r="BN5" t="s" s="0">
        <v>376</v>
      </c>
      <c r="BO5" s="25">
        <f t="shared" si="16"/>
        <v>250.32839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207</v>
      </c>
      <c r="C6" s="19" t="s">
        <v>207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IF(OR(PoToMRVWoQSUomImp!$C$2=1,PoToMRVWoQSUomImp!$C$2=4),ROUND((((S6*U6)/100)/2),2),0)</f>
        <v>0</v>
      </c>
      <c r="W6" s="20">
        <f>IF(PoToMRVWoQSUomImp!$C$2=1,ROUND((((S6*U6)/100)/2),2),0)</f>
        <v>0</v>
      </c>
      <c r="X6" s="20">
        <f>IF(AND($C$2=2,V$2=1),ROUND(((S6*U6)/100),2),0)</f>
        <v>0</v>
      </c>
      <c r="Y6" s="20">
        <f>IF(PoToMRVWoQSUomImp!$C$2=4,ROUND((((S6*U6)/100)/2),2),0)</f>
        <v>0</v>
      </c>
      <c r="Z6" s="20">
        <v>0</v>
      </c>
      <c r="AA6" s="20">
        <f>IF(PoToMRVWoQSUomImp!$C4=3,0,(S6*Z6)/100)</f>
        <v>0</v>
      </c>
      <c r="AB6" s="20">
        <f t="shared" si="9"/>
        <v>0</v>
      </c>
      <c r="AC6" s="20">
        <f>IF(PoToMRVWoQSUomImp!$V4=1,S6+AB6,S6)</f>
        <v>433.01</v>
      </c>
      <c r="AD6" s="22">
        <v>120</v>
      </c>
      <c r="AE6" s="22">
        <f>IF(PoToMRVWoQSUomImp!$P$2=1,(S6/PoToMRVWoQSUomImp!$S$7)*PoToMRVWoQSUomImp!$E$18,AD6/PoToMRVWoQSUomImp!$AD$7*PoToMRVWoQSUomImp!$E$18)</f>
        <v>0</v>
      </c>
      <c r="AF6" s="22"/>
      <c r="AG6" s="22">
        <f>IF(PoToMRVWoQSUomImp!$P$2=1,(S6/PoToMRVWoQSUomImp!$S$7)*PoToMRVWoQSUomImp!$E$20,AD6/PoToMRVWoQSUomImp!$AD$7*PoToMRVWoQSUomImp!$E$20)</f>
        <v>0</v>
      </c>
      <c r="AH6" s="22">
        <f>IF(PoToMRVWoQSUomImp!$P$2=1,(S6/PoToMRVWoQSUomImp!$S$7)*PoToMRVWoQSUomImp!$E$21,AD6/PoToMRVWoQSUomImp!$AD$7*PoToMRVWoQSUomImp!$E$21)</f>
        <v>0</v>
      </c>
      <c r="AI6" s="22">
        <f>S6*PoToMRVWoQSUomImp!$M$2</f>
        <v>36805.85</v>
      </c>
      <c r="AJ6" s="22">
        <f>IF(PoToMRVWoQSUomImp!$C$2=3,0,AG6+AH6)</f>
        <v>0</v>
      </c>
      <c r="AK6" s="22">
        <f>IF(PoToMRVWoQSUomImp!$C$2=3,AE6+AG6+AH6,0)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227</v>
      </c>
      <c r="AW6" s="25">
        <f t="shared" si="13"/>
        <v>3.33333333333333</v>
      </c>
      <c r="AX6" s="25">
        <f t="shared" si="14"/>
        <v>11041.755</v>
      </c>
      <c r="AY6" s="25">
        <f t="shared" si="15"/>
        <v>16.6653333333333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377</v>
      </c>
      <c r="BN6" t="s" s="0">
        <v>378</v>
      </c>
      <c r="BO6" s="25">
        <f t="shared" si="16"/>
        <v>131.99726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347</v>
      </c>
      <c r="C4" s="19" t="s">
        <v>347</v>
      </c>
      <c r="D4" s="19" t="s">
        <v>76</v>
      </c>
      <c r="E4" s="19" t="s">
        <v>95</v>
      </c>
      <c r="F4" s="20">
        <v>3</v>
      </c>
      <c r="G4" s="20">
        <v>150</v>
      </c>
      <c r="H4" s="20">
        <f t="shared" ref="H4:H6" si="0">F4*G4</f>
        <v>450</v>
      </c>
      <c r="I4" s="20">
        <v>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31758.55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379</v>
      </c>
      <c r="AV4" t="s" s="0">
        <v>380</v>
      </c>
      <c r="AW4" s="25">
        <f t="shared" ref="AW4:AW6" si="13">AM4</f>
        <v>1</v>
      </c>
      <c r="AX4" s="26">
        <f t="shared" ref="AX4:AX6" si="14">AR4</f>
        <v>31758.55</v>
      </c>
      <c r="AY4" s="25">
        <f t="shared" ref="AY4:AY6" si="15">AU4+AW4</f>
        <v>10.999</v>
      </c>
      <c r="AZ4" s="25">
        <f>ROUND(((AU4*AV4)+(AW4*AX4))/(AU4+AW4),5)</f>
        <v>12737.69112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381</v>
      </c>
      <c r="BN4" t="s" s="0">
        <v>382</v>
      </c>
      <c r="BO4" s="25">
        <f t="shared" ref="BO4:BO6" si="16">ROUND((((AW4*AZ4)+(BN4*BM4))/(AW4+BN4)),5)</f>
        <v>556.37304</v>
      </c>
      <c r="BP4" s="31">
        <f t="shared" ref="BP4:BP6" si="17">ROUND(BN4+AW4,3)</f>
        <v>67.66</v>
      </c>
      <c r="BQ4" s="32">
        <v>123562</v>
      </c>
    </row>
    <row r="5" ht="15.75" spans="1:69">
      <c r="A5" s="19">
        <v>1</v>
      </c>
      <c r="B5" s="19" t="s">
        <v>352</v>
      </c>
      <c r="C5" s="19" t="s">
        <v>352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41880.35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20940.175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383</v>
      </c>
      <c r="AV5" t="s" s="0">
        <v>384</v>
      </c>
      <c r="AW5" s="25">
        <f t="shared" si="13"/>
        <v>2</v>
      </c>
      <c r="AX5" s="25">
        <f t="shared" si="14"/>
        <v>20940.175</v>
      </c>
      <c r="AY5" s="25">
        <f t="shared" si="15"/>
        <v>8.665</v>
      </c>
      <c r="AZ5" s="25">
        <f>ROUND(((AU5*AV5)+(AW5*AX5))/(AU5+AW5),5)</f>
        <v>8206.31983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385</v>
      </c>
      <c r="BN5" t="s" s="0">
        <v>386</v>
      </c>
      <c r="BO5" s="25">
        <f t="shared" si="16"/>
        <v>858.80594</v>
      </c>
      <c r="BP5" s="31">
        <f t="shared" si="17"/>
        <v>25.994</v>
      </c>
      <c r="BQ5" s="32">
        <v>123562</v>
      </c>
    </row>
    <row r="6" ht="15.75" spans="1:69">
      <c r="A6" s="19">
        <v>1</v>
      </c>
      <c r="B6" s="19" t="s">
        <v>357</v>
      </c>
      <c r="C6" s="19" t="s">
        <v>357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44166.85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11041.7125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11041.7125</v>
      </c>
      <c r="AS6" s="24" t="s">
        <v>120</v>
      </c>
      <c r="AT6" s="25" t="s">
        <v>76</v>
      </c>
      <c r="AU6" t="s" s="0">
        <v>387</v>
      </c>
      <c r="AV6" t="s" s="0">
        <v>388</v>
      </c>
      <c r="AW6" s="25">
        <f t="shared" si="13"/>
        <v>4</v>
      </c>
      <c r="AX6" s="25">
        <f t="shared" si="14"/>
        <v>11041.7125</v>
      </c>
      <c r="AY6" s="25">
        <f t="shared" si="15"/>
        <v>20.665</v>
      </c>
      <c r="AZ6" s="25">
        <f>ROUND(((AU6*AV6)+(AW6*AX6))/(AU6+AW6),5)</f>
        <v>4001.93546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389</v>
      </c>
      <c r="BN6" t="s" s="0">
        <v>390</v>
      </c>
      <c r="BO6" s="25">
        <f t="shared" si="16"/>
        <v>371.92491</v>
      </c>
      <c r="BP6" s="31">
        <f t="shared" si="17"/>
        <v>63.994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76.37</v>
      </c>
      <c r="S7" s="37">
        <f t="shared" si="18"/>
        <v>373.63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373.63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31758.55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391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373.63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392</v>
      </c>
      <c r="C4" s="19" t="s">
        <v>392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393</v>
      </c>
      <c r="AV4" t="s" s="0">
        <v>394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395</v>
      </c>
      <c r="BN4" t="s" s="0">
        <v>396</v>
      </c>
      <c r="BO4" s="25">
        <f t="shared" ref="BO4:BO6" si="16">ROUND((((AW4*AZ4)+(BN4*BM4))/(AW4+BN4)),5)</f>
        <v>373.635</v>
      </c>
      <c r="BP4" s="31">
        <f t="shared" ref="BP4:BP6" si="17">ROUND(BN4+AW4,3)</f>
        <v>73.993</v>
      </c>
      <c r="BQ4" s="32">
        <v>123562</v>
      </c>
    </row>
    <row r="5" ht="15.75" spans="1:69">
      <c r="A5" s="19">
        <v>1</v>
      </c>
      <c r="B5" s="19" t="s">
        <v>397</v>
      </c>
      <c r="C5" s="19" t="s">
        <v>397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398</v>
      </c>
      <c r="AV5" t="s" s="0">
        <v>399</v>
      </c>
      <c r="AW5" s="25">
        <f t="shared" si="13"/>
        <v>5</v>
      </c>
      <c r="AX5" s="33">
        <f t="shared" si="14"/>
        <v>246.356</v>
      </c>
      <c r="AY5" s="25">
        <f t="shared" si="15"/>
        <v>9.666</v>
      </c>
      <c r="AZ5" s="25">
        <f>ROUND(((AU5*AV5)+(AW5*AX5))/(AU5+AW5),5)</f>
        <v>246.35793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400</v>
      </c>
      <c r="BN5" t="s" s="0">
        <v>401</v>
      </c>
      <c r="BO5" s="25">
        <f t="shared" si="16"/>
        <v>246.35986</v>
      </c>
      <c r="BP5" s="31">
        <f t="shared" si="17"/>
        <v>71.66</v>
      </c>
      <c r="BQ5" s="32">
        <v>123562</v>
      </c>
    </row>
    <row r="6" ht="15.75" spans="1:69">
      <c r="A6" s="19">
        <v>1</v>
      </c>
      <c r="B6" s="19" t="s">
        <v>402</v>
      </c>
      <c r="C6" s="19" t="s">
        <v>402</v>
      </c>
      <c r="D6" s="19" t="s">
        <v>76</v>
      </c>
      <c r="E6" s="19" t="s">
        <v>95</v>
      </c>
      <c r="F6" s="20">
        <v>6</v>
      </c>
      <c r="G6" t="s" s="0">
        <v>214</v>
      </c>
      <c r="H6" s="20">
        <f t="shared" si="0"/>
        <v>300</v>
      </c>
      <c r="I6" t="s" s="0">
        <v>220</v>
      </c>
      <c r="J6" s="20">
        <v>7</v>
      </c>
      <c r="K6" s="20">
        <v>4</v>
      </c>
      <c r="L6" s="20">
        <f t="shared" si="1"/>
        <v>300</v>
      </c>
      <c r="M6" s="20">
        <f t="shared" si="2"/>
        <v>9</v>
      </c>
      <c r="N6" s="20">
        <f t="shared" si="3"/>
        <v>291</v>
      </c>
      <c r="O6" s="20">
        <f t="shared" si="4"/>
        <v>20.37</v>
      </c>
      <c r="P6" s="20">
        <f t="shared" si="5"/>
        <v>270.63</v>
      </c>
      <c r="Q6" s="20">
        <f t="shared" si="6"/>
        <v>10.83</v>
      </c>
      <c r="R6" s="20">
        <f t="shared" si="7"/>
        <v>40.2</v>
      </c>
      <c r="S6" s="20">
        <f t="shared" si="8"/>
        <v>259.8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46.76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46.76</v>
      </c>
      <c r="AC6" s="20">
        <f>IF($V4=1,S6+AB6,S6)</f>
        <v>259.8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259.8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2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403</v>
      </c>
      <c r="AV6" t="s" s="0">
        <v>404</v>
      </c>
      <c r="AW6" s="25">
        <f t="shared" si="13"/>
        <v>2</v>
      </c>
      <c r="AX6" s="25">
        <f t="shared" si="14"/>
        <v>129.9</v>
      </c>
      <c r="AY6" s="25">
        <f t="shared" si="15"/>
        <v>8.666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405</v>
      </c>
      <c r="BN6" t="s" s="0">
        <v>406</v>
      </c>
      <c r="BO6" s="25">
        <f t="shared" si="16"/>
        <v>129.9</v>
      </c>
      <c r="BP6" s="31">
        <f t="shared" si="17"/>
        <v>68.66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305.46</v>
      </c>
      <c r="S7" s="37">
        <f t="shared" si="18"/>
        <v>1494.54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269.02</v>
      </c>
      <c r="Y7" s="39"/>
      <c r="Z7" s="39"/>
      <c r="AA7" s="39"/>
      <c r="AB7" s="38">
        <f t="shared" ref="AB7:AE7" si="19">SUM(AB4:AB4)</f>
        <v>269.02</v>
      </c>
      <c r="AC7" s="40">
        <f t="shared" si="19"/>
        <v>1763.56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1494.54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392</v>
      </c>
      <c r="C4" s="19" t="s">
        <v>392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393</v>
      </c>
      <c r="AV4" t="s" s="0">
        <v>407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10120.13486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408</v>
      </c>
      <c r="BN4" t="s" s="0">
        <v>409</v>
      </c>
      <c r="BO4" s="25">
        <f>ROUND((((AW4*AZ4)+(BN4*BM4))/(AW4+BN4)),5)</f>
        <v>1435.87363</v>
      </c>
      <c r="BP4" s="31">
        <f>ROUND(BN4+AW4,3)</f>
        <v>82.326</v>
      </c>
      <c r="BQ4" s="32">
        <v>123562</v>
      </c>
    </row>
    <row r="5" ht="15.75" spans="1:69">
      <c r="A5" s="19">
        <v>1</v>
      </c>
      <c r="B5" s="19" t="s">
        <v>402</v>
      </c>
      <c r="C5" s="19" t="s">
        <v>402</v>
      </c>
      <c r="D5" s="19" t="s">
        <v>76</v>
      </c>
      <c r="E5" s="19" t="s">
        <v>95</v>
      </c>
      <c r="F5" s="20">
        <v>12</v>
      </c>
      <c r="G5" t="s" s="0">
        <v>214</v>
      </c>
      <c r="H5" s="20">
        <f>F5*G5</f>
        <v>600</v>
      </c>
      <c r="I5" t="s" s="0">
        <v>220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403</v>
      </c>
      <c r="AV5" t="s" s="0">
        <v>410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4998.79521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411</v>
      </c>
      <c r="BN5" t="s" s="0">
        <v>412</v>
      </c>
      <c r="BO5" s="25">
        <f>ROUND((((AW5*AZ5)+(BN5*BM5))/(AW5+BN5)),5)</f>
        <v>617.25954</v>
      </c>
      <c r="BP5" s="31">
        <f>ROUND(BN5+AW5,3)</f>
        <v>77.993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413</v>
      </c>
      <c r="C4" s="51" t="s">
        <v>413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414</v>
      </c>
      <c r="AV4" t="s" s="0">
        <v>415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10387.27909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416</v>
      </c>
      <c r="BN4" t="s" s="0">
        <v>417</v>
      </c>
      <c r="BO4" s="25">
        <f>ROUND((((AW4*AZ4)+(BN4*BM4))/(AW4+BN4)),5)</f>
        <v>1543.29995</v>
      </c>
      <c r="BP4" s="31">
        <f>ROUND(BN4+AW4,3)</f>
        <v>83.326</v>
      </c>
      <c r="BQ4" s="32">
        <v>123562</v>
      </c>
    </row>
    <row r="5" ht="15.75" spans="1:69">
      <c r="A5" s="19">
        <v>1</v>
      </c>
      <c r="B5" s="51" t="s">
        <v>418</v>
      </c>
      <c r="C5" s="51" t="s">
        <v>418</v>
      </c>
      <c r="D5" s="19" t="s">
        <v>76</v>
      </c>
      <c r="E5" s="19" t="s">
        <v>95</v>
      </c>
      <c r="F5" s="20">
        <v>12</v>
      </c>
      <c r="G5" t="s" s="0">
        <v>214</v>
      </c>
      <c r="H5" s="20">
        <f>F5*G5</f>
        <v>600</v>
      </c>
      <c r="I5" t="s" s="0">
        <v>220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419</v>
      </c>
      <c r="AV5" t="s" s="0">
        <v>420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5275.59012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421</v>
      </c>
      <c r="BN5" t="s" s="0">
        <v>422</v>
      </c>
      <c r="BO5" s="25">
        <f>ROUND((((AW5*AZ5)+(BN5*BM5))/(AW5+BN5)),5)</f>
        <v>844.51458</v>
      </c>
      <c r="BP5" s="31">
        <f>ROUND(BN5+AW5,3)</f>
        <v>81.993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423</v>
      </c>
      <c r="C4" s="19" t="s">
        <v>423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368</v>
      </c>
      <c r="BO4" s="25">
        <f>ROUND((((AW4*AZ4)+(BN4*BM4))/(AW4+BN4)),5)</f>
        <v>373.635</v>
      </c>
      <c r="BP4" s="31">
        <f t="shared" ref="BP4:BP6" si="16">ROUND(BN4+AW4,3)</f>
        <v>16.665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IF(OR(PoToMRVWFPDUomRc!$C$2=1,PoToMRVWFPDUomRc!$C$2=4),ROUND((((S5*U5)/100)/2),2),0)</f>
        <v>0</v>
      </c>
      <c r="W5" s="20">
        <f>IF(PoToMRVWFPDUomRc!$C$2=1,ROUND((((S5*U5)/100)/2),2),0)</f>
        <v>0</v>
      </c>
      <c r="X5" s="20">
        <f>IF(PoToMRVWFPDUomRc!$C$2=2,ROUND(((S5*U5)/100),2),0)</f>
        <v>295.63</v>
      </c>
      <c r="Y5" s="20">
        <f>IF(PoToMRVWFPDUomRc!$C$2=4,ROUND((((S5*U5)/100)/2),2),0)</f>
        <v>0</v>
      </c>
      <c r="Z5" s="20">
        <v>0</v>
      </c>
      <c r="AA5" s="20">
        <f>IF(PoToMRVWFPDUomRc!$C3=3,0,(S5*Z5)/100)</f>
        <v>0</v>
      </c>
      <c r="AB5" s="20">
        <f t="shared" si="9"/>
        <v>295.63</v>
      </c>
      <c r="AC5" s="20">
        <f>IF(PoToMRVWFPDUomRc!$V3=1,S5+AB5,S5)</f>
        <v>1642.37</v>
      </c>
      <c r="AD5" s="22">
        <v>120</v>
      </c>
      <c r="AE5" s="22">
        <f>IF(PoToMRVWFPDUomRc!$P$2=1,(S5/PoToMRVWFPDUomRc!$S$7)*PoToMRVWFPDUomRc!$E$18,AD5/PoToMRVWFPDUomRc!$AD$7*PoToMRVWFPDUomRc!$E$18)</f>
        <v>0</v>
      </c>
      <c r="AF5" s="22"/>
      <c r="AG5" s="22">
        <f>IF(PoToMRVWFPDUomRc!$P$2=1,(S5/PoToMRVWFPDUomRc!$S$7)*PoToMRVWFPDUomRc!$E$20,AD5/PoToMRVWFPDUomRc!$AD$7*PoToMRVWFPDUomRc!$E$20)</f>
        <v>0</v>
      </c>
      <c r="AH5" s="22">
        <f>IF(PoToMRVWFPDUomRc!$P$2=1,(S5/PoToMRVWFPDUomRc!$S$7)*PoToMRVWFPDUomRc!$E$21,AD5/PoToMRVWFPDUomRc!$AD$7*PoToMRVWFPDUomRc!$E$21)</f>
        <v>0</v>
      </c>
      <c r="AI5" s="22">
        <f>S5*PoToMRVWFPDUomRc!$M$2</f>
        <v>1642.37</v>
      </c>
      <c r="AJ5" s="22">
        <f>IF(PoToMRVWFPDUomRc!$C$2=3,0,AG5+AH5)</f>
        <v>0</v>
      </c>
      <c r="AK5" s="22">
        <f>IF(PoToMRVWFPDUomRc!$C$2=3,AE5+AG5+AH5,0)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308</v>
      </c>
      <c r="BO5" s="25">
        <f>ROUND((((AW5*AZ5)+(BN5*BM5))/(AW5+BN5)),2)</f>
        <v>246.36</v>
      </c>
      <c r="BP5" s="31">
        <f t="shared" si="16"/>
        <v>21.667</v>
      </c>
      <c r="BQ5" s="32">
        <v>123562</v>
      </c>
    </row>
    <row r="6" ht="15.75" spans="1:69">
      <c r="A6" s="19">
        <v>1</v>
      </c>
      <c r="B6" s="19" t="s">
        <v>425</v>
      </c>
      <c r="C6" s="19" t="s">
        <v>425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IF(OR(PoToMRVWFPDUomRc!$C$2=1,PoToMRVWFPDUomRc!$C$2=4),ROUND((((S6*U6)/100)/2),2),0)</f>
        <v>0</v>
      </c>
      <c r="W6" s="20">
        <f>IF(PoToMRVWFPDUomRc!$C$2=1,ROUND((((S6*U6)/100)/2),2),0)</f>
        <v>0</v>
      </c>
      <c r="X6" s="20">
        <f>IF(PoToMRVWFPDUomRc!$C$2=2,ROUND(((S6*U6)/100),2),0)</f>
        <v>77.94</v>
      </c>
      <c r="Y6" s="20">
        <f>IF(PoToMRVWFPDUomRc!$C$2=4,ROUND((((S6*U6)/100)/2),2),0)</f>
        <v>0</v>
      </c>
      <c r="Z6" s="20">
        <v>0</v>
      </c>
      <c r="AA6" s="20">
        <f>IF(PoToMRVWFPDUomRc!$C4=3,0,(S6*Z6)/100)</f>
        <v>0</v>
      </c>
      <c r="AB6" s="20">
        <f t="shared" si="9"/>
        <v>77.94</v>
      </c>
      <c r="AC6" s="20">
        <f>IF(PoToMRVWFPDUomRc!$V4=1,S6+AB6,S6)</f>
        <v>433.01</v>
      </c>
      <c r="AD6" s="22">
        <v>120</v>
      </c>
      <c r="AE6" s="22">
        <f>IF(PoToMRVWFPDUomRc!$P$2=1,(S6/PoToMRVWFPDUomRc!$S$7)*PoToMRVWFPDUomRc!$E$18,AD6/PoToMRVWFPDUomRc!$AD$7*PoToMRVWFPDUomRc!$E$18)</f>
        <v>0</v>
      </c>
      <c r="AF6" s="22"/>
      <c r="AG6" s="22">
        <f>IF(PoToMRVWFPDUomRc!$P$2=1,(S6/PoToMRVWFPDUomRc!$S$7)*PoToMRVWFPDUomRc!$E$20,AD6/PoToMRVWFPDUomRc!$AD$7*PoToMRVWFPDUomRc!$E$20)</f>
        <v>0</v>
      </c>
      <c r="AH6" s="22">
        <f>IF(PoToMRVWFPDUomRc!$P$2=1,(S6/PoToMRVWFPDUomRc!$S$7)*PoToMRVWFPDUomRc!$E$21,AD6/PoToMRVWFPDUomRc!$AD$7*PoToMRVWFPDUomRc!$E$21)</f>
        <v>0</v>
      </c>
      <c r="AI6" s="22">
        <f>S6*PoToMRVWFPDUomRc!$M$2</f>
        <v>433.01</v>
      </c>
      <c r="AJ6" s="22">
        <f>IF(PoToMRVWFPDUomRc!$C$2=3,0,AG6+AH6)</f>
        <v>0</v>
      </c>
      <c r="AK6" s="22">
        <f>IF(PoToMRVWFPDUomRc!$C$2=3,AE6+AG6+AH6,0)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368</v>
      </c>
      <c r="BO6" s="25">
        <f>ROUND((((AW6*AZ6)+(BN6*BM6))/(AW6+BN6)),5)</f>
        <v>129.9</v>
      </c>
      <c r="BP6" s="31">
        <f t="shared" si="16"/>
        <v>16.665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423</v>
      </c>
      <c r="C4" s="19" t="s">
        <v>423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426</v>
      </c>
      <c r="BN4" t="s" s="0">
        <v>427</v>
      </c>
      <c r="BO4" s="25">
        <f>ROUND((((AW4*AZ4)+(BN4*BM4))/(AW4+BN4)),5)</f>
        <v>2461.30081</v>
      </c>
      <c r="BP4" s="31">
        <f t="shared" ref="BP4:BP6" si="16">ROUND(BN4+AW4,3)</f>
        <v>38.332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IF(OR(PoToMRVWoQDUomRc!$C$2=1,PoToMRVWoQDUomRc!$C$2=4),ROUND((((S5*U5)/100)/2),2),0)</f>
        <v>0</v>
      </c>
      <c r="W5" s="20">
        <f>IF(PoToMRVWoQDUomRc!$C$2=1,ROUND((((S5*U5)/100)/2),2),0)</f>
        <v>0</v>
      </c>
      <c r="X5" s="20">
        <f>IF(PoToMRVWoQDUomRc!$C$2=2,ROUND(((S5*U5)/100),2),0)</f>
        <v>295.63</v>
      </c>
      <c r="Y5" s="20">
        <f>IF(PoToMRVWoQDUomRc!$C$2=4,ROUND((((S5*U5)/100)/2),2),0)</f>
        <v>0</v>
      </c>
      <c r="Z5" s="20">
        <v>0</v>
      </c>
      <c r="AA5" s="20">
        <f>IF(PoToMRVWoQDUomRc!$C3=3,0,(S5*Z5)/100)</f>
        <v>0</v>
      </c>
      <c r="AB5" s="20">
        <f t="shared" si="9"/>
        <v>295.63</v>
      </c>
      <c r="AC5" s="20">
        <f>IF(PoToMRVWoQDUomRc!$V3=1,S5+AB5,S5)</f>
        <v>1642.37</v>
      </c>
      <c r="AD5" s="22">
        <v>120</v>
      </c>
      <c r="AE5" s="22">
        <f>IF(PoToMRVWoQDUomRc!$P$2=1,(S5/PoToMRVWoQDUomRc!$S$7)*PoToMRVWoQDUomRc!$E$18,AD5/PoToMRVWoQDUomRc!$AD$7*PoToMRVWoQDUomRc!$E$18)</f>
        <v>0</v>
      </c>
      <c r="AF5" s="22"/>
      <c r="AG5" s="22">
        <f>IF(PoToMRVWoQDUomRc!$P$2=1,(S5/PoToMRVWoQDUomRc!$S$7)*PoToMRVWoQDUomRc!$E$20,AD5/PoToMRVWoQDUomRc!$AD$7*PoToMRVWoQDUomRc!$E$20)</f>
        <v>0</v>
      </c>
      <c r="AH5" s="22">
        <f>IF(PoToMRVWoQDUomRc!$P$2=1,(S5/PoToMRVWoQDUomRc!$S$7)*PoToMRVWoQDUomRc!$E$21,AD5/PoToMRVWoQDUomRc!$AD$7*PoToMRVWoQDUomRc!$E$21)</f>
        <v>0</v>
      </c>
      <c r="AI5" s="22">
        <f>S5*PoToMRVWoQDUomRc!$M$2</f>
        <v>1642.37</v>
      </c>
      <c r="AJ5" s="22">
        <f>IF(PoToMRVWoQDUomRc!$C$2=3,0,AG5+AH5)</f>
        <v>0</v>
      </c>
      <c r="AK5" s="22">
        <f>IF(PoToMRVWoQDUomRc!$C$2=3,AE5+AG5+AH5,0)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428</v>
      </c>
      <c r="BO5" s="25">
        <f>ROUND((((AW5*AZ5)+(BN5*BM5))/(AW5+BN5)),2)</f>
        <v>246.36</v>
      </c>
      <c r="BP5" s="31">
        <f t="shared" si="16"/>
        <v>45.668</v>
      </c>
      <c r="BQ5" s="32">
        <v>123562</v>
      </c>
    </row>
    <row r="6" ht="15.75" spans="1:69">
      <c r="A6" s="19">
        <v>1</v>
      </c>
      <c r="B6" s="19" t="s">
        <v>425</v>
      </c>
      <c r="C6" s="19" t="s">
        <v>425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IF(OR(PoToMRVWoQDUomRc!$C$2=1,PoToMRVWoQDUomRc!$C$2=4),ROUND((((S6*U6)/100)/2),2),0)</f>
        <v>0</v>
      </c>
      <c r="W6" s="20">
        <f>IF(PoToMRVWoQDUomRc!$C$2=1,ROUND((((S6*U6)/100)/2),2),0)</f>
        <v>0</v>
      </c>
      <c r="X6" s="20">
        <f>IF(PoToMRVWoQDUomRc!$C$2=2,ROUND(((S6*U6)/100),2),0)</f>
        <v>77.94</v>
      </c>
      <c r="Y6" s="20">
        <f>IF(PoToMRVWoQDUomRc!$C$2=4,ROUND((((S6*U6)/100)/2),2),0)</f>
        <v>0</v>
      </c>
      <c r="Z6" s="20">
        <v>0</v>
      </c>
      <c r="AA6" s="20">
        <f>IF(PoToMRVWoQDUomRc!$C4=3,0,(S6*Z6)/100)</f>
        <v>0</v>
      </c>
      <c r="AB6" s="20">
        <f t="shared" si="9"/>
        <v>77.94</v>
      </c>
      <c r="AC6" s="20">
        <f>IF(PoToMRVWoQDUomRc!$V4=1,S6+AB6,S6)</f>
        <v>433.01</v>
      </c>
      <c r="AD6" s="22">
        <v>120</v>
      </c>
      <c r="AE6" s="22">
        <f>IF(PoToMRVWoQDUomRc!$P$2=1,(S6/PoToMRVWoQDUomRc!$S$7)*PoToMRVWoQDUomRc!$E$18,AD6/PoToMRVWoQDUomRc!$AD$7*PoToMRVWoQDUomRc!$E$18)</f>
        <v>0</v>
      </c>
      <c r="AF6" s="22"/>
      <c r="AG6" s="22">
        <f>IF(PoToMRVWoQDUomRc!$P$2=1,(S6/PoToMRVWoQDUomRc!$S$7)*PoToMRVWoQDUomRc!$E$20,AD6/PoToMRVWoQDUomRc!$AD$7*PoToMRVWoQDUomRc!$E$20)</f>
        <v>0</v>
      </c>
      <c r="AH6" s="22">
        <f>IF(PoToMRVWoQDUomRc!$P$2=1,(S6/PoToMRVWoQDUomRc!$S$7)*PoToMRVWoQDUomRc!$E$21,AD6/PoToMRVWoQDUomRc!$AD$7*PoToMRVWoQDUomRc!$E$21)</f>
        <v>0</v>
      </c>
      <c r="AI6" s="22">
        <f>S6*PoToMRVWoQDUomRc!$M$2</f>
        <v>433.01</v>
      </c>
      <c r="AJ6" s="22">
        <f>IF(PoToMRVWoQDUomRc!$C$2=3,0,AG6+AH6)</f>
        <v>0</v>
      </c>
      <c r="AK6" s="22">
        <f>IF(PoToMRVWoQDUomRc!$C$2=3,AE6+AG6+AH6,0)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429</v>
      </c>
      <c r="BO6" s="25">
        <f>ROUND((((AW6*AZ6)+(BN6*BM6))/(AW6+BN6)),5)</f>
        <v>129.9</v>
      </c>
      <c r="BP6" s="31">
        <f t="shared" si="16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423</v>
      </c>
      <c r="C4" s="19" t="s">
        <v>423</v>
      </c>
      <c r="D4" s="19" t="s">
        <v>76</v>
      </c>
      <c r="E4" s="19" t="s">
        <v>95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430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5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431</v>
      </c>
      <c r="BN4" t="s" s="0">
        <v>432</v>
      </c>
      <c r="BO4" s="25">
        <f>ROUND((((AW4*AZ4)+(BN4*BM4))/(AW4+BN4)),5)</f>
        <v>3537.7129</v>
      </c>
      <c r="BP4" s="31">
        <f t="shared" ref="BP4:BP6" si="15">ROUND(BN4+AW4,3)</f>
        <v>38.332</v>
      </c>
      <c r="BQ4" s="32">
        <v>123562</v>
      </c>
    </row>
    <row r="5" ht="15.75" spans="1:69">
      <c r="A5" s="19">
        <v>1</v>
      </c>
      <c r="B5" s="19" t="s">
        <v>424</v>
      </c>
      <c r="C5" s="19" t="s">
        <v>424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>H5</f>
        <v>2000</v>
      </c>
      <c r="M5" s="20">
        <f t="shared" si="1"/>
        <v>80</v>
      </c>
      <c r="N5" s="20">
        <f t="shared" si="2"/>
        <v>1920</v>
      </c>
      <c r="O5" s="20">
        <f t="shared" si="3"/>
        <v>172.8</v>
      </c>
      <c r="P5" s="20">
        <f t="shared" si="4"/>
        <v>1747.2</v>
      </c>
      <c r="Q5" s="20">
        <f t="shared" si="5"/>
        <v>104.83</v>
      </c>
      <c r="R5" s="20">
        <f t="shared" si="6"/>
        <v>357.63</v>
      </c>
      <c r="S5" s="20">
        <f t="shared" si="7"/>
        <v>1642.37</v>
      </c>
      <c r="T5" s="20">
        <v>88363222</v>
      </c>
      <c r="U5" s="20">
        <v>18</v>
      </c>
      <c r="V5" s="20">
        <f>IF(OR(PoToMRVWoQDUomRcImp!$C$2=1,PoToMRVWoQDUomRcImp!$C$2=4),ROUND((((S5*U5)/100)/2),2),0)</f>
        <v>0</v>
      </c>
      <c r="W5" s="20">
        <f>IF(PoToMRVWoQDUomRcImp!$C$2=1,ROUND((((S5*U5)/100)/2),2),0)</f>
        <v>0</v>
      </c>
      <c r="X5" s="20">
        <f>IF(PoToMRVWoQDUomRcImp!$C$2=2,ROUND(((S5*U5)/100),2),0)</f>
        <v>0</v>
      </c>
      <c r="Y5" s="20">
        <f>IF(PoToMRVWoQDUomRcImp!$C$2=4,ROUND((((S5*U5)/100)/2),2),0)</f>
        <v>0</v>
      </c>
      <c r="Z5" s="20">
        <v>0</v>
      </c>
      <c r="AA5" s="20">
        <f>IF(PoToMRVWoQDUomRcImp!$C3=3,0,(S5*Z5)/100)</f>
        <v>0</v>
      </c>
      <c r="AB5" s="20">
        <f t="shared" si="8"/>
        <v>0</v>
      </c>
      <c r="AC5" s="20">
        <f>IF(PoToMRVWoQDUomRcImp!$V3=1,S5+AB5,S5)</f>
        <v>1642.37</v>
      </c>
      <c r="AD5" s="22">
        <v>120</v>
      </c>
      <c r="AE5" s="22">
        <f>IF(PoToMRVWoQDUomRcImp!$P$2=1,(S5/PoToMRVWoQDUomRcImp!$S$7)*PoToMRVWoQDUomRcImp!$E$18,AD5/PoToMRVWoQDUomRcImp!$AD$7*PoToMRVWoQDUomRcImp!$E$18)</f>
        <v>0</v>
      </c>
      <c r="AF5" s="22"/>
      <c r="AG5" s="22">
        <f>IF(PoToMRVWoQDUomRcImp!$P$2=1,(S5/PoToMRVWoQDUomRcImp!$S$7)*PoToMRVWoQDUomRcImp!$E$20,AD5/PoToMRVWoQDUomRcImp!$AD$7*PoToMRVWoQDUomRcImp!$E$20)</f>
        <v>0</v>
      </c>
      <c r="AH5" s="22">
        <f>IF(PoToMRVWoQDUomRcImp!$P$2=1,(S5/PoToMRVWoQDUomRcImp!$S$7)*PoToMRVWoQDUomRcImp!$E$21,AD5/PoToMRVWoQDUomRcImp!$AD$7*PoToMRVWoQDUomRcImp!$E$21)</f>
        <v>0</v>
      </c>
      <c r="AI5" s="22">
        <f>S5*PoToMRVWoQDUomRcImp!$M$2</f>
        <v>139601.45</v>
      </c>
      <c r="AJ5" s="22">
        <f>IF(PoToMRVWoQDUomRcImp!$C$2=3,0,AG5+AH5)</f>
        <v>0</v>
      </c>
      <c r="AK5" s="22">
        <f>IF(PoToMRVWoQDUomRcImp!$C$2=3,AE5+AG5+AH5,0)</f>
        <v>0</v>
      </c>
      <c r="AL5" s="23">
        <v>3</v>
      </c>
      <c r="AM5" s="22">
        <f t="shared" si="9"/>
        <v>6.66666666666667</v>
      </c>
      <c r="AN5" s="22">
        <f>ROUND(AI5/AM5,5)</f>
        <v>20940.2175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136</v>
      </c>
      <c r="AW5" s="25">
        <f t="shared" si="12"/>
        <v>6.66666666666667</v>
      </c>
      <c r="AX5" s="33">
        <f t="shared" si="13"/>
        <v>20940.2175</v>
      </c>
      <c r="AY5" s="25">
        <f t="shared" si="14"/>
        <v>6.66666666666667</v>
      </c>
      <c r="AZ5" s="50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433</v>
      </c>
      <c r="BN5" t="s" s="0">
        <v>434</v>
      </c>
      <c r="BO5" s="25">
        <f>ROUND((((AW5*AZ5)+(BN5*BM5))/(AW5+BN5)),2)</f>
        <v>917.12</v>
      </c>
      <c r="BP5" s="31">
        <f t="shared" si="15"/>
        <v>45.668</v>
      </c>
      <c r="BQ5" s="32">
        <v>123562</v>
      </c>
    </row>
    <row r="6" ht="15.75" spans="1:69">
      <c r="A6" s="19">
        <v>1</v>
      </c>
      <c r="B6" s="19" t="s">
        <v>425</v>
      </c>
      <c r="C6" s="19" t="s">
        <v>425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ref="L4:L6" si="16">H6</f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IF(OR(PoToMRVWoQDUomRcImp!$C$2=1,PoToMRVWoQDUomRcImp!$C$2=4),ROUND((((S6*U6)/100)/2),2),0)</f>
        <v>0</v>
      </c>
      <c r="W6" s="20">
        <f>IF(PoToMRVWoQDUomRcImp!$C$2=1,ROUND((((S6*U6)/100)/2),2),0)</f>
        <v>0</v>
      </c>
      <c r="X6" s="20">
        <f>IF(PoToMRVWoQDUomRcImp!$C$2=2,ROUND(((S6*U6)/100),2),0)</f>
        <v>0</v>
      </c>
      <c r="Y6" s="20">
        <f>IF(PoToMRVWoQDUomRcImp!$C$2=4,ROUND((((S6*U6)/100)/2),2),0)</f>
        <v>0</v>
      </c>
      <c r="Z6" s="20">
        <v>0</v>
      </c>
      <c r="AA6" s="20">
        <f>IF(PoToMRVWoQDUomRcImp!$C4=3,0,(S6*Z6)/100)</f>
        <v>0</v>
      </c>
      <c r="AB6" s="20">
        <f t="shared" si="8"/>
        <v>0</v>
      </c>
      <c r="AC6" s="20">
        <f>IF(PoToMRVWoQDUomRcImp!$V4=1,S6+AB6,S6)</f>
        <v>433.01</v>
      </c>
      <c r="AD6" s="22">
        <v>120</v>
      </c>
      <c r="AE6" s="22">
        <f>IF(PoToMRVWoQDUomRcImp!$P$2=1,(S6/PoToMRVWoQDUomRcImp!$S$7)*PoToMRVWoQDUomRcImp!$E$18,AD6/PoToMRVWoQDUomRcImp!$AD$7*PoToMRVWoQDUomRcImp!$E$18)</f>
        <v>0</v>
      </c>
      <c r="AF6" s="22"/>
      <c r="AG6" s="22">
        <f>IF(PoToMRVWoQDUomRcImp!$P$2=1,(S6/PoToMRVWoQDUomRcImp!$S$7)*PoToMRVWoQDUomRcImp!$E$20,AD6/PoToMRVWoQDUomRcImp!$AD$7*PoToMRVWoQDUomRcImp!$E$20)</f>
        <v>0</v>
      </c>
      <c r="AH6" s="22">
        <f>IF(PoToMRVWoQDUomRcImp!$P$2=1,(S6/PoToMRVWoQDUomRcImp!$S$7)*PoToMRVWoQDUomRcImp!$E$21,AD6/PoToMRVWoQDUomRcImp!$AD$7*PoToMRVWoQDUomRcImp!$E$21)</f>
        <v>0</v>
      </c>
      <c r="AI6" s="22">
        <f>S6*PoToMRVWoQDUomRcImp!$M$2</f>
        <v>36805.85</v>
      </c>
      <c r="AJ6" s="22">
        <f>IF(PoToMRVWoQDUomRcImp!$C$2=3,0,AG6+AH6)</f>
        <v>0</v>
      </c>
      <c r="AK6" s="22">
        <f>IF(PoToMRVWoQDUomRcImp!$C$2=3,AE6+AG6+AH6,0)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11041.755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435</v>
      </c>
      <c r="AW6" s="25">
        <f t="shared" si="12"/>
        <v>3.33333333333333</v>
      </c>
      <c r="AX6" s="25">
        <f t="shared" si="13"/>
        <v>11041.755</v>
      </c>
      <c r="AY6" s="25">
        <f t="shared" si="14"/>
        <v>3.33333333333333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436</v>
      </c>
      <c r="BN6" t="s" s="0">
        <v>437</v>
      </c>
      <c r="BO6" s="25">
        <f>ROUND((((AW6*AZ6)+(BN6*BM6))/(AW6+BN6)),5)</f>
        <v>461.59873</v>
      </c>
      <c r="BP6" s="31">
        <f t="shared" si="15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189</v>
      </c>
      <c r="S7" s="37">
        <f t="shared" si="17"/>
        <v>1311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438</v>
      </c>
      <c r="C4" s="19" t="s">
        <v>438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439</v>
      </c>
      <c r="BN4" t="s" s="0">
        <v>440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441</v>
      </c>
      <c r="C5" s="19" t="s">
        <v>441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IF(OR(PoToMRVWFPDUomPl!$C$2=1,PoToMRVWFPDUomPl!$C$2=4),ROUND((((S5*U5)/100)/2),2),0)</f>
        <v>0</v>
      </c>
      <c r="W5" s="20">
        <f>IF(PoToMRVWFPDUomPl!$C$2=1,ROUND((((S5*U5)/100)/2),2),0)</f>
        <v>0</v>
      </c>
      <c r="X5" s="20">
        <f>IF(PoToMRVWFPDUomPl!$C$2=2,ROUND(((S5*U5)/100),2),0)</f>
        <v>295.63</v>
      </c>
      <c r="Y5" s="20">
        <f>IF(PoToMRVWFPDUomPl!$C$2=4,ROUND((((S5*U5)/100)/2),2),0)</f>
        <v>0</v>
      </c>
      <c r="Z5" s="20">
        <v>0</v>
      </c>
      <c r="AA5" s="20">
        <f>IF(PoToMRVWFPDUomPl!$C3=3,0,(S5*Z5)/100)</f>
        <v>0</v>
      </c>
      <c r="AB5" s="20">
        <f t="shared" si="9"/>
        <v>295.63</v>
      </c>
      <c r="AC5" s="20">
        <f>IF(PoToMRVWFPDUomPl!$V3=1,S5+AB5,S5)</f>
        <v>1642.37</v>
      </c>
      <c r="AD5" s="22">
        <v>120</v>
      </c>
      <c r="AE5" s="22">
        <f>IF(PoToMRVWFPDUomPl!$P$2=1,(S5/PoToMRVWFPDUomPl!$S$7)*PoToMRVWFPDUomPl!$E$18,AD5/PoToMRVWFPDUomPl!$AD$7*PoToMRVWFPDUomPl!$E$18)</f>
        <v>0</v>
      </c>
      <c r="AF5" s="22"/>
      <c r="AG5" s="22">
        <f>IF(PoToMRVWFPDUomPl!$P$2=1,(S5/PoToMRVWFPDUomPl!$S$7)*PoToMRVWFPDUomPl!$E$20,AD5/PoToMRVWFPDUomPl!$AD$7*PoToMRVWFPDUomPl!$E$20)</f>
        <v>0</v>
      </c>
      <c r="AH5" s="22">
        <f>IF(PoToMRVWFPDUomPl!$P$2=1,(S5/PoToMRVWFPDUomPl!$S$7)*PoToMRVWFPDUomPl!$E$21,AD5/PoToMRVWFPDUomPl!$AD$7*PoToMRVWFPDUomPl!$E$21)</f>
        <v>0</v>
      </c>
      <c r="AI5" s="22">
        <f>S5*PoToMRVWFPDUomPl!$M$2</f>
        <v>1642.37</v>
      </c>
      <c r="AJ5" s="22">
        <f>IF(PoToMRVWFPDUomPl!$C$2=3,0,AG5+AH5)</f>
        <v>0</v>
      </c>
      <c r="AK5" s="22">
        <f>IF(PoToMRVWFPDUomPl!$C$2=3,AE5+AG5+AH5,0)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442</v>
      </c>
      <c r="BN5" t="s" s="0">
        <v>443</v>
      </c>
      <c r="BO5" s="25">
        <f>ROUND((((AW5*AZ5)+(BN5*BM5))/(AW5+BN5)),2)</f>
        <v>246.36</v>
      </c>
      <c r="BP5" s="31">
        <f t="shared" si="16"/>
        <v>13.334</v>
      </c>
      <c r="BQ5" s="32">
        <v>123562</v>
      </c>
    </row>
    <row r="6" ht="15.75" spans="1:69">
      <c r="A6" s="19">
        <v>1</v>
      </c>
      <c r="B6" s="19" t="s">
        <v>444</v>
      </c>
      <c r="C6" s="19" t="s">
        <v>444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IF(OR(PoToMRVWFPDUomPl!$C$2=1,PoToMRVWFPDUomPl!$C$2=4),ROUND((((S6*U6)/100)/2),2),0)</f>
        <v>0</v>
      </c>
      <c r="W6" s="20">
        <f>IF(PoToMRVWFPDUomPl!$C$2=1,ROUND((((S6*U6)/100)/2),2),0)</f>
        <v>0</v>
      </c>
      <c r="X6" s="20">
        <f>IF(PoToMRVWFPDUomPl!$C$2=2,ROUND(((S6*U6)/100),2),0)</f>
        <v>77.94</v>
      </c>
      <c r="Y6" s="20">
        <f>IF(PoToMRVWFPDUomPl!$C$2=4,ROUND((((S6*U6)/100)/2),2),0)</f>
        <v>0</v>
      </c>
      <c r="Z6" s="20">
        <v>0</v>
      </c>
      <c r="AA6" s="20">
        <f>IF(PoToMRVWFPDUomPl!$C4=3,0,(S6*Z6)/100)</f>
        <v>0</v>
      </c>
      <c r="AB6" s="20">
        <f t="shared" si="9"/>
        <v>77.94</v>
      </c>
      <c r="AC6" s="20">
        <f>IF(PoToMRVWFPDUomPl!$V4=1,S6+AB6,S6)</f>
        <v>433.01</v>
      </c>
      <c r="AD6" s="22">
        <v>120</v>
      </c>
      <c r="AE6" s="22">
        <f>IF(PoToMRVWFPDUomPl!$P$2=1,(S6/PoToMRVWFPDUomPl!$S$7)*PoToMRVWFPDUomPl!$E$18,AD6/PoToMRVWFPDUomPl!$AD$7*PoToMRVWFPDUomPl!$E$18)</f>
        <v>0</v>
      </c>
      <c r="AF6" s="22"/>
      <c r="AG6" s="22">
        <f>IF(PoToMRVWFPDUomPl!$P$2=1,(S6/PoToMRVWFPDUomPl!$S$7)*PoToMRVWFPDUomPl!$E$20,AD6/PoToMRVWFPDUomPl!$AD$7*PoToMRVWFPDUomPl!$E$20)</f>
        <v>0</v>
      </c>
      <c r="AH6" s="22">
        <f>IF(PoToMRVWFPDUomPl!$P$2=1,(S6/PoToMRVWFPDUomPl!$S$7)*PoToMRVWFPDUomPl!$E$21,AD6/PoToMRVWFPDUomPl!$AD$7*PoToMRVWFPDUomPl!$E$21)</f>
        <v>0</v>
      </c>
      <c r="AI6" s="22">
        <f>S6*PoToMRVWFPDUomPl!$M$2</f>
        <v>433.01</v>
      </c>
      <c r="AJ6" s="22">
        <f>IF(PoToMRVWFPDUomPl!$C$2=3,0,AG6+AH6)</f>
        <v>0</v>
      </c>
      <c r="AK6" s="22">
        <f>IF(PoToMRVWFPDUomPl!$C$2=3,AE6+AG6+AH6,0)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445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446</v>
      </c>
      <c r="BN6" t="s" s="0">
        <v>447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448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438</v>
      </c>
      <c r="C4" s="19" t="s">
        <v>438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449</v>
      </c>
      <c r="BN4" t="s" s="0">
        <v>450</v>
      </c>
      <c r="BO4" s="25">
        <f>ROUND((((AW4*AZ4)+(BN4*BM4))/(AW4+BN4)),5)</f>
        <v>4014.97253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441</v>
      </c>
      <c r="C5" s="19" t="s">
        <v>441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IF(OR(PoToMRVWoQDUomPl!$C$2=1,PoToMRVWoQDUomPl!$C$2=4),ROUND((((S5*U5)/100)/2),2),0)</f>
        <v>0</v>
      </c>
      <c r="W5" s="20">
        <f>IF(PoToMRVWoQDUomPl!$C$2=1,ROUND((((S5*U5)/100)/2),2),0)</f>
        <v>0</v>
      </c>
      <c r="X5" s="20">
        <f>IF(PoToMRVWoQDUomPl!$C$2=2,ROUND(((S5*U5)/100),2),0)</f>
        <v>295.63</v>
      </c>
      <c r="Y5" s="20">
        <f>IF(PoToMRVWoQDUomPl!$C$2=4,ROUND((((S5*U5)/100)/2),2),0)</f>
        <v>0</v>
      </c>
      <c r="Z5" s="20">
        <v>0</v>
      </c>
      <c r="AA5" s="20">
        <f>IF(PoToMRVWoQDUomPl!$C3=3,0,(S5*Z5)/100)</f>
        <v>0</v>
      </c>
      <c r="AB5" s="20">
        <f t="shared" si="9"/>
        <v>295.63</v>
      </c>
      <c r="AC5" s="20">
        <f>IF(PoToMRVWoQDUomPl!$V3=1,S5+AB5,S5)</f>
        <v>1642.37</v>
      </c>
      <c r="AD5" s="22">
        <v>120</v>
      </c>
      <c r="AE5" s="22">
        <f>IF(PoToMRVWoQDUomPl!$P$2=1,(S5/PoToMRVWoQDUomPl!$S$7)*PoToMRVWoQDUomPl!$E$18,AD5/PoToMRVWoQDUomPl!$AD$7*PoToMRVWoQDUomPl!$E$18)</f>
        <v>0</v>
      </c>
      <c r="AF5" s="22"/>
      <c r="AG5" s="22">
        <f>IF(PoToMRVWoQDUomPl!$P$2=1,(S5/PoToMRVWoQDUomPl!$S$7)*PoToMRVWoQDUomPl!$E$20,AD5/PoToMRVWoQDUomPl!$AD$7*PoToMRVWoQDUomPl!$E$20)</f>
        <v>0</v>
      </c>
      <c r="AH5" s="22">
        <f>IF(PoToMRVWoQDUomPl!$P$2=1,(S5/PoToMRVWoQDUomPl!$S$7)*PoToMRVWoQDUomPl!$E$21,AD5/PoToMRVWoQDUomPl!$AD$7*PoToMRVWoQDUomPl!$E$21)</f>
        <v>0</v>
      </c>
      <c r="AI5" s="22">
        <f>S5*PoToMRVWoQDUomPl!$M$2</f>
        <v>1642.37</v>
      </c>
      <c r="AJ5" s="22">
        <f>IF(PoToMRVWoQDUomPl!$C$2=3,0,AG5+AH5)</f>
        <v>0</v>
      </c>
      <c r="AK5" s="22">
        <f>IF(PoToMRVWoQDUomPl!$C$2=3,AE5+AG5+AH5,0)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451</v>
      </c>
      <c r="BO5" s="25">
        <f>ROUND((((AW5*AZ5)+(BN5*BM5))/(AW5+BN5)),2)</f>
        <v>246.36</v>
      </c>
      <c r="BP5" s="31">
        <f t="shared" si="16"/>
        <v>86.671</v>
      </c>
      <c r="BQ5" s="32">
        <v>123562</v>
      </c>
    </row>
    <row r="6" ht="15.75" spans="1:69">
      <c r="A6" s="19">
        <v>1</v>
      </c>
      <c r="B6" s="19" t="s">
        <v>444</v>
      </c>
      <c r="C6" s="19" t="s">
        <v>444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220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IF(OR(PoToMRVWoQDUomPl!$C$2=1,PoToMRVWoQDUomPl!$C$2=4),ROUND((((S6*U6)/100)/2),2),0)</f>
        <v>0</v>
      </c>
      <c r="W6" s="20">
        <f>IF(PoToMRVWoQDUomPl!$C$2=1,ROUND((((S6*U6)/100)/2),2),0)</f>
        <v>0</v>
      </c>
      <c r="X6" s="20">
        <f>IF(PoToMRVWoQDUomPl!$C$2=2,ROUND(((S6*U6)/100),2),0)</f>
        <v>77.94</v>
      </c>
      <c r="Y6" s="20">
        <f>IF(PoToMRVWoQDUomPl!$C$2=4,ROUND((((S6*U6)/100)/2),2),0)</f>
        <v>0</v>
      </c>
      <c r="Z6" s="20">
        <v>0</v>
      </c>
      <c r="AA6" s="20">
        <f>IF(PoToMRVWoQDUomPl!$C4=3,0,(S6*Z6)/100)</f>
        <v>0</v>
      </c>
      <c r="AB6" s="20">
        <f t="shared" si="9"/>
        <v>77.94</v>
      </c>
      <c r="AC6" s="20">
        <f>IF(PoToMRVWoQDUomPl!$V4=1,S6+AB6,S6)</f>
        <v>433.01</v>
      </c>
      <c r="AD6" s="22">
        <v>120</v>
      </c>
      <c r="AE6" s="22">
        <f>IF(PoToMRVWoQDUomPl!$P$2=1,(S6/PoToMRVWoQDUomPl!$S$7)*PoToMRVWoQDUomPl!$E$18,AD6/PoToMRVWoQDUomPl!$AD$7*PoToMRVWoQDUomPl!$E$18)</f>
        <v>0</v>
      </c>
      <c r="AF6" s="22"/>
      <c r="AG6" s="22">
        <f>IF(PoToMRVWoQDUomPl!$P$2=1,(S6/PoToMRVWoQDUomPl!$S$7)*PoToMRVWoQDUomPl!$E$20,AD6/PoToMRVWoQDUomPl!$AD$7*PoToMRVWoQDUomPl!$E$20)</f>
        <v>0</v>
      </c>
      <c r="AH6" s="22">
        <f>IF(PoToMRVWoQDUomPl!$P$2=1,(S6/PoToMRVWoQDUomPl!$S$7)*PoToMRVWoQDUomPl!$E$21,AD6/PoToMRVWoQDUomPl!$AD$7*PoToMRVWoQDUomPl!$E$21)</f>
        <v>0</v>
      </c>
      <c r="AI6" s="22">
        <f>S6*PoToMRVWoQDUomPl!$M$2</f>
        <v>433.01</v>
      </c>
      <c r="AJ6" s="22">
        <f>IF(PoToMRVWoQDUomPl!$C$2=3,0,AG6+AH6)</f>
        <v>0</v>
      </c>
      <c r="AK6" s="22">
        <f>IF(PoToMRVWoQDUomPl!$C$2=3,AE6+AG6+AH6,0)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452</v>
      </c>
      <c r="BO6" s="25">
        <f>ROUND((((AW6*AZ6)+(BN6*BM6))/(AW6+BN6)),5)</f>
        <v>129.9</v>
      </c>
      <c r="BP6" s="31">
        <f t="shared" si="16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448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438</v>
      </c>
      <c r="C4" s="19" t="s">
        <v>438</v>
      </c>
      <c r="D4" s="19" t="s">
        <v>76</v>
      </c>
      <c r="E4" s="19" t="s">
        <v>95</v>
      </c>
      <c r="F4" s="20">
        <v>10</v>
      </c>
      <c r="G4" t="s" s="0">
        <v>214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430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6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453</v>
      </c>
      <c r="BN4" t="s" s="0">
        <v>454</v>
      </c>
      <c r="BO4" s="25">
        <f>ROUND((((AW4*AZ4)+(BN4*BM4))/(AW4+BN4)),5)</f>
        <v>4533.59999</v>
      </c>
      <c r="BP4" s="31">
        <f t="shared" ref="BP4:BP6" si="15">ROUND(BN4+AW4,3)</f>
        <v>65</v>
      </c>
      <c r="BQ4" s="32">
        <v>123562</v>
      </c>
    </row>
    <row r="5" ht="15.75" spans="1:69">
      <c r="A5" s="19">
        <v>1</v>
      </c>
      <c r="B5" s="19" t="s">
        <v>441</v>
      </c>
      <c r="C5" s="19" t="s">
        <v>441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2000</v>
      </c>
      <c r="O5" s="20">
        <f t="shared" si="3"/>
        <v>180</v>
      </c>
      <c r="P5" s="20">
        <f t="shared" si="4"/>
        <v>1820</v>
      </c>
      <c r="Q5" s="20">
        <f t="shared" si="5"/>
        <v>109.2</v>
      </c>
      <c r="R5" s="20">
        <f t="shared" si="6"/>
        <v>289.2</v>
      </c>
      <c r="S5" s="20">
        <f t="shared" si="7"/>
        <v>1710.8</v>
      </c>
      <c r="T5" s="20">
        <v>88363222</v>
      </c>
      <c r="U5" s="20">
        <v>18</v>
      </c>
      <c r="V5" s="20">
        <f>IF(OR(PoToMRVWoQDUomPlImp!$C$2=1,PoToMRVWoQDUomPlImp!$C$2=4),ROUND((((S5*U5)/100)/2),2),0)</f>
        <v>0</v>
      </c>
      <c r="W5" s="20">
        <f>IF(PoToMRVWoQDUomPlImp!$C$2=1,ROUND((((S5*U5)/100)/2),2),0)</f>
        <v>0</v>
      </c>
      <c r="X5" s="20">
        <f>IF(PoToMRVWoQDUomPlImp!$C$2=2,ROUND(((S5*U5)/100),2),0)</f>
        <v>0</v>
      </c>
      <c r="Y5" s="20">
        <f>IF(PoToMRVWoQDUomPlImp!$C$2=4,ROUND((((S5*U5)/100)/2),2),0)</f>
        <v>0</v>
      </c>
      <c r="Z5" s="20">
        <v>0</v>
      </c>
      <c r="AA5" s="20">
        <f>IF(PoToMRVWoQDUomPlImp!$C3=3,0,(S5*Z5)/100)</f>
        <v>0</v>
      </c>
      <c r="AB5" s="20">
        <f t="shared" si="8"/>
        <v>0</v>
      </c>
      <c r="AC5" s="20">
        <f>IF(PoToMRVWoQDUomPlImp!$V3=1,S5+AB5,S5)</f>
        <v>1710.8</v>
      </c>
      <c r="AD5" s="22">
        <v>120</v>
      </c>
      <c r="AE5" s="22">
        <f>IF(PoToMRVWoQDUomPlImp!$P$2=1,(S5/PoToMRVWoQDUomPlImp!$S$7)*PoToMRVWoQDUomPlImp!$E$18,AD5/PoToMRVWoQDUomPlImp!$AD$7*PoToMRVWoQDUomPlImp!$E$18)</f>
        <v>0</v>
      </c>
      <c r="AF5" s="22"/>
      <c r="AG5" s="22">
        <f>IF(PoToMRVWoQDUomPlImp!$P$2=1,(S5/PoToMRVWoQDUomPlImp!$S$7)*PoToMRVWoQDUomPlImp!$E$20,AD5/PoToMRVWoQDUomPlImp!$AD$7*PoToMRVWoQDUomPlImp!$E$20)</f>
        <v>0</v>
      </c>
      <c r="AH5" s="22">
        <f>IF(PoToMRVWoQDUomPlImp!$P$2=1,(S5/PoToMRVWoQDUomPlImp!$S$7)*PoToMRVWoQDUomPlImp!$E$21,AD5/PoToMRVWoQDUomPlImp!$AD$7*PoToMRVWoQDUomPlImp!$E$21)</f>
        <v>0</v>
      </c>
      <c r="AI5" s="22">
        <f>S5*PoToMRVWoQDUomPlImp!$M$2</f>
        <v>145418</v>
      </c>
      <c r="AJ5" s="22">
        <f>IF(PoToMRVWoQDUomPlImp!$C$2=3,0,AG5+AH5)</f>
        <v>0</v>
      </c>
      <c r="AK5" s="22">
        <f>IF(PoToMRVWoQDUomPlImp!$C$2=3,AE5+AG5+AH5,0)</f>
        <v>0</v>
      </c>
      <c r="AL5" s="23">
        <v>3</v>
      </c>
      <c r="AM5" s="22">
        <f t="shared" si="9"/>
        <v>6.66666666666667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455</v>
      </c>
      <c r="AW5" s="25">
        <f t="shared" si="12"/>
        <v>6.66666666666667</v>
      </c>
      <c r="AX5" s="33">
        <f t="shared" si="13"/>
        <v>21812.7</v>
      </c>
      <c r="AY5" s="25">
        <f t="shared" si="14"/>
        <v>6.66666666666667</v>
      </c>
      <c r="AZ5" s="50">
        <f>ROUND(((AU5*AV5)+(AW5*AX5))/(AU5+AW5),2)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456</v>
      </c>
      <c r="BN5" t="s" s="0">
        <v>457</v>
      </c>
      <c r="BO5" s="25">
        <f>ROUND((((AW5*AZ5)+(BN5*BM5))/(AW5+BN5)),2)</f>
        <v>1144.91</v>
      </c>
      <c r="BP5" s="31">
        <f t="shared" si="15"/>
        <v>86.671</v>
      </c>
      <c r="BQ5" s="32">
        <v>123562</v>
      </c>
    </row>
    <row r="6" ht="15.75" spans="1:69">
      <c r="A6" s="19">
        <v>1</v>
      </c>
      <c r="B6" s="19" t="s">
        <v>444</v>
      </c>
      <c r="C6" s="19" t="s">
        <v>444</v>
      </c>
      <c r="D6" s="19" t="s">
        <v>76</v>
      </c>
      <c r="E6" s="19" t="s">
        <v>95</v>
      </c>
      <c r="F6" s="20">
        <v>10</v>
      </c>
      <c r="G6" t="s" s="0">
        <v>214</v>
      </c>
      <c r="H6" s="20">
        <f t="shared" si="0"/>
        <v>500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500</v>
      </c>
      <c r="O6" s="20">
        <f t="shared" si="3"/>
        <v>35</v>
      </c>
      <c r="P6" s="20">
        <f t="shared" si="4"/>
        <v>465</v>
      </c>
      <c r="Q6" s="20">
        <f t="shared" si="5"/>
        <v>18.6</v>
      </c>
      <c r="R6" s="20">
        <f t="shared" si="6"/>
        <v>53.6</v>
      </c>
      <c r="S6" s="20">
        <f t="shared" si="7"/>
        <v>446.4</v>
      </c>
      <c r="T6" s="20">
        <v>88363222</v>
      </c>
      <c r="U6" s="20">
        <v>18</v>
      </c>
      <c r="V6" s="20">
        <f>IF(OR(PoToMRVWoQDUomPlImp!$C$2=1,PoToMRVWoQDUomPlImp!$C$2=4),ROUND((((S6*U6)/100)/2),2),0)</f>
        <v>0</v>
      </c>
      <c r="W6" s="20">
        <f>IF(PoToMRVWoQDUomPlImp!$C$2=1,ROUND((((S6*U6)/100)/2),2),0)</f>
        <v>0</v>
      </c>
      <c r="X6" s="20">
        <f>IF(PoToMRVWoQDUomPlImp!$C$2=2,ROUND(((S6*U6)/100),2),0)</f>
        <v>0</v>
      </c>
      <c r="Y6" s="20">
        <f>IF(PoToMRVWoQDUomPlImp!$C$2=4,ROUND((((S6*U6)/100)/2),2),0)</f>
        <v>0</v>
      </c>
      <c r="Z6" s="20">
        <v>0</v>
      </c>
      <c r="AA6" s="20">
        <f>IF(PoToMRVWoQDUomPlImp!$C4=3,0,(S6*Z6)/100)</f>
        <v>0</v>
      </c>
      <c r="AB6" s="20">
        <f t="shared" si="8"/>
        <v>0</v>
      </c>
      <c r="AC6" s="20">
        <f>IF(PoToMRVWoQDUomPlImp!$V4=1,S6+AB6,S6)</f>
        <v>446.4</v>
      </c>
      <c r="AD6" s="22">
        <v>120</v>
      </c>
      <c r="AE6" s="22">
        <f>IF(PoToMRVWoQDUomPlImp!$P$2=1,(S6/PoToMRVWoQDUomPlImp!$S$7)*PoToMRVWoQDUomPlImp!$E$18,AD6/PoToMRVWoQDUomPlImp!$AD$7*PoToMRVWoQDUomPlImp!$E$18)</f>
        <v>0</v>
      </c>
      <c r="AF6" s="22"/>
      <c r="AG6" s="22">
        <f>IF(PoToMRVWoQDUomPlImp!$P$2=1,(S6/PoToMRVWoQDUomPlImp!$S$7)*PoToMRVWoQDUomPlImp!$E$20,AD6/PoToMRVWoQDUomPlImp!$AD$7*PoToMRVWoQDUomPlImp!$E$20)</f>
        <v>0</v>
      </c>
      <c r="AH6" s="22">
        <f>IF(PoToMRVWoQDUomPlImp!$P$2=1,(S6/PoToMRVWoQDUomPlImp!$S$7)*PoToMRVWoQDUomPlImp!$E$21,AD6/PoToMRVWoQDUomPlImp!$AD$7*PoToMRVWoQDUomPlImp!$E$21)</f>
        <v>0</v>
      </c>
      <c r="AI6" s="22">
        <f>S6*PoToMRVWoQDUomPlImp!$M$2</f>
        <v>37944</v>
      </c>
      <c r="AJ6" s="22">
        <f>IF(PoToMRVWoQDUomPlImp!$C$2=3,0,AG6+AH6)</f>
        <v>0</v>
      </c>
      <c r="AK6" s="22">
        <f>IF(PoToMRVWoQDUomPlImp!$C$2=3,AE6+AG6+AH6,0)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458</v>
      </c>
      <c r="AW6" s="25">
        <f t="shared" si="12"/>
        <v>3.33333333333333</v>
      </c>
      <c r="AX6" s="25">
        <f t="shared" si="13"/>
        <v>11383.2</v>
      </c>
      <c r="AY6" s="25">
        <f t="shared" si="14"/>
        <v>3.33333333333333</v>
      </c>
      <c r="AZ6" s="25">
        <f>ROUND(((AU6*AV6)+(AW6*AX6))/(AU6+AW6),2)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459</v>
      </c>
      <c r="BN6" t="s" s="0">
        <v>460</v>
      </c>
      <c r="BO6" s="25">
        <f>ROUND((((AW6*AZ6)+(BN6*BM6))/(AW6+BN6)),5)</f>
        <v>598.83244</v>
      </c>
      <c r="BP6" s="31">
        <f t="shared" si="15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189</v>
      </c>
      <c r="S7" s="37">
        <f t="shared" si="16"/>
        <v>1311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1311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111435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413</v>
      </c>
      <c r="C4" s="19" t="s">
        <v>413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461</v>
      </c>
      <c r="AV4" t="s" s="0">
        <v>462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463</v>
      </c>
      <c r="BN4" t="s" s="0">
        <v>464</v>
      </c>
      <c r="BO4" s="25">
        <f>ROUND((((AW4*AZ4)+(BN4*BM4))/(AW4+BN4)),5)</f>
        <v>373.635</v>
      </c>
      <c r="BP4" s="31">
        <f t="shared" ref="BP4:BP6" si="16">ROUND(BN4+AW4,3)</f>
        <v>83.992</v>
      </c>
      <c r="BQ4" s="32">
        <v>123562</v>
      </c>
    </row>
    <row r="5" ht="15.75" spans="1:69">
      <c r="A5" s="19">
        <v>1</v>
      </c>
      <c r="B5" s="19" t="s">
        <v>465</v>
      </c>
      <c r="C5" s="19" t="s">
        <v>465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466</v>
      </c>
      <c r="AV5" t="s" s="0">
        <v>467</v>
      </c>
      <c r="AW5" s="25">
        <f t="shared" si="13"/>
        <v>5</v>
      </c>
      <c r="AX5" s="33">
        <f t="shared" si="14"/>
        <v>246.356</v>
      </c>
      <c r="AY5" s="25">
        <f t="shared" si="15"/>
        <v>18.333</v>
      </c>
      <c r="AZ5" s="25">
        <f>ROUND(((AU5*AV5)+(AW5*AX5))/(AU5+AW5),5)</f>
        <v>246.35891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468</v>
      </c>
      <c r="BN5" t="s" s="0">
        <v>469</v>
      </c>
      <c r="BO5" s="25">
        <f>ROUND((((AW5*AZ5)+(BN5*BM5))/(AW5+BN5)),5)</f>
        <v>246.35995</v>
      </c>
      <c r="BP5" s="31">
        <f t="shared" si="16"/>
        <v>115</v>
      </c>
      <c r="BQ5" s="32">
        <v>123562</v>
      </c>
    </row>
    <row r="6" ht="15.75" spans="1:69">
      <c r="A6" s="19">
        <v>1</v>
      </c>
      <c r="B6" s="19" t="s">
        <v>418</v>
      </c>
      <c r="C6" s="19" t="s">
        <v>418</v>
      </c>
      <c r="D6" s="19" t="s">
        <v>76</v>
      </c>
      <c r="E6" s="19" t="s">
        <v>95</v>
      </c>
      <c r="F6" s="20">
        <v>9</v>
      </c>
      <c r="G6" t="s" s="0">
        <v>214</v>
      </c>
      <c r="H6" s="20">
        <f t="shared" si="0"/>
        <v>450</v>
      </c>
      <c r="I6" t="s" s="0">
        <v>220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470</v>
      </c>
      <c r="AV6" t="s" s="0">
        <v>471</v>
      </c>
      <c r="AW6" s="25">
        <f t="shared" si="13"/>
        <v>3</v>
      </c>
      <c r="AX6" s="25">
        <f t="shared" si="14"/>
        <v>129.9</v>
      </c>
      <c r="AY6" s="25">
        <f t="shared" si="15"/>
        <v>12.999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472</v>
      </c>
      <c r="BN6" t="s" s="0">
        <v>473</v>
      </c>
      <c r="BO6" s="25">
        <f>ROUND((((AW6*AZ6)+(BN6*BM6))/(AW6+BN6)),5)</f>
        <v>129.9</v>
      </c>
      <c r="BP6" s="31">
        <f t="shared" si="16"/>
        <v>76.326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305.46</v>
      </c>
      <c r="S7" s="37">
        <f t="shared" si="17"/>
        <v>1494.54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269.02</v>
      </c>
      <c r="Y7" s="39"/>
      <c r="Z7" s="39"/>
      <c r="AA7" s="39"/>
      <c r="AB7" s="38">
        <f t="shared" ref="AB7:AE7" si="18">SUM(AB4:AB4)</f>
        <v>269.02</v>
      </c>
      <c r="AC7" s="40">
        <f t="shared" si="18"/>
        <v>1763.56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1494.54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 t="s">
        <v>474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PoToMrvWithPoClosure</vt:lpstr>
      <vt:lpstr>PoToMrvWithPoClosureRcptQty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2026-04-08T09:30:10Z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