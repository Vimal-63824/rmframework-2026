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890" windowHeight="7620" tabRatio="703" firstSheet="8" activeTab="8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MRVWoQDUom" sheetId="39" r:id="rId5"/>
    <sheet name="PoToGrnUdSWoIpUom" sheetId="1" r:id="rId6"/>
    <sheet name="PoToMRVWOIpSer" sheetId="3" r:id="rId7"/>
    <sheet name="PoToMRVWOIpImp" sheetId="42" r:id="rId8"/>
    <sheet name="PoToMRVWOIp" sheetId="2" r:id="rId9"/>
    <sheet name="PoToMRVWoQSUomSSO" sheetId="33" r:id="rId10"/>
    <sheet name="PoToMRVWFSUom" sheetId="14" r:id="rId11"/>
    <sheet name="PoToMRVWFSUomserv" sheetId="16" r:id="rId12"/>
    <sheet name="PoToMRVWoQSUomRC" sheetId="34" r:id="rId13"/>
    <sheet name="PoToMRVWFSUomRC" sheetId="18" r:id="rId14"/>
    <sheet name="PoToMRVWFSUomPl" sheetId="19" r:id="rId15"/>
    <sheet name="PoToMRVWoQUomPl" sheetId="36" r:id="rId16"/>
    <sheet name="PoToMRVWFSUomservRc" sheetId="17" r:id="rId17"/>
    <sheet name="PoToMRVWoQSUomservRc" sheetId="35" r:id="rId18"/>
    <sheet name="PoToMRVWFSUomservPl" sheetId="20" r:id="rId19"/>
    <sheet name="PoToMRVWoQSUomservPl" sheetId="37" r:id="rId20"/>
    <sheet name="PoToMRVWOIpRc" sheetId="4" r:id="rId21"/>
    <sheet name="PoToMRVWOIpRcImp" sheetId="43" r:id="rId22"/>
    <sheet name="StPoToMRVWOIpDU" sheetId="28" r:id="rId23"/>
    <sheet name="StPoToMRVWOIpPl" sheetId="27" r:id="rId24"/>
    <sheet name="StPoToMRVWOIpRc" sheetId="26" r:id="rId25"/>
    <sheet name="StPoToMRVWOIp" sheetId="24" r:id="rId26"/>
    <sheet name="PoToMRVWOIpRcServ" sheetId="5" r:id="rId27"/>
    <sheet name="PoToMRVWOIpPl" sheetId="6" r:id="rId28"/>
    <sheet name="PoToMRVWOIpPlImp" sheetId="44" r:id="rId29"/>
    <sheet name="PoToMRVWOIpPlServ" sheetId="7" r:id="rId30"/>
    <sheet name="DifferentUOMUD" sheetId="8" r:id="rId31"/>
    <sheet name="PoToMRVWOIpDUom" sheetId="9" r:id="rId32"/>
    <sheet name="PoToMRVWOIpDUomImp" sheetId="45" r:id="rId33"/>
    <sheet name="PoToMRVWOIpDUomRc" sheetId="10" r:id="rId34"/>
    <sheet name="PoToMRVWOIpDUomRcImp" sheetId="46" r:id="rId35"/>
    <sheet name="PoToMRVWFPDUomRc" sheetId="21" r:id="rId36"/>
    <sheet name="PoToMRVWoQDUomRc" sheetId="38" r:id="rId37"/>
    <sheet name="PoToMRVWFPDUomPl" sheetId="22" r:id="rId38"/>
    <sheet name="PoToMRVWoQDUomPl" sheetId="40" r:id="rId39"/>
    <sheet name="PoToMRVWOIpDUomPl" sheetId="11" r:id="rId40"/>
    <sheet name="PoToMRVWOIpDUomPlImp" sheetId="47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<sst xmlns="http://schemas.openxmlformats.org/spreadsheetml/2006/main" count="5997" uniqueCount="334">
  <si>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</si>
  <si>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</si>
  <si>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</si>
  <si>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</si>
  <si>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</si>
  <si>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</si>
  <si>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</si>
  <si>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</si>
  <si>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</si>
  <si>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</si>
  <si>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</si>
  <si>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</si>
  <si>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</si>
  <si>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</si>
  <si>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</si>
  <si>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</si>
  <si>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</si>
  <si>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</si>
  <si>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</si>
  <si>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</si>
  <si>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</si>
  <si>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</si>
  <si>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</si>
  <si>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</si>
  <si>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</si>
  <si>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</si>
  <si>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</si>
  <si>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</si>
  <si>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</si>
  <si>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</si>
  <si>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</si>
  <si>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</si>
  <si>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</si>
  <si>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</si>
  <si>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</si>
  <si>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</si>
  <si>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</si>
  <si>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</si>
  <si>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</si>
  <si>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</si>
  <si>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</si>
  <si>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</si>
  <si>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</si>
  <si>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</si>
  <si>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</si>
  <si>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</si>
  <si>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</si>
  <si>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</si>
  <si>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</si>
  <si>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</si>
  <si>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</si>
  <si>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</si>
  <si>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</si>
  <si>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</si>
  <si>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</si>
  <si>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</si>
  <si>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</si>
  <si>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</si>
  <si>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</si>
  <si>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</si>
  <si>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</si>
  <si>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</si>
  <si>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</si>
  <si>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</si>
  <si>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</si>
  <si>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</si>
  <si>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</si>
  <si>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</si>
  <si>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</si>
  <si>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</si>
  <si>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</si>
  <si>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</si>
  <si>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</si>
  <si>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</si>
  <si>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</si>
  <si>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</si>
  <si>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</si>
  <si>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</si>
  <si>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</si>
  <si>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</si>
  <si>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</si>
  <si>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</si>
  <si>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</si>
  <si>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</si>
  <si>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</si>
  <si>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</si>
  <si>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</si>
  <si>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</si>
  <si>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</si>
  <si>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</si>
  <si>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</si>
  <si>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</si>
  <si>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</si>
  <si>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</si>
  <si>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</si>
  <si>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</si>
  <si>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</si>
  <si>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</si>
  <si>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</si>
  <si>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</si>
  <si>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</si>
  <si>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</si>
  <si>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</si>
  <si>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</si>
  <si>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</si>
  <si>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</si>
  <si>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</si>
  <si>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</si>
  <si>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</si>
  <si>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</si>
  <si>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</si>
  <si>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</si>
  <si>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</si>
  <si>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</si>
  <si>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</si>
  <si>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</si>
  <si>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</si>
  <si>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</si>
  <si>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</si>
  <si>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</si>
  <si>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</si>
  <si>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</si>
  <si>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</si>
  <si>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</si>
  <si>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</si>
  <si>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</si>
  <si>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</si>
  <si>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</si>
  <si>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</si>
  <si>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</si>
  <si>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</si>
  <si>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</si>
  <si>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</si>
  <si>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</si>
  <si>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</si>
  <si>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</si>
  <si>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</si>
  <si>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</si>
  <si>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</si>
  <si>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</si>
  <si>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</si>
  <si>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</si>
  <si>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</si>
  <si>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</si>
  <si>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</si>
  <si>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</si>
  <si>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</si>
  <si>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</si>
  <si>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</si>
  <si>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</si>
  <si>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</si>
  <si>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</si>
  <si>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</si>
  <si>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</si>
  <si>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</si>
  <si>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</si>
  <si>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</si>
  <si>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</si>
  <si>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</si>
  <si>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</si>
  <si>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</si>
  <si>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</si>
  <si>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</si>
  <si>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30</t>
  </si>
  <si>
    <t>190</t>
  </si>
  <si>
    <t>GWL_Item_Similar_2</t>
  </si>
  <si>
    <t>48</t>
  </si>
  <si>
    <t>52</t>
  </si>
  <si>
    <t>130</t>
  </si>
  <si>
    <t>260</t>
  </si>
  <si>
    <t>2893.27615</t>
  </si>
  <si>
    <t>290</t>
  </si>
  <si>
    <t>140</t>
  </si>
  <si>
    <t>92</t>
  </si>
  <si>
    <t>350</t>
  </si>
  <si>
    <t>758.36857</t>
  </si>
  <si>
    <t>230</t>
  </si>
  <si>
    <t>ROAU-SIM-283622</t>
  </si>
  <si>
    <t>GWL_Item_WoQ_UD_Similar_01</t>
  </si>
  <si>
    <t>3175.15653</t>
  </si>
  <si>
    <t>465</t>
  </si>
  <si>
    <t>GWL_Item_WoQ_UD_Similar_02</t>
  </si>
  <si>
    <t>132</t>
  </si>
  <si>
    <t>GWL_Item_WoQ_UD_Similar_03</t>
  </si>
  <si>
    <t>330</t>
  </si>
  <si>
    <t>GWL_Item_FP_service_01</t>
  </si>
  <si>
    <t>GWL_Item_FP_service_02</t>
  </si>
  <si>
    <t>GWL_Item_FP_service_03</t>
  </si>
  <si>
    <t>GWL_Item_FP_Rc_01</t>
  </si>
  <si>
    <t>4125</t>
  </si>
  <si>
    <t>1724.727</t>
  </si>
  <si>
    <t>50</t>
  </si>
  <si>
    <t>GWL_Item_FP_Rc_02</t>
  </si>
  <si>
    <t>12</t>
  </si>
  <si>
    <t>GWL_Item_FP_Rc_03</t>
  </si>
  <si>
    <t>3</t>
  </si>
  <si>
    <t>944.20523</t>
  </si>
  <si>
    <t>440</t>
  </si>
  <si>
    <t>136</t>
  </si>
  <si>
    <t>340</t>
  </si>
  <si>
    <t>GWL_Item_FP_Pl_Similar_01</t>
  </si>
  <si>
    <t>20</t>
  </si>
  <si>
    <t>GWL_Item_FP_Pl_Similar_02</t>
  </si>
  <si>
    <t>40</t>
  </si>
  <si>
    <t>GWL_Item_FP_Pl_Similar_03</t>
  </si>
  <si>
    <t>1215.57818</t>
  </si>
  <si>
    <t>55</t>
  </si>
  <si>
    <t>16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</si>
  <si>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</si>
  <si>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</si>
  <si>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</si>
  <si>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</si>
  <si>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</si>
  <si>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</si>
  <si>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</si>
  <si>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</si>
  <si>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</si>
  <si>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</si>
  <si>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</si>
  <si>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</si>
  <si>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</si>
  <si>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</si>
  <si>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</si>
  <si>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</si>
  <si>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</si>
  <si>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</si>
  <si>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</si>
  <si>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</si>
  <si>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</si>
  <si>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</si>
  <si>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</si>
  <si>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</si>
  <si>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</si>
  <si>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</si>
  <si>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</si>
  <si>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</si>
  <si>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</si>
  <si>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</si>
  <si>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</si>
  <si>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</si>
  <si>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</si>
  <si>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</si>
  <si>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</si>
  <si>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</si>
  <si>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</si>
  <si>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</si>
  <si>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</si>
  <si>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</si>
  <si>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</si>
  <si>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</si>
  <si>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</si>
  <si>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</si>
  <si>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</si>
  <si>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</si>
  <si>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80.41</t>
  </si>
  <si>
    <t>GWL_Item_Service_Rc_06</t>
  </si>
  <si>
    <t>GWL_Item_Similar_Pl_01</t>
  </si>
  <si>
    <t>3611.805</t>
  </si>
  <si>
    <t>GWL_Item_Similar_Pl_02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</si>
  <si>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</si>
  <si>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</si>
  <si>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</si>
  <si>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</si>
  <si>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</si>
  <si>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</si>
  <si>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</si>
  <si>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</si>
  <si>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</si>
  <si>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</si>
  <si>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</si>
  <si>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</si>
  <si>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</si>
  <si>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</si>
  <si>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</si>
  <si>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</si>
  <si>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</si>
  <si>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</si>
  <si>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</si>
  <si>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</si>
  <si>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</si>
  <si>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</si>
  <si>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</si>
  <si>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</si>
  <si>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</si>
  <si>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</si>
  <si>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</si>
  <si>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</si>
  <si>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2857.8</t>
  </si>
  <si>
    <t>129.9</t>
  </si>
  <si>
    <t>59.994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</si>
  <si>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</si>
  <si>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</si>
  <si>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</si>
  <si>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</si>
  <si>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</si>
  <si>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</si>
  <si>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</si>
  <si>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</si>
  <si>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</si>
  <si>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</si>
  <si>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</si>
  <si>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</si>
  <si>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</si>
  <si>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73.326</t>
  </si>
  <si>
    <t>7.999</t>
  </si>
  <si>
    <t>8869.17559</t>
  </si>
  <si>
    <t>3767.1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</si>
  <si>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</si>
  <si>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</si>
  <si>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</si>
  <si>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</si>
  <si>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</si>
  <si>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</si>
  <si>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</si>
  <si>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GWL_Item_FP_Pl_Dissimilar_01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</si>
  <si>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</si>
  <si>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</si>
  <si>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</si>
  <si>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</si>
  <si>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</si>
  <si>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</si>
  <si>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</si>
  <si>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</si>
  <si>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GWL_Item_Dissimilar_Pl_01</t>
  </si>
  <si>
    <t>79.992</t>
  </si>
  <si>
    <t>GWL_Item_Dissimilar_Pl_02</t>
  </si>
  <si>
    <t>13.333</t>
  </si>
  <si>
    <t>GWL_Item_Dissimilar_Pl_03</t>
  </si>
  <si>
    <t>270</t>
  </si>
  <si>
    <t>2790.73055</t>
  </si>
  <si>
    <t>144</t>
  </si>
  <si>
    <t>1400.60222</t>
  </si>
  <si>
    <t>360</t>
  </si>
  <si>
    <t>738.50555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</si>
</sst>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  <numFmt numFmtId="183" formatCode="0.00000_);[Red]\(0.00000\)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183" fontId="2" fillId="0" borderId="1" xfId="0" applyNumberFormat="1" applyFont="1" applyFill="1" applyBorder="1" applyAlignment="1"/>
    <xf numFmtId="183" fontId="2" fillId="0" borderId="8" xfId="0" applyNumberFormat="1" applyFont="1" applyFill="1" applyBorder="1" applyAlignment="1"/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theme/theme1.xml" Type="http://schemas.openxmlformats.org/officeDocument/2006/relationships/theme"/><Relationship Id="rId43" Target="sharedStrings.xml" Type="http://schemas.openxmlformats.org/officeDocument/2006/relationships/sharedStrings"/><Relationship Id="rId44" Target="styles.xml" Type="http://schemas.openxmlformats.org/officeDocument/2006/relationships/styles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110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111</v>
      </c>
      <c r="C5" s="7" t="s">
        <v>111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112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114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114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115</v>
      </c>
      <c r="C5" s="7" t="s">
        <v>115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116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116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6" sqref="B16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124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D1" workbookViewId="0">
      <selection activeCell="J19" sqref="J19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125</v>
      </c>
      <c r="BN4" t="s" s="0">
        <v>126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127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2" t="s">
        <v>128</v>
      </c>
      <c r="B3" s="112" t="s">
        <v>10</v>
      </c>
      <c r="C3" s="113" t="s">
        <v>129</v>
      </c>
      <c r="D3" s="112" t="s">
        <v>12</v>
      </c>
      <c r="E3" s="112" t="s">
        <v>13</v>
      </c>
      <c r="F3" s="114" t="s">
        <v>130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131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132</v>
      </c>
      <c r="T3" s="112" t="s">
        <v>28</v>
      </c>
      <c r="U3" s="28" t="s">
        <v>133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134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135</v>
      </c>
      <c r="C4" s="7" t="s">
        <v>136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137</v>
      </c>
      <c r="AT4" s="39" t="s">
        <v>76</v>
      </c>
      <c r="AU4" s="40" t="s">
        <v>138</v>
      </c>
      <c r="AV4" s="40" t="s">
        <v>139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20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140</v>
      </c>
      <c r="BM4" s="40" t="s">
        <v>141</v>
      </c>
      <c r="BN4" s="40" t="s">
        <v>142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143</v>
      </c>
      <c r="C5" s="7" t="s">
        <v>143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118</v>
      </c>
      <c r="AT5" s="39" t="s">
        <v>76</v>
      </c>
      <c r="AU5" t="s" s="0">
        <v>144</v>
      </c>
      <c r="AV5" t="s" s="0">
        <v>145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146</v>
      </c>
      <c r="BN5" t="s" s="0">
        <v>147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148</v>
      </c>
      <c r="C6" s="7" t="s">
        <v>149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118</v>
      </c>
      <c r="AT6" s="39" t="s">
        <v>76</v>
      </c>
      <c r="AU6" t="s" s="0">
        <v>150</v>
      </c>
      <c r="AV6" t="s" s="0">
        <v>151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152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F1"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153</v>
      </c>
      <c r="C4" s="7" t="s">
        <v>153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154</v>
      </c>
      <c r="AV4" t="s" s="0">
        <v>155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156</v>
      </c>
      <c r="C5" s="7" t="s">
        <v>156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157</v>
      </c>
      <c r="AV5" t="s" s="0">
        <v>145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158</v>
      </c>
      <c r="BN5" t="s" s="0">
        <v>159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160</v>
      </c>
      <c r="C6" s="7" t="s">
        <v>160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161</v>
      </c>
      <c r="AV6" t="s" s="0">
        <v>151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162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F1" workbookViewId="0">
      <selection activeCell="Y9" sqref="Y9"/>
    </sheetView>
  </sheetViews>
  <sheetFormatPr defaultColWidth="8.84761904761905" defaultRowHeight="15"/>
  <cols>
    <col min="2" max="3" customWidth="true" width="31.847619047619"/>
    <col min="35" max="35" customWidth="true" width="14.0"/>
    <col min="40" max="40" customWidth="true" width="20.7142857142857"/>
    <col min="44" max="44" customWidth="true" width="10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135</v>
      </c>
      <c r="C4" s="7" t="s">
        <v>136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U4" t="s" s="0">
        <v>163</v>
      </c>
      <c r="AV4" t="s" s="0">
        <v>155</v>
      </c>
      <c r="AW4" s="39">
        <f>AM4</f>
        <v>10</v>
      </c>
      <c r="AX4" s="42">
        <f>AR4</f>
        <v>10586.325</v>
      </c>
      <c r="AY4" s="39">
        <f>AU4+AW4</f>
        <v>40</v>
      </c>
      <c r="AZ4" s="42">
        <f>ROUND(((AU4*AV4)+(AW4*AX4))/(AU4+AW4),5)</f>
        <v>2739.99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164</v>
      </c>
      <c r="BO4" s="39">
        <f>ROUND((((AW4*AZ4)+(BN4*BM4))/(AW4+BN4)),5)</f>
        <v>255.31725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165</v>
      </c>
      <c r="C5" s="7" t="s">
        <v>143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IF($C$2=2,ROUND(((S5*U5)/100),2),0)</f>
        <v>0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0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166</v>
      </c>
      <c r="AV5" t="s" s="0">
        <v>145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167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148</v>
      </c>
      <c r="C6" s="7" t="s">
        <v>149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IF($C$2=2,ROUND(((S6*U6)/100),2),0)</f>
        <v>0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0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150</v>
      </c>
      <c r="AV6" t="s" s="0">
        <v>151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168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21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topLeftCell="AQ1" workbookViewId="0">
      <selection activeCell="AV6" sqref="AV6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4" max="44" width="11.8571428571429"/>
    <col min="47" max="47" customWidth="true" width="15.5714285714286"/>
    <col min="48" max="48" customWidth="true" width="21.1428571428571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3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135</v>
      </c>
      <c r="C4" s="7" t="s">
        <v>136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110">
        <f>ROUND(AN4+AO4+AP4,5)</f>
        <v>124.545</v>
      </c>
      <c r="AS4" s="38" t="s">
        <v>118</v>
      </c>
      <c r="AT4" s="39" t="s">
        <v>76</v>
      </c>
      <c r="AU4" t="s" s="0">
        <v>328</v>
      </c>
      <c r="AV4" t="s" s="0">
        <v>329</v>
      </c>
      <c r="AW4" s="39">
        <f>AM4</f>
        <v>10</v>
      </c>
      <c r="AX4" s="42">
        <f>AR4</f>
        <v>124.545</v>
      </c>
      <c r="AY4" s="39">
        <f>AU4+AW4</f>
        <v>240</v>
      </c>
      <c r="AZ4" s="39">
        <f>ROUND(((AU4*AV4)+(AW4*AX4))/(AU4+AW4),5)</f>
        <v>2790.73055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171</v>
      </c>
      <c r="BO4" s="39">
        <f>ROUND((((AW4*AZ4)+(BN4*BM4))/(AW4+BN4)),5)</f>
        <v>213.41785</v>
      </c>
      <c r="BP4" s="48">
        <f>ROUND(BN4+AW4,3)</f>
        <v>300</v>
      </c>
      <c r="BQ4" s="49">
        <v>123562</v>
      </c>
    </row>
    <row r="5" ht="15.75" spans="1:69">
      <c r="A5" s="7">
        <v>1</v>
      </c>
      <c r="B5" s="7" t="s">
        <v>165</v>
      </c>
      <c r="C5" s="7" t="s">
        <v>143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110">
        <f>ROUND(AN5+AO5+AP5,5)</f>
        <v>82.1175</v>
      </c>
      <c r="AS5" s="38" t="s">
        <v>118</v>
      </c>
      <c r="AT5" s="39" t="s">
        <v>76</v>
      </c>
      <c r="AU5" t="s" s="0">
        <v>330</v>
      </c>
      <c r="AV5" t="s" s="0">
        <v>331</v>
      </c>
      <c r="AW5" s="39">
        <f>AM5</f>
        <v>4</v>
      </c>
      <c r="AX5" s="111">
        <f>AR5</f>
        <v>82.1175</v>
      </c>
      <c r="AY5" s="39">
        <f>AU5+AW5</f>
        <v>52</v>
      </c>
      <c r="AZ5" s="39">
        <f>ROUND(((AU5*AV5)+(AW5*AX5))/(AU5+AW5),5)</f>
        <v>1400.60215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173</v>
      </c>
      <c r="BO5" s="39">
        <f>ROUND((((AW5*AZ5)+(BN5*BM5))/(AW5+BN5)),5)</f>
        <v>137.05676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148</v>
      </c>
      <c r="C6" s="7" t="s">
        <v>149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332</v>
      </c>
      <c r="AV6" t="s" s="0">
        <v>333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ROUND(((AU6*AV6)+(AW6*AX6))/(AU6+AW6),5)</f>
        <v>738.50558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176</v>
      </c>
      <c r="BO6" s="39">
        <f>ROUND((((AW6*AZ6)+(BN6*BM6))/(AW6+BN6)),5)</f>
        <v>72.2669</v>
      </c>
      <c r="BP6" s="48">
        <f>ROUND(BN6+AW6,3)</f>
        <v>140</v>
      </c>
      <c r="BQ6" s="49">
        <v>123562</v>
      </c>
    </row>
    <row r="7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177</v>
      </c>
      <c r="C4" t="s" s="0">
        <v>177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118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21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21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178</v>
      </c>
      <c r="C4" s="7" t="s">
        <v>178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179</v>
      </c>
      <c r="BN4" t="s" s="0">
        <v>180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181</v>
      </c>
      <c r="C5" s="7" t="s">
        <v>181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182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183</v>
      </c>
      <c r="C6" s="7" t="s">
        <v>183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184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185</v>
      </c>
      <c r="C4" s="106" t="s">
        <v>185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186</v>
      </c>
      <c r="C5" s="108" t="s">
        <v>186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187</v>
      </c>
      <c r="C6" s="108" t="s">
        <v>187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V12" sqref="V12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188</v>
      </c>
      <c r="C4" s="7" t="s">
        <v>188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189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190</v>
      </c>
      <c r="BN4" t="s" s="0">
        <v>191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192</v>
      </c>
      <c r="C5" s="7" t="s">
        <v>192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193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194</v>
      </c>
      <c r="C6" s="7" t="s">
        <v>194</v>
      </c>
      <c r="D6" s="7" t="s">
        <v>76</v>
      </c>
      <c r="E6" s="7" t="s">
        <v>76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163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188</v>
      </c>
      <c r="C4" s="7" t="s">
        <v>188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196</v>
      </c>
      <c r="BN4" t="s" s="0">
        <v>197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192</v>
      </c>
      <c r="C5" s="7" t="s">
        <v>192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198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194</v>
      </c>
      <c r="C6" s="7" t="s">
        <v>194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199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200</v>
      </c>
      <c r="C4" s="7" t="s">
        <v>200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201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203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204</v>
      </c>
      <c r="C6" s="7" t="s">
        <v>204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9" sqref="V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200</v>
      </c>
      <c r="C4" s="7" t="s">
        <v>200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205</v>
      </c>
      <c r="BN4" t="s" s="0">
        <v>206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207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204</v>
      </c>
      <c r="C6" s="7" t="s">
        <v>204</v>
      </c>
      <c r="D6" s="7" t="s">
        <v>76</v>
      </c>
      <c r="E6" s="7" t="s">
        <v>76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203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208</v>
      </c>
      <c r="C4" s="106" t="s">
        <v>208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201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209</v>
      </c>
      <c r="C5" s="108" t="s">
        <v>209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203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210</v>
      </c>
      <c r="C6" s="108" t="s">
        <v>210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V9" sqref="V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208</v>
      </c>
      <c r="C4" s="106" t="s">
        <v>208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201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209</v>
      </c>
      <c r="C5" s="108" t="s">
        <v>209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IF(PoToMRVWoQSUomservRc!$C$2=2,ROUND(((S5*U5)/100),2),0)</f>
        <v>59.12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59.12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203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210</v>
      </c>
      <c r="C6" s="108" t="s">
        <v>210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IF(PoToMRVWoQSUomservRc!$C$2=2,ROUND(((S6*U6)/100),2),0)</f>
        <v>77.94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77.94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211</v>
      </c>
      <c r="C4" s="106" t="s">
        <v>211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201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212</v>
      </c>
      <c r="C5" s="106" t="s">
        <v>212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203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203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213</v>
      </c>
      <c r="C6" s="109" t="s">
        <v>213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P16" sqref="P1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211</v>
      </c>
      <c r="C4" s="106" t="s">
        <v>211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201</v>
      </c>
      <c r="AV4" t="s" s="0">
        <v>155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212</v>
      </c>
      <c r="C5" s="106" t="s">
        <v>212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203</v>
      </c>
      <c r="AV5" t="s" s="0">
        <v>145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203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213</v>
      </c>
      <c r="C6" s="109" t="s">
        <v>213</v>
      </c>
      <c r="D6" s="107" t="s">
        <v>76</v>
      </c>
      <c r="E6" s="7" t="s">
        <v>76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151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214</v>
      </c>
      <c r="C4" s="7" t="s">
        <v>214</v>
      </c>
      <c r="D4" s="7" t="s">
        <v>76</v>
      </c>
      <c r="E4" s="7" t="s">
        <v>76</v>
      </c>
      <c r="F4" s="8">
        <v>5</v>
      </c>
      <c r="G4" t="s" s="0">
        <v>191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118</v>
      </c>
      <c r="AT4" s="39" t="s">
        <v>76</v>
      </c>
      <c r="AU4" t="s" s="0">
        <v>215</v>
      </c>
      <c r="AV4" t="s" s="0">
        <v>216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217</v>
      </c>
      <c r="C5" s="7" t="s">
        <v>217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218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118</v>
      </c>
      <c r="AT5" s="39" t="s">
        <v>76</v>
      </c>
      <c r="AU5" t="s" s="0">
        <v>219</v>
      </c>
      <c r="AV5" t="s" s="0">
        <v>220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222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118</v>
      </c>
      <c r="AT6" s="39" t="s">
        <v>76</v>
      </c>
      <c r="AU6" t="s" s="0">
        <v>223</v>
      </c>
      <c r="AV6" t="s" s="0">
        <v>224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214</v>
      </c>
      <c r="C4" s="7" t="s">
        <v>214</v>
      </c>
      <c r="D4" s="7" t="s">
        <v>76</v>
      </c>
      <c r="E4" s="7" t="s">
        <v>76</v>
      </c>
      <c r="F4" s="8">
        <v>5</v>
      </c>
      <c r="G4" t="s" s="0">
        <v>191</v>
      </c>
      <c r="H4" s="8">
        <f t="shared" ref="H4:H6" si="0">F4*G4</f>
        <v>250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31">
        <f>ROUND(M4+O4+Q4,3)</f>
        <v>42.43</v>
      </c>
      <c r="S4" s="31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207.57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3528.69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3528.69</v>
      </c>
      <c r="AS4" s="38" t="s">
        <v>118</v>
      </c>
      <c r="AT4" s="39" t="s">
        <v>76</v>
      </c>
      <c r="AU4" t="s" s="0">
        <v>225</v>
      </c>
      <c r="AV4" t="s" s="0">
        <v>226</v>
      </c>
      <c r="AW4" s="39">
        <f t="shared" ref="AW4:AW6" si="12">AM4</f>
        <v>5</v>
      </c>
      <c r="AX4" s="103">
        <f t="shared" ref="AX4:AX6" si="13">AR4</f>
        <v>3528.69</v>
      </c>
      <c r="AY4" s="39">
        <f t="shared" ref="AY4:AY6" si="14">AU4+AW4</f>
        <v>20</v>
      </c>
      <c r="AZ4" s="39">
        <f>ROUND(((AU4*AV4)+(AW4*AX4))/(AU4+AW4),3)</f>
        <v>913.309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477.412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217</v>
      </c>
      <c r="C5" s="7" t="s">
        <v>217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218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IF(OR(PoToMRVWOIpRcImp!$C$2=1,PoToMRVWOIpRcImp!$C$2=4),ROUND((((S5*U5)/100)/2),2),0)</f>
        <v>0</v>
      </c>
      <c r="W5" s="8">
        <f>IF(PoToMRVWOIpRcImp!$C$2=1,ROUND((((S5*U5)/100)/2),2),0)</f>
        <v>0</v>
      </c>
      <c r="X5" s="8">
        <f>IF(PoToMRVWOIpRcImp!$C$2=2,ROUND(((S5*U5)/100),2),0)</f>
        <v>0</v>
      </c>
      <c r="Y5" s="8">
        <f>IF(PoToMRVWOIpRcImp!$C$2=4,ROUND((((S5*U5)/100)/2),2),0)</f>
        <v>0</v>
      </c>
      <c r="Z5" s="8">
        <v>0</v>
      </c>
      <c r="AA5" s="8">
        <f>IF(PoToMRVWOIpRcImp!$C3=3,0,(S5*Z5)/100)</f>
        <v>0</v>
      </c>
      <c r="AB5" s="8">
        <f t="shared" si="6"/>
        <v>0</v>
      </c>
      <c r="AC5" s="8">
        <f>IF(PoToMRVWOIpRcImp!$V3=1,S5+AB5,S5)</f>
        <v>321.63</v>
      </c>
      <c r="AD5" s="31">
        <v>120</v>
      </c>
      <c r="AE5" s="31">
        <f>IF(PoToMRVWOIpRcImp!$P$2=1,(S5/PoToMRVWOIpRcImp!$S$7)*PoToMRVWOIpRcImp!$E$18,AD5/PoToMRVWOIpRcImp!$AD$7*PoToMRVWOIpRcImp!$E$18)</f>
        <v>0</v>
      </c>
      <c r="AF5" s="31"/>
      <c r="AG5" s="31">
        <f>IF(PoToMRVWOIpRcImp!$P$2=1,(S5/PoToMRVWOIpRcImp!$S$7)*PoToMRVWOIpRcImp!$E$20,AD5/PoToMRVWOIpRcImp!$AD$7*PoToMRVWOIpRcImp!$E$20)</f>
        <v>0</v>
      </c>
      <c r="AH5" s="31">
        <f>IF(PoToMRVWOIpRcImp!$P$2=1,(S5/PoToMRVWOIpRcImp!$S$7)*PoToMRVWOIpRcImp!$E$21,AD5/PoToMRVWOIpRcImp!$AD$7*PoToMRVWOIpRcImp!$E$21)</f>
        <v>0</v>
      </c>
      <c r="AI5" s="31">
        <f>S5*PoToMRVWOIpRcImp!$M$2</f>
        <v>27338.55</v>
      </c>
      <c r="AJ5" s="31">
        <f>IF(PoToMRVWOIpRcImp!$C$2=3,0,AG5+AH5)</f>
        <v>0</v>
      </c>
      <c r="AK5" s="31">
        <f>IF(PoToMRVWOIpRcImp!$C$2=3,AE5+AG5+AH5,0)</f>
        <v>0</v>
      </c>
      <c r="AL5" s="34">
        <v>1</v>
      </c>
      <c r="AM5" s="31">
        <f t="shared" si="7"/>
        <v>4</v>
      </c>
      <c r="AN5" s="31">
        <f t="shared" si="8"/>
        <v>6834.6375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6834.6375</v>
      </c>
      <c r="AS5" s="38" t="s">
        <v>118</v>
      </c>
      <c r="AT5" s="39" t="s">
        <v>76</v>
      </c>
      <c r="AU5" t="s" s="0">
        <v>227</v>
      </c>
      <c r="AV5" t="s" s="0">
        <v>228</v>
      </c>
      <c r="AW5" s="39">
        <f t="shared" si="12"/>
        <v>4</v>
      </c>
      <c r="AX5" s="103">
        <f t="shared" si="13"/>
        <v>6834.6375</v>
      </c>
      <c r="AY5" s="39">
        <f t="shared" si="14"/>
        <v>16</v>
      </c>
      <c r="AZ5" s="103">
        <f>ROUND(((AU5*AV5)+(AW5*AX5))/(AU5+AW5),2)</f>
        <v>1768.97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924.69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77</v>
      </c>
      <c r="H6" s="8">
        <f t="shared" si="0"/>
        <v>1500</v>
      </c>
      <c r="I6" t="s" s="0">
        <v>222</v>
      </c>
      <c r="J6" s="8">
        <v>7</v>
      </c>
      <c r="K6" s="8">
        <v>4</v>
      </c>
      <c r="L6" s="8">
        <f t="shared" si="1"/>
        <v>1500</v>
      </c>
      <c r="M6" s="8">
        <f>ROUND(L6*I6%,2)</f>
        <v>105</v>
      </c>
      <c r="N6" s="8">
        <f t="shared" si="2"/>
        <v>1395</v>
      </c>
      <c r="O6" s="8">
        <f>ROUND(N6*J6%,2)</f>
        <v>97.65</v>
      </c>
      <c r="P6" s="8">
        <f t="shared" si="3"/>
        <v>1297.35</v>
      </c>
      <c r="Q6" s="8">
        <f t="shared" si="4"/>
        <v>51.89</v>
      </c>
      <c r="R6" s="8">
        <f>M6+O6+Q6</f>
        <v>254.54</v>
      </c>
      <c r="S6" s="8">
        <f t="shared" si="5"/>
        <v>1245.46</v>
      </c>
      <c r="T6" s="8">
        <v>88363222</v>
      </c>
      <c r="U6" s="8">
        <v>18</v>
      </c>
      <c r="V6" s="8">
        <f>IF(OR(PoToMRVWOIpRcImp!$C$2=1,PoToMRVWOIpRcImp!$C$2=4),ROUND((((S6*U6)/100)/2),2),0)</f>
        <v>0</v>
      </c>
      <c r="W6" s="8">
        <f>IF(PoToMRVWOIpRcImp!$C$2=1,ROUND((((S6*U6)/100)/2),2),0)</f>
        <v>0</v>
      </c>
      <c r="X6" s="8">
        <f>IF(PoToMRVWOIpRcImp!$C$2=2,ROUND(((S6*U6)/100),2),0)</f>
        <v>0</v>
      </c>
      <c r="Y6" s="8">
        <f>IF(PoToMRVWOIpRcImp!$C$2=4,ROUND((((S6*U6)/100)/2),2),0)</f>
        <v>0</v>
      </c>
      <c r="Z6" s="8">
        <v>0</v>
      </c>
      <c r="AA6" s="8">
        <f>IF(PoToMRVWOIpRcImp!$C4=3,0,(S6*Z6)/100)</f>
        <v>0</v>
      </c>
      <c r="AB6" s="8">
        <f t="shared" si="6"/>
        <v>0</v>
      </c>
      <c r="AC6" s="8">
        <f>IF(PoToMRVWOIpRcImp!$V4=1,S6+AB6,S6)</f>
        <v>1245.46</v>
      </c>
      <c r="AD6" s="31">
        <v>120</v>
      </c>
      <c r="AE6" s="31">
        <f>IF(PoToMRVWOIpRcImp!$P$2=1,(S6/PoToMRVWOIpRcImp!$S$7)*PoToMRVWOIpRcImp!$E$18,AD6/PoToMRVWOIpRcImp!$AD$7*PoToMRVWOIpRcImp!$E$18)</f>
        <v>0</v>
      </c>
      <c r="AF6" s="31"/>
      <c r="AG6" s="31">
        <f>IF(PoToMRVWOIpRcImp!$P$2=1,(S6/PoToMRVWOIpRcImp!$S$7)*PoToMRVWOIpRcImp!$E$20,AD6/PoToMRVWOIpRcImp!$AD$7*PoToMRVWOIpRcImp!$E$20)</f>
        <v>0</v>
      </c>
      <c r="AH6" s="31">
        <f>IF(PoToMRVWOIpRcImp!$P$2=1,(S6/PoToMRVWOIpRcImp!$S$7)*PoToMRVWOIpRcImp!$E$21,AD6/PoToMRVWOIpRcImp!$AD$7*PoToMRVWOIpRcImp!$E$21)</f>
        <v>0</v>
      </c>
      <c r="AI6" s="31">
        <f>S6*PoToMRVWOIpRcImp!$M$2</f>
        <v>105864.1</v>
      </c>
      <c r="AJ6" s="31">
        <f>IF(PoToMRVWOIpRcImp!$C$2=3,0,AG6+AH6)</f>
        <v>0</v>
      </c>
      <c r="AK6" s="31">
        <f>IF(PoToMRVWOIpRcImp!$C$2=3,AE6+AG6+AH6,0)</f>
        <v>0</v>
      </c>
      <c r="AL6" s="34">
        <v>1</v>
      </c>
      <c r="AM6" s="31">
        <f t="shared" si="7"/>
        <v>10</v>
      </c>
      <c r="AN6" s="31">
        <f t="shared" si="8"/>
        <v>10586.41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10586.41</v>
      </c>
      <c r="AS6" s="38" t="s">
        <v>118</v>
      </c>
      <c r="AT6" s="39" t="s">
        <v>76</v>
      </c>
      <c r="AU6" t="s" s="0">
        <v>77</v>
      </c>
      <c r="AV6" t="s" s="0">
        <v>229</v>
      </c>
      <c r="AW6" s="39">
        <f t="shared" si="12"/>
        <v>10</v>
      </c>
      <c r="AX6" s="39">
        <f t="shared" si="13"/>
        <v>10586.41</v>
      </c>
      <c r="AY6" s="39">
        <f t="shared" si="14"/>
        <v>40</v>
      </c>
      <c r="AZ6" s="39">
        <f>ROUND(((AU6*AV6)+(AW6*AX6))/(AU6+AW6),3)</f>
        <v>2740.011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1432.278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42.43</v>
      </c>
      <c r="S7" s="13">
        <f t="shared" si="17"/>
        <v>207.57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A1" workbookViewId="0">
      <selection activeCell="K7" sqref="K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230</v>
      </c>
      <c r="C4" s="7" t="s">
        <v>230</v>
      </c>
      <c r="D4" s="7" t="s">
        <v>76</v>
      </c>
      <c r="E4" s="7" t="s">
        <v>76</v>
      </c>
      <c r="F4" s="8">
        <v>15</v>
      </c>
      <c r="G4" s="0">
        <v>50</v>
      </c>
      <c r="H4" s="8">
        <f>F4*G4</f>
        <v>750</v>
      </c>
      <c r="I4" s="0">
        <v>5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0</v>
      </c>
      <c r="P4" s="8">
        <f>ROUND(N4-O4,2)</f>
        <v>712.5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78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231</v>
      </c>
      <c r="C5" s="7" t="s">
        <v>231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0</v>
      </c>
      <c r="K5" s="8">
        <v>0</v>
      </c>
      <c r="L5" s="8">
        <f t="shared" ref="L5" si="0">IF(OR(I5=0,I5="0"),0,H5)</f>
        <v>1500</v>
      </c>
      <c r="M5" s="8">
        <f>ROUND(L5*I5%,2)</f>
        <v>90</v>
      </c>
      <c r="N5" s="8">
        <f>H5-M5</f>
        <v>1410</v>
      </c>
      <c r="O5" s="8">
        <f>ROUND(N5*J5%,2)</f>
        <v>0</v>
      </c>
      <c r="P5" s="8">
        <f>ROUND(N5-O5,2)</f>
        <v>1410</v>
      </c>
      <c r="Q5" s="8">
        <f>ROUND(P5*K5%,2)</f>
        <v>0</v>
      </c>
      <c r="R5" s="8">
        <f>M5+O5+Q5</f>
        <v>90</v>
      </c>
      <c r="S5" s="8">
        <f>(H5-R5)</f>
        <v>1410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253.8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253.8</v>
      </c>
      <c r="AC5" s="8">
        <f>IF(StPoToMRVWOIpDU!$V3=1,S5+AB5,S5)</f>
        <v>1410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1410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282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282</v>
      </c>
      <c r="AS5" s="38" t="s">
        <v>79</v>
      </c>
      <c r="AT5" s="39" t="s">
        <v>76</v>
      </c>
      <c r="AU5" t="s" s="0">
        <v>78</v>
      </c>
      <c r="AV5" t="s" s="0">
        <v>232</v>
      </c>
      <c r="AW5" s="39">
        <f>AM5</f>
        <v>5</v>
      </c>
      <c r="AX5" s="103">
        <f>AR5</f>
        <v>282</v>
      </c>
      <c r="AY5" s="39">
        <f>AU5+AW5</f>
        <v>5</v>
      </c>
      <c r="AZ5" s="39">
        <f>ROUND(((AU5*AV5)+(AW5*AX5))/(AU5+AW5),5)</f>
        <v>282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282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233</v>
      </c>
      <c r="C4" s="7" t="s">
        <v>233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234</v>
      </c>
      <c r="BN4" t="s" s="0">
        <v>235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236</v>
      </c>
      <c r="C5" s="7" t="s">
        <v>236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237</v>
      </c>
      <c r="BN5" t="s" s="0">
        <v>238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239</v>
      </c>
      <c r="C4" s="7" t="s">
        <v>239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234</v>
      </c>
      <c r="BN4" t="s" s="0">
        <v>235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240</v>
      </c>
      <c r="C5" s="7" t="s">
        <v>240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237</v>
      </c>
      <c r="BN5" t="s" s="0">
        <v>238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0" sqref="R1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241</v>
      </c>
      <c r="C4" s="7" t="s">
        <v>241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242</v>
      </c>
      <c r="AV4" t="s" s="0">
        <v>243</v>
      </c>
      <c r="AW4" s="39">
        <f>AM4</f>
        <v>5</v>
      </c>
      <c r="AX4" s="103">
        <f>AR4</f>
        <v>47.5</v>
      </c>
      <c r="AY4" s="39">
        <f>AU4+AW4</f>
        <v>51</v>
      </c>
      <c r="AZ4" s="39">
        <f>ROUND(((AU4*AV4)+(AW4*AX4))/(AU4+AW4),5)</f>
        <v>62.08823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244</v>
      </c>
      <c r="BN4" t="s" s="0">
        <v>245</v>
      </c>
      <c r="BO4" s="39">
        <f>ROUND((((AW4*AZ4)+(BN4*BM4))/(AW4+BN4)),5)</f>
        <v>70.23124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246</v>
      </c>
      <c r="C5" s="7" t="s">
        <v>246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67.68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67.68</v>
      </c>
      <c r="AC5" s="8">
        <f>IF(StPoToMRVWOIp!$V3=1,S5+AB5,S5)</f>
        <v>376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376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219</v>
      </c>
      <c r="AV5" t="s" s="0">
        <v>247</v>
      </c>
      <c r="AW5" s="39">
        <f>AM5</f>
        <v>4</v>
      </c>
      <c r="AX5" s="103">
        <f>AR5</f>
        <v>94</v>
      </c>
      <c r="AY5" s="39">
        <f>AU5+AW5</f>
        <v>68</v>
      </c>
      <c r="AZ5" s="39">
        <f>ROUND(((AU5*AV5)+(AW5*AX5))/(AU5+AW5),5)</f>
        <v>120.76471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248</v>
      </c>
      <c r="BN5" t="s" s="0">
        <v>249</v>
      </c>
      <c r="BO5" s="39">
        <f>ROUND((((AW5*AZ5)+(BN5*BM5))/(AW5+BN5)),5)</f>
        <v>123.46492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21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21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M16" sqref="M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250</v>
      </c>
      <c r="C4" s="7" t="s">
        <v>250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251</v>
      </c>
      <c r="AV4" t="s" s="0">
        <v>252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252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253</v>
      </c>
      <c r="C5" s="7" t="s">
        <v>253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193</v>
      </c>
      <c r="AV5" t="s" s="0">
        <v>254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254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255</v>
      </c>
      <c r="C6" s="102" t="s">
        <v>255</v>
      </c>
      <c r="D6" s="7" t="s">
        <v>76</v>
      </c>
      <c r="E6" s="7" t="s">
        <v>76</v>
      </c>
      <c r="F6" s="8">
        <v>10</v>
      </c>
      <c r="G6" t="s" s="0">
        <v>191</v>
      </c>
      <c r="H6" s="8">
        <f>F6*G6</f>
        <v>500</v>
      </c>
      <c r="I6" t="s" s="0">
        <v>195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163</v>
      </c>
      <c r="AV6" t="s" s="0">
        <v>155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155</v>
      </c>
      <c r="BN6" t="s" s="0">
        <v>162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256</v>
      </c>
      <c r="C4" s="7" t="s">
        <v>256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251</v>
      </c>
      <c r="AV4" t="s" s="0">
        <v>257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155</v>
      </c>
      <c r="BN4" t="s" s="0">
        <v>215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258</v>
      </c>
      <c r="C5" s="7" t="s">
        <v>258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207</v>
      </c>
      <c r="AV5" t="s" s="0">
        <v>259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145</v>
      </c>
      <c r="BN5" t="s" s="0">
        <v>227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1" t="s">
        <v>260</v>
      </c>
      <c r="C6" s="102" t="s">
        <v>260</v>
      </c>
      <c r="D6" s="7" t="s">
        <v>76</v>
      </c>
      <c r="E6" s="7" t="s">
        <v>76</v>
      </c>
      <c r="F6" s="8">
        <v>20</v>
      </c>
      <c r="G6" t="s" s="0">
        <v>191</v>
      </c>
      <c r="H6" s="8">
        <f>F6*G6</f>
        <v>1000</v>
      </c>
      <c r="I6" t="s" s="0">
        <v>195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261</v>
      </c>
      <c r="AV6" t="s" s="0">
        <v>262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151</v>
      </c>
      <c r="BN6" t="s" s="0">
        <v>263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256</v>
      </c>
      <c r="C4" s="7" t="s">
        <v>256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118</v>
      </c>
      <c r="AT4" s="39" t="s">
        <v>76</v>
      </c>
      <c r="AU4" t="s" s="0">
        <v>162</v>
      </c>
      <c r="AV4" t="s" s="0">
        <v>155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15</v>
      </c>
      <c r="AZ4" s="42">
        <f>ROUND(((AU4*AV4)+(AW4*AX4))/(AU4+AW4),3)</f>
        <v>3611.777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3611.777</v>
      </c>
      <c r="BP4" s="48">
        <f t="shared" ref="BP4:BP6" si="16">ROUND(BN4+AW4,3)</f>
        <v>5</v>
      </c>
      <c r="BQ4" s="49">
        <v>123562</v>
      </c>
    </row>
    <row r="5" ht="15.75" spans="1:69">
      <c r="A5" s="7">
        <v>1</v>
      </c>
      <c r="B5" s="7" t="s">
        <v>258</v>
      </c>
      <c r="C5" s="7" t="s">
        <v>258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IF(PoToMRVWOIpPlImp!$C3=3,0,(S5*Z5)/100)</f>
        <v>0</v>
      </c>
      <c r="AB5" s="8">
        <f t="shared" si="6"/>
        <v>0</v>
      </c>
      <c r="AC5" s="8">
        <f>IF(PoToMRVWOIpPlImp!$V3=1,S5+AB5,S5)</f>
        <v>328.47</v>
      </c>
      <c r="AD5" s="31">
        <v>120</v>
      </c>
      <c r="AE5" s="31">
        <f>IF(PoToMRVWOIpPlImp!$P$2=1,(S5/PoToMRVWOIpPlImp!$S$7)*PoToMRVWOIpPlImp!$E$18,AD5/PoToMRVWOIpPlImp!$AD$7*PoToMRVWOIpPlImp!$E$18)</f>
        <v>0</v>
      </c>
      <c r="AF5" s="31"/>
      <c r="AG5" s="31">
        <f>IF(PoToMRVWOIpPlImp!$P$2=1,(S5/PoToMRVWOIpPlImp!$S$7)*PoToMRVWOIpPlImp!$E$20,AD5/PoToMRVWOIpPlImp!$AD$7*PoToMRVWOIpPlImp!$E$20)</f>
        <v>0</v>
      </c>
      <c r="AH5" s="31">
        <f>IF(PoToMRVWOIpPlImp!$P$2=1,(S5/PoToMRVWOIpPlImp!$S$7)*PoToMRVWOIpPlImp!$E$21,AD5/PoToMRVWOIpPlImp!$AD$7*PoToMRVWOIpPlImp!$E$21)</f>
        <v>0</v>
      </c>
      <c r="AI5" s="31">
        <f>S5*PoToMRVWOIpPlImp!$M$2</f>
        <v>27919.95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264</v>
      </c>
      <c r="AV5" t="s" s="0">
        <v>145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2381.41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2381.41</v>
      </c>
      <c r="BP5" s="48">
        <f t="shared" si="16"/>
        <v>4</v>
      </c>
      <c r="BQ5" s="49">
        <v>123562</v>
      </c>
    </row>
    <row r="6" ht="15.75" spans="1:69">
      <c r="A6" s="7">
        <v>1</v>
      </c>
      <c r="B6" s="101" t="s">
        <v>260</v>
      </c>
      <c r="C6" s="102" t="s">
        <v>260</v>
      </c>
      <c r="D6" s="7" t="s">
        <v>76</v>
      </c>
      <c r="E6" s="7" t="s">
        <v>76</v>
      </c>
      <c r="F6" s="8">
        <v>20</v>
      </c>
      <c r="G6" t="s" s="0">
        <v>191</v>
      </c>
      <c r="H6" s="8">
        <f t="shared" si="0"/>
        <v>1000</v>
      </c>
      <c r="I6" t="s" s="0">
        <v>195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IF(OR(PoToMRVWOIpPlImp!$C$2=1,PoToMRVWOIpPlImp!$C$2=4),ROUND((((S6*U6)/100)/2),2),0)</f>
        <v>0</v>
      </c>
      <c r="W6" s="8">
        <f>IF(PoToMRVWOIpPlImp!$C$2=1,ROUND((((S6*U6)/100)/2),2),0)</f>
        <v>0</v>
      </c>
      <c r="X6" s="8">
        <f>IF(PoToMRVWOIpPlImp!$C$2=2,ROUND(((S6*U6)/100),2),0)</f>
        <v>0</v>
      </c>
      <c r="Y6" s="8">
        <f>IF(PoToMRVWOIpPlImp!$C$2=4,ROUND((((S6*U6)/100)/2),2),0)</f>
        <v>0</v>
      </c>
      <c r="Z6" s="8">
        <v>0</v>
      </c>
      <c r="AA6" s="8">
        <f>IF(PoToMRVWOIpPlImp!$C4=3,0,(S6*Z6)/100)</f>
        <v>0</v>
      </c>
      <c r="AB6" s="8">
        <f t="shared" si="6"/>
        <v>0</v>
      </c>
      <c r="AC6" s="8">
        <f>IF(PoToMRVWOIpPlImp!$V4=1,S6+AB6,S6)</f>
        <v>866.02</v>
      </c>
      <c r="AD6" s="31">
        <v>120</v>
      </c>
      <c r="AE6" s="31">
        <f>IF(PoToMRVWOIpPlImp!$P$2=1,(S6/PoToMRVWOIpPlImp!$S$7)*PoToMRVWOIpPlImp!$E$18,AD6/PoToMRVWOIpPlImp!$AD$7*PoToMRVWOIpPlImp!$E$18)</f>
        <v>0</v>
      </c>
      <c r="AF6" s="31"/>
      <c r="AG6" s="31">
        <f>IF(PoToMRVWOIpPlImp!$P$2=1,(S6/PoToMRVWOIpPlImp!$S$7)*PoToMRVWOIpPlImp!$E$20,AD6/PoToMRVWOIpPlImp!$AD$7*PoToMRVWOIpPlImp!$E$20)</f>
        <v>0</v>
      </c>
      <c r="AH6" s="31">
        <f>IF(PoToMRVWOIpPlImp!$P$2=1,(S6/PoToMRVWOIpPlImp!$S$7)*PoToMRVWOIpPlImp!$E$21,AD6/PoToMRVWOIpPlImp!$AD$7*PoToMRVWOIpPlImp!$E$21)</f>
        <v>0</v>
      </c>
      <c r="AI6" s="31">
        <f>S6*PoToMRVWOIpPlImp!$M$2</f>
        <v>73611.7</v>
      </c>
      <c r="AJ6" s="31">
        <f>IF(PoToMRVWOIpPlImp!$C$2=3,0,AG6+AH6)</f>
        <v>0</v>
      </c>
      <c r="AK6" s="31">
        <f>IF(PoToMRVWOIpPlImp!$C$2=3,AE6+AG6+AH6,0)</f>
        <v>0</v>
      </c>
      <c r="AL6" s="34">
        <v>1</v>
      </c>
      <c r="AM6" s="31">
        <f t="shared" si="7"/>
        <v>20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163</v>
      </c>
      <c r="AV6" t="s" s="0">
        <v>151</v>
      </c>
      <c r="AW6" s="39">
        <f t="shared" si="12"/>
        <v>20</v>
      </c>
      <c r="AX6" s="39">
        <f t="shared" si="13"/>
        <v>3680.585</v>
      </c>
      <c r="AY6" s="39">
        <f t="shared" si="14"/>
        <v>50</v>
      </c>
      <c r="AZ6" s="39">
        <f>ROUND(((AU6*AV6)+(AW6*AX6))/(AU6+AW6),1)</f>
        <v>1498.2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1498.2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265</v>
      </c>
      <c r="C4" s="7" t="s">
        <v>265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162</v>
      </c>
      <c r="AV4" t="s" s="0">
        <v>252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252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266</v>
      </c>
      <c r="C5" s="7" t="s">
        <v>266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264</v>
      </c>
      <c r="AV5" t="s" s="0">
        <v>254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254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1" t="s">
        <v>267</v>
      </c>
      <c r="C6" s="102" t="s">
        <v>267</v>
      </c>
      <c r="D6" s="7" t="s">
        <v>76</v>
      </c>
      <c r="E6" s="7" t="s">
        <v>76</v>
      </c>
      <c r="F6" s="8">
        <v>10</v>
      </c>
      <c r="G6" t="s" s="0">
        <v>191</v>
      </c>
      <c r="H6" s="8">
        <f>F6*G6</f>
        <v>500</v>
      </c>
      <c r="I6" t="s" s="0">
        <v>195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201</v>
      </c>
      <c r="AV6" t="s" s="0">
        <v>155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155</v>
      </c>
      <c r="BN6" t="s" s="0">
        <v>162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1" width="9.0"/>
    <col min="2" max="2" customWidth="true" style="51" width="23.5714285714286"/>
    <col min="3" max="3" customWidth="true" style="51" width="18.5714285714286"/>
    <col min="4" max="4" customWidth="true" style="51" width="72.4285714285714"/>
    <col min="5" max="10" style="51" width="9.0"/>
    <col min="11" max="11" customWidth="true" style="51" width="6.14285714285714"/>
    <col min="12" max="28" style="51" width="9.0"/>
    <col min="29" max="29" customWidth="true" style="51" width="11.5714285714286"/>
    <col min="30" max="34" style="51" width="9.0"/>
    <col min="35" max="35" customWidth="true" style="51" width="14.2857142857143"/>
    <col min="36" max="36" customWidth="true" style="51" width="17.5714285714286"/>
    <col min="37" max="37" customWidth="true" style="51" width="13.4285714285714"/>
    <col min="38" max="38" customWidth="true" style="51" width="13.5714285714286"/>
    <col min="39" max="44" style="51" width="9.0"/>
    <col min="45" max="45" customWidth="true" style="51" width="9.42857142857143"/>
    <col min="46" max="46" style="51" width="9.0"/>
    <col min="47" max="47" customWidth="true" style="51" width="15.2857142857143"/>
    <col min="48" max="48" customWidth="true" style="51" width="20.2857142857143"/>
    <col min="49" max="49" style="51" width="9.0"/>
    <col min="50" max="50" customWidth="true" style="51" width="16.2857142857143"/>
    <col min="51" max="51" customWidth="true" style="51" width="13.847619047619"/>
    <col min="52" max="52" customWidth="true" style="51" width="18.847619047619"/>
    <col min="53" max="53" style="51" width="9.0"/>
    <col min="54" max="57" customWidth="true" style="51" width="21.7142857142857"/>
    <col min="58" max="58" customWidth="true" style="51" width="16.5714285714286"/>
    <col min="59" max="59" customWidth="true" style="51" width="13.7142857142857"/>
    <col min="60" max="60" customWidth="true" style="51" width="12.4285714285714"/>
    <col min="61" max="62" style="51" width="9.0"/>
    <col min="63" max="63" customWidth="true" style="51" width="30.5714285714286"/>
    <col min="64" max="64" style="51" width="9.0"/>
    <col min="65" max="65" customWidth="true" style="51" width="41.1428571428571"/>
    <col min="66" max="66" customWidth="true" style="51" width="37.0"/>
    <col min="67" max="67" customWidth="true" style="51" width="18.847619047619"/>
    <col min="68" max="68" customWidth="true" style="51" width="34.4285714285714"/>
    <col min="69" max="16384" style="51" width="9.0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7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61.5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7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268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137</v>
      </c>
      <c r="AT4" s="91" t="s">
        <v>76</v>
      </c>
      <c r="AU4" s="51" t="s">
        <v>85</v>
      </c>
      <c r="AV4" s="51" t="s">
        <v>269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140</v>
      </c>
      <c r="BM4" s="51" t="s">
        <v>269</v>
      </c>
      <c r="BN4" s="51" t="s">
        <v>270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7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271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137</v>
      </c>
      <c r="AT5" s="91" t="s">
        <v>76</v>
      </c>
      <c r="AU5" s="51" t="s">
        <v>85</v>
      </c>
      <c r="AV5" s="51" t="s">
        <v>272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140</v>
      </c>
      <c r="BM5" s="51" t="s">
        <v>272</v>
      </c>
      <c r="BN5" s="51" t="s">
        <v>273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7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274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137</v>
      </c>
      <c r="AT6" s="92" t="s">
        <v>76</v>
      </c>
      <c r="AU6" s="51" t="s">
        <v>85</v>
      </c>
      <c r="AV6" s="51" t="s">
        <v>275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276</v>
      </c>
      <c r="BE6" s="92"/>
      <c r="BF6" s="92"/>
      <c r="BG6" s="92"/>
      <c r="BH6" s="92"/>
      <c r="BI6" s="92"/>
      <c r="BJ6" s="92"/>
      <c r="BK6" s="92"/>
      <c r="BL6" s="92" t="s">
        <v>140</v>
      </c>
      <c r="BM6" s="51" t="s">
        <v>275</v>
      </c>
      <c r="BN6" s="51" t="s">
        <v>277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7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7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7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2" t="s">
        <v>93</v>
      </c>
      <c r="BJ9" s="60"/>
      <c r="BK9" s="60"/>
      <c r="BL9" s="60"/>
      <c r="BM9" s="60"/>
      <c r="BN9" s="60"/>
      <c r="BO9" s="60"/>
    </row>
    <row r="10" ht="15.7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2" t="s">
        <v>97</v>
      </c>
      <c r="BJ10" s="60"/>
      <c r="BK10" s="60"/>
      <c r="BL10" s="60"/>
      <c r="BM10" s="60"/>
      <c r="BN10" s="60"/>
      <c r="BO10" s="60"/>
    </row>
    <row r="11" ht="15.7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7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7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278</v>
      </c>
      <c r="C4" s="7" t="s">
        <v>278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279</v>
      </c>
      <c r="AV4" t="s" s="0">
        <v>280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281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7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118</v>
      </c>
      <c r="AT5" s="39" t="s">
        <v>76</v>
      </c>
      <c r="AU5" t="s" s="0">
        <v>283</v>
      </c>
      <c r="AV5" t="s" s="0">
        <v>284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285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75" spans="1:69">
      <c r="A6" s="7">
        <v>1</v>
      </c>
      <c r="B6" s="7" t="s">
        <v>286</v>
      </c>
      <c r="C6" s="7" t="s">
        <v>286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121</v>
      </c>
      <c r="AV6" t="s" s="0">
        <v>287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289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D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278</v>
      </c>
      <c r="C4" s="7" t="s">
        <v>278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290</v>
      </c>
      <c r="AV4" t="s" s="0">
        <v>291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281</v>
      </c>
      <c r="BO4" s="39">
        <f t="shared" ref="BO4:BO6" si="16">ROUND((((AW4*AZ4)+(BN4*BM4))/(AW4+BN4)),5)</f>
        <v>3512.57705</v>
      </c>
      <c r="BP4" s="48">
        <f t="shared" ref="BP4:BP6" si="17">ROUND(BN4+AW4,3)</f>
        <v>16.665</v>
      </c>
      <c r="BQ4" s="49">
        <v>123562</v>
      </c>
    </row>
    <row r="5" ht="15.7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IF(OR(PoToMRVWOIpDUomImp!$C$2=1,PoToMRVWOIpDUomImp!$C$2=4),ROUND((((S5*U5)/100)/2),2),0)</f>
        <v>0</v>
      </c>
      <c r="W5" s="8">
        <f>IF(PoToMRVWOIpDUomImp!$C$2=1,ROUND((((S5*U5)/100)/2),2),0)</f>
        <v>0</v>
      </c>
      <c r="X5" s="8">
        <f>IF(PoToMRVWOIpDUomImp!$C$2=2,ROUND(((S5*U5)/100),2),0)</f>
        <v>0</v>
      </c>
      <c r="Y5" s="8">
        <f>IF(PoToMRVWOIpDUomImp!$C$2=4,ROUND((((S5*U5)/100)/2),2),0)</f>
        <v>0</v>
      </c>
      <c r="Z5" s="8">
        <v>0</v>
      </c>
      <c r="AA5" s="8">
        <f>IF(PoToMRVWOIpDUomImp!$C3=3,0,(S5*Z5)/100)</f>
        <v>0</v>
      </c>
      <c r="AB5" s="8">
        <f t="shared" si="9"/>
        <v>0</v>
      </c>
      <c r="AC5" s="8">
        <f>IF(PoToMRVWOIpDUomImp!$V3=1,S5+AB5,S5)</f>
        <v>328.47</v>
      </c>
      <c r="AD5" s="31">
        <v>120</v>
      </c>
      <c r="AE5" s="31">
        <f>IF(PoToMRVWOIpDUomImp!$P$2=1,(S5/PoToMRVWOIpDUomImp!$S$7)*PoToMRVWOIpDUomImp!$E$18,AD5/PoToMRVWOIpDUomImp!$AD$7*PoToMRVWOIpDUomImp!$E$18)</f>
        <v>0</v>
      </c>
      <c r="AF5" s="31"/>
      <c r="AG5" s="31">
        <f>IF(PoToMRVWOIpDUomImp!$P$2=1,(S5/PoToMRVWOIpDUomImp!$S$7)*PoToMRVWOIpDUomImp!$E$20,AD5/PoToMRVWOIpDUomImp!$AD$7*PoToMRVWOIpDUomImp!$E$20)</f>
        <v>0</v>
      </c>
      <c r="AH5" s="31">
        <f>IF(PoToMRVWOIpDUomImp!$P$2=1,(S5/PoToMRVWOIpDUomImp!$S$7)*PoToMRVWOIpDUomImp!$E$21,AD5/PoToMRVWOIpDUomImp!$AD$7*PoToMRVWOIpDUomImp!$E$21)</f>
        <v>0</v>
      </c>
      <c r="AI5" s="31">
        <f>S5*PoToMRVWOIpDUomImp!$M$2</f>
        <v>27919.95</v>
      </c>
      <c r="AJ5" s="31">
        <f>IF(PoToMRVWOIpDUomImp!$C$2=3,0,AG5+AH5)</f>
        <v>0</v>
      </c>
      <c r="AK5" s="31">
        <f>IF(PoToMRVWOIpDUomImp!$C$2=3,AE5+AG5+AH5,0)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118</v>
      </c>
      <c r="AT5" s="39" t="s">
        <v>76</v>
      </c>
      <c r="AU5" t="s" s="0">
        <v>292</v>
      </c>
      <c r="AV5" t="s" s="0">
        <v>293</v>
      </c>
      <c r="AW5" s="39">
        <f t="shared" si="13"/>
        <v>1.33333333333333</v>
      </c>
      <c r="AX5" s="39">
        <f t="shared" si="14"/>
        <v>20939.9625</v>
      </c>
      <c r="AY5" s="39">
        <f t="shared" si="15"/>
        <v>5.33233333333333</v>
      </c>
      <c r="AZ5" s="39">
        <f>ROUND(((AU5*AV5)+(AW5*AX5))/(AU5+AW5),2)</f>
        <v>5420.73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285</v>
      </c>
      <c r="BO5" s="39">
        <f t="shared" si="16"/>
        <v>1971.43751</v>
      </c>
      <c r="BP5" s="48">
        <f t="shared" si="17"/>
        <v>3.999</v>
      </c>
      <c r="BQ5" s="49">
        <v>123562</v>
      </c>
    </row>
    <row r="6" ht="15.75" spans="1:69">
      <c r="A6" s="7">
        <v>1</v>
      </c>
      <c r="B6" s="7" t="s">
        <v>286</v>
      </c>
      <c r="C6" s="7" t="s">
        <v>286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IF(OR(PoToMRVWOIpDUomImp!$C$2=1,PoToMRVWOIpDUomImp!$C$2=4),ROUND((((S6*U6)/100)/2),2),0)</f>
        <v>0</v>
      </c>
      <c r="W6" s="8">
        <f>IF(PoToMRVWOIpDUomImp!$C$2=1,ROUND((((S6*U6)/100)/2),2),0)</f>
        <v>0</v>
      </c>
      <c r="X6" s="8">
        <f>IF(PoToMRVWOIpDUomImp!$C$2=2,ROUND(((S6*U6)/100),2),0)</f>
        <v>0</v>
      </c>
      <c r="Y6" s="8">
        <f>IF(PoToMRVWOIpDUomImp!$C$2=4,ROUND((((S6*U6)/100)/2),2),0)</f>
        <v>0</v>
      </c>
      <c r="Z6" s="8">
        <v>0</v>
      </c>
      <c r="AA6" s="8">
        <f>IF(PoToMRVWOIpDUomImp!$C4=3,0,(S6*Z6)/100)</f>
        <v>0</v>
      </c>
      <c r="AB6" s="8">
        <f t="shared" si="9"/>
        <v>0</v>
      </c>
      <c r="AC6" s="8">
        <f>IF(PoToMRVWOIpDUomImp!$V4=1,S6+AB6,S6)</f>
        <v>433.01</v>
      </c>
      <c r="AD6" s="31">
        <v>120</v>
      </c>
      <c r="AE6" s="31">
        <f>IF(PoToMRVWOIpDUomImp!$P$2=1,(S6/PoToMRVWOIpDUomImp!$S$7)*PoToMRVWOIpDUomImp!$E$18,AD6/PoToMRVWOIpDUomImp!$AD$7*PoToMRVWOIpDUomImp!$E$18)</f>
        <v>0</v>
      </c>
      <c r="AF6" s="31"/>
      <c r="AG6" s="31">
        <f>IF(PoToMRVWOIpDUomImp!$P$2=1,(S6/PoToMRVWOIpDUomImp!$S$7)*PoToMRVWOIpDUomImp!$E$20,AD6/PoToMRVWOIpDUomImp!$AD$7*PoToMRVWOIpDUomImp!$E$20)</f>
        <v>0</v>
      </c>
      <c r="AH6" s="31">
        <f>IF(PoToMRVWOIpDUomImp!$P$2=1,(S6/PoToMRVWOIpDUomImp!$S$7)*PoToMRVWOIpDUomImp!$E$21,AD6/PoToMRVWOIpDUomImp!$AD$7*PoToMRVWOIpDUomImp!$E$21)</f>
        <v>0</v>
      </c>
      <c r="AI6" s="31">
        <f>S6*PoToMRVWOIpDUomImp!$M$2</f>
        <v>36805.85</v>
      </c>
      <c r="AJ6" s="31">
        <f>IF(PoToMRVWOIpDUomImp!$C$2=3,0,AG6+AH6)</f>
        <v>0</v>
      </c>
      <c r="AK6" s="31">
        <f>IF(PoToMRVWOIpDUomImp!$C$2=3,AE6+AG6+AH6,0)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294</v>
      </c>
      <c r="AV6" t="s" s="0">
        <v>295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289</v>
      </c>
      <c r="BO6" s="39">
        <f t="shared" si="16"/>
        <v>1039.35063</v>
      </c>
      <c r="BP6" s="48">
        <f t="shared" si="17"/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296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297</v>
      </c>
      <c r="C4" s="7" t="s">
        <v>297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298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299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75" spans="1:69">
      <c r="A5" s="7">
        <v>1</v>
      </c>
      <c r="B5" s="7" t="s">
        <v>300</v>
      </c>
      <c r="C5" s="7" t="s">
        <v>300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118</v>
      </c>
      <c r="AT5" s="39" t="s">
        <v>76</v>
      </c>
      <c r="AU5" t="s" s="0">
        <v>301</v>
      </c>
      <c r="AV5" t="s" s="0">
        <v>123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281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75" spans="1:69">
      <c r="A6" s="7">
        <v>1</v>
      </c>
      <c r="B6" s="7" t="s">
        <v>302</v>
      </c>
      <c r="C6" s="7" t="s">
        <v>302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279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281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297</v>
      </c>
      <c r="C4" s="7" t="s">
        <v>297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279</v>
      </c>
      <c r="AV4" t="s" s="0">
        <v>280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303</v>
      </c>
      <c r="BO4" s="39">
        <f>ROUND((((AW4*AZ4)+(BN4*BM4))/(AW4+BN4)),5)</f>
        <v>1087.04195</v>
      </c>
      <c r="BP4" s="48">
        <f t="shared" ref="BP4:BP6" si="16">ROUND(BN4+AW4,3)</f>
        <v>73.326</v>
      </c>
      <c r="BQ4" s="49">
        <v>123562</v>
      </c>
    </row>
    <row r="5" ht="15.75" spans="1:69">
      <c r="A5" s="7">
        <v>1</v>
      </c>
      <c r="B5" s="7" t="s">
        <v>300</v>
      </c>
      <c r="C5" s="7" t="s">
        <v>300</v>
      </c>
      <c r="D5" s="7" t="s">
        <v>76</v>
      </c>
      <c r="E5" s="7" t="s">
        <v>95</v>
      </c>
      <c r="F5" s="8">
        <v>10</v>
      </c>
      <c r="G5" t="s" s="0">
        <v>87</v>
      </c>
      <c r="H5" s="8">
        <f t="shared" si="0"/>
        <v>1000</v>
      </c>
      <c r="I5" t="s" s="0">
        <v>88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IF(OR(PoToMRVWOIpDUomRcImp!$C$2=1,PoToMRVWOIpDUomRcImp!$C$2=4),ROUND((((S5*U5)/100)/2),2),0)</f>
        <v>0</v>
      </c>
      <c r="W5" s="8">
        <f>IF(PoToMRVWOIpDUomRcImp!$C$2=1,ROUND((((S5*U5)/100)/2),2),0)</f>
        <v>0</v>
      </c>
      <c r="X5" s="8">
        <f>IF(PoToMRVWOIpDUomRcImp!$C$2=2,ROUND(((S5*U5)/100),2),0)</f>
        <v>0</v>
      </c>
      <c r="Y5" s="8">
        <f>IF(PoToMRVWOIpDUomRcImp!$C$2=4,ROUND((((S5*U5)/100)/2),2),0)</f>
        <v>0</v>
      </c>
      <c r="Z5" s="8">
        <v>0</v>
      </c>
      <c r="AA5" s="8">
        <f>IF(PoToMRVWOIpDUomRcImp!$C3=3,0,(S5*Z5)/100)</f>
        <v>0</v>
      </c>
      <c r="AB5" s="8">
        <f t="shared" si="9"/>
        <v>0</v>
      </c>
      <c r="AC5" s="8">
        <f>IF(PoToMRVWOIpDUomRcImp!$V3=1,S5+AB5,S5)</f>
        <v>821.18</v>
      </c>
      <c r="AD5" s="31">
        <v>120</v>
      </c>
      <c r="AE5" s="31">
        <f>IF(PoToMRVWOIpDUomRcImp!$P$2=1,(S5/PoToMRVWOIpDUomRcImp!$S$7)*PoToMRVWOIpDUomRcImp!$E$18,AD5/PoToMRVWOIpDUomRcImp!$AD$7*PoToMRVWOIpDUomRcImp!$E$18)</f>
        <v>0</v>
      </c>
      <c r="AF5" s="31"/>
      <c r="AG5" s="31">
        <f>IF(PoToMRVWOIpDUomRcImp!$P$2=1,(S5/PoToMRVWOIpDUomRcImp!$S$7)*PoToMRVWOIpDUomRcImp!$E$20,AD5/PoToMRVWOIpDUomRcImp!$AD$7*PoToMRVWOIpDUomRcImp!$E$20)</f>
        <v>0</v>
      </c>
      <c r="AH5" s="31">
        <f>IF(PoToMRVWOIpDUomRcImp!$P$2=1,(S5/PoToMRVWOIpDUomRcImp!$S$7)*PoToMRVWOIpDUomRcImp!$E$21,AD5/PoToMRVWOIpDUomRcImp!$AD$7*PoToMRVWOIpDUomRcImp!$E$21)</f>
        <v>0</v>
      </c>
      <c r="AI5" s="31">
        <f>S5*PoToMRVWOIpDUomRcImp!$M$2</f>
        <v>69800.3</v>
      </c>
      <c r="AJ5" s="31">
        <f>IF(PoToMRVWOIpDUomRcImp!$C$2=3,0,AG5+AH5)</f>
        <v>0</v>
      </c>
      <c r="AK5" s="31">
        <f>IF(PoToMRVWOIpDUomRcImp!$C$2=3,AE5+AG5+AH5,0)</f>
        <v>0</v>
      </c>
      <c r="AL5" s="34">
        <v>3</v>
      </c>
      <c r="AM5" s="31">
        <f t="shared" si="10"/>
        <v>3.33333333333333</v>
      </c>
      <c r="AN5" s="31">
        <f>ROUND(AI5/AM5,5)</f>
        <v>20940.09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20940.09</v>
      </c>
      <c r="AS5" s="38" t="s">
        <v>118</v>
      </c>
      <c r="AT5" s="39" t="s">
        <v>76</v>
      </c>
      <c r="AU5" t="s" s="0">
        <v>304</v>
      </c>
      <c r="AV5" t="s" s="0">
        <v>305</v>
      </c>
      <c r="AW5" s="39">
        <f t="shared" si="13"/>
        <v>3.33333333333333</v>
      </c>
      <c r="AX5" s="46">
        <f t="shared" si="14"/>
        <v>20940.09</v>
      </c>
      <c r="AY5" s="39">
        <f t="shared" si="15"/>
        <v>7.99933333333333</v>
      </c>
      <c r="AZ5" s="46">
        <f>ROUND(((AU5*AV5)+(AW5*AX5))/(AU5+AW5),5)</f>
        <v>8869.46609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299</v>
      </c>
      <c r="BO5" s="39">
        <f>ROUND((((AW5*AZ5)+(BN5*BM5))/(AW5+BN5)),2)</f>
        <v>657.02</v>
      </c>
      <c r="BP5" s="48">
        <f t="shared" si="16"/>
        <v>69.993</v>
      </c>
      <c r="BQ5" s="49">
        <v>123562</v>
      </c>
    </row>
    <row r="6" ht="15.75" spans="1:69">
      <c r="A6" s="7">
        <v>1</v>
      </c>
      <c r="B6" s="7" t="s">
        <v>302</v>
      </c>
      <c r="C6" s="7" t="s">
        <v>302</v>
      </c>
      <c r="D6" s="7" t="s">
        <v>76</v>
      </c>
      <c r="E6" s="7" t="s">
        <v>95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IF(OR(PoToMRVWOIpDUomRcImp!$C$2=1,PoToMRVWOIpDUomRcImp!$C$2=4),ROUND((((S6*U6)/100)/2),2),0)</f>
        <v>0</v>
      </c>
      <c r="W6" s="8">
        <f>IF(PoToMRVWOIpDUomRcImp!$C$2=1,ROUND((((S6*U6)/100)/2),2),0)</f>
        <v>0</v>
      </c>
      <c r="X6" s="8">
        <f>IF(PoToMRVWOIpDUomRcImp!$C$2=2,ROUND(((S6*U6)/100),2),0)</f>
        <v>0</v>
      </c>
      <c r="Y6" s="8">
        <f>IF(PoToMRVWOIpDUomRcImp!$C$2=4,ROUND((((S6*U6)/100)/2),2),0)</f>
        <v>0</v>
      </c>
      <c r="Z6" s="8">
        <v>0</v>
      </c>
      <c r="AA6" s="8">
        <f>IF(PoToMRVWOIpDUomRcImp!$C4=3,0,(S6*Z6)/100)</f>
        <v>0</v>
      </c>
      <c r="AB6" s="8">
        <f t="shared" si="9"/>
        <v>0</v>
      </c>
      <c r="AC6" s="8">
        <f>IF(PoToMRVWOIpDUomRcImp!$V4=1,S6+AB6,S6)</f>
        <v>433.01</v>
      </c>
      <c r="AD6" s="31">
        <v>120</v>
      </c>
      <c r="AE6" s="31">
        <f>IF(PoToMRVWOIpDUomRcImp!$P$2=1,(S6/PoToMRVWOIpDUomRcImp!$S$7)*PoToMRVWOIpDUomRcImp!$E$18,AD6/PoToMRVWOIpDUomRcImp!$AD$7*PoToMRVWOIpDUomRcImp!$E$18)</f>
        <v>0</v>
      </c>
      <c r="AF6" s="31"/>
      <c r="AG6" s="31">
        <f>IF(PoToMRVWOIpDUomRcImp!$P$2=1,(S6/PoToMRVWOIpDUomRcImp!$S$7)*PoToMRVWOIpDUomRcImp!$E$20,AD6/PoToMRVWOIpDUomRcImp!$AD$7*PoToMRVWOIpDUomRcImp!$E$20)</f>
        <v>0</v>
      </c>
      <c r="AH6" s="31">
        <f>IF(PoToMRVWOIpDUomRcImp!$P$2=1,(S6/PoToMRVWOIpDUomRcImp!$S$7)*PoToMRVWOIpDUomRcImp!$E$21,AD6/PoToMRVWOIpDUomRcImp!$AD$7*PoToMRVWOIpDUomRcImp!$E$21)</f>
        <v>0</v>
      </c>
      <c r="AI6" s="31">
        <f>S6*PoToMRVWOIpDUomRcImp!$M$2</f>
        <v>36805.85</v>
      </c>
      <c r="AJ6" s="31">
        <f>IF(PoToMRVWOIpDUomRcImp!$C$2=3,0,AG6+AH6)</f>
        <v>0</v>
      </c>
      <c r="AK6" s="31">
        <f>IF(PoToMRVWOIpDUomRcImp!$C$2=3,AE6+AG6+AH6,0)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290</v>
      </c>
      <c r="AV6" t="s" s="0">
        <v>306</v>
      </c>
      <c r="AW6" s="39">
        <f t="shared" si="13"/>
        <v>3.33333333333333</v>
      </c>
      <c r="AX6" s="39">
        <f t="shared" si="14"/>
        <v>11041.755</v>
      </c>
      <c r="AY6" s="39">
        <f t="shared" si="15"/>
        <v>9.99933333333333</v>
      </c>
      <c r="AZ6" s="39">
        <f>ROUND(((AU6*AV6)+(AW6*AX6))/(AU6+AW6),2)</f>
        <v>3767.43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299</v>
      </c>
      <c r="BO6" s="39">
        <f>ROUND((((AW6*AZ6)+(BN6*BM6))/(AW6+BN6)),5)</f>
        <v>303.13221</v>
      </c>
      <c r="BP6" s="48">
        <f t="shared" si="16"/>
        <v>69.993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307</v>
      </c>
      <c r="C4" s="7" t="s">
        <v>307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308</v>
      </c>
      <c r="C5" s="7" t="s">
        <v>308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251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309</v>
      </c>
      <c r="C6" s="7" t="s">
        <v>309</v>
      </c>
      <c r="D6" s="7" t="s">
        <v>76</v>
      </c>
      <c r="E6" s="7" t="s">
        <v>95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121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2" sqref="K12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307</v>
      </c>
      <c r="C4" s="7" t="s">
        <v>307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310</v>
      </c>
      <c r="BN4" t="s" s="0">
        <v>311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308</v>
      </c>
      <c r="C5" s="7" t="s">
        <v>308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312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309</v>
      </c>
      <c r="C6" s="7" t="s">
        <v>309</v>
      </c>
      <c r="D6" s="7" t="s">
        <v>76</v>
      </c>
      <c r="E6" s="7" t="s">
        <v>95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313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314</v>
      </c>
      <c r="C4" s="7" t="s">
        <v>314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298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315</v>
      </c>
      <c r="C5" s="7" t="s">
        <v>315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316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317</v>
      </c>
      <c r="C6" s="7" t="s">
        <v>317</v>
      </c>
      <c r="D6" s="7" t="s">
        <v>76</v>
      </c>
      <c r="E6" s="7" t="s">
        <v>95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298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V3" sqref="V3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318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314</v>
      </c>
      <c r="C4" s="7" t="s">
        <v>314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319</v>
      </c>
      <c r="BN4" t="s" s="0">
        <v>320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315</v>
      </c>
      <c r="C5" s="7" t="s">
        <v>315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321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317</v>
      </c>
      <c r="C6" s="7" t="s">
        <v>317</v>
      </c>
      <c r="D6" s="7" t="s">
        <v>76</v>
      </c>
      <c r="E6" s="7" t="s">
        <v>95</v>
      </c>
      <c r="F6" s="8">
        <v>10</v>
      </c>
      <c r="G6" t="s" s="0">
        <v>191</v>
      </c>
      <c r="H6" s="8">
        <f t="shared" si="0"/>
        <v>500</v>
      </c>
      <c r="I6" t="s" s="0">
        <v>195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322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D12" sqref="D12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323</v>
      </c>
      <c r="C4" s="7" t="s">
        <v>323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298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324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325</v>
      </c>
      <c r="C5" s="7" t="s">
        <v>325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118</v>
      </c>
      <c r="AT5" s="39" t="s">
        <v>76</v>
      </c>
      <c r="AU5" t="s" s="0">
        <v>326</v>
      </c>
      <c r="AV5" t="s" s="0">
        <v>123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154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75" spans="1:69">
      <c r="A6" s="7">
        <v>1</v>
      </c>
      <c r="B6" s="7" t="s">
        <v>327</v>
      </c>
      <c r="C6" s="7" t="s">
        <v>327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290</v>
      </c>
      <c r="AV6" t="s" s="0">
        <v>288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303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Q13" sqref="Q13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323</v>
      </c>
      <c r="C4" s="7" t="s">
        <v>323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298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324</v>
      </c>
      <c r="BO4" s="39">
        <f>ROUND((((AW4*AZ4)+(BN4*BM4))/(AW4+BN4)),5)</f>
        <v>1001.43346</v>
      </c>
      <c r="BP4" s="48">
        <f t="shared" ref="BP4:BP6" si="16">ROUND(BN4+AW4,3)</f>
        <v>83.325</v>
      </c>
      <c r="BQ4" s="49">
        <v>123562</v>
      </c>
    </row>
    <row r="5" ht="15.75" spans="1:69">
      <c r="A5" s="7">
        <v>1</v>
      </c>
      <c r="B5" s="7" t="s">
        <v>325</v>
      </c>
      <c r="C5" s="7" t="s">
        <v>325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IF(OR(PoToMRVWOIpDUomPlImp!$C$2=1,PoToMRVWOIpDUomPlImp!$C$2=4),ROUND((((S5*U5)/100)/2),2),0)</f>
        <v>0</v>
      </c>
      <c r="W5" s="8">
        <f>IF(PoToMRVWOIpDUomPlImp!$C$2=1,ROUND((((S5*U5)/100)/2),2),0)</f>
        <v>0</v>
      </c>
      <c r="X5" s="8">
        <f>IF(PoToMRVWOIpDUomPlImp!$C$2=2,ROUND(((S5*U5)/100),2),0)</f>
        <v>0</v>
      </c>
      <c r="Y5" s="8">
        <f>IF(PoToMRVWOIpDUomPlImp!$C$2=4,ROUND((((S5*U5)/100)/2),2),0)</f>
        <v>0</v>
      </c>
      <c r="Z5" s="8">
        <v>0</v>
      </c>
      <c r="AA5" s="8">
        <f>IF(PoToMRVWOIpDUomPlImp!$C3=3,0,(S5*Z5)/100)</f>
        <v>0</v>
      </c>
      <c r="AB5" s="8">
        <f t="shared" si="9"/>
        <v>0</v>
      </c>
      <c r="AC5" s="8">
        <f>IF(PoToMRVWOIpDUomPlImp!$V3=1,S5+AB5,S5)</f>
        <v>1231.78</v>
      </c>
      <c r="AD5" s="31">
        <v>120</v>
      </c>
      <c r="AE5" s="31">
        <f>IF(PoToMRVWOIpDUomPlImp!$P$2=1,(S5/PoToMRVWOIpDUomPlImp!$S$7)*PoToMRVWOIpDUomPlImp!$E$18,AD5/PoToMRVWOIpDUomPlImp!$AD$7*PoToMRVWOIpDUomPlImp!$E$18)</f>
        <v>0</v>
      </c>
      <c r="AF5" s="31"/>
      <c r="AG5" s="31">
        <f>IF(PoToMRVWOIpDUomPlImp!$P$2=1,(S5/PoToMRVWOIpDUomPlImp!$S$7)*PoToMRVWOIpDUomPlImp!$E$20,AD5/PoToMRVWOIpDUomPlImp!$AD$7*PoToMRVWOIpDUomPlImp!$E$20)</f>
        <v>0</v>
      </c>
      <c r="AH5" s="31">
        <f>IF(PoToMRVWOIpDUomPlImp!$P$2=1,(S5/PoToMRVWOIpDUomPlImp!$S$7)*PoToMRVWOIpDUomPlImp!$E$21,AD5/PoToMRVWOIpDUomPlImp!$AD$7*PoToMRVWOIpDUomPlImp!$E$21)</f>
        <v>0</v>
      </c>
      <c r="AI5" s="31">
        <f>S5*PoToMRVWOIpDUomPlImp!$M$2</f>
        <v>104701.3</v>
      </c>
      <c r="AJ5" s="31">
        <f>IF(PoToMRVWOIpDUomPlImp!$C$2=3,0,AG5+AH5)</f>
        <v>0</v>
      </c>
      <c r="AK5" s="31">
        <f>IF(PoToMRVWOIpDUomPlImp!$C$2=3,AE5+AG5+AH5,0)</f>
        <v>0</v>
      </c>
      <c r="AL5" s="34">
        <v>3</v>
      </c>
      <c r="AM5" s="31">
        <f t="shared" si="10"/>
        <v>5</v>
      </c>
      <c r="AN5" s="31">
        <f>ROUND(AI5/AM5,5)</f>
        <v>20940.26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20940.26</v>
      </c>
      <c r="AS5" s="38" t="s">
        <v>118</v>
      </c>
      <c r="AT5" s="39" t="s">
        <v>76</v>
      </c>
      <c r="AU5" t="s" s="0">
        <v>326</v>
      </c>
      <c r="AV5" t="s" s="0">
        <v>123</v>
      </c>
      <c r="AW5" s="39">
        <f t="shared" si="13"/>
        <v>5</v>
      </c>
      <c r="AX5" s="46">
        <f t="shared" si="14"/>
        <v>20940.26</v>
      </c>
      <c r="AY5" s="39">
        <f t="shared" si="15"/>
        <v>18.333</v>
      </c>
      <c r="AZ5" s="46">
        <f>ROUND(((AU5*AV5)+(AW5*AX5))/(AU5+AW5),5)</f>
        <v>5890.25353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154</v>
      </c>
      <c r="BO5" s="39">
        <f>ROUND((((AW5*AZ5)+(BN5*BM5))/(AW5+BN5)),2)</f>
        <v>491.75</v>
      </c>
      <c r="BP5" s="48">
        <f t="shared" si="16"/>
        <v>115</v>
      </c>
      <c r="BQ5" s="49">
        <v>123562</v>
      </c>
    </row>
    <row r="6" ht="15.75" spans="1:69">
      <c r="A6" s="7">
        <v>1</v>
      </c>
      <c r="B6" s="7" t="s">
        <v>327</v>
      </c>
      <c r="C6" s="7" t="s">
        <v>327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IF(OR(PoToMRVWOIpDUomPlImp!$C$2=1,PoToMRVWOIpDUomPlImp!$C$2=4),ROUND((((S6*U6)/100)/2),2),0)</f>
        <v>0</v>
      </c>
      <c r="W6" s="8">
        <f>IF(PoToMRVWOIpDUomPlImp!$C$2=1,ROUND((((S6*U6)/100)/2),2),0)</f>
        <v>0</v>
      </c>
      <c r="X6" s="8">
        <f>IF(PoToMRVWOIpDUomPlImp!$C$2=2,ROUND(((S6*U6)/100),2),0)</f>
        <v>0</v>
      </c>
      <c r="Y6" s="8">
        <f>IF(PoToMRVWOIpDUomPlImp!$C$2=4,ROUND((((S6*U6)/100)/2),2),0)</f>
        <v>0</v>
      </c>
      <c r="Z6" s="8">
        <v>0</v>
      </c>
      <c r="AA6" s="8">
        <f>IF(PoToMRVWOIpDUomPlImp!$C4=3,0,(S6*Z6)/100)</f>
        <v>0</v>
      </c>
      <c r="AB6" s="8">
        <f t="shared" si="9"/>
        <v>0</v>
      </c>
      <c r="AC6" s="8">
        <f>IF(PoToMRVWOIpDUomPlImp!$V4=1,S6+AB6,S6)</f>
        <v>433.01</v>
      </c>
      <c r="AD6" s="31">
        <v>120</v>
      </c>
      <c r="AE6" s="31">
        <f>IF(PoToMRVWOIpDUomPlImp!$P$2=1,(S6/PoToMRVWOIpDUomPlImp!$S$7)*PoToMRVWOIpDUomPlImp!$E$18,AD6/PoToMRVWOIpDUomPlImp!$AD$7*PoToMRVWOIpDUomPlImp!$E$18)</f>
        <v>0</v>
      </c>
      <c r="AF6" s="31"/>
      <c r="AG6" s="31">
        <f>IF(PoToMRVWOIpDUomPlImp!$P$2=1,(S6/PoToMRVWOIpDUomPlImp!$S$7)*PoToMRVWOIpDUomPlImp!$E$20,AD6/PoToMRVWOIpDUomPlImp!$AD$7*PoToMRVWOIpDUomPlImp!$E$20)</f>
        <v>0</v>
      </c>
      <c r="AH6" s="31">
        <f>IF(PoToMRVWOIpDUomPlImp!$P$2=1,(S6/PoToMRVWOIpDUomPlImp!$S$7)*PoToMRVWOIpDUomPlImp!$E$21,AD6/PoToMRVWOIpDUomPlImp!$AD$7*PoToMRVWOIpDUomPlImp!$E$21)</f>
        <v>0</v>
      </c>
      <c r="AI6" s="31">
        <f>S6*PoToMRVWOIpDUomPlImp!$M$2</f>
        <v>36805.85</v>
      </c>
      <c r="AJ6" s="31">
        <f>IF(PoToMRVWOIpDUomPlImp!$C$2=3,0,AG6+AH6)</f>
        <v>0</v>
      </c>
      <c r="AK6" s="31">
        <f>IF(PoToMRVWOIpDUomPlImp!$C$2=3,AE6+AG6+AH6,0)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290</v>
      </c>
      <c r="AV6" t="s" s="0">
        <v>288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288</v>
      </c>
      <c r="BN6" t="s" s="0">
        <v>303</v>
      </c>
      <c r="BO6" s="39">
        <f>ROUND((((AW6*AZ6)+(BN6*BM6))/(AW6+BN6)),5)</f>
        <v>248.52743</v>
      </c>
      <c r="BP6" s="48">
        <f t="shared" si="16"/>
        <v>76.659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21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21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41</vt:i4>
      </vt:variant>
    </vt:vector>
  </HeadingPairs>
  <TitlesOfParts>
    <vt:vector size="41" baseType="lpstr">
      <vt:lpstr>StPoToMRVWFPl</vt:lpstr>
      <vt:lpstr>StPoToMRVWFRc</vt:lpstr>
      <vt:lpstr>StPoToMRVWF</vt:lpstr>
      <vt:lpstr>PoToMRVWFDUom</vt:lpstr>
      <vt:lpstr>PoToMRVWoQDUom</vt:lpstr>
      <vt:lpstr>PoToGrnUdSWoIpUom</vt:lpstr>
      <vt:lpstr>PoToMRVWOIpSer</vt:lpstr>
      <vt:lpstr>PoToMRVWOIpImp</vt:lpstr>
      <vt:lpstr>PoToMRVWOIp</vt:lpstr>
      <vt:lpstr>PoToMRVWoQSUomSSO</vt:lpstr>
      <vt:lpstr>PoToMRVWFSUom</vt:lpstr>
      <vt:lpstr>PoToMRVWFSUomserv</vt:lpstr>
      <vt:lpstr>PoToMRVWoQSUomRC</vt:lpstr>
      <vt:lpstr>PoToMRVWFSUomRC</vt:lpstr>
      <vt:lpstr>PoToMRVWFSUomPl</vt:lpstr>
      <vt:lpstr>PoToMRVWoQUomPl</vt:lpstr>
      <vt:lpstr>PoToMRVWFSUomservRc</vt:lpstr>
      <vt:lpstr>PoToMRVWoQSUomservRc</vt:lpstr>
      <vt:lpstr>PoToMRVWFSUomservPl</vt:lpstr>
      <vt:lpstr>PoToMRVWoQSUomservPl</vt:lpstr>
      <vt:lpstr>PoToMRVWOIpRc</vt:lpstr>
      <vt:lpstr>PoToMRVWOIpRcImp</vt:lpstr>
      <vt:lpstr>StPoToMRVWOIpDU</vt:lpstr>
      <vt:lpstr>StPoToMRVWOIpPl</vt:lpstr>
      <vt:lpstr>StPoToMRVWOIpRc</vt:lpstr>
      <vt:lpstr>StPoToMRVWOIp</vt:lpstr>
      <vt:lpstr>PoToMRVWOIpRcServ</vt:lpstr>
      <vt:lpstr>PoToMRVWOIpPl</vt:lpstr>
      <vt:lpstr>PoToMRVWOIpPlImp</vt:lpstr>
      <vt:lpstr>PoToMRVWOIpPlServ</vt:lpstr>
      <vt:lpstr>DifferentUOMUD</vt:lpstr>
      <vt:lpstr>PoToMRVWOIpDUom</vt:lpstr>
      <vt:lpstr>PoToMRVWOIpDUomImp</vt:lpstr>
      <vt:lpstr>PoToMRVWOIpDUomRc</vt:lpstr>
      <vt:lpstr>PoToMRVWOIpDUomRcImp</vt:lpstr>
      <vt:lpstr>PoToMRVWFPDUomRc</vt:lpstr>
      <vt:lpstr>PoToMRVWoQDUomRc</vt:lpstr>
      <vt:lpstr>PoToMRVWFPDUomPl</vt:lpstr>
      <vt:lpstr>PoToMRVWoQDUomPl</vt:lpstr>
      <vt:lpstr>PoToMRVWOIpDUomPl</vt:lpstr>
      <vt:lpstr>PoToMRVWOIpDUomPlImp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2026-01-09T14:04:45Z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