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120" tabRatio="703" firstSheet="3" activeTab="4"/>
  </bookViews>
  <sheets>
    <sheet name="StPoToMRVWFPl" sheetId="32" r:id="rId1"/>
    <sheet name="StPoToMRVWFRc" sheetId="31" r:id="rId2"/>
    <sheet name="StPoToMRVWF" sheetId="30" r:id="rId3"/>
    <sheet name="PoToMRVWFDUom" sheetId="29" r:id="rId4"/>
    <sheet name="PoToMRVWoQDUom" sheetId="39" r:id="rId5"/>
    <sheet name="PoToGrnUdSWoIpUom" sheetId="1" r:id="rId6"/>
    <sheet name="PoToMRVWOIpSer" sheetId="3" r:id="rId7"/>
    <sheet name="PoToMRVWOIp" sheetId="2" r:id="rId8"/>
    <sheet name="PoToMRVWoQSUom" sheetId="33" r:id="rId9"/>
    <sheet name="PoToMRVWFSUom" sheetId="14" r:id="rId10"/>
    <sheet name="PoToMRVWFSUomserv" sheetId="16" r:id="rId11"/>
    <sheet name="PoToMRVWoQSUomRC" sheetId="34" r:id="rId12"/>
    <sheet name="PoToMRVWFSUomRC" sheetId="18" r:id="rId13"/>
    <sheet name="PoToMRVWFSUomPl" sheetId="19" r:id="rId14"/>
    <sheet name="PoToMRVWoQUomPl" sheetId="36" r:id="rId15"/>
    <sheet name="PoToMRVWFSUomservRc" sheetId="17" r:id="rId16"/>
    <sheet name="PoToMRVWoQSUomservRc" sheetId="35" r:id="rId17"/>
    <sheet name="PoToMRVWFSUomservPl" sheetId="20" r:id="rId18"/>
    <sheet name="PoToMRVWoQSUomservPl" sheetId="37" r:id="rId19"/>
    <sheet name="PoToMRVWOIpRc" sheetId="4" r:id="rId20"/>
    <sheet name="StPoToMRVWOIpDU" sheetId="28" r:id="rId21"/>
    <sheet name="StPoToMRVWOIpPl" sheetId="27" r:id="rId22"/>
    <sheet name="StPoToMRVWOIpRc" sheetId="26" r:id="rId23"/>
    <sheet name="StPoToMRVWOIp" sheetId="24" r:id="rId24"/>
    <sheet name="PoToMRVWOIpRcServ" sheetId="5" r:id="rId25"/>
    <sheet name="PoToMRVWOIpPl" sheetId="6" r:id="rId26"/>
    <sheet name="PoToMRVWOIpPlServ" sheetId="7" r:id="rId27"/>
    <sheet name="DifferentUOMUD" sheetId="8" r:id="rId28"/>
    <sheet name="PoToMRVWOIpDUom" sheetId="9" r:id="rId29"/>
    <sheet name="PoToMRVWOIpDUomRc" sheetId="10" r:id="rId30"/>
    <sheet name="PoToMRVWFPDUomRc" sheetId="21" r:id="rId31"/>
    <sheet name="PoToMRVWoQDUomRc" sheetId="38" r:id="rId32"/>
    <sheet name="PoToMRVWFPDUomPl" sheetId="22" r:id="rId33"/>
    <sheet name="PoToMRVWOIpDUomPl" sheetId="11" r:id="rId3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<sst xmlns="http://schemas.openxmlformats.org/spreadsheetml/2006/main" count="4955" uniqueCount="265">
  <si>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</si>
  <si>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</si>
  <si>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</si>
  <si>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</si>
  <si>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</si>
  <si>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</si>
  <si>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</si>
  <si>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</si>
  <si>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</si>
  <si>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</si>
  <si>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</si>
  <si>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</si>
  <si>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</si>
  <si>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</si>
  <si>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</si>
  <si>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</si>
  <si>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</si>
  <si>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</si>
  <si>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CD%</t>
  </si>
  <si>
    <t>SD%</t>
  </si>
  <si>
    <t>TD Asbl. Val.</t>
  </si>
  <si>
    <t>TD Amt.</t>
  </si>
  <si>
    <t>CD Asbl. Val.</t>
  </si>
  <si>
    <t>CD Amt.</t>
  </si>
  <si>
    <t>VD Asbl. Val.</t>
  </si>
  <si>
    <t>SD Amt.</t>
  </si>
  <si>
    <t>Disc. Amt.</t>
  </si>
  <si>
    <t>Pur. Value</t>
  </si>
  <si>
    <t>HSN</t>
  </si>
  <si>
    <t>Tax%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</si>
  <si>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</si>
  <si>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</si>
  <si>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</si>
  <si>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</si>
  <si>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</si>
  <si>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</si>
  <si>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</si>
  <si>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</si>
  <si>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</si>
  <si>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</si>
  <si>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</si>
  <si>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</si>
  <si>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</si>
  <si>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</si>
  <si>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</si>
  <si>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</si>
  <si>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</si>
  <si>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</si>
  <si>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</si>
  <si>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</si>
  <si>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</si>
  <si>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</si>
  <si>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(Stk.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</si>
  <si>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</si>
  <si>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</si>
  <si>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</si>
  <si>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</si>
  <si>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</si>
  <si>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</si>
  <si>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</si>
  <si>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</si>
  <si>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</si>
  <si>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</si>
  <si>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</si>
  <si>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</si>
  <si>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</si>
  <si>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</si>
  <si>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</si>
  <si>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</si>
  <si>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</si>
  <si>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</si>
  <si>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</si>
  <si>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</si>
  <si>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</si>
  <si>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</si>
  <si>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GWL_Similar_Wf_Pl_St_01</t>
  </si>
  <si>
    <t>NOS</t>
  </si>
  <si>
    <t>150</t>
  </si>
  <si>
    <t>5</t>
  </si>
  <si>
    <t>IN WH-7</t>
  </si>
  <si>
    <t>Receipt Qty &amp; Unit cost</t>
  </si>
  <si>
    <t>LOT</t>
  </si>
  <si>
    <t>RM</t>
  </si>
  <si>
    <t>RMS</t>
  </si>
  <si>
    <t>RM WH-7</t>
  </si>
  <si>
    <t>0</t>
  </si>
  <si>
    <t>GWL_Similar_Wf_Pl_St_02</t>
  </si>
  <si>
    <t>100</t>
  </si>
  <si>
    <t>4</t>
  </si>
  <si>
    <t>Total</t>
  </si>
  <si>
    <t>Gross Purchase</t>
  </si>
  <si>
    <t>Conv factor</t>
  </si>
  <si>
    <t>ACPT</t>
  </si>
  <si>
    <t>Acpt Qty. * Insp. Unit Cost + OLD. Qty in GRN WH * OLD Unitcost in GRN WH / Acpt. Qty + OLD. Qty in GRN WH</t>
  </si>
  <si>
    <t>Disc amt</t>
  </si>
  <si>
    <t>KGS</t>
  </si>
  <si>
    <t>REJ</t>
  </si>
  <si>
    <t>Rej Qty. * Insp. Unit Cost + OLD. Qty in REJ WH * OLD Unitcost in REJ WH / Acpt. Qty + OLD. Qty in REJ WH</t>
  </si>
  <si>
    <t>Net Purchase</t>
  </si>
  <si>
    <t>MTR</t>
  </si>
  <si>
    <t>Tax Amt</t>
  </si>
  <si>
    <t>MT</t>
  </si>
  <si>
    <t>Gross Amont</t>
  </si>
  <si>
    <t>old</t>
  </si>
  <si>
    <t>new</t>
  </si>
  <si>
    <t>acpt Qty</t>
  </si>
  <si>
    <t>Inspection Unit Cost</t>
  </si>
  <si>
    <t>old Qty</t>
  </si>
  <si>
    <t>old UnitCost</t>
  </si>
  <si>
    <t>GWL_Similar_Wf_Rc_St_01</t>
  </si>
  <si>
    <t>GWL_Similar_Wf_Rc_St_02</t>
  </si>
  <si>
    <t>GWL_Similar_Wf_St_01</t>
  </si>
  <si>
    <t>GWL_Similar_Wf_St_02</t>
  </si>
  <si>
    <t>GWL_Dissimilar_01</t>
  </si>
  <si>
    <t>INS WH-1</t>
  </si>
  <si>
    <t>373.635</t>
  </si>
  <si>
    <t>RM WH-49</t>
  </si>
  <si>
    <t>13.332</t>
  </si>
  <si>
    <t>GWL_Dissimilar_02</t>
  </si>
  <si>
    <t>246.36</t>
  </si>
  <si>
    <t>12.666</t>
  </si>
  <si>
    <t>S. No.</t>
  </si>
  <si>
    <t>Item Desc.</t>
  </si>
  <si>
    <t>Order Qty (Pur UOM)</t>
  </si>
  <si>
    <t>SD Asbl. Val.</t>
  </si>
  <si>
    <t>Pur. Val.</t>
  </si>
  <si>
    <t>Tax Rate</t>
  </si>
  <si>
    <t>Unit Cost (Stock UOM)</t>
  </si>
  <si>
    <t>GWL_Item_Similar_04</t>
  </si>
  <si>
    <t>GWL_Item_Similar_04_Desc</t>
  </si>
  <si>
    <t>INS KD</t>
  </si>
  <si>
    <t>14090</t>
  </si>
  <si>
    <t>121.22038</t>
  </si>
  <si>
    <t>RM KD</t>
  </si>
  <si>
    <t>146.85967</t>
  </si>
  <si>
    <t>691</t>
  </si>
  <si>
    <t>GWL_Item_Similar_02</t>
  </si>
  <si>
    <t>32</t>
  </si>
  <si>
    <t>82.12</t>
  </si>
  <si>
    <t>86.37714</t>
  </si>
  <si>
    <t>21</t>
  </si>
  <si>
    <t>GWL_Item_Similar_05</t>
  </si>
  <si>
    <t>GWL_Item_Similar_05_Desc</t>
  </si>
  <si>
    <t>120</t>
  </si>
  <si>
    <t>43.3</t>
  </si>
  <si>
    <t>RM WH-49-4</t>
  </si>
  <si>
    <t>GWL_ITem_service_03</t>
  </si>
  <si>
    <t>110</t>
  </si>
  <si>
    <t>124.545</t>
  </si>
  <si>
    <t>GWL_Item_service_04</t>
  </si>
  <si>
    <t>36</t>
  </si>
  <si>
    <t>83.94449</t>
  </si>
  <si>
    <t>49</t>
  </si>
  <si>
    <t>GWL_Item_service_05</t>
  </si>
  <si>
    <t>220</t>
  </si>
  <si>
    <t>10</t>
  </si>
  <si>
    <t>30</t>
  </si>
  <si>
    <t>190</t>
  </si>
  <si>
    <t>GWL_Item_Similar_2</t>
  </si>
  <si>
    <t>48</t>
  </si>
  <si>
    <t>52</t>
  </si>
  <si>
    <t>130</t>
  </si>
  <si>
    <t>GWL_Item_WoQ_UD_Similar_01</t>
  </si>
  <si>
    <t>40</t>
  </si>
  <si>
    <t>GWL_Item_WoQ_UD_Similar_02</t>
  </si>
  <si>
    <t>16</t>
  </si>
  <si>
    <t>GWL_Item_WoQ_UD_Similar_03</t>
  </si>
  <si>
    <t>12</t>
  </si>
  <si>
    <t>GWL_Item_FP_service_01</t>
  </si>
  <si>
    <t>20</t>
  </si>
  <si>
    <t>GWL_Item_FP_service_02</t>
  </si>
  <si>
    <t>GWL_Item_FP_service_03</t>
  </si>
  <si>
    <t>GWL_Item_FP_Rc_01</t>
  </si>
  <si>
    <t>4125</t>
  </si>
  <si>
    <t>1724.727</t>
  </si>
  <si>
    <t>50</t>
  </si>
  <si>
    <t>GWL_Item_FP_Rc_02</t>
  </si>
  <si>
    <t>GWL_Item_FP_Rc_03</t>
  </si>
  <si>
    <t>3</t>
  </si>
  <si>
    <t>GWL_Item_FP_Pl_Similar_01</t>
  </si>
  <si>
    <t>GWL_Item_FP_Pl_Similar_02</t>
  </si>
  <si>
    <t>GWL_Item_FP_Pl_Similar_03</t>
  </si>
  <si>
    <t>1215.57818</t>
  </si>
  <si>
    <t>55</t>
  </si>
  <si>
    <t>GWL_Item_FP_Rc_Service_01</t>
  </si>
  <si>
    <t>GWL_Item_FP_Rc_Service_02</t>
  </si>
  <si>
    <t>GWL_Item_FP_Rc_Service_03</t>
  </si>
  <si>
    <t>GWL_Item_FP_Pl_Service_01</t>
  </si>
  <si>
    <t>GWL_Item_FP_Pl_Service_02</t>
  </si>
  <si>
    <t>GWL_Item_FP_Pl_Service_03</t>
  </si>
  <si>
    <t>GWL_Item_Similar_Rc_01</t>
  </si>
  <si>
    <t>15</t>
  </si>
  <si>
    <t>41.515</t>
  </si>
  <si>
    <t>GWL_Item_Similar_Rc_02</t>
  </si>
  <si>
    <t>6</t>
  </si>
  <si>
    <t>80.41</t>
  </si>
  <si>
    <t>GWL_Item_Similar_Rc_03</t>
  </si>
  <si>
    <t>7</t>
  </si>
  <si>
    <t>GWL_Dissimilar_St_01</t>
  </si>
  <si>
    <t>GWL_Dissimilar_St_02</t>
  </si>
  <si>
    <t>GWL_similar_Pl_St_01</t>
  </si>
  <si>
    <t>99000</t>
  </si>
  <si>
    <t>GWL_similar_Pl_St_02</t>
  </si>
  <si>
    <t>GWL_Item_Similar_Rc_St_01</t>
  </si>
  <si>
    <t>GWL_Item_Similar_Rc_St_02</t>
  </si>
  <si>
    <t>GWL_Item_Similar_St_08</t>
  </si>
  <si>
    <t>46</t>
  </si>
  <si>
    <t>63.67391</t>
  </si>
  <si>
    <t>GWL_Item_Similar_St_09</t>
  </si>
  <si>
    <t>64</t>
  </si>
  <si>
    <t>122.4375</t>
  </si>
  <si>
    <t>GWL_Item_Service_Rc_04</t>
  </si>
  <si>
    <t>GWL_Item_Service_Rc_05</t>
  </si>
  <si>
    <t>GWL_Item_Service_Rc_06</t>
  </si>
  <si>
    <t>GWL_Item_Similar_Pl_01</t>
  </si>
  <si>
    <t>GWL_Item_Similar_Pl_02</t>
  </si>
  <si>
    <t>8</t>
  </si>
  <si>
    <t>GWL_Item_Similar_Pl_03</t>
  </si>
  <si>
    <t>GWL_Item_Service_Pl_01</t>
  </si>
  <si>
    <t>GWL_Item_Service_Pl_02</t>
  </si>
  <si>
    <t>GWL_Item_Service_Pl_03</t>
  </si>
  <si>
    <t>HSN1</t>
  </si>
  <si>
    <t>487.4072</t>
  </si>
  <si>
    <t>337.5</t>
  </si>
  <si>
    <t>HSN2</t>
  </si>
  <si>
    <t>355.91161</t>
  </si>
  <si>
    <t>302.4</t>
  </si>
  <si>
    <t>HSN3</t>
  </si>
  <si>
    <t>0.0847</t>
  </si>
  <si>
    <t>RMN</t>
  </si>
  <si>
    <t>999000</t>
  </si>
  <si>
    <t>GWL_Item_Dissimilar_03</t>
  </si>
  <si>
    <t>3.333</t>
  </si>
  <si>
    <t>GWL_Item_Dissimilar_04</t>
  </si>
  <si>
    <t>3.999</t>
  </si>
  <si>
    <t>2.666</t>
  </si>
  <si>
    <t>GWL_Item_Dissimilar_05</t>
  </si>
  <si>
    <t>9.999</t>
  </si>
  <si>
    <t>129.9</t>
  </si>
  <si>
    <t>6.666</t>
  </si>
  <si>
    <t>GWL_Item_Dissimilar_Rc_01</t>
  </si>
  <si>
    <t>GWL_Item_Dissimilar_Rc_02</t>
  </si>
  <si>
    <t>1.333</t>
  </si>
  <si>
    <t>GWL_Item_Dissimilar_Rc_03</t>
  </si>
  <si>
    <t>GWL_Item_FP_Rc_Dissimilar_01</t>
  </si>
  <si>
    <t>GWL_Item_FP_Rc_Dissimilar_02</t>
  </si>
  <si>
    <t>GWL_Item_FP_Rc_Dissimilar_03</t>
  </si>
  <si>
    <t>2660.13181</t>
  </si>
  <si>
    <t>34.999</t>
  </si>
  <si>
    <t>39.001</t>
  </si>
  <si>
    <t>26.331</t>
  </si>
  <si>
    <t>GWL_Item_FP_Pl_Dissimilar_01</t>
  </si>
  <si>
    <t>GWL_Item_FP_Pl_Dissimilar_02</t>
  </si>
  <si>
    <t>6.667</t>
  </si>
  <si>
    <t>GWL_Item_FP_Pl_Dissimilar_03</t>
  </si>
  <si>
    <t>GWL_Item_Dissimilar_Pl_01</t>
  </si>
  <si>
    <t>GWL_Item_Dissimilar_Pl_02</t>
  </si>
  <si>
    <t>GWL_Item_Dissimilar_Pl_03</t>
  </si>
  <si>
    <t>30824.8875</t>
  </si>
  <si>
    <t>30.001</t>
  </si>
  <si>
    <t>15310.03889</t>
  </si>
  <si>
    <t>19.333</t>
  </si>
  <si>
    <t>33.334</t>
  </si>
  <si>
    <t>13816.57773</t>
  </si>
  <si>
    <t>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</si>
</sst>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0.000"/>
    <numFmt numFmtId="182" formatCode="0.00;[Red]0.00"/>
  </numFmts>
  <fonts count="25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color rgb="FF004153"/>
      <name val="Arial"/>
      <charset val="134"/>
    </font>
    <font>
      <sz val="11"/>
      <color rgb="FF000000"/>
      <name val="Calibri Light"/>
      <charset val="134"/>
    </font>
    <font>
      <sz val="9"/>
      <color rgb="FF00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82909634693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7" tint="0.79985961485641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20">
    <border>
      <left/>
      <right/>
      <top/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/>
      <right/>
      <top style="medium">
        <color rgb="FF0070C0"/>
      </top>
      <bottom style="medium">
        <color rgb="FF0070C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/>
      <top style="medium">
        <color rgb="FF0070C0"/>
      </top>
      <bottom style="medium">
        <color rgb="FF0070C0"/>
      </bottom>
      <diagonal/>
    </border>
    <border>
      <left style="medium">
        <color rgb="FF0070C0"/>
      </left>
      <right style="medium">
        <color rgb="FF0070C0"/>
      </right>
      <top/>
      <bottom style="medium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 style="thin">
        <color rgb="FF0070C0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 style="thin">
        <color rgb="FF0070C0"/>
      </right>
      <top style="double">
        <color rgb="FF0070C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1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13" applyNumberFormat="0" applyFill="0" applyAlignment="0" applyProtection="0">
      <alignment vertical="center"/>
    </xf>
    <xf numFmtId="0" fontId="12" fillId="0" borderId="13" applyNumberFormat="0" applyFill="0" applyAlignment="0" applyProtection="0">
      <alignment vertical="center"/>
    </xf>
    <xf numFmtId="0" fontId="13" fillId="0" borderId="1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15" applyNumberFormat="0" applyAlignment="0" applyProtection="0">
      <alignment vertical="center"/>
    </xf>
    <xf numFmtId="0" fontId="15" fillId="15" borderId="16" applyNumberFormat="0" applyAlignment="0" applyProtection="0">
      <alignment vertical="center"/>
    </xf>
    <xf numFmtId="0" fontId="16" fillId="15" borderId="15" applyNumberFormat="0" applyAlignment="0" applyProtection="0">
      <alignment vertical="center"/>
    </xf>
    <xf numFmtId="0" fontId="17" fillId="16" borderId="17" applyNumberFormat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21">
    <xf numFmtId="0" fontId="0" fillId="0" borderId="0" xfId="0">
      <alignment vertical="center"/>
    </xf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/>
    <xf numFmtId="0" fontId="2" fillId="0" borderId="1" xfId="0" applyNumberFormat="1" applyFont="1" applyFill="1" applyBorder="1" applyAlignment="1"/>
    <xf numFmtId="0" fontId="2" fillId="0" borderId="0" xfId="0" applyFont="1" applyFill="1" applyAlignment="1"/>
    <xf numFmtId="0" fontId="0" fillId="0" borderId="0" xfId="0" applyFill="1" applyBorder="1" applyAlignment="1"/>
    <xf numFmtId="0" fontId="1" fillId="3" borderId="2" xfId="0" applyFont="1" applyFill="1" applyBorder="1" applyAlignment="1"/>
    <xf numFmtId="0" fontId="1" fillId="3" borderId="3" xfId="0" applyFont="1" applyFill="1" applyBorder="1" applyAlignment="1"/>
    <xf numFmtId="0" fontId="1" fillId="3" borderId="1" xfId="0" applyNumberFormat="1" applyFont="1" applyFill="1" applyBorder="1" applyAlignment="1"/>
    <xf numFmtId="0" fontId="2" fillId="0" borderId="4" xfId="0" applyFont="1" applyFill="1" applyBorder="1" applyAlignment="1">
      <alignment horizontal="left"/>
    </xf>
    <xf numFmtId="0" fontId="2" fillId="0" borderId="3" xfId="0" applyFont="1" applyFill="1" applyBorder="1" applyAlignment="1">
      <alignment horizontal="left"/>
    </xf>
    <xf numFmtId="0" fontId="2" fillId="0" borderId="0" xfId="0" applyFont="1" applyFill="1" applyBorder="1" applyAlignment="1"/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right"/>
    </xf>
    <xf numFmtId="0" fontId="1" fillId="6" borderId="4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0" borderId="5" xfId="0" applyFont="1" applyFill="1" applyBorder="1" applyAlignment="1"/>
    <xf numFmtId="0" fontId="1" fillId="7" borderId="1" xfId="0" applyFont="1" applyFill="1" applyBorder="1" applyAlignment="1">
      <alignment horizontal="right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/>
    <xf numFmtId="2" fontId="1" fillId="3" borderId="1" xfId="0" applyNumberFormat="1" applyFont="1" applyFill="1" applyBorder="1" applyAlignment="1"/>
    <xf numFmtId="0" fontId="1" fillId="8" borderId="5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80" fontId="2" fillId="0" borderId="1" xfId="0" applyNumberFormat="1" applyFont="1" applyFill="1" applyBorder="1" applyAlignment="1"/>
    <xf numFmtId="2" fontId="2" fillId="0" borderId="1" xfId="0" applyNumberFormat="1" applyFont="1" applyFill="1" applyBorder="1" applyAlignment="1"/>
    <xf numFmtId="0" fontId="1" fillId="7" borderId="1" xfId="0" applyFont="1" applyFill="1" applyBorder="1" applyAlignment="1"/>
    <xf numFmtId="2" fontId="1" fillId="7" borderId="1" xfId="0" applyNumberFormat="1" applyFont="1" applyFill="1" applyBorder="1" applyAlignment="1"/>
    <xf numFmtId="181" fontId="2" fillId="0" borderId="1" xfId="0" applyNumberFormat="1" applyFont="1" applyFill="1" applyBorder="1" applyAlignment="1"/>
    <xf numFmtId="0" fontId="1" fillId="9" borderId="1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2" fillId="2" borderId="6" xfId="0" applyFont="1" applyFill="1" applyBorder="1" applyAlignment="1"/>
    <xf numFmtId="0" fontId="3" fillId="10" borderId="7" xfId="0" applyFont="1" applyFill="1" applyBorder="1">
      <alignment vertical="center"/>
    </xf>
    <xf numFmtId="0" fontId="2" fillId="0" borderId="8" xfId="0" applyNumberFormat="1" applyFont="1" applyFill="1" applyBorder="1" applyAlignment="1"/>
    <xf numFmtId="0" fontId="0" fillId="0" borderId="0" xfId="0" applyFill="1" applyAlignment="1"/>
    <xf numFmtId="0" fontId="2" fillId="2" borderId="9" xfId="0" applyFont="1" applyFill="1" applyBorder="1" applyAlignment="1"/>
    <xf numFmtId="181" fontId="2" fillId="0" borderId="8" xfId="0" applyNumberFormat="1" applyFont="1" applyFill="1" applyBorder="1" applyAlignment="1"/>
    <xf numFmtId="0" fontId="0" fillId="0" borderId="8" xfId="0" applyNumberFormat="1" applyFill="1" applyBorder="1" applyAlignment="1"/>
    <xf numFmtId="0" fontId="0" fillId="0" borderId="10" xfId="0" applyNumberFormat="1" applyFill="1" applyBorder="1" applyAlignment="1"/>
    <xf numFmtId="0" fontId="0" fillId="0" borderId="10" xfId="0" applyNumberFormat="1" applyFont="1" applyFill="1" applyBorder="1" applyAlignment="1">
      <alignment vertical="center"/>
    </xf>
    <xf numFmtId="180" fontId="2" fillId="0" borderId="8" xfId="0" applyNumberFormat="1" applyFont="1" applyFill="1" applyBorder="1" applyAlignment="1"/>
    <xf numFmtId="0" fontId="3" fillId="0" borderId="0" xfId="0" applyFont="1">
      <alignment vertical="center"/>
    </xf>
    <xf numFmtId="0" fontId="0" fillId="0" borderId="0" xfId="0" applyNumberFormat="1" applyFill="1" applyAlignment="1"/>
    <xf numFmtId="0" fontId="0" fillId="0" borderId="0" xfId="0" applyNumberFormat="1" applyFill="1" applyAlignment="1">
      <alignment horizontal="center"/>
    </xf>
    <xf numFmtId="182" fontId="2" fillId="0" borderId="8" xfId="0" applyNumberFormat="1" applyFont="1" applyFill="1" applyBorder="1" applyAlignment="1"/>
    <xf numFmtId="0" fontId="0" fillId="0" borderId="0" xfId="49" applyFont="1"/>
    <xf numFmtId="0" fontId="1" fillId="0" borderId="0" xfId="49" applyFont="1" applyFill="1" applyBorder="1"/>
    <xf numFmtId="0" fontId="1" fillId="0" borderId="0" xfId="49" applyFont="1" applyFill="1" applyBorder="1" applyAlignment="1">
      <alignment horizontal="center"/>
    </xf>
    <xf numFmtId="0" fontId="2" fillId="0" borderId="0" xfId="49" applyFont="1" applyFill="1" applyBorder="1" applyAlignment="1">
      <alignment horizontal="left" vertical="center"/>
    </xf>
    <xf numFmtId="0" fontId="1" fillId="0" borderId="0" xfId="49" applyFont="1" applyFill="1" applyBorder="1" applyAlignment="1">
      <alignment horizontal="center" vertical="center"/>
    </xf>
    <xf numFmtId="0" fontId="1" fillId="0" borderId="0" xfId="49" applyFont="1" applyFill="1" applyBorder="1" applyAlignment="1">
      <alignment horizontal="left" vertical="center"/>
    </xf>
    <xf numFmtId="0" fontId="1" fillId="2" borderId="1" xfId="49" applyFont="1" applyFill="1" applyBorder="1" applyAlignment="1">
      <alignment horizontal="center" vertical="center"/>
    </xf>
    <xf numFmtId="0" fontId="2" fillId="0" borderId="1" xfId="49" applyFont="1" applyBorder="1"/>
    <xf numFmtId="0" fontId="2" fillId="0" borderId="1" xfId="49" applyNumberFormat="1" applyFont="1" applyBorder="1"/>
    <xf numFmtId="0" fontId="2" fillId="0" borderId="0" xfId="49" applyFont="1"/>
    <xf numFmtId="0" fontId="1" fillId="3" borderId="4" xfId="49" applyFont="1" applyFill="1" applyBorder="1" applyAlignment="1"/>
    <xf numFmtId="0" fontId="1" fillId="3" borderId="2" xfId="49" applyFont="1" applyFill="1" applyBorder="1" applyAlignment="1"/>
    <xf numFmtId="0" fontId="1" fillId="3" borderId="3" xfId="49" applyFont="1" applyFill="1" applyBorder="1" applyAlignment="1"/>
    <xf numFmtId="0" fontId="1" fillId="3" borderId="1" xfId="49" applyFont="1" applyFill="1" applyBorder="1"/>
    <xf numFmtId="0" fontId="2" fillId="0" borderId="4" xfId="49" applyFont="1" applyBorder="1" applyAlignment="1">
      <alignment horizontal="left"/>
    </xf>
    <xf numFmtId="0" fontId="2" fillId="0" borderId="3" xfId="49" applyFont="1" applyBorder="1" applyAlignment="1">
      <alignment horizontal="left"/>
    </xf>
    <xf numFmtId="0" fontId="2" fillId="0" borderId="0" xfId="49" applyFont="1" applyFill="1" applyBorder="1"/>
    <xf numFmtId="0" fontId="1" fillId="4" borderId="1" xfId="49" applyFont="1" applyFill="1" applyBorder="1" applyAlignment="1">
      <alignment horizontal="center" vertical="center"/>
    </xf>
    <xf numFmtId="0" fontId="1" fillId="11" borderId="1" xfId="49" applyFont="1" applyFill="1" applyBorder="1" applyAlignment="1">
      <alignment horizontal="center" vertical="center"/>
    </xf>
    <xf numFmtId="0" fontId="1" fillId="0" borderId="1" xfId="49" applyFont="1" applyBorder="1" applyAlignment="1">
      <alignment horizontal="right"/>
    </xf>
    <xf numFmtId="0" fontId="2" fillId="0" borderId="0" xfId="49" applyFont="1" applyAlignment="1"/>
    <xf numFmtId="0" fontId="1" fillId="6" borderId="4" xfId="49" applyFont="1" applyFill="1" applyBorder="1" applyAlignment="1">
      <alignment horizontal="center"/>
    </xf>
    <xf numFmtId="0" fontId="1" fillId="6" borderId="2" xfId="49" applyFont="1" applyFill="1" applyBorder="1" applyAlignment="1">
      <alignment horizontal="center"/>
    </xf>
    <xf numFmtId="0" fontId="1" fillId="6" borderId="3" xfId="49" applyFont="1" applyFill="1" applyBorder="1" applyAlignment="1">
      <alignment horizontal="center"/>
    </xf>
    <xf numFmtId="0" fontId="2" fillId="0" borderId="5" xfId="49" applyFont="1" applyBorder="1"/>
    <xf numFmtId="0" fontId="1" fillId="7" borderId="1" xfId="49" applyFont="1" applyFill="1" applyBorder="1" applyAlignment="1">
      <alignment horizontal="right"/>
    </xf>
    <xf numFmtId="0" fontId="1" fillId="8" borderId="1" xfId="49" applyFont="1" applyFill="1" applyBorder="1" applyAlignment="1">
      <alignment horizontal="center" vertical="center"/>
    </xf>
    <xf numFmtId="2" fontId="2" fillId="0" borderId="1" xfId="49" applyNumberFormat="1" applyFont="1" applyBorder="1"/>
    <xf numFmtId="10" fontId="2" fillId="0" borderId="1" xfId="49" applyNumberFormat="1" applyFont="1" applyBorder="1"/>
    <xf numFmtId="0" fontId="1" fillId="3" borderId="1" xfId="49" applyNumberFormat="1" applyFont="1" applyFill="1" applyBorder="1"/>
    <xf numFmtId="0" fontId="1" fillId="8" borderId="5" xfId="49" applyFont="1" applyFill="1" applyBorder="1" applyAlignment="1">
      <alignment horizontal="center" vertical="center"/>
    </xf>
    <xf numFmtId="0" fontId="1" fillId="7" borderId="1" xfId="49" applyFont="1" applyFill="1" applyBorder="1" applyAlignment="1">
      <alignment horizontal="center" vertical="center"/>
    </xf>
    <xf numFmtId="9" fontId="2" fillId="0" borderId="1" xfId="49" applyNumberFormat="1" applyFont="1" applyBorder="1"/>
    <xf numFmtId="9" fontId="1" fillId="3" borderId="1" xfId="49" applyNumberFormat="1" applyFont="1" applyFill="1" applyBorder="1"/>
    <xf numFmtId="0" fontId="1" fillId="7" borderId="1" xfId="49" applyFont="1" applyFill="1" applyBorder="1"/>
    <xf numFmtId="2" fontId="1" fillId="7" borderId="1" xfId="49" applyNumberFormat="1" applyFont="1" applyFill="1" applyBorder="1"/>
    <xf numFmtId="181" fontId="2" fillId="0" borderId="1" xfId="49" applyNumberFormat="1" applyFont="1" applyBorder="1"/>
    <xf numFmtId="0" fontId="1" fillId="9" borderId="1" xfId="49" applyFont="1" applyFill="1" applyBorder="1" applyAlignment="1">
      <alignment horizontal="center" vertical="center" wrapText="1"/>
    </xf>
    <xf numFmtId="0" fontId="1" fillId="2" borderId="6" xfId="49" applyFont="1" applyFill="1" applyBorder="1" applyAlignment="1">
      <alignment horizontal="center" vertical="center"/>
    </xf>
    <xf numFmtId="0" fontId="2" fillId="2" borderId="6" xfId="49" applyFont="1" applyFill="1" applyBorder="1"/>
    <xf numFmtId="0" fontId="2" fillId="0" borderId="8" xfId="49" applyNumberFormat="1" applyFont="1" applyBorder="1"/>
    <xf numFmtId="0" fontId="2" fillId="0" borderId="8" xfId="49" applyFont="1" applyBorder="1"/>
    <xf numFmtId="0" fontId="2" fillId="2" borderId="9" xfId="49" applyFont="1" applyFill="1" applyBorder="1"/>
    <xf numFmtId="0" fontId="0" fillId="0" borderId="8" xfId="49" applyNumberFormat="1" applyFont="1" applyBorder="1"/>
    <xf numFmtId="0" fontId="0" fillId="0" borderId="10" xfId="49" applyNumberFormat="1" applyFont="1" applyBorder="1"/>
    <xf numFmtId="0" fontId="0" fillId="0" borderId="10" xfId="49" applyNumberFormat="1" applyFont="1" applyBorder="1" applyAlignment="1">
      <alignment vertical="center"/>
    </xf>
    <xf numFmtId="0" fontId="0" fillId="0" borderId="10" xfId="49" applyFont="1" applyBorder="1" applyAlignment="1">
      <alignment vertical="center"/>
    </xf>
    <xf numFmtId="0" fontId="2" fillId="2" borderId="6" xfId="49" applyFont="1" applyFill="1" applyBorder="1" applyAlignment="1"/>
    <xf numFmtId="0" fontId="0" fillId="0" borderId="0" xfId="49" applyNumberFormat="1" applyFont="1"/>
    <xf numFmtId="0" fontId="0" fillId="0" borderId="0" xfId="49" applyNumberFormat="1" applyFont="1" applyAlignment="1">
      <alignment horizontal="center"/>
    </xf>
    <xf numFmtId="0" fontId="2" fillId="0" borderId="1" xfId="0" applyFont="1" applyFill="1" applyBorder="1" applyAlignment="1">
      <alignment wrapText="1"/>
    </xf>
    <xf numFmtId="0" fontId="4" fillId="0" borderId="1" xfId="0" applyFont="1" applyBorder="1" applyAlignment="1"/>
    <xf numFmtId="2" fontId="2" fillId="0" borderId="8" xfId="0" applyNumberFormat="1" applyFont="1" applyFill="1" applyBorder="1" applyAlignment="1"/>
    <xf numFmtId="0" fontId="1" fillId="2" borderId="11" xfId="0" applyFont="1" applyFill="1" applyBorder="1" applyAlignment="1">
      <alignment horizontal="center" vertical="center"/>
    </xf>
    <xf numFmtId="0" fontId="2" fillId="0" borderId="4" xfId="0" applyFont="1" applyFill="1" applyBorder="1" applyAlignment="1"/>
    <xf numFmtId="0" fontId="5" fillId="0" borderId="10" xfId="0" applyFont="1" applyBorder="1">
      <alignment vertical="center"/>
    </xf>
    <xf numFmtId="0" fontId="2" fillId="0" borderId="3" xfId="0" applyFont="1" applyFill="1" applyBorder="1" applyAlignment="1"/>
    <xf numFmtId="0" fontId="2" fillId="0" borderId="10" xfId="0" applyFont="1" applyFill="1" applyBorder="1" applyAlignment="1"/>
    <xf numFmtId="0" fontId="2" fillId="0" borderId="10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left" vertical="center"/>
    </xf>
    <xf numFmtId="0" fontId="1" fillId="2" borderId="5" xfId="0" applyFont="1" applyFill="1" applyBorder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 wrapText="1"/>
    </xf>
    <xf numFmtId="0" fontId="1" fillId="9" borderId="5" xfId="0" applyFont="1" applyFill="1" applyBorder="1" applyAlignment="1">
      <alignment horizontal="center" vertical="center"/>
    </xf>
    <xf numFmtId="0" fontId="0" fillId="0" borderId="10" xfId="0" applyFill="1" applyBorder="1" applyAlignment="1">
      <alignment vertical="center"/>
    </xf>
    <xf numFmtId="0" fontId="2" fillId="0" borderId="0" xfId="0" applyFont="1" applyFill="1" applyAlignment="1" quotePrefix="1"/>
    <xf numFmtId="0" fontId="2" fillId="0" borderId="0" xfId="49" applyFont="1" quotePrefix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theme/theme1.xml" Type="http://schemas.openxmlformats.org/officeDocument/2006/relationships/theme"/><Relationship Id="rId36" Target="sharedStrings.xml" Type="http://schemas.openxmlformats.org/officeDocument/2006/relationships/sharedStrings"/><Relationship Id="rId37" Target="styles.xml" Type="http://schemas.openxmlformats.org/officeDocument/2006/relationships/styles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8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1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5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6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7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29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0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1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2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3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_rels/sheet34.xml.rels><?xml version="1.0" encoding="UTF-8" standalone="yes"?><Relationships xmlns="http://schemas.openxmlformats.org/package/2006/relationships"><Relationship Id="rId1" Target="http://invalid.uri/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2" sqref="G12:H12"/>
    </sheetView>
  </sheetViews>
  <sheetFormatPr defaultColWidth="8.85185185185185" defaultRowHeight="14.4"/>
  <cols>
    <col min="2" max="2" customWidth="true" width="28.0"/>
    <col min="3" max="3" customWidth="true" width="24.1388888888889"/>
    <col min="13" max="13" customWidth="true" width="9.13888888888889"/>
    <col min="14" max="14" customWidth="true" width="13.851851851851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75</v>
      </c>
      <c r="C4" s="7" t="s">
        <v>75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15" spans="1:69">
      <c r="A5" s="7">
        <v>1</v>
      </c>
      <c r="B5" s="7" t="s">
        <v>86</v>
      </c>
      <c r="C5" s="7" t="s">
        <v>86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IF(OR(StPoToMRVWFPl!$C$2=1,StPoToMRVWFPl!$C$2=4),ROUND((((S5*U5)/100)/2),2),0)</f>
        <v>0</v>
      </c>
      <c r="W5" s="8">
        <f>IF(StPoToMRVWFPl!$C$2=1,ROUND((((S5*U5)/100)/2),2),0)</f>
        <v>0</v>
      </c>
      <c r="X5" s="8">
        <f>IF(StPoToMRVWFPl!$C$2=2,ROUND(((S5*U5)/100),2),0)</f>
        <v>69.12</v>
      </c>
      <c r="Y5" s="8">
        <f>IF(StPoToMRVWFPl!$C$2=4,ROUND((((S5*U5)/100)/2),2),0)</f>
        <v>0</v>
      </c>
      <c r="Z5" s="8">
        <v>0</v>
      </c>
      <c r="AA5" s="8">
        <f>IF(StPoToMRVWFPl!$C3=3,0,(S5*Z5)/100)</f>
        <v>0</v>
      </c>
      <c r="AB5" s="8">
        <f>V5+W5+X5+Y5+AA5</f>
        <v>69.12</v>
      </c>
      <c r="AC5" s="8">
        <f>IF(StPoToMRVWFPl!$V3=1,S5+AB5,S5)</f>
        <v>384</v>
      </c>
      <c r="AD5" s="31">
        <v>120</v>
      </c>
      <c r="AE5" s="31">
        <f>IF(StPoToMRVWFPl!$P$2=1,(S5/StPoToMRVWFPl!$S$6)*StPoToMRVWFPl!$E$17,AD5/StPoToMRVWFPl!$AD$6*StPoToMRVWFPl!$E$17)</f>
        <v>0</v>
      </c>
      <c r="AF5" s="31"/>
      <c r="AG5" s="31">
        <f>IF(StPoToMRVWFPl!$P$2=1,(S5/StPoToMRVWFPl!$S$6)*StPoToMRVWFPl!$E$19,AD5/StPoToMRVWFPl!$AD$6*StPoToMRVWFPl!$E$19)</f>
        <v>0</v>
      </c>
      <c r="AH5" s="31">
        <f>IF(StPoToMRVWFPl!$P$2=1,(S5/StPoToMRVWFPl!$S$6)*StPoToMRVWFPl!$E$20,AD5/StPoToMRVWFPl!$AD$6*StPoToMRVWFPl!$E$20)</f>
        <v>0</v>
      </c>
      <c r="AI5" s="31">
        <f>S5*StPoToMRVWFPl!$M$2</f>
        <v>384</v>
      </c>
      <c r="AJ5" s="31">
        <f>IF(StPoToMRVWFPl!$C$2=3,0,AG5+AH5)</f>
        <v>0</v>
      </c>
      <c r="AK5" s="31">
        <f>IF(StPoToMRVWFPl!$C$2=3,AE5+AG5+AH5,0)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C19" sqref="C19"/>
    </sheetView>
  </sheetViews>
  <sheetFormatPr defaultColWidth="8.85185185185185" defaultRowHeight="14.4"/>
  <cols>
    <col min="2" max="2" customWidth="true" width="28.0"/>
    <col min="3" max="3" customWidth="true" width="24.1388888888889"/>
    <col min="13" max="13" customWidth="true" width="9.13888888888889"/>
    <col min="14" max="14" customWidth="true" width="13.851851851851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109</v>
      </c>
      <c r="C4" s="7" t="s">
        <v>109</v>
      </c>
      <c r="D4" s="7" t="s">
        <v>76</v>
      </c>
      <c r="E4" s="7" t="s">
        <v>76</v>
      </c>
      <c r="F4" s="8">
        <v>5</v>
      </c>
      <c r="G4" s="0">
        <v>150</v>
      </c>
      <c r="H4" s="8">
        <f>F4*G4</f>
        <v>750</v>
      </c>
      <c r="I4" s="0">
        <v>5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5</v>
      </c>
      <c r="BQ4" s="49">
        <v>123562</v>
      </c>
    </row>
    <row r="5" ht="15.15" spans="1:69">
      <c r="A5" s="7">
        <v>1</v>
      </c>
      <c r="B5" s="7" t="s">
        <v>110</v>
      </c>
      <c r="C5" s="7" t="s">
        <v>110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4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IF(OR(StPoToMRVWFRc!$C$2=1,StPoToMRVWFRc!$C$2=4),ROUND((((S5*U5)/100)/2),2),0)</f>
        <v>0</v>
      </c>
      <c r="W5" s="8">
        <f>IF(StPoToMRVWFRc!$C$2=1,ROUND((((S5*U5)/100)/2),2),0)</f>
        <v>0</v>
      </c>
      <c r="X5" s="8">
        <f>IF(StPoToMRVWFRc!$C$2=2,ROUND(((S5*U5)/100),2),0)</f>
        <v>69.12</v>
      </c>
      <c r="Y5" s="8">
        <f>IF(StPoToMRVWFRc!$C$2=4,ROUND((((S5*U5)/100)/2),2),0)</f>
        <v>0</v>
      </c>
      <c r="Z5" s="8">
        <v>0</v>
      </c>
      <c r="AA5" s="8">
        <f>IF(StPoToMRVWFRc!$C3=3,0,(S5*Z5)/100)</f>
        <v>0</v>
      </c>
      <c r="AB5" s="8">
        <f>V5+W5+X5+Y5+AA5</f>
        <v>69.12</v>
      </c>
      <c r="AC5" s="8">
        <f>IF(StPoToMRVWFRc!$V3=1,S5+AB5,S5)</f>
        <v>384</v>
      </c>
      <c r="AD5" s="31">
        <v>120</v>
      </c>
      <c r="AE5" s="31">
        <f>IF(StPoToMRVWFRc!$P$2=1,(S5/StPoToMRVWFRc!$S$6)*StPoToMRVWFRc!$E$17,AD5/StPoToMRVWFRc!$AD$6*StPoToMRVWFRc!$E$17)</f>
        <v>0</v>
      </c>
      <c r="AF5" s="31"/>
      <c r="AG5" s="31">
        <f>IF(StPoToMRVWFRc!$P$2=1,(S5/StPoToMRVWFRc!$S$6)*StPoToMRVWFRc!$E$19,AD5/StPoToMRVWFRc!$AD$6*StPoToMRVWFRc!$E$19)</f>
        <v>0</v>
      </c>
      <c r="AH5" s="31">
        <f>IF(StPoToMRVWFRc!$P$2=1,(S5/StPoToMRVWFRc!$S$6)*StPoToMRVWFRc!$E$20,AD5/StPoToMRVWFRc!$AD$6*StPoToMRVWFRc!$E$20)</f>
        <v>0</v>
      </c>
      <c r="AI5" s="31">
        <f>S5*StPoToMRVWFRc!$M$2</f>
        <v>384</v>
      </c>
      <c r="AJ5" s="31">
        <f>IF(StPoToMRVWFRc!$C$2=3,0,AG5+AH5)</f>
        <v>0</v>
      </c>
      <c r="AK5" s="31">
        <f>IF(StPoToMRVWFRc!$C$2=3,AE5+AG5+AH5,0)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96</v>
      </c>
      <c r="BP5" s="48">
        <f>ROUND(BN5+AW5,3)</f>
        <v>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4" sqref="B4"/>
    </sheetView>
  </sheetViews>
  <sheetFormatPr defaultColWidth="8.85185185185185" defaultRowHeight="14.4"/>
  <cols>
    <col min="2" max="2" customWidth="true" width="28.0"/>
    <col min="3" max="3" customWidth="true" width="24.1388888888889"/>
    <col min="13" max="13" customWidth="true" width="9.13888888888889"/>
    <col min="14" max="14" customWidth="true" width="13.851851851851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111</v>
      </c>
      <c r="C4" s="7" t="s">
        <v>111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W4" s="39">
        <f>AM4</f>
        <v>5</v>
      </c>
      <c r="AX4" s="103">
        <f>AR4</f>
        <v>47.5</v>
      </c>
      <c r="AY4" s="39">
        <f>AU4+AW4</f>
        <v>5</v>
      </c>
      <c r="AZ4" s="39">
        <f>ROUND(((AU4*AV4)+(AW4*AX4))/(AU4+AW4),5)</f>
        <v>47.5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47.5</v>
      </c>
      <c r="BP4" s="48">
        <f>ROUND(BN4+AW4,3)</f>
        <v>5</v>
      </c>
      <c r="BQ4" s="49">
        <v>123562</v>
      </c>
    </row>
    <row r="5" ht="15.15" spans="1:69">
      <c r="A5" s="7">
        <v>1</v>
      </c>
      <c r="B5" s="7" t="s">
        <v>112</v>
      </c>
      <c r="C5" s="7" t="s">
        <v>112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IF(OR(StPoToMRVWF!$C$2=1,StPoToMRVWF!$C$2=4),ROUND((((S5*U5)/100)/2),2),0)</f>
        <v>0</v>
      </c>
      <c r="W5" s="8">
        <f>IF(StPoToMRVWF!$C$2=1,ROUND((((S5*U5)/100)/2),2),0)</f>
        <v>0</v>
      </c>
      <c r="X5" s="8">
        <f>IF(StPoToMRVWF!$C$2=2,ROUND(((S5*U5)/100),2),0)</f>
        <v>67.68</v>
      </c>
      <c r="Y5" s="8">
        <f>IF(StPoToMRVWF!$C$2=4,ROUND((((S5*U5)/100)/2),2),0)</f>
        <v>0</v>
      </c>
      <c r="Z5" s="8">
        <v>0</v>
      </c>
      <c r="AA5" s="8">
        <f>IF(StPoToMRVWF!$C3=3,0,(S5*Z5)/100)</f>
        <v>0</v>
      </c>
      <c r="AB5" s="8">
        <f>V5+W5+X5+Y5+AA5</f>
        <v>67.68</v>
      </c>
      <c r="AC5" s="8">
        <f>IF(StPoToMRVWF!$V3=1,S5+AB5,S5)</f>
        <v>376</v>
      </c>
      <c r="AD5" s="31">
        <v>120</v>
      </c>
      <c r="AE5" s="31">
        <f>IF(StPoToMRVWF!$P$2=1,(S5/StPoToMRVWF!$S$6)*StPoToMRVWF!$E$17,AD5/StPoToMRVWF!$AD$6*StPoToMRVWF!$E$17)</f>
        <v>0</v>
      </c>
      <c r="AF5" s="31"/>
      <c r="AG5" s="31">
        <f>IF(StPoToMRVWF!$P$2=1,(S5/StPoToMRVWF!$S$6)*StPoToMRVWF!$E$19,AD5/StPoToMRVWF!$AD$6*StPoToMRVWF!$E$19)</f>
        <v>0</v>
      </c>
      <c r="AH5" s="31">
        <f>IF(StPoToMRVWF!$P$2=1,(S5/StPoToMRVWF!$S$6)*StPoToMRVWF!$E$20,AD5/StPoToMRVWF!$AD$6*StPoToMRVWF!$E$20)</f>
        <v>0</v>
      </c>
      <c r="AI5" s="31">
        <f>S5*StPoToMRVWF!$M$2</f>
        <v>376</v>
      </c>
      <c r="AJ5" s="31">
        <f>IF(StPoToMRVWF!$C$2=3,0,AG5+AH5)</f>
        <v>0</v>
      </c>
      <c r="AK5" s="31">
        <f>IF(StPoToMRVWF!$C$2=3,AE5+AG5+AH5,0)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W5" s="39">
        <f>AM5</f>
        <v>4</v>
      </c>
      <c r="AX5" s="103">
        <f>AR5</f>
        <v>94</v>
      </c>
      <c r="AY5" s="39">
        <f>AU5+AW5</f>
        <v>4</v>
      </c>
      <c r="AZ5" s="39">
        <f>ROUND(((AU5*AV5)+(AW5*AX5))/(AU5+AW5),5)</f>
        <v>94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94</v>
      </c>
      <c r="BP5" s="48">
        <f>ROUND(BN5+AW5,3)</f>
        <v>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B16" sqref="B16"/>
    </sheetView>
  </sheetViews>
  <sheetFormatPr defaultColWidth="8.85185185185185" defaultRowHeight="14.4"/>
  <cols>
    <col min="2" max="2" customWidth="true" width="28.0"/>
    <col min="3" max="3" customWidth="true" width="30.425925925925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113</v>
      </c>
      <c r="C4" s="7" t="s">
        <v>113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5" si="0">F4*G4</f>
        <v>1500</v>
      </c>
      <c r="I4" s="8">
        <v>5</v>
      </c>
      <c r="J4" s="8">
        <v>8</v>
      </c>
      <c r="K4" s="8">
        <v>5</v>
      </c>
      <c r="L4" s="8">
        <f t="shared" ref="L4:L5" si="1">H4</f>
        <v>1500</v>
      </c>
      <c r="M4" s="8">
        <f t="shared" ref="M4:M5" si="2">ROUND(L4*I4%,2)</f>
        <v>75</v>
      </c>
      <c r="N4" s="8">
        <f t="shared" ref="N4:N5" si="3">H4-M4</f>
        <v>1425</v>
      </c>
      <c r="O4" s="8">
        <f t="shared" ref="O4:O5" si="4">ROUND(N4*J4%,2)</f>
        <v>114</v>
      </c>
      <c r="P4" s="8">
        <f t="shared" ref="P4:P5" si="5">ROUND(N4-O4,2)</f>
        <v>1311</v>
      </c>
      <c r="Q4" s="8">
        <f t="shared" ref="Q4:Q5" si="6">ROUND(P4*K4%,2)</f>
        <v>65.55</v>
      </c>
      <c r="R4" s="8">
        <f t="shared" ref="R4:R5" si="7">M4+O4+Q4</f>
        <v>254.55</v>
      </c>
      <c r="S4" s="8">
        <f t="shared" ref="S4:S5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5" si="9">V4+W4+X4+Y4+AA4</f>
        <v>224.18</v>
      </c>
      <c r="AC4" s="30">
        <f>IF($V2=1,S4+AB4,S4)</f>
        <v>1469.63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5" si="10">F4/AL4</f>
        <v>3.33333333333333</v>
      </c>
      <c r="AN4" s="34">
        <f>ROUND(AI4/AM4,3)</f>
        <v>373.635</v>
      </c>
      <c r="AO4" s="31">
        <f t="shared" ref="AO4:AO5" si="11">AJ4/AM4</f>
        <v>0</v>
      </c>
      <c r="AP4" s="31">
        <f t="shared" ref="AP4:AP5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 s="0">
        <v>85</v>
      </c>
      <c r="AV4" t="s" s="0">
        <v>115</v>
      </c>
      <c r="AW4" s="39">
        <f t="shared" ref="AW4:AW5" si="13">AM4</f>
        <v>3.33333333333333</v>
      </c>
      <c r="AX4" s="42">
        <f t="shared" ref="AX4:AX5" si="14">AR4</f>
        <v>373.635</v>
      </c>
      <c r="AY4" s="39">
        <f t="shared" ref="AY4:AY5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115</v>
      </c>
      <c r="BN4" t="s" s="0">
        <v>117</v>
      </c>
      <c r="BO4" s="39">
        <f t="shared" ref="BO4:BO5" si="16">ROUND((((AW4*AZ4)+(BN4*BM4))/(AW4+BN4)),5)</f>
        <v>373.635</v>
      </c>
      <c r="BP4" s="48">
        <f t="shared" ref="BP4:BP5" si="17">ROUND(BN4+AW4,3)</f>
        <v>16.665</v>
      </c>
      <c r="BQ4" s="49">
        <v>123562</v>
      </c>
    </row>
    <row r="5" ht="15.15" spans="1:69">
      <c r="A5" s="7">
        <v>1</v>
      </c>
      <c r="B5" s="7" t="s">
        <v>118</v>
      </c>
      <c r="C5" s="7" t="s">
        <v>118</v>
      </c>
      <c r="D5" s="7" t="s">
        <v>76</v>
      </c>
      <c r="E5" s="7" t="s">
        <v>76</v>
      </c>
      <c r="F5" s="8">
        <v>20</v>
      </c>
      <c r="G5" s="8">
        <v>100</v>
      </c>
      <c r="H5" s="8">
        <f t="shared" si="0"/>
        <v>2000</v>
      </c>
      <c r="I5" s="8">
        <v>4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IF(OR(PoToMRVWFDUom!$C$2=1,PoToMRVWFDUom!$C$2=4),ROUND((((S5*U5)/100)/2),2),0)</f>
        <v>0</v>
      </c>
      <c r="W5" s="8">
        <f>IF(PoToMRVWFDUom!$C$2=1,ROUND((((S5*U5)/100)/2),2),0)</f>
        <v>0</v>
      </c>
      <c r="X5" s="8">
        <f>IF(PoToMRVWFDUom!$C$2=2,ROUND(((S5*U5)/100),2),0)</f>
        <v>295.63</v>
      </c>
      <c r="Y5" s="8">
        <f>IF(PoToMRVWFDUom!$C$2=4,ROUND((((S5*U5)/100)/2),2),0)</f>
        <v>0</v>
      </c>
      <c r="Z5" s="8">
        <v>0</v>
      </c>
      <c r="AA5" s="8">
        <f>IF(PoToMRVWFDUom!$C3=3,0,(S5*Z5)/100)</f>
        <v>0</v>
      </c>
      <c r="AB5" s="8">
        <f t="shared" si="9"/>
        <v>295.63</v>
      </c>
      <c r="AC5" s="8">
        <f>IF(PoToMRVWFDUom!$V3=1,S5+AB5,S5)</f>
        <v>1642.37</v>
      </c>
      <c r="AD5" s="31">
        <v>120</v>
      </c>
      <c r="AE5" s="31">
        <f>IF(PoToMRVWFDUom!$P$2=1,(S5/PoToMRVWFDUom!$S$6)*PoToMRVWFDUom!$E$17,AD5/PoToMRVWFDUom!$AD$6*PoToMRVWFDUom!$E$17)</f>
        <v>0</v>
      </c>
      <c r="AF5" s="31"/>
      <c r="AG5" s="31">
        <f>IF(PoToMRVWFDUom!$P$2=1,(S5/PoToMRVWFDUom!$S$6)*PoToMRVWFDUom!$E$19,AD5/PoToMRVWFDUom!$AD$6*PoToMRVWFDUom!$E$19)</f>
        <v>0</v>
      </c>
      <c r="AH5" s="31">
        <f>IF(PoToMRVWFDUom!$P$2=1,(S5/PoToMRVWFDUom!$S$6)*PoToMRVWFDUom!$E$20,AD5/PoToMRVWFDUom!$AD$6*PoToMRVWFDUom!$E$20)</f>
        <v>0</v>
      </c>
      <c r="AI5" s="31">
        <f>S5*PoToMRVWFDUom!$M$2</f>
        <v>1642.37</v>
      </c>
      <c r="AJ5" s="31">
        <f>IF(PoToMRVWFDUom!$C$2=3,0,AG5+AH5)</f>
        <v>0</v>
      </c>
      <c r="AK5" s="31">
        <f>IF(PoToMRVWFDUom!$C$2=3,AE5+AG5+AH5,0)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114</v>
      </c>
      <c r="AT5" s="39" t="s">
        <v>76</v>
      </c>
      <c r="AU5" t="s" s="0">
        <v>85</v>
      </c>
      <c r="AV5" t="s" s="0">
        <v>119</v>
      </c>
      <c r="AW5" s="39">
        <f t="shared" si="13"/>
        <v>6.66666666666667</v>
      </c>
      <c r="AX5" s="39">
        <f t="shared" si="14"/>
        <v>246.3555</v>
      </c>
      <c r="AY5" s="39">
        <f t="shared" si="15"/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119</v>
      </c>
      <c r="BN5" t="s" s="0">
        <v>120</v>
      </c>
      <c r="BO5" s="39">
        <f t="shared" si="16"/>
        <v>246.36</v>
      </c>
      <c r="BP5" s="48">
        <f t="shared" si="17"/>
        <v>19.333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18">SUM(R4:R4)</f>
        <v>254.55</v>
      </c>
      <c r="S6" s="13">
        <f t="shared" si="18"/>
        <v>1245.45</v>
      </c>
      <c r="T6" s="26"/>
      <c r="U6" s="26"/>
      <c r="V6" s="27">
        <f t="shared" si="18"/>
        <v>0</v>
      </c>
      <c r="W6" s="27">
        <f t="shared" si="18"/>
        <v>0</v>
      </c>
      <c r="X6" s="27">
        <f t="shared" si="18"/>
        <v>224.18</v>
      </c>
      <c r="Y6" s="27"/>
      <c r="Z6" s="27"/>
      <c r="AA6" s="27"/>
      <c r="AB6" s="26">
        <f t="shared" ref="AB6:AE6" si="19">SUM(AB4:AB4)</f>
        <v>224.18</v>
      </c>
      <c r="AC6" s="32">
        <f t="shared" si="19"/>
        <v>1469.63</v>
      </c>
      <c r="AD6" s="33">
        <f t="shared" si="19"/>
        <v>120</v>
      </c>
      <c r="AE6" s="33">
        <f t="shared" si="19"/>
        <v>0</v>
      </c>
      <c r="AF6" s="32"/>
      <c r="AG6" s="33">
        <f t="shared" ref="AG6:AK6" si="20">SUM(AG4:AG4)</f>
        <v>0</v>
      </c>
      <c r="AH6" s="33">
        <f>IF($P$2=1,(S6/$S$6)*$E$20,AD6/$AD$6*$E$20)</f>
        <v>0</v>
      </c>
      <c r="AI6" s="33">
        <f t="shared" si="20"/>
        <v>1245.45</v>
      </c>
      <c r="AJ6" s="33">
        <f t="shared" si="20"/>
        <v>0</v>
      </c>
      <c r="AK6" s="33">
        <f t="shared" si="20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abSelected="1" topLeftCell="D1" workbookViewId="0">
      <selection activeCell="J19" sqref="J19"/>
    </sheetView>
  </sheetViews>
  <sheetFormatPr defaultColWidth="8.85185185185185" defaultRowHeight="14.4"/>
  <cols>
    <col min="2" max="2" customWidth="true" width="28.0"/>
    <col min="3" max="3" customWidth="true" width="30.425925925925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113</v>
      </c>
      <c r="C4" s="7" t="s">
        <v>113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1245.45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 s="0">
        <v>85</v>
      </c>
      <c r="AV4" t="s" s="0">
        <v>115</v>
      </c>
      <c r="AW4" s="39">
        <f>AM4</f>
        <v>3.33333333333333</v>
      </c>
      <c r="AX4" s="42">
        <f>AR4</f>
        <v>373.635</v>
      </c>
      <c r="AY4" s="39">
        <f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263</v>
      </c>
      <c r="BN4" t="s" s="0">
        <v>262</v>
      </c>
      <c r="BO4" s="39">
        <f>ROUND((((AW4*AZ4)+(BN4*BM4))/(AW4+BN4)),5)</f>
        <v>373.635</v>
      </c>
      <c r="BP4" s="48">
        <f>ROUND(BN4+AW4,3)</f>
        <v>16.665</v>
      </c>
      <c r="BQ4" s="49">
        <v>123562</v>
      </c>
    </row>
    <row r="5" ht="15.15" spans="1:69">
      <c r="A5" s="7">
        <v>1</v>
      </c>
      <c r="B5" s="7" t="s">
        <v>118</v>
      </c>
      <c r="C5" s="7" t="s">
        <v>118</v>
      </c>
      <c r="D5" s="7" t="s">
        <v>76</v>
      </c>
      <c r="E5" s="7" t="s">
        <v>76</v>
      </c>
      <c r="F5" s="8">
        <v>20</v>
      </c>
      <c r="G5" s="8">
        <v>100</v>
      </c>
      <c r="H5" s="8">
        <f>F5*G5</f>
        <v>2000</v>
      </c>
      <c r="I5" s="8">
        <v>4</v>
      </c>
      <c r="J5" s="8">
        <v>9</v>
      </c>
      <c r="K5" s="8">
        <v>6</v>
      </c>
      <c r="L5" s="8">
        <f>H5</f>
        <v>2000</v>
      </c>
      <c r="M5" s="8">
        <f>ROUND(L5*I5%,2)</f>
        <v>80</v>
      </c>
      <c r="N5" s="8">
        <f>H5-M5</f>
        <v>1920</v>
      </c>
      <c r="O5" s="8">
        <f>ROUND(N5*J5%,2)</f>
        <v>172.8</v>
      </c>
      <c r="P5" s="8">
        <f>ROUND(N5-O5,2)</f>
        <v>1747.2</v>
      </c>
      <c r="Q5" s="8">
        <f>ROUND(P5*K5%,2)</f>
        <v>104.83</v>
      </c>
      <c r="R5" s="8">
        <f>M5+O5+Q5</f>
        <v>357.63</v>
      </c>
      <c r="S5" s="8">
        <f>(H5-R5)</f>
        <v>1642.37</v>
      </c>
      <c r="T5" s="8">
        <v>88363222</v>
      </c>
      <c r="U5" s="8">
        <v>18</v>
      </c>
      <c r="V5" s="8">
        <f>IF(OR(PoToMRVWoQDUom!$C$2=1,PoToMRVWoQDUom!$C$2=4),ROUND((((S5*U5)/100)/2),2),0)</f>
        <v>0</v>
      </c>
      <c r="W5" s="8">
        <f>IF(PoToMRVWoQDUom!$C$2=1,ROUND((((S5*U5)/100)/2),2),0)</f>
        <v>0</v>
      </c>
      <c r="X5" s="8">
        <f>IF(PoToMRVWoQDUom!$C$2=2,ROUND(((S5*U5)/100),2),0)</f>
        <v>295.63</v>
      </c>
      <c r="Y5" s="8">
        <f>IF(PoToMRVWoQDUom!$C$2=4,ROUND((((S5*U5)/100)/2),2),0)</f>
        <v>0</v>
      </c>
      <c r="Z5" s="8">
        <v>0</v>
      </c>
      <c r="AA5" s="8">
        <f>IF(PoToMRVWoQDUom!$C3=3,0,(S5*Z5)/100)</f>
        <v>0</v>
      </c>
      <c r="AB5" s="8">
        <f>V5+W5+X5+Y5+AA5</f>
        <v>295.63</v>
      </c>
      <c r="AC5" s="8">
        <f>IF(PoToMRVWoQDUom!$V3=1,S5+AB5,S5)</f>
        <v>1642.37</v>
      </c>
      <c r="AD5" s="31">
        <v>120</v>
      </c>
      <c r="AE5" s="31">
        <f>IF(PoToMRVWoQDUom!$P$2=1,(S5/PoToMRVWoQDUom!$S$6)*PoToMRVWoQDUom!$E$17,AD5/PoToMRVWoQDUom!$AD$6*PoToMRVWoQDUom!$E$17)</f>
        <v>0</v>
      </c>
      <c r="AF5" s="31"/>
      <c r="AG5" s="31">
        <f>IF(PoToMRVWoQDUom!$P$2=1,(S5/PoToMRVWoQDUom!$S$6)*PoToMRVWoQDUom!$E$19,AD5/PoToMRVWoQDUom!$AD$6*PoToMRVWoQDUom!$E$19)</f>
        <v>0</v>
      </c>
      <c r="AH5" s="31">
        <f>IF(PoToMRVWoQDUom!$P$2=1,(S5/PoToMRVWoQDUom!$S$6)*PoToMRVWoQDUom!$E$20,AD5/PoToMRVWoQDUom!$AD$6*PoToMRVWoQDUom!$E$20)</f>
        <v>0</v>
      </c>
      <c r="AI5" s="31">
        <f>S5*PoToMRVWoQDUom!$M$2</f>
        <v>1642.37</v>
      </c>
      <c r="AJ5" s="31">
        <f>IF(PoToMRVWoQDUom!$C$2=3,0,AG5+AH5)</f>
        <v>0</v>
      </c>
      <c r="AK5" s="31">
        <f>IF(PoToMRVWoQDUom!$C$2=3,AE5+AG5+AH5,0)</f>
        <v>0</v>
      </c>
      <c r="AL5" s="34">
        <v>3</v>
      </c>
      <c r="AM5" s="31">
        <f>F5/AL5</f>
        <v>6.66666666666667</v>
      </c>
      <c r="AN5" s="31">
        <f>ROUND(AI5/AM5,5)</f>
        <v>246.3555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246.3555</v>
      </c>
      <c r="AS5" s="38" t="s">
        <v>114</v>
      </c>
      <c r="AT5" s="39" t="s">
        <v>76</v>
      </c>
      <c r="AU5" t="s" s="0">
        <v>85</v>
      </c>
      <c r="AV5" t="s" s="0">
        <v>119</v>
      </c>
      <c r="AW5" s="39">
        <f>AM5</f>
        <v>6.66666666666667</v>
      </c>
      <c r="AX5" s="39">
        <f>AR5</f>
        <v>246.3555</v>
      </c>
      <c r="AY5" s="39">
        <f>AU5+AW5</f>
        <v>6.66666666666667</v>
      </c>
      <c r="AZ5" s="103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119</v>
      </c>
      <c r="BN5" t="s" s="0">
        <v>264</v>
      </c>
      <c r="BO5" s="39">
        <f>ROUND((((AW5*AZ5)+(BN5*BM5))/(AW5+BN5)),5)</f>
        <v>246.36</v>
      </c>
      <c r="BP5" s="48">
        <f>ROUND(BN5+AW5,3)</f>
        <v>19.333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1500</v>
      </c>
      <c r="I6" s="7"/>
      <c r="J6" s="7"/>
      <c r="K6" s="7"/>
      <c r="L6" s="7"/>
      <c r="M6" s="7"/>
      <c r="N6" s="7"/>
      <c r="O6" s="7"/>
      <c r="P6" s="7"/>
      <c r="Q6" s="7"/>
      <c r="R6" s="26">
        <f t="shared" ref="R6:X6" si="0">SUM(R4:R4)</f>
        <v>254.55</v>
      </c>
      <c r="S6" s="13">
        <f t="shared" si="0"/>
        <v>1245.45</v>
      </c>
      <c r="T6" s="26"/>
      <c r="U6" s="26"/>
      <c r="V6" s="27">
        <f t="shared" si="0"/>
        <v>0</v>
      </c>
      <c r="W6" s="27">
        <f t="shared" si="0"/>
        <v>0</v>
      </c>
      <c r="X6" s="27">
        <f t="shared" si="0"/>
        <v>224.18</v>
      </c>
      <c r="Y6" s="27"/>
      <c r="Z6" s="27"/>
      <c r="AA6" s="27"/>
      <c r="AB6" s="26">
        <f t="shared" ref="AB6:AE6" si="1">SUM(AB4:AB4)</f>
        <v>224.18</v>
      </c>
      <c r="AC6" s="32">
        <f t="shared" si="1"/>
        <v>1245.45</v>
      </c>
      <c r="AD6" s="33">
        <f t="shared" si="1"/>
        <v>120</v>
      </c>
      <c r="AE6" s="33">
        <f t="shared" si="1"/>
        <v>0</v>
      </c>
      <c r="AF6" s="32"/>
      <c r="AG6" s="33">
        <f t="shared" ref="AG6:AK6" si="2">SUM(AG4:AG4)</f>
        <v>0</v>
      </c>
      <c r="AH6" s="33">
        <f>IF($P$2=1,(S6/$S$6)*$E$20,AD6/$AD$6*$E$20)</f>
        <v>0</v>
      </c>
      <c r="AI6" s="33">
        <f t="shared" si="2"/>
        <v>1245.45</v>
      </c>
      <c r="AJ6" s="33">
        <f t="shared" si="2"/>
        <v>0</v>
      </c>
      <c r="AK6" s="33">
        <f t="shared" si="2"/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1500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254.55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1245.45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224.18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1469.63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7"/>
  <sheetViews>
    <sheetView topLeftCell="AY1" workbookViewId="0">
      <selection activeCell="AS9" sqref="AS9"/>
    </sheetView>
  </sheetViews>
  <sheetFormatPr defaultColWidth="8.85185185185185" defaultRowHeight="14.4" outlineLevelRow="6"/>
  <cols>
    <col min="2" max="2" customWidth="true" width="20.712962962963"/>
    <col min="3" max="3" customWidth="true" width="26.287037037037"/>
    <col min="20" max="20" customWidth="true" width="10.1388888888889"/>
    <col min="52" max="52" width="10.712962962963"/>
    <col min="67" max="67" width="10.712962962963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9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</row>
    <row r="2" ht="15.15" spans="1:69">
      <c r="A2" s="3" t="s">
        <v>1</v>
      </c>
      <c r="B2" s="3"/>
      <c r="C2" s="4">
        <v>1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1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9"/>
      <c r="AT2" s="40"/>
      <c r="AU2" s="40"/>
      <c r="AV2" s="40"/>
      <c r="AW2" s="40"/>
      <c r="AX2" s="40"/>
      <c r="AY2" s="40"/>
      <c r="AZ2" s="40"/>
      <c r="BA2" s="40"/>
      <c r="BB2" s="40"/>
      <c r="BC2" s="40"/>
      <c r="BD2" s="40"/>
      <c r="BE2" s="40"/>
      <c r="BF2" s="40"/>
      <c r="BG2" s="40"/>
      <c r="BH2" s="40"/>
      <c r="BI2" s="40"/>
      <c r="BJ2" s="40"/>
      <c r="BK2" s="40"/>
      <c r="BL2" s="40"/>
      <c r="BM2" s="40"/>
      <c r="BN2" s="40"/>
      <c r="BO2" s="40"/>
      <c r="BP2" s="40"/>
      <c r="BQ2" s="40"/>
    </row>
    <row r="3" ht="59.1" spans="1:69">
      <c r="A3" s="110" t="s">
        <v>121</v>
      </c>
      <c r="B3" s="110" t="s">
        <v>10</v>
      </c>
      <c r="C3" s="111" t="s">
        <v>122</v>
      </c>
      <c r="D3" s="110" t="s">
        <v>12</v>
      </c>
      <c r="E3" s="110" t="s">
        <v>13</v>
      </c>
      <c r="F3" s="112" t="s">
        <v>123</v>
      </c>
      <c r="G3" s="110" t="s">
        <v>15</v>
      </c>
      <c r="H3" s="110" t="s">
        <v>16</v>
      </c>
      <c r="I3" s="113" t="s">
        <v>17</v>
      </c>
      <c r="J3" s="113" t="s">
        <v>19</v>
      </c>
      <c r="K3" s="113" t="s">
        <v>18</v>
      </c>
      <c r="L3" s="114" t="s">
        <v>20</v>
      </c>
      <c r="M3" s="114" t="s">
        <v>21</v>
      </c>
      <c r="N3" s="114" t="s">
        <v>124</v>
      </c>
      <c r="O3" s="114" t="s">
        <v>25</v>
      </c>
      <c r="P3" s="114" t="s">
        <v>22</v>
      </c>
      <c r="Q3" s="114" t="s">
        <v>23</v>
      </c>
      <c r="R3" s="113" t="s">
        <v>26</v>
      </c>
      <c r="S3" s="110" t="s">
        <v>125</v>
      </c>
      <c r="T3" s="110" t="s">
        <v>28</v>
      </c>
      <c r="U3" s="28" t="s">
        <v>126</v>
      </c>
      <c r="V3" s="28" t="s">
        <v>30</v>
      </c>
      <c r="W3" s="28" t="s">
        <v>31</v>
      </c>
      <c r="X3" s="28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115" t="s">
        <v>37</v>
      </c>
      <c r="AD3" s="115" t="s">
        <v>38</v>
      </c>
      <c r="AE3" s="116" t="s">
        <v>39</v>
      </c>
      <c r="AF3" s="116" t="s">
        <v>40</v>
      </c>
      <c r="AG3" s="116" t="s">
        <v>41</v>
      </c>
      <c r="AH3" s="115" t="s">
        <v>42</v>
      </c>
      <c r="AI3" s="115" t="s">
        <v>43</v>
      </c>
      <c r="AJ3" s="116" t="s">
        <v>44</v>
      </c>
      <c r="AK3" s="116" t="s">
        <v>45</v>
      </c>
      <c r="AL3" s="115" t="s">
        <v>46</v>
      </c>
      <c r="AM3" s="115" t="s">
        <v>47</v>
      </c>
      <c r="AN3" s="116" t="s">
        <v>48</v>
      </c>
      <c r="AO3" s="116" t="s">
        <v>49</v>
      </c>
      <c r="AP3" s="116" t="s">
        <v>50</v>
      </c>
      <c r="AQ3" s="115" t="s">
        <v>51</v>
      </c>
      <c r="AR3" s="117" t="s">
        <v>127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128</v>
      </c>
      <c r="C4" s="7" t="s">
        <v>129</v>
      </c>
      <c r="D4" s="7" t="s">
        <v>76</v>
      </c>
      <c r="E4" s="7" t="s">
        <v>76</v>
      </c>
      <c r="F4" s="8">
        <v>5</v>
      </c>
      <c r="G4" s="8">
        <v>150</v>
      </c>
      <c r="H4" s="8">
        <f t="shared" ref="H4:H6" si="0">F4*G4</f>
        <v>750</v>
      </c>
      <c r="I4" s="8">
        <v>5</v>
      </c>
      <c r="J4" s="8">
        <v>8</v>
      </c>
      <c r="K4" s="8">
        <v>5</v>
      </c>
      <c r="L4" s="8">
        <f t="shared" ref="L4:L6" si="1">H4</f>
        <v>750</v>
      </c>
      <c r="M4" s="8">
        <f t="shared" ref="M4:M6" si="2">ROUND(L4*I4%,2)</f>
        <v>37.5</v>
      </c>
      <c r="N4" s="8">
        <f t="shared" ref="N4:N6" si="3">H4-M4</f>
        <v>712.5</v>
      </c>
      <c r="O4" s="8">
        <f t="shared" ref="O4:O6" si="4">ROUND(N4*J4%,2)</f>
        <v>57</v>
      </c>
      <c r="P4" s="8">
        <f t="shared" ref="P4:P6" si="5">ROUND(N4-O4,2)</f>
        <v>655.5</v>
      </c>
      <c r="Q4" s="8">
        <f t="shared" ref="Q4:Q6" si="6">ROUND(P4*K4%,2)</f>
        <v>32.78</v>
      </c>
      <c r="R4" s="8">
        <f t="shared" ref="R4:R6" si="7">M4+O4+Q4</f>
        <v>127.28</v>
      </c>
      <c r="S4" s="8">
        <f t="shared" ref="S4:S6" si="8">(H4-R4)</f>
        <v>622.72</v>
      </c>
      <c r="T4" s="8">
        <v>85080200</v>
      </c>
      <c r="U4" s="8">
        <v>18</v>
      </c>
      <c r="V4" s="8">
        <f>IF(OR($C$2=1,$C$2=4),ROUND((((S4*U4)/100)/2),2),0)</f>
        <v>56.04</v>
      </c>
      <c r="W4" s="8">
        <f>IF($C$2=1,ROUND((((S4*U4)/100)/2),2),0)</f>
        <v>56.04</v>
      </c>
      <c r="X4" s="8">
        <f>IF($C$2=2,ROUND(((S4*U4)/100),2),0)</f>
        <v>0</v>
      </c>
      <c r="Y4" s="8">
        <f>IF($C$2=4,ROUND((((S4*U4)/100)/2),2),0)</f>
        <v>0</v>
      </c>
      <c r="Z4" s="8">
        <v>4</v>
      </c>
      <c r="AA4" s="8">
        <f>IF($C2=3,0,(S4*Z4)/100)</f>
        <v>24.9088</v>
      </c>
      <c r="AB4" s="8">
        <f t="shared" ref="AB4:AB6" si="9">V4+W4+X4+Y4+AA4</f>
        <v>136.9888</v>
      </c>
      <c r="AC4" s="8">
        <f>IF($V2=1,S4+AB4,S4)</f>
        <v>759.7088</v>
      </c>
      <c r="AD4" s="8">
        <v>120</v>
      </c>
      <c r="AE4" s="8">
        <f>IF($P$2=1,(S4/$S$7)*$E$18,AD4/$AD$7*$E$18)</f>
        <v>0</v>
      </c>
      <c r="AF4" s="8"/>
      <c r="AG4" s="8">
        <f>IF($P$2=1,(S4/$S$7)*$E$20,AD4/$AD$7*$E$20)</f>
        <v>0</v>
      </c>
      <c r="AH4" s="8">
        <f>IF($P$2=1,(S4/$S$7)*$E$20,AD4/$AD$7*$E$20)</f>
        <v>0</v>
      </c>
      <c r="AI4" s="8">
        <f>S4*$M$2</f>
        <v>622.72</v>
      </c>
      <c r="AJ4" s="8">
        <f>IF($C$2=3,0,AG4+AH4)</f>
        <v>0</v>
      </c>
      <c r="AK4" s="8">
        <f>IF($C$2=3,AE4+AG4+AH4,0)</f>
        <v>0</v>
      </c>
      <c r="AL4" s="8">
        <v>1</v>
      </c>
      <c r="AM4" s="8">
        <f t="shared" ref="AM4:AM6" si="10">F4/AL4</f>
        <v>5</v>
      </c>
      <c r="AN4" s="8">
        <f t="shared" ref="AN4" si="11">AI4/AM4</f>
        <v>124.544</v>
      </c>
      <c r="AO4" s="8">
        <f t="shared" ref="AO4:AO6" si="12">AJ4/AM4</f>
        <v>0</v>
      </c>
      <c r="AP4" s="8">
        <f t="shared" ref="AP4:AP6" si="13">AK4/AM4</f>
        <v>0</v>
      </c>
      <c r="AQ4" s="8" t="s">
        <v>76</v>
      </c>
      <c r="AR4" s="40">
        <f t="shared" ref="AR4:AR6" si="14">ROUND(AN4+AO4+AP4,5)</f>
        <v>124.544</v>
      </c>
      <c r="AS4" s="40" t="s">
        <v>130</v>
      </c>
      <c r="AT4" s="39" t="s">
        <v>76</v>
      </c>
      <c r="AU4" s="40" t="s">
        <v>131</v>
      </c>
      <c r="AV4" s="40" t="s">
        <v>132</v>
      </c>
      <c r="AW4" s="39">
        <f t="shared" ref="AW4:AW6" si="15">AM4</f>
        <v>5</v>
      </c>
      <c r="AX4" s="39">
        <f t="shared" ref="AX4:AX6" si="16">AR4</f>
        <v>124.544</v>
      </c>
      <c r="AY4" s="39">
        <f t="shared" ref="AY4:AY6" si="17">AU4+AW4</f>
        <v>14095</v>
      </c>
      <c r="AZ4" s="39">
        <f t="shared" ref="AZ4" si="18">ROUND(((AU4*AV4)+(AW4*AX4))/(AU4+AW4),5)</f>
        <v>121.22156</v>
      </c>
      <c r="BA4" s="43"/>
      <c r="BB4" s="43" t="s">
        <v>80</v>
      </c>
      <c r="BC4" s="118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40"/>
      <c r="BK4" s="40"/>
      <c r="BL4" s="39" t="s">
        <v>133</v>
      </c>
      <c r="BM4" s="40" t="s">
        <v>134</v>
      </c>
      <c r="BN4" s="40" t="s">
        <v>135</v>
      </c>
      <c r="BO4" s="39">
        <f t="shared" ref="BO4:BO6" si="19">ROUND((((AW4*AZ4)+(BN4*BM4))/(AW4+BN4)),5)</f>
        <v>146.67549</v>
      </c>
      <c r="BP4" s="48">
        <f t="shared" ref="BP4" si="20">BN4+AW4</f>
        <v>696</v>
      </c>
      <c r="BQ4" s="49">
        <v>123562</v>
      </c>
    </row>
    <row r="5" ht="15.15" spans="1:69">
      <c r="A5" s="7">
        <v>1</v>
      </c>
      <c r="B5" s="7" t="s">
        <v>136</v>
      </c>
      <c r="C5" s="7" t="s">
        <v>136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 t="shared" si="9"/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2"/>
        <v>0</v>
      </c>
      <c r="AP5" s="31">
        <f t="shared" si="13"/>
        <v>0</v>
      </c>
      <c r="AQ5" s="31" t="s">
        <v>76</v>
      </c>
      <c r="AR5" s="31">
        <f t="shared" si="14"/>
        <v>82.1175</v>
      </c>
      <c r="AS5" s="38" t="s">
        <v>114</v>
      </c>
      <c r="AT5" s="39" t="s">
        <v>76</v>
      </c>
      <c r="AU5" t="s" s="0">
        <v>137</v>
      </c>
      <c r="AV5" t="s" s="0">
        <v>138</v>
      </c>
      <c r="AW5" s="39">
        <f t="shared" si="15"/>
        <v>4</v>
      </c>
      <c r="AX5" s="39">
        <f t="shared" si="16"/>
        <v>82.1175</v>
      </c>
      <c r="AY5" s="39">
        <f t="shared" si="17"/>
        <v>36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139</v>
      </c>
      <c r="BN5" t="s" s="0">
        <v>140</v>
      </c>
      <c r="BO5" s="39">
        <f t="shared" si="19"/>
        <v>85.696</v>
      </c>
      <c r="BP5" s="48">
        <f>ROUND(BN5+AW5,3)</f>
        <v>25</v>
      </c>
      <c r="BQ5" s="49">
        <v>123562</v>
      </c>
    </row>
    <row r="6" ht="15.15" spans="1:69">
      <c r="A6" s="7">
        <v>1</v>
      </c>
      <c r="B6" s="7" t="s">
        <v>141</v>
      </c>
      <c r="C6" s="7" t="s">
        <v>142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 t="shared" si="9"/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2"/>
        <v>0</v>
      </c>
      <c r="AP6" s="31">
        <f t="shared" si="13"/>
        <v>0</v>
      </c>
      <c r="AQ6" s="31" t="s">
        <v>76</v>
      </c>
      <c r="AR6" s="31">
        <f t="shared" si="14"/>
        <v>43.301</v>
      </c>
      <c r="AS6" s="38" t="s">
        <v>114</v>
      </c>
      <c r="AT6" s="39" t="s">
        <v>76</v>
      </c>
      <c r="AU6" t="s" s="0">
        <v>143</v>
      </c>
      <c r="AV6" t="s" s="0">
        <v>144</v>
      </c>
      <c r="AW6" s="39">
        <f t="shared" si="15"/>
        <v>10</v>
      </c>
      <c r="AX6" s="39">
        <f t="shared" si="16"/>
        <v>43.301</v>
      </c>
      <c r="AY6" s="39">
        <f t="shared" si="17"/>
        <v>130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145</v>
      </c>
      <c r="BM6" t="s" s="0">
        <v>85</v>
      </c>
      <c r="BN6" t="s" s="0">
        <v>85</v>
      </c>
      <c r="BO6" s="39">
        <f t="shared" si="19"/>
        <v>43.3</v>
      </c>
      <c r="BP6" s="48">
        <f>ROUND(BN6+AW6,3)</f>
        <v>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SUM(H4:H6)</f>
        <v>1650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21">SUM(R4:R4)</f>
        <v>127.28</v>
      </c>
      <c r="S7" s="13">
        <f t="shared" si="21"/>
        <v>622.72</v>
      </c>
      <c r="T7" s="26"/>
      <c r="U7" s="26"/>
      <c r="V7" s="27">
        <f t="shared" si="21"/>
        <v>56.04</v>
      </c>
      <c r="W7" s="27">
        <f t="shared" si="21"/>
        <v>56.04</v>
      </c>
      <c r="X7" s="27">
        <f t="shared" si="21"/>
        <v>0</v>
      </c>
      <c r="Y7" s="27"/>
      <c r="Z7" s="27"/>
      <c r="AA7" s="27"/>
      <c r="AB7" s="26">
        <f t="shared" ref="AB7:AE7" si="22">SUM(AB4:AB4)</f>
        <v>136.9888</v>
      </c>
      <c r="AC7" s="32">
        <f t="shared" si="22"/>
        <v>759.7088</v>
      </c>
      <c r="AD7" s="33">
        <f t="shared" si="22"/>
        <v>120</v>
      </c>
      <c r="AE7" s="33">
        <f t="shared" si="22"/>
        <v>0</v>
      </c>
      <c r="AF7" s="32"/>
      <c r="AG7" s="33">
        <f t="shared" ref="AG7:AK7" si="23">SUM(AG4:AG4)</f>
        <v>0</v>
      </c>
      <c r="AH7" s="33">
        <f t="shared" si="23"/>
        <v>0</v>
      </c>
      <c r="AI7" s="33">
        <f t="shared" si="23"/>
        <v>622.72</v>
      </c>
      <c r="AJ7" s="33">
        <f t="shared" si="23"/>
        <v>0</v>
      </c>
      <c r="AK7" s="33">
        <f t="shared" si="23"/>
        <v>0</v>
      </c>
      <c r="AL7" s="32"/>
      <c r="AM7" s="32"/>
      <c r="AN7" s="32"/>
      <c r="AO7" s="32"/>
      <c r="AP7" s="32"/>
      <c r="AQ7" s="32"/>
      <c r="AR7" s="32"/>
      <c r="AS7" s="9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</row>
  </sheetData>
  <mergeCells count="1">
    <mergeCell ref="A2:B2"/>
  </mergeCells>
  <hyperlinks>
    <hyperlink ref="BL5" r:id="rId1" display="RM WH-49" tooltip="https://webappqc.roadmaperp.com:8765/ords/r/rmqc27/scm-us9011/warehouse1?p367019101_rowid=AAATkUAAHAADnlgAAE&amp;p367019101_store_id=RM WH-49-4&amp;session=1523407412914"/>
    <hyperlink ref="BL6" r:id="rId1" display="RM WH-49-4" tooltip="https://webappqc.roadmaperp.com:8765/ords/r/rmqc27/scm-us9011/warehouse1?p367019101_rowid=AAATkUAAHAADnlgAAE&amp;p367019101_store_id=RM WH-49-4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F1" workbookViewId="0">
      <selection activeCell="AC16" sqref="AC16"/>
    </sheetView>
  </sheetViews>
  <sheetFormatPr defaultColWidth="8.85185185185185" defaultRowHeight="14.4"/>
  <cols>
    <col min="2" max="2" customWidth="true" width="28.0"/>
    <col min="3" max="3" customWidth="true" width="25.5740740740741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146</v>
      </c>
      <c r="C4" s="7" t="s">
        <v>146</v>
      </c>
      <c r="D4" s="7" t="s">
        <v>76</v>
      </c>
      <c r="E4" s="7" t="s">
        <v>76</v>
      </c>
      <c r="F4" s="8">
        <v>5</v>
      </c>
      <c r="G4" s="8">
        <v>150</v>
      </c>
      <c r="H4" s="8">
        <f>F4*G4</f>
        <v>750</v>
      </c>
      <c r="I4" s="8">
        <v>5</v>
      </c>
      <c r="J4" s="8">
        <v>8</v>
      </c>
      <c r="K4" s="8">
        <v>5</v>
      </c>
      <c r="L4" s="8">
        <f>H4</f>
        <v>750</v>
      </c>
      <c r="M4" s="8">
        <f>ROUND(L4*I4%,2)</f>
        <v>37.5</v>
      </c>
      <c r="N4" s="8">
        <f>H4-M4</f>
        <v>712.5</v>
      </c>
      <c r="O4" s="8">
        <f>ROUND(N4*J4%,2)</f>
        <v>57</v>
      </c>
      <c r="P4" s="8">
        <f>ROUND(N4-O4,2)</f>
        <v>655.5</v>
      </c>
      <c r="Q4" s="8">
        <f>ROUND(P4*K4%,2)</f>
        <v>32.78</v>
      </c>
      <c r="R4" s="8">
        <f>M4+O4+Q4</f>
        <v>127.28</v>
      </c>
      <c r="S4" s="8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114</v>
      </c>
      <c r="AT4" s="39" t="s">
        <v>76</v>
      </c>
      <c r="AU4" t="s" s="0">
        <v>147</v>
      </c>
      <c r="AV4" t="s" s="0">
        <v>148</v>
      </c>
      <c r="AW4" s="39">
        <f>AM4</f>
        <v>5</v>
      </c>
      <c r="AX4" s="39">
        <f>AR4</f>
        <v>124.544</v>
      </c>
      <c r="AY4" s="39">
        <f>AU4+AW4</f>
        <v>115</v>
      </c>
      <c r="AZ4" s="39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78</v>
      </c>
      <c r="BO4" s="39">
        <f>ROUND((((AW4*AZ4)+(BN4*BM4))/(AW4+BN4)),5)</f>
        <v>124.545</v>
      </c>
      <c r="BP4" s="48">
        <f>ROUND(BN4+AW4,3)</f>
        <v>10</v>
      </c>
      <c r="BQ4" s="49">
        <v>123562</v>
      </c>
    </row>
    <row r="5" ht="15.15" spans="1:69">
      <c r="A5" s="7">
        <v>1</v>
      </c>
      <c r="B5" s="7" t="s">
        <v>149</v>
      </c>
      <c r="C5" s="7" t="s">
        <v>149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IF(OR(PoToMRVWOIpSer!$C$2=1,PoToMRVWOIpSer!$C$2=4),ROUND((((S5*U5)/100)/2),2),0)</f>
        <v>0</v>
      </c>
      <c r="W5" s="8">
        <f>IF(PoToMRVWOIpSer!$C$2=1,ROUND((((S5*U5)/100)/2),2),0)</f>
        <v>0</v>
      </c>
      <c r="X5" s="8">
        <f>IF(PoToMRVWOIpSer!$C$2=2,ROUND(((S5*U5)/100),2),0)</f>
        <v>59.12</v>
      </c>
      <c r="Y5" s="8">
        <f>IF(PoToMRVWOIpSer!$C$2=4,ROUND((((S5*U5)/100)/2),2),0)</f>
        <v>0</v>
      </c>
      <c r="Z5" s="8">
        <v>0</v>
      </c>
      <c r="AA5" s="8">
        <f>IF(PoToMRVWOIpSer!$C3=3,0,(S5*Z5)/100)</f>
        <v>0</v>
      </c>
      <c r="AB5" s="8">
        <f>V5+W5+X5+Y5+AA5</f>
        <v>59.12</v>
      </c>
      <c r="AC5" s="8">
        <f>IF(PoToMRVWOIpSer!$V3=1,S5+AB5,S5)</f>
        <v>328.47</v>
      </c>
      <c r="AD5" s="31">
        <v>120</v>
      </c>
      <c r="AE5" s="31">
        <f>IF(PoToMRVWOIpSer!$P$2=1,(S5/PoToMRVWOIpSer!$S$7)*PoToMRVWOIpSer!$E$18,AD5/PoToMRVWOIpSer!$AD$7*PoToMRVWOIpSer!$E$18)</f>
        <v>0</v>
      </c>
      <c r="AF5" s="31"/>
      <c r="AG5" s="31">
        <f>IF(PoToMRVWOIpSer!$P$2=1,(S5/PoToMRVWOIpSer!$S$7)*PoToMRVWOIpSer!$E$20,AD5/PoToMRVWOIpSer!$AD$7*PoToMRVWOIpSer!$E$20)</f>
        <v>0</v>
      </c>
      <c r="AH5" s="31">
        <f>IF(PoToMRVWOIpSer!$P$2=1,(S5/PoToMRVWOIpSer!$S$7)*PoToMRVWOIpSer!$E$21,AD5/PoToMRVWOIpSer!$AD$7*PoToMRVWOIpSer!$E$21)</f>
        <v>0</v>
      </c>
      <c r="AI5" s="31">
        <f>S5*PoToMRVWOIpSer!$M$2</f>
        <v>328.47</v>
      </c>
      <c r="AJ5" s="31">
        <f>IF(PoToMRVWOIpSer!$C$2=3,0,AG5+AH5)</f>
        <v>0</v>
      </c>
      <c r="AK5" s="31">
        <f>IF(PoToMRVWOIpSer!$C$2=3,AE5+AG5+AH5,0)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150</v>
      </c>
      <c r="AV5" t="s" s="0">
        <v>138</v>
      </c>
      <c r="AW5" s="39">
        <f>AM5</f>
        <v>4</v>
      </c>
      <c r="AX5" s="39">
        <f>AR5</f>
        <v>82.1175</v>
      </c>
      <c r="AY5" s="39">
        <f>AU5+AW5</f>
        <v>40</v>
      </c>
      <c r="AZ5" s="39">
        <f>ROUND(((AU5*AV5)+(AW5*AX5))/(AU5+AW5),3)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151</v>
      </c>
      <c r="BN5" t="s" s="0">
        <v>152</v>
      </c>
      <c r="BO5" s="39">
        <f>ROUND((((AW5*AZ5)+(BN5*BM5))/(AW5+BN5)),5)</f>
        <v>83.80679</v>
      </c>
      <c r="BP5" s="48">
        <f>ROUND(BN5+AW5,3)</f>
        <v>53</v>
      </c>
      <c r="BQ5" s="49">
        <v>123562</v>
      </c>
    </row>
    <row r="6" ht="15.15" spans="1:69">
      <c r="A6" s="7">
        <v>1</v>
      </c>
      <c r="B6" s="7" t="s">
        <v>153</v>
      </c>
      <c r="C6" s="7" t="s">
        <v>153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IF(OR(PoToMRVWOIpSer!$C$2=1,PoToMRVWOIpSer!$C$2=4),ROUND((((S6*U6)/100)/2),2),0)</f>
        <v>0</v>
      </c>
      <c r="W6" s="8">
        <f>IF(PoToMRVWOIpSer!$C$2=1,ROUND((((S6*U6)/100)/2),2),0)</f>
        <v>0</v>
      </c>
      <c r="X6" s="8">
        <f>IF(PoToMRVWOIpSer!$C$2=2,ROUND(((S6*U6)/100),2),0)</f>
        <v>77.94</v>
      </c>
      <c r="Y6" s="8">
        <f>IF(PoToMRVWOIpSer!$C$2=4,ROUND((((S6*U6)/100)/2),2),0)</f>
        <v>0</v>
      </c>
      <c r="Z6" s="8">
        <v>0</v>
      </c>
      <c r="AA6" s="8">
        <f>IF(PoToMRVWOIpSer!$C4=3,0,(S6*Z6)/100)</f>
        <v>0</v>
      </c>
      <c r="AB6" s="8">
        <f>V6+W6+X6+Y6+AA6</f>
        <v>77.94</v>
      </c>
      <c r="AC6" s="8">
        <f>IF(PoToMRVWOIpSer!$V4=1,S6+AB6,S6)</f>
        <v>433.01</v>
      </c>
      <c r="AD6" s="31">
        <v>120</v>
      </c>
      <c r="AE6" s="31">
        <f>IF(PoToMRVWOIpSer!$P$2=1,(S6/PoToMRVWOIpSer!$S$7)*PoToMRVWOIpSer!$E$18,AD6/PoToMRVWOIpSer!$AD$7*PoToMRVWOIpSer!$E$18)</f>
        <v>0</v>
      </c>
      <c r="AF6" s="31"/>
      <c r="AG6" s="31">
        <f>IF(PoToMRVWOIpSer!$P$2=1,(S6/PoToMRVWOIpSer!$S$7)*PoToMRVWOIpSer!$E$20,AD6/PoToMRVWOIpSer!$AD$7*PoToMRVWOIpSer!$E$20)</f>
        <v>0</v>
      </c>
      <c r="AH6" s="31">
        <f>IF(PoToMRVWOIpSer!$P$2=1,(S6/PoToMRVWOIpSer!$S$7)*PoToMRVWOIpSer!$E$21,AD6/PoToMRVWOIpSer!$AD$7*PoToMRVWOIpSer!$E$21)</f>
        <v>0</v>
      </c>
      <c r="AI6" s="31">
        <f>S6*PoToMRVWOIpSer!$M$2</f>
        <v>433.01</v>
      </c>
      <c r="AJ6" s="31">
        <f>IF(PoToMRVWOIpSer!$C$2=3,0,AG6+AH6)</f>
        <v>0</v>
      </c>
      <c r="AK6" s="31">
        <f>IF(PoToMRVWOIpSer!$C$2=3,AE6+AG6+AH6,0)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154</v>
      </c>
      <c r="AV6" t="s" s="0">
        <v>144</v>
      </c>
      <c r="AW6" s="39">
        <f>AM6</f>
        <v>10</v>
      </c>
      <c r="AX6" s="39">
        <f>AR6</f>
        <v>43.301</v>
      </c>
      <c r="AY6" s="39">
        <f>AU6+AW6</f>
        <v>230</v>
      </c>
      <c r="AZ6" s="39">
        <f>ROUND(((AU6*AV6)+(AW6*AX6))/(AU6+AW6),3)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155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127.28</v>
      </c>
      <c r="S7" s="13">
        <f t="shared" si="0"/>
        <v>622.72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622.72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customWidth="true" width="28.0"/>
    <col min="3" max="3" customWidth="true" width="23.287037037037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128</v>
      </c>
      <c r="C4" s="7" t="s">
        <v>129</v>
      </c>
      <c r="D4" s="7" t="s">
        <v>76</v>
      </c>
      <c r="E4" s="7" t="s">
        <v>76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10</v>
      </c>
      <c r="AN4" s="34">
        <f>ROUND(AI4/AM4,3)</f>
        <v>124.545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156</v>
      </c>
      <c r="AV4" t="s" s="0">
        <v>148</v>
      </c>
      <c r="AW4" s="39">
        <f>AM4</f>
        <v>10</v>
      </c>
      <c r="AX4" s="42">
        <f>AR4</f>
        <v>124.545</v>
      </c>
      <c r="AY4" s="39">
        <f>AU4+AW4</f>
        <v>40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157</v>
      </c>
      <c r="BO4" s="39">
        <f>ROUND((((AW4*AZ4)+(BN4*BM4))/(AW4+BN4)),5)</f>
        <v>124.545</v>
      </c>
      <c r="BP4" s="48">
        <f>ROUND(BN4+AW4,3)</f>
        <v>200</v>
      </c>
      <c r="BQ4" s="49">
        <v>123562</v>
      </c>
    </row>
    <row r="5" ht="15.15" spans="1:69">
      <c r="A5" s="7">
        <v>1</v>
      </c>
      <c r="B5" s="7" t="s">
        <v>158</v>
      </c>
      <c r="C5" s="7" t="s">
        <v>136</v>
      </c>
      <c r="D5" s="7" t="s">
        <v>76</v>
      </c>
      <c r="E5" s="7" t="s">
        <v>76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IF(OR(PoToMRVWOIp!$C$2=1,PoToMRVWOIp!$C$2=4),ROUND((((S5*U5)/100)/2),2),0)</f>
        <v>0</v>
      </c>
      <c r="W5" s="8">
        <f>IF(PoToMRVWOIp!$C$2=1,ROUND((((S5*U5)/100)/2),2),0)</f>
        <v>0</v>
      </c>
      <c r="X5" s="8">
        <f>IF(PoToMRVWOIp!$C$2=2,ROUND(((S5*U5)/100),2),0)</f>
        <v>59.12</v>
      </c>
      <c r="Y5" s="8">
        <f>IF(PoToMRVWOIp!$C$2=4,ROUND((((S5*U5)/100)/2),2),0)</f>
        <v>0</v>
      </c>
      <c r="Z5" s="8">
        <v>0</v>
      </c>
      <c r="AA5" s="8">
        <f>IF(PoToMRVWOIp!$C3=3,0,(S5*Z5)/100)</f>
        <v>0</v>
      </c>
      <c r="AB5" s="8">
        <f>V5+W5+X5+Y5+AA5</f>
        <v>59.12</v>
      </c>
      <c r="AC5" s="8">
        <f>IF(PoToMRVWOIp!$V3=1,S5+AB5,S5)</f>
        <v>328.47</v>
      </c>
      <c r="AD5" s="31">
        <v>120</v>
      </c>
      <c r="AE5" s="31">
        <f>IF(PoToMRVWOIp!$P$2=1,(S5/PoToMRVWOIp!$S$7)*PoToMRVWOIp!$E$18,AD5/PoToMRVWOIp!$AD$7*PoToMRVWOIp!$E$18)</f>
        <v>0</v>
      </c>
      <c r="AF5" s="31"/>
      <c r="AG5" s="31">
        <f>IF(PoToMRVWOIp!$P$2=1,(S5/PoToMRVWOIp!$S$7)*PoToMRVWOIp!$E$20,AD5/PoToMRVWOIp!$AD$7*PoToMRVWOIp!$E$20)</f>
        <v>0</v>
      </c>
      <c r="AH5" s="31">
        <f>IF(PoToMRVWOIp!$P$2=1,(S5/PoToMRVWOIp!$S$7)*PoToMRVWOIp!$E$21,AD5/PoToMRVWOIp!$AD$7*PoToMRVWOIp!$E$21)</f>
        <v>0</v>
      </c>
      <c r="AI5" s="31">
        <f>S5*PoToMRVWOIp!$M$2</f>
        <v>328.47</v>
      </c>
      <c r="AJ5" s="31">
        <f>IF(PoToMRVWOIp!$C$2=3,0,AG5+AH5)</f>
        <v>0</v>
      </c>
      <c r="AK5" s="31">
        <f>IF(PoToMRVWOIp!$C$2=3,AE5+AG5+AH5,0)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159</v>
      </c>
      <c r="AV5" t="s" s="0">
        <v>138</v>
      </c>
      <c r="AW5" s="39">
        <f>AM5</f>
        <v>4</v>
      </c>
      <c r="AX5" s="39">
        <f>AR5</f>
        <v>82.1175</v>
      </c>
      <c r="AY5" s="39">
        <f>AU5+AW5</f>
        <v>52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160</v>
      </c>
      <c r="BO5" s="39">
        <f>ROUND((((AW5*AZ5)+(BN5*BM5))/(AW5+BN5)),5)</f>
        <v>82.12</v>
      </c>
      <c r="BP5" s="48">
        <f>ROUND(BN5+AW5,3)</f>
        <v>56</v>
      </c>
      <c r="BQ5" s="49">
        <v>123562</v>
      </c>
    </row>
    <row r="6" ht="15.15" spans="1:69">
      <c r="A6" s="7">
        <v>1</v>
      </c>
      <c r="B6" s="7" t="s">
        <v>141</v>
      </c>
      <c r="C6" s="7" t="s">
        <v>142</v>
      </c>
      <c r="D6" s="7" t="s">
        <v>76</v>
      </c>
      <c r="E6" s="7" t="s">
        <v>76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IF(OR(PoToMRVWOIp!$C$2=1,PoToMRVWOIp!$C$2=4),ROUND((((S6*U6)/100)/2),2),0)</f>
        <v>0</v>
      </c>
      <c r="W6" s="8">
        <f>IF(PoToMRVWOIp!$C$2=1,ROUND((((S6*U6)/100)/2),2),0)</f>
        <v>0</v>
      </c>
      <c r="X6" s="8">
        <f>IF(PoToMRVWOIp!$C$2=2,ROUND(((S6*U6)/100),2),0)</f>
        <v>77.94</v>
      </c>
      <c r="Y6" s="8">
        <f>IF(PoToMRVWOIp!$C$2=4,ROUND((((S6*U6)/100)/2),2),0)</f>
        <v>0</v>
      </c>
      <c r="Z6" s="8">
        <v>0</v>
      </c>
      <c r="AA6" s="8">
        <f>IF(PoToMRVWOIp!$C4=3,0,(S6*Z6)/100)</f>
        <v>0</v>
      </c>
      <c r="AB6" s="8">
        <f>V6+W6+X6+Y6+AA6</f>
        <v>77.94</v>
      </c>
      <c r="AC6" s="8">
        <f>IF(PoToMRVWOIp!$V4=1,S6+AB6,S6)</f>
        <v>433.01</v>
      </c>
      <c r="AD6" s="31">
        <v>120</v>
      </c>
      <c r="AE6" s="31">
        <f>IF(PoToMRVWOIp!$P$2=1,(S6/PoToMRVWOIp!$S$7)*PoToMRVWOIp!$E$18,AD6/PoToMRVWOIp!$AD$7*PoToMRVWOIp!$E$18)</f>
        <v>0</v>
      </c>
      <c r="AF6" s="31"/>
      <c r="AG6" s="31">
        <f>IF(PoToMRVWOIp!$P$2=1,(S6/PoToMRVWOIp!$S$7)*PoToMRVWOIp!$E$20,AD6/PoToMRVWOIp!$AD$7*PoToMRVWOIp!$E$20)</f>
        <v>0</v>
      </c>
      <c r="AH6" s="31">
        <f>IF(PoToMRVWOIp!$P$2=1,(S6/PoToMRVWOIp!$S$7)*PoToMRVWOIp!$E$21,AD6/PoToMRVWOIp!$AD$7*PoToMRVWOIp!$E$21)</f>
        <v>0</v>
      </c>
      <c r="AI6" s="31">
        <f>S6*PoToMRVWOIp!$M$2</f>
        <v>433.01</v>
      </c>
      <c r="AJ6" s="31">
        <f>IF(PoToMRVWOIp!$C$2=3,0,AG6+AH6)</f>
        <v>0</v>
      </c>
      <c r="AK6" s="31">
        <f>IF(PoToMRVWOIp!$C$2=3,AE6+AG6+AH6,0)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143</v>
      </c>
      <c r="AV6" t="s" s="0">
        <v>144</v>
      </c>
      <c r="AW6" s="39">
        <f>AM6</f>
        <v>10</v>
      </c>
      <c r="AX6" s="39">
        <f>AR6</f>
        <v>43.301</v>
      </c>
      <c r="AY6" s="39">
        <f>AU6+AW6</f>
        <v>130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161</v>
      </c>
      <c r="BO6" s="39">
        <f>ROUND((((AW6*AZ6)+(BN6*BM6))/(AW6+BN6)),5)</f>
        <v>43.3</v>
      </c>
      <c r="BP6" s="48">
        <f>ROUND(BN6+AW6,3)</f>
        <v>140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U12" sqref="U12"/>
    </sheetView>
  </sheetViews>
  <sheetFormatPr defaultColWidth="8.85185185185185" defaultRowHeight="14.4"/>
  <cols>
    <col min="2" max="2" customWidth="true" width="28.0"/>
    <col min="3" max="3" customWidth="true" width="30.425925925925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162</v>
      </c>
      <c r="C4" s="7" t="s">
        <v>162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85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163</v>
      </c>
      <c r="BO4" s="39">
        <f t="shared" ref="BO4:BO6" si="16">ROUND((((AW4*AZ4)+(BN4*BM4))/(AW4+BN4)),5)</f>
        <v>124.545</v>
      </c>
      <c r="BP4" s="48">
        <f t="shared" ref="BP4:BP6" si="17">ROUND(BN4+AW4,3)</f>
        <v>50</v>
      </c>
      <c r="BQ4" s="49">
        <v>123562</v>
      </c>
    </row>
    <row r="5" ht="15.1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IF(OR(PoToMRVWoQSUom!$C$2=1,PoToMRVWoQSUom!$C$2=4),ROUND((((S5*U5)/100)/2),2),0)</f>
        <v>0</v>
      </c>
      <c r="W5" s="8">
        <f>IF(PoToMRVWoQSUom!$C$2=1,ROUND((((S5*U5)/100)/2),2),0)</f>
        <v>0</v>
      </c>
      <c r="X5" s="8">
        <f>IF(PoToMRVWoQSUom!$C$2=2,ROUND(((S5*U5)/100),2),0)</f>
        <v>59.12</v>
      </c>
      <c r="Y5" s="8">
        <f>IF(PoToMRVWoQSUom!$C$2=4,ROUND((((S5*U5)/100)/2),2),0)</f>
        <v>0</v>
      </c>
      <c r="Z5" s="8">
        <v>0</v>
      </c>
      <c r="AA5" s="8">
        <f>IF(PoToMRVWoQSUom!$C3=3,0,(S5*Z5)/100)</f>
        <v>0</v>
      </c>
      <c r="AB5" s="8">
        <f t="shared" si="9"/>
        <v>59.12</v>
      </c>
      <c r="AC5" s="8">
        <f>IF(PoToMRVWoQSUom!$V3=1,S5+AB5,S5)</f>
        <v>328.47</v>
      </c>
      <c r="AD5" s="31">
        <v>120</v>
      </c>
      <c r="AE5" s="31">
        <f>IF(PoToMRVWoQSUom!$P$2=1,(S5/PoToMRVWoQSUom!$S$7)*PoToMRVWoQSUom!$E$18,AD5/PoToMRVWoQSUom!$AD$7*PoToMRVWoQSUom!$E$18)</f>
        <v>0</v>
      </c>
      <c r="AF5" s="31"/>
      <c r="AG5" s="31">
        <f>IF(PoToMRVWoQSUom!$P$2=1,(S5/PoToMRVWoQSUom!$S$7)*PoToMRVWoQSUom!$E$20,AD5/PoToMRVWoQSUom!$AD$7*PoToMRVWoQSUom!$E$20)</f>
        <v>0</v>
      </c>
      <c r="AH5" s="31">
        <f>IF(PoToMRVWoQSUom!$P$2=1,(S5/PoToMRVWoQSUom!$S$7)*PoToMRVWoQSUom!$E$21,AD5/PoToMRVWoQSUom!$AD$7*PoToMRVWoQSUom!$E$21)</f>
        <v>0</v>
      </c>
      <c r="AI5" s="31">
        <f>S5*PoToMRVWoQSUom!$M$2</f>
        <v>328.47</v>
      </c>
      <c r="AJ5" s="31">
        <f>IF(PoToMRVWoQSUom!$C$2=3,0,AG5+AH5)</f>
        <v>0</v>
      </c>
      <c r="AK5" s="31">
        <f>IF(PoToMRVWoQSUom!$C$2=3,AE5+AG5+AH5,0)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85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165</v>
      </c>
      <c r="BO5" s="39">
        <f t="shared" si="16"/>
        <v>82.12</v>
      </c>
      <c r="BP5" s="48">
        <f t="shared" si="17"/>
        <v>20</v>
      </c>
      <c r="BQ5" s="49">
        <v>123562</v>
      </c>
    </row>
    <row r="6" ht="15.15" spans="1:69">
      <c r="A6" s="7">
        <v>1</v>
      </c>
      <c r="B6" s="7" t="s">
        <v>166</v>
      </c>
      <c r="C6" s="7" t="s">
        <v>166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IF(OR(PoToMRVWoQSUom!$C$2=1,PoToMRVWoQSUom!$C$2=4),ROUND((((S6*U6)/100)/2),2),0)</f>
        <v>0</v>
      </c>
      <c r="W6" s="8">
        <f>IF(PoToMRVWoQSUom!$C$2=1,ROUND((((S6*U6)/100)/2),2),0)</f>
        <v>0</v>
      </c>
      <c r="X6" s="8">
        <f>IF(PoToMRVWoQSUom!$C$2=2,ROUND(((S6*U6)/100),2),0)</f>
        <v>77.94</v>
      </c>
      <c r="Y6" s="8">
        <f>IF(PoToMRVWoQSUom!$C$2=4,ROUND((((S6*U6)/100)/2),2),0)</f>
        <v>0</v>
      </c>
      <c r="Z6" s="8">
        <v>0</v>
      </c>
      <c r="AA6" s="8">
        <f>IF(PoToMRVWoQSUom!$C4=3,0,(S6*Z6)/100)</f>
        <v>0</v>
      </c>
      <c r="AB6" s="8">
        <f t="shared" si="9"/>
        <v>77.94</v>
      </c>
      <c r="AC6" s="8">
        <f>IF(PoToMRVWoQSUom!$V4=1,S6+AB6,S6)</f>
        <v>433.01</v>
      </c>
      <c r="AD6" s="31">
        <v>120</v>
      </c>
      <c r="AE6" s="31">
        <f>IF(PoToMRVWoQSUom!$P$2=1,(S6/PoToMRVWoQSUom!$S$7)*PoToMRVWoQSUom!$E$18,AD6/PoToMRVWoQSUom!$AD$7*PoToMRVWoQSUom!$E$18)</f>
        <v>0</v>
      </c>
      <c r="AF6" s="31"/>
      <c r="AG6" s="31">
        <f>IF(PoToMRVWoQSUom!$P$2=1,(S6/PoToMRVWoQSUom!$S$7)*PoToMRVWoQSUom!$E$20,AD6/PoToMRVWoQSUom!$AD$7*PoToMRVWoQSUom!$E$20)</f>
        <v>0</v>
      </c>
      <c r="AH6" s="31">
        <f>IF(PoToMRVWoQSUom!$P$2=1,(S6/PoToMRVWoQSUom!$S$7)*PoToMRVWoQSUom!$E$21,AD6/PoToMRVWoQSUom!$AD$7*PoToMRVWoQSUom!$E$21)</f>
        <v>0</v>
      </c>
      <c r="AI6" s="31">
        <f>S6*PoToMRVWoQSUom!$M$2</f>
        <v>433.01</v>
      </c>
      <c r="AJ6" s="31">
        <f>IF(PoToMRVWoQSUom!$C$2=3,0,AG6+AH6)</f>
        <v>0</v>
      </c>
      <c r="AK6" s="31">
        <f>IF(PoToMRVWoQSUom!$C$2=3,AE6+AG6+AH6,0)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85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163</v>
      </c>
      <c r="BO6" s="39">
        <f t="shared" si="16"/>
        <v>43.3</v>
      </c>
      <c r="BP6" s="48">
        <f t="shared" si="17"/>
        <v>50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customWidth="true" width="28.0"/>
    <col min="3" max="3" customWidth="true" width="30.4259259259259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162</v>
      </c>
      <c r="C4" s="7" t="s">
        <v>162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85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156</v>
      </c>
      <c r="BO4" s="39">
        <f t="shared" ref="BO4:BO6" si="16">ROUND((((AW4*AZ4)+(BN4*BM4))/(AW4+BN4)),5)</f>
        <v>124.545</v>
      </c>
      <c r="BP4" s="48">
        <f t="shared" ref="BP4:BP6" si="17">ROUND(BN4+AW4,3)</f>
        <v>40</v>
      </c>
      <c r="BQ4" s="49">
        <v>123562</v>
      </c>
    </row>
    <row r="5" ht="15.15" spans="1:69">
      <c r="A5" s="7">
        <v>1</v>
      </c>
      <c r="B5" s="7" t="s">
        <v>164</v>
      </c>
      <c r="C5" s="7" t="s">
        <v>164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IF(OR(PoToMRVWFSUom!$C$2=1,PoToMRVWFSUom!$C$2=4),ROUND((((S5*U5)/100)/2),2),0)</f>
        <v>0</v>
      </c>
      <c r="W5" s="8">
        <f>IF(PoToMRVWFSUom!$C$2=1,ROUND((((S5*U5)/100)/2),2),0)</f>
        <v>0</v>
      </c>
      <c r="X5" s="8">
        <f>IF(PoToMRVWFSUom!$C$2=2,ROUND(((S5*U5)/100),2),0)</f>
        <v>59.12</v>
      </c>
      <c r="Y5" s="8">
        <f>IF(PoToMRVWFSUom!$C$2=4,ROUND((((S5*U5)/100)/2),2),0)</f>
        <v>0</v>
      </c>
      <c r="Z5" s="8">
        <v>0</v>
      </c>
      <c r="AA5" s="8">
        <f>IF(PoToMRVWFSUom!$C3=3,0,(S5*Z5)/100)</f>
        <v>0</v>
      </c>
      <c r="AB5" s="8">
        <f t="shared" si="9"/>
        <v>59.12</v>
      </c>
      <c r="AC5" s="8">
        <f>IF(PoToMRVWFSUom!$V3=1,S5+AB5,S5)</f>
        <v>328.47</v>
      </c>
      <c r="AD5" s="31">
        <v>120</v>
      </c>
      <c r="AE5" s="31">
        <f>IF(PoToMRVWFSUom!$P$2=1,(S5/PoToMRVWFSUom!$S$7)*PoToMRVWFSUom!$E$18,AD5/PoToMRVWFSUom!$AD$7*PoToMRVWFSUom!$E$18)</f>
        <v>0</v>
      </c>
      <c r="AF5" s="31"/>
      <c r="AG5" s="31">
        <f>IF(PoToMRVWFSUom!$P$2=1,(S5/PoToMRVWFSUom!$S$7)*PoToMRVWFSUom!$E$20,AD5/PoToMRVWFSUom!$AD$7*PoToMRVWFSUom!$E$20)</f>
        <v>0</v>
      </c>
      <c r="AH5" s="31">
        <f>IF(PoToMRVWFSUom!$P$2=1,(S5/PoToMRVWFSUom!$S$7)*PoToMRVWFSUom!$E$21,AD5/PoToMRVWFSUom!$AD$7*PoToMRVWFSUom!$E$21)</f>
        <v>0</v>
      </c>
      <c r="AI5" s="31">
        <f>S5*PoToMRVWFSUom!$M$2</f>
        <v>328.47</v>
      </c>
      <c r="AJ5" s="31">
        <f>IF(PoToMRVWFSUom!$C$2=3,0,AG5+AH5)</f>
        <v>0</v>
      </c>
      <c r="AK5" s="31">
        <f>IF(PoToMRVWFSUom!$C$2=3,AE5+AG5+AH5,0)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85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167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15" spans="1:69">
      <c r="A6" s="7">
        <v>1</v>
      </c>
      <c r="B6" s="7" t="s">
        <v>166</v>
      </c>
      <c r="C6" s="7" t="s">
        <v>166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IF(OR(PoToMRVWFSUom!$C$2=1,PoToMRVWFSUom!$C$2=4),ROUND((((S6*U6)/100)/2),2),0)</f>
        <v>0</v>
      </c>
      <c r="W6" s="8">
        <f>IF(PoToMRVWFSUom!$C$2=1,ROUND((((S6*U6)/100)/2),2),0)</f>
        <v>0</v>
      </c>
      <c r="X6" s="8">
        <f>IF(PoToMRVWFSUom!$C$2=2,ROUND(((S6*U6)/100),2),0)</f>
        <v>77.94</v>
      </c>
      <c r="Y6" s="8">
        <f>IF(PoToMRVWFSUom!$C$2=4,ROUND((((S6*U6)/100)/2),2),0)</f>
        <v>0</v>
      </c>
      <c r="Z6" s="8">
        <v>0</v>
      </c>
      <c r="AA6" s="8">
        <f>IF(PoToMRVWFSUom!$C4=3,0,(S6*Z6)/100)</f>
        <v>0</v>
      </c>
      <c r="AB6" s="8">
        <f t="shared" si="9"/>
        <v>77.94</v>
      </c>
      <c r="AC6" s="8">
        <f>IF(PoToMRVWFSUom!$V4=1,S6+AB6,S6)</f>
        <v>433.01</v>
      </c>
      <c r="AD6" s="31">
        <v>120</v>
      </c>
      <c r="AE6" s="31">
        <f>IF(PoToMRVWFSUom!$P$2=1,(S6/PoToMRVWFSUom!$S$7)*PoToMRVWFSUom!$E$18,AD6/PoToMRVWFSUom!$AD$7*PoToMRVWFSUom!$E$18)</f>
        <v>0</v>
      </c>
      <c r="AF6" s="31"/>
      <c r="AG6" s="31">
        <f>IF(PoToMRVWFSUom!$P$2=1,(S6/PoToMRVWFSUom!$S$7)*PoToMRVWFSUom!$E$20,AD6/PoToMRVWFSUom!$AD$7*PoToMRVWFSUom!$E$20)</f>
        <v>0</v>
      </c>
      <c r="AH6" s="31">
        <f>IF(PoToMRVWFSUom!$P$2=1,(S6/PoToMRVWFSUom!$S$7)*PoToMRVWFSUom!$E$21,AD6/PoToMRVWFSUom!$AD$7*PoToMRVWFSUom!$E$21)</f>
        <v>0</v>
      </c>
      <c r="AI6" s="31">
        <f>S6*PoToMRVWFSUom!$M$2</f>
        <v>433.01</v>
      </c>
      <c r="AJ6" s="31">
        <f>IF(PoToMRVWFSUom!$C$2=3,0,AG6+AH6)</f>
        <v>0</v>
      </c>
      <c r="AK6" s="31">
        <f>IF(PoToMRVWFSUom!$C$2=3,AE6+AG6+AH6,0)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85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156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5185185185185" defaultRowHeight="14.4"/>
  <cols>
    <col min="2" max="2" customWidth="true" width="28.0"/>
    <col min="3" max="3" customWidth="true" width="30.4259259259259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168</v>
      </c>
      <c r="C4" s="106" t="s">
        <v>168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169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170</v>
      </c>
      <c r="C5" s="108" t="s">
        <v>170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IF(OR(PoToMRVWFSUomserv!$C$2=1,PoToMRVWFSUomserv!$C$2=4),ROUND((((S5*U5)/100)/2),2),0)</f>
        <v>0</v>
      </c>
      <c r="W5" s="8">
        <f>IF(PoToMRVWFSUomserv!$C$2=1,ROUND((((S5*U5)/100)/2),2),0)</f>
        <v>0</v>
      </c>
      <c r="X5" s="8">
        <f>IF(PoToMRVWFSUomserv!$C$2=2,ROUND(((S5*U5)/100),2),0)</f>
        <v>59.12</v>
      </c>
      <c r="Y5" s="8">
        <f>IF(PoToMRVWFSUomserv!$C$2=4,ROUND((((S5*U5)/100)/2),2),0)</f>
        <v>0</v>
      </c>
      <c r="Z5" s="8">
        <v>0</v>
      </c>
      <c r="AA5" s="8">
        <f>IF(PoToMRVWFSUomserv!$C3=3,0,(S5*Z5)/100)</f>
        <v>0</v>
      </c>
      <c r="AB5" s="8">
        <f t="shared" si="9"/>
        <v>59.12</v>
      </c>
      <c r="AC5" s="8">
        <f>IF(PoToMRVWFSUomserv!$V3=1,S5+AB5,S5)</f>
        <v>328.47</v>
      </c>
      <c r="AD5" s="31">
        <v>120</v>
      </c>
      <c r="AE5" s="31">
        <f>IF(PoToMRVWFSUomserv!$P$2=1,(S5/PoToMRVWFSUomserv!$S$7)*PoToMRVWFSUomserv!$E$18,AD5/PoToMRVWFSUomserv!$AD$7*PoToMRVWFSUomserv!$E$18)</f>
        <v>0</v>
      </c>
      <c r="AF5" s="31"/>
      <c r="AG5" s="31">
        <f>IF(PoToMRVWFSUomserv!$P$2=1,(S5/PoToMRVWFSUomserv!$S$7)*PoToMRVWFSUomserv!$E$20,AD5/PoToMRVWFSUomserv!$AD$7*PoToMRVWFSUomserv!$E$20)</f>
        <v>0</v>
      </c>
      <c r="AH5" s="31">
        <f>IF(PoToMRVWFSUomserv!$P$2=1,(S5/PoToMRVWFSUomserv!$S$7)*PoToMRVWFSUomserv!$E$21,AD5/PoToMRVWFSUomserv!$AD$7*PoToMRVWFSUomserv!$E$21)</f>
        <v>0</v>
      </c>
      <c r="AI5" s="31">
        <f>S5*PoToMRVWFSUomserv!$M$2</f>
        <v>328.47</v>
      </c>
      <c r="AJ5" s="31">
        <f>IF(PoToMRVWFSUomserv!$C$2=3,0,AG5+AH5)</f>
        <v>0</v>
      </c>
      <c r="AK5" s="31">
        <f>IF(PoToMRVWFSUomserv!$C$2=3,AE5+AG5+AH5,0)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163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105">
        <v>1</v>
      </c>
      <c r="B6" s="108" t="s">
        <v>171</v>
      </c>
      <c r="C6" s="108" t="s">
        <v>171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IF(OR(PoToMRVWFSUomserv!$C$2=1,PoToMRVWFSUomserv!$C$2=4),ROUND((((S6*U6)/100)/2),2),0)</f>
        <v>0</v>
      </c>
      <c r="W6" s="8">
        <f>IF(PoToMRVWFSUomserv!$C$2=1,ROUND((((S6*U6)/100)/2),2),0)</f>
        <v>0</v>
      </c>
      <c r="X6" s="8">
        <f>IF(PoToMRVWFSUomserv!$C$2=2,ROUND(((S6*U6)/100),2),0)</f>
        <v>77.94</v>
      </c>
      <c r="Y6" s="8">
        <f>IF(PoToMRVWFSUomserv!$C$2=4,ROUND((((S6*U6)/100)/2),2),0)</f>
        <v>0</v>
      </c>
      <c r="Z6" s="8">
        <v>0</v>
      </c>
      <c r="AA6" s="8">
        <f>IF(PoToMRVWFSUomserv!$C4=3,0,(S6*Z6)/100)</f>
        <v>0</v>
      </c>
      <c r="AB6" s="8">
        <f t="shared" si="9"/>
        <v>77.94</v>
      </c>
      <c r="AC6" s="8">
        <f>IF(PoToMRVWFSUomserv!$V4=1,S6+AB6,S6)</f>
        <v>433.01</v>
      </c>
      <c r="AD6" s="31">
        <v>120</v>
      </c>
      <c r="AE6" s="31">
        <f>IF(PoToMRVWFSUomserv!$P$2=1,(S6/PoToMRVWFSUomserv!$S$7)*PoToMRVWFSUomserv!$E$18,AD6/PoToMRVWFSUomserv!$AD$7*PoToMRVWFSUomserv!$E$18)</f>
        <v>0</v>
      </c>
      <c r="AF6" s="31"/>
      <c r="AG6" s="31">
        <f>IF(PoToMRVWFSUomserv!$P$2=1,(S6/PoToMRVWFSUomserv!$S$7)*PoToMRVWFSUomserv!$E$20,AD6/PoToMRVWFSUomserv!$AD$7*PoToMRVWFSUomserv!$E$20)</f>
        <v>0</v>
      </c>
      <c r="AH6" s="31">
        <f>IF(PoToMRVWFSUomserv!$P$2=1,(S6/PoToMRVWFSUomserv!$S$7)*PoToMRVWFSUomserv!$E$21,AD6/PoToMRVWFSUomserv!$AD$7*PoToMRVWFSUomserv!$E$21)</f>
        <v>0</v>
      </c>
      <c r="AI6" s="31">
        <f>S6*PoToMRVWFSUomserv!$M$2</f>
        <v>433.01</v>
      </c>
      <c r="AJ6" s="31">
        <f>IF(PoToMRVWFSUomserv!$C$2=3,0,AG6+AH6)</f>
        <v>0</v>
      </c>
      <c r="AK6" s="31">
        <f>IF(PoToMRVWFSUomserv!$C$2=3,AE6+AG6+AH6,0)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87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K1" workbookViewId="0">
      <selection activeCell="V12" sqref="V12"/>
    </sheetView>
  </sheetViews>
  <sheetFormatPr defaultColWidth="8.85185185185185" defaultRowHeight="14.4"/>
  <cols>
    <col min="2" max="2" customWidth="true" width="28.0"/>
    <col min="3" max="3" customWidth="true" width="30.425925925925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172</v>
      </c>
      <c r="C4" s="7" t="s">
        <v>172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85</v>
      </c>
      <c r="AV4" t="s" s="0">
        <v>173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10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174</v>
      </c>
      <c r="BN4" t="s" s="0">
        <v>175</v>
      </c>
      <c r="BO4" s="39">
        <f t="shared" ref="BO4:BO6" si="16">ROUND((((AW4*AZ4)+(BN4*BM4))/(AW4+BN4)),5)</f>
        <v>1458.03</v>
      </c>
      <c r="BP4" s="48">
        <f t="shared" ref="BP4:BP6" si="17">ROUND(BN4+AW4,3)</f>
        <v>60</v>
      </c>
      <c r="BQ4" s="49">
        <v>123562</v>
      </c>
    </row>
    <row r="5" ht="15.15" spans="1:69">
      <c r="A5" s="7">
        <v>1</v>
      </c>
      <c r="B5" s="7" t="s">
        <v>176</v>
      </c>
      <c r="C5" s="7" t="s">
        <v>176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IF(OR(PoToMRVWoQSUomRC!$C$2=1,PoToMRVWoQSUomRC!$C$2=4),ROUND((((S5*U5)/100)/2),2),0)</f>
        <v>0</v>
      </c>
      <c r="W5" s="8">
        <f>IF(PoToMRVWoQSUomRC!$C$2=1,ROUND((((S5*U5)/100)/2),2),0)</f>
        <v>0</v>
      </c>
      <c r="X5" s="8">
        <f>IF(PoToMRVWoQSUomRC!$C$2=2,ROUND(((S5*U5)/100),2),0)</f>
        <v>59.12</v>
      </c>
      <c r="Y5" s="8">
        <f>IF(PoToMRVWoQSUomRC!$C$2=4,ROUND((((S5*U5)/100)/2),2),0)</f>
        <v>0</v>
      </c>
      <c r="Z5" s="8">
        <v>0</v>
      </c>
      <c r="AA5" s="8">
        <f>IF(PoToMRVWoQSUomRC!$C3=3,0,(S5*Z5)/100)</f>
        <v>0</v>
      </c>
      <c r="AB5" s="8">
        <f t="shared" si="9"/>
        <v>59.12</v>
      </c>
      <c r="AC5" s="8">
        <f>IF(PoToMRVWoQSUomRC!$V3=1,S5+AB5,S5)</f>
        <v>328.47</v>
      </c>
      <c r="AD5" s="31">
        <v>120</v>
      </c>
      <c r="AE5" s="31">
        <f>IF(PoToMRVWoQSUomRC!$P$2=1,(S5/PoToMRVWoQSUomRC!$S$7)*PoToMRVWoQSUomRC!$E$18,AD5/PoToMRVWoQSUomRC!$AD$7*PoToMRVWoQSUomRC!$E$18)</f>
        <v>0</v>
      </c>
      <c r="AF5" s="31"/>
      <c r="AG5" s="31">
        <f>IF(PoToMRVWoQSUomRC!$P$2=1,(S5/PoToMRVWoQSUomRC!$S$7)*PoToMRVWoQSUomRC!$E$20,AD5/PoToMRVWoQSUomRC!$AD$7*PoToMRVWoQSUomRC!$E$20)</f>
        <v>0</v>
      </c>
      <c r="AH5" s="31">
        <f>IF(PoToMRVWoQSUomRC!$P$2=1,(S5/PoToMRVWoQSUomRC!$S$7)*PoToMRVWoQSUomRC!$E$21,AD5/PoToMRVWoQSUomRC!$AD$7*PoToMRVWoQSUomRC!$E$21)</f>
        <v>0</v>
      </c>
      <c r="AI5" s="31">
        <f>S5*PoToMRVWoQSUomRC!$M$2</f>
        <v>328.47</v>
      </c>
      <c r="AJ5" s="31">
        <f>IF(PoToMRVWoQSUomRC!$C$2=3,0,AG5+AH5)</f>
        <v>0</v>
      </c>
      <c r="AK5" s="31">
        <f>IF(PoToMRVWoQSUomRC!$C$2=3,AE5+AG5+AH5,0)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85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167</v>
      </c>
      <c r="BO5" s="39">
        <f t="shared" si="16"/>
        <v>82.12</v>
      </c>
      <c r="BP5" s="48">
        <f t="shared" si="17"/>
        <v>16</v>
      </c>
      <c r="BQ5" s="49">
        <v>123562</v>
      </c>
    </row>
    <row r="6" ht="15.15" spans="1:69">
      <c r="A6" s="7">
        <v>1</v>
      </c>
      <c r="B6" s="7" t="s">
        <v>177</v>
      </c>
      <c r="C6" s="7" t="s">
        <v>177</v>
      </c>
      <c r="D6" s="7" t="s">
        <v>76</v>
      </c>
      <c r="E6" s="7" t="s">
        <v>76</v>
      </c>
      <c r="F6" s="8">
        <v>10</v>
      </c>
      <c r="G6" t="s" s="0">
        <v>175</v>
      </c>
      <c r="H6" s="8">
        <f t="shared" si="0"/>
        <v>500</v>
      </c>
      <c r="I6" t="s" s="0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IF(OR(PoToMRVWoQSUomRC!$C$2=1,PoToMRVWoQSUomRC!$C$2=4),ROUND((((S6*U6)/100)/2),2),0)</f>
        <v>0</v>
      </c>
      <c r="W6" s="8">
        <f>IF(PoToMRVWoQSUomRC!$C$2=1,ROUND((((S6*U6)/100)/2),2),0)</f>
        <v>0</v>
      </c>
      <c r="X6" s="8">
        <f>IF(PoToMRVWoQSUomRC!$C$2=2,ROUND(((S6*U6)/100),2),0)</f>
        <v>77.94</v>
      </c>
      <c r="Y6" s="8">
        <f>IF(PoToMRVWoQSUomRC!$C$2=4,ROUND((((S6*U6)/100)/2),2),0)</f>
        <v>0</v>
      </c>
      <c r="Z6" s="8">
        <v>0</v>
      </c>
      <c r="AA6" s="8">
        <f>IF(PoToMRVWoQSUomRC!$C4=3,0,(S6*Z6)/100)</f>
        <v>0</v>
      </c>
      <c r="AB6" s="8">
        <f t="shared" si="9"/>
        <v>77.94</v>
      </c>
      <c r="AC6" s="8">
        <f>IF(PoToMRVWoQSUomRC!$V4=1,S6+AB6,S6)</f>
        <v>433.01</v>
      </c>
      <c r="AD6" s="31">
        <v>120</v>
      </c>
      <c r="AE6" s="31">
        <f>IF(PoToMRVWoQSUomRC!$P$2=1,(S6/PoToMRVWoQSUomRC!$S$7)*PoToMRVWoQSUomRC!$E$18,AD6/PoToMRVWoQSUomRC!$AD$7*PoToMRVWoQSUomRC!$E$18)</f>
        <v>0</v>
      </c>
      <c r="AF6" s="31"/>
      <c r="AG6" s="31">
        <f>IF(PoToMRVWoQSUomRC!$P$2=1,(S6/PoToMRVWoQSUomRC!$S$7)*PoToMRVWoQSUomRC!$E$20,AD6/PoToMRVWoQSUomRC!$AD$7*PoToMRVWoQSUomRC!$E$20)</f>
        <v>0</v>
      </c>
      <c r="AH6" s="31">
        <f>IF(PoToMRVWoQSUomRC!$P$2=1,(S6/PoToMRVWoQSUomRC!$S$7)*PoToMRVWoQSUomRC!$E$21,AD6/PoToMRVWoQSUomRC!$AD$7*PoToMRVWoQSUomRC!$E$21)</f>
        <v>0</v>
      </c>
      <c r="AI6" s="31">
        <f>S6*PoToMRVWoQSUomRC!$M$2</f>
        <v>433.01</v>
      </c>
      <c r="AJ6" s="31">
        <f>IF(PoToMRVWoQSUomRC!$C$2=3,0,AG6+AH6)</f>
        <v>0</v>
      </c>
      <c r="AK6" s="31">
        <f>IF(PoToMRVWoQSUomRC!$C$2=3,AE6+AG6+AH6,0)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85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156</v>
      </c>
      <c r="BO6" s="39">
        <f t="shared" si="16"/>
        <v>43.3</v>
      </c>
      <c r="BP6" s="48">
        <f t="shared" si="17"/>
        <v>40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customWidth="true" width="28.0"/>
    <col min="3" max="3" customWidth="true" width="30.4259259259259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172</v>
      </c>
      <c r="C4" s="7" t="s">
        <v>172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169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7">
        <v>1</v>
      </c>
      <c r="B5" s="7" t="s">
        <v>176</v>
      </c>
      <c r="C5" s="7" t="s">
        <v>176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IF(OR(PoToMRVWFSUomRC!$C$2=1,PoToMRVWFSUomRC!$C$2=4),ROUND((((S5*U5)/100)/2),2),0)</f>
        <v>0</v>
      </c>
      <c r="W5" s="8">
        <f>IF(PoToMRVWFSUomRC!$C$2=1,ROUND((((S5*U5)/100)/2),2),0)</f>
        <v>0</v>
      </c>
      <c r="X5" s="8">
        <f>IF(PoToMRVWFSUomRC!$C$2=2,ROUND(((S5*U5)/100),2),0)</f>
        <v>59.12</v>
      </c>
      <c r="Y5" s="8">
        <f>IF(PoToMRVWFSUomRC!$C$2=4,ROUND((((S5*U5)/100)/2),2),0)</f>
        <v>0</v>
      </c>
      <c r="Z5" s="8">
        <v>0</v>
      </c>
      <c r="AA5" s="8">
        <f>IF(PoToMRVWFSUomRC!$C3=3,0,(S5*Z5)/100)</f>
        <v>0</v>
      </c>
      <c r="AB5" s="8">
        <f t="shared" si="9"/>
        <v>59.12</v>
      </c>
      <c r="AC5" s="8">
        <f>IF(PoToMRVWFSUomRC!$V3=1,S5+AB5,S5)</f>
        <v>328.47</v>
      </c>
      <c r="AD5" s="31">
        <v>120</v>
      </c>
      <c r="AE5" s="31">
        <f>IF(PoToMRVWFSUomRC!$P$2=1,(S5/PoToMRVWFSUomRC!$S$7)*PoToMRVWFSUomRC!$E$18,AD5/PoToMRVWFSUomRC!$AD$7*PoToMRVWFSUomRC!$E$18)</f>
        <v>0</v>
      </c>
      <c r="AF5" s="31"/>
      <c r="AG5" s="31">
        <f>IF(PoToMRVWFSUomRC!$P$2=1,(S5/PoToMRVWFSUomRC!$S$7)*PoToMRVWFSUomRC!$E$20,AD5/PoToMRVWFSUomRC!$AD$7*PoToMRVWFSUomRC!$E$20)</f>
        <v>0</v>
      </c>
      <c r="AH5" s="31">
        <f>IF(PoToMRVWFSUomRC!$P$2=1,(S5/PoToMRVWFSUomRC!$S$7)*PoToMRVWFSUomRC!$E$21,AD5/PoToMRVWFSUomRC!$AD$7*PoToMRVWFSUomRC!$E$21)</f>
        <v>0</v>
      </c>
      <c r="AI5" s="31">
        <f>S5*PoToMRVWFSUomRC!$M$2</f>
        <v>328.47</v>
      </c>
      <c r="AJ5" s="31">
        <f>IF(PoToMRVWFSUomRC!$C$2=3,0,AG5+AH5)</f>
        <v>0</v>
      </c>
      <c r="AK5" s="31">
        <f>IF(PoToMRVWFSUomRC!$C$2=3,AE5+AG5+AH5,0)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163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7">
        <v>1</v>
      </c>
      <c r="B6" s="7" t="s">
        <v>177</v>
      </c>
      <c r="C6" s="7" t="s">
        <v>177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IF(OR(PoToMRVWFSUomRC!$C$2=1,PoToMRVWFSUomRC!$C$2=4),ROUND((((S6*U6)/100)/2),2),0)</f>
        <v>0</v>
      </c>
      <c r="W6" s="8">
        <f>IF(PoToMRVWFSUomRC!$C$2=1,ROUND((((S6*U6)/100)/2),2),0)</f>
        <v>0</v>
      </c>
      <c r="X6" s="8">
        <f>IF(PoToMRVWFSUomRC!$C$2=2,ROUND(((S6*U6)/100),2),0)</f>
        <v>77.94</v>
      </c>
      <c r="Y6" s="8">
        <f>IF(PoToMRVWFSUomRC!$C$2=4,ROUND((((S6*U6)/100)/2),2),0)</f>
        <v>0</v>
      </c>
      <c r="Z6" s="8">
        <v>0</v>
      </c>
      <c r="AA6" s="8">
        <f>IF(PoToMRVWFSUomRC!$C4=3,0,(S6*Z6)/100)</f>
        <v>0</v>
      </c>
      <c r="AB6" s="8">
        <f t="shared" si="9"/>
        <v>77.94</v>
      </c>
      <c r="AC6" s="8">
        <f>IF(PoToMRVWFSUomRC!$V4=1,S6+AB6,S6)</f>
        <v>433.01</v>
      </c>
      <c r="AD6" s="31">
        <v>120</v>
      </c>
      <c r="AE6" s="31">
        <f>IF(PoToMRVWFSUomRC!$P$2=1,(S6/PoToMRVWFSUomRC!$S$7)*PoToMRVWFSUomRC!$E$18,AD6/PoToMRVWFSUomRC!$AD$7*PoToMRVWFSUomRC!$E$18)</f>
        <v>0</v>
      </c>
      <c r="AF6" s="31"/>
      <c r="AG6" s="31">
        <f>IF(PoToMRVWFSUomRC!$P$2=1,(S6/PoToMRVWFSUomRC!$S$7)*PoToMRVWFSUomRC!$E$20,AD6/PoToMRVWFSUomRC!$AD$7*PoToMRVWFSUomRC!$E$20)</f>
        <v>0</v>
      </c>
      <c r="AH6" s="31">
        <f>IF(PoToMRVWFSUomRC!$P$2=1,(S6/PoToMRVWFSUomRC!$S$7)*PoToMRVWFSUomRC!$E$21,AD6/PoToMRVWFSUomRC!$AD$7*PoToMRVWFSUomRC!$E$21)</f>
        <v>0</v>
      </c>
      <c r="AI6" s="31">
        <f>S6*PoToMRVWFSUomRC!$M$2</f>
        <v>433.01</v>
      </c>
      <c r="AJ6" s="31">
        <f>IF(PoToMRVWFSUomRC!$C$2=3,0,AG6+AH6)</f>
        <v>0</v>
      </c>
      <c r="AK6" s="31">
        <f>IF(PoToMRVWFSUomRC!$C$2=3,AE6+AG6+AH6,0)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87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5185185185185" defaultRowHeight="14.4"/>
  <cols>
    <col min="2" max="2" customWidth="true" width="28.0"/>
    <col min="3" max="3" customWidth="true" width="30.4259259259259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179</v>
      </c>
      <c r="C4" s="7" t="s">
        <v>179</v>
      </c>
      <c r="D4" s="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169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7">
        <v>1</v>
      </c>
      <c r="B5" s="7" t="s">
        <v>180</v>
      </c>
      <c r="C5" s="7" t="s">
        <v>180</v>
      </c>
      <c r="D5" s="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IF(OR(PoToMRVWFSUomPl!$C$2=1,PoToMRVWFSUomPl!$C$2=4),ROUND((((S5*U5)/100)/2),2),0)</f>
        <v>0</v>
      </c>
      <c r="W5" s="8">
        <f>IF(PoToMRVWFSUomPl!$C$2=1,ROUND((((S5*U5)/100)/2),2),0)</f>
        <v>0</v>
      </c>
      <c r="X5" s="8">
        <f>IF(PoToMRVWFSUomPl!$C$2=2,ROUND(((S5*U5)/100),2),0)</f>
        <v>59.12</v>
      </c>
      <c r="Y5" s="8">
        <f>IF(PoToMRVWFSUomPl!$C$2=4,ROUND((((S5*U5)/100)/2),2),0)</f>
        <v>0</v>
      </c>
      <c r="Z5" s="8">
        <v>0</v>
      </c>
      <c r="AA5" s="8">
        <f>IF(PoToMRVWFSUomPl!$C3=3,0,(S5*Z5)/100)</f>
        <v>0</v>
      </c>
      <c r="AB5" s="8">
        <f t="shared" si="9"/>
        <v>59.12</v>
      </c>
      <c r="AC5" s="8">
        <f>IF(PoToMRVWFSUomPl!$V3=1,S5+AB5,S5)</f>
        <v>328.47</v>
      </c>
      <c r="AD5" s="31">
        <v>120</v>
      </c>
      <c r="AE5" s="31">
        <f>IF(PoToMRVWFSUomPl!$P$2=1,(S5/PoToMRVWFSUomPl!$S$7)*PoToMRVWFSUomPl!$E$18,AD5/PoToMRVWFSUomPl!$AD$7*PoToMRVWFSUomPl!$E$18)</f>
        <v>0</v>
      </c>
      <c r="AF5" s="31"/>
      <c r="AG5" s="31">
        <f>IF(PoToMRVWFSUomPl!$P$2=1,(S5/PoToMRVWFSUomPl!$S$7)*PoToMRVWFSUomPl!$E$20,AD5/PoToMRVWFSUomPl!$AD$7*PoToMRVWFSUomPl!$E$20)</f>
        <v>0</v>
      </c>
      <c r="AH5" s="31">
        <f>IF(PoToMRVWFSUomPl!$P$2=1,(S5/PoToMRVWFSUomPl!$S$7)*PoToMRVWFSUomPl!$E$21,AD5/PoToMRVWFSUomPl!$AD$7*PoToMRVWFSUomPl!$E$21)</f>
        <v>0</v>
      </c>
      <c r="AI5" s="31">
        <f>S5*PoToMRVWFSUomPl!$M$2</f>
        <v>328.47</v>
      </c>
      <c r="AJ5" s="31">
        <f>IF(PoToMRVWFSUomPl!$C$2=3,0,AG5+AH5)</f>
        <v>0</v>
      </c>
      <c r="AK5" s="31">
        <f>IF(PoToMRVWFSUomPl!$C$2=3,AE5+AG5+AH5,0)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163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7">
        <v>1</v>
      </c>
      <c r="B6" s="7" t="s">
        <v>181</v>
      </c>
      <c r="C6" s="7" t="s">
        <v>181</v>
      </c>
      <c r="D6" s="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IF(OR(PoToMRVWFSUomPl!$C$2=1,PoToMRVWFSUomPl!$C$2=4),ROUND((((S6*U6)/100)/2),2),0)</f>
        <v>0</v>
      </c>
      <c r="W6" s="8">
        <f>IF(PoToMRVWFSUomPl!$C$2=1,ROUND((((S6*U6)/100)/2),2),0)</f>
        <v>0</v>
      </c>
      <c r="X6" s="8">
        <f>IF(PoToMRVWFSUomPl!$C$2=2,ROUND(((S6*U6)/100),2),0)</f>
        <v>77.94</v>
      </c>
      <c r="Y6" s="8">
        <f>IF(PoToMRVWFSUomPl!$C$2=4,ROUND((((S6*U6)/100)/2),2),0)</f>
        <v>0</v>
      </c>
      <c r="Z6" s="8">
        <v>0</v>
      </c>
      <c r="AA6" s="8">
        <f>IF(PoToMRVWFSUomPl!$C4=3,0,(S6*Z6)/100)</f>
        <v>0</v>
      </c>
      <c r="AB6" s="8">
        <f t="shared" si="9"/>
        <v>77.94</v>
      </c>
      <c r="AC6" s="8">
        <f>IF(PoToMRVWFSUomPl!$V4=1,S6+AB6,S6)</f>
        <v>433.01</v>
      </c>
      <c r="AD6" s="31">
        <v>120</v>
      </c>
      <c r="AE6" s="31">
        <f>IF(PoToMRVWFSUomPl!$P$2=1,(S6/PoToMRVWFSUomPl!$S$7)*PoToMRVWFSUomPl!$E$18,AD6/PoToMRVWFSUomPl!$AD$7*PoToMRVWFSUomPl!$E$18)</f>
        <v>0</v>
      </c>
      <c r="AF6" s="31"/>
      <c r="AG6" s="31">
        <f>IF(PoToMRVWFSUomPl!$P$2=1,(S6/PoToMRVWFSUomPl!$S$7)*PoToMRVWFSUomPl!$E$20,AD6/PoToMRVWFSUomPl!$AD$7*PoToMRVWFSUomPl!$E$20)</f>
        <v>0</v>
      </c>
      <c r="AH6" s="31">
        <f>IF(PoToMRVWFSUomPl!$P$2=1,(S6/PoToMRVWFSUomPl!$S$7)*PoToMRVWFSUomPl!$E$21,AD6/PoToMRVWFSUomPl!$AD$7*PoToMRVWFSUomPl!$E$21)</f>
        <v>0</v>
      </c>
      <c r="AI6" s="31">
        <f>S6*PoToMRVWFSUomPl!$M$2</f>
        <v>433.01</v>
      </c>
      <c r="AJ6" s="31">
        <f>IF(PoToMRVWFSUomPl!$C$2=3,0,AG6+AH6)</f>
        <v>0</v>
      </c>
      <c r="AK6" s="31">
        <f>IF(PoToMRVWFSUomPl!$C$2=3,AE6+AG6+AH6,0)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87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V9" sqref="V9"/>
    </sheetView>
  </sheetViews>
  <sheetFormatPr defaultColWidth="8.85185185185185" defaultRowHeight="14.4"/>
  <cols>
    <col min="2" max="2" customWidth="true" width="28.0"/>
    <col min="3" max="3" customWidth="true" width="30.4259259259259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179</v>
      </c>
      <c r="C4" s="7" t="s">
        <v>179</v>
      </c>
      <c r="D4" s="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85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182</v>
      </c>
      <c r="BN4" t="s" s="0">
        <v>183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7">
        <v>1</v>
      </c>
      <c r="B5" s="7" t="s">
        <v>180</v>
      </c>
      <c r="C5" s="7" t="s">
        <v>180</v>
      </c>
      <c r="D5" s="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IF(OR(PoToMRVWoQUomPl!$C$2=1,PoToMRVWoQUomPl!$C$2=4),ROUND((((S5*U5)/100)/2),2),0)</f>
        <v>0</v>
      </c>
      <c r="W5" s="8">
        <f>IF(PoToMRVWoQUomPl!$C$2=1,ROUND((((S5*U5)/100)/2),2),0)</f>
        <v>0</v>
      </c>
      <c r="X5" s="8">
        <f>IF(PoToMRVWoQUomPl!$C$2=2,ROUND(((S5*U5)/100),2),0)</f>
        <v>59.12</v>
      </c>
      <c r="Y5" s="8">
        <f>IF(PoToMRVWoQUomPl!$C$2=4,ROUND((((S5*U5)/100)/2),2),0)</f>
        <v>0</v>
      </c>
      <c r="Z5" s="8">
        <v>0</v>
      </c>
      <c r="AA5" s="8">
        <f>IF(PoToMRVWoQUomPl!$C3=3,0,(S5*Z5)/100)</f>
        <v>0</v>
      </c>
      <c r="AB5" s="8">
        <f t="shared" si="9"/>
        <v>59.12</v>
      </c>
      <c r="AC5" s="8">
        <f>IF(PoToMRVWoQUomPl!$V3=1,S5+AB5,S5)</f>
        <v>328.47</v>
      </c>
      <c r="AD5" s="31">
        <v>120</v>
      </c>
      <c r="AE5" s="31">
        <f>IF(PoToMRVWoQUomPl!$P$2=1,(S5/PoToMRVWoQUomPl!$S$7)*PoToMRVWoQUomPl!$E$18,AD5/PoToMRVWoQUomPl!$AD$7*PoToMRVWoQUomPl!$E$18)</f>
        <v>0</v>
      </c>
      <c r="AF5" s="31"/>
      <c r="AG5" s="31">
        <f>IF(PoToMRVWoQUomPl!$P$2=1,(S5/PoToMRVWoQUomPl!$S$7)*PoToMRVWoQUomPl!$E$20,AD5/PoToMRVWoQUomPl!$AD$7*PoToMRVWoQUomPl!$E$20)</f>
        <v>0</v>
      </c>
      <c r="AH5" s="31">
        <f>IF(PoToMRVWoQUomPl!$P$2=1,(S5/PoToMRVWoQUomPl!$S$7)*PoToMRVWoQUomPl!$E$21,AD5/PoToMRVWoQUomPl!$AD$7*PoToMRVWoQUomPl!$E$21)</f>
        <v>0</v>
      </c>
      <c r="AI5" s="31">
        <f>S5*PoToMRVWoQUomPl!$M$2</f>
        <v>328.47</v>
      </c>
      <c r="AJ5" s="31">
        <f>IF(PoToMRVWoQUomPl!$C$2=3,0,AG5+AH5)</f>
        <v>0</v>
      </c>
      <c r="AK5" s="31">
        <f>IF(PoToMRVWoQUomPl!$C$2=3,AE5+AG5+AH5,0)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85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165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7">
        <v>1</v>
      </c>
      <c r="B6" s="7" t="s">
        <v>181</v>
      </c>
      <c r="C6" s="7" t="s">
        <v>181</v>
      </c>
      <c r="D6" s="7" t="s">
        <v>76</v>
      </c>
      <c r="E6" s="7" t="s">
        <v>76</v>
      </c>
      <c r="F6" s="8">
        <v>10</v>
      </c>
      <c r="G6" t="s" s="0">
        <v>175</v>
      </c>
      <c r="H6" s="8">
        <f t="shared" si="0"/>
        <v>500</v>
      </c>
      <c r="I6" t="s" s="0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IF(OR(PoToMRVWoQUomPl!$C$2=1,PoToMRVWoQUomPl!$C$2=4),ROUND((((S6*U6)/100)/2),2),0)</f>
        <v>0</v>
      </c>
      <c r="W6" s="8">
        <f>IF(PoToMRVWoQUomPl!$C$2=1,ROUND((((S6*U6)/100)/2),2),0)</f>
        <v>0</v>
      </c>
      <c r="X6" s="8">
        <f>IF(PoToMRVWoQUomPl!$C$2=2,ROUND(((S6*U6)/100),2),0)</f>
        <v>77.94</v>
      </c>
      <c r="Y6" s="8">
        <f>IF(PoToMRVWoQUomPl!$C$2=4,ROUND((((S6*U6)/100)/2),2),0)</f>
        <v>0</v>
      </c>
      <c r="Z6" s="8">
        <v>0</v>
      </c>
      <c r="AA6" s="8">
        <f>IF(PoToMRVWoQUomPl!$C4=3,0,(S6*Z6)/100)</f>
        <v>0</v>
      </c>
      <c r="AB6" s="8">
        <f t="shared" si="9"/>
        <v>77.94</v>
      </c>
      <c r="AC6" s="8">
        <f>IF(PoToMRVWoQUomPl!$V4=1,S6+AB6,S6)</f>
        <v>433.01</v>
      </c>
      <c r="AD6" s="31">
        <v>120</v>
      </c>
      <c r="AE6" s="31">
        <f>IF(PoToMRVWoQUomPl!$P$2=1,(S6/PoToMRVWoQUomPl!$S$7)*PoToMRVWoQUomPl!$E$18,AD6/PoToMRVWoQUomPl!$AD$7*PoToMRVWoQUomPl!$E$18)</f>
        <v>0</v>
      </c>
      <c r="AF6" s="31"/>
      <c r="AG6" s="31">
        <f>IF(PoToMRVWoQUomPl!$P$2=1,(S6/PoToMRVWoQUomPl!$S$7)*PoToMRVWoQUomPl!$E$20,AD6/PoToMRVWoQUomPl!$AD$7*PoToMRVWoQUomPl!$E$20)</f>
        <v>0</v>
      </c>
      <c r="AH6" s="31">
        <f>IF(PoToMRVWoQUomPl!$P$2=1,(S6/PoToMRVWoQUomPl!$S$7)*PoToMRVWoQUomPl!$E$21,AD6/PoToMRVWoQUomPl!$AD$7*PoToMRVWoQUomPl!$E$21)</f>
        <v>0</v>
      </c>
      <c r="AI6" s="31">
        <f>S6*PoToMRVWoQUomPl!$M$2</f>
        <v>433.01</v>
      </c>
      <c r="AJ6" s="31">
        <f>IF(PoToMRVWoQUomPl!$C$2=3,0,AG6+AH6)</f>
        <v>0</v>
      </c>
      <c r="AK6" s="31">
        <f>IF(PoToMRVWoQUomPl!$C$2=3,AE6+AG6+AH6,0)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85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163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customWidth="true" width="28.0"/>
    <col min="3" max="3" customWidth="true" width="30.4259259259259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184</v>
      </c>
      <c r="C4" s="106" t="s">
        <v>184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169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185</v>
      </c>
      <c r="C5" s="108" t="s">
        <v>185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IF(OR(PoToMRVWFSUomservRc!$C$2=1,PoToMRVWFSUomservRc!$C$2=4),ROUND((((S5*U5)/100)/2),2),0)</f>
        <v>0</v>
      </c>
      <c r="W5" s="8">
        <f>IF(PoToMRVWFSUomservRc!$C$2=1,ROUND((((S5*U5)/100)/2),2),0)</f>
        <v>0</v>
      </c>
      <c r="X5" s="8">
        <f>IF(PoToMRVWFSUomservRc!$C$2=2,ROUND(((S5*U5)/100),2),0)</f>
        <v>59.12</v>
      </c>
      <c r="Y5" s="8">
        <f>IF(PoToMRVWFSUomservRc!$C$2=4,ROUND((((S5*U5)/100)/2),2),0)</f>
        <v>0</v>
      </c>
      <c r="Z5" s="8">
        <v>0</v>
      </c>
      <c r="AA5" s="8">
        <f>IF(PoToMRVWFSUomservRc!$C3=3,0,(S5*Z5)/100)</f>
        <v>0</v>
      </c>
      <c r="AB5" s="8">
        <f t="shared" si="9"/>
        <v>59.12</v>
      </c>
      <c r="AC5" s="8">
        <f>IF(PoToMRVWFSUomservRc!$V3=1,S5+AB5,S5)</f>
        <v>328.47</v>
      </c>
      <c r="AD5" s="31">
        <v>120</v>
      </c>
      <c r="AE5" s="31">
        <f>IF(PoToMRVWFSUomservRc!$P$2=1,(S5/PoToMRVWFSUomservRc!$S$7)*PoToMRVWFSUomservRc!$E$18,AD5/PoToMRVWFSUomservRc!$AD$7*PoToMRVWFSUomservRc!$E$18)</f>
        <v>0</v>
      </c>
      <c r="AF5" s="31"/>
      <c r="AG5" s="31">
        <f>IF(PoToMRVWFSUomservRc!$P$2=1,(S5/PoToMRVWFSUomservRc!$S$7)*PoToMRVWFSUomservRc!$E$20,AD5/PoToMRVWFSUomservRc!$AD$7*PoToMRVWFSUomservRc!$E$20)</f>
        <v>0</v>
      </c>
      <c r="AH5" s="31">
        <f>IF(PoToMRVWFSUomservRc!$P$2=1,(S5/PoToMRVWFSUomservRc!$S$7)*PoToMRVWFSUomservRc!$E$21,AD5/PoToMRVWFSUomservRc!$AD$7*PoToMRVWFSUomservRc!$E$21)</f>
        <v>0</v>
      </c>
      <c r="AI5" s="31">
        <f>S5*PoToMRVWFSUomservRc!$M$2</f>
        <v>328.47</v>
      </c>
      <c r="AJ5" s="31">
        <f>IF(PoToMRVWFSUomservRc!$C$2=3,0,AG5+AH5)</f>
        <v>0</v>
      </c>
      <c r="AK5" s="31">
        <f>IF(PoToMRVWFSUomservRc!$C$2=3,AE5+AG5+AH5,0)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163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105">
        <v>1</v>
      </c>
      <c r="B6" s="108" t="s">
        <v>186</v>
      </c>
      <c r="C6" s="108" t="s">
        <v>186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IF(OR(PoToMRVWFSUomservRc!$C$2=1,PoToMRVWFSUomservRc!$C$2=4),ROUND((((S6*U6)/100)/2),2),0)</f>
        <v>0</v>
      </c>
      <c r="W6" s="8">
        <f>IF(PoToMRVWFSUomservRc!$C$2=1,ROUND((((S6*U6)/100)/2),2),0)</f>
        <v>0</v>
      </c>
      <c r="X6" s="8">
        <f>IF(PoToMRVWFSUomservRc!$C$2=2,ROUND(((S6*U6)/100),2),0)</f>
        <v>77.94</v>
      </c>
      <c r="Y6" s="8">
        <f>IF(PoToMRVWFSUomservRc!$C$2=4,ROUND((((S6*U6)/100)/2),2),0)</f>
        <v>0</v>
      </c>
      <c r="Z6" s="8">
        <v>0</v>
      </c>
      <c r="AA6" s="8">
        <f>IF(PoToMRVWFSUomservRc!$C4=3,0,(S6*Z6)/100)</f>
        <v>0</v>
      </c>
      <c r="AB6" s="8">
        <f t="shared" si="9"/>
        <v>77.94</v>
      </c>
      <c r="AC6" s="8">
        <f>IF(PoToMRVWFSUomservRc!$V4=1,S6+AB6,S6)</f>
        <v>433.01</v>
      </c>
      <c r="AD6" s="31">
        <v>120</v>
      </c>
      <c r="AE6" s="31">
        <f>IF(PoToMRVWFSUomservRc!$P$2=1,(S6/PoToMRVWFSUomservRc!$S$7)*PoToMRVWFSUomservRc!$E$18,AD6/PoToMRVWFSUomservRc!$AD$7*PoToMRVWFSUomservRc!$E$18)</f>
        <v>0</v>
      </c>
      <c r="AF6" s="31"/>
      <c r="AG6" s="31">
        <f>IF(PoToMRVWFSUomservRc!$P$2=1,(S6/PoToMRVWFSUomservRc!$S$7)*PoToMRVWFSUomservRc!$E$20,AD6/PoToMRVWFSUomservRc!$AD$7*PoToMRVWFSUomservRc!$E$20)</f>
        <v>0</v>
      </c>
      <c r="AH6" s="31">
        <f>IF(PoToMRVWFSUomservRc!$P$2=1,(S6/PoToMRVWFSUomservRc!$S$7)*PoToMRVWFSUomservRc!$E$21,AD6/PoToMRVWFSUomservRc!$AD$7*PoToMRVWFSUomservRc!$E$21)</f>
        <v>0</v>
      </c>
      <c r="AI6" s="31">
        <f>S6*PoToMRVWFSUomservRc!$M$2</f>
        <v>433.01</v>
      </c>
      <c r="AJ6" s="31">
        <f>IF(PoToMRVWFSUomservRc!$C$2=3,0,AG6+AH6)</f>
        <v>0</v>
      </c>
      <c r="AK6" s="31">
        <f>IF(PoToMRVWFSUomservRc!$C$2=3,AE6+AG6+AH6,0)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87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V9" sqref="V9"/>
    </sheetView>
  </sheetViews>
  <sheetFormatPr defaultColWidth="8.85185185185185" defaultRowHeight="14.4"/>
  <cols>
    <col min="2" max="2" customWidth="true" width="28.0"/>
    <col min="3" max="3" customWidth="true" width="30.4259259259259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184</v>
      </c>
      <c r="C4" s="106" t="s">
        <v>184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169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185</v>
      </c>
      <c r="C5" s="108" t="s">
        <v>185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IF(OR(PoToMRVWoQSUomservRc!$C$2=1,PoToMRVWoQSUomservRc!$C$2=4),ROUND((((S5*U5)/100)/2),2),0)</f>
        <v>0</v>
      </c>
      <c r="W5" s="8">
        <f>IF(PoToMRVWoQSUomservRc!$C$2=1,ROUND((((S5*U5)/100)/2),2),0)</f>
        <v>0</v>
      </c>
      <c r="X5" s="8">
        <f>IF(PoToMRVWoQSUomservRc!$C$2=2,ROUND(((S5*U5)/100),2),0)</f>
        <v>59.12</v>
      </c>
      <c r="Y5" s="8">
        <f>IF(PoToMRVWoQSUomservRc!$C$2=4,ROUND((((S5*U5)/100)/2),2),0)</f>
        <v>0</v>
      </c>
      <c r="Z5" s="8">
        <v>0</v>
      </c>
      <c r="AA5" s="8">
        <f>IF(PoToMRVWoQSUomservRc!$C3=3,0,(S5*Z5)/100)</f>
        <v>0</v>
      </c>
      <c r="AB5" s="8">
        <f t="shared" si="9"/>
        <v>59.12</v>
      </c>
      <c r="AC5" s="8">
        <f>IF(PoToMRVWoQSUomservRc!$V3=1,S5+AB5,S5)</f>
        <v>328.47</v>
      </c>
      <c r="AD5" s="31">
        <v>120</v>
      </c>
      <c r="AE5" s="31">
        <f>IF(PoToMRVWoQSUomservRc!$P$2=1,(S5/PoToMRVWoQSUomservRc!$S$7)*PoToMRVWoQSUomservRc!$E$18,AD5/PoToMRVWoQSUomservRc!$AD$7*PoToMRVWoQSUomservRc!$E$18)</f>
        <v>0</v>
      </c>
      <c r="AF5" s="31"/>
      <c r="AG5" s="31">
        <f>IF(PoToMRVWoQSUomservRc!$P$2=1,(S5/PoToMRVWoQSUomservRc!$S$7)*PoToMRVWoQSUomservRc!$E$20,AD5/PoToMRVWoQSUomservRc!$AD$7*PoToMRVWoQSUomservRc!$E$20)</f>
        <v>0</v>
      </c>
      <c r="AH5" s="31">
        <f>IF(PoToMRVWoQSUomservRc!$P$2=1,(S5/PoToMRVWoQSUomservRc!$S$7)*PoToMRVWoQSUomservRc!$E$21,AD5/PoToMRVWoQSUomservRc!$AD$7*PoToMRVWoQSUomservRc!$E$21)</f>
        <v>0</v>
      </c>
      <c r="AI5" s="31">
        <f>S5*PoToMRVWoQSUomservRc!$M$2</f>
        <v>328.47</v>
      </c>
      <c r="AJ5" s="31">
        <f>IF(PoToMRVWoQSUomservRc!$C$2=3,0,AG5+AH5)</f>
        <v>0</v>
      </c>
      <c r="AK5" s="31">
        <f>IF(PoToMRVWoQSUomservRc!$C$2=3,AE5+AG5+AH5,0)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163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.15" spans="1:69">
      <c r="A6" s="105">
        <v>1</v>
      </c>
      <c r="B6" s="108" t="s">
        <v>186</v>
      </c>
      <c r="C6" s="108" t="s">
        <v>186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IF(OR(PoToMRVWoQSUomservRc!$C$2=1,PoToMRVWoQSUomservRc!$C$2=4),ROUND((((S6*U6)/100)/2),2),0)</f>
        <v>0</v>
      </c>
      <c r="W6" s="8">
        <f>IF(PoToMRVWoQSUomservRc!$C$2=1,ROUND((((S6*U6)/100)/2),2),0)</f>
        <v>0</v>
      </c>
      <c r="X6" s="8">
        <f>IF(PoToMRVWoQSUomservRc!$C$2=2,ROUND(((S6*U6)/100),2),0)</f>
        <v>77.94</v>
      </c>
      <c r="Y6" s="8">
        <f>IF(PoToMRVWoQSUomservRc!$C$2=4,ROUND((((S6*U6)/100)/2),2),0)</f>
        <v>0</v>
      </c>
      <c r="Z6" s="8">
        <v>0</v>
      </c>
      <c r="AA6" s="8">
        <f>IF(PoToMRVWoQSUomservRc!$C4=3,0,(S6*Z6)/100)</f>
        <v>0</v>
      </c>
      <c r="AB6" s="8">
        <f t="shared" si="9"/>
        <v>77.94</v>
      </c>
      <c r="AC6" s="8">
        <f>IF(PoToMRVWoQSUomservRc!$V4=1,S6+AB6,S6)</f>
        <v>433.01</v>
      </c>
      <c r="AD6" s="31">
        <v>120</v>
      </c>
      <c r="AE6" s="31">
        <f>IF(PoToMRVWoQSUomservRc!$P$2=1,(S6/PoToMRVWoQSUomservRc!$S$7)*PoToMRVWoQSUomservRc!$E$18,AD6/PoToMRVWoQSUomservRc!$AD$7*PoToMRVWoQSUomservRc!$E$18)</f>
        <v>0</v>
      </c>
      <c r="AF6" s="31"/>
      <c r="AG6" s="31">
        <f>IF(PoToMRVWoQSUomservRc!$P$2=1,(S6/PoToMRVWoQSUomservRc!$S$7)*PoToMRVWoQSUomservRc!$E$20,AD6/PoToMRVWoQSUomservRc!$AD$7*PoToMRVWoQSUomservRc!$E$20)</f>
        <v>0</v>
      </c>
      <c r="AH6" s="31">
        <f>IF(PoToMRVWoQSUomservRc!$P$2=1,(S6/PoToMRVWoQSUomservRc!$S$7)*PoToMRVWoQSUomservRc!$E$21,AD6/PoToMRVWoQSUomservRc!$AD$7*PoToMRVWoQSUomservRc!$E$21)</f>
        <v>0</v>
      </c>
      <c r="AI6" s="31">
        <f>S6*PoToMRVWoQSUomservRc!$M$2</f>
        <v>433.01</v>
      </c>
      <c r="AJ6" s="31">
        <f>IF(PoToMRVWoQSUomservRc!$C$2=3,0,AG6+AH6)</f>
        <v>0</v>
      </c>
      <c r="AK6" s="31">
        <f>IF(PoToMRVWoQSUomservRc!$C$2=3,AE6+AG6+AH6,0)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87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B4" sqref="B4"/>
    </sheetView>
  </sheetViews>
  <sheetFormatPr defaultColWidth="8.85185185185185" defaultRowHeight="14.4"/>
  <cols>
    <col min="2" max="2" customWidth="true" width="28.0"/>
    <col min="3" max="3" customWidth="true" width="30.4259259259259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187</v>
      </c>
      <c r="C4" s="106" t="s">
        <v>187</v>
      </c>
      <c r="D4" s="107" t="s">
        <v>76</v>
      </c>
      <c r="E4" s="7" t="s">
        <v>76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169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188</v>
      </c>
      <c r="C5" s="106" t="s">
        <v>188</v>
      </c>
      <c r="D5" s="107" t="s">
        <v>76</v>
      </c>
      <c r="E5" s="7" t="s">
        <v>76</v>
      </c>
      <c r="F5" s="8">
        <v>4</v>
      </c>
      <c r="G5" s="8">
        <v>100</v>
      </c>
      <c r="H5" s="8">
        <f t="shared" si="0"/>
        <v>400</v>
      </c>
      <c r="I5" s="8">
        <v>4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IF(OR(PoToMRVWFSUomservPl!$C$2=1,PoToMRVWFSUomservPl!$C$2=4),ROUND((((S5*U5)/100)/2),2),0)</f>
        <v>0</v>
      </c>
      <c r="W5" s="8">
        <f>IF(PoToMRVWFSUomservPl!$C$2=1,ROUND((((S5*U5)/100)/2),2),0)</f>
        <v>0</v>
      </c>
      <c r="X5" s="8">
        <f>IF(PoToMRVWFSUomservPl!$C$2=2,ROUND(((S5*U5)/100),2),0)</f>
        <v>59.12</v>
      </c>
      <c r="Y5" s="8">
        <f>IF(PoToMRVWFSUomservPl!$C$2=4,ROUND((((S5*U5)/100)/2),2),0)</f>
        <v>0</v>
      </c>
      <c r="Z5" s="8">
        <v>0</v>
      </c>
      <c r="AA5" s="8">
        <f>IF(PoToMRVWFSUomservPl!$C3=3,0,(S5*Z5)/100)</f>
        <v>0</v>
      </c>
      <c r="AB5" s="8">
        <f t="shared" si="9"/>
        <v>59.12</v>
      </c>
      <c r="AC5" s="8">
        <f>IF(PoToMRVWFSUomservPl!$V3=1,S5+AB5,S5)</f>
        <v>328.47</v>
      </c>
      <c r="AD5" s="31">
        <v>120</v>
      </c>
      <c r="AE5" s="31">
        <f>IF(PoToMRVWFSUomservPl!$P$2=1,(S5/PoToMRVWFSUomservPl!$S$7)*PoToMRVWFSUomservPl!$E$18,AD5/PoToMRVWFSUomservPl!$AD$7*PoToMRVWFSUomservPl!$E$18)</f>
        <v>0</v>
      </c>
      <c r="AF5" s="31"/>
      <c r="AG5" s="31">
        <f>IF(PoToMRVWFSUomservPl!$P$2=1,(S5/PoToMRVWFSUomservPl!$S$7)*PoToMRVWFSUomservPl!$E$20,AD5/PoToMRVWFSUomservPl!$AD$7*PoToMRVWFSUomservPl!$E$20)</f>
        <v>0</v>
      </c>
      <c r="AH5" s="31">
        <f>IF(PoToMRVWFSUomservPl!$P$2=1,(S5/PoToMRVWFSUomservPl!$S$7)*PoToMRVWFSUomservPl!$E$21,AD5/PoToMRVWFSUomservPl!$AD$7*PoToMRVWFSUomservPl!$E$21)</f>
        <v>0</v>
      </c>
      <c r="AI5" s="31">
        <f>S5*PoToMRVWFSUomservPl!$M$2</f>
        <v>328.47</v>
      </c>
      <c r="AJ5" s="31">
        <f>IF(PoToMRVWFSUomservPl!$C$2=3,0,AG5+AH5)</f>
        <v>0</v>
      </c>
      <c r="AK5" s="31">
        <f>IF(PoToMRVWFSUomservPl!$C$2=3,AE5+AG5+AH5,0)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163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" customHeight="1" spans="1:69">
      <c r="A6" s="105">
        <v>1</v>
      </c>
      <c r="B6" s="108" t="s">
        <v>189</v>
      </c>
      <c r="C6" s="109" t="s">
        <v>189</v>
      </c>
      <c r="D6" s="107" t="s">
        <v>76</v>
      </c>
      <c r="E6" s="7" t="s">
        <v>76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IF(OR(PoToMRVWFSUomservPl!$C$2=1,PoToMRVWFSUomservPl!$C$2=4),ROUND((((S6*U6)/100)/2),2),0)</f>
        <v>0</v>
      </c>
      <c r="W6" s="8">
        <f>IF(PoToMRVWFSUomservPl!$C$2=1,ROUND((((S6*U6)/100)/2),2),0)</f>
        <v>0</v>
      </c>
      <c r="X6" s="8">
        <f>IF(PoToMRVWFSUomservPl!$C$2=2,ROUND(((S6*U6)/100),2),0)</f>
        <v>77.94</v>
      </c>
      <c r="Y6" s="8">
        <f>IF(PoToMRVWFSUomservPl!$C$2=4,ROUND((((S6*U6)/100)/2),2),0)</f>
        <v>0</v>
      </c>
      <c r="Z6" s="8">
        <v>0</v>
      </c>
      <c r="AA6" s="8">
        <f>IF(PoToMRVWFSUomservPl!$C4=3,0,(S6*Z6)/100)</f>
        <v>0</v>
      </c>
      <c r="AB6" s="8">
        <f t="shared" si="9"/>
        <v>77.94</v>
      </c>
      <c r="AC6" s="8">
        <f>IF(PoToMRVWFSUomservPl!$V4=1,S6+AB6,S6)</f>
        <v>433.01</v>
      </c>
      <c r="AD6" s="31">
        <v>120</v>
      </c>
      <c r="AE6" s="31">
        <f>IF(PoToMRVWFSUomservPl!$P$2=1,(S6/PoToMRVWFSUomservPl!$S$7)*PoToMRVWFSUomservPl!$E$18,AD6/PoToMRVWFSUomservPl!$AD$7*PoToMRVWFSUomservPl!$E$18)</f>
        <v>0</v>
      </c>
      <c r="AF6" s="31"/>
      <c r="AG6" s="31">
        <f>IF(PoToMRVWFSUomservPl!$P$2=1,(S6/PoToMRVWFSUomservPl!$S$7)*PoToMRVWFSUomservPl!$E$20,AD6/PoToMRVWFSUomservPl!$AD$7*PoToMRVWFSUomservPl!$E$20)</f>
        <v>0</v>
      </c>
      <c r="AH6" s="31">
        <f>IF(PoToMRVWFSUomservPl!$P$2=1,(S6/PoToMRVWFSUomservPl!$S$7)*PoToMRVWFSUomservPl!$E$21,AD6/PoToMRVWFSUomservPl!$AD$7*PoToMRVWFSUomservPl!$E$21)</f>
        <v>0</v>
      </c>
      <c r="AI6" s="31">
        <f>S6*PoToMRVWFSUomservPl!$M$2</f>
        <v>433.01</v>
      </c>
      <c r="AJ6" s="31">
        <f>IF(PoToMRVWFSUomservPl!$C$2=3,0,AG6+AH6)</f>
        <v>0</v>
      </c>
      <c r="AK6" s="31">
        <f>IF(PoToMRVWFSUomservPl!$C$2=3,AE6+AG6+AH6,0)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87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E1" workbookViewId="0">
      <selection activeCell="P16" sqref="P16"/>
    </sheetView>
  </sheetViews>
  <sheetFormatPr defaultColWidth="8.85185185185185" defaultRowHeight="14.4"/>
  <cols>
    <col min="2" max="2" customWidth="true" width="28.0"/>
    <col min="3" max="3" customWidth="true" width="30.4259259259259"/>
    <col min="20" max="20" width="9.71296296296296"/>
    <col min="49" max="49" width="12.8518518518519"/>
    <col min="51" max="51" width="12.8518518518519"/>
    <col min="52" max="52" customWidth="true" width="10.712962962963"/>
    <col min="64" max="64" customWidth="true" width="11.0"/>
    <col min="65" max="67" width="9.71296296296296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104" t="s">
        <v>10</v>
      </c>
      <c r="C3" s="104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105">
        <v>1</v>
      </c>
      <c r="B4" s="106" t="s">
        <v>187</v>
      </c>
      <c r="C4" s="106" t="s">
        <v>187</v>
      </c>
      <c r="D4" s="107" t="s">
        <v>76</v>
      </c>
      <c r="E4" s="7" t="s">
        <v>76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 t="shared" ref="AM4:AM6" si="10">F4/AL4</f>
        <v>10</v>
      </c>
      <c r="AN4" s="34">
        <f>ROUND(AI4/AM4,3)</f>
        <v>124.545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124.545</v>
      </c>
      <c r="AS4" s="38" t="s">
        <v>114</v>
      </c>
      <c r="AT4" s="39" t="s">
        <v>76</v>
      </c>
      <c r="AU4" t="s" s="0">
        <v>169</v>
      </c>
      <c r="AV4" t="s" s="0">
        <v>148</v>
      </c>
      <c r="AW4" s="39">
        <f t="shared" ref="AW4:AW6" si="13">AM4</f>
        <v>10</v>
      </c>
      <c r="AX4" s="42">
        <f t="shared" ref="AX4:AX6" si="14">AR4</f>
        <v>124.545</v>
      </c>
      <c r="AY4" s="39">
        <f t="shared" ref="AY4:AY6" si="15">AU4+AW4</f>
        <v>30</v>
      </c>
      <c r="AZ4" s="42">
        <f>ROUND(((AU4*AV4)+(AW4*AX4))/(AU4+AW4),5)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148</v>
      </c>
      <c r="BN4" t="s" s="0">
        <v>77</v>
      </c>
      <c r="BO4" s="39">
        <f t="shared" ref="BO4:BO6" si="16">ROUND((((AW4*AZ4)+(BN4*BM4))/(AW4+BN4)),5)</f>
        <v>124.545</v>
      </c>
      <c r="BP4" s="48">
        <f t="shared" ref="BP4:BP6" si="17">ROUND(BN4+AW4,3)</f>
        <v>160</v>
      </c>
      <c r="BQ4" s="49">
        <v>123562</v>
      </c>
    </row>
    <row r="5" ht="15.15" spans="1:69">
      <c r="A5" s="105">
        <v>1</v>
      </c>
      <c r="B5" s="106" t="s">
        <v>188</v>
      </c>
      <c r="C5" s="106" t="s">
        <v>188</v>
      </c>
      <c r="D5" s="107" t="s">
        <v>76</v>
      </c>
      <c r="E5" s="7" t="s">
        <v>76</v>
      </c>
      <c r="F5" s="8">
        <v>4</v>
      </c>
      <c r="G5" t="s" s="0">
        <v>87</v>
      </c>
      <c r="H5" s="8">
        <f t="shared" si="0"/>
        <v>400</v>
      </c>
      <c r="I5" t="s" s="0">
        <v>88</v>
      </c>
      <c r="J5" s="8">
        <v>9</v>
      </c>
      <c r="K5" s="8">
        <v>6</v>
      </c>
      <c r="L5" s="8">
        <f t="shared" si="1"/>
        <v>400</v>
      </c>
      <c r="M5" s="8">
        <f t="shared" si="2"/>
        <v>16</v>
      </c>
      <c r="N5" s="8">
        <f t="shared" si="3"/>
        <v>384</v>
      </c>
      <c r="O5" s="8">
        <f t="shared" si="4"/>
        <v>34.56</v>
      </c>
      <c r="P5" s="8">
        <f t="shared" si="5"/>
        <v>349.44</v>
      </c>
      <c r="Q5" s="8">
        <f t="shared" si="6"/>
        <v>20.97</v>
      </c>
      <c r="R5" s="8">
        <f t="shared" si="7"/>
        <v>71.53</v>
      </c>
      <c r="S5" s="8">
        <f t="shared" si="8"/>
        <v>328.47</v>
      </c>
      <c r="T5" s="8">
        <v>88363222</v>
      </c>
      <c r="U5" s="8">
        <v>18</v>
      </c>
      <c r="V5" s="8">
        <f>IF(OR(PoToMRVWoQSUomservPl!$C$2=1,PoToMRVWoQSUomservPl!$C$2=4),ROUND((((S5*U5)/100)/2),2),0)</f>
        <v>0</v>
      </c>
      <c r="W5" s="8">
        <f>IF(PoToMRVWoQSUomservPl!$C$2=1,ROUND((((S5*U5)/100)/2),2),0)</f>
        <v>0</v>
      </c>
      <c r="X5" s="8">
        <f>IF(PoToMRVWoQSUomservPl!$C$2=2,ROUND(((S5*U5)/100),2),0)</f>
        <v>59.12</v>
      </c>
      <c r="Y5" s="8">
        <f>IF(PoToMRVWoQSUomservPl!$C$2=4,ROUND((((S5*U5)/100)/2),2),0)</f>
        <v>0</v>
      </c>
      <c r="Z5" s="8">
        <v>0</v>
      </c>
      <c r="AA5" s="8">
        <f>IF(PoToMRVWoQSUomservPl!$C3=3,0,(S5*Z5)/100)</f>
        <v>0</v>
      </c>
      <c r="AB5" s="8">
        <f t="shared" si="9"/>
        <v>59.12</v>
      </c>
      <c r="AC5" s="8">
        <f>IF(PoToMRVWoQSUomservPl!$V3=1,S5+AB5,S5)</f>
        <v>328.47</v>
      </c>
      <c r="AD5" s="31">
        <v>120</v>
      </c>
      <c r="AE5" s="31">
        <f>IF(PoToMRVWoQSUomservPl!$P$2=1,(S5/PoToMRVWoQSUomservPl!$S$7)*PoToMRVWoQSUomservPl!$E$18,AD5/PoToMRVWoQSUomservPl!$AD$7*PoToMRVWoQSUomservPl!$E$18)</f>
        <v>0</v>
      </c>
      <c r="AF5" s="31"/>
      <c r="AG5" s="31">
        <f>IF(PoToMRVWoQSUomservPl!$P$2=1,(S5/PoToMRVWoQSUomservPl!$S$7)*PoToMRVWoQSUomservPl!$E$20,AD5/PoToMRVWoQSUomservPl!$AD$7*PoToMRVWoQSUomservPl!$E$20)</f>
        <v>0</v>
      </c>
      <c r="AH5" s="31">
        <f>IF(PoToMRVWoQSUomservPl!$P$2=1,(S5/PoToMRVWoQSUomservPl!$S$7)*PoToMRVWoQSUomservPl!$E$21,AD5/PoToMRVWoQSUomservPl!$AD$7*PoToMRVWoQSUomservPl!$E$21)</f>
        <v>0</v>
      </c>
      <c r="AI5" s="31">
        <f>S5*PoToMRVWoQSUomservPl!$M$2</f>
        <v>328.47</v>
      </c>
      <c r="AJ5" s="31">
        <f>IF(PoToMRVWoQSUomservPl!$C$2=3,0,AG5+AH5)</f>
        <v>0</v>
      </c>
      <c r="AK5" s="31">
        <f>IF(PoToMRVWoQSUomservPl!$C$2=3,AE5+AG5+AH5,0)</f>
        <v>0</v>
      </c>
      <c r="AL5" s="34">
        <v>1</v>
      </c>
      <c r="AM5" s="31">
        <f t="shared" si="10"/>
        <v>4</v>
      </c>
      <c r="AN5" s="31">
        <f>ROUND(AI5/AM5,5)</f>
        <v>82.1175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163</v>
      </c>
      <c r="AV5" t="s" s="0">
        <v>138</v>
      </c>
      <c r="AW5" s="39">
        <f t="shared" si="13"/>
        <v>4</v>
      </c>
      <c r="AX5" s="39">
        <f t="shared" si="14"/>
        <v>82.1175</v>
      </c>
      <c r="AY5" s="39">
        <f t="shared" si="15"/>
        <v>44</v>
      </c>
      <c r="AZ5" s="39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138</v>
      </c>
      <c r="BN5" t="s" s="0">
        <v>163</v>
      </c>
      <c r="BO5" s="39">
        <f t="shared" si="16"/>
        <v>82.12</v>
      </c>
      <c r="BP5" s="48">
        <f t="shared" si="17"/>
        <v>44</v>
      </c>
      <c r="BQ5" s="49">
        <v>123562</v>
      </c>
    </row>
    <row r="6" ht="15" customHeight="1" spans="1:69">
      <c r="A6" s="105">
        <v>1</v>
      </c>
      <c r="B6" s="108" t="s">
        <v>189</v>
      </c>
      <c r="C6" s="109" t="s">
        <v>189</v>
      </c>
      <c r="D6" s="107" t="s">
        <v>76</v>
      </c>
      <c r="E6" s="7" t="s">
        <v>76</v>
      </c>
      <c r="F6" s="8">
        <v>10</v>
      </c>
      <c r="G6" t="s" s="0">
        <v>175</v>
      </c>
      <c r="H6" s="8">
        <f t="shared" si="0"/>
        <v>500</v>
      </c>
      <c r="I6" t="s" s="0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IF(OR(PoToMRVWoQSUomservPl!$C$2=1,PoToMRVWoQSUomservPl!$C$2=4),ROUND((((S6*U6)/100)/2),2),0)</f>
        <v>0</v>
      </c>
      <c r="W6" s="8">
        <f>IF(PoToMRVWoQSUomservPl!$C$2=1,ROUND((((S6*U6)/100)/2),2),0)</f>
        <v>0</v>
      </c>
      <c r="X6" s="8">
        <f>IF(PoToMRVWoQSUomservPl!$C$2=2,ROUND(((S6*U6)/100),2),0)</f>
        <v>77.94</v>
      </c>
      <c r="Y6" s="8">
        <f>IF(PoToMRVWoQSUomservPl!$C$2=4,ROUND((((S6*U6)/100)/2),2),0)</f>
        <v>0</v>
      </c>
      <c r="Z6" s="8">
        <v>0</v>
      </c>
      <c r="AA6" s="8">
        <f>IF(PoToMRVWoQSUomservPl!$C4=3,0,(S6*Z6)/100)</f>
        <v>0</v>
      </c>
      <c r="AB6" s="8">
        <f t="shared" si="9"/>
        <v>77.94</v>
      </c>
      <c r="AC6" s="8">
        <f>IF(PoToMRVWoQSUomservPl!$V4=1,S6+AB6,S6)</f>
        <v>433.01</v>
      </c>
      <c r="AD6" s="31">
        <v>120</v>
      </c>
      <c r="AE6" s="31">
        <f>IF(PoToMRVWoQSUomservPl!$P$2=1,(S6/PoToMRVWoQSUomservPl!$S$7)*PoToMRVWoQSUomservPl!$E$18,AD6/PoToMRVWoQSUomservPl!$AD$7*PoToMRVWoQSUomservPl!$E$18)</f>
        <v>0</v>
      </c>
      <c r="AF6" s="31"/>
      <c r="AG6" s="31">
        <f>IF(PoToMRVWoQSUomservPl!$P$2=1,(S6/PoToMRVWoQSUomservPl!$S$7)*PoToMRVWoQSUomservPl!$E$20,AD6/PoToMRVWoQSUomservPl!$AD$7*PoToMRVWoQSUomservPl!$E$20)</f>
        <v>0</v>
      </c>
      <c r="AH6" s="31">
        <f>IF(PoToMRVWoQSUomservPl!$P$2=1,(S6/PoToMRVWoQSUomservPl!$S$7)*PoToMRVWoQSUomservPl!$E$21,AD6/PoToMRVWoQSUomservPl!$AD$7*PoToMRVWoQSUomservPl!$E$21)</f>
        <v>0</v>
      </c>
      <c r="AI6" s="31">
        <f>S6*PoToMRVWoQSUomservPl!$M$2</f>
        <v>433.01</v>
      </c>
      <c r="AJ6" s="31">
        <f>IF(PoToMRVWoQSUomservPl!$C$2=3,0,AG6+AH6)</f>
        <v>0</v>
      </c>
      <c r="AK6" s="31">
        <f>IF(PoToMRVWoQSUomservPl!$C$2=3,AE6+AG6+AH6,0)</f>
        <v>0</v>
      </c>
      <c r="AL6" s="34">
        <v>1</v>
      </c>
      <c r="AM6" s="31">
        <f t="shared" si="10"/>
        <v>10</v>
      </c>
      <c r="AN6" s="31">
        <f>ROUND(AI6/AM6,5)</f>
        <v>43.301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87</v>
      </c>
      <c r="AV6" t="s" s="0">
        <v>144</v>
      </c>
      <c r="AW6" s="39">
        <f t="shared" si="13"/>
        <v>10</v>
      </c>
      <c r="AX6" s="39">
        <f t="shared" si="14"/>
        <v>43.301</v>
      </c>
      <c r="AY6" s="39">
        <f t="shared" si="15"/>
        <v>110</v>
      </c>
      <c r="AZ6" s="39">
        <f>ROUND(((AU6*AV6)+(AW6*AX6))/(AU6+AW6),2)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144</v>
      </c>
      <c r="BN6" t="s" s="0">
        <v>87</v>
      </c>
      <c r="BO6" s="39">
        <f t="shared" si="16"/>
        <v>43.3</v>
      </c>
      <c r="BP6" s="48">
        <f t="shared" si="17"/>
        <v>110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1245.45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H1" workbookViewId="0">
      <selection activeCell="AR4" sqref="AR4"/>
    </sheetView>
  </sheetViews>
  <sheetFormatPr defaultColWidth="8.85185185185185" defaultRowHeight="14.4"/>
  <cols>
    <col min="2" max="2" customWidth="true" width="28.0"/>
    <col min="3" max="3" customWidth="true" width="24.1388888888889"/>
    <col min="13" max="13" customWidth="true" width="9.13888888888889"/>
    <col min="14" max="14" customWidth="true" width="13.85185185185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190</v>
      </c>
      <c r="C4" s="7" t="s">
        <v>190</v>
      </c>
      <c r="D4" s="7" t="s">
        <v>76</v>
      </c>
      <c r="E4" s="7" t="s">
        <v>76</v>
      </c>
      <c r="F4" s="8">
        <v>5</v>
      </c>
      <c r="G4" t="s" s="0">
        <v>175</v>
      </c>
      <c r="H4" s="8">
        <f>F4*G4</f>
        <v>250</v>
      </c>
      <c r="I4" t="s" s="0">
        <v>78</v>
      </c>
      <c r="J4" s="8">
        <v>8</v>
      </c>
      <c r="K4" s="8">
        <v>5</v>
      </c>
      <c r="L4" s="8">
        <f>IF(OR(I4=0,I4="0"),0,H4)</f>
        <v>250</v>
      </c>
      <c r="M4" s="8">
        <f>ROUND(L4*I4%,3)</f>
        <v>12.5</v>
      </c>
      <c r="N4" s="8">
        <f>H4-M4</f>
        <v>237.5</v>
      </c>
      <c r="O4" s="8">
        <f>ROUND(N4*J4%,3)</f>
        <v>19</v>
      </c>
      <c r="P4" s="8">
        <f>ROUND(N4-O4,2)</f>
        <v>218.5</v>
      </c>
      <c r="Q4" s="8">
        <f>ROUND(P4*K4%,2)</f>
        <v>10.93</v>
      </c>
      <c r="R4" s="31">
        <f>ROUND(M4+O4+Q4,3)</f>
        <v>42.43</v>
      </c>
      <c r="S4" s="31">
        <f>(H4-R4)</f>
        <v>207.57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37.36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37.36</v>
      </c>
      <c r="AC4" s="30">
        <f>IF($V2=1,S4+AB4,S4)</f>
        <v>244.93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207.57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41.514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41.514</v>
      </c>
      <c r="AS4" s="38" t="s">
        <v>114</v>
      </c>
      <c r="AT4" s="39" t="s">
        <v>76</v>
      </c>
      <c r="AU4" t="s" s="0">
        <v>191</v>
      </c>
      <c r="AV4" t="s" s="0">
        <v>192</v>
      </c>
      <c r="AW4" s="39">
        <f>AM4</f>
        <v>5</v>
      </c>
      <c r="AX4" s="103">
        <f>AR4</f>
        <v>41.514</v>
      </c>
      <c r="AY4" s="39">
        <f>AU4+AW4</f>
        <v>20</v>
      </c>
      <c r="AZ4" s="39">
        <f>ROUND(((AU4*AV4)+(AW4*AX4))/(AU4+AW4),3)</f>
        <v>41.515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192</v>
      </c>
      <c r="BN4" t="s" s="0">
        <v>78</v>
      </c>
      <c r="BO4" s="39">
        <f>ROUND((((AW4*AZ4)+(BN4*BM4))/(AW4+BN4)),5)</f>
        <v>41.515</v>
      </c>
      <c r="BP4" s="48">
        <f>ROUND(BN4+AW4,3)</f>
        <v>10</v>
      </c>
      <c r="BQ4" s="49">
        <v>123562</v>
      </c>
    </row>
    <row r="5" ht="15.15" spans="1:69">
      <c r="A5" s="7">
        <v>1</v>
      </c>
      <c r="B5" s="7" t="s">
        <v>193</v>
      </c>
      <c r="C5" s="7" t="s">
        <v>193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194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24</v>
      </c>
      <c r="N5" s="8">
        <f>H5-M5</f>
        <v>376</v>
      </c>
      <c r="O5" s="8">
        <f>ROUND(N5*J5%,2)</f>
        <v>33.84</v>
      </c>
      <c r="P5" s="8">
        <f>ROUND(N5-O5,2)</f>
        <v>342.16</v>
      </c>
      <c r="Q5" s="8">
        <f>ROUND(P5*K5%,2)</f>
        <v>20.53</v>
      </c>
      <c r="R5" s="8">
        <f>M5+O5+Q5</f>
        <v>78.37</v>
      </c>
      <c r="S5" s="8">
        <f>(H5-R5)</f>
        <v>321.63</v>
      </c>
      <c r="T5" s="8">
        <v>88363222</v>
      </c>
      <c r="U5" s="8">
        <v>18</v>
      </c>
      <c r="V5" s="8">
        <f>IF(OR(PoToMRVWOIpRc!$C$2=1,PoToMRVWOIpRc!$C$2=4),ROUND((((S5*U5)/100)/2),2),0)</f>
        <v>0</v>
      </c>
      <c r="W5" s="8">
        <f>IF(PoToMRVWOIpRc!$C$2=1,ROUND((((S5*U5)/100)/2),2),0)</f>
        <v>0</v>
      </c>
      <c r="X5" s="8">
        <f>IF(PoToMRVWOIpRc!$C$2=2,ROUND(((S5*U5)/100),2),0)</f>
        <v>57.89</v>
      </c>
      <c r="Y5" s="8">
        <f>IF(PoToMRVWOIpRc!$C$2=4,ROUND((((S5*U5)/100)/2),2),0)</f>
        <v>0</v>
      </c>
      <c r="Z5" s="8">
        <v>0</v>
      </c>
      <c r="AA5" s="8">
        <f>IF(PoToMRVWOIpRc!$C3=3,0,(S5*Z5)/100)</f>
        <v>0</v>
      </c>
      <c r="AB5" s="8">
        <f>V5+W5+X5+Y5+AA5</f>
        <v>57.89</v>
      </c>
      <c r="AC5" s="8">
        <f>IF(PoToMRVWOIpRc!$V3=1,S5+AB5,S5)</f>
        <v>321.63</v>
      </c>
      <c r="AD5" s="31">
        <v>120</v>
      </c>
      <c r="AE5" s="31">
        <f>IF(PoToMRVWOIpRc!$P$2=1,(S5/PoToMRVWOIpRc!$S$7)*PoToMRVWOIpRc!$E$18,AD5/PoToMRVWOIpRc!$AD$7*PoToMRVWOIpRc!$E$18)</f>
        <v>0</v>
      </c>
      <c r="AF5" s="31"/>
      <c r="AG5" s="31">
        <f>IF(PoToMRVWOIpRc!$P$2=1,(S5/PoToMRVWOIpRc!$S$7)*PoToMRVWOIpRc!$E$20,AD5/PoToMRVWOIpRc!$AD$7*PoToMRVWOIpRc!$E$20)</f>
        <v>0</v>
      </c>
      <c r="AH5" s="31">
        <f>IF(PoToMRVWOIpRc!$P$2=1,(S5/PoToMRVWOIpRc!$S$7)*PoToMRVWOIpRc!$E$21,AD5/PoToMRVWOIpRc!$AD$7*PoToMRVWOIpRc!$E$21)</f>
        <v>0</v>
      </c>
      <c r="AI5" s="31">
        <f>S5*PoToMRVWOIpRc!$M$2</f>
        <v>321.63</v>
      </c>
      <c r="AJ5" s="31">
        <f>IF(PoToMRVWOIpRc!$C$2=3,0,AG5+AH5)</f>
        <v>0</v>
      </c>
      <c r="AK5" s="31">
        <f>IF(PoToMRVWOIpRc!$C$2=3,AE5+AG5+AH5,0)</f>
        <v>0</v>
      </c>
      <c r="AL5" s="34">
        <v>1</v>
      </c>
      <c r="AM5" s="31">
        <f>F5/AL5</f>
        <v>4</v>
      </c>
      <c r="AN5" s="31">
        <f>ROUND(AI5/AM5,5)</f>
        <v>80.4075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80.4075</v>
      </c>
      <c r="AS5" s="38" t="s">
        <v>114</v>
      </c>
      <c r="AT5" s="39" t="s">
        <v>76</v>
      </c>
      <c r="AU5" t="s" s="0">
        <v>167</v>
      </c>
      <c r="AV5" t="s" s="0">
        <v>195</v>
      </c>
      <c r="AW5" s="39">
        <f>AM5</f>
        <v>4</v>
      </c>
      <c r="AX5" s="103">
        <f>AR5</f>
        <v>80.4075</v>
      </c>
      <c r="AY5" s="39">
        <f>AU5+AW5</f>
        <v>16</v>
      </c>
      <c r="AZ5" s="103">
        <f>ROUND(((AU5*AV5)+(AW5*AX5))/(AU5+AW5),2)</f>
        <v>80.41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195</v>
      </c>
      <c r="BN5" t="s" s="0">
        <v>88</v>
      </c>
      <c r="BO5" s="39">
        <f>ROUND((((AW5*AZ5)+(BN5*BM5))/(AW5+BN5)),5)</f>
        <v>80.41</v>
      </c>
      <c r="BP5" s="48">
        <f>ROUND(BN5+AW5,3)</f>
        <v>8</v>
      </c>
      <c r="BQ5" s="49">
        <v>123562</v>
      </c>
    </row>
    <row r="6" ht="15.15" spans="1:69">
      <c r="A6" s="7">
        <v>1</v>
      </c>
      <c r="B6" s="7" t="s">
        <v>196</v>
      </c>
      <c r="C6" s="7" t="s">
        <v>196</v>
      </c>
      <c r="D6" s="7" t="s">
        <v>76</v>
      </c>
      <c r="E6" s="7" t="s">
        <v>76</v>
      </c>
      <c r="F6" s="8">
        <v>10</v>
      </c>
      <c r="G6" t="s" s="0">
        <v>77</v>
      </c>
      <c r="H6" s="8">
        <f>F6*G6</f>
        <v>1500</v>
      </c>
      <c r="I6" t="s" s="0">
        <v>197</v>
      </c>
      <c r="J6" s="8">
        <v>7</v>
      </c>
      <c r="K6" s="8">
        <v>4</v>
      </c>
      <c r="L6" s="8">
        <f t="shared" si="0"/>
        <v>1500</v>
      </c>
      <c r="M6" s="8">
        <f>ROUND(L6*I6%,2)</f>
        <v>105</v>
      </c>
      <c r="N6" s="8">
        <f>H6-M6</f>
        <v>1395</v>
      </c>
      <c r="O6" s="8">
        <f>ROUND(N6*J6%,2)</f>
        <v>97.65</v>
      </c>
      <c r="P6" s="8">
        <f>ROUND(N6-O6,2)</f>
        <v>1297.35</v>
      </c>
      <c r="Q6" s="8">
        <f>ROUND(P6*K6%,2)</f>
        <v>51.89</v>
      </c>
      <c r="R6" s="8">
        <f>M6+O6+Q6</f>
        <v>254.54</v>
      </c>
      <c r="S6" s="8">
        <f>(H6-R6)</f>
        <v>1245.46</v>
      </c>
      <c r="T6" s="8">
        <v>88363222</v>
      </c>
      <c r="U6" s="8">
        <v>18</v>
      </c>
      <c r="V6" s="8">
        <f>IF(OR(PoToMRVWOIpRc!$C$2=1,PoToMRVWOIpRc!$C$2=4),ROUND((((S6*U6)/100)/2),2),0)</f>
        <v>0</v>
      </c>
      <c r="W6" s="8">
        <f>IF(PoToMRVWOIpRc!$C$2=1,ROUND((((S6*U6)/100)/2),2),0)</f>
        <v>0</v>
      </c>
      <c r="X6" s="8">
        <f>IF(PoToMRVWOIpRc!$C$2=2,ROUND(((S6*U6)/100),2),0)</f>
        <v>224.18</v>
      </c>
      <c r="Y6" s="8">
        <f>IF(PoToMRVWOIpRc!$C$2=4,ROUND((((S6*U6)/100)/2),2),0)</f>
        <v>0</v>
      </c>
      <c r="Z6" s="8">
        <v>0</v>
      </c>
      <c r="AA6" s="8">
        <f>IF(PoToMRVWOIpRc!$C4=3,0,(S6*Z6)/100)</f>
        <v>0</v>
      </c>
      <c r="AB6" s="8">
        <f>V6+W6+X6+Y6+AA6</f>
        <v>224.18</v>
      </c>
      <c r="AC6" s="8">
        <f>IF(PoToMRVWOIpRc!$V4=1,S6+AB6,S6)</f>
        <v>1245.46</v>
      </c>
      <c r="AD6" s="31">
        <v>120</v>
      </c>
      <c r="AE6" s="31">
        <f>IF(PoToMRVWOIpRc!$P$2=1,(S6/PoToMRVWOIpRc!$S$7)*PoToMRVWOIpRc!$E$18,AD6/PoToMRVWOIpRc!$AD$7*PoToMRVWOIpRc!$E$18)</f>
        <v>0</v>
      </c>
      <c r="AF6" s="31"/>
      <c r="AG6" s="31">
        <f>IF(PoToMRVWOIpRc!$P$2=1,(S6/PoToMRVWOIpRc!$S$7)*PoToMRVWOIpRc!$E$20,AD6/PoToMRVWOIpRc!$AD$7*PoToMRVWOIpRc!$E$20)</f>
        <v>0</v>
      </c>
      <c r="AH6" s="31">
        <f>IF(PoToMRVWOIpRc!$P$2=1,(S6/PoToMRVWOIpRc!$S$7)*PoToMRVWOIpRc!$E$21,AD6/PoToMRVWOIpRc!$AD$7*PoToMRVWOIpRc!$E$21)</f>
        <v>0</v>
      </c>
      <c r="AI6" s="31">
        <f>S6*PoToMRVWOIpRc!$M$2</f>
        <v>1245.46</v>
      </c>
      <c r="AJ6" s="31">
        <f>IF(PoToMRVWOIpRc!$C$2=3,0,AG6+AH6)</f>
        <v>0</v>
      </c>
      <c r="AK6" s="31">
        <f>IF(PoToMRVWOIpRc!$C$2=3,AE6+AG6+AH6,0)</f>
        <v>0</v>
      </c>
      <c r="AL6" s="34">
        <v>1</v>
      </c>
      <c r="AM6" s="31">
        <f>F6/AL6</f>
        <v>10</v>
      </c>
      <c r="AN6" s="31">
        <f>ROUND(AI6/AM6,5)</f>
        <v>124.546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124.546</v>
      </c>
      <c r="AS6" s="38" t="s">
        <v>114</v>
      </c>
      <c r="AT6" s="39" t="s">
        <v>76</v>
      </c>
      <c r="AU6" t="s" s="0">
        <v>156</v>
      </c>
      <c r="AV6" t="s" s="0">
        <v>148</v>
      </c>
      <c r="AW6" s="39">
        <f>AM6</f>
        <v>10</v>
      </c>
      <c r="AX6" s="39">
        <f>AR6</f>
        <v>124.546</v>
      </c>
      <c r="AY6" s="39">
        <f>AU6+AW6</f>
        <v>40</v>
      </c>
      <c r="AZ6" s="39">
        <f>ROUND(((AU6*AV6)+(AW6*AX6))/(AU6+AW6),3)</f>
        <v>124.545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148</v>
      </c>
      <c r="BN6" t="s" s="0">
        <v>155</v>
      </c>
      <c r="BO6" s="39">
        <f>ROUND((((AW6*AZ6)+(BN6*BM6))/(AW6+BN6)),5)</f>
        <v>124.545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250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42.43</v>
      </c>
      <c r="S7" s="13">
        <f t="shared" si="1"/>
        <v>207.57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37.36</v>
      </c>
      <c r="Y7" s="27"/>
      <c r="Z7" s="27"/>
      <c r="AA7" s="27"/>
      <c r="AB7" s="26">
        <f>SUM(AB4:AB4)</f>
        <v>37.36</v>
      </c>
      <c r="AC7" s="32">
        <f>SUM(AC4:AC4)</f>
        <v>244.93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207.57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250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42.43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207.57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37.36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244.93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U1" workbookViewId="0">
      <selection activeCell="AH13" sqref="AH13"/>
    </sheetView>
  </sheetViews>
  <sheetFormatPr defaultColWidth="8.85185185185185" defaultRowHeight="14.4"/>
  <cols>
    <col min="2" max="2" customWidth="true" width="28.0"/>
    <col min="3" max="3" customWidth="true" width="24.1388888888889"/>
    <col min="13" max="13" customWidth="true" width="9.13888888888889"/>
    <col min="14" max="14" customWidth="true" width="13.851851851851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198</v>
      </c>
      <c r="C4" s="7" t="s">
        <v>198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31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1.66666666666667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1.66666666666667</v>
      </c>
      <c r="AX4" s="103">
        <f>AR4</f>
        <v>142.5</v>
      </c>
      <c r="AY4" s="39">
        <f>AU4+AW4</f>
        <v>1.66666666666667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85</v>
      </c>
      <c r="BN4" t="s" s="0">
        <v>85</v>
      </c>
      <c r="BO4" s="39">
        <f>ROUND((((AW4*AZ4)+(BN4*BM4))/(AW4+BN4)),5)</f>
        <v>142.5</v>
      </c>
      <c r="BP4" s="48">
        <f>ROUND(BN4+AW4,3)</f>
        <v>1.667</v>
      </c>
      <c r="BQ4" s="49">
        <v>123562</v>
      </c>
    </row>
    <row r="5" ht="15.15" spans="1:69">
      <c r="A5" s="7">
        <v>1</v>
      </c>
      <c r="B5" s="7" t="s">
        <v>199</v>
      </c>
      <c r="C5" s="7" t="s">
        <v>199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IF(OR(StPoToMRVWOIpDU!$C$2=1,StPoToMRVWOIpDU!$C$2=4),ROUND((((S5*U5)/100)/2),2),0)</f>
        <v>0</v>
      </c>
      <c r="W5" s="8">
        <f>IF(StPoToMRVWOIpDU!$C$2=1,ROUND((((S5*U5)/100)/2),2),0)</f>
        <v>0</v>
      </c>
      <c r="X5" s="8">
        <f>IF(StPoToMRVWOIpDU!$C$2=2,ROUND(((S5*U5)/100),2),0)</f>
        <v>67.68</v>
      </c>
      <c r="Y5" s="8">
        <f>IF(StPoToMRVWOIpDU!$C$2=4,ROUND((((S5*U5)/100)/2),2),0)</f>
        <v>0</v>
      </c>
      <c r="Z5" s="8">
        <v>0</v>
      </c>
      <c r="AA5" s="8">
        <f>IF(StPoToMRVWOIpDU!$C3=3,0,(S5*Z5)/100)</f>
        <v>0</v>
      </c>
      <c r="AB5" s="8">
        <f>V5+W5+X5+Y5+AA5</f>
        <v>67.68</v>
      </c>
      <c r="AC5" s="8">
        <f>IF(StPoToMRVWOIpDU!$V3=1,S5+AB5,S5)</f>
        <v>376</v>
      </c>
      <c r="AD5" s="31">
        <v>120</v>
      </c>
      <c r="AE5" s="31">
        <f>IF(StPoToMRVWOIpDU!$P$2=1,(S5/StPoToMRVWOIpDU!$S$6)*StPoToMRVWOIpDU!$E$17,AD5/StPoToMRVWOIpDU!$AD$6*StPoToMRVWOIpDU!$E$17)</f>
        <v>0</v>
      </c>
      <c r="AF5" s="31"/>
      <c r="AG5" s="31">
        <f>IF(StPoToMRVWOIpDU!$P$2=1,(S5/StPoToMRVWOIpDU!$S$6)*StPoToMRVWOIpDU!$E$19,AD5/StPoToMRVWOIpDU!$AD$6*StPoToMRVWOIpDU!$E$19)</f>
        <v>0</v>
      </c>
      <c r="AH5" s="31">
        <f>IF(StPoToMRVWOIpDU!$P$2=1,(S5/StPoToMRVWOIpDU!$S$6)*StPoToMRVWOIpDU!$E$20,AD5/StPoToMRVWOIpDU!$AD$6*StPoToMRVWOIpDU!$E$20)</f>
        <v>0</v>
      </c>
      <c r="AI5" s="31">
        <f>S5*StPoToMRVWOIpDU!$M$2</f>
        <v>376</v>
      </c>
      <c r="AJ5" s="31">
        <f>IF(StPoToMRVWOIpDU!$C$2=3,0,AG5+AH5)</f>
        <v>0</v>
      </c>
      <c r="AK5" s="31">
        <f>IF(StPoToMRVWOIpDU!$C$2=3,AE5+AG5+AH5,0)</f>
        <v>0</v>
      </c>
      <c r="AL5" s="34">
        <v>3</v>
      </c>
      <c r="AM5" s="31">
        <f>F5/AL5</f>
        <v>1.33333333333333</v>
      </c>
      <c r="AN5" s="31">
        <f>ROUND(AI5/AM5,5)</f>
        <v>282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282</v>
      </c>
      <c r="AS5" s="38" t="s">
        <v>79</v>
      </c>
      <c r="AT5" s="39" t="s">
        <v>76</v>
      </c>
      <c r="AW5" s="39">
        <f>AM5</f>
        <v>1.33333333333333</v>
      </c>
      <c r="AX5" s="103">
        <f>AR5</f>
        <v>282</v>
      </c>
      <c r="AY5" s="39">
        <f>AU5+AW5</f>
        <v>1.33333333333333</v>
      </c>
      <c r="AZ5" s="39">
        <f>ROUND(((AU5*AV5)+(AW5*AX5))/(AU5+AW5),5)</f>
        <v>282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85</v>
      </c>
      <c r="BN5" t="s" s="0">
        <v>85</v>
      </c>
      <c r="BO5" s="39">
        <f>ROUND((((AW5*AZ5)+(BN5*BM5))/(AW5+BN5)),5)</f>
        <v>282</v>
      </c>
      <c r="BP5" s="48">
        <f>ROUND(BN5+AW5,3)</f>
        <v>1.333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workbookViewId="0">
      <selection activeCell="G16" sqref="G16"/>
    </sheetView>
  </sheetViews>
  <sheetFormatPr defaultColWidth="8.85185185185185" defaultRowHeight="14.4"/>
  <cols>
    <col min="2" max="2" customWidth="true" width="28.0"/>
    <col min="3" max="3" customWidth="true" width="24.1388888888889"/>
    <col min="13" max="13" customWidth="true" width="9.13888888888889"/>
    <col min="14" max="14" customWidth="true" width="13.851851851851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200</v>
      </c>
      <c r="C4" s="7" t="s">
        <v>200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87</v>
      </c>
      <c r="BN4" t="s" s="0">
        <v>201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15" spans="1:69">
      <c r="A5" s="7">
        <v>1</v>
      </c>
      <c r="B5" s="7" t="s">
        <v>202</v>
      </c>
      <c r="C5" s="7" t="s">
        <v>202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IF(OR(StPoToMRVWOIpPl!$C$2=1,StPoToMRVWOIpPl!$C$2=4),ROUND((((S5*U5)/100)/2),2),0)</f>
        <v>0</v>
      </c>
      <c r="W5" s="8">
        <f>IF(StPoToMRVWOIpPl!$C$2=1,ROUND((((S5*U5)/100)/2),2),0)</f>
        <v>0</v>
      </c>
      <c r="X5" s="8">
        <f>IF(StPoToMRVWOIpPl!$C$2=2,ROUND(((S5*U5)/100),2),0)</f>
        <v>69.12</v>
      </c>
      <c r="Y5" s="8">
        <f>IF(StPoToMRVWOIpPl!$C$2=4,ROUND((((S5*U5)/100)/2),2),0)</f>
        <v>0</v>
      </c>
      <c r="Z5" s="8">
        <v>0</v>
      </c>
      <c r="AA5" s="8">
        <f>IF(StPoToMRVWOIpPl!$C3=3,0,(S5*Z5)/100)</f>
        <v>0</v>
      </c>
      <c r="AB5" s="8">
        <f>V5+W5+X5+Y5+AA5</f>
        <v>69.12</v>
      </c>
      <c r="AC5" s="8">
        <f>IF(StPoToMRVWOIpPl!$V3=1,S5+AB5,S5)</f>
        <v>384</v>
      </c>
      <c r="AD5" s="31">
        <v>120</v>
      </c>
      <c r="AE5" s="31">
        <f>IF(StPoToMRVWOIpPl!$P$2=1,(S5/StPoToMRVWOIpPl!$S$6)*StPoToMRVWOIpPl!$E$17,AD5/StPoToMRVWOIpPl!$AD$6*StPoToMRVWOIpPl!$E$17)</f>
        <v>0</v>
      </c>
      <c r="AF5" s="31"/>
      <c r="AG5" s="31">
        <f>IF(StPoToMRVWOIpPl!$P$2=1,(S5/StPoToMRVWOIpPl!$S$6)*StPoToMRVWOIpPl!$E$19,AD5/StPoToMRVWOIpPl!$AD$6*StPoToMRVWOIpPl!$E$19)</f>
        <v>0</v>
      </c>
      <c r="AH5" s="31">
        <f>IF(StPoToMRVWOIpPl!$P$2=1,(S5/StPoToMRVWOIpPl!$S$6)*StPoToMRVWOIpPl!$E$20,AD5/StPoToMRVWOIpPl!$AD$6*StPoToMRVWOIpPl!$E$20)</f>
        <v>0</v>
      </c>
      <c r="AI5" s="31">
        <f>S5*StPoToMRVWOIpPl!$M$2</f>
        <v>384</v>
      </c>
      <c r="AJ5" s="31">
        <f>IF(StPoToMRVWOIpPl!$C$2=3,0,AG5+AH5)</f>
        <v>0</v>
      </c>
      <c r="AK5" s="31">
        <f>IF(StPoToMRVWOIpPl!$C$2=3,AE5+AG5+AH5,0)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87</v>
      </c>
      <c r="BN5" t="s" s="0">
        <v>201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E1" workbookViewId="0">
      <selection activeCell="S9" sqref="S9"/>
    </sheetView>
  </sheetViews>
  <sheetFormatPr defaultColWidth="8.85185185185185" defaultRowHeight="14.4"/>
  <cols>
    <col min="2" max="2" customWidth="true" width="28.0"/>
    <col min="3" max="3" customWidth="true" width="24.1388888888889"/>
    <col min="13" max="13" customWidth="true" width="9.13888888888889"/>
    <col min="14" max="14" customWidth="true" width="13.851851851851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203</v>
      </c>
      <c r="C4" s="7" t="s">
        <v>203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0</v>
      </c>
      <c r="K4" s="8">
        <v>0</v>
      </c>
      <c r="L4" s="8">
        <f>IF(OR(I4=0,I4="0"),0,H4)</f>
        <v>750</v>
      </c>
      <c r="M4" s="8">
        <f>ROUND(L4*I4%,3)</f>
        <v>37.5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37.5</v>
      </c>
      <c r="S4" s="8">
        <f>(H4-R4)</f>
        <v>712.5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128.25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128.25</v>
      </c>
      <c r="AC4" s="30">
        <f>IF($V2=1,S4+AB4,S4)</f>
        <v>840.75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712.5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142.5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142.5</v>
      </c>
      <c r="AS4" s="38" t="s">
        <v>79</v>
      </c>
      <c r="AT4" s="39" t="s">
        <v>76</v>
      </c>
      <c r="AW4" s="39">
        <f>AM4</f>
        <v>5</v>
      </c>
      <c r="AX4" s="103">
        <f>AR4</f>
        <v>142.5</v>
      </c>
      <c r="AY4" s="39">
        <f>AU4+AW4</f>
        <v>5</v>
      </c>
      <c r="AZ4" s="39">
        <f>ROUND(((AU4*AV4)+(AW4*AX4))/(AU4+AW4),5)</f>
        <v>142.5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87</v>
      </c>
      <c r="BN4" t="s" s="0">
        <v>201</v>
      </c>
      <c r="BO4" s="39">
        <f>ROUND((((AW4*AZ4)+(BN4*BM4))/(AW4+BN4)),5)</f>
        <v>100.00215</v>
      </c>
      <c r="BP4" s="48">
        <f>ROUND(BN4+AW4,3)</f>
        <v>99005</v>
      </c>
      <c r="BQ4" s="49">
        <v>123562</v>
      </c>
    </row>
    <row r="5" ht="15.15" spans="1:69">
      <c r="A5" s="7">
        <v>1</v>
      </c>
      <c r="B5" s="7" t="s">
        <v>204</v>
      </c>
      <c r="C5" s="7" t="s">
        <v>204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16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16</v>
      </c>
      <c r="S5" s="8">
        <f>(H5-R5)</f>
        <v>384</v>
      </c>
      <c r="T5" s="8">
        <v>88363222</v>
      </c>
      <c r="U5" s="8">
        <v>18</v>
      </c>
      <c r="V5" s="8">
        <f>IF(OR(StPoToMRVWOIpRc!$C$2=1,StPoToMRVWOIpRc!$C$2=4),ROUND((((S5*U5)/100)/2),2),0)</f>
        <v>0</v>
      </c>
      <c r="W5" s="8">
        <f>IF(StPoToMRVWOIpRc!$C$2=1,ROUND((((S5*U5)/100)/2),2),0)</f>
        <v>0</v>
      </c>
      <c r="X5" s="8">
        <f>IF(StPoToMRVWOIpRc!$C$2=2,ROUND(((S5*U5)/100),2),0)</f>
        <v>69.12</v>
      </c>
      <c r="Y5" s="8">
        <f>IF(StPoToMRVWOIpRc!$C$2=4,ROUND((((S5*U5)/100)/2),2),0)</f>
        <v>0</v>
      </c>
      <c r="Z5" s="8">
        <v>0</v>
      </c>
      <c r="AA5" s="8">
        <f>IF(StPoToMRVWOIpRc!$C3=3,0,(S5*Z5)/100)</f>
        <v>0</v>
      </c>
      <c r="AB5" s="8">
        <f>V5+W5+X5+Y5+AA5</f>
        <v>69.12</v>
      </c>
      <c r="AC5" s="8">
        <f>IF(StPoToMRVWOIpRc!$V3=1,S5+AB5,S5)</f>
        <v>384</v>
      </c>
      <c r="AD5" s="31">
        <v>120</v>
      </c>
      <c r="AE5" s="31">
        <f>IF(StPoToMRVWOIpRc!$P$2=1,(S5/StPoToMRVWOIpRc!$S$6)*StPoToMRVWOIpRc!$E$17,AD5/StPoToMRVWOIpRc!$AD$6*StPoToMRVWOIpRc!$E$17)</f>
        <v>0</v>
      </c>
      <c r="AF5" s="31"/>
      <c r="AG5" s="31">
        <f>IF(StPoToMRVWOIpRc!$P$2=1,(S5/StPoToMRVWOIpRc!$S$6)*StPoToMRVWOIpRc!$E$19,AD5/StPoToMRVWOIpRc!$AD$6*StPoToMRVWOIpRc!$E$19)</f>
        <v>0</v>
      </c>
      <c r="AH5" s="31">
        <f>IF(StPoToMRVWOIpRc!$P$2=1,(S5/StPoToMRVWOIpRc!$S$6)*StPoToMRVWOIpRc!$E$20,AD5/StPoToMRVWOIpRc!$AD$6*StPoToMRVWOIpRc!$E$20)</f>
        <v>0</v>
      </c>
      <c r="AI5" s="31">
        <f>S5*StPoToMRVWOIpRc!$M$2</f>
        <v>384</v>
      </c>
      <c r="AJ5" s="31">
        <f>IF(StPoToMRVWOIpRc!$C$2=3,0,AG5+AH5)</f>
        <v>0</v>
      </c>
      <c r="AK5" s="31">
        <f>IF(StPoToMRVWOIpRc!$C$2=3,AE5+AG5+AH5,0)</f>
        <v>0</v>
      </c>
      <c r="AL5" s="34">
        <v>1</v>
      </c>
      <c r="AM5" s="31">
        <f>F5/AL5</f>
        <v>4</v>
      </c>
      <c r="AN5" s="31">
        <f>ROUND(AI5/AM5,5)</f>
        <v>96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96</v>
      </c>
      <c r="AS5" s="38" t="s">
        <v>79</v>
      </c>
      <c r="AT5" s="39" t="s">
        <v>76</v>
      </c>
      <c r="AW5" s="39">
        <f>AM5</f>
        <v>4</v>
      </c>
      <c r="AX5" s="103">
        <f>AR5</f>
        <v>96</v>
      </c>
      <c r="AY5" s="39">
        <f>AU5+AW5</f>
        <v>4</v>
      </c>
      <c r="AZ5" s="39">
        <f>ROUND(((AU5*AV5)+(AW5*AX5))/(AU5+AW5),5)</f>
        <v>96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87</v>
      </c>
      <c r="BN5" t="s" s="0">
        <v>201</v>
      </c>
      <c r="BO5" s="39">
        <f>ROUND((((AW5*AZ5)+(BN5*BM5))/(AW5+BN5)),5)</f>
        <v>99.99984</v>
      </c>
      <c r="BP5" s="48">
        <f>ROUND(BN5+AW5,3)</f>
        <v>99004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750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37.5</v>
      </c>
      <c r="S6" s="13">
        <f>SUM(S4:S4)</f>
        <v>712.5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128.25</v>
      </c>
      <c r="Y6" s="27"/>
      <c r="Z6" s="27"/>
      <c r="AA6" s="27"/>
      <c r="AB6" s="26">
        <f>SUM(AB4:AB4)</f>
        <v>128.25</v>
      </c>
      <c r="AC6" s="32">
        <f>SUM(AC4:AC4)</f>
        <v>840.75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712.5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750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37.5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712.5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128.25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840.75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19"/>
  <sheetViews>
    <sheetView topLeftCell="B1" workbookViewId="0">
      <selection activeCell="R10" sqref="R10"/>
    </sheetView>
  </sheetViews>
  <sheetFormatPr defaultColWidth="8.85185185185185" defaultRowHeight="14.4"/>
  <cols>
    <col min="2" max="2" customWidth="true" width="28.0"/>
    <col min="3" max="3" customWidth="true" width="24.1388888888889"/>
    <col min="13" max="13" customWidth="true" width="9.13888888888889"/>
    <col min="14" max="14" customWidth="true" width="13.8518518518519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205</v>
      </c>
      <c r="C4" s="7" t="s">
        <v>205</v>
      </c>
      <c r="D4" s="7" t="s">
        <v>76</v>
      </c>
      <c r="E4" s="7" t="s">
        <v>76</v>
      </c>
      <c r="F4" s="8">
        <v>5</v>
      </c>
      <c r="G4" s="0">
        <v>50</v>
      </c>
      <c r="H4" s="8">
        <f>F4*G4</f>
        <v>250</v>
      </c>
      <c r="I4" s="0">
        <v>5</v>
      </c>
      <c r="J4" s="8">
        <v>0</v>
      </c>
      <c r="K4" s="8">
        <v>0</v>
      </c>
      <c r="L4" s="8">
        <f>IF(OR(I4=0,I4="0"),0,H4)</f>
        <v>250</v>
      </c>
      <c r="M4" s="8">
        <f>ROUND(L4*I4%,3)</f>
        <v>12.5</v>
      </c>
      <c r="N4" s="8">
        <v>0</v>
      </c>
      <c r="O4" s="8">
        <f>ROUND(N4*J4%,3)</f>
        <v>0</v>
      </c>
      <c r="P4" s="8">
        <f>ROUND(N4-O4,2)</f>
        <v>0</v>
      </c>
      <c r="Q4" s="8">
        <f>ROUND(P4*K4%,2)</f>
        <v>0</v>
      </c>
      <c r="R4" s="31">
        <f>ROUND(M4+O4+Q4,3)</f>
        <v>12.5</v>
      </c>
      <c r="S4" s="8">
        <f>(H4-R4)</f>
        <v>237.5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42.75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42.75</v>
      </c>
      <c r="AC4" s="30">
        <f>IF($V2=1,S4+AB4,S4)</f>
        <v>280.25</v>
      </c>
      <c r="AD4" s="31">
        <v>120</v>
      </c>
      <c r="AE4" s="31">
        <f>IF($P$2=1,(S4/$S$6)*$E$17,AD4/$AD$6*$E$17)</f>
        <v>0</v>
      </c>
      <c r="AF4" s="31"/>
      <c r="AG4" s="31">
        <f>IF($P$2=1,(S4/$S$6)*$E$19,AD4/$AD$6*$E$19)</f>
        <v>0</v>
      </c>
      <c r="AH4" s="31">
        <f>IF($P$2=1,(S4/$S$6)*$E$20,AD4/$AD$6*$E$20)</f>
        <v>0</v>
      </c>
      <c r="AI4" s="31">
        <f>S4*$M2</f>
        <v>237.5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47.5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47.5</v>
      </c>
      <c r="AS4" s="38" t="s">
        <v>79</v>
      </c>
      <c r="AT4" s="39" t="s">
        <v>76</v>
      </c>
      <c r="AU4" t="s" s="0">
        <v>206</v>
      </c>
      <c r="AV4" t="s" s="0">
        <v>207</v>
      </c>
      <c r="AW4" s="39">
        <f>AM4</f>
        <v>5</v>
      </c>
      <c r="AX4" s="103">
        <f>AR4</f>
        <v>47.5</v>
      </c>
      <c r="AY4" s="39">
        <f>AU4+AW4</f>
        <v>51</v>
      </c>
      <c r="AZ4" s="39">
        <f>ROUND(((AU4*AV4)+(AW4*AX4))/(AU4+AW4),5)</f>
        <v>62.08823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84</v>
      </c>
      <c r="BM4" t="s" s="0">
        <v>195</v>
      </c>
      <c r="BN4" t="s" s="0">
        <v>88</v>
      </c>
      <c r="BO4" s="39">
        <f>ROUND((((AW4*AZ4)+(BN4*BM4))/(AW4+BN4)),5)</f>
        <v>70.23124</v>
      </c>
      <c r="BP4" s="48">
        <f>ROUND(BN4+AW4,3)</f>
        <v>9</v>
      </c>
      <c r="BQ4" s="49">
        <v>123562</v>
      </c>
    </row>
    <row r="5" ht="15.15" spans="1:69">
      <c r="A5" s="7">
        <v>1</v>
      </c>
      <c r="B5" s="7" t="s">
        <v>208</v>
      </c>
      <c r="C5" s="7" t="s">
        <v>208</v>
      </c>
      <c r="D5" s="7" t="s">
        <v>76</v>
      </c>
      <c r="E5" s="7" t="s">
        <v>76</v>
      </c>
      <c r="F5" s="8">
        <v>4</v>
      </c>
      <c r="G5" s="0">
        <v>100</v>
      </c>
      <c r="H5" s="8">
        <f>F5*G5</f>
        <v>400</v>
      </c>
      <c r="I5" s="0">
        <v>6</v>
      </c>
      <c r="J5" s="8">
        <v>0</v>
      </c>
      <c r="K5" s="8">
        <v>0</v>
      </c>
      <c r="L5" s="8">
        <f t="shared" ref="L5" si="0">IF(OR(I5=0,I5="0"),0,H5)</f>
        <v>400</v>
      </c>
      <c r="M5" s="8">
        <f>ROUND(L5*I5%,2)</f>
        <v>24</v>
      </c>
      <c r="N5" s="8">
        <v>0</v>
      </c>
      <c r="O5" s="8">
        <f>ROUND(N5*J5%,2)</f>
        <v>0</v>
      </c>
      <c r="P5" s="8">
        <f>ROUND(N5-O5,2)</f>
        <v>0</v>
      </c>
      <c r="Q5" s="8">
        <f>ROUND(P5*K5%,2)</f>
        <v>0</v>
      </c>
      <c r="R5" s="8">
        <f>M5+O5+Q5</f>
        <v>24</v>
      </c>
      <c r="S5" s="8">
        <f>(H5-R5)</f>
        <v>376</v>
      </c>
      <c r="T5" s="8">
        <v>88363222</v>
      </c>
      <c r="U5" s="8">
        <v>18</v>
      </c>
      <c r="V5" s="8">
        <f>IF(OR(StPoToMRVWOIp!$C$2=1,StPoToMRVWOIp!$C$2=4),ROUND((((S5*U5)/100)/2),2),0)</f>
        <v>0</v>
      </c>
      <c r="W5" s="8">
        <f>IF(StPoToMRVWOIp!$C$2=1,ROUND((((S5*U5)/100)/2),2),0)</f>
        <v>0</v>
      </c>
      <c r="X5" s="8">
        <f>IF(StPoToMRVWOIp!$C$2=2,ROUND(((S5*U5)/100),2),0)</f>
        <v>67.68</v>
      </c>
      <c r="Y5" s="8">
        <f>IF(StPoToMRVWOIp!$C$2=4,ROUND((((S5*U5)/100)/2),2),0)</f>
        <v>0</v>
      </c>
      <c r="Z5" s="8">
        <v>0</v>
      </c>
      <c r="AA5" s="8">
        <f>IF(StPoToMRVWOIp!$C3=3,0,(S5*Z5)/100)</f>
        <v>0</v>
      </c>
      <c r="AB5" s="8">
        <f>V5+W5+X5+Y5+AA5</f>
        <v>67.68</v>
      </c>
      <c r="AC5" s="8">
        <f>IF(StPoToMRVWOIp!$V3=1,S5+AB5,S5)</f>
        <v>376</v>
      </c>
      <c r="AD5" s="31">
        <v>120</v>
      </c>
      <c r="AE5" s="31">
        <f>IF(StPoToMRVWOIp!$P$2=1,(S5/StPoToMRVWOIp!$S$6)*StPoToMRVWOIp!$E$17,AD5/StPoToMRVWOIp!$AD$6*StPoToMRVWOIp!$E$17)</f>
        <v>0</v>
      </c>
      <c r="AF5" s="31"/>
      <c r="AG5" s="31">
        <f>IF(StPoToMRVWOIp!$P$2=1,(S5/StPoToMRVWOIp!$S$6)*StPoToMRVWOIp!$E$19,AD5/StPoToMRVWOIp!$AD$6*StPoToMRVWOIp!$E$19)</f>
        <v>0</v>
      </c>
      <c r="AH5" s="31">
        <f>IF(StPoToMRVWOIp!$P$2=1,(S5/StPoToMRVWOIp!$S$6)*StPoToMRVWOIp!$E$20,AD5/StPoToMRVWOIp!$AD$6*StPoToMRVWOIp!$E$20)</f>
        <v>0</v>
      </c>
      <c r="AI5" s="31">
        <f>S5*StPoToMRVWOIp!$M$2</f>
        <v>376</v>
      </c>
      <c r="AJ5" s="31">
        <f>IF(StPoToMRVWOIp!$C$2=3,0,AG5+AH5)</f>
        <v>0</v>
      </c>
      <c r="AK5" s="31">
        <f>IF(StPoToMRVWOIp!$C$2=3,AE5+AG5+AH5,0)</f>
        <v>0</v>
      </c>
      <c r="AL5" s="34">
        <v>1</v>
      </c>
      <c r="AM5" s="31">
        <f>F5/AL5</f>
        <v>4</v>
      </c>
      <c r="AN5" s="31">
        <f>ROUND(AI5/AM5,5)</f>
        <v>94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94</v>
      </c>
      <c r="AS5" s="38" t="s">
        <v>79</v>
      </c>
      <c r="AT5" s="39" t="s">
        <v>76</v>
      </c>
      <c r="AU5" t="s" s="0">
        <v>209</v>
      </c>
      <c r="AV5" t="s" s="0">
        <v>210</v>
      </c>
      <c r="AW5" s="39">
        <f>AM5</f>
        <v>4</v>
      </c>
      <c r="AX5" s="103">
        <f>AR5</f>
        <v>94</v>
      </c>
      <c r="AY5" s="39">
        <f>AU5+AW5</f>
        <v>68</v>
      </c>
      <c r="AZ5" s="39">
        <f>ROUND(((AU5*AV5)+(AW5*AX5))/(AU5+AW5),5)</f>
        <v>120.76471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84</v>
      </c>
      <c r="BM5" t="s" s="0">
        <v>148</v>
      </c>
      <c r="BN5" t="s" s="0">
        <v>155</v>
      </c>
      <c r="BO5" s="39">
        <f>ROUND((((AW5*AZ5)+(BN5*BM5))/(AW5+BN5)),5)</f>
        <v>123.46492</v>
      </c>
      <c r="BP5" s="48">
        <f>ROUND(BN5+AW5,3)</f>
        <v>14</v>
      </c>
      <c r="BQ5" s="49">
        <v>123562</v>
      </c>
    </row>
    <row r="6" ht="15.15" spans="1:69">
      <c r="A6" s="9"/>
      <c r="B6" s="10"/>
      <c r="C6" s="10"/>
      <c r="D6" s="11" t="s">
        <v>89</v>
      </c>
      <c r="E6" s="11"/>
      <c r="F6" s="11"/>
      <c r="G6" s="12"/>
      <c r="H6" s="13">
        <f>SUM(H4:H4)</f>
        <v>250</v>
      </c>
      <c r="I6" s="7"/>
      <c r="J6" s="7"/>
      <c r="K6" s="7"/>
      <c r="L6" s="7"/>
      <c r="M6" s="7"/>
      <c r="N6" s="7"/>
      <c r="O6" s="7"/>
      <c r="P6" s="7"/>
      <c r="Q6" s="7"/>
      <c r="R6" s="26">
        <f>SUM(R4:R4)</f>
        <v>12.5</v>
      </c>
      <c r="S6" s="13">
        <f>SUM(S4:S4)</f>
        <v>237.5</v>
      </c>
      <c r="T6" s="26"/>
      <c r="U6" s="26"/>
      <c r="V6" s="27">
        <f>SUM(V4:V4)</f>
        <v>0</v>
      </c>
      <c r="W6" s="27">
        <f>SUM(W4:W4)</f>
        <v>0</v>
      </c>
      <c r="X6" s="27">
        <f>SUM(X4:X4)</f>
        <v>42.75</v>
      </c>
      <c r="Y6" s="27"/>
      <c r="Z6" s="27"/>
      <c r="AA6" s="27"/>
      <c r="AB6" s="26">
        <f>SUM(AB4:AB4)</f>
        <v>42.75</v>
      </c>
      <c r="AC6" s="32">
        <f>SUM(AC4:AC4)</f>
        <v>280.25</v>
      </c>
      <c r="AD6" s="33">
        <f>SUM(AD4:AD4)</f>
        <v>120</v>
      </c>
      <c r="AE6" s="33">
        <f>SUM(AE4:AE4)</f>
        <v>0</v>
      </c>
      <c r="AF6" s="32"/>
      <c r="AG6" s="33">
        <f>SUM(AG4:AG4)</f>
        <v>0</v>
      </c>
      <c r="AH6" s="33">
        <f>IF($P$2=1,(S6/$S$6)*$E$20,AD6/$AD$6*$E$20)</f>
        <v>0</v>
      </c>
      <c r="AI6" s="33">
        <f>SUM(AI4:AI4)</f>
        <v>237.5</v>
      </c>
      <c r="AJ6" s="33">
        <f>SUM(AJ4:AJ4)</f>
        <v>0</v>
      </c>
      <c r="AK6" s="33">
        <f>SUM(AK4:AK4)</f>
        <v>0</v>
      </c>
      <c r="AL6" s="32"/>
      <c r="AM6" s="32"/>
      <c r="AN6" s="32"/>
      <c r="AO6" s="32"/>
      <c r="AP6" s="32"/>
      <c r="AQ6" s="32"/>
      <c r="AR6" s="32"/>
      <c r="AS6" s="9"/>
      <c r="AT6" s="9"/>
      <c r="AU6" s="40"/>
      <c r="AV6" s="40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40"/>
      <c r="BQ6" s="40"/>
    </row>
    <row r="7" ht="15.15" spans="1:69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14" t="s">
        <v>90</v>
      </c>
      <c r="H8" s="15"/>
      <c r="I8" s="19">
        <f>H6</f>
        <v>250</v>
      </c>
      <c r="J8" s="19"/>
      <c r="K8" s="9"/>
      <c r="L8" s="9"/>
      <c r="M8" s="20" t="s">
        <v>91</v>
      </c>
      <c r="N8" s="21"/>
      <c r="O8" s="21"/>
      <c r="P8" s="22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 t="s">
        <v>92</v>
      </c>
      <c r="BI8" s="119" t="s">
        <v>93</v>
      </c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94</v>
      </c>
      <c r="H9" s="15"/>
      <c r="I9" s="19">
        <f>R6</f>
        <v>12.5</v>
      </c>
      <c r="J9" s="19"/>
      <c r="K9" s="9"/>
      <c r="L9" s="9"/>
      <c r="M9" s="23">
        <v>1</v>
      </c>
      <c r="N9" s="23" t="s">
        <v>76</v>
      </c>
      <c r="O9" s="23">
        <v>2</v>
      </c>
      <c r="P9" s="23" t="s">
        <v>95</v>
      </c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96</v>
      </c>
      <c r="BI9" s="119" t="s">
        <v>97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98</v>
      </c>
      <c r="H10" s="15"/>
      <c r="I10" s="19">
        <f>S6</f>
        <v>237.5</v>
      </c>
      <c r="J10" s="19"/>
      <c r="K10" s="9"/>
      <c r="L10" s="9"/>
      <c r="M10" s="7">
        <v>1</v>
      </c>
      <c r="N10" s="7" t="s">
        <v>76</v>
      </c>
      <c r="O10" s="7">
        <v>2.5</v>
      </c>
      <c r="P10" s="7" t="s">
        <v>99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100</v>
      </c>
      <c r="H11" s="15"/>
      <c r="I11" s="19">
        <f>AB6</f>
        <v>42.75</v>
      </c>
      <c r="J11" s="19"/>
      <c r="K11" s="9"/>
      <c r="L11" s="9"/>
      <c r="M11" s="7">
        <v>1</v>
      </c>
      <c r="N11" s="7" t="s">
        <v>95</v>
      </c>
      <c r="O11" s="7">
        <v>0.001</v>
      </c>
      <c r="P11" s="7" t="s">
        <v>101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102</v>
      </c>
      <c r="H12" s="15"/>
      <c r="I12" s="24">
        <f>I10+I11</f>
        <v>280.25</v>
      </c>
      <c r="J12" s="24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spans="1:69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 t="s">
        <v>103</v>
      </c>
      <c r="BN13" s="9" t="s">
        <v>104</v>
      </c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 t="s">
        <v>105</v>
      </c>
      <c r="BL14" s="9">
        <v>12.5</v>
      </c>
      <c r="BM14" s="9">
        <f>BL16*BL17</f>
        <v>18277.77</v>
      </c>
      <c r="BN14" s="9">
        <f>BL14*BL15</f>
        <v>6092.59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106</v>
      </c>
      <c r="BL15" s="9">
        <v>487.4072</v>
      </c>
      <c r="BM15" s="9">
        <f>BL14+BL16</f>
        <v>50</v>
      </c>
      <c r="BN15" s="9"/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107</v>
      </c>
      <c r="BL16" s="9">
        <v>37.5</v>
      </c>
      <c r="BM16" s="9"/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108</v>
      </c>
      <c r="BL17" s="9">
        <v>487.4072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>
        <f>BM14+BN14</f>
        <v>24370.36</v>
      </c>
      <c r="BN18" s="9">
        <f>BM18/BM15</f>
        <v>487.4072</v>
      </c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40"/>
      <c r="BQ19" s="40"/>
    </row>
  </sheetData>
  <mergeCells count="12">
    <mergeCell ref="A2:B2"/>
    <mergeCell ref="G8:H8"/>
    <mergeCell ref="I8:J8"/>
    <mergeCell ref="M8:P8"/>
    <mergeCell ref="G9:H9"/>
    <mergeCell ref="I9:J9"/>
    <mergeCell ref="G10:H10"/>
    <mergeCell ref="I10:J10"/>
    <mergeCell ref="G11:H11"/>
    <mergeCell ref="I11:J11"/>
    <mergeCell ref="G12:H12"/>
    <mergeCell ref="I12:J12"/>
  </mergeCells>
  <pageMargins left="0.75" right="0.75" top="1" bottom="1" header="0.5" footer="0.5"/>
  <pageSetup paperSize="1" orientation="portrait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M16" sqref="M16"/>
    </sheetView>
  </sheetViews>
  <sheetFormatPr defaultColWidth="8.85185185185185" defaultRowHeight="14.4"/>
  <cols>
    <col min="2" max="2" customWidth="true" width="28.0"/>
    <col min="3" max="3" customWidth="true" width="23.712962962963"/>
    <col min="13" max="13" customWidth="true" width="9.13888888888889"/>
    <col min="14" max="14" customWidth="true" width="13.85185185185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211</v>
      </c>
      <c r="C4" s="7" t="s">
        <v>211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114</v>
      </c>
      <c r="AT4" s="39" t="s">
        <v>76</v>
      </c>
      <c r="AU4" t="s" s="0">
        <v>191</v>
      </c>
      <c r="AV4" t="s" s="0">
        <v>192</v>
      </c>
      <c r="AW4" s="39">
        <f>AM4</f>
        <v>5</v>
      </c>
      <c r="AX4" s="103">
        <f>AR4</f>
        <v>124.544</v>
      </c>
      <c r="AY4" s="39">
        <f>AU4+AW4</f>
        <v>20</v>
      </c>
      <c r="AZ4" s="39">
        <f>ROUND(((AU4*AV4)+(AW4*AX4))/(AU4+AW4),3)</f>
        <v>62.272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192</v>
      </c>
      <c r="BN4" t="s" s="0">
        <v>78</v>
      </c>
      <c r="BO4" s="39">
        <f>ROUND((((AW4*AZ4)+(BN4*BM4))/(AW4+BN4)),5)</f>
        <v>51.8935</v>
      </c>
      <c r="BP4" s="48">
        <f>ROUND(BN4+AW4,3)</f>
        <v>10</v>
      </c>
      <c r="BQ4" s="49">
        <v>123562</v>
      </c>
    </row>
    <row r="5" ht="15.15" spans="1:69">
      <c r="A5" s="7">
        <v>1</v>
      </c>
      <c r="B5" s="7" t="s">
        <v>212</v>
      </c>
      <c r="C5" s="7" t="s">
        <v>212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IF(OR(PoToMRVWOIpRcServ!$C$2=1,PoToMRVWOIpRcServ!$C$2=4),ROUND((((S5*U5)/100)/2),2),0)</f>
        <v>0</v>
      </c>
      <c r="W5" s="8">
        <f>IF(PoToMRVWOIpRcServ!$C$2=1,ROUND((((S5*U5)/100)/2),2),0)</f>
        <v>0</v>
      </c>
      <c r="X5" s="8">
        <f>IF(PoToMRVWOIpRcServ!$C$2=2,ROUND(((S5*U5)/100),2),0)</f>
        <v>59.12</v>
      </c>
      <c r="Y5" s="8">
        <f>IF(PoToMRVWOIpRcServ!$C$2=4,ROUND((((S5*U5)/100)/2),2),0)</f>
        <v>0</v>
      </c>
      <c r="Z5" s="8">
        <v>0</v>
      </c>
      <c r="AA5" s="8">
        <f>IF(PoToMRVWOIpRcServ!$C3=3,0,(S5*Z5)/100)</f>
        <v>0</v>
      </c>
      <c r="AB5" s="8">
        <f>V5+W5+X5+Y5+AA5</f>
        <v>59.12</v>
      </c>
      <c r="AC5" s="8">
        <f>IF(PoToMRVWOIpRcServ!$V3=1,S5+AB5,S5)</f>
        <v>328.47</v>
      </c>
      <c r="AD5" s="31">
        <v>120</v>
      </c>
      <c r="AE5" s="31">
        <f>IF(PoToMRVWOIpRcServ!$P$2=1,(S5/PoToMRVWOIpRcServ!$S$7)*PoToMRVWOIpRcServ!$E$18,AD5/PoToMRVWOIpRcServ!$AD$7*PoToMRVWOIpRcServ!$E$18)</f>
        <v>0</v>
      </c>
      <c r="AF5" s="31"/>
      <c r="AG5" s="31">
        <f>IF(PoToMRVWOIpRcServ!$P$2=1,(S5/PoToMRVWOIpRcServ!$S$7)*PoToMRVWOIpRcServ!$E$20,AD5/PoToMRVWOIpRcServ!$AD$7*PoToMRVWOIpRcServ!$E$20)</f>
        <v>0</v>
      </c>
      <c r="AH5" s="31">
        <f>IF(PoToMRVWOIpRcServ!$P$2=1,(S5/PoToMRVWOIpRcServ!$S$7)*PoToMRVWOIpRcServ!$E$21,AD5/PoToMRVWOIpRcServ!$AD$7*PoToMRVWOIpRcServ!$E$21)</f>
        <v>0</v>
      </c>
      <c r="AI5" s="31">
        <f>S5*PoToMRVWOIpRcServ!$M$2</f>
        <v>328.47</v>
      </c>
      <c r="AJ5" s="31">
        <f>IF(PoToMRVWOIpRcServ!$C$2=3,0,AG5+AH5)</f>
        <v>0</v>
      </c>
      <c r="AK5" s="31">
        <f>IF(PoToMRVWOIpRcServ!$C$2=3,AE5+AG5+AH5,0)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167</v>
      </c>
      <c r="AV5" t="s" s="0">
        <v>195</v>
      </c>
      <c r="AW5" s="39">
        <f>AM5</f>
        <v>4</v>
      </c>
      <c r="AX5" s="103">
        <f>AR5</f>
        <v>82.1175</v>
      </c>
      <c r="AY5" s="39">
        <f>AU5+AW5</f>
        <v>16</v>
      </c>
      <c r="AZ5" s="103">
        <f>ROUND(((AU5*AV5)+(AW5*AX5))/(AU5+AW5),2)</f>
        <v>80.84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195</v>
      </c>
      <c r="BN5" t="s" s="0">
        <v>88</v>
      </c>
      <c r="BO5" s="39">
        <f>ROUND((((AW5*AZ5)+(BN5*BM5))/(AW5+BN5)),5)</f>
        <v>80.625</v>
      </c>
      <c r="BP5" s="48">
        <f>ROUND(BN5+AW5,3)</f>
        <v>8</v>
      </c>
      <c r="BQ5" s="49">
        <v>123562</v>
      </c>
    </row>
    <row r="6" ht="15.15" spans="1:69">
      <c r="A6" s="7">
        <v>1</v>
      </c>
      <c r="B6" s="102" t="s">
        <v>213</v>
      </c>
      <c r="C6" s="102" t="s">
        <v>213</v>
      </c>
      <c r="D6" s="7" t="s">
        <v>76</v>
      </c>
      <c r="E6" s="7" t="s">
        <v>76</v>
      </c>
      <c r="F6" s="8">
        <v>10</v>
      </c>
      <c r="G6" t="s" s="0">
        <v>175</v>
      </c>
      <c r="H6" s="8">
        <f>F6*G6</f>
        <v>500</v>
      </c>
      <c r="I6" t="s" s="0">
        <v>178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IF(OR(PoToMRVWOIpRcServ!$C$2=1,PoToMRVWOIpRcServ!$C$2=4),ROUND((((S6*U6)/100)/2),2),0)</f>
        <v>0</v>
      </c>
      <c r="W6" s="8">
        <f>IF(PoToMRVWOIpRcServ!$C$2=1,ROUND((((S6*U6)/100)/2),2),0)</f>
        <v>0</v>
      </c>
      <c r="X6" s="8">
        <f>IF(PoToMRVWOIpRcServ!$C$2=2,ROUND(((S6*U6)/100),2),0)</f>
        <v>77.94</v>
      </c>
      <c r="Y6" s="8">
        <f>IF(PoToMRVWOIpRcServ!$C$2=4,ROUND((((S6*U6)/100)/2),2),0)</f>
        <v>0</v>
      </c>
      <c r="Z6" s="8">
        <v>0</v>
      </c>
      <c r="AA6" s="8">
        <f>IF(PoToMRVWOIpRcServ!$C4=3,0,(S6*Z6)/100)</f>
        <v>0</v>
      </c>
      <c r="AB6" s="8">
        <f>V6+W6+X6+Y6+AA6</f>
        <v>77.94</v>
      </c>
      <c r="AC6" s="8">
        <f>IF(PoToMRVWOIpRcServ!$V4=1,S6+AB6,S6)</f>
        <v>433.01</v>
      </c>
      <c r="AD6" s="31">
        <v>120</v>
      </c>
      <c r="AE6" s="31">
        <f>IF(PoToMRVWOIpRcServ!$P$2=1,(S6/PoToMRVWOIpRcServ!$S$7)*PoToMRVWOIpRcServ!$E$18,AD6/PoToMRVWOIpRcServ!$AD$7*PoToMRVWOIpRcServ!$E$18)</f>
        <v>0</v>
      </c>
      <c r="AF6" s="31"/>
      <c r="AG6" s="31">
        <f>IF(PoToMRVWOIpRcServ!$P$2=1,(S6/PoToMRVWOIpRcServ!$S$7)*PoToMRVWOIpRcServ!$E$20,AD6/PoToMRVWOIpRcServ!$AD$7*PoToMRVWOIpRcServ!$E$20)</f>
        <v>0</v>
      </c>
      <c r="AH6" s="31">
        <f>IF(PoToMRVWOIpRcServ!$P$2=1,(S6/PoToMRVWOIpRcServ!$S$7)*PoToMRVWOIpRcServ!$E$21,AD6/PoToMRVWOIpRcServ!$AD$7*PoToMRVWOIpRcServ!$E$21)</f>
        <v>0</v>
      </c>
      <c r="AI6" s="31">
        <f>S6*PoToMRVWOIpRcServ!$M$2</f>
        <v>433.01</v>
      </c>
      <c r="AJ6" s="31">
        <f>IF(PoToMRVWOIpRcServ!$C$2=3,0,AG6+AH6)</f>
        <v>0</v>
      </c>
      <c r="AK6" s="31">
        <f>IF(PoToMRVWOIpRcServ!$C$2=3,AE6+AG6+AH6,0)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156</v>
      </c>
      <c r="AV6" t="s" s="0">
        <v>148</v>
      </c>
      <c r="AW6" s="39">
        <f>AM6</f>
        <v>10</v>
      </c>
      <c r="AX6" s="39">
        <f>AR6</f>
        <v>43.301</v>
      </c>
      <c r="AY6" s="39">
        <f>AU6+AW6</f>
        <v>40</v>
      </c>
      <c r="AZ6" s="39">
        <f>ROUND(((AU6*AV6)+(AW6*AX6))/(AU6+AW6),3)</f>
        <v>104.234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148</v>
      </c>
      <c r="BN6" t="s" s="0">
        <v>155</v>
      </c>
      <c r="BO6" s="39">
        <f>ROUND((((AW6*AZ6)+(BN6*BM6))/(AW6+BN6)),5)</f>
        <v>114.3895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AO1" workbookViewId="0">
      <selection activeCell="AX8" sqref="AX8"/>
    </sheetView>
  </sheetViews>
  <sheetFormatPr defaultColWidth="8.85185185185185" defaultRowHeight="14.4"/>
  <cols>
    <col min="2" max="2" customWidth="true" width="28.0"/>
    <col min="3" max="3" customWidth="true" width="23.0"/>
    <col min="13" max="13" customWidth="true" width="9.13888888888889"/>
    <col min="14" max="14" customWidth="true" width="13.85185185185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214</v>
      </c>
      <c r="C4" s="7" t="s">
        <v>214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114</v>
      </c>
      <c r="AT4" s="39" t="s">
        <v>76</v>
      </c>
      <c r="AU4" t="s" s="0">
        <v>155</v>
      </c>
      <c r="AV4" t="s" s="0">
        <v>148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124.545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85</v>
      </c>
      <c r="BN4" t="s" s="0">
        <v>85</v>
      </c>
      <c r="BO4" s="39">
        <f>ROUND((((AW4*AZ4)+(BN4*BM4))/(AW4+BN4)),5)</f>
        <v>124.545</v>
      </c>
      <c r="BP4" s="48">
        <f>ROUND(BN4+AW4,3)</f>
        <v>5</v>
      </c>
      <c r="BQ4" s="49">
        <v>123562</v>
      </c>
    </row>
    <row r="5" ht="15.15" spans="1:69">
      <c r="A5" s="7">
        <v>1</v>
      </c>
      <c r="B5" s="7" t="s">
        <v>215</v>
      </c>
      <c r="C5" s="7" t="s">
        <v>215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IF(OR(PoToMRVWOIpPl!$C$2=1,PoToMRVWOIpPl!$C$2=4),ROUND((((S5*U5)/100)/2),2),0)</f>
        <v>0</v>
      </c>
      <c r="W5" s="8">
        <f>IF(PoToMRVWOIpPl!$C$2=1,ROUND((((S5*U5)/100)/2),2),0)</f>
        <v>0</v>
      </c>
      <c r="X5" s="8">
        <f>IF(PoToMRVWOIpPl!$C$2=2,ROUND(((S5*U5)/100),2),0)</f>
        <v>59.12</v>
      </c>
      <c r="Y5" s="8">
        <f>IF(PoToMRVWOIpPl!$C$2=4,ROUND((((S5*U5)/100)/2),2),0)</f>
        <v>0</v>
      </c>
      <c r="Z5" s="8">
        <v>0</v>
      </c>
      <c r="AA5" s="8">
        <f>IF(PoToMRVWOIpPl!$C3=3,0,(S5*Z5)/100)</f>
        <v>0</v>
      </c>
      <c r="AB5" s="8">
        <f>V5+W5+X5+Y5+AA5</f>
        <v>59.12</v>
      </c>
      <c r="AC5" s="8">
        <f>IF(PoToMRVWOIpPl!$V3=1,S5+AB5,S5)</f>
        <v>328.47</v>
      </c>
      <c r="AD5" s="31">
        <v>120</v>
      </c>
      <c r="AE5" s="31">
        <f>IF(PoToMRVWOIpPl!$P$2=1,(S5/PoToMRVWOIpPl!$S$7)*PoToMRVWOIpPl!$E$18,AD5/PoToMRVWOIpPl!$AD$7*PoToMRVWOIpPl!$E$18)</f>
        <v>0</v>
      </c>
      <c r="AF5" s="31"/>
      <c r="AG5" s="31">
        <f>IF(PoToMRVWOIpPl!$P$2=1,(S5/PoToMRVWOIpPl!$S$7)*PoToMRVWOIpPl!$E$20,AD5/PoToMRVWOIpPl!$AD$7*PoToMRVWOIpPl!$E$20)</f>
        <v>0</v>
      </c>
      <c r="AH5" s="31">
        <f>IF(PoToMRVWOIpPl!$P$2=1,(S5/PoToMRVWOIpPl!$S$7)*PoToMRVWOIpPl!$E$21,AD5/PoToMRVWOIpPl!$AD$7*PoToMRVWOIpPl!$E$21)</f>
        <v>0</v>
      </c>
      <c r="AI5" s="31">
        <f>S5*PoToMRVWOIpPl!$M$2</f>
        <v>328.47</v>
      </c>
      <c r="AJ5" s="31">
        <f>IF(PoToMRVWOIpPl!$C$2=3,0,AG5+AH5)</f>
        <v>0</v>
      </c>
      <c r="AK5" s="31">
        <f>IF(PoToMRVWOIpPl!$C$2=3,AE5+AG5+AH5,0)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216</v>
      </c>
      <c r="AV5" t="s" s="0">
        <v>138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82.12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85</v>
      </c>
      <c r="BN5" t="s" s="0">
        <v>85</v>
      </c>
      <c r="BO5" s="39">
        <f>ROUND((((AW5*AZ5)+(BN5*BM5))/(AW5+BN5)),5)</f>
        <v>82.12</v>
      </c>
      <c r="BP5" s="48">
        <f>ROUND(BN5+AW5,3)</f>
        <v>4</v>
      </c>
      <c r="BQ5" s="49">
        <v>123562</v>
      </c>
    </row>
    <row r="6" ht="15.15" spans="1:69">
      <c r="A6" s="7">
        <v>1</v>
      </c>
      <c r="B6" s="101" t="s">
        <v>217</v>
      </c>
      <c r="C6" s="102" t="s">
        <v>217</v>
      </c>
      <c r="D6" s="7" t="s">
        <v>76</v>
      </c>
      <c r="E6" s="7" t="s">
        <v>76</v>
      </c>
      <c r="F6" s="8">
        <v>20</v>
      </c>
      <c r="G6" t="s" s="0">
        <v>175</v>
      </c>
      <c r="H6" s="8">
        <f>F6*G6</f>
        <v>1000</v>
      </c>
      <c r="I6" t="s" s="0">
        <v>178</v>
      </c>
      <c r="J6" s="8">
        <v>7</v>
      </c>
      <c r="K6" s="8">
        <v>4</v>
      </c>
      <c r="L6" s="8">
        <f t="shared" si="0"/>
        <v>1000</v>
      </c>
      <c r="M6" s="8">
        <f>ROUND(L6*I6%,2)</f>
        <v>30</v>
      </c>
      <c r="N6" s="8">
        <f>H6-M6</f>
        <v>970</v>
      </c>
      <c r="O6" s="8">
        <f>ROUND(N6*J6%,2)</f>
        <v>67.9</v>
      </c>
      <c r="P6" s="8">
        <f>ROUND(N6-O6,2)</f>
        <v>902.1</v>
      </c>
      <c r="Q6" s="8">
        <f>ROUND(P6*K6%,2)</f>
        <v>36.08</v>
      </c>
      <c r="R6" s="8">
        <f>M6+O6+Q6</f>
        <v>133.98</v>
      </c>
      <c r="S6" s="8">
        <f>(H6-R6)</f>
        <v>866.02</v>
      </c>
      <c r="T6" s="8">
        <v>88363222</v>
      </c>
      <c r="U6" s="8">
        <v>18</v>
      </c>
      <c r="V6" s="8">
        <f>IF(OR(PoToMRVWOIpPl!$C$2=1,PoToMRVWOIpPl!$C$2=4),ROUND((((S6*U6)/100)/2),2),0)</f>
        <v>0</v>
      </c>
      <c r="W6" s="8">
        <f>IF(PoToMRVWOIpPl!$C$2=1,ROUND((((S6*U6)/100)/2),2),0)</f>
        <v>0</v>
      </c>
      <c r="X6" s="8">
        <f>IF(PoToMRVWOIpPl!$C$2=2,ROUND(((S6*U6)/100),2),0)</f>
        <v>155.88</v>
      </c>
      <c r="Y6" s="8">
        <f>IF(PoToMRVWOIpPl!$C$2=4,ROUND((((S6*U6)/100)/2),2),0)</f>
        <v>0</v>
      </c>
      <c r="Z6" s="8">
        <v>0</v>
      </c>
      <c r="AA6" s="8">
        <f>IF(PoToMRVWOIpPl!$C4=3,0,(S6*Z6)/100)</f>
        <v>0</v>
      </c>
      <c r="AB6" s="8">
        <f>V6+W6+X6+Y6+AA6</f>
        <v>155.88</v>
      </c>
      <c r="AC6" s="8">
        <f>IF(PoToMRVWOIpPl!$V4=1,S6+AB6,S6)</f>
        <v>866.02</v>
      </c>
      <c r="AD6" s="31">
        <v>120</v>
      </c>
      <c r="AE6" s="31">
        <f>IF(PoToMRVWOIpPl!$P$2=1,(S6/PoToMRVWOIpPl!$S$7)*PoToMRVWOIpPl!$E$18,AD6/PoToMRVWOIpPl!$AD$7*PoToMRVWOIpPl!$E$18)</f>
        <v>0</v>
      </c>
      <c r="AF6" s="31"/>
      <c r="AG6" s="31">
        <f>IF(PoToMRVWOIpPl!$P$2=1,(S6/PoToMRVWOIpPl!$S$7)*PoToMRVWOIpPl!$E$20,AD6/PoToMRVWOIpPl!$AD$7*PoToMRVWOIpPl!$E$20)</f>
        <v>0</v>
      </c>
      <c r="AH6" s="31">
        <f>IF(PoToMRVWOIpPl!$P$2=1,(S6/PoToMRVWOIpPl!$S$7)*PoToMRVWOIpPl!$E$21,AD6/PoToMRVWOIpPl!$AD$7*PoToMRVWOIpPl!$E$21)</f>
        <v>0</v>
      </c>
      <c r="AI6" s="31">
        <f>S6*PoToMRVWOIpPl!$M$2</f>
        <v>866.02</v>
      </c>
      <c r="AJ6" s="31">
        <f>IF(PoToMRVWOIpPl!$C$2=3,0,AG6+AH6)</f>
        <v>0</v>
      </c>
      <c r="AK6" s="31">
        <f>IF(PoToMRVWOIpPl!$C$2=3,AE6+AG6+AH6,0)</f>
        <v>0</v>
      </c>
      <c r="AL6" s="34">
        <v>1</v>
      </c>
      <c r="AM6" s="31">
        <f>F6/AL6</f>
        <v>20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156</v>
      </c>
      <c r="AV6" t="s" s="0">
        <v>144</v>
      </c>
      <c r="AW6" s="39">
        <f>AM6</f>
        <v>20</v>
      </c>
      <c r="AX6" s="39">
        <f>AR6</f>
        <v>43.301</v>
      </c>
      <c r="AY6" s="39">
        <f>AU6+AW6</f>
        <v>50</v>
      </c>
      <c r="AZ6" s="39">
        <f>ROUND(((AU6*AV6)+(AW6*AX6))/(AU6+AW6),1)</f>
        <v>43.3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85</v>
      </c>
      <c r="BN6" t="s" s="0">
        <v>85</v>
      </c>
      <c r="BO6" s="39">
        <f>ROUND((((AW6*AZ6)+(BN6*BM6))/(AW6+BN6)),5)</f>
        <v>43.3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L9" sqref="L9"/>
    </sheetView>
  </sheetViews>
  <sheetFormatPr defaultColWidth="8.85185185185185" defaultRowHeight="14.4"/>
  <cols>
    <col min="2" max="2" customWidth="true" width="28.0"/>
    <col min="3" max="3" customWidth="true" width="23.0"/>
    <col min="13" max="13" customWidth="true" width="9.13888888888889"/>
    <col min="14" max="14" customWidth="true" width="13.8518518518519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218</v>
      </c>
      <c r="C4" s="7" t="s">
        <v>218</v>
      </c>
      <c r="D4" s="7" t="s">
        <v>76</v>
      </c>
      <c r="E4" s="7" t="s">
        <v>76</v>
      </c>
      <c r="F4" s="8">
        <v>5</v>
      </c>
      <c r="G4" t="s" s="0">
        <v>77</v>
      </c>
      <c r="H4" s="8">
        <f>F4*G4</f>
        <v>750</v>
      </c>
      <c r="I4" t="s" s="0">
        <v>78</v>
      </c>
      <c r="J4" s="8">
        <v>8</v>
      </c>
      <c r="K4" s="8">
        <v>5</v>
      </c>
      <c r="L4" s="8">
        <f>IF(OR(I4=0,I4="0"),0,H4)</f>
        <v>750</v>
      </c>
      <c r="M4" s="8">
        <f>ROUND(L4*I4%,3)</f>
        <v>37.5</v>
      </c>
      <c r="N4" s="8">
        <f>H4-M4</f>
        <v>712.5</v>
      </c>
      <c r="O4" s="8">
        <f>ROUND(N4*J4%,3)</f>
        <v>57</v>
      </c>
      <c r="P4" s="8">
        <f>ROUND(N4-O4,2)</f>
        <v>655.5</v>
      </c>
      <c r="Q4" s="8">
        <f>ROUND(P4*K4%,2)</f>
        <v>32.78</v>
      </c>
      <c r="R4" s="31">
        <f>ROUND(M4+O4+Q4,3)</f>
        <v>127.28</v>
      </c>
      <c r="S4" s="31">
        <f>(H4-R4)</f>
        <v>622.72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112.09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112.09</v>
      </c>
      <c r="AC4" s="30">
        <f>IF($V2=1,S4+AB4,S4)</f>
        <v>734.81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S4*$M2</f>
        <v>622.72</v>
      </c>
      <c r="AJ4" s="31">
        <f>IF($C$2=3,0,AG4+AH4)</f>
        <v>0</v>
      </c>
      <c r="AK4" s="31">
        <f>IF($C$2=3,AE4+AG4+AH4,0)</f>
        <v>0</v>
      </c>
      <c r="AL4" s="34">
        <v>1</v>
      </c>
      <c r="AM4" s="31">
        <f>F4/AL4</f>
        <v>5</v>
      </c>
      <c r="AN4" s="31">
        <f>ROUND(AI4/AM4,5)</f>
        <v>124.544</v>
      </c>
      <c r="AO4" s="31">
        <f>AJ4/AM4</f>
        <v>0</v>
      </c>
      <c r="AP4" s="31">
        <f>AK4/AM4</f>
        <v>0</v>
      </c>
      <c r="AQ4" s="31" t="s">
        <v>76</v>
      </c>
      <c r="AR4" s="31">
        <f>ROUND(AN4+AO4+AP4,5)</f>
        <v>124.544</v>
      </c>
      <c r="AS4" s="38" t="s">
        <v>114</v>
      </c>
      <c r="AT4" s="39" t="s">
        <v>76</v>
      </c>
      <c r="AU4" t="s" s="0">
        <v>155</v>
      </c>
      <c r="AV4" t="s" s="0">
        <v>192</v>
      </c>
      <c r="AW4" s="39">
        <f>AM4</f>
        <v>5</v>
      </c>
      <c r="AX4" s="103">
        <f>AR4</f>
        <v>124.544</v>
      </c>
      <c r="AY4" s="39">
        <f>AU4+AW4</f>
        <v>15</v>
      </c>
      <c r="AZ4" s="42">
        <f>ROUND(((AU4*AV4)+(AW4*AX4))/(AU4+AW4),3)</f>
        <v>69.191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192</v>
      </c>
      <c r="BN4" t="s" s="0">
        <v>78</v>
      </c>
      <c r="BO4" s="39">
        <f>ROUND((((AW4*AZ4)+(BN4*BM4))/(AW4+BN4)),5)</f>
        <v>55.353</v>
      </c>
      <c r="BP4" s="48">
        <f>ROUND(BN4+AW4,3)</f>
        <v>10</v>
      </c>
      <c r="BQ4" s="49">
        <v>123562</v>
      </c>
    </row>
    <row r="5" ht="15.15" spans="1:69">
      <c r="A5" s="7">
        <v>1</v>
      </c>
      <c r="B5" s="7" t="s">
        <v>219</v>
      </c>
      <c r="C5" s="7" t="s">
        <v>219</v>
      </c>
      <c r="D5" s="7" t="s">
        <v>76</v>
      </c>
      <c r="E5" s="7" t="s">
        <v>76</v>
      </c>
      <c r="F5" s="8">
        <v>4</v>
      </c>
      <c r="G5" t="s" s="0">
        <v>87</v>
      </c>
      <c r="H5" s="8">
        <f>F5*G5</f>
        <v>400</v>
      </c>
      <c r="I5" t="s" s="0">
        <v>88</v>
      </c>
      <c r="J5" s="8">
        <v>9</v>
      </c>
      <c r="K5" s="8">
        <v>6</v>
      </c>
      <c r="L5" s="8">
        <f t="shared" ref="L5:L6" si="0">IF(OR(I5=0,I5="0"),0,H5)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IF(OR(PoToMRVWOIpPlServ!$C$2=1,PoToMRVWOIpPlServ!$C$2=4),ROUND((((S5*U5)/100)/2),2),0)</f>
        <v>0</v>
      </c>
      <c r="W5" s="8">
        <f>IF(PoToMRVWOIpPlServ!$C$2=1,ROUND((((S5*U5)/100)/2),2),0)</f>
        <v>0</v>
      </c>
      <c r="X5" s="8">
        <f>IF(PoToMRVWOIpPlServ!$C$2=2,ROUND(((S5*U5)/100),2),0)</f>
        <v>59.12</v>
      </c>
      <c r="Y5" s="8">
        <f>IF(PoToMRVWOIpPlServ!$C$2=4,ROUND((((S5*U5)/100)/2),2),0)</f>
        <v>0</v>
      </c>
      <c r="Z5" s="8">
        <v>0</v>
      </c>
      <c r="AA5" s="8">
        <f>IF(PoToMRVWOIpPlServ!$C3=3,0,(S5*Z5)/100)</f>
        <v>0</v>
      </c>
      <c r="AB5" s="8">
        <f>V5+W5+X5+Y5+AA5</f>
        <v>59.12</v>
      </c>
      <c r="AC5" s="8">
        <f>IF(PoToMRVWOIpPlServ!$V3=1,S5+AB5,S5)</f>
        <v>328.47</v>
      </c>
      <c r="AD5" s="31">
        <v>120</v>
      </c>
      <c r="AE5" s="31">
        <f>IF(PoToMRVWOIpPlServ!$P$2=1,(S5/PoToMRVWOIpPlServ!$S$7)*PoToMRVWOIpPlServ!$E$18,AD5/PoToMRVWOIpPlServ!$AD$7*PoToMRVWOIpPlServ!$E$18)</f>
        <v>0</v>
      </c>
      <c r="AF5" s="31"/>
      <c r="AG5" s="31">
        <f>IF(PoToMRVWOIpPlServ!$P$2=1,(S5/PoToMRVWOIpPlServ!$S$7)*PoToMRVWOIpPlServ!$E$20,AD5/PoToMRVWOIpPlServ!$AD$7*PoToMRVWOIpPlServ!$E$20)</f>
        <v>0</v>
      </c>
      <c r="AH5" s="31">
        <f>IF(PoToMRVWOIpPlServ!$P$2=1,(S5/PoToMRVWOIpPlServ!$S$7)*PoToMRVWOIpPlServ!$E$21,AD5/PoToMRVWOIpPlServ!$AD$7*PoToMRVWOIpPlServ!$E$21)</f>
        <v>0</v>
      </c>
      <c r="AI5" s="31">
        <f>S5*PoToMRVWOIpPlServ!$M$2</f>
        <v>328.47</v>
      </c>
      <c r="AJ5" s="31">
        <f>IF(PoToMRVWOIpPlServ!$C$2=3,0,AG5+AH5)</f>
        <v>0</v>
      </c>
      <c r="AK5" s="31">
        <f>IF(PoToMRVWOIpPlServ!$C$2=3,AE5+AG5+AH5,0)</f>
        <v>0</v>
      </c>
      <c r="AL5" s="34">
        <v>1</v>
      </c>
      <c r="AM5" s="31">
        <f>F5/AL5</f>
        <v>4</v>
      </c>
      <c r="AN5" s="31">
        <f>ROUND(AI5/AM5,5)</f>
        <v>82.1175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82.1175</v>
      </c>
      <c r="AS5" s="38" t="s">
        <v>114</v>
      </c>
      <c r="AT5" s="39" t="s">
        <v>76</v>
      </c>
      <c r="AU5" t="s" s="0">
        <v>216</v>
      </c>
      <c r="AV5" t="s" s="0">
        <v>195</v>
      </c>
      <c r="AW5" s="39">
        <f>AM5</f>
        <v>4</v>
      </c>
      <c r="AX5" s="103">
        <f>AR5</f>
        <v>82.1175</v>
      </c>
      <c r="AY5" s="39">
        <f>AU5+AW5</f>
        <v>12</v>
      </c>
      <c r="AZ5" s="103">
        <f>ROUND(((AU5*AV5)+(AW5*AX5))/(AU5+AW5),2)</f>
        <v>80.98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195</v>
      </c>
      <c r="BN5" t="s" s="0">
        <v>88</v>
      </c>
      <c r="BO5" s="39">
        <f>ROUND((((AW5*AZ5)+(BN5*BM5))/(AW5+BN5)),5)</f>
        <v>80.695</v>
      </c>
      <c r="BP5" s="48">
        <f>ROUND(BN5+AW5,3)</f>
        <v>8</v>
      </c>
      <c r="BQ5" s="49">
        <v>123562</v>
      </c>
    </row>
    <row r="6" ht="15.15" spans="1:69">
      <c r="A6" s="7">
        <v>1</v>
      </c>
      <c r="B6" s="101" t="s">
        <v>220</v>
      </c>
      <c r="C6" s="102" t="s">
        <v>220</v>
      </c>
      <c r="D6" s="7" t="s">
        <v>76</v>
      </c>
      <c r="E6" s="7" t="s">
        <v>76</v>
      </c>
      <c r="F6" s="8">
        <v>10</v>
      </c>
      <c r="G6" t="s" s="0">
        <v>175</v>
      </c>
      <c r="H6" s="8">
        <f>F6*G6</f>
        <v>500</v>
      </c>
      <c r="I6" t="s" s="0">
        <v>178</v>
      </c>
      <c r="J6" s="8">
        <v>7</v>
      </c>
      <c r="K6" s="8">
        <v>4</v>
      </c>
      <c r="L6" s="8">
        <f t="shared" si="0"/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IF(OR(PoToMRVWOIpPlServ!$C$2=1,PoToMRVWOIpPlServ!$C$2=4),ROUND((((S6*U6)/100)/2),2),0)</f>
        <v>0</v>
      </c>
      <c r="W6" s="8">
        <f>IF(PoToMRVWOIpPlServ!$C$2=1,ROUND((((S6*U6)/100)/2),2),0)</f>
        <v>0</v>
      </c>
      <c r="X6" s="8">
        <f>IF(PoToMRVWOIpPlServ!$C$2=2,ROUND(((S6*U6)/100),2),0)</f>
        <v>77.94</v>
      </c>
      <c r="Y6" s="8">
        <f>IF(PoToMRVWOIpPlServ!$C$2=4,ROUND((((S6*U6)/100)/2),2),0)</f>
        <v>0</v>
      </c>
      <c r="Z6" s="8">
        <v>0</v>
      </c>
      <c r="AA6" s="8">
        <f>IF(PoToMRVWOIpPlServ!$C4=3,0,(S6*Z6)/100)</f>
        <v>0</v>
      </c>
      <c r="AB6" s="8">
        <f>V6+W6+X6+Y6+AA6</f>
        <v>77.94</v>
      </c>
      <c r="AC6" s="8">
        <f>IF(PoToMRVWOIpPlServ!$V4=1,S6+AB6,S6)</f>
        <v>433.01</v>
      </c>
      <c r="AD6" s="31">
        <v>120</v>
      </c>
      <c r="AE6" s="31">
        <f>IF(PoToMRVWOIpPlServ!$P$2=1,(S6/PoToMRVWOIpPlServ!$S$7)*PoToMRVWOIpPlServ!$E$18,AD6/PoToMRVWOIpPlServ!$AD$7*PoToMRVWOIpPlServ!$E$18)</f>
        <v>0</v>
      </c>
      <c r="AF6" s="31"/>
      <c r="AG6" s="31">
        <f>IF(PoToMRVWOIpPlServ!$P$2=1,(S6/PoToMRVWOIpPlServ!$S$7)*PoToMRVWOIpPlServ!$E$20,AD6/PoToMRVWOIpPlServ!$AD$7*PoToMRVWOIpPlServ!$E$20)</f>
        <v>0</v>
      </c>
      <c r="AH6" s="31">
        <f>IF(PoToMRVWOIpPlServ!$P$2=1,(S6/PoToMRVWOIpPlServ!$S$7)*PoToMRVWOIpPlServ!$E$21,AD6/PoToMRVWOIpPlServ!$AD$7*PoToMRVWOIpPlServ!$E$21)</f>
        <v>0</v>
      </c>
      <c r="AI6" s="31">
        <f>S6*PoToMRVWOIpPlServ!$M$2</f>
        <v>433.01</v>
      </c>
      <c r="AJ6" s="31">
        <f>IF(PoToMRVWOIpPlServ!$C$2=3,0,AG6+AH6)</f>
        <v>0</v>
      </c>
      <c r="AK6" s="31">
        <f>IF(PoToMRVWOIpPlServ!$C$2=3,AE6+AG6+AH6,0)</f>
        <v>0</v>
      </c>
      <c r="AL6" s="34">
        <v>1</v>
      </c>
      <c r="AM6" s="31">
        <f>F6/AL6</f>
        <v>10</v>
      </c>
      <c r="AN6" s="31">
        <f>ROUND(AI6/AM6,5)</f>
        <v>43.301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43.301</v>
      </c>
      <c r="AS6" s="38" t="s">
        <v>114</v>
      </c>
      <c r="AT6" s="39" t="s">
        <v>76</v>
      </c>
      <c r="AU6" t="s" s="0">
        <v>169</v>
      </c>
      <c r="AV6" t="s" s="0">
        <v>148</v>
      </c>
      <c r="AW6" s="39">
        <f>AM6</f>
        <v>10</v>
      </c>
      <c r="AX6" s="39">
        <f>AR6</f>
        <v>43.301</v>
      </c>
      <c r="AY6" s="39">
        <f>AU6+AW6</f>
        <v>30</v>
      </c>
      <c r="AZ6" s="42">
        <f>ROUND(((AU6*AV6)+(AW6*AX6))/(AU6+AW6),3)</f>
        <v>97.464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148</v>
      </c>
      <c r="BN6" t="s" s="0">
        <v>155</v>
      </c>
      <c r="BO6" s="39">
        <f>ROUND((((AW6*AZ6)+(BN6*BM6))/(AW6+BN6)),5)</f>
        <v>111.0045</v>
      </c>
      <c r="BP6" s="48">
        <f>ROUND(BN6+AW6,3)</f>
        <v>20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750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">SUM(R4:R4)</f>
        <v>127.28</v>
      </c>
      <c r="S7" s="13">
        <f t="shared" si="1"/>
        <v>622.72</v>
      </c>
      <c r="T7" s="26"/>
      <c r="U7" s="26"/>
      <c r="V7" s="27">
        <f t="shared" si="1"/>
        <v>0</v>
      </c>
      <c r="W7" s="27">
        <f t="shared" si="1"/>
        <v>0</v>
      </c>
      <c r="X7" s="27">
        <f t="shared" si="1"/>
        <v>112.09</v>
      </c>
      <c r="Y7" s="27"/>
      <c r="Z7" s="27"/>
      <c r="AA7" s="27"/>
      <c r="AB7" s="26">
        <f>SUM(AB4:AB4)</f>
        <v>112.09</v>
      </c>
      <c r="AC7" s="32">
        <f>SUM(AC4:AC4)</f>
        <v>734.81</v>
      </c>
      <c r="AD7" s="33">
        <f>SUM(AD4:AD4)</f>
        <v>120</v>
      </c>
      <c r="AE7" s="33">
        <f>SUM(AE4:AE4)</f>
        <v>0</v>
      </c>
      <c r="AF7" s="32"/>
      <c r="AG7" s="33">
        <f t="shared" ref="AG7:AK7" si="2">SUM(AG4:AG4)</f>
        <v>0</v>
      </c>
      <c r="AH7" s="33">
        <f>IF($P$2=1,(S7/$S$7)*$E$21,AD7/$AD$7*$E$21)</f>
        <v>0</v>
      </c>
      <c r="AI7" s="33">
        <f t="shared" si="2"/>
        <v>622.72</v>
      </c>
      <c r="AJ7" s="33">
        <f t="shared" si="2"/>
        <v>0</v>
      </c>
      <c r="AK7" s="33">
        <f t="shared" si="2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750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127.28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622.72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112.09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734.81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1"/>
  <sheetViews>
    <sheetView workbookViewId="0">
      <selection activeCell="AS9" sqref="AS9"/>
    </sheetView>
  </sheetViews>
  <sheetFormatPr defaultColWidth="9" defaultRowHeight="14.4"/>
  <cols>
    <col min="1" max="1" style="51" width="9.0"/>
    <col min="2" max="2" customWidth="true" style="51" width="23.5740740740741"/>
    <col min="3" max="3" customWidth="true" style="51" width="18.5740740740741"/>
    <col min="4" max="4" customWidth="true" style="51" width="72.4259259259259"/>
    <col min="5" max="10" style="51" width="9.0"/>
    <col min="11" max="11" customWidth="true" style="51" width="6.13888888888889"/>
    <col min="12" max="28" style="51" width="9.0"/>
    <col min="29" max="29" customWidth="true" style="51" width="11.5740740740741"/>
    <col min="30" max="34" style="51" width="9.0"/>
    <col min="35" max="35" customWidth="true" style="51" width="14.287037037037"/>
    <col min="36" max="36" customWidth="true" style="51" width="17.5740740740741"/>
    <col min="37" max="37" customWidth="true" style="51" width="13.4259259259259"/>
    <col min="38" max="38" customWidth="true" style="51" width="13.5740740740741"/>
    <col min="39" max="44" style="51" width="9.0"/>
    <col min="45" max="45" customWidth="true" style="51" width="9.42592592592593"/>
    <col min="46" max="46" style="51" width="9.0"/>
    <col min="47" max="47" customWidth="true" style="51" width="15.287037037037"/>
    <col min="48" max="48" customWidth="true" style="51" width="20.287037037037"/>
    <col min="49" max="49" style="51" width="9.0"/>
    <col min="50" max="50" customWidth="true" style="51" width="16.287037037037"/>
    <col min="51" max="51" customWidth="true" style="51" width="13.8518518518519"/>
    <col min="52" max="52" customWidth="true" style="51" width="18.8518518518519"/>
    <col min="53" max="53" style="51" width="9.0"/>
    <col min="54" max="57" customWidth="true" style="51" width="21.712962962963"/>
    <col min="58" max="58" customWidth="true" style="51" width="16.5740740740741"/>
    <col min="59" max="59" customWidth="true" style="51" width="13.712962962963"/>
    <col min="60" max="60" customWidth="true" style="51" width="12.4259259259259"/>
    <col min="61" max="62" style="51" width="9.0"/>
    <col min="63" max="63" customWidth="true" style="51" width="30.5740740740741"/>
    <col min="64" max="64" style="51" width="9.0"/>
    <col min="65" max="65" customWidth="true" style="51" width="41.1388888888889"/>
    <col min="66" max="66" customWidth="true" style="51" width="37.0"/>
    <col min="67" max="67" customWidth="true" style="51" width="18.8518518518519"/>
    <col min="68" max="68" customWidth="true" style="51" width="34.4259259259259"/>
    <col min="69" max="16384" style="51" width="9.0"/>
  </cols>
  <sheetData>
    <row r="1" spans="1:67">
      <c r="A1" s="52" t="s">
        <v>0</v>
      </c>
      <c r="B1" s="53"/>
      <c r="C1" s="53"/>
      <c r="D1" s="53"/>
      <c r="E1" s="53"/>
      <c r="F1" s="53"/>
      <c r="G1" s="53"/>
      <c r="H1" s="52"/>
      <c r="I1" s="67"/>
      <c r="J1" s="67"/>
      <c r="K1" s="67"/>
      <c r="L1" s="67"/>
      <c r="M1" s="67"/>
      <c r="N1" s="67"/>
      <c r="O1" s="67"/>
      <c r="P1" s="67"/>
      <c r="Q1" s="67"/>
      <c r="R1" s="52"/>
      <c r="S1" s="52"/>
      <c r="T1" s="52"/>
      <c r="U1" s="52"/>
      <c r="V1" s="60"/>
      <c r="W1" s="60"/>
      <c r="X1" s="60"/>
      <c r="Y1" s="60"/>
      <c r="Z1" s="60"/>
      <c r="AA1" s="60"/>
      <c r="AB1" s="60"/>
      <c r="AC1" s="60"/>
      <c r="AD1" s="60"/>
      <c r="AE1" s="60"/>
      <c r="AF1" s="60"/>
      <c r="AG1" s="60"/>
      <c r="AH1" s="60"/>
      <c r="AI1" s="60"/>
      <c r="AJ1" s="60"/>
      <c r="AK1" s="60"/>
      <c r="AL1" s="60"/>
      <c r="AM1" s="60"/>
      <c r="AN1" s="60"/>
      <c r="AO1" s="60"/>
      <c r="AP1" s="60"/>
      <c r="AQ1" s="60"/>
      <c r="AR1" s="60"/>
      <c r="AS1" s="60"/>
      <c r="AT1" s="60"/>
      <c r="AU1" s="60"/>
      <c r="AV1" s="60"/>
      <c r="AW1" s="60"/>
      <c r="AX1" s="60"/>
      <c r="AY1" s="60"/>
      <c r="AZ1" s="60"/>
      <c r="BA1" s="60"/>
      <c r="BB1" s="60"/>
      <c r="BC1" s="60"/>
      <c r="BD1" s="60"/>
      <c r="BE1" s="60"/>
      <c r="BF1" s="60"/>
      <c r="BG1" s="60"/>
      <c r="BH1" s="60"/>
      <c r="BI1" s="60"/>
      <c r="BJ1" s="60"/>
      <c r="BK1" s="60"/>
      <c r="BL1" s="60"/>
      <c r="BM1" s="60"/>
      <c r="BN1" s="60"/>
      <c r="BO1" s="60"/>
    </row>
    <row r="2" ht="15.15" spans="1:67">
      <c r="A2" s="54" t="s">
        <v>1</v>
      </c>
      <c r="B2" s="54"/>
      <c r="C2" s="55">
        <v>1</v>
      </c>
      <c r="D2" s="56" t="s">
        <v>2</v>
      </c>
      <c r="E2" s="53"/>
      <c r="F2" s="53"/>
      <c r="G2" s="53"/>
      <c r="H2" s="52"/>
      <c r="I2" s="67" t="s">
        <v>3</v>
      </c>
      <c r="J2" s="67" t="s">
        <v>4</v>
      </c>
      <c r="K2" s="67"/>
      <c r="L2" s="67" t="s">
        <v>5</v>
      </c>
      <c r="M2" s="67">
        <v>1</v>
      </c>
      <c r="N2" s="67"/>
      <c r="O2" s="67" t="s">
        <v>6</v>
      </c>
      <c r="P2" s="67">
        <v>2</v>
      </c>
      <c r="Q2" s="67" t="s">
        <v>7</v>
      </c>
      <c r="R2" s="52"/>
      <c r="S2" s="52"/>
      <c r="T2" s="52"/>
      <c r="U2" s="52"/>
      <c r="V2" s="52">
        <v>1</v>
      </c>
      <c r="W2" s="52" t="s">
        <v>8</v>
      </c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</row>
    <row r="3" ht="44.7" spans="1:69">
      <c r="A3" s="57" t="s">
        <v>9</v>
      </c>
      <c r="B3" s="57" t="s">
        <v>10</v>
      </c>
      <c r="C3" s="57" t="s">
        <v>11</v>
      </c>
      <c r="D3" s="57" t="s">
        <v>12</v>
      </c>
      <c r="E3" s="57" t="s">
        <v>13</v>
      </c>
      <c r="F3" s="57" t="s">
        <v>14</v>
      </c>
      <c r="G3" s="57" t="s">
        <v>15</v>
      </c>
      <c r="H3" s="57" t="s">
        <v>16</v>
      </c>
      <c r="I3" s="68" t="s">
        <v>17</v>
      </c>
      <c r="J3" s="68" t="s">
        <v>18</v>
      </c>
      <c r="K3" s="68" t="s">
        <v>19</v>
      </c>
      <c r="L3" s="69" t="s">
        <v>20</v>
      </c>
      <c r="M3" s="69" t="s">
        <v>21</v>
      </c>
      <c r="N3" s="69" t="s">
        <v>22</v>
      </c>
      <c r="O3" s="69" t="s">
        <v>23</v>
      </c>
      <c r="P3" s="69" t="s">
        <v>24</v>
      </c>
      <c r="Q3" s="69" t="s">
        <v>25</v>
      </c>
      <c r="R3" s="68" t="s">
        <v>26</v>
      </c>
      <c r="S3" s="57" t="s">
        <v>27</v>
      </c>
      <c r="T3" s="57" t="s">
        <v>28</v>
      </c>
      <c r="U3" s="77" t="s">
        <v>29</v>
      </c>
      <c r="V3" s="77" t="s">
        <v>30</v>
      </c>
      <c r="W3" s="77" t="s">
        <v>31</v>
      </c>
      <c r="X3" s="77" t="s">
        <v>32</v>
      </c>
      <c r="Y3" s="81" t="s">
        <v>33</v>
      </c>
      <c r="Z3" s="81" t="s">
        <v>34</v>
      </c>
      <c r="AA3" s="81" t="s">
        <v>35</v>
      </c>
      <c r="AB3" s="81" t="s">
        <v>36</v>
      </c>
      <c r="AC3" s="82" t="s">
        <v>37</v>
      </c>
      <c r="AD3" s="82" t="s">
        <v>38</v>
      </c>
      <c r="AE3" s="82" t="s">
        <v>39</v>
      </c>
      <c r="AF3" s="82" t="s">
        <v>40</v>
      </c>
      <c r="AG3" s="82" t="s">
        <v>41</v>
      </c>
      <c r="AH3" s="82" t="s">
        <v>42</v>
      </c>
      <c r="AI3" s="82" t="s">
        <v>43</v>
      </c>
      <c r="AJ3" s="82" t="s">
        <v>44</v>
      </c>
      <c r="AK3" s="82" t="s">
        <v>45</v>
      </c>
      <c r="AL3" s="82" t="s">
        <v>46</v>
      </c>
      <c r="AM3" s="82" t="s">
        <v>47</v>
      </c>
      <c r="AN3" s="82" t="s">
        <v>48</v>
      </c>
      <c r="AO3" s="82" t="s">
        <v>49</v>
      </c>
      <c r="AP3" s="82" t="s">
        <v>50</v>
      </c>
      <c r="AQ3" s="82" t="s">
        <v>51</v>
      </c>
      <c r="AR3" s="88" t="s">
        <v>52</v>
      </c>
      <c r="AS3" s="89" t="s">
        <v>53</v>
      </c>
      <c r="AT3" s="89" t="s">
        <v>51</v>
      </c>
      <c r="AU3" s="90" t="s">
        <v>54</v>
      </c>
      <c r="AV3" s="90" t="s">
        <v>55</v>
      </c>
      <c r="AW3" s="90" t="s">
        <v>56</v>
      </c>
      <c r="AX3" s="90" t="s">
        <v>57</v>
      </c>
      <c r="AY3" s="90" t="s">
        <v>58</v>
      </c>
      <c r="AZ3" s="90" t="s">
        <v>59</v>
      </c>
      <c r="BA3" s="90" t="s">
        <v>60</v>
      </c>
      <c r="BB3" s="90" t="s">
        <v>61</v>
      </c>
      <c r="BC3" s="93" t="s">
        <v>62</v>
      </c>
      <c r="BD3" s="93" t="s">
        <v>63</v>
      </c>
      <c r="BE3" s="93" t="s">
        <v>64</v>
      </c>
      <c r="BF3" s="90" t="s">
        <v>65</v>
      </c>
      <c r="BG3" s="90" t="s">
        <v>66</v>
      </c>
      <c r="BH3" s="90" t="s">
        <v>67</v>
      </c>
      <c r="BI3" s="90" t="s">
        <v>68</v>
      </c>
      <c r="BJ3" s="90" t="s">
        <v>69</v>
      </c>
      <c r="BK3" s="90" t="s">
        <v>70</v>
      </c>
      <c r="BL3" s="90" t="s">
        <v>71</v>
      </c>
      <c r="BM3" s="98" t="s">
        <v>72</v>
      </c>
      <c r="BN3" s="90" t="s">
        <v>73</v>
      </c>
      <c r="BO3" s="90" t="s">
        <v>59</v>
      </c>
      <c r="BP3" s="90" t="s">
        <v>74</v>
      </c>
      <c r="BQ3" s="90" t="s">
        <v>28</v>
      </c>
    </row>
    <row r="4" ht="15.15" spans="1:69">
      <c r="A4" s="58">
        <v>1</v>
      </c>
      <c r="B4" s="58"/>
      <c r="C4" s="58"/>
      <c r="D4" s="58" t="s">
        <v>76</v>
      </c>
      <c r="E4" s="58" t="s">
        <v>95</v>
      </c>
      <c r="F4" s="59">
        <v>25</v>
      </c>
      <c r="G4" s="59">
        <v>257.63</v>
      </c>
      <c r="H4" s="59">
        <f>F4*G4</f>
        <v>6440.75</v>
      </c>
      <c r="I4" s="59">
        <v>1</v>
      </c>
      <c r="J4" s="59">
        <v>2</v>
      </c>
      <c r="K4" s="59">
        <v>2.5</v>
      </c>
      <c r="L4" s="59">
        <f>H4</f>
        <v>6440.75</v>
      </c>
      <c r="M4" s="59">
        <f>ROUND(L4*I4%,2)</f>
        <v>64.41</v>
      </c>
      <c r="N4" s="59">
        <f>H4-M4</f>
        <v>6376.34</v>
      </c>
      <c r="O4" s="59">
        <f>ROUND(N4*J4%,2)</f>
        <v>127.53</v>
      </c>
      <c r="P4" s="59">
        <f>ROUND(N4-O4,2)</f>
        <v>6248.81</v>
      </c>
      <c r="Q4" s="59">
        <f>ROUND(P4*K4%,2)</f>
        <v>156.22</v>
      </c>
      <c r="R4" s="59">
        <f>ROUND((M4+O4+Q4),2)</f>
        <v>348.16</v>
      </c>
      <c r="S4" s="59">
        <f>ROUND((H4-R4),2)</f>
        <v>6092.59</v>
      </c>
      <c r="T4" s="78" t="s">
        <v>221</v>
      </c>
      <c r="U4" s="79">
        <v>0.18</v>
      </c>
      <c r="V4" s="59">
        <f>IF(OR($C$2=1,$C$2=4),ROUND(((S4*U4)/2),2),0)</f>
        <v>548.33</v>
      </c>
      <c r="W4" s="59">
        <f>IF($C$2=1,ROUND(((S4*U4)/2),2),0)</f>
        <v>548.33</v>
      </c>
      <c r="X4" s="59">
        <f>IF($C$2=2,ROUND(((S4*U4)),2),0)</f>
        <v>0</v>
      </c>
      <c r="Y4" s="59">
        <f>IF($C$2=4,ROUND(((S4*U4)/2),2),0)</f>
        <v>0</v>
      </c>
      <c r="Z4" s="83">
        <v>0</v>
      </c>
      <c r="AA4" s="59">
        <f>IF($C2=3,0,ROUND(S4*Z4,2))</f>
        <v>0</v>
      </c>
      <c r="AB4" s="58">
        <f>V4+W4+X4+Y4+AA4</f>
        <v>1096.66</v>
      </c>
      <c r="AC4" s="58">
        <f>IF($V2=1,S4+AB4,S4)</f>
        <v>7189.25</v>
      </c>
      <c r="AD4" s="78">
        <v>120</v>
      </c>
      <c r="AE4" s="78">
        <f>IF($P$2=1,(S4/$S$7)*$E$18,AD4/$AD$7*$E$18)</f>
        <v>0</v>
      </c>
      <c r="AF4" s="78"/>
      <c r="AG4" s="78">
        <f>IF($P$2=1,(S4/$S$7)*$E$20,AD4/$AD$7*$E$20)</f>
        <v>0</v>
      </c>
      <c r="AH4" s="78">
        <f>IF($P$2=1,(S4/$S$7)*$E$21,AD4/$AD$7*$E$21)</f>
        <v>0</v>
      </c>
      <c r="AI4" s="78">
        <f t="shared" ref="AI4:AI6" si="0">S4*$M$2</f>
        <v>6092.59</v>
      </c>
      <c r="AJ4" s="78">
        <f>IF($C$2=3,0,AG4+AH4)</f>
        <v>0</v>
      </c>
      <c r="AK4" s="78">
        <f t="shared" ref="AK4:AK6" si="1">IF($C$2=3,AE4+AG4+AH4,0)</f>
        <v>0</v>
      </c>
      <c r="AL4" s="87">
        <v>2</v>
      </c>
      <c r="AM4" s="78">
        <f>F4/AL4</f>
        <v>12.5</v>
      </c>
      <c r="AN4" s="78">
        <f>ROUND(AI4/AM4,5)</f>
        <v>487.4072</v>
      </c>
      <c r="AO4" s="78">
        <f>AJ4/AM4</f>
        <v>0</v>
      </c>
      <c r="AP4" s="78">
        <f>AK4/AM4</f>
        <v>0</v>
      </c>
      <c r="AQ4" s="78" t="s">
        <v>76</v>
      </c>
      <c r="AR4" s="78">
        <f>ROUND(AN4+AO4+AP4,5)</f>
        <v>487.4072</v>
      </c>
      <c r="AS4" s="91" t="s">
        <v>130</v>
      </c>
      <c r="AT4" s="91" t="s">
        <v>76</v>
      </c>
      <c r="AU4" s="51" t="s">
        <v>85</v>
      </c>
      <c r="AV4" s="51" t="s">
        <v>222</v>
      </c>
      <c r="AW4" s="91">
        <f>AM4</f>
        <v>12.5</v>
      </c>
      <c r="AX4" s="91">
        <f>AR4</f>
        <v>487.4072</v>
      </c>
      <c r="AY4" s="91">
        <f>AU4+AW4</f>
        <v>12.5</v>
      </c>
      <c r="AZ4" s="91">
        <f>ROUND(((AU4*AV4)+(AW4*AX4))/(AU4+AW4),5)</f>
        <v>487.4072</v>
      </c>
      <c r="BA4" s="94"/>
      <c r="BB4" s="94" t="s">
        <v>80</v>
      </c>
      <c r="BC4" s="95" t="s">
        <v>81</v>
      </c>
      <c r="BD4" s="96" t="s">
        <v>82</v>
      </c>
      <c r="BE4" s="96" t="s">
        <v>83</v>
      </c>
      <c r="BF4" s="94"/>
      <c r="BG4" s="94"/>
      <c r="BH4" s="94"/>
      <c r="BI4" s="91"/>
      <c r="BJ4" s="91"/>
      <c r="BK4" s="91"/>
      <c r="BL4" s="92" t="s">
        <v>133</v>
      </c>
      <c r="BM4" s="51" t="s">
        <v>222</v>
      </c>
      <c r="BN4" s="51" t="s">
        <v>223</v>
      </c>
      <c r="BO4" s="91">
        <f>ROUND((((AW4*AZ4)+(BN4*BM4))/(AW4+BN4)),5)</f>
        <v>487.4072</v>
      </c>
      <c r="BP4" s="99">
        <f>BN4+AW4</f>
        <v>350</v>
      </c>
      <c r="BQ4" s="100">
        <v>123562</v>
      </c>
    </row>
    <row r="5" ht="15.15" spans="1:69">
      <c r="A5" s="58">
        <v>2</v>
      </c>
      <c r="B5" s="58"/>
      <c r="C5" s="58"/>
      <c r="D5" s="58" t="s">
        <v>76</v>
      </c>
      <c r="E5" s="58" t="s">
        <v>99</v>
      </c>
      <c r="F5" s="59">
        <v>28</v>
      </c>
      <c r="G5" s="59">
        <v>150.5</v>
      </c>
      <c r="H5" s="59">
        <f t="shared" ref="H5:H6" si="2">F5*G5</f>
        <v>4214</v>
      </c>
      <c r="I5" s="59">
        <v>1</v>
      </c>
      <c r="J5" s="59">
        <v>2</v>
      </c>
      <c r="K5" s="59">
        <v>2.5</v>
      </c>
      <c r="L5" s="59">
        <f t="shared" ref="L5:L6" si="3">H5</f>
        <v>4214</v>
      </c>
      <c r="M5" s="59">
        <f t="shared" ref="M5:M6" si="4">ROUND(L5*I5%,2)</f>
        <v>42.14</v>
      </c>
      <c r="N5" s="59">
        <f t="shared" ref="N5:N6" si="5">H5-M5</f>
        <v>4171.86</v>
      </c>
      <c r="O5" s="59">
        <f t="shared" ref="O5:O6" si="6">ROUND(N5*J5%,2)</f>
        <v>83.44</v>
      </c>
      <c r="P5" s="59">
        <f t="shared" ref="P5:P6" si="7">ROUND(N5-O5,2)</f>
        <v>4088.42</v>
      </c>
      <c r="Q5" s="59">
        <f t="shared" ref="Q5:Q6" si="8">ROUND(P5*K5%,2)</f>
        <v>102.21</v>
      </c>
      <c r="R5" s="59">
        <f t="shared" ref="R5:R6" si="9">ROUND((M5+O5+Q5),2)</f>
        <v>227.79</v>
      </c>
      <c r="S5" s="59">
        <f t="shared" ref="S5:S6" si="10">ROUND((H5-R5),2)</f>
        <v>3986.21</v>
      </c>
      <c r="T5" s="78" t="s">
        <v>224</v>
      </c>
      <c r="U5" s="79">
        <v>0.18</v>
      </c>
      <c r="V5" s="59">
        <f t="shared" ref="V5:V6" si="11">IF(OR($C$2=1,$C$2=4),ROUND(((S5*U5)/2),2),0)</f>
        <v>358.76</v>
      </c>
      <c r="W5" s="59">
        <f t="shared" ref="W5:W6" si="12">IF($C$2=1,ROUND(((S5*U5)/2),2),0)</f>
        <v>358.76</v>
      </c>
      <c r="X5" s="59">
        <f t="shared" ref="X5:X6" si="13">IF($C$2=2,ROUND(((S5*U5)),2),0)</f>
        <v>0</v>
      </c>
      <c r="Y5" s="59">
        <f t="shared" ref="Y5:Y6" si="14">IF($C$2=4,ROUND(((S5*U5)/2),2),0)</f>
        <v>0</v>
      </c>
      <c r="Z5" s="83">
        <v>0</v>
      </c>
      <c r="AA5" s="59">
        <f t="shared" ref="AA5:AA6" si="15">IF($C3=3,0,ROUND(S5*Z5,2))</f>
        <v>0</v>
      </c>
      <c r="AB5" s="58">
        <f t="shared" ref="AB5:AB6" si="16">V5+W5+X5+Y5+AA5</f>
        <v>717.52</v>
      </c>
      <c r="AC5" s="58">
        <f t="shared" ref="AC5:AC6" si="17">IF($V3=1,S5+AB5,S5)</f>
        <v>3986.21</v>
      </c>
      <c r="AD5" s="78">
        <v>350</v>
      </c>
      <c r="AE5" s="78">
        <f>IF($P$2=1,(S5/$S$7)*$E$18,AD5/$AD$7*$E$18)</f>
        <v>0</v>
      </c>
      <c r="AF5" s="78"/>
      <c r="AG5" s="78">
        <f>IF($P$2=1,(S5/$S$7)*$E$20,AD5/$AD$7*$E$20)</f>
        <v>0</v>
      </c>
      <c r="AH5" s="78">
        <f>IF($P$2=1,(S5/$S$7)*$E$21,AD5/$AD$7*$E$21)</f>
        <v>0</v>
      </c>
      <c r="AI5" s="78">
        <f t="shared" si="0"/>
        <v>3986.21</v>
      </c>
      <c r="AJ5" s="78">
        <f t="shared" ref="AJ5:AJ6" si="18">IF($C$2=3,0,AG5+AH5)</f>
        <v>0</v>
      </c>
      <c r="AK5" s="78">
        <f t="shared" si="1"/>
        <v>0</v>
      </c>
      <c r="AL5" s="87">
        <v>2.5</v>
      </c>
      <c r="AM5" s="78">
        <f>F5/AL5</f>
        <v>11.2</v>
      </c>
      <c r="AN5" s="78">
        <f t="shared" ref="AN5:AN6" si="19">ROUND(AI5/AM5,5)</f>
        <v>355.91161</v>
      </c>
      <c r="AO5" s="78">
        <f t="shared" ref="AO5:AO6" si="20">AJ5/AM5</f>
        <v>0</v>
      </c>
      <c r="AP5" s="78">
        <f t="shared" ref="AP5:AP6" si="21">AK5/AM5</f>
        <v>0</v>
      </c>
      <c r="AQ5" s="78" t="s">
        <v>76</v>
      </c>
      <c r="AR5" s="78">
        <f t="shared" ref="AR5:AR6" si="22">ROUND(AN5+AO5+AP5,5)</f>
        <v>355.91161</v>
      </c>
      <c r="AS5" s="91" t="s">
        <v>130</v>
      </c>
      <c r="AT5" s="91" t="s">
        <v>76</v>
      </c>
      <c r="AU5" s="51" t="s">
        <v>85</v>
      </c>
      <c r="AV5" s="51" t="s">
        <v>225</v>
      </c>
      <c r="AW5" s="91">
        <f>AM5</f>
        <v>11.2</v>
      </c>
      <c r="AX5" s="91">
        <f>AR5</f>
        <v>355.91161</v>
      </c>
      <c r="AY5" s="91">
        <f>AU5+AW5</f>
        <v>11.2</v>
      </c>
      <c r="AZ5" s="91">
        <f>ROUND(((AU5*AV5)+(AW5*AX5))/(AU5+AW5),5)</f>
        <v>355.91161</v>
      </c>
      <c r="BA5" s="94"/>
      <c r="BB5" s="94" t="s">
        <v>80</v>
      </c>
      <c r="BC5" s="95" t="s">
        <v>81</v>
      </c>
      <c r="BD5" s="96" t="s">
        <v>82</v>
      </c>
      <c r="BE5" s="96" t="s">
        <v>83</v>
      </c>
      <c r="BF5" s="94"/>
      <c r="BG5" s="94"/>
      <c r="BH5" s="94"/>
      <c r="BI5" s="91"/>
      <c r="BJ5" s="91"/>
      <c r="BK5" s="91"/>
      <c r="BL5" s="92" t="s">
        <v>133</v>
      </c>
      <c r="BM5" s="51" t="s">
        <v>225</v>
      </c>
      <c r="BN5" s="51" t="s">
        <v>226</v>
      </c>
      <c r="BO5" s="91">
        <f>ROUND((((AW5*AZ5)+(BN5*BM5))/(AW5+BN5)),5)</f>
        <v>355.91161</v>
      </c>
      <c r="BP5" s="99">
        <f>BN5+AW5</f>
        <v>313.6</v>
      </c>
      <c r="BQ5" s="100">
        <v>123562</v>
      </c>
    </row>
    <row r="6" ht="15.15" spans="1:69">
      <c r="A6" s="58">
        <v>3</v>
      </c>
      <c r="B6" s="58"/>
      <c r="C6" s="58"/>
      <c r="D6" s="58" t="s">
        <v>95</v>
      </c>
      <c r="E6" s="58" t="s">
        <v>101</v>
      </c>
      <c r="F6" s="59">
        <v>37</v>
      </c>
      <c r="G6" s="59">
        <v>89.54</v>
      </c>
      <c r="H6" s="59">
        <f t="shared" si="2"/>
        <v>3312.98</v>
      </c>
      <c r="I6" s="59">
        <v>1</v>
      </c>
      <c r="J6" s="59">
        <v>2</v>
      </c>
      <c r="K6" s="59">
        <v>2.5</v>
      </c>
      <c r="L6" s="59">
        <f t="shared" si="3"/>
        <v>3312.98</v>
      </c>
      <c r="M6" s="59">
        <f t="shared" si="4"/>
        <v>33.13</v>
      </c>
      <c r="N6" s="59">
        <f t="shared" si="5"/>
        <v>3279.85</v>
      </c>
      <c r="O6" s="59">
        <f t="shared" si="6"/>
        <v>65.6</v>
      </c>
      <c r="P6" s="59">
        <f t="shared" si="7"/>
        <v>3214.25</v>
      </c>
      <c r="Q6" s="59">
        <f t="shared" si="8"/>
        <v>80.36</v>
      </c>
      <c r="R6" s="59">
        <f t="shared" si="9"/>
        <v>179.09</v>
      </c>
      <c r="S6" s="59">
        <f t="shared" si="10"/>
        <v>3133.89</v>
      </c>
      <c r="T6" s="78" t="s">
        <v>227</v>
      </c>
      <c r="U6" s="79">
        <v>0.18</v>
      </c>
      <c r="V6" s="59">
        <f t="shared" si="11"/>
        <v>282.05</v>
      </c>
      <c r="W6" s="59">
        <f t="shared" si="12"/>
        <v>282.05</v>
      </c>
      <c r="X6" s="59">
        <f t="shared" si="13"/>
        <v>0</v>
      </c>
      <c r="Y6" s="59">
        <f t="shared" si="14"/>
        <v>0</v>
      </c>
      <c r="Z6" s="83">
        <v>0</v>
      </c>
      <c r="AA6" s="59">
        <f t="shared" si="15"/>
        <v>0</v>
      </c>
      <c r="AB6" s="58">
        <f t="shared" si="16"/>
        <v>564.1</v>
      </c>
      <c r="AC6" s="58">
        <f t="shared" si="17"/>
        <v>3133.89</v>
      </c>
      <c r="AD6" s="78">
        <v>220</v>
      </c>
      <c r="AE6" s="78">
        <f>IF($P$2=1,(S6/$S$7)*$E$18,AD6/$AD$7*$E$18)</f>
        <v>0</v>
      </c>
      <c r="AF6" s="78"/>
      <c r="AG6" s="78">
        <f>IF($P$2=1,(S6/$S$7)*$E$20,AD6/$AD$7*$E$20)</f>
        <v>0</v>
      </c>
      <c r="AH6" s="78">
        <f>IF($P$2=1,(S6/$S$7)*$E$21,AD6/$AD$7*$E$21)</f>
        <v>0</v>
      </c>
      <c r="AI6" s="78">
        <f t="shared" si="0"/>
        <v>3133.89</v>
      </c>
      <c r="AJ6" s="78">
        <f t="shared" si="18"/>
        <v>0</v>
      </c>
      <c r="AK6" s="78">
        <f t="shared" si="1"/>
        <v>0</v>
      </c>
      <c r="AL6" s="58">
        <v>0.001</v>
      </c>
      <c r="AM6" s="78">
        <f>F6/AL6</f>
        <v>37000</v>
      </c>
      <c r="AN6" s="78">
        <f t="shared" si="19"/>
        <v>0.0847</v>
      </c>
      <c r="AO6" s="78">
        <f t="shared" si="20"/>
        <v>0</v>
      </c>
      <c r="AP6" s="78">
        <f t="shared" si="21"/>
        <v>0</v>
      </c>
      <c r="AQ6" s="78" t="s">
        <v>76</v>
      </c>
      <c r="AR6" s="78">
        <f t="shared" si="22"/>
        <v>0.0847</v>
      </c>
      <c r="AS6" s="92" t="s">
        <v>130</v>
      </c>
      <c r="AT6" s="92" t="s">
        <v>76</v>
      </c>
      <c r="AU6" s="51" t="s">
        <v>85</v>
      </c>
      <c r="AV6" s="51" t="s">
        <v>228</v>
      </c>
      <c r="AW6" s="91">
        <f>AM6</f>
        <v>37000</v>
      </c>
      <c r="AX6" s="91">
        <f>AR6</f>
        <v>0.0847</v>
      </c>
      <c r="AY6" s="91">
        <f>AU6+AW6</f>
        <v>37000</v>
      </c>
      <c r="AZ6" s="91">
        <f>ROUND(((AU6*AV6)+(AW6*AX6))/(AU6+AW6),5)</f>
        <v>0.0847</v>
      </c>
      <c r="BA6" s="92"/>
      <c r="BB6" s="92"/>
      <c r="BC6" s="97" t="s">
        <v>81</v>
      </c>
      <c r="BD6" s="97" t="s">
        <v>229</v>
      </c>
      <c r="BE6" s="92"/>
      <c r="BF6" s="92"/>
      <c r="BG6" s="92"/>
      <c r="BH6" s="92"/>
      <c r="BI6" s="92"/>
      <c r="BJ6" s="92"/>
      <c r="BK6" s="92"/>
      <c r="BL6" s="92" t="s">
        <v>133</v>
      </c>
      <c r="BM6" s="51" t="s">
        <v>228</v>
      </c>
      <c r="BN6" s="51" t="s">
        <v>230</v>
      </c>
      <c r="BO6" s="91">
        <f>ROUND((((AW6*AZ6)+(BN6*BM6))/(AW6+BN6)),5)</f>
        <v>0.0847</v>
      </c>
      <c r="BP6" s="99">
        <f>BN6+AW6</f>
        <v>1036000</v>
      </c>
      <c r="BQ6" s="100">
        <v>123562</v>
      </c>
    </row>
    <row r="7" ht="15.15" spans="1:67">
      <c r="A7" s="60"/>
      <c r="C7" s="61" t="s">
        <v>89</v>
      </c>
      <c r="D7" s="62"/>
      <c r="E7" s="62"/>
      <c r="F7" s="62"/>
      <c r="G7" s="63"/>
      <c r="H7" s="64">
        <f>SUM(H4:H6)</f>
        <v>13967.73</v>
      </c>
      <c r="I7" s="58"/>
      <c r="J7" s="58"/>
      <c r="K7" s="58"/>
      <c r="L7" s="58"/>
      <c r="M7" s="58"/>
      <c r="N7" s="58"/>
      <c r="O7" s="58"/>
      <c r="P7" s="58"/>
      <c r="Q7" s="58"/>
      <c r="R7" s="64">
        <f>SUM(R4:R6)</f>
        <v>755.04</v>
      </c>
      <c r="S7" s="64">
        <f>SUM(S4:S6)</f>
        <v>13212.69</v>
      </c>
      <c r="T7" s="64"/>
      <c r="U7" s="64"/>
      <c r="V7" s="80">
        <f t="shared" ref="V7:AE7" si="23">SUM(V4:V6)</f>
        <v>1189.14</v>
      </c>
      <c r="W7" s="80">
        <f t="shared" si="23"/>
        <v>1189.14</v>
      </c>
      <c r="X7" s="80">
        <f t="shared" si="23"/>
        <v>0</v>
      </c>
      <c r="Y7" s="80">
        <f t="shared" si="23"/>
        <v>0</v>
      </c>
      <c r="Z7" s="84">
        <f t="shared" si="23"/>
        <v>0</v>
      </c>
      <c r="AA7" s="80">
        <f t="shared" si="23"/>
        <v>0</v>
      </c>
      <c r="AB7" s="64">
        <f t="shared" si="23"/>
        <v>2378.28</v>
      </c>
      <c r="AC7" s="85">
        <f t="shared" si="23"/>
        <v>14309.35</v>
      </c>
      <c r="AD7" s="86">
        <f t="shared" si="23"/>
        <v>690</v>
      </c>
      <c r="AE7" s="86">
        <f t="shared" si="23"/>
        <v>0</v>
      </c>
      <c r="AF7" s="85"/>
      <c r="AG7" s="86">
        <f>SUM(AG4:AG6)</f>
        <v>0</v>
      </c>
      <c r="AH7" s="86">
        <f>IF($P$2=1,(S7/$S$7)*$E$21,AD7/$AD$7*$E$21)</f>
        <v>0</v>
      </c>
      <c r="AI7" s="86">
        <f>SUM(AI4:AI6)</f>
        <v>13212.69</v>
      </c>
      <c r="AJ7" s="86">
        <f>SUM(AJ4:AJ6)</f>
        <v>0</v>
      </c>
      <c r="AK7" s="86">
        <f>SUM(AK4:AK6)</f>
        <v>0</v>
      </c>
      <c r="AL7" s="85"/>
      <c r="AM7" s="85"/>
      <c r="AN7" s="85"/>
      <c r="AO7" s="85"/>
      <c r="AP7" s="85"/>
      <c r="AQ7" s="85"/>
      <c r="AR7" s="85"/>
      <c r="AS7" s="60"/>
      <c r="AT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0"/>
      <c r="BJ7" s="60"/>
      <c r="BK7" s="60"/>
      <c r="BL7" s="60"/>
      <c r="BM7" s="60"/>
      <c r="BN7" s="60"/>
      <c r="BO7" s="60"/>
    </row>
    <row r="8" ht="15.15" spans="1:67">
      <c r="A8" s="60"/>
      <c r="B8" s="60"/>
      <c r="C8" s="60"/>
      <c r="D8" s="60"/>
      <c r="E8" s="60"/>
      <c r="F8" s="60"/>
      <c r="G8" s="60"/>
      <c r="H8" s="60"/>
      <c r="I8" s="60"/>
      <c r="J8" s="60"/>
      <c r="K8" s="60"/>
      <c r="L8" s="60"/>
      <c r="M8" s="60"/>
      <c r="N8" s="60"/>
      <c r="O8" s="60"/>
      <c r="P8" s="60"/>
      <c r="Q8" s="60"/>
      <c r="R8" s="60"/>
      <c r="S8" s="60"/>
      <c r="T8" s="60"/>
      <c r="U8" s="60"/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60"/>
      <c r="AX8" s="60"/>
      <c r="AY8" s="60"/>
      <c r="AZ8" s="60"/>
      <c r="BA8" s="60"/>
      <c r="BB8" s="60"/>
      <c r="BC8" s="60"/>
      <c r="BD8" s="60"/>
      <c r="BE8" s="60"/>
      <c r="BF8" s="60"/>
      <c r="BG8" s="60"/>
      <c r="BH8" s="60"/>
      <c r="BI8" s="60"/>
      <c r="BJ8" s="60"/>
      <c r="BK8" s="60"/>
      <c r="BL8" s="60"/>
      <c r="BM8" s="60"/>
      <c r="BN8" s="60"/>
      <c r="BO8" s="60"/>
    </row>
    <row r="9" ht="15.15" spans="1:67">
      <c r="A9" s="60"/>
      <c r="B9" s="60"/>
      <c r="C9" s="60"/>
      <c r="D9" s="60"/>
      <c r="E9" s="60"/>
      <c r="F9" s="60"/>
      <c r="G9" s="65" t="s">
        <v>90</v>
      </c>
      <c r="H9" s="66"/>
      <c r="I9" s="70">
        <f>H7</f>
        <v>13967.73</v>
      </c>
      <c r="J9" s="70"/>
      <c r="K9" s="71"/>
      <c r="L9" s="60"/>
      <c r="M9" s="72" t="s">
        <v>91</v>
      </c>
      <c r="N9" s="73"/>
      <c r="O9" s="73"/>
      <c r="P9" s="74"/>
      <c r="Q9" s="60"/>
      <c r="R9" s="60"/>
      <c r="S9" s="60"/>
      <c r="T9" s="60"/>
      <c r="U9" s="60"/>
      <c r="V9" s="60"/>
      <c r="W9" s="60"/>
      <c r="X9" s="60"/>
      <c r="Y9" s="60"/>
      <c r="Z9" s="60"/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60"/>
      <c r="AX9" s="60"/>
      <c r="AY9" s="60"/>
      <c r="AZ9" s="60"/>
      <c r="BA9" s="60"/>
      <c r="BB9" s="60"/>
      <c r="BC9" s="60"/>
      <c r="BD9" s="60"/>
      <c r="BE9" s="60"/>
      <c r="BF9" s="60"/>
      <c r="BG9" s="60"/>
      <c r="BH9" s="60" t="s">
        <v>92</v>
      </c>
      <c r="BI9" s="120" t="s">
        <v>93</v>
      </c>
      <c r="BJ9" s="60"/>
      <c r="BK9" s="60"/>
      <c r="BL9" s="60"/>
      <c r="BM9" s="60"/>
      <c r="BN9" s="60"/>
      <c r="BO9" s="60"/>
    </row>
    <row r="10" ht="15.15" spans="1:67">
      <c r="A10" s="60"/>
      <c r="B10" s="60"/>
      <c r="C10" s="60"/>
      <c r="D10" s="60"/>
      <c r="E10" s="60"/>
      <c r="F10" s="60"/>
      <c r="G10" s="65" t="s">
        <v>94</v>
      </c>
      <c r="H10" s="66"/>
      <c r="I10" s="70">
        <f>R7</f>
        <v>755.04</v>
      </c>
      <c r="J10" s="70"/>
      <c r="K10" s="60"/>
      <c r="L10" s="60"/>
      <c r="M10" s="75">
        <v>1</v>
      </c>
      <c r="N10" s="75" t="s">
        <v>76</v>
      </c>
      <c r="O10" s="75">
        <v>2</v>
      </c>
      <c r="P10" s="75" t="s">
        <v>95</v>
      </c>
      <c r="Q10" s="60"/>
      <c r="R10" s="60"/>
      <c r="S10" s="60"/>
      <c r="T10" s="60"/>
      <c r="U10" s="60"/>
      <c r="V10" s="60"/>
      <c r="W10" s="60"/>
      <c r="X10" s="60"/>
      <c r="Y10" s="60"/>
      <c r="Z10" s="60"/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60"/>
      <c r="AX10" s="60"/>
      <c r="AY10" s="60"/>
      <c r="AZ10" s="60"/>
      <c r="BA10" s="60"/>
      <c r="BB10" s="60"/>
      <c r="BC10" s="60"/>
      <c r="BD10" s="60"/>
      <c r="BE10" s="60"/>
      <c r="BF10" s="60"/>
      <c r="BG10" s="60"/>
      <c r="BH10" s="60" t="s">
        <v>96</v>
      </c>
      <c r="BI10" s="120" t="s">
        <v>97</v>
      </c>
      <c r="BJ10" s="60"/>
      <c r="BK10" s="60"/>
      <c r="BL10" s="60"/>
      <c r="BM10" s="60"/>
      <c r="BN10" s="60"/>
      <c r="BO10" s="60"/>
    </row>
    <row r="11" ht="15.15" spans="1:67">
      <c r="A11" s="60"/>
      <c r="B11" s="60"/>
      <c r="C11" s="60"/>
      <c r="D11" s="60"/>
      <c r="E11" s="60"/>
      <c r="F11" s="60"/>
      <c r="G11" s="65" t="s">
        <v>98</v>
      </c>
      <c r="H11" s="66"/>
      <c r="I11" s="70">
        <f>S7</f>
        <v>13212.69</v>
      </c>
      <c r="J11" s="70"/>
      <c r="K11" s="60"/>
      <c r="L11" s="60"/>
      <c r="M11" s="58">
        <v>1</v>
      </c>
      <c r="N11" s="58" t="s">
        <v>76</v>
      </c>
      <c r="O11" s="58">
        <v>2.5</v>
      </c>
      <c r="P11" s="58" t="s">
        <v>99</v>
      </c>
      <c r="Q11" s="60"/>
      <c r="R11" s="60"/>
      <c r="S11" s="60"/>
      <c r="T11" s="60"/>
      <c r="U11" s="60"/>
      <c r="V11" s="60"/>
      <c r="W11" s="60"/>
      <c r="X11" s="60"/>
      <c r="Y11" s="60"/>
      <c r="Z11" s="60"/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60"/>
      <c r="AX11" s="60"/>
      <c r="AY11" s="60"/>
      <c r="AZ11" s="60"/>
      <c r="BA11" s="60"/>
      <c r="BB11" s="60"/>
      <c r="BC11" s="60"/>
      <c r="BD11" s="60"/>
      <c r="BE11" s="60"/>
      <c r="BF11" s="60"/>
      <c r="BG11" s="60"/>
      <c r="BH11" s="60"/>
      <c r="BI11" s="60"/>
      <c r="BJ11" s="60"/>
      <c r="BK11" s="60"/>
      <c r="BL11" s="60"/>
      <c r="BM11" s="60"/>
      <c r="BN11" s="60"/>
      <c r="BO11" s="60"/>
    </row>
    <row r="12" ht="15.15" spans="1:67">
      <c r="A12" s="60"/>
      <c r="B12" s="60"/>
      <c r="C12" s="60"/>
      <c r="D12" s="60"/>
      <c r="E12" s="60"/>
      <c r="F12" s="60"/>
      <c r="G12" s="65" t="s">
        <v>100</v>
      </c>
      <c r="H12" s="66"/>
      <c r="I12" s="70">
        <f>AB7</f>
        <v>2378.28</v>
      </c>
      <c r="J12" s="70"/>
      <c r="K12" s="60"/>
      <c r="L12" s="60"/>
      <c r="M12" s="58">
        <v>1</v>
      </c>
      <c r="N12" s="58" t="s">
        <v>95</v>
      </c>
      <c r="O12" s="58">
        <v>0.001</v>
      </c>
      <c r="P12" s="58" t="s">
        <v>101</v>
      </c>
      <c r="Q12" s="60"/>
      <c r="R12" s="60"/>
      <c r="S12" s="60"/>
      <c r="T12" s="60"/>
      <c r="U12" s="60"/>
      <c r="V12" s="60"/>
      <c r="W12" s="60"/>
      <c r="X12" s="60"/>
      <c r="Y12" s="60"/>
      <c r="Z12" s="60"/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60"/>
      <c r="AX12" s="60"/>
      <c r="AY12" s="60"/>
      <c r="AZ12" s="60"/>
      <c r="BA12" s="60"/>
      <c r="BB12" s="60"/>
      <c r="BC12" s="60"/>
      <c r="BD12" s="60"/>
      <c r="BE12" s="60"/>
      <c r="BF12" s="60"/>
      <c r="BG12" s="60"/>
      <c r="BH12" s="60"/>
      <c r="BI12" s="60"/>
      <c r="BJ12" s="60"/>
      <c r="BK12" s="60"/>
      <c r="BL12" s="60"/>
      <c r="BM12" s="60"/>
      <c r="BN12" s="60"/>
      <c r="BO12" s="60"/>
    </row>
    <row r="13" ht="15.15" spans="1:67">
      <c r="A13" s="60"/>
      <c r="B13" s="60"/>
      <c r="C13" s="60"/>
      <c r="D13" s="60"/>
      <c r="E13" s="60"/>
      <c r="F13" s="60"/>
      <c r="G13" s="65" t="s">
        <v>102</v>
      </c>
      <c r="H13" s="66"/>
      <c r="I13" s="76">
        <f>I11+I12</f>
        <v>15590.97</v>
      </c>
      <c r="J13" s="76"/>
      <c r="K13" s="60"/>
      <c r="L13" s="60"/>
      <c r="M13" s="60"/>
      <c r="N13" s="60"/>
      <c r="O13" s="60"/>
      <c r="P13" s="60"/>
      <c r="Q13" s="60"/>
      <c r="R13" s="60"/>
      <c r="S13" s="60"/>
      <c r="T13" s="60"/>
      <c r="U13" s="60"/>
      <c r="V13" s="60"/>
      <c r="W13" s="60"/>
      <c r="X13" s="60"/>
      <c r="Y13" s="60"/>
      <c r="Z13" s="60"/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60"/>
      <c r="AX13" s="60"/>
      <c r="AY13" s="60"/>
      <c r="AZ13" s="60"/>
      <c r="BA13" s="60"/>
      <c r="BB13" s="60"/>
      <c r="BC13" s="60"/>
      <c r="BD13" s="60"/>
      <c r="BE13" s="60"/>
      <c r="BF13" s="60"/>
      <c r="BG13" s="60"/>
      <c r="BH13" s="60"/>
      <c r="BI13" s="60"/>
      <c r="BJ13" s="60"/>
      <c r="BK13" s="60"/>
      <c r="BL13" s="60"/>
      <c r="BM13" s="60"/>
      <c r="BN13" s="60"/>
      <c r="BO13" s="60"/>
    </row>
    <row r="14" spans="1:67">
      <c r="A14" s="60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60"/>
      <c r="O14" s="60"/>
      <c r="P14" s="60"/>
      <c r="Q14" s="60"/>
      <c r="R14" s="60"/>
      <c r="S14" s="60"/>
      <c r="T14" s="60"/>
      <c r="U14" s="60"/>
      <c r="V14" s="60"/>
      <c r="W14" s="60"/>
      <c r="X14" s="60"/>
      <c r="Y14" s="60"/>
      <c r="Z14" s="60"/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60"/>
      <c r="AX14" s="60"/>
      <c r="AY14" s="60"/>
      <c r="AZ14" s="60"/>
      <c r="BA14" s="60"/>
      <c r="BB14" s="60"/>
      <c r="BC14" s="60"/>
      <c r="BD14" s="60"/>
      <c r="BE14" s="60"/>
      <c r="BF14" s="60"/>
      <c r="BG14" s="60"/>
      <c r="BH14" s="60"/>
      <c r="BI14" s="60"/>
      <c r="BJ14" s="60"/>
      <c r="BK14" s="60"/>
      <c r="BL14" s="60"/>
      <c r="BM14" s="60" t="s">
        <v>103</v>
      </c>
      <c r="BN14" s="60" t="s">
        <v>104</v>
      </c>
      <c r="BO14" s="60"/>
    </row>
    <row r="15" spans="1:67">
      <c r="A15" s="60"/>
      <c r="B15" s="60"/>
      <c r="C15" s="60"/>
      <c r="D15" s="60"/>
      <c r="E15" s="60"/>
      <c r="F15" s="60"/>
      <c r="G15" s="60"/>
      <c r="H15" s="60"/>
      <c r="I15" s="60"/>
      <c r="J15" s="60"/>
      <c r="K15" s="60"/>
      <c r="L15" s="60"/>
      <c r="M15" s="60"/>
      <c r="N15" s="60"/>
      <c r="O15" s="60"/>
      <c r="P15" s="60"/>
      <c r="Q15" s="60"/>
      <c r="R15" s="60"/>
      <c r="S15" s="60"/>
      <c r="T15" s="60"/>
      <c r="U15" s="60"/>
      <c r="V15" s="60"/>
      <c r="W15" s="60"/>
      <c r="X15" s="60"/>
      <c r="Y15" s="60"/>
      <c r="Z15" s="60"/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60"/>
      <c r="AX15" s="60"/>
      <c r="AY15" s="60"/>
      <c r="AZ15" s="60"/>
      <c r="BA15" s="60"/>
      <c r="BB15" s="60"/>
      <c r="BC15" s="60"/>
      <c r="BD15" s="60"/>
      <c r="BE15" s="60"/>
      <c r="BF15" s="60"/>
      <c r="BG15" s="60"/>
      <c r="BH15" s="60"/>
      <c r="BI15" s="60"/>
      <c r="BJ15" s="60"/>
      <c r="BK15" s="60" t="s">
        <v>105</v>
      </c>
      <c r="BL15" s="60">
        <v>12.5</v>
      </c>
      <c r="BM15" s="60">
        <f>BL17*BL18</f>
        <v>18277.77</v>
      </c>
      <c r="BN15" s="60">
        <f>BL15*BL16</f>
        <v>6092.59</v>
      </c>
      <c r="BO15" s="60"/>
    </row>
    <row r="16" spans="1:67">
      <c r="A16" s="60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60"/>
      <c r="X16" s="60"/>
      <c r="Y16" s="60"/>
      <c r="Z16" s="60"/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60"/>
      <c r="AX16" s="60"/>
      <c r="AY16" s="60"/>
      <c r="AZ16" s="60"/>
      <c r="BA16" s="60"/>
      <c r="BB16" s="60"/>
      <c r="BC16" s="60"/>
      <c r="BD16" s="60"/>
      <c r="BE16" s="60"/>
      <c r="BF16" s="60"/>
      <c r="BG16" s="60"/>
      <c r="BH16" s="60"/>
      <c r="BI16" s="60"/>
      <c r="BJ16" s="60"/>
      <c r="BK16" s="60" t="s">
        <v>106</v>
      </c>
      <c r="BL16" s="60">
        <v>487.4072</v>
      </c>
      <c r="BM16" s="60">
        <f>BL15+BL17</f>
        <v>50</v>
      </c>
      <c r="BN16" s="60"/>
      <c r="BO16" s="60"/>
    </row>
    <row r="17" spans="1:67">
      <c r="A17" s="60"/>
      <c r="B17" s="60"/>
      <c r="C17" s="60"/>
      <c r="D17" s="60"/>
      <c r="E17" s="60"/>
      <c r="F17" s="60"/>
      <c r="G17" s="60"/>
      <c r="H17" s="60"/>
      <c r="I17" s="60"/>
      <c r="J17" s="60"/>
      <c r="K17" s="60"/>
      <c r="L17" s="60"/>
      <c r="M17" s="60"/>
      <c r="N17" s="60"/>
      <c r="O17" s="60"/>
      <c r="P17" s="60"/>
      <c r="Q17" s="60"/>
      <c r="R17" s="60"/>
      <c r="S17" s="60"/>
      <c r="T17" s="60"/>
      <c r="U17" s="60"/>
      <c r="V17" s="60"/>
      <c r="W17" s="60"/>
      <c r="X17" s="60"/>
      <c r="Y17" s="60"/>
      <c r="Z17" s="60"/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60"/>
      <c r="AX17" s="60"/>
      <c r="AY17" s="60"/>
      <c r="AZ17" s="60"/>
      <c r="BA17" s="60"/>
      <c r="BB17" s="60"/>
      <c r="BC17" s="60"/>
      <c r="BD17" s="60"/>
      <c r="BE17" s="60"/>
      <c r="BF17" s="60"/>
      <c r="BG17" s="60"/>
      <c r="BH17" s="60"/>
      <c r="BI17" s="60"/>
      <c r="BJ17" s="60"/>
      <c r="BK17" s="60" t="s">
        <v>107</v>
      </c>
      <c r="BL17" s="60">
        <v>37.5</v>
      </c>
      <c r="BM17" s="60"/>
      <c r="BN17" s="60"/>
      <c r="BO17" s="60"/>
    </row>
    <row r="18" spans="1:67">
      <c r="A18" s="60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60"/>
      <c r="AX18" s="60"/>
      <c r="AY18" s="60"/>
      <c r="AZ18" s="60"/>
      <c r="BA18" s="60"/>
      <c r="BB18" s="60"/>
      <c r="BC18" s="60"/>
      <c r="BD18" s="60"/>
      <c r="BE18" s="60"/>
      <c r="BF18" s="60"/>
      <c r="BG18" s="60"/>
      <c r="BH18" s="60"/>
      <c r="BI18" s="60"/>
      <c r="BJ18" s="60"/>
      <c r="BK18" s="60" t="s">
        <v>108</v>
      </c>
      <c r="BL18" s="60">
        <v>487.4072</v>
      </c>
      <c r="BM18" s="60"/>
      <c r="BN18" s="60"/>
      <c r="BO18" s="60"/>
    </row>
    <row r="19" spans="1:67">
      <c r="A19" s="60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60"/>
      <c r="AX19" s="60"/>
      <c r="AY19" s="60"/>
      <c r="AZ19" s="60"/>
      <c r="BA19" s="60"/>
      <c r="BB19" s="60"/>
      <c r="BC19" s="60"/>
      <c r="BD19" s="60"/>
      <c r="BE19" s="60"/>
      <c r="BF19" s="60"/>
      <c r="BG19" s="60"/>
      <c r="BH19" s="60"/>
      <c r="BI19" s="60"/>
      <c r="BJ19" s="60"/>
      <c r="BK19" s="60"/>
      <c r="BL19" s="60"/>
      <c r="BM19" s="60">
        <f>BM15+BN15</f>
        <v>24370.36</v>
      </c>
      <c r="BN19" s="60">
        <f>BM19/BM16</f>
        <v>487.4072</v>
      </c>
      <c r="BO19" s="60"/>
    </row>
    <row r="20" spans="1:67">
      <c r="A20" s="60"/>
      <c r="B20" s="60"/>
      <c r="C20" s="60"/>
      <c r="D20" s="60"/>
      <c r="E20" s="60"/>
      <c r="F20" s="60"/>
      <c r="G20" s="60"/>
      <c r="H20" s="60"/>
      <c r="I20" s="60"/>
      <c r="J20" s="60"/>
      <c r="K20" s="60"/>
      <c r="L20" s="60"/>
      <c r="M20" s="60"/>
      <c r="N20" s="60"/>
      <c r="O20" s="60"/>
      <c r="P20" s="60"/>
      <c r="Q20" s="60"/>
      <c r="R20" s="60"/>
      <c r="S20" s="60"/>
      <c r="T20" s="60"/>
      <c r="U20" s="60"/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60"/>
      <c r="AX20" s="60"/>
      <c r="AY20" s="60"/>
      <c r="AZ20" s="60"/>
      <c r="BA20" s="60"/>
      <c r="BB20" s="60"/>
      <c r="BC20" s="60"/>
      <c r="BD20" s="60"/>
      <c r="BE20" s="60"/>
      <c r="BF20" s="60"/>
      <c r="BG20" s="60"/>
      <c r="BH20" s="60"/>
      <c r="BI20" s="60"/>
      <c r="BJ20" s="60"/>
      <c r="BK20" s="60"/>
      <c r="BL20" s="60"/>
      <c r="BM20" s="60"/>
      <c r="BN20" s="60"/>
      <c r="BO20" s="60"/>
    </row>
    <row r="21" spans="1:67">
      <c r="A21" s="60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60"/>
      <c r="AX21" s="60"/>
      <c r="AY21" s="60"/>
      <c r="AZ21" s="60"/>
      <c r="BA21" s="60"/>
      <c r="BB21" s="60"/>
      <c r="BC21" s="60"/>
      <c r="BD21" s="60"/>
      <c r="BE21" s="60"/>
      <c r="BF21" s="60"/>
      <c r="BG21" s="60"/>
      <c r="BH21" s="60"/>
      <c r="BI21" s="60"/>
      <c r="BJ21" s="60"/>
      <c r="BK21" s="60"/>
      <c r="BL21" s="60"/>
      <c r="BM21" s="60"/>
      <c r="BN21" s="60"/>
      <c r="BO21" s="6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pageMargins left="0.7" right="0.7" top="0.75" bottom="0.75" header="0.3" footer="0.3"/>
  <pageSetup paperSize="1" orientation="portrait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customWidth="true" width="28.0"/>
    <col min="3" max="3" customWidth="true" width="23.287037037037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231</v>
      </c>
      <c r="C4" s="7" t="s">
        <v>231</v>
      </c>
      <c r="D4" s="7" t="s">
        <v>76</v>
      </c>
      <c r="E4" s="7" t="s">
        <v>95</v>
      </c>
      <c r="F4" s="8">
        <v>10</v>
      </c>
      <c r="G4" s="8">
        <v>150</v>
      </c>
      <c r="H4" s="8">
        <f>F4*G4</f>
        <v>1500</v>
      </c>
      <c r="I4" s="8">
        <v>5</v>
      </c>
      <c r="J4" s="8">
        <v>8</v>
      </c>
      <c r="K4" s="8">
        <v>5</v>
      </c>
      <c r="L4" s="8">
        <f>H4</f>
        <v>1500</v>
      </c>
      <c r="M4" s="8">
        <f>ROUND(L4*I4%,2)</f>
        <v>75</v>
      </c>
      <c r="N4" s="8">
        <f>H4-M4</f>
        <v>1425</v>
      </c>
      <c r="O4" s="8">
        <f>ROUND(N4*J4%,2)</f>
        <v>114</v>
      </c>
      <c r="P4" s="8">
        <f>ROUND(N4-O4,2)</f>
        <v>1311</v>
      </c>
      <c r="Q4" s="8">
        <f>ROUND(P4*K4%,2)</f>
        <v>65.55</v>
      </c>
      <c r="R4" s="8">
        <f>M4+O4+Q4</f>
        <v>254.55</v>
      </c>
      <c r="S4" s="8">
        <f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>F4/AL4</f>
        <v>3.33333333333333</v>
      </c>
      <c r="AN4" s="34">
        <f>ROUND(AI4/AM4,3)</f>
        <v>373.635</v>
      </c>
      <c r="AO4" s="31">
        <f>AJ4/AM4</f>
        <v>0</v>
      </c>
      <c r="AP4" s="31">
        <f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 s="0">
        <v>232</v>
      </c>
      <c r="AV4" t="s" s="0">
        <v>115</v>
      </c>
      <c r="AW4" s="39">
        <f>AM4</f>
        <v>3.33333333333333</v>
      </c>
      <c r="AX4" s="42">
        <f>AR4</f>
        <v>373.635</v>
      </c>
      <c r="AY4" s="39">
        <f>AU4+AW4</f>
        <v>6.66633333333333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115</v>
      </c>
      <c r="BN4" t="s" s="0">
        <v>117</v>
      </c>
      <c r="BO4" s="39">
        <f>ROUND((((AW4*AZ4)+(BN4*BM4))/(AW4+BN4)),5)</f>
        <v>373.635</v>
      </c>
      <c r="BP4" s="48">
        <f>ROUND(BN4+AW4,3)</f>
        <v>16.665</v>
      </c>
      <c r="BQ4" s="49">
        <v>123562</v>
      </c>
    </row>
    <row r="5" ht="15.15" spans="1:69">
      <c r="A5" s="7">
        <v>1</v>
      </c>
      <c r="B5" s="7" t="s">
        <v>233</v>
      </c>
      <c r="C5" s="7" t="s">
        <v>233</v>
      </c>
      <c r="D5" s="7" t="s">
        <v>76</v>
      </c>
      <c r="E5" s="7" t="s">
        <v>95</v>
      </c>
      <c r="F5" s="8">
        <v>4</v>
      </c>
      <c r="G5" s="8">
        <v>100</v>
      </c>
      <c r="H5" s="8">
        <f>F5*G5</f>
        <v>400</v>
      </c>
      <c r="I5" s="8">
        <v>4</v>
      </c>
      <c r="J5" s="8">
        <v>9</v>
      </c>
      <c r="K5" s="8">
        <v>6</v>
      </c>
      <c r="L5" s="8">
        <f>H5</f>
        <v>400</v>
      </c>
      <c r="M5" s="8">
        <f>ROUND(L5*I5%,2)</f>
        <v>16</v>
      </c>
      <c r="N5" s="8">
        <f>H5-M5</f>
        <v>384</v>
      </c>
      <c r="O5" s="8">
        <f>ROUND(N5*J5%,2)</f>
        <v>34.56</v>
      </c>
      <c r="P5" s="8">
        <f>ROUND(N5-O5,2)</f>
        <v>349.44</v>
      </c>
      <c r="Q5" s="8">
        <f>ROUND(P5*K5%,2)</f>
        <v>20.97</v>
      </c>
      <c r="R5" s="8">
        <f>M5+O5+Q5</f>
        <v>71.53</v>
      </c>
      <c r="S5" s="8">
        <f>(H5-R5)</f>
        <v>328.47</v>
      </c>
      <c r="T5" s="8">
        <v>88363222</v>
      </c>
      <c r="U5" s="8">
        <v>18</v>
      </c>
      <c r="V5" s="8">
        <f>IF(OR(PoToMRVWOIpDUom!$C$2=1,PoToMRVWOIpDUom!$C$2=4),ROUND((((S5*U5)/100)/2),2),0)</f>
        <v>0</v>
      </c>
      <c r="W5" s="8">
        <f>IF(PoToMRVWOIpDUom!$C$2=1,ROUND((((S5*U5)/100)/2),2),0)</f>
        <v>0</v>
      </c>
      <c r="X5" s="8">
        <f>IF(PoToMRVWOIpDUom!$C$2=2,ROUND(((S5*U5)/100),2),0)</f>
        <v>59.12</v>
      </c>
      <c r="Y5" s="8">
        <f>IF(PoToMRVWOIpDUom!$C$2=4,ROUND((((S5*U5)/100)/2),2),0)</f>
        <v>0</v>
      </c>
      <c r="Z5" s="8">
        <v>0</v>
      </c>
      <c r="AA5" s="8">
        <f>IF(PoToMRVWOIpDUom!$C3=3,0,(S5*Z5)/100)</f>
        <v>0</v>
      </c>
      <c r="AB5" s="8">
        <f>V5+W5+X5+Y5+AA5</f>
        <v>59.12</v>
      </c>
      <c r="AC5" s="8">
        <f>IF(PoToMRVWOIpDUom!$V3=1,S5+AB5,S5)</f>
        <v>328.47</v>
      </c>
      <c r="AD5" s="31">
        <v>120</v>
      </c>
      <c r="AE5" s="31">
        <f>IF(PoToMRVWOIpDUom!$P$2=1,(S5/PoToMRVWOIpDUom!$S$7)*PoToMRVWOIpDUom!$E$18,AD5/PoToMRVWOIpDUom!$AD$7*PoToMRVWOIpDUom!$E$18)</f>
        <v>0</v>
      </c>
      <c r="AF5" s="31"/>
      <c r="AG5" s="31">
        <f>IF(PoToMRVWOIpDUom!$P$2=1,(S5/PoToMRVWOIpDUom!$S$7)*PoToMRVWOIpDUom!$E$20,AD5/PoToMRVWOIpDUom!$AD$7*PoToMRVWOIpDUom!$E$20)</f>
        <v>0</v>
      </c>
      <c r="AH5" s="31">
        <f>IF(PoToMRVWOIpDUom!$P$2=1,(S5/PoToMRVWOIpDUom!$S$7)*PoToMRVWOIpDUom!$E$21,AD5/PoToMRVWOIpDUom!$AD$7*PoToMRVWOIpDUom!$E$21)</f>
        <v>0</v>
      </c>
      <c r="AI5" s="31">
        <f>S5*PoToMRVWOIpDUom!$M$2</f>
        <v>328.47</v>
      </c>
      <c r="AJ5" s="31">
        <f>IF(PoToMRVWOIpDUom!$C$2=3,0,AG5+AH5)</f>
        <v>0</v>
      </c>
      <c r="AK5" s="31">
        <f>IF(PoToMRVWOIpDUom!$C$2=3,AE5+AG5+AH5,0)</f>
        <v>0</v>
      </c>
      <c r="AL5" s="34">
        <v>3</v>
      </c>
      <c r="AM5" s="31">
        <f>F5/AL5</f>
        <v>1.33333333333333</v>
      </c>
      <c r="AN5" s="31">
        <f>ROUND(AI5/AM5,5)</f>
        <v>246.3525</v>
      </c>
      <c r="AO5" s="31">
        <f>AJ5/AM5</f>
        <v>0</v>
      </c>
      <c r="AP5" s="31">
        <f>AK5/AM5</f>
        <v>0</v>
      </c>
      <c r="AQ5" s="31" t="s">
        <v>76</v>
      </c>
      <c r="AR5" s="31">
        <f>ROUND(AN5+AO5+AP5,5)</f>
        <v>246.3525</v>
      </c>
      <c r="AS5" s="38" t="s">
        <v>114</v>
      </c>
      <c r="AT5" s="39" t="s">
        <v>76</v>
      </c>
      <c r="AU5" t="s" s="0">
        <v>234</v>
      </c>
      <c r="AV5" t="s" s="0">
        <v>119</v>
      </c>
      <c r="AW5" s="39">
        <f>AM5</f>
        <v>1.33333333333333</v>
      </c>
      <c r="AX5" s="39">
        <f>AR5</f>
        <v>246.3525</v>
      </c>
      <c r="AY5" s="39">
        <f>AU5+AW5</f>
        <v>5.33233333333333</v>
      </c>
      <c r="AZ5" s="39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119</v>
      </c>
      <c r="BN5" t="s" s="0">
        <v>235</v>
      </c>
      <c r="BO5" s="39">
        <f>ROUND((((AW5*AZ5)+(BN5*BM5))/(AW5+BN5)),5)</f>
        <v>246.36</v>
      </c>
      <c r="BP5" s="48">
        <f>ROUND(BN5+AW5,3)</f>
        <v>3.999</v>
      </c>
      <c r="BQ5" s="49">
        <v>123562</v>
      </c>
    </row>
    <row r="6" ht="15.15" spans="1:69">
      <c r="A6" s="7">
        <v>1</v>
      </c>
      <c r="B6" s="7" t="s">
        <v>236</v>
      </c>
      <c r="C6" s="7" t="s">
        <v>236</v>
      </c>
      <c r="D6" s="7" t="s">
        <v>76</v>
      </c>
      <c r="E6" s="7" t="s">
        <v>95</v>
      </c>
      <c r="F6" s="8">
        <v>10</v>
      </c>
      <c r="G6" s="8">
        <v>50</v>
      </c>
      <c r="H6" s="8">
        <f>F6*G6</f>
        <v>500</v>
      </c>
      <c r="I6" s="8">
        <v>3</v>
      </c>
      <c r="J6" s="8">
        <v>7</v>
      </c>
      <c r="K6" s="8">
        <v>4</v>
      </c>
      <c r="L6" s="8">
        <f>H6</f>
        <v>500</v>
      </c>
      <c r="M6" s="8">
        <f>ROUND(L6*I6%,2)</f>
        <v>15</v>
      </c>
      <c r="N6" s="8">
        <f>H6-M6</f>
        <v>485</v>
      </c>
      <c r="O6" s="8">
        <f>ROUND(N6*J6%,2)</f>
        <v>33.95</v>
      </c>
      <c r="P6" s="8">
        <f>ROUND(N6-O6,2)</f>
        <v>451.05</v>
      </c>
      <c r="Q6" s="8">
        <f>ROUND(P6*K6%,2)</f>
        <v>18.04</v>
      </c>
      <c r="R6" s="8">
        <f>M6+O6+Q6</f>
        <v>66.99</v>
      </c>
      <c r="S6" s="8">
        <f>(H6-R6)</f>
        <v>433.01</v>
      </c>
      <c r="T6" s="8">
        <v>88363222</v>
      </c>
      <c r="U6" s="8">
        <v>18</v>
      </c>
      <c r="V6" s="8">
        <f>IF(OR(PoToMRVWOIpDUom!$C$2=1,PoToMRVWOIpDUom!$C$2=4),ROUND((((S6*U6)/100)/2),2),0)</f>
        <v>0</v>
      </c>
      <c r="W6" s="8">
        <f>IF(PoToMRVWOIpDUom!$C$2=1,ROUND((((S6*U6)/100)/2),2),0)</f>
        <v>0</v>
      </c>
      <c r="X6" s="8">
        <f>IF(PoToMRVWOIpDUom!$C$2=2,ROUND(((S6*U6)/100),2),0)</f>
        <v>77.94</v>
      </c>
      <c r="Y6" s="8">
        <f>IF(PoToMRVWOIpDUom!$C$2=4,ROUND((((S6*U6)/100)/2),2),0)</f>
        <v>0</v>
      </c>
      <c r="Z6" s="8">
        <v>0</v>
      </c>
      <c r="AA6" s="8">
        <f>IF(PoToMRVWOIpDUom!$C4=3,0,(S6*Z6)/100)</f>
        <v>0</v>
      </c>
      <c r="AB6" s="8">
        <f>V6+W6+X6+Y6+AA6</f>
        <v>77.94</v>
      </c>
      <c r="AC6" s="8">
        <f>IF(PoToMRVWOIpDUom!$V4=1,S6+AB6,S6)</f>
        <v>433.01</v>
      </c>
      <c r="AD6" s="31">
        <v>120</v>
      </c>
      <c r="AE6" s="31">
        <f>IF(PoToMRVWOIpDUom!$P$2=1,(S6/PoToMRVWOIpDUom!$S$7)*PoToMRVWOIpDUom!$E$18,AD6/PoToMRVWOIpDUom!$AD$7*PoToMRVWOIpDUom!$E$18)</f>
        <v>0</v>
      </c>
      <c r="AF6" s="31"/>
      <c r="AG6" s="31">
        <f>IF(PoToMRVWOIpDUom!$P$2=1,(S6/PoToMRVWOIpDUom!$S$7)*PoToMRVWOIpDUom!$E$20,AD6/PoToMRVWOIpDUom!$AD$7*PoToMRVWOIpDUom!$E$20)</f>
        <v>0</v>
      </c>
      <c r="AH6" s="31">
        <f>IF(PoToMRVWOIpDUom!$P$2=1,(S6/PoToMRVWOIpDUom!$S$7)*PoToMRVWOIpDUom!$E$21,AD6/PoToMRVWOIpDUom!$AD$7*PoToMRVWOIpDUom!$E$21)</f>
        <v>0</v>
      </c>
      <c r="AI6" s="31">
        <f>S6*PoToMRVWOIpDUom!$M$2</f>
        <v>433.01</v>
      </c>
      <c r="AJ6" s="31">
        <f>IF(PoToMRVWOIpDUom!$C$2=3,0,AG6+AH6)</f>
        <v>0</v>
      </c>
      <c r="AK6" s="31">
        <f>IF(PoToMRVWOIpDUom!$C$2=3,AE6+AG6+AH6,0)</f>
        <v>0</v>
      </c>
      <c r="AL6" s="34">
        <v>3</v>
      </c>
      <c r="AM6" s="31">
        <f>F6/AL6</f>
        <v>3.33333333333333</v>
      </c>
      <c r="AN6" s="31">
        <f>ROUND(AI6/AM6,5)</f>
        <v>129.903</v>
      </c>
      <c r="AO6" s="31">
        <f>AJ6/AM6</f>
        <v>0</v>
      </c>
      <c r="AP6" s="31">
        <f>AK6/AM6</f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 s="0">
        <v>237</v>
      </c>
      <c r="AV6" t="s" s="0">
        <v>238</v>
      </c>
      <c r="AW6" s="39">
        <f>AM6</f>
        <v>3.33333333333333</v>
      </c>
      <c r="AX6" s="39">
        <f>AR6</f>
        <v>129.903</v>
      </c>
      <c r="AY6" s="39">
        <f>AU6+AW6</f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238</v>
      </c>
      <c r="BN6" t="s" s="0">
        <v>239</v>
      </c>
      <c r="BO6" s="39">
        <f>ROUND((((AW6*AZ6)+(BN6*BM6))/(AW6+BN6)),5)</f>
        <v>129.9</v>
      </c>
      <c r="BP6" s="48">
        <f>ROUND(BN6+AW6,3)</f>
        <v>9.999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0">SUM(R4:R4)</f>
        <v>254.55</v>
      </c>
      <c r="S7" s="13">
        <f t="shared" si="0"/>
        <v>1245.45</v>
      </c>
      <c r="T7" s="26"/>
      <c r="U7" s="26"/>
      <c r="V7" s="27">
        <f t="shared" si="0"/>
        <v>0</v>
      </c>
      <c r="W7" s="27">
        <f t="shared" si="0"/>
        <v>0</v>
      </c>
      <c r="X7" s="27">
        <f t="shared" si="0"/>
        <v>224.18</v>
      </c>
      <c r="Y7" s="27"/>
      <c r="Z7" s="27"/>
      <c r="AA7" s="27"/>
      <c r="AB7" s="26">
        <f>SUM(AB4:AB4)</f>
        <v>224.18</v>
      </c>
      <c r="AC7" s="32">
        <f>SUM(AC4:AC4)</f>
        <v>1469.63</v>
      </c>
      <c r="AD7" s="33">
        <f>SUM(AD4:AD4)</f>
        <v>120</v>
      </c>
      <c r="AE7" s="33">
        <f>SUM(AE4:AE4)</f>
        <v>0</v>
      </c>
      <c r="AF7" s="32"/>
      <c r="AG7" s="33">
        <f t="shared" ref="AG7:AK7" si="1">SUM(AG4:AG4)</f>
        <v>0</v>
      </c>
      <c r="AH7" s="33">
        <f>IF($P$2=1,(S7/$S$7)*$E$21,AD7/$AD$7*$E$21)</f>
        <v>0</v>
      </c>
      <c r="AI7" s="33">
        <f t="shared" si="1"/>
        <v>1245.45</v>
      </c>
      <c r="AJ7" s="33">
        <f t="shared" si="1"/>
        <v>0</v>
      </c>
      <c r="AK7" s="33">
        <f t="shared" si="1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customWidth="true" width="28.0"/>
    <col min="3" max="3" customWidth="true" width="23.287037037037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240</v>
      </c>
      <c r="C4" s="7" t="s">
        <v>240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 s="0">
        <v>237</v>
      </c>
      <c r="AV4" t="s" s="0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115</v>
      </c>
      <c r="BN4" t="s" s="0">
        <v>232</v>
      </c>
      <c r="BO4" s="39">
        <f t="shared" ref="BO4:BO6" si="16">ROUND((((AW4*AZ4)+(BN4*BM4))/(AW4+BN4)),5)</f>
        <v>373.635</v>
      </c>
      <c r="BP4" s="48">
        <f t="shared" ref="BP4:BP6" si="17">ROUND(BN4+AW4,3)</f>
        <v>6.666</v>
      </c>
      <c r="BQ4" s="49">
        <v>123562</v>
      </c>
    </row>
    <row r="5" ht="15.15" spans="1:69">
      <c r="A5" s="7">
        <v>1</v>
      </c>
      <c r="B5" s="7" t="s">
        <v>241</v>
      </c>
      <c r="C5" s="7" t="s">
        <v>241</v>
      </c>
      <c r="D5" s="7" t="s">
        <v>76</v>
      </c>
      <c r="E5" s="7" t="s">
        <v>95</v>
      </c>
      <c r="F5" s="8">
        <v>10</v>
      </c>
      <c r="G5" s="8">
        <v>100</v>
      </c>
      <c r="H5" s="8">
        <f t="shared" si="0"/>
        <v>1000</v>
      </c>
      <c r="I5" s="8">
        <v>4</v>
      </c>
      <c r="J5" s="8">
        <v>9</v>
      </c>
      <c r="K5" s="8">
        <v>6</v>
      </c>
      <c r="L5" s="8">
        <f t="shared" si="1"/>
        <v>1000</v>
      </c>
      <c r="M5" s="8">
        <f t="shared" si="2"/>
        <v>40</v>
      </c>
      <c r="N5" s="8">
        <f t="shared" si="3"/>
        <v>960</v>
      </c>
      <c r="O5" s="8">
        <f t="shared" si="4"/>
        <v>86.4</v>
      </c>
      <c r="P5" s="8">
        <f t="shared" si="5"/>
        <v>873.6</v>
      </c>
      <c r="Q5" s="8">
        <f t="shared" si="6"/>
        <v>52.42</v>
      </c>
      <c r="R5" s="8">
        <f t="shared" si="7"/>
        <v>178.82</v>
      </c>
      <c r="S5" s="8">
        <f t="shared" si="8"/>
        <v>821.18</v>
      </c>
      <c r="T5" s="8">
        <v>88363222</v>
      </c>
      <c r="U5" s="8">
        <v>18</v>
      </c>
      <c r="V5" s="8">
        <f>IF(OR(PoToMRVWOIpDUomRc!$C$2=1,PoToMRVWOIpDUomRc!$C$2=4),ROUND((((S5*U5)/100)/2),2),0)</f>
        <v>0</v>
      </c>
      <c r="W5" s="8">
        <f>IF(PoToMRVWOIpDUomRc!$C$2=1,ROUND((((S5*U5)/100)/2),2),0)</f>
        <v>0</v>
      </c>
      <c r="X5" s="8">
        <f>IF(PoToMRVWOIpDUomRc!$C$2=2,ROUND(((S5*U5)/100),2),0)</f>
        <v>147.81</v>
      </c>
      <c r="Y5" s="8">
        <f>IF(PoToMRVWOIpDUomRc!$C$2=4,ROUND((((S5*U5)/100)/2),2),0)</f>
        <v>0</v>
      </c>
      <c r="Z5" s="8">
        <v>0</v>
      </c>
      <c r="AA5" s="8">
        <f>IF(PoToMRVWOIpDUomRc!$C3=3,0,(S5*Z5)/100)</f>
        <v>0</v>
      </c>
      <c r="AB5" s="8">
        <f t="shared" si="9"/>
        <v>147.81</v>
      </c>
      <c r="AC5" s="8">
        <f>IF(PoToMRVWOIpDUomRc!$V3=1,S5+AB5,S5)</f>
        <v>821.18</v>
      </c>
      <c r="AD5" s="31">
        <v>120</v>
      </c>
      <c r="AE5" s="31">
        <f>IF(PoToMRVWOIpDUomRc!$P$2=1,(S5/PoToMRVWOIpDUomRc!$S$7)*PoToMRVWOIpDUomRc!$E$18,AD5/PoToMRVWOIpDUomRc!$AD$7*PoToMRVWOIpDUomRc!$E$18)</f>
        <v>0</v>
      </c>
      <c r="AF5" s="31"/>
      <c r="AG5" s="31">
        <f>IF(PoToMRVWOIpDUomRc!$P$2=1,(S5/PoToMRVWOIpDUomRc!$S$7)*PoToMRVWOIpDUomRc!$E$20,AD5/PoToMRVWOIpDUomRc!$AD$7*PoToMRVWOIpDUomRc!$E$20)</f>
        <v>0</v>
      </c>
      <c r="AH5" s="31">
        <f>IF(PoToMRVWOIpDUomRc!$P$2=1,(S5/PoToMRVWOIpDUomRc!$S$7)*PoToMRVWOIpDUomRc!$E$21,AD5/PoToMRVWOIpDUomRc!$AD$7*PoToMRVWOIpDUomRc!$E$21)</f>
        <v>0</v>
      </c>
      <c r="AI5" s="31">
        <f>S5*PoToMRVWOIpDUomRc!$M$2</f>
        <v>821.18</v>
      </c>
      <c r="AJ5" s="31">
        <f>IF(PoToMRVWOIpDUomRc!$C$2=3,0,AG5+AH5)</f>
        <v>0</v>
      </c>
      <c r="AK5" s="31">
        <f>IF(PoToMRVWOIpDUomRc!$C$2=3,AE5+AG5+AH5,0)</f>
        <v>0</v>
      </c>
      <c r="AL5" s="34">
        <v>3</v>
      </c>
      <c r="AM5" s="31">
        <f t="shared" si="10"/>
        <v>3.33333333333333</v>
      </c>
      <c r="AN5" s="31">
        <f>ROUND(AI5/AM5,5)</f>
        <v>246.354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246.354</v>
      </c>
      <c r="AS5" s="38" t="s">
        <v>114</v>
      </c>
      <c r="AT5" s="39" t="s">
        <v>76</v>
      </c>
      <c r="AU5" s="0">
        <v>3.999</v>
      </c>
      <c r="AV5" s="0">
        <v>246.36</v>
      </c>
      <c r="AW5" s="39">
        <f t="shared" si="13"/>
        <v>3.33333333333333</v>
      </c>
      <c r="AX5" s="46">
        <f t="shared" si="14"/>
        <v>246.354</v>
      </c>
      <c r="AY5" s="39">
        <f t="shared" si="15"/>
        <v>7.33233333333333</v>
      </c>
      <c r="AZ5" s="46">
        <f>ROUND(((AU5*AV5)+(AW5*AX5))/(AU5+AW5),5)</f>
        <v>246.35727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119</v>
      </c>
      <c r="BN5" t="s" s="0">
        <v>242</v>
      </c>
      <c r="BO5" s="39">
        <f>ROUND((((AW5*AZ5)+(BN5*BM5))/(AW5+BN5)),2)</f>
        <v>246.36</v>
      </c>
      <c r="BP5" s="48">
        <f t="shared" si="17"/>
        <v>4.666</v>
      </c>
      <c r="BQ5" s="49">
        <v>123562</v>
      </c>
    </row>
    <row r="6" ht="15.15" spans="1:69">
      <c r="A6" s="7">
        <v>1</v>
      </c>
      <c r="B6" s="7" t="s">
        <v>243</v>
      </c>
      <c r="C6" s="7" t="s">
        <v>243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IF(OR(PoToMRVWOIpDUomRc!$C$2=1,PoToMRVWOIpDUomRc!$C$2=4),ROUND((((S6*U6)/100)/2),2),0)</f>
        <v>0</v>
      </c>
      <c r="W6" s="8">
        <f>IF(PoToMRVWOIpDUomRc!$C$2=1,ROUND((((S6*U6)/100)/2),2),0)</f>
        <v>0</v>
      </c>
      <c r="X6" s="8">
        <f>IF(PoToMRVWOIpDUomRc!$C$2=2,ROUND(((S6*U6)/100),2),0)</f>
        <v>77.94</v>
      </c>
      <c r="Y6" s="8">
        <f>IF(PoToMRVWOIpDUomRc!$C$2=4,ROUND((((S6*U6)/100)/2),2),0)</f>
        <v>0</v>
      </c>
      <c r="Z6" s="8">
        <v>0</v>
      </c>
      <c r="AA6" s="8">
        <f>IF(PoToMRVWOIpDUomRc!$C4=3,0,(S6*Z6)/100)</f>
        <v>0</v>
      </c>
      <c r="AB6" s="8">
        <f t="shared" si="9"/>
        <v>77.94</v>
      </c>
      <c r="AC6" s="8">
        <f>IF(PoToMRVWOIpDUomRc!$V4=1,S6+AB6,S6)</f>
        <v>433.01</v>
      </c>
      <c r="AD6" s="31">
        <v>120</v>
      </c>
      <c r="AE6" s="31">
        <f>IF(PoToMRVWOIpDUomRc!$P$2=1,(S6/PoToMRVWOIpDUomRc!$S$7)*PoToMRVWOIpDUomRc!$E$18,AD6/PoToMRVWOIpDUomRc!$AD$7*PoToMRVWOIpDUomRc!$E$18)</f>
        <v>0</v>
      </c>
      <c r="AF6" s="31"/>
      <c r="AG6" s="31">
        <f>IF(PoToMRVWOIpDUomRc!$P$2=1,(S6/PoToMRVWOIpDUomRc!$S$7)*PoToMRVWOIpDUomRc!$E$20,AD6/PoToMRVWOIpDUomRc!$AD$7*PoToMRVWOIpDUomRc!$E$20)</f>
        <v>0</v>
      </c>
      <c r="AH6" s="31">
        <f>IF(PoToMRVWOIpDUomRc!$P$2=1,(S6/PoToMRVWOIpDUomRc!$S$7)*PoToMRVWOIpDUomRc!$E$21,AD6/PoToMRVWOIpDUomRc!$AD$7*PoToMRVWOIpDUomRc!$E$21)</f>
        <v>0</v>
      </c>
      <c r="AI6" s="31">
        <f>S6*PoToMRVWOIpDUomRc!$M$2</f>
        <v>433.01</v>
      </c>
      <c r="AJ6" s="31">
        <f>IF(PoToMRVWOIpDUomRc!$C$2=3,0,AG6+AH6)</f>
        <v>0</v>
      </c>
      <c r="AK6" s="31">
        <f>IF(PoToMRVWOIpDUomRc!$C$2=3,AE6+AG6+AH6,0)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 s="0">
        <v>237</v>
      </c>
      <c r="AV6" t="s" s="0">
        <v>238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238</v>
      </c>
      <c r="BN6" t="s" s="0">
        <v>232</v>
      </c>
      <c r="BO6" s="39">
        <f t="shared" si="16"/>
        <v>129.9</v>
      </c>
      <c r="BP6" s="48">
        <f t="shared" si="17"/>
        <v>6.666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8">SUM(R4:R4)</f>
        <v>254.55</v>
      </c>
      <c r="S7" s="13">
        <f t="shared" si="18"/>
        <v>1245.45</v>
      </c>
      <c r="T7" s="26"/>
      <c r="U7" s="26"/>
      <c r="V7" s="27">
        <f t="shared" si="18"/>
        <v>0</v>
      </c>
      <c r="W7" s="27">
        <f t="shared" si="18"/>
        <v>0</v>
      </c>
      <c r="X7" s="27">
        <f t="shared" si="18"/>
        <v>224.18</v>
      </c>
      <c r="Y7" s="27"/>
      <c r="Z7" s="27"/>
      <c r="AA7" s="27"/>
      <c r="AB7" s="26">
        <f t="shared" ref="AB7:AE7" si="19">SUM(AB4:AB4)</f>
        <v>224.18</v>
      </c>
      <c r="AC7" s="32">
        <f t="shared" si="19"/>
        <v>1469.63</v>
      </c>
      <c r="AD7" s="33">
        <f t="shared" si="19"/>
        <v>120</v>
      </c>
      <c r="AE7" s="33">
        <f t="shared" si="19"/>
        <v>0</v>
      </c>
      <c r="AF7" s="32"/>
      <c r="AG7" s="33">
        <f t="shared" ref="AG7:AK7" si="20">SUM(AG4:AG4)</f>
        <v>0</v>
      </c>
      <c r="AH7" s="33">
        <f>IF($P$2=1,(S7/$S$7)*$E$21,AD7/$AD$7*$E$21)</f>
        <v>0</v>
      </c>
      <c r="AI7" s="33">
        <f t="shared" si="20"/>
        <v>1245.45</v>
      </c>
      <c r="AJ7" s="33">
        <f t="shared" si="20"/>
        <v>0</v>
      </c>
      <c r="AK7" s="33">
        <f t="shared" si="20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topLeftCell="C1" workbookViewId="0">
      <selection activeCell="C4" sqref="C4"/>
    </sheetView>
  </sheetViews>
  <sheetFormatPr defaultColWidth="8.85185185185185" defaultRowHeight="14.4"/>
  <cols>
    <col min="2" max="2" customWidth="true" width="28.0"/>
    <col min="3" max="3" customWidth="true" width="30.0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244</v>
      </c>
      <c r="C4" s="7" t="s">
        <v>244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 s="0">
        <v>85</v>
      </c>
      <c r="AV4" t="s" s="0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115</v>
      </c>
      <c r="BN4" t="s" s="0">
        <v>117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15" spans="1:69">
      <c r="A5" s="7">
        <v>1</v>
      </c>
      <c r="B5" s="7" t="s">
        <v>245</v>
      </c>
      <c r="C5" s="7" t="s">
        <v>245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IF(OR(PoToMRVWFPDUomRc!$C$2=1,PoToMRVWFPDUomRc!$C$2=4),ROUND((((S5*U5)/100)/2),2),0)</f>
        <v>0</v>
      </c>
      <c r="W5" s="8">
        <f>IF(PoToMRVWFPDUomRc!$C$2=1,ROUND((((S5*U5)/100)/2),2),0)</f>
        <v>0</v>
      </c>
      <c r="X5" s="8">
        <f>IF(PoToMRVWFPDUomRc!$C$2=2,ROUND(((S5*U5)/100),2),0)</f>
        <v>295.63</v>
      </c>
      <c r="Y5" s="8">
        <f>IF(PoToMRVWFPDUomRc!$C$2=4,ROUND((((S5*U5)/100)/2),2),0)</f>
        <v>0</v>
      </c>
      <c r="Z5" s="8">
        <v>0</v>
      </c>
      <c r="AA5" s="8">
        <f>IF(PoToMRVWFPDUomRc!$C3=3,0,(S5*Z5)/100)</f>
        <v>0</v>
      </c>
      <c r="AB5" s="8">
        <f t="shared" si="9"/>
        <v>295.63</v>
      </c>
      <c r="AC5" s="8">
        <f>IF(PoToMRVWFPDUomRc!$V3=1,S5+AB5,S5)</f>
        <v>1642.37</v>
      </c>
      <c r="AD5" s="31">
        <v>120</v>
      </c>
      <c r="AE5" s="31">
        <f>IF(PoToMRVWFPDUomRc!$P$2=1,(S5/PoToMRVWFPDUomRc!$S$7)*PoToMRVWFPDUomRc!$E$18,AD5/PoToMRVWFPDUomRc!$AD$7*PoToMRVWFPDUomRc!$E$18)</f>
        <v>0</v>
      </c>
      <c r="AF5" s="31"/>
      <c r="AG5" s="31">
        <f>IF(PoToMRVWFPDUomRc!$P$2=1,(S5/PoToMRVWFPDUomRc!$S$7)*PoToMRVWFPDUomRc!$E$20,AD5/PoToMRVWFPDUomRc!$AD$7*PoToMRVWFPDUomRc!$E$20)</f>
        <v>0</v>
      </c>
      <c r="AH5" s="31">
        <f>IF(PoToMRVWFPDUomRc!$P$2=1,(S5/PoToMRVWFPDUomRc!$S$7)*PoToMRVWFPDUomRc!$E$21,AD5/PoToMRVWFPDUomRc!$AD$7*PoToMRVWFPDUomRc!$E$21)</f>
        <v>0</v>
      </c>
      <c r="AI5" s="31">
        <f>S5*PoToMRVWFPDUomRc!$M$2</f>
        <v>1642.37</v>
      </c>
      <c r="AJ5" s="31">
        <f>IF(PoToMRVWFPDUomRc!$C$2=3,0,AG5+AH5)</f>
        <v>0</v>
      </c>
      <c r="AK5" s="31">
        <f>IF(PoToMRVWFPDUomRc!$C$2=3,AE5+AG5+AH5,0)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114</v>
      </c>
      <c r="AT5" s="39" t="s">
        <v>76</v>
      </c>
      <c r="AU5" t="s" s="0">
        <v>85</v>
      </c>
      <c r="AV5" t="s" s="0">
        <v>119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119</v>
      </c>
      <c r="BN5" t="s" s="0">
        <v>191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15" spans="1:69">
      <c r="A6" s="7">
        <v>1</v>
      </c>
      <c r="B6" s="7" t="s">
        <v>246</v>
      </c>
      <c r="C6" s="7" t="s">
        <v>246</v>
      </c>
      <c r="D6" s="7" t="s">
        <v>76</v>
      </c>
      <c r="E6" s="7" t="s">
        <v>95</v>
      </c>
      <c r="F6" s="8">
        <v>10</v>
      </c>
      <c r="G6" t="s" s="0">
        <v>175</v>
      </c>
      <c r="H6" s="8">
        <f t="shared" si="0"/>
        <v>500</v>
      </c>
      <c r="I6" t="s" s="0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IF(OR(PoToMRVWFPDUomRc!$C$2=1,PoToMRVWFPDUomRc!$C$2=4),ROUND((((S6*U6)/100)/2),2),0)</f>
        <v>0</v>
      </c>
      <c r="W6" s="8">
        <f>IF(PoToMRVWFPDUomRc!$C$2=1,ROUND((((S6*U6)/100)/2),2),0)</f>
        <v>0</v>
      </c>
      <c r="X6" s="8">
        <f>IF(PoToMRVWFPDUomRc!$C$2=2,ROUND(((S6*U6)/100),2),0)</f>
        <v>77.94</v>
      </c>
      <c r="Y6" s="8">
        <f>IF(PoToMRVWFPDUomRc!$C$2=4,ROUND((((S6*U6)/100)/2),2),0)</f>
        <v>0</v>
      </c>
      <c r="Z6" s="8">
        <v>0</v>
      </c>
      <c r="AA6" s="8">
        <f>IF(PoToMRVWFPDUomRc!$C4=3,0,(S6*Z6)/100)</f>
        <v>0</v>
      </c>
      <c r="AB6" s="8">
        <f t="shared" si="9"/>
        <v>77.94</v>
      </c>
      <c r="AC6" s="8">
        <f>IF(PoToMRVWFPDUomRc!$V4=1,S6+AB6,S6)</f>
        <v>433.01</v>
      </c>
      <c r="AD6" s="31">
        <v>120</v>
      </c>
      <c r="AE6" s="31">
        <f>IF(PoToMRVWFPDUomRc!$P$2=1,(S6/PoToMRVWFPDUomRc!$S$7)*PoToMRVWFPDUomRc!$E$18,AD6/PoToMRVWFPDUomRc!$AD$7*PoToMRVWFPDUomRc!$E$18)</f>
        <v>0</v>
      </c>
      <c r="AF6" s="31"/>
      <c r="AG6" s="31">
        <f>IF(PoToMRVWFPDUomRc!$P$2=1,(S6/PoToMRVWFPDUomRc!$S$7)*PoToMRVWFPDUomRc!$E$20,AD6/PoToMRVWFPDUomRc!$AD$7*PoToMRVWFPDUomRc!$E$20)</f>
        <v>0</v>
      </c>
      <c r="AH6" s="31">
        <f>IF(PoToMRVWFPDUomRc!$P$2=1,(S6/PoToMRVWFPDUomRc!$S$7)*PoToMRVWFPDUomRc!$E$21,AD6/PoToMRVWFPDUomRc!$AD$7*PoToMRVWFPDUomRc!$E$21)</f>
        <v>0</v>
      </c>
      <c r="AI6" s="31">
        <f>S6*PoToMRVWFPDUomRc!$M$2</f>
        <v>433.01</v>
      </c>
      <c r="AJ6" s="31">
        <f>IF(PoToMRVWFPDUomRc!$C$2=3,0,AG6+AH6)</f>
        <v>0</v>
      </c>
      <c r="AK6" s="31">
        <f>IF(PoToMRVWFPDUomRc!$C$2=3,AE6+AG6+AH6,0)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 s="0">
        <v>85</v>
      </c>
      <c r="AV6" t="s" s="0">
        <v>238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238</v>
      </c>
      <c r="BN6" t="s" s="0">
        <v>117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K12" sqref="K12"/>
    </sheetView>
  </sheetViews>
  <sheetFormatPr defaultColWidth="8.85185185185185" defaultRowHeight="14.4"/>
  <cols>
    <col min="2" max="2" customWidth="true" width="28.0"/>
    <col min="3" max="3" customWidth="true" width="30.0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2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244</v>
      </c>
      <c r="C4" s="7" t="s">
        <v>244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1245.45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 s="0">
        <v>85</v>
      </c>
      <c r="AV4" t="s" s="0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247</v>
      </c>
      <c r="BN4" t="s" s="0">
        <v>248</v>
      </c>
      <c r="BO4" s="39">
        <f>ROUND((((AW4*AZ4)+(BN4*BM4))/(AW4+BN4)),5)</f>
        <v>373.635</v>
      </c>
      <c r="BP4" s="48">
        <f t="shared" ref="BP4:BP6" si="16">ROUND(BN4+AW4,3)</f>
        <v>16.665</v>
      </c>
      <c r="BQ4" s="49">
        <v>123562</v>
      </c>
    </row>
    <row r="5" ht="15.15" spans="1:69">
      <c r="A5" s="7">
        <v>1</v>
      </c>
      <c r="B5" s="7" t="s">
        <v>245</v>
      </c>
      <c r="C5" s="7" t="s">
        <v>245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IF(OR(PoToMRVWoQDUomRc!$C$2=1,PoToMRVWoQDUomRc!$C$2=4),ROUND((((S5*U5)/100)/2),2),0)</f>
        <v>0</v>
      </c>
      <c r="W5" s="8">
        <f>IF(PoToMRVWoQDUomRc!$C$2=1,ROUND((((S5*U5)/100)/2),2),0)</f>
        <v>0</v>
      </c>
      <c r="X5" s="8">
        <f>IF(PoToMRVWoQDUomRc!$C$2=2,ROUND(((S5*U5)/100),2),0)</f>
        <v>295.63</v>
      </c>
      <c r="Y5" s="8">
        <f>IF(PoToMRVWoQDUomRc!$C$2=4,ROUND((((S5*U5)/100)/2),2),0)</f>
        <v>0</v>
      </c>
      <c r="Z5" s="8">
        <v>0</v>
      </c>
      <c r="AA5" s="8">
        <f>IF(PoToMRVWoQDUomRc!$C3=3,0,(S5*Z5)/100)</f>
        <v>0</v>
      </c>
      <c r="AB5" s="8">
        <f t="shared" si="9"/>
        <v>295.63</v>
      </c>
      <c r="AC5" s="8">
        <f>IF(PoToMRVWoQDUomRc!$V3=1,S5+AB5,S5)</f>
        <v>1642.37</v>
      </c>
      <c r="AD5" s="31">
        <v>120</v>
      </c>
      <c r="AE5" s="31">
        <f>IF(PoToMRVWoQDUomRc!$P$2=1,(S5/PoToMRVWoQDUomRc!$S$7)*PoToMRVWoQDUomRc!$E$18,AD5/PoToMRVWoQDUomRc!$AD$7*PoToMRVWoQDUomRc!$E$18)</f>
        <v>0</v>
      </c>
      <c r="AF5" s="31"/>
      <c r="AG5" s="31">
        <f>IF(PoToMRVWoQDUomRc!$P$2=1,(S5/PoToMRVWoQDUomRc!$S$7)*PoToMRVWoQDUomRc!$E$20,AD5/PoToMRVWoQDUomRc!$AD$7*PoToMRVWoQDUomRc!$E$20)</f>
        <v>0</v>
      </c>
      <c r="AH5" s="31">
        <f>IF(PoToMRVWoQDUomRc!$P$2=1,(S5/PoToMRVWoQDUomRc!$S$7)*PoToMRVWoQDUomRc!$E$21,AD5/PoToMRVWoQDUomRc!$AD$7*PoToMRVWoQDUomRc!$E$21)</f>
        <v>0</v>
      </c>
      <c r="AI5" s="31">
        <f>S5*PoToMRVWoQDUomRc!$M$2</f>
        <v>1642.37</v>
      </c>
      <c r="AJ5" s="31">
        <f>IF(PoToMRVWoQDUomRc!$C$2=3,0,AG5+AH5)</f>
        <v>0</v>
      </c>
      <c r="AK5" s="31">
        <f>IF(PoToMRVWoQDUomRc!$C$2=3,AE5+AG5+AH5,0)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114</v>
      </c>
      <c r="AT5" s="39" t="s">
        <v>76</v>
      </c>
      <c r="AU5" t="s" s="0">
        <v>85</v>
      </c>
      <c r="AV5" t="s" s="0">
        <v>119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119</v>
      </c>
      <c r="BN5" t="s" s="0">
        <v>249</v>
      </c>
      <c r="BO5" s="39">
        <f>ROUND((((AW5*AZ5)+(BN5*BM5))/(AW5+BN5)),2)</f>
        <v>246.36</v>
      </c>
      <c r="BP5" s="48">
        <f t="shared" si="16"/>
        <v>21.667</v>
      </c>
      <c r="BQ5" s="49">
        <v>123562</v>
      </c>
    </row>
    <row r="6" ht="15.15" spans="1:69">
      <c r="A6" s="7">
        <v>1</v>
      </c>
      <c r="B6" s="7" t="s">
        <v>246</v>
      </c>
      <c r="C6" s="7" t="s">
        <v>246</v>
      </c>
      <c r="D6" s="7" t="s">
        <v>76</v>
      </c>
      <c r="E6" s="7" t="s">
        <v>95</v>
      </c>
      <c r="F6" s="8">
        <v>10</v>
      </c>
      <c r="G6" t="s" s="0">
        <v>175</v>
      </c>
      <c r="H6" s="8">
        <f t="shared" si="0"/>
        <v>500</v>
      </c>
      <c r="I6" t="s" s="0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IF(OR(PoToMRVWoQDUomRc!$C$2=1,PoToMRVWoQDUomRc!$C$2=4),ROUND((((S6*U6)/100)/2),2),0)</f>
        <v>0</v>
      </c>
      <c r="W6" s="8">
        <f>IF(PoToMRVWoQDUomRc!$C$2=1,ROUND((((S6*U6)/100)/2),2),0)</f>
        <v>0</v>
      </c>
      <c r="X6" s="8">
        <f>IF(PoToMRVWoQDUomRc!$C$2=2,ROUND(((S6*U6)/100),2),0)</f>
        <v>77.94</v>
      </c>
      <c r="Y6" s="8">
        <f>IF(PoToMRVWoQDUomRc!$C$2=4,ROUND((((S6*U6)/100)/2),2),0)</f>
        <v>0</v>
      </c>
      <c r="Z6" s="8">
        <v>0</v>
      </c>
      <c r="AA6" s="8">
        <f>IF(PoToMRVWoQDUomRc!$C4=3,0,(S6*Z6)/100)</f>
        <v>0</v>
      </c>
      <c r="AB6" s="8">
        <f t="shared" si="9"/>
        <v>77.94</v>
      </c>
      <c r="AC6" s="8">
        <f>IF(PoToMRVWoQDUomRc!$V4=1,S6+AB6,S6)</f>
        <v>433.01</v>
      </c>
      <c r="AD6" s="31">
        <v>120</v>
      </c>
      <c r="AE6" s="31">
        <f>IF(PoToMRVWoQDUomRc!$P$2=1,(S6/PoToMRVWoQDUomRc!$S$7)*PoToMRVWoQDUomRc!$E$18,AD6/PoToMRVWoQDUomRc!$AD$7*PoToMRVWoQDUomRc!$E$18)</f>
        <v>0</v>
      </c>
      <c r="AF6" s="31"/>
      <c r="AG6" s="31">
        <f>IF(PoToMRVWoQDUomRc!$P$2=1,(S6/PoToMRVWoQDUomRc!$S$7)*PoToMRVWoQDUomRc!$E$20,AD6/PoToMRVWoQDUomRc!$AD$7*PoToMRVWoQDUomRc!$E$20)</f>
        <v>0</v>
      </c>
      <c r="AH6" s="31">
        <f>IF(PoToMRVWoQDUomRc!$P$2=1,(S6/PoToMRVWoQDUomRc!$S$7)*PoToMRVWoQDUomRc!$E$21,AD6/PoToMRVWoQDUomRc!$AD$7*PoToMRVWoQDUomRc!$E$21)</f>
        <v>0</v>
      </c>
      <c r="AI6" s="31">
        <f>S6*PoToMRVWoQDUomRc!$M$2</f>
        <v>433.01</v>
      </c>
      <c r="AJ6" s="31">
        <f>IF(PoToMRVWoQDUomRc!$C$2=3,0,AG6+AH6)</f>
        <v>0</v>
      </c>
      <c r="AK6" s="31">
        <f>IF(PoToMRVWoQDUomRc!$C$2=3,AE6+AG6+AH6,0)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 s="0">
        <v>85</v>
      </c>
      <c r="AV6" t="s" s="0">
        <v>238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238</v>
      </c>
      <c r="BN6" t="s" s="0">
        <v>250</v>
      </c>
      <c r="BO6" s="39">
        <f>ROUND((((AW6*AZ6)+(BN6*BM6))/(AW6+BN6)),5)</f>
        <v>129.9</v>
      </c>
      <c r="BP6" s="48">
        <f t="shared" si="16"/>
        <v>16.665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1245.45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customWidth="true" width="28.0"/>
    <col min="3" max="3" customWidth="true" width="30.0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251</v>
      </c>
      <c r="C4" s="7" t="s">
        <v>251</v>
      </c>
      <c r="D4" s="7" t="s">
        <v>76</v>
      </c>
      <c r="E4" s="7" t="s">
        <v>95</v>
      </c>
      <c r="F4" s="8">
        <v>10</v>
      </c>
      <c r="G4" t="s" s="0">
        <v>77</v>
      </c>
      <c r="H4" s="8">
        <f t="shared" ref="H4:H6" si="0">F4*G4</f>
        <v>1500</v>
      </c>
      <c r="I4" t="s" s="0">
        <v>78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 s="0">
        <v>85</v>
      </c>
      <c r="AV4" t="s" s="0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3.33333333333333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115</v>
      </c>
      <c r="BN4" t="s" s="0">
        <v>232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15" spans="1:69">
      <c r="A5" s="7">
        <v>1</v>
      </c>
      <c r="B5" s="7" t="s">
        <v>252</v>
      </c>
      <c r="C5" s="7" t="s">
        <v>252</v>
      </c>
      <c r="D5" s="7" t="s">
        <v>76</v>
      </c>
      <c r="E5" s="7" t="s">
        <v>95</v>
      </c>
      <c r="F5" s="8">
        <v>20</v>
      </c>
      <c r="G5" t="s" s="0">
        <v>87</v>
      </c>
      <c r="H5" s="8">
        <f t="shared" si="0"/>
        <v>2000</v>
      </c>
      <c r="I5" t="s" s="0">
        <v>88</v>
      </c>
      <c r="J5" s="8">
        <v>9</v>
      </c>
      <c r="K5" s="8">
        <v>6</v>
      </c>
      <c r="L5" s="8">
        <f t="shared" si="1"/>
        <v>2000</v>
      </c>
      <c r="M5" s="8">
        <f t="shared" si="2"/>
        <v>80</v>
      </c>
      <c r="N5" s="8">
        <f t="shared" si="3"/>
        <v>1920</v>
      </c>
      <c r="O5" s="8">
        <f t="shared" si="4"/>
        <v>172.8</v>
      </c>
      <c r="P5" s="8">
        <f t="shared" si="5"/>
        <v>1747.2</v>
      </c>
      <c r="Q5" s="8">
        <f t="shared" si="6"/>
        <v>104.83</v>
      </c>
      <c r="R5" s="8">
        <f t="shared" si="7"/>
        <v>357.63</v>
      </c>
      <c r="S5" s="8">
        <f t="shared" si="8"/>
        <v>1642.37</v>
      </c>
      <c r="T5" s="8">
        <v>88363222</v>
      </c>
      <c r="U5" s="8">
        <v>18</v>
      </c>
      <c r="V5" s="8">
        <f>IF(OR(PoToMRVWFPDUomPl!$C$2=1,PoToMRVWFPDUomPl!$C$2=4),ROUND((((S5*U5)/100)/2),2),0)</f>
        <v>0</v>
      </c>
      <c r="W5" s="8">
        <f>IF(PoToMRVWFPDUomPl!$C$2=1,ROUND((((S5*U5)/100)/2),2),0)</f>
        <v>0</v>
      </c>
      <c r="X5" s="8">
        <f>IF(PoToMRVWFPDUomPl!$C$2=2,ROUND(((S5*U5)/100),2),0)</f>
        <v>295.63</v>
      </c>
      <c r="Y5" s="8">
        <f>IF(PoToMRVWFPDUomPl!$C$2=4,ROUND((((S5*U5)/100)/2),2),0)</f>
        <v>0</v>
      </c>
      <c r="Z5" s="8">
        <v>0</v>
      </c>
      <c r="AA5" s="8">
        <f>IF(PoToMRVWFPDUomPl!$C3=3,0,(S5*Z5)/100)</f>
        <v>0</v>
      </c>
      <c r="AB5" s="8">
        <f t="shared" si="9"/>
        <v>295.63</v>
      </c>
      <c r="AC5" s="8">
        <f>IF(PoToMRVWFPDUomPl!$V3=1,S5+AB5,S5)</f>
        <v>1642.37</v>
      </c>
      <c r="AD5" s="31">
        <v>120</v>
      </c>
      <c r="AE5" s="31">
        <f>IF(PoToMRVWFPDUomPl!$P$2=1,(S5/PoToMRVWFPDUomPl!$S$7)*PoToMRVWFPDUomPl!$E$18,AD5/PoToMRVWFPDUomPl!$AD$7*PoToMRVWFPDUomPl!$E$18)</f>
        <v>0</v>
      </c>
      <c r="AF5" s="31"/>
      <c r="AG5" s="31">
        <f>IF(PoToMRVWFPDUomPl!$P$2=1,(S5/PoToMRVWFPDUomPl!$S$7)*PoToMRVWFPDUomPl!$E$20,AD5/PoToMRVWFPDUomPl!$AD$7*PoToMRVWFPDUomPl!$E$20)</f>
        <v>0</v>
      </c>
      <c r="AH5" s="31">
        <f>IF(PoToMRVWFPDUomPl!$P$2=1,(S5/PoToMRVWFPDUomPl!$S$7)*PoToMRVWFPDUomPl!$E$21,AD5/PoToMRVWFPDUomPl!$AD$7*PoToMRVWFPDUomPl!$E$21)</f>
        <v>0</v>
      </c>
      <c r="AI5" s="31">
        <f>S5*PoToMRVWFPDUomPl!$M$2</f>
        <v>1642.37</v>
      </c>
      <c r="AJ5" s="31">
        <f>IF(PoToMRVWFPDUomPl!$C$2=3,0,AG5+AH5)</f>
        <v>0</v>
      </c>
      <c r="AK5" s="31">
        <f>IF(PoToMRVWFPDUomPl!$C$2=3,AE5+AG5+AH5,0)</f>
        <v>0</v>
      </c>
      <c r="AL5" s="34">
        <v>3</v>
      </c>
      <c r="AM5" s="31">
        <f t="shared" si="10"/>
        <v>6.66666666666667</v>
      </c>
      <c r="AN5" s="31">
        <f>ROUND(AI5/AM5,5)</f>
        <v>246.3555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246.3555</v>
      </c>
      <c r="AS5" s="38" t="s">
        <v>114</v>
      </c>
      <c r="AT5" s="39" t="s">
        <v>76</v>
      </c>
      <c r="AU5" t="s" s="0">
        <v>85</v>
      </c>
      <c r="AV5" t="s" s="0">
        <v>119</v>
      </c>
      <c r="AW5" s="39">
        <f t="shared" si="13"/>
        <v>6.66666666666667</v>
      </c>
      <c r="AX5" s="46">
        <f t="shared" si="14"/>
        <v>246.3555</v>
      </c>
      <c r="AY5" s="39">
        <f t="shared" si="15"/>
        <v>6.66666666666667</v>
      </c>
      <c r="AZ5" s="50">
        <f>ROUND(((AU5*AV5)+(AW5*AX5))/(AU5+AW5),2)</f>
        <v>246.36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119</v>
      </c>
      <c r="BN5" t="s" s="0">
        <v>253</v>
      </c>
      <c r="BO5" s="39">
        <f>ROUND((((AW5*AZ5)+(BN5*BM5))/(AW5+BN5)),2)</f>
        <v>246.36</v>
      </c>
      <c r="BP5" s="48">
        <f t="shared" si="16"/>
        <v>13.334</v>
      </c>
      <c r="BQ5" s="49">
        <v>123562</v>
      </c>
    </row>
    <row r="6" ht="15.15" spans="1:69">
      <c r="A6" s="7">
        <v>1</v>
      </c>
      <c r="B6" s="7" t="s">
        <v>254</v>
      </c>
      <c r="C6" s="7" t="s">
        <v>254</v>
      </c>
      <c r="D6" s="7" t="s">
        <v>76</v>
      </c>
      <c r="E6" s="7" t="s">
        <v>95</v>
      </c>
      <c r="F6" s="8">
        <v>10</v>
      </c>
      <c r="G6" t="s" s="0">
        <v>175</v>
      </c>
      <c r="H6" s="8">
        <f t="shared" si="0"/>
        <v>500</v>
      </c>
      <c r="I6" t="s" s="0">
        <v>178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IF(OR(PoToMRVWFPDUomPl!$C$2=1,PoToMRVWFPDUomPl!$C$2=4),ROUND((((S6*U6)/100)/2),2),0)</f>
        <v>0</v>
      </c>
      <c r="W6" s="8">
        <f>IF(PoToMRVWFPDUomPl!$C$2=1,ROUND((((S6*U6)/100)/2),2),0)</f>
        <v>0</v>
      </c>
      <c r="X6" s="8">
        <f>IF(PoToMRVWFPDUomPl!$C$2=2,ROUND(((S6*U6)/100),2),0)</f>
        <v>77.94</v>
      </c>
      <c r="Y6" s="8">
        <f>IF(PoToMRVWFPDUomPl!$C$2=4,ROUND((((S6*U6)/100)/2),2),0)</f>
        <v>0</v>
      </c>
      <c r="Z6" s="8">
        <v>0</v>
      </c>
      <c r="AA6" s="8">
        <f>IF(PoToMRVWFPDUomPl!$C4=3,0,(S6*Z6)/100)</f>
        <v>0</v>
      </c>
      <c r="AB6" s="8">
        <f t="shared" si="9"/>
        <v>77.94</v>
      </c>
      <c r="AC6" s="8">
        <f>IF(PoToMRVWFPDUomPl!$V4=1,S6+AB6,S6)</f>
        <v>433.01</v>
      </c>
      <c r="AD6" s="31">
        <v>120</v>
      </c>
      <c r="AE6" s="31">
        <f>IF(PoToMRVWFPDUomPl!$P$2=1,(S6/PoToMRVWFPDUomPl!$S$7)*PoToMRVWFPDUomPl!$E$18,AD6/PoToMRVWFPDUomPl!$AD$7*PoToMRVWFPDUomPl!$E$18)</f>
        <v>0</v>
      </c>
      <c r="AF6" s="31"/>
      <c r="AG6" s="31">
        <f>IF(PoToMRVWFPDUomPl!$P$2=1,(S6/PoToMRVWFPDUomPl!$S$7)*PoToMRVWFPDUomPl!$E$20,AD6/PoToMRVWFPDUomPl!$AD$7*PoToMRVWFPDUomPl!$E$20)</f>
        <v>0</v>
      </c>
      <c r="AH6" s="31">
        <f>IF(PoToMRVWFPDUomPl!$P$2=1,(S6/PoToMRVWFPDUomPl!$S$7)*PoToMRVWFPDUomPl!$E$21,AD6/PoToMRVWFPDUomPl!$AD$7*PoToMRVWFPDUomPl!$E$21)</f>
        <v>0</v>
      </c>
      <c r="AI6" s="31">
        <f>S6*PoToMRVWFPDUomPl!$M$2</f>
        <v>433.01</v>
      </c>
      <c r="AJ6" s="31">
        <f>IF(PoToMRVWFPDUomPl!$C$2=3,0,AG6+AH6)</f>
        <v>0</v>
      </c>
      <c r="AK6" s="31">
        <f>IF(PoToMRVWFPDUomPl!$C$2=3,AE6+AG6+AH6,0)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 s="0">
        <v>85</v>
      </c>
      <c r="AV6" t="s" s="0">
        <v>238</v>
      </c>
      <c r="AW6" s="39">
        <f t="shared" si="13"/>
        <v>3.33333333333333</v>
      </c>
      <c r="AX6" s="39">
        <f t="shared" si="14"/>
        <v>129.903</v>
      </c>
      <c r="AY6" s="39">
        <f t="shared" si="15"/>
        <v>3.33333333333333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238</v>
      </c>
      <c r="BN6" t="s" s="0">
        <v>232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20"/>
  <sheetViews>
    <sheetView workbookViewId="0">
      <selection activeCell="AS9" sqref="AS9"/>
    </sheetView>
  </sheetViews>
  <sheetFormatPr defaultColWidth="8.85185185185185" defaultRowHeight="14.4"/>
  <cols>
    <col min="2" max="2" customWidth="true" width="28.0"/>
    <col min="3" max="3" customWidth="true" width="23.287037037037"/>
    <col min="52" max="52" customWidth="true" width="10.712962962963"/>
    <col min="64" max="64" customWidth="true" width="11.0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16"/>
      <c r="J1" s="16"/>
      <c r="K1" s="16"/>
      <c r="L1" s="16"/>
      <c r="M1" s="16"/>
      <c r="N1" s="16"/>
      <c r="O1" s="16"/>
      <c r="P1" s="16"/>
      <c r="Q1" s="16"/>
      <c r="R1" s="1"/>
      <c r="S1" s="1"/>
      <c r="T1" s="1"/>
      <c r="U1" s="1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40"/>
      <c r="BQ1" s="40"/>
    </row>
    <row r="2" ht="15.15" spans="1:69">
      <c r="A2" s="3" t="s">
        <v>1</v>
      </c>
      <c r="B2" s="3"/>
      <c r="C2" s="4">
        <v>2</v>
      </c>
      <c r="D2" s="5" t="s">
        <v>2</v>
      </c>
      <c r="E2" s="2"/>
      <c r="F2" s="2"/>
      <c r="G2" s="2"/>
      <c r="H2" s="1"/>
      <c r="I2" s="16" t="s">
        <v>3</v>
      </c>
      <c r="J2" s="16" t="s">
        <v>4</v>
      </c>
      <c r="K2" s="16"/>
      <c r="L2" s="16" t="s">
        <v>5</v>
      </c>
      <c r="M2" s="16">
        <v>1</v>
      </c>
      <c r="N2" s="16"/>
      <c r="O2" s="16" t="s">
        <v>6</v>
      </c>
      <c r="P2" s="16">
        <v>2</v>
      </c>
      <c r="Q2" s="16" t="s">
        <v>7</v>
      </c>
      <c r="R2" s="1"/>
      <c r="S2" s="1"/>
      <c r="T2" s="1"/>
      <c r="U2" s="1"/>
      <c r="V2" s="1">
        <v>1</v>
      </c>
      <c r="W2" s="1" t="s">
        <v>8</v>
      </c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40"/>
      <c r="BQ2" s="40"/>
    </row>
    <row r="3" ht="59.1" spans="1:69">
      <c r="A3" s="6" t="s">
        <v>9</v>
      </c>
      <c r="B3" s="6" t="s">
        <v>10</v>
      </c>
      <c r="C3" s="6" t="s">
        <v>11</v>
      </c>
      <c r="D3" s="6" t="s">
        <v>12</v>
      </c>
      <c r="E3" s="6" t="s">
        <v>13</v>
      </c>
      <c r="F3" s="6" t="s">
        <v>14</v>
      </c>
      <c r="G3" s="6" t="s">
        <v>15</v>
      </c>
      <c r="H3" s="6" t="s">
        <v>16</v>
      </c>
      <c r="I3" s="17" t="s">
        <v>17</v>
      </c>
      <c r="J3" s="17" t="s">
        <v>18</v>
      </c>
      <c r="K3" s="17" t="s">
        <v>19</v>
      </c>
      <c r="L3" s="18" t="s">
        <v>20</v>
      </c>
      <c r="M3" s="18" t="s">
        <v>21</v>
      </c>
      <c r="N3" s="18" t="s">
        <v>22</v>
      </c>
      <c r="O3" s="18" t="s">
        <v>23</v>
      </c>
      <c r="P3" s="18" t="s">
        <v>24</v>
      </c>
      <c r="Q3" s="18" t="s">
        <v>25</v>
      </c>
      <c r="R3" s="17" t="s">
        <v>26</v>
      </c>
      <c r="S3" s="6" t="s">
        <v>27</v>
      </c>
      <c r="T3" s="6" t="s">
        <v>28</v>
      </c>
      <c r="U3" s="25" t="s">
        <v>29</v>
      </c>
      <c r="V3" s="25" t="s">
        <v>30</v>
      </c>
      <c r="W3" s="25" t="s">
        <v>31</v>
      </c>
      <c r="X3" s="25" t="s">
        <v>32</v>
      </c>
      <c r="Y3" s="28" t="s">
        <v>33</v>
      </c>
      <c r="Z3" s="28" t="s">
        <v>34</v>
      </c>
      <c r="AA3" s="28" t="s">
        <v>35</v>
      </c>
      <c r="AB3" s="28" t="s">
        <v>36</v>
      </c>
      <c r="AC3" s="29" t="s">
        <v>37</v>
      </c>
      <c r="AD3" s="29" t="s">
        <v>38</v>
      </c>
      <c r="AE3" s="29" t="s">
        <v>39</v>
      </c>
      <c r="AF3" s="29" t="s">
        <v>40</v>
      </c>
      <c r="AG3" s="29" t="s">
        <v>41</v>
      </c>
      <c r="AH3" s="29" t="s">
        <v>42</v>
      </c>
      <c r="AI3" s="29" t="s">
        <v>43</v>
      </c>
      <c r="AJ3" s="29" t="s">
        <v>44</v>
      </c>
      <c r="AK3" s="29" t="s">
        <v>45</v>
      </c>
      <c r="AL3" s="29" t="s">
        <v>46</v>
      </c>
      <c r="AM3" s="29" t="s">
        <v>47</v>
      </c>
      <c r="AN3" s="29" t="s">
        <v>48</v>
      </c>
      <c r="AO3" s="29" t="s">
        <v>49</v>
      </c>
      <c r="AP3" s="29" t="s">
        <v>50</v>
      </c>
      <c r="AQ3" s="29" t="s">
        <v>51</v>
      </c>
      <c r="AR3" s="35" t="s">
        <v>52</v>
      </c>
      <c r="AS3" s="36" t="s">
        <v>53</v>
      </c>
      <c r="AT3" s="36" t="s">
        <v>51</v>
      </c>
      <c r="AU3" s="37" t="s">
        <v>54</v>
      </c>
      <c r="AV3" s="37" t="s">
        <v>55</v>
      </c>
      <c r="AW3" s="37" t="s">
        <v>56</v>
      </c>
      <c r="AX3" s="37" t="s">
        <v>57</v>
      </c>
      <c r="AY3" s="37" t="s">
        <v>58</v>
      </c>
      <c r="AZ3" s="37" t="s">
        <v>59</v>
      </c>
      <c r="BA3" s="37" t="s">
        <v>60</v>
      </c>
      <c r="BB3" s="37" t="s">
        <v>61</v>
      </c>
      <c r="BC3" s="41" t="s">
        <v>62</v>
      </c>
      <c r="BD3" s="41" t="s">
        <v>63</v>
      </c>
      <c r="BE3" s="41" t="s">
        <v>64</v>
      </c>
      <c r="BF3" s="37" t="s">
        <v>65</v>
      </c>
      <c r="BG3" s="37" t="s">
        <v>66</v>
      </c>
      <c r="BH3" s="37" t="s">
        <v>67</v>
      </c>
      <c r="BI3" s="37" t="s">
        <v>68</v>
      </c>
      <c r="BJ3" s="37" t="s">
        <v>69</v>
      </c>
      <c r="BK3" s="37" t="s">
        <v>70</v>
      </c>
      <c r="BL3" s="37" t="s">
        <v>71</v>
      </c>
      <c r="BM3" s="37" t="s">
        <v>72</v>
      </c>
      <c r="BN3" s="37" t="s">
        <v>73</v>
      </c>
      <c r="BO3" s="37" t="s">
        <v>59</v>
      </c>
      <c r="BP3" s="37" t="s">
        <v>74</v>
      </c>
      <c r="BQ3" s="37" t="s">
        <v>28</v>
      </c>
    </row>
    <row r="4" ht="15.15" spans="1:69">
      <c r="A4" s="7">
        <v>1</v>
      </c>
      <c r="B4" s="7" t="s">
        <v>255</v>
      </c>
      <c r="C4" s="7" t="s">
        <v>255</v>
      </c>
      <c r="D4" s="7" t="s">
        <v>76</v>
      </c>
      <c r="E4" s="7" t="s">
        <v>95</v>
      </c>
      <c r="F4" s="8">
        <v>10</v>
      </c>
      <c r="G4" s="8">
        <v>150</v>
      </c>
      <c r="H4" s="8">
        <f t="shared" ref="H4:H6" si="0">F4*G4</f>
        <v>1500</v>
      </c>
      <c r="I4" s="8">
        <v>5</v>
      </c>
      <c r="J4" s="8">
        <v>8</v>
      </c>
      <c r="K4" s="8">
        <v>5</v>
      </c>
      <c r="L4" s="8">
        <f t="shared" ref="L4:L6" si="1">H4</f>
        <v>1500</v>
      </c>
      <c r="M4" s="8">
        <f t="shared" ref="M4:M6" si="2">ROUND(L4*I4%,2)</f>
        <v>75</v>
      </c>
      <c r="N4" s="8">
        <f t="shared" ref="N4:N6" si="3">H4-M4</f>
        <v>1425</v>
      </c>
      <c r="O4" s="8">
        <f t="shared" ref="O4:O6" si="4">ROUND(N4*J4%,2)</f>
        <v>114</v>
      </c>
      <c r="P4" s="8">
        <f t="shared" ref="P4:P6" si="5">ROUND(N4-O4,2)</f>
        <v>1311</v>
      </c>
      <c r="Q4" s="8">
        <f t="shared" ref="Q4:Q6" si="6">ROUND(P4*K4%,2)</f>
        <v>65.55</v>
      </c>
      <c r="R4" s="8">
        <f t="shared" ref="R4:R6" si="7">M4+O4+Q4</f>
        <v>254.55</v>
      </c>
      <c r="S4" s="8">
        <f t="shared" ref="S4:S6" si="8">(H4-R4)</f>
        <v>1245.45</v>
      </c>
      <c r="T4" s="8">
        <v>88363222</v>
      </c>
      <c r="U4" s="8">
        <v>18</v>
      </c>
      <c r="V4" s="8">
        <f>IF(OR($C$2=1,$C$2=4),ROUND((((S4*U4)/100)/2),2),0)</f>
        <v>0</v>
      </c>
      <c r="W4" s="8">
        <f>IF($C$2=1,ROUND((((S4*U4)/100)/2),2),0)</f>
        <v>0</v>
      </c>
      <c r="X4" s="8">
        <f>IF($C$2=2,ROUND(((S4*U4)/100),2),0)</f>
        <v>224.18</v>
      </c>
      <c r="Y4" s="8">
        <f>IF($C$2=4,ROUND((((S4*U4)/100)/2),2),0)</f>
        <v>0</v>
      </c>
      <c r="Z4" s="8">
        <v>0</v>
      </c>
      <c r="AA4" s="8">
        <f>IF($C2=3,0,(S4*Z4)/100)</f>
        <v>0</v>
      </c>
      <c r="AB4" s="8">
        <f t="shared" ref="AB4:AB6" si="9">V4+W4+X4+Y4+AA4</f>
        <v>224.18</v>
      </c>
      <c r="AC4" s="30">
        <f>IF($V2=1,S4+AB4,S4)</f>
        <v>1469.63</v>
      </c>
      <c r="AD4" s="31">
        <v>120</v>
      </c>
      <c r="AE4" s="31">
        <f>IF($P$2=1,(S4/$S$7)*$E$18,AD4/$AD$7*$E$18)</f>
        <v>0</v>
      </c>
      <c r="AF4" s="31"/>
      <c r="AG4" s="31">
        <f>IF($P$2=1,(S4/$S$7)*$E$20,AD4/$AD$7*$E$20)</f>
        <v>0</v>
      </c>
      <c r="AH4" s="31">
        <f>IF($P$2=1,(S4/$S$7)*$E$21,AD4/$AD$7*$E$21)</f>
        <v>0</v>
      </c>
      <c r="AI4" s="31">
        <f>S4*$M$2</f>
        <v>1245.45</v>
      </c>
      <c r="AJ4" s="31">
        <f>IF($C$2=3,0,AG4+AH4)</f>
        <v>0</v>
      </c>
      <c r="AK4" s="31">
        <f>IF($C$2=3,AE4+AG4+AH4,0)</f>
        <v>0</v>
      </c>
      <c r="AL4" s="34">
        <v>3</v>
      </c>
      <c r="AM4" s="31">
        <f t="shared" ref="AM4:AM6" si="10">F4/AL4</f>
        <v>3.33333333333333</v>
      </c>
      <c r="AN4" s="34">
        <f>ROUND(AI4/AM4,3)</f>
        <v>373.635</v>
      </c>
      <c r="AO4" s="31">
        <f t="shared" ref="AO4:AO6" si="11">AJ4/AM4</f>
        <v>0</v>
      </c>
      <c r="AP4" s="31">
        <f t="shared" ref="AP4:AP6" si="12">AK4/AM4</f>
        <v>0</v>
      </c>
      <c r="AQ4" s="31" t="s">
        <v>76</v>
      </c>
      <c r="AR4" s="34">
        <f>ROUND(AN4+AO4+AP4,3)</f>
        <v>373.635</v>
      </c>
      <c r="AS4" s="38" t="s">
        <v>114</v>
      </c>
      <c r="AT4" s="39" t="s">
        <v>76</v>
      </c>
      <c r="AU4" t="s" s="0">
        <v>237</v>
      </c>
      <c r="AV4" t="s" s="0">
        <v>115</v>
      </c>
      <c r="AW4" s="39">
        <f t="shared" ref="AW4:AW6" si="13">AM4</f>
        <v>3.33333333333333</v>
      </c>
      <c r="AX4" s="42">
        <f t="shared" ref="AX4:AX6" si="14">AR4</f>
        <v>373.635</v>
      </c>
      <c r="AY4" s="39">
        <f t="shared" ref="AY4:AY6" si="15">AU4+AW4</f>
        <v>13.3323333333333</v>
      </c>
      <c r="AZ4" s="42">
        <f>ROUND(((AU4*AV4)+(AW4*AX4))/(AU4+AW4),5)</f>
        <v>373.635</v>
      </c>
      <c r="BA4" s="43"/>
      <c r="BB4" s="43" t="s">
        <v>80</v>
      </c>
      <c r="BC4" s="44" t="s">
        <v>81</v>
      </c>
      <c r="BD4" s="45" t="s">
        <v>82</v>
      </c>
      <c r="BE4" s="45" t="s">
        <v>83</v>
      </c>
      <c r="BF4" s="43"/>
      <c r="BG4" s="43"/>
      <c r="BH4" s="43"/>
      <c r="BI4" s="39"/>
      <c r="BJ4" s="39"/>
      <c r="BK4" s="39"/>
      <c r="BL4" s="47" t="s">
        <v>116</v>
      </c>
      <c r="BM4" t="s" s="0">
        <v>115</v>
      </c>
      <c r="BN4" t="s" s="0">
        <v>232</v>
      </c>
      <c r="BO4" s="39">
        <f>ROUND((((AW4*AZ4)+(BN4*BM4))/(AW4+BN4)),5)</f>
        <v>373.635</v>
      </c>
      <c r="BP4" s="48">
        <f t="shared" ref="BP4:BP6" si="16">ROUND(BN4+AW4,3)</f>
        <v>6.666</v>
      </c>
      <c r="BQ4" s="49">
        <v>123562</v>
      </c>
    </row>
    <row r="5" ht="15.15" spans="1:69">
      <c r="A5" s="7">
        <v>1</v>
      </c>
      <c r="B5" s="7" t="s">
        <v>256</v>
      </c>
      <c r="C5" s="7" t="s">
        <v>256</v>
      </c>
      <c r="D5" s="7" t="s">
        <v>76</v>
      </c>
      <c r="E5" s="7" t="s">
        <v>95</v>
      </c>
      <c r="F5" s="8">
        <v>15</v>
      </c>
      <c r="G5" s="8">
        <v>100</v>
      </c>
      <c r="H5" s="8">
        <f t="shared" si="0"/>
        <v>1500</v>
      </c>
      <c r="I5" s="8">
        <v>4</v>
      </c>
      <c r="J5" s="8">
        <v>9</v>
      </c>
      <c r="K5" s="8">
        <v>6</v>
      </c>
      <c r="L5" s="8">
        <f t="shared" si="1"/>
        <v>1500</v>
      </c>
      <c r="M5" s="8">
        <f t="shared" si="2"/>
        <v>60</v>
      </c>
      <c r="N5" s="8">
        <f t="shared" si="3"/>
        <v>1440</v>
      </c>
      <c r="O5" s="8">
        <f t="shared" si="4"/>
        <v>129.6</v>
      </c>
      <c r="P5" s="8">
        <f t="shared" si="5"/>
        <v>1310.4</v>
      </c>
      <c r="Q5" s="8">
        <f t="shared" si="6"/>
        <v>78.62</v>
      </c>
      <c r="R5" s="8">
        <f t="shared" si="7"/>
        <v>268.22</v>
      </c>
      <c r="S5" s="8">
        <f t="shared" si="8"/>
        <v>1231.78</v>
      </c>
      <c r="T5" s="8">
        <v>88363222</v>
      </c>
      <c r="U5" s="8">
        <v>18</v>
      </c>
      <c r="V5" s="8">
        <f>IF(OR(PoToMRVWOIpDUomPl!$C$2=1,PoToMRVWOIpDUomPl!$C$2=4),ROUND((((S5*U5)/100)/2),2),0)</f>
        <v>0</v>
      </c>
      <c r="W5" s="8">
        <f>IF(PoToMRVWOIpDUomPl!$C$2=1,ROUND((((S5*U5)/100)/2),2),0)</f>
        <v>0</v>
      </c>
      <c r="X5" s="8">
        <f>IF(PoToMRVWOIpDUomPl!$C$2=2,ROUND(((S5*U5)/100),2),0)</f>
        <v>221.72</v>
      </c>
      <c r="Y5" s="8">
        <f>IF(PoToMRVWOIpDUomPl!$C$2=4,ROUND((((S5*U5)/100)/2),2),0)</f>
        <v>0</v>
      </c>
      <c r="Z5" s="8">
        <v>0</v>
      </c>
      <c r="AA5" s="8">
        <f>IF(PoToMRVWOIpDUomPl!$C3=3,0,(S5*Z5)/100)</f>
        <v>0</v>
      </c>
      <c r="AB5" s="8">
        <f t="shared" si="9"/>
        <v>221.72</v>
      </c>
      <c r="AC5" s="8">
        <f>IF(PoToMRVWOIpDUomPl!$V3=1,S5+AB5,S5)</f>
        <v>1231.78</v>
      </c>
      <c r="AD5" s="31">
        <v>120</v>
      </c>
      <c r="AE5" s="31">
        <f>IF(PoToMRVWOIpDUomPl!$P$2=1,(S5/PoToMRVWOIpDUomPl!$S$7)*PoToMRVWOIpDUomPl!$E$18,AD5/PoToMRVWOIpDUomPl!$AD$7*PoToMRVWOIpDUomPl!$E$18)</f>
        <v>0</v>
      </c>
      <c r="AF5" s="31"/>
      <c r="AG5" s="31">
        <f>IF(PoToMRVWOIpDUomPl!$P$2=1,(S5/PoToMRVWOIpDUomPl!$S$7)*PoToMRVWOIpDUomPl!$E$20,AD5/PoToMRVWOIpDUomPl!$AD$7*PoToMRVWOIpDUomPl!$E$20)</f>
        <v>0</v>
      </c>
      <c r="AH5" s="31">
        <f>IF(PoToMRVWOIpDUomPl!$P$2=1,(S5/PoToMRVWOIpDUomPl!$S$7)*PoToMRVWOIpDUomPl!$E$21,AD5/PoToMRVWOIpDUomPl!$AD$7*PoToMRVWOIpDUomPl!$E$21)</f>
        <v>0</v>
      </c>
      <c r="AI5" s="31">
        <f>S5*PoToMRVWOIpDUomPl!$M$2</f>
        <v>1231.78</v>
      </c>
      <c r="AJ5" s="31">
        <f>IF(PoToMRVWOIpDUomPl!$C$2=3,0,AG5+AH5)</f>
        <v>0</v>
      </c>
      <c r="AK5" s="31">
        <f>IF(PoToMRVWOIpDUomPl!$C$2=3,AE5+AG5+AH5,0)</f>
        <v>0</v>
      </c>
      <c r="AL5" s="34">
        <v>3</v>
      </c>
      <c r="AM5" s="31">
        <f t="shared" si="10"/>
        <v>5</v>
      </c>
      <c r="AN5" s="31">
        <f>ROUND(AI5/AM5,5)</f>
        <v>246.356</v>
      </c>
      <c r="AO5" s="31">
        <f t="shared" si="11"/>
        <v>0</v>
      </c>
      <c r="AP5" s="31">
        <f t="shared" si="12"/>
        <v>0</v>
      </c>
      <c r="AQ5" s="31" t="s">
        <v>76</v>
      </c>
      <c r="AR5" s="31">
        <f>ROUND(AN5+AO5+AP5,5)</f>
        <v>246.356</v>
      </c>
      <c r="AS5" s="38" t="s">
        <v>114</v>
      </c>
      <c r="AT5" s="39" t="s">
        <v>76</v>
      </c>
      <c r="AU5" s="0">
        <v>3.999</v>
      </c>
      <c r="AV5" s="0">
        <v>246.36</v>
      </c>
      <c r="AW5" s="39">
        <f t="shared" si="13"/>
        <v>5</v>
      </c>
      <c r="AX5" s="46">
        <f t="shared" si="14"/>
        <v>246.356</v>
      </c>
      <c r="AY5" s="39">
        <f t="shared" si="15"/>
        <v>8.999</v>
      </c>
      <c r="AZ5" s="46">
        <f>ROUND(((AU5*AV5)+(AW5*AX5))/(AU5+AW5),5)</f>
        <v>246.35778</v>
      </c>
      <c r="BA5" s="43"/>
      <c r="BB5" s="43" t="s">
        <v>80</v>
      </c>
      <c r="BC5" s="44" t="s">
        <v>81</v>
      </c>
      <c r="BD5" s="45" t="s">
        <v>82</v>
      </c>
      <c r="BE5" s="45" t="s">
        <v>83</v>
      </c>
      <c r="BF5" s="43"/>
      <c r="BG5" s="43"/>
      <c r="BH5" s="43"/>
      <c r="BI5" s="39"/>
      <c r="BJ5" s="39"/>
      <c r="BK5" s="39"/>
      <c r="BL5" s="47" t="s">
        <v>116</v>
      </c>
      <c r="BM5" t="s" s="0">
        <v>119</v>
      </c>
      <c r="BN5" t="s" s="0">
        <v>242</v>
      </c>
      <c r="BO5" s="39">
        <f>ROUND((((AW5*AZ5)+(BN5*BM5))/(AW5+BN5)),2)</f>
        <v>246.36</v>
      </c>
      <c r="BP5" s="48">
        <f t="shared" si="16"/>
        <v>6.333</v>
      </c>
      <c r="BQ5" s="49">
        <v>123562</v>
      </c>
    </row>
    <row r="6" ht="15.15" spans="1:69">
      <c r="A6" s="7">
        <v>1</v>
      </c>
      <c r="B6" s="7" t="s">
        <v>257</v>
      </c>
      <c r="C6" s="7" t="s">
        <v>257</v>
      </c>
      <c r="D6" s="7" t="s">
        <v>76</v>
      </c>
      <c r="E6" s="7" t="s">
        <v>95</v>
      </c>
      <c r="F6" s="8">
        <v>10</v>
      </c>
      <c r="G6" s="8">
        <v>50</v>
      </c>
      <c r="H6" s="8">
        <f t="shared" si="0"/>
        <v>500</v>
      </c>
      <c r="I6" s="8">
        <v>3</v>
      </c>
      <c r="J6" s="8">
        <v>7</v>
      </c>
      <c r="K6" s="8">
        <v>4</v>
      </c>
      <c r="L6" s="8">
        <f t="shared" si="1"/>
        <v>500</v>
      </c>
      <c r="M6" s="8">
        <f t="shared" si="2"/>
        <v>15</v>
      </c>
      <c r="N6" s="8">
        <f t="shared" si="3"/>
        <v>485</v>
      </c>
      <c r="O6" s="8">
        <f t="shared" si="4"/>
        <v>33.95</v>
      </c>
      <c r="P6" s="8">
        <f t="shared" si="5"/>
        <v>451.05</v>
      </c>
      <c r="Q6" s="8">
        <f t="shared" si="6"/>
        <v>18.04</v>
      </c>
      <c r="R6" s="8">
        <f t="shared" si="7"/>
        <v>66.99</v>
      </c>
      <c r="S6" s="8">
        <f t="shared" si="8"/>
        <v>433.01</v>
      </c>
      <c r="T6" s="8">
        <v>88363222</v>
      </c>
      <c r="U6" s="8">
        <v>18</v>
      </c>
      <c r="V6" s="8">
        <f>IF(OR(PoToMRVWOIpDUomPl!$C$2=1,PoToMRVWOIpDUomPl!$C$2=4),ROUND((((S6*U6)/100)/2),2),0)</f>
        <v>0</v>
      </c>
      <c r="W6" s="8">
        <f>IF(PoToMRVWOIpDUomPl!$C$2=1,ROUND((((S6*U6)/100)/2),2),0)</f>
        <v>0</v>
      </c>
      <c r="X6" s="8">
        <f>IF(PoToMRVWOIpDUomPl!$C$2=2,ROUND(((S6*U6)/100),2),0)</f>
        <v>77.94</v>
      </c>
      <c r="Y6" s="8">
        <f>IF(PoToMRVWOIpDUomPl!$C$2=4,ROUND((((S6*U6)/100)/2),2),0)</f>
        <v>0</v>
      </c>
      <c r="Z6" s="8">
        <v>0</v>
      </c>
      <c r="AA6" s="8">
        <f>IF(PoToMRVWOIpDUomPl!$C4=3,0,(S6*Z6)/100)</f>
        <v>0</v>
      </c>
      <c r="AB6" s="8">
        <f t="shared" si="9"/>
        <v>77.94</v>
      </c>
      <c r="AC6" s="8">
        <f>IF(PoToMRVWOIpDUomPl!$V4=1,S6+AB6,S6)</f>
        <v>433.01</v>
      </c>
      <c r="AD6" s="31">
        <v>120</v>
      </c>
      <c r="AE6" s="31">
        <f>IF(PoToMRVWOIpDUomPl!$P$2=1,(S6/PoToMRVWOIpDUomPl!$S$7)*PoToMRVWOIpDUomPl!$E$18,AD6/PoToMRVWOIpDUomPl!$AD$7*PoToMRVWOIpDUomPl!$E$18)</f>
        <v>0</v>
      </c>
      <c r="AF6" s="31"/>
      <c r="AG6" s="31">
        <f>IF(PoToMRVWOIpDUomPl!$P$2=1,(S6/PoToMRVWOIpDUomPl!$S$7)*PoToMRVWOIpDUomPl!$E$20,AD6/PoToMRVWOIpDUomPl!$AD$7*PoToMRVWOIpDUomPl!$E$20)</f>
        <v>0</v>
      </c>
      <c r="AH6" s="31">
        <f>IF(PoToMRVWOIpDUomPl!$P$2=1,(S6/PoToMRVWOIpDUomPl!$S$7)*PoToMRVWOIpDUomPl!$E$21,AD6/PoToMRVWOIpDUomPl!$AD$7*PoToMRVWOIpDUomPl!$E$21)</f>
        <v>0</v>
      </c>
      <c r="AI6" s="31">
        <f>S6*PoToMRVWOIpDUomPl!$M$2</f>
        <v>433.01</v>
      </c>
      <c r="AJ6" s="31">
        <f>IF(PoToMRVWOIpDUomPl!$C$2=3,0,AG6+AH6)</f>
        <v>0</v>
      </c>
      <c r="AK6" s="31">
        <f>IF(PoToMRVWOIpDUomPl!$C$2=3,AE6+AG6+AH6,0)</f>
        <v>0</v>
      </c>
      <c r="AL6" s="34">
        <v>3</v>
      </c>
      <c r="AM6" s="31">
        <f t="shared" si="10"/>
        <v>3.33333333333333</v>
      </c>
      <c r="AN6" s="31">
        <f>ROUND(AI6/AM6,5)</f>
        <v>129.903</v>
      </c>
      <c r="AO6" s="31">
        <f t="shared" si="11"/>
        <v>0</v>
      </c>
      <c r="AP6" s="31">
        <f t="shared" si="12"/>
        <v>0</v>
      </c>
      <c r="AQ6" s="31" t="s">
        <v>76</v>
      </c>
      <c r="AR6" s="31">
        <f>ROUND(AN6+AO6+AP6,5)</f>
        <v>129.903</v>
      </c>
      <c r="AS6" s="38" t="s">
        <v>114</v>
      </c>
      <c r="AT6" s="39" t="s">
        <v>76</v>
      </c>
      <c r="AU6" t="s" s="0">
        <v>237</v>
      </c>
      <c r="AV6" t="s" s="0">
        <v>238</v>
      </c>
      <c r="AW6" s="39">
        <f t="shared" si="13"/>
        <v>3.33333333333333</v>
      </c>
      <c r="AX6" s="39">
        <f t="shared" si="14"/>
        <v>129.903</v>
      </c>
      <c r="AY6" s="39">
        <f t="shared" si="15"/>
        <v>13.3323333333333</v>
      </c>
      <c r="AZ6" s="39">
        <f>ROUND(((AU6*AV6)+(AW6*AX6))/(AU6+AW6),2)</f>
        <v>129.9</v>
      </c>
      <c r="BA6" s="43"/>
      <c r="BB6" s="43" t="s">
        <v>80</v>
      </c>
      <c r="BC6" s="44" t="s">
        <v>81</v>
      </c>
      <c r="BD6" s="45" t="s">
        <v>82</v>
      </c>
      <c r="BE6" s="45" t="s">
        <v>83</v>
      </c>
      <c r="BF6" s="43"/>
      <c r="BG6" s="43"/>
      <c r="BH6" s="43"/>
      <c r="BI6" s="39"/>
      <c r="BJ6" s="39"/>
      <c r="BK6" s="39"/>
      <c r="BL6" s="47" t="s">
        <v>116</v>
      </c>
      <c r="BM6" t="s" s="0">
        <v>238</v>
      </c>
      <c r="BN6" t="s" s="0">
        <v>232</v>
      </c>
      <c r="BO6" s="39">
        <f>ROUND((((AW6*AZ6)+(BN6*BM6))/(AW6+BN6)),5)</f>
        <v>129.9</v>
      </c>
      <c r="BP6" s="48">
        <f t="shared" si="16"/>
        <v>6.666</v>
      </c>
      <c r="BQ6" s="49">
        <v>123562</v>
      </c>
    </row>
    <row r="7" ht="15.15" spans="1:69">
      <c r="A7" s="9"/>
      <c r="B7" s="10"/>
      <c r="C7" s="10"/>
      <c r="D7" s="11" t="s">
        <v>89</v>
      </c>
      <c r="E7" s="11"/>
      <c r="F7" s="11"/>
      <c r="G7" s="12"/>
      <c r="H7" s="13">
        <f>SUM(H4:H4)</f>
        <v>1500</v>
      </c>
      <c r="I7" s="7"/>
      <c r="J7" s="7"/>
      <c r="K7" s="7"/>
      <c r="L7" s="7"/>
      <c r="M7" s="7"/>
      <c r="N7" s="7"/>
      <c r="O7" s="7"/>
      <c r="P7" s="7"/>
      <c r="Q7" s="7"/>
      <c r="R7" s="26">
        <f t="shared" ref="R7:X7" si="17">SUM(R4:R4)</f>
        <v>254.55</v>
      </c>
      <c r="S7" s="13">
        <f t="shared" si="17"/>
        <v>1245.45</v>
      </c>
      <c r="T7" s="26"/>
      <c r="U7" s="26"/>
      <c r="V7" s="27">
        <f t="shared" si="17"/>
        <v>0</v>
      </c>
      <c r="W7" s="27">
        <f t="shared" si="17"/>
        <v>0</v>
      </c>
      <c r="X7" s="27">
        <f t="shared" si="17"/>
        <v>224.18</v>
      </c>
      <c r="Y7" s="27"/>
      <c r="Z7" s="27"/>
      <c r="AA7" s="27"/>
      <c r="AB7" s="26">
        <f t="shared" ref="AB7:AE7" si="18">SUM(AB4:AB4)</f>
        <v>224.18</v>
      </c>
      <c r="AC7" s="32">
        <f t="shared" si="18"/>
        <v>1469.63</v>
      </c>
      <c r="AD7" s="33">
        <f t="shared" si="18"/>
        <v>120</v>
      </c>
      <c r="AE7" s="33">
        <f t="shared" si="18"/>
        <v>0</v>
      </c>
      <c r="AF7" s="32"/>
      <c r="AG7" s="33">
        <f t="shared" ref="AG7:AK7" si="19">SUM(AG4:AG4)</f>
        <v>0</v>
      </c>
      <c r="AH7" s="33">
        <f>IF($P$2=1,(S7/$S$7)*$E$21,AD7/$AD$7*$E$21)</f>
        <v>0</v>
      </c>
      <c r="AI7" s="33">
        <f t="shared" si="19"/>
        <v>1245.45</v>
      </c>
      <c r="AJ7" s="33">
        <f t="shared" si="19"/>
        <v>0</v>
      </c>
      <c r="AK7" s="33">
        <f t="shared" si="19"/>
        <v>0</v>
      </c>
      <c r="AL7" s="32"/>
      <c r="AM7" s="32"/>
      <c r="AN7" s="32"/>
      <c r="AO7" s="32"/>
      <c r="AP7" s="32"/>
      <c r="AQ7" s="32"/>
      <c r="AR7" s="32"/>
      <c r="AS7" s="9"/>
      <c r="AT7" s="9"/>
      <c r="AU7" s="40"/>
      <c r="AV7" s="40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40"/>
      <c r="BQ7" s="40"/>
    </row>
    <row r="8" ht="15.15" spans="1:69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40"/>
      <c r="BQ8" s="40"/>
    </row>
    <row r="9" ht="15.15" spans="1:69">
      <c r="A9" s="9"/>
      <c r="B9" s="9"/>
      <c r="C9" s="9"/>
      <c r="D9" s="9"/>
      <c r="E9" s="9"/>
      <c r="F9" s="9"/>
      <c r="G9" s="14" t="s">
        <v>90</v>
      </c>
      <c r="H9" s="15"/>
      <c r="I9" s="19">
        <f>H7</f>
        <v>1500</v>
      </c>
      <c r="J9" s="19"/>
      <c r="K9" s="9"/>
      <c r="L9" s="9"/>
      <c r="M9" s="20" t="s">
        <v>91</v>
      </c>
      <c r="N9" s="21"/>
      <c r="O9" s="21"/>
      <c r="P9" s="22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 t="s">
        <v>92</v>
      </c>
      <c r="BI9" s="119" t="s">
        <v>93</v>
      </c>
      <c r="BJ9" s="9"/>
      <c r="BK9" s="9"/>
      <c r="BL9" s="9"/>
      <c r="BM9" s="9"/>
      <c r="BN9" s="9"/>
      <c r="BO9" s="9"/>
      <c r="BP9" s="40"/>
      <c r="BQ9" s="40"/>
    </row>
    <row r="10" ht="15.15" spans="1:69">
      <c r="A10" s="9"/>
      <c r="B10" s="9"/>
      <c r="C10" s="9"/>
      <c r="D10" s="9"/>
      <c r="E10" s="9"/>
      <c r="F10" s="9"/>
      <c r="G10" s="14" t="s">
        <v>94</v>
      </c>
      <c r="H10" s="15"/>
      <c r="I10" s="19">
        <f>R7</f>
        <v>254.55</v>
      </c>
      <c r="J10" s="19"/>
      <c r="K10" s="9"/>
      <c r="L10" s="9"/>
      <c r="M10" s="23">
        <v>1</v>
      </c>
      <c r="N10" s="23" t="s">
        <v>76</v>
      </c>
      <c r="O10" s="23">
        <v>2</v>
      </c>
      <c r="P10" s="23" t="s">
        <v>95</v>
      </c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 t="s">
        <v>96</v>
      </c>
      <c r="BI10" s="119" t="s">
        <v>97</v>
      </c>
      <c r="BJ10" s="9"/>
      <c r="BK10" s="9"/>
      <c r="BL10" s="9"/>
      <c r="BM10" s="9"/>
      <c r="BN10" s="9"/>
      <c r="BO10" s="9"/>
      <c r="BP10" s="40"/>
      <c r="BQ10" s="40"/>
    </row>
    <row r="11" ht="15.15" spans="1:69">
      <c r="A11" s="9"/>
      <c r="B11" s="9"/>
      <c r="C11" s="9"/>
      <c r="D11" s="9"/>
      <c r="E11" s="9"/>
      <c r="F11" s="9"/>
      <c r="G11" s="14" t="s">
        <v>98</v>
      </c>
      <c r="H11" s="15"/>
      <c r="I11" s="19">
        <f>S7</f>
        <v>1245.45</v>
      </c>
      <c r="J11" s="19"/>
      <c r="K11" s="9"/>
      <c r="L11" s="9"/>
      <c r="M11" s="7">
        <v>1</v>
      </c>
      <c r="N11" s="7" t="s">
        <v>76</v>
      </c>
      <c r="O11" s="7">
        <v>2.5</v>
      </c>
      <c r="P11" s="7" t="s">
        <v>99</v>
      </c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40"/>
      <c r="BQ11" s="40"/>
    </row>
    <row r="12" ht="15.15" spans="1:69">
      <c r="A12" s="9"/>
      <c r="B12" s="9"/>
      <c r="C12" s="9"/>
      <c r="D12" s="9"/>
      <c r="E12" s="9"/>
      <c r="F12" s="9"/>
      <c r="G12" s="14" t="s">
        <v>100</v>
      </c>
      <c r="H12" s="15"/>
      <c r="I12" s="19">
        <f>AB7</f>
        <v>224.18</v>
      </c>
      <c r="J12" s="19"/>
      <c r="K12" s="9"/>
      <c r="L12" s="9"/>
      <c r="M12" s="7">
        <v>1</v>
      </c>
      <c r="N12" s="7" t="s">
        <v>95</v>
      </c>
      <c r="O12" s="7">
        <v>0.001</v>
      </c>
      <c r="P12" s="7" t="s">
        <v>101</v>
      </c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40"/>
      <c r="BQ12" s="40"/>
    </row>
    <row r="13" ht="15.15" spans="1:69">
      <c r="A13" s="9"/>
      <c r="B13" s="9"/>
      <c r="C13" s="9"/>
      <c r="D13" s="9"/>
      <c r="E13" s="9"/>
      <c r="F13" s="9"/>
      <c r="G13" s="14" t="s">
        <v>102</v>
      </c>
      <c r="H13" s="15"/>
      <c r="I13" s="24">
        <f>I11+I12</f>
        <v>1469.63</v>
      </c>
      <c r="J13" s="24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40"/>
      <c r="BQ13" s="40"/>
    </row>
    <row r="14" spans="1:69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 t="s">
        <v>103</v>
      </c>
      <c r="BN14" s="9" t="s">
        <v>104</v>
      </c>
      <c r="BO14" s="9"/>
      <c r="BP14" s="40"/>
      <c r="BQ14" s="40"/>
    </row>
    <row r="15" spans="1:69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 t="s">
        <v>105</v>
      </c>
      <c r="BL15" s="9">
        <v>12.5</v>
      </c>
      <c r="BM15" s="9">
        <f>BL17*BL18</f>
        <v>18277.77</v>
      </c>
      <c r="BN15" s="9">
        <f>BL15*BL16</f>
        <v>6092.59</v>
      </c>
      <c r="BO15" s="9"/>
      <c r="BP15" s="40"/>
      <c r="BQ15" s="40"/>
    </row>
    <row r="16" spans="1:69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 t="s">
        <v>106</v>
      </c>
      <c r="BL16" s="9">
        <v>487.4072</v>
      </c>
      <c r="BM16" s="9">
        <f>BL15+BL17</f>
        <v>50</v>
      </c>
      <c r="BN16" s="9"/>
      <c r="BO16" s="9"/>
      <c r="BP16" s="40"/>
      <c r="BQ16" s="40"/>
    </row>
    <row r="17" spans="1:69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 t="s">
        <v>107</v>
      </c>
      <c r="BL17" s="9">
        <v>37.5</v>
      </c>
      <c r="BM17" s="9"/>
      <c r="BN17" s="9"/>
      <c r="BO17" s="9"/>
      <c r="BP17" s="40"/>
      <c r="BQ17" s="40"/>
    </row>
    <row r="18" spans="1:69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 t="s">
        <v>108</v>
      </c>
      <c r="BL18" s="9">
        <v>487.4072</v>
      </c>
      <c r="BM18" s="9"/>
      <c r="BN18" s="9"/>
      <c r="BO18" s="9"/>
      <c r="BP18" s="40"/>
      <c r="BQ18" s="40"/>
    </row>
    <row r="19" spans="1:69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>
        <f>BM15+BN15</f>
        <v>24370.36</v>
      </c>
      <c r="BN19" s="9">
        <f>BM19/BM16</f>
        <v>487.4072</v>
      </c>
      <c r="BO19" s="9"/>
      <c r="BP19" s="40"/>
      <c r="BQ19" s="40"/>
    </row>
    <row r="20" spans="1:69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40"/>
      <c r="BQ20" s="40"/>
    </row>
  </sheetData>
  <mergeCells count="12">
    <mergeCell ref="A2:B2"/>
    <mergeCell ref="G9:H9"/>
    <mergeCell ref="I9:J9"/>
    <mergeCell ref="M9:P9"/>
    <mergeCell ref="G10:H10"/>
    <mergeCell ref="I10:J10"/>
    <mergeCell ref="G11:H11"/>
    <mergeCell ref="I11:J11"/>
    <mergeCell ref="G12:H12"/>
    <mergeCell ref="I12:J12"/>
    <mergeCell ref="G13:H13"/>
    <mergeCell ref="I13:J13"/>
  </mergeCells>
  <hyperlinks>
    <hyperlink ref="AS4" r:id="rId1" display="INS WH-1" tooltip="https://webappqc.roadmaperp.com:8765/ords/r/rmqc27/scm-us9011/warehouse1?p367019101_rowid=AAATkUAAHAADnkPAAX&amp;p367019101_store_id=INS WH-1&amp;session=1523407412914"/>
    <hyperlink ref="AS5" r:id="rId1" display="INS WH-1" tooltip="https://webappqc.roadmaperp.com:8765/ords/r/rmqc27/scm-us9011/warehouse1?p367019101_rowid=AAATkUAAHAADnkPAAX&amp;p367019101_store_id=INS WH-1&amp;session=1523407412914"/>
    <hyperlink ref="AS6" r:id="rId1" display="INS WH-1" tooltip="https://webappqc.roadmaperp.com:8765/ords/r/rmqc27/scm-us9011/warehouse1?p367019101_rowid=AAATkUAAHAADnkPAAX&amp;p367019101_store_id=INS WH-1&amp;session=1523407412914"/>
  </hyperlinks>
  <pageMargins left="0.75" right="0.75" top="1" bottom="1" header="0.5" footer="0.5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34</vt:i4>
      </vt:variant>
    </vt:vector>
  </HeadingPairs>
  <TitlesOfParts>
    <vt:vector size="34" baseType="lpstr">
      <vt:lpstr>StPoToMRVWFPl</vt:lpstr>
      <vt:lpstr>StPoToMRVWFRc</vt:lpstr>
      <vt:lpstr>StPoToMRVWF</vt:lpstr>
      <vt:lpstr>PoToMRVWFDUom</vt:lpstr>
      <vt:lpstr>PoToMRVWoQDUom</vt:lpstr>
      <vt:lpstr>PoToGrnUdSWoIpUom</vt:lpstr>
      <vt:lpstr>PoToMRVWOIpSer</vt:lpstr>
      <vt:lpstr>PoToMRVWOIp</vt:lpstr>
      <vt:lpstr>PoToMRVWoQSUom</vt:lpstr>
      <vt:lpstr>PoToMRVWFSUom</vt:lpstr>
      <vt:lpstr>PoToMRVWFSUomserv</vt:lpstr>
      <vt:lpstr>PoToMRVWoQSUomRC</vt:lpstr>
      <vt:lpstr>PoToMRVWFSUomRC</vt:lpstr>
      <vt:lpstr>PoToMRVWFSUomPl</vt:lpstr>
      <vt:lpstr>PoToMRVWoQUomPl</vt:lpstr>
      <vt:lpstr>PoToMRVWFSUomservRc</vt:lpstr>
      <vt:lpstr>PoToMRVWoQSUomservRc</vt:lpstr>
      <vt:lpstr>PoToMRVWFSUomservPl</vt:lpstr>
      <vt:lpstr>PoToMRVWoQSUomservPl</vt:lpstr>
      <vt:lpstr>PoToMRVWOIpRc</vt:lpstr>
      <vt:lpstr>StPoToMRVWOIpDU</vt:lpstr>
      <vt:lpstr>StPoToMRVWOIpPl</vt:lpstr>
      <vt:lpstr>StPoToMRVWOIpRc</vt:lpstr>
      <vt:lpstr>StPoToMRVWOIp</vt:lpstr>
      <vt:lpstr>PoToMRVWOIpRcServ</vt:lpstr>
      <vt:lpstr>PoToMRVWOIpPl</vt:lpstr>
      <vt:lpstr>PoToMRVWOIpPlServ</vt:lpstr>
      <vt:lpstr>DifferentUOMUD</vt:lpstr>
      <vt:lpstr>PoToMRVWOIpDUom</vt:lpstr>
      <vt:lpstr>PoToMRVWOIpDUomRc</vt:lpstr>
      <vt:lpstr>PoToMRVWFPDUomRc</vt:lpstr>
      <vt:lpstr>PoToMRVWoQDUomRc</vt:lpstr>
      <vt:lpstr>PoToMRVWFPDUomPl</vt:lpstr>
      <vt:lpstr>PoToMRVWOIpDUomPl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2025-10-30T08:14:00Z</dcterms:created>
  <dc:creator>Galaxy</dc:creator>
  <cp:lastModifiedBy>Galaxy</cp:lastModifiedBy>
  <dcterms:modified xsi:type="dcterms:W3CDTF">2025-12-22T13:12:35Z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FEE8BF966D104914809F8EEF0568325F_11</vt:lpwstr>
  </property>
  <property fmtid="{D5CDD505-2E9C-101B-9397-08002B2CF9AE}" pid="3" name="KSOProductBuildVer">
    <vt:lpwstr>1033-12.2.0.23155</vt:lpwstr>
  </property>
</Properties>
</file>