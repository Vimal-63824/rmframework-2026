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 tabRatio="703" activeTab="1"/>
  </bookViews>
  <sheets>
    <sheet name="StPoToMRVWFPl" sheetId="32" r:id="rId1"/>
    <sheet name="StPoToMRVWFDURc" sheetId="64" r:id="rId2"/>
    <sheet name="StPoToMRVWFRc" sheetId="31" r:id="rId3"/>
    <sheet name="StPoToMRVWF" sheetId="30" r:id="rId4"/>
    <sheet name="PoToMRVWFDUom" sheetId="29" r:id="rId5"/>
    <sheet name="PoToMRVWoQDUom" sheetId="39" r:id="rId6"/>
    <sheet name="PoToMRVWoQDUomImp" sheetId="53" r:id="rId7"/>
    <sheet name="PoToGrnUdSWoIpUom" sheetId="1" r:id="rId8"/>
    <sheet name="PoToMRVWOIpSer" sheetId="3" r:id="rId9"/>
    <sheet name="PoToMRVWOIpSerImp" sheetId="59" r:id="rId10"/>
    <sheet name="PoToMRVWOIpImp" sheetId="42" r:id="rId11"/>
    <sheet name="PoToMRVWOIp" sheetId="2" r:id="rId12"/>
    <sheet name="PoToMRVWoQSUomSSO" sheetId="33" r:id="rId13"/>
    <sheet name="PoToMRVWFSUom" sheetId="14" r:id="rId14"/>
    <sheet name="PoToMRVWFSUomserv" sheetId="16" r:id="rId15"/>
    <sheet name="PoToMRVWFSUomservImp" sheetId="56" r:id="rId16"/>
    <sheet name="PoToMRVWoQSUomRC" sheetId="34" r:id="rId17"/>
    <sheet name="PoToMRVWoQSUomRCImp" sheetId="51" r:id="rId18"/>
    <sheet name="PoToMRVWFSUomRC" sheetId="18" r:id="rId19"/>
    <sheet name="PoToMRVWFSUomPl" sheetId="19" r:id="rId20"/>
    <sheet name="PoToMRVWoQUomPl" sheetId="36" r:id="rId21"/>
    <sheet name="PoToMRVWoQUomPlImp" sheetId="52" r:id="rId22"/>
    <sheet name="PoToMRVWFSUomservRc" sheetId="17" r:id="rId23"/>
    <sheet name="PoToMRVWoQSUomservRc" sheetId="35" r:id="rId24"/>
    <sheet name="PoToMRVWoQSUomservRcImp" sheetId="57" r:id="rId25"/>
    <sheet name="PoToMRVWFSUomservPl" sheetId="20" r:id="rId26"/>
    <sheet name="PoToMRVWoQSUomservPl" sheetId="37" r:id="rId27"/>
    <sheet name="PoToMRVWoQSUomservPlImp" sheetId="58" r:id="rId28"/>
    <sheet name="PoToMRVWOIpRc" sheetId="4" r:id="rId29"/>
    <sheet name="PoToMRVWOIpRcImp" sheetId="43" r:id="rId30"/>
    <sheet name="StPoToMRVWOIpDU" sheetId="28" r:id="rId31"/>
    <sheet name="StPoToMRVWOIpDURc" sheetId="62" r:id="rId32"/>
    <sheet name="StPoToMRVWOIpDUPl" sheetId="63" r:id="rId33"/>
    <sheet name="StPoToMRVWOIpPl" sheetId="27" r:id="rId34"/>
    <sheet name="StPoToMRVWOIpRc" sheetId="26" r:id="rId35"/>
    <sheet name="StPoToMRVWOIp" sheetId="24" r:id="rId36"/>
    <sheet name="PoToMRVWOIpRcServ" sheetId="5" r:id="rId37"/>
    <sheet name="PoToMRVWOIpRcServImp" sheetId="60" r:id="rId38"/>
    <sheet name="PoToMRVWOIpPl" sheetId="6" r:id="rId39"/>
    <sheet name="PoToMRVWOIpPlImp" sheetId="44" r:id="rId40"/>
    <sheet name="PoToMRVWOIpPlServ" sheetId="7" r:id="rId41"/>
    <sheet name="PoToMRVWOIpPlServImp" sheetId="61" r:id="rId42"/>
    <sheet name="DifferentUOMUD" sheetId="8" r:id="rId43"/>
    <sheet name="PoToMRVWOIpDUom" sheetId="9" r:id="rId44"/>
    <sheet name="PoToMRVWoQSUom" sheetId="49" r:id="rId45"/>
    <sheet name="PoToMRVWoQSUomImp" sheetId="50" r:id="rId46"/>
    <sheet name="PoToMRVWOIpDUomImp" sheetId="45" r:id="rId47"/>
    <sheet name="PoToMRVWOIpDUomRc" sheetId="10" r:id="rId48"/>
    <sheet name="PoToMRVWOIpDUomRcImp" sheetId="46" r:id="rId49"/>
    <sheet name="PoToMRVWFPDUomRc" sheetId="21" r:id="rId50"/>
    <sheet name="PoToMRVWoQDUomRc" sheetId="38" r:id="rId51"/>
    <sheet name="PoToMRVWoQDUomRcImp" sheetId="54" r:id="rId52"/>
    <sheet name="PoToMRVWFPDUomPl" sheetId="22" r:id="rId53"/>
    <sheet name="PoToMRVWoQDUomPl" sheetId="40" r:id="rId54"/>
    <sheet name="PoToMRVWoQDUomPlImp" sheetId="55" r:id="rId55"/>
    <sheet name="PoToMRVWOIpDUomPl" sheetId="11" r:id="rId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<sst xmlns="http://schemas.openxmlformats.org/spreadsheetml/2006/main" count="8197" uniqueCount="379">
  <si>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</si>
  <si>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</si>
  <si>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</si>
  <si>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</si>
  <si>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</si>
  <si>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</si>
  <si>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</si>
  <si>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</si>
  <si>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</si>
  <si>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No.</t>
  </si>
  <si>
    <t>Item</t>
  </si>
  <si>
    <t>Item Desc</t>
  </si>
  <si>
    <t>Stk. UOM</t>
  </si>
  <si>
    <t>Pur. UOM</t>
  </si>
  <si>
    <t>Qty</t>
  </si>
  <si>
    <t>Unit Cost</t>
  </si>
  <si>
    <t>Gross Amt.</t>
  </si>
  <si>
    <t>TD%</t>
  </si>
  <si>
    <t>CD%</t>
  </si>
  <si>
    <t>SD%</t>
  </si>
  <si>
    <t>TD Asbl. Val.</t>
  </si>
  <si>
    <t>TD Amt.</t>
  </si>
  <si>
    <t>CD Asbl. Val.</t>
  </si>
  <si>
    <t>CD Amt.</t>
  </si>
  <si>
    <t>VD Asbl. Val.</t>
  </si>
  <si>
    <t>SD Amt.</t>
  </si>
  <si>
    <t>Disc. Amt.</t>
  </si>
  <si>
    <t>Pur. Value</t>
  </si>
  <si>
    <t>HSN</t>
  </si>
  <si>
    <t>Tax%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</si>
  <si>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</si>
  <si>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</si>
  <si>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</si>
  <si>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</si>
  <si>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</si>
  <si>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</si>
  <si>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</si>
  <si>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</si>
  <si>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</si>
  <si>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</si>
  <si>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</si>
  <si>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</si>
  <si>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</si>
  <si>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</si>
  <si>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</si>
  <si>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</si>
  <si>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</si>
  <si>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</si>
  <si>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</si>
  <si>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</si>
  <si>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</si>
  <si>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</si>
  <si>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(Stk.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</si>
  <si>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</si>
  <si>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</si>
  <si>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</si>
  <si>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</si>
  <si>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</si>
  <si>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</si>
  <si>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</si>
  <si>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</si>
  <si>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</si>
  <si>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</si>
  <si>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</si>
  <si>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</si>
  <si>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</si>
  <si>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</si>
  <si>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</si>
  <si>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</si>
  <si>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</si>
  <si>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</si>
  <si>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</si>
  <si>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</si>
  <si>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</si>
  <si>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</si>
  <si>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GWL_Similar_Wf_Pl_St_01</t>
  </si>
  <si>
    <t>NOS</t>
  </si>
  <si>
    <t>150</t>
  </si>
  <si>
    <t>5</t>
  </si>
  <si>
    <t>IN WH-7</t>
  </si>
  <si>
    <t>Receipt Qty &amp; Unit cost</t>
  </si>
  <si>
    <t>LOT</t>
  </si>
  <si>
    <t>RM</t>
  </si>
  <si>
    <t>RMS</t>
  </si>
  <si>
    <t>RM WH-7</t>
  </si>
  <si>
    <t>0</t>
  </si>
  <si>
    <t>GWL_Similar_Wf_Pl_St_02</t>
  </si>
  <si>
    <t>100</t>
  </si>
  <si>
    <t>4</t>
  </si>
  <si>
    <t>Total</t>
  </si>
  <si>
    <t>Gross Purchase</t>
  </si>
  <si>
    <t>Conv factor</t>
  </si>
  <si>
    <t>ACPT</t>
  </si>
  <si>
    <t>Acpt Qty. * Insp. Unit Cost + OLD. Qty in GRN WH * OLD Unitcost in GRN WH / Acpt. Qty + OLD. Qty in GRN WH</t>
  </si>
  <si>
    <t>Disc amt</t>
  </si>
  <si>
    <t>KGS</t>
  </si>
  <si>
    <t>REJ</t>
  </si>
  <si>
    <t>Rej Qty. * Insp. Unit Cost + OLD. Qty in REJ WH * OLD Unitcost in REJ WH / Acpt. Qty + OLD. Qty in REJ WH</t>
  </si>
  <si>
    <t>Net Purchase</t>
  </si>
  <si>
    <t>MTR</t>
  </si>
  <si>
    <t>Tax Amt</t>
  </si>
  <si>
    <t>MT</t>
  </si>
  <si>
    <t>Gross Amont</t>
  </si>
  <si>
    <t>old</t>
  </si>
  <si>
    <t>new</t>
  </si>
  <si>
    <t>acpt Qty</t>
  </si>
  <si>
    <t>Inspection Unit Cost</t>
  </si>
  <si>
    <t>old Qty</t>
  </si>
  <si>
    <t>old UnitCost</t>
  </si>
  <si>
    <t>GWL_Item_St_Fc_DU_Rc_01</t>
  </si>
  <si>
    <t>GWL_Item_St_Fc_DU_Rc_02</t>
  </si>
  <si>
    <t>GWL_Similar_Wf_Rc_St_01</t>
  </si>
  <si>
    <t>142.5</t>
  </si>
  <si>
    <t>GWL_Similar_Wf_Rc_St_02</t>
  </si>
  <si>
    <t>96</t>
  </si>
  <si>
    <t>GWL_Similar_Wf_St_01</t>
  </si>
  <si>
    <t>47.5</t>
  </si>
  <si>
    <t>GWL_Similar_Wf_St_02</t>
  </si>
  <si>
    <t>94</t>
  </si>
  <si>
    <t>GWL_Dissimilar_01</t>
  </si>
  <si>
    <t>INS WH-1</t>
  </si>
  <si>
    <t>373.635</t>
  </si>
  <si>
    <t>RM WH-49</t>
  </si>
  <si>
    <t>13.332</t>
  </si>
  <si>
    <t>GWL_Dissimilar_02</t>
  </si>
  <si>
    <t>246.36</t>
  </si>
  <si>
    <t>12.666</t>
  </si>
  <si>
    <t>13816.57773</t>
  </si>
  <si>
    <t>33.334</t>
  </si>
  <si>
    <t>26</t>
  </si>
  <si>
    <t>31758.975</t>
  </si>
  <si>
    <t>9759.23775</t>
  </si>
  <si>
    <t>151.664</t>
  </si>
  <si>
    <t>20940.6</t>
  </si>
  <si>
    <t>916.08073</t>
  </si>
  <si>
    <t>206.009</t>
  </si>
  <si>
    <t>S. No.</t>
  </si>
  <si>
    <t>Item Desc.</t>
  </si>
  <si>
    <t>Order Qty (Pur UOM)</t>
  </si>
  <si>
    <t>SD Asbl. Val.</t>
  </si>
  <si>
    <t>Pur. Val.</t>
  </si>
  <si>
    <t>Tax Rate</t>
  </si>
  <si>
    <t>Unit Cost (Stock UOM)</t>
  </si>
  <si>
    <t>GWL_Item_Similar_04</t>
  </si>
  <si>
    <t>GWL_Item_Similar_04_Desc</t>
  </si>
  <si>
    <t>INS KD</t>
  </si>
  <si>
    <t>14090</t>
  </si>
  <si>
    <t>121.22038</t>
  </si>
  <si>
    <t>RM KD</t>
  </si>
  <si>
    <t>146.85967</t>
  </si>
  <si>
    <t>691</t>
  </si>
  <si>
    <t>GWL_Item_Similar_02</t>
  </si>
  <si>
    <t>32</t>
  </si>
  <si>
    <t>82.12</t>
  </si>
  <si>
    <t>86.37714</t>
  </si>
  <si>
    <t>21</t>
  </si>
  <si>
    <t>GWL_Item_Similar_05</t>
  </si>
  <si>
    <t>GWL_Item_Similar_05_Desc</t>
  </si>
  <si>
    <t>120</t>
  </si>
  <si>
    <t>43.3</t>
  </si>
  <si>
    <t>RM WH-49-4</t>
  </si>
  <si>
    <t>GWL_ITem_service_03</t>
  </si>
  <si>
    <t>110</t>
  </si>
  <si>
    <t>124.545</t>
  </si>
  <si>
    <t>GWL_Item_service_04</t>
  </si>
  <si>
    <t>36</t>
  </si>
  <si>
    <t>83.94449</t>
  </si>
  <si>
    <t>49</t>
  </si>
  <si>
    <t>GWL_Item_service_05</t>
  </si>
  <si>
    <t>220</t>
  </si>
  <si>
    <t>10</t>
  </si>
  <si>
    <t>422</t>
  </si>
  <si>
    <t>3924.60049</t>
  </si>
  <si>
    <t>290</t>
  </si>
  <si>
    <t>GWL_Item_Similar_2</t>
  </si>
  <si>
    <t>208</t>
  </si>
  <si>
    <t>2188.81384</t>
  </si>
  <si>
    <t>92</t>
  </si>
  <si>
    <t>540</t>
  </si>
  <si>
    <t>1247.68149</t>
  </si>
  <si>
    <t>230</t>
  </si>
  <si>
    <t>170</t>
  </si>
  <si>
    <t>4359.075</t>
  </si>
  <si>
    <t>104</t>
  </si>
  <si>
    <t>1907.71076</t>
  </si>
  <si>
    <t>260</t>
  </si>
  <si>
    <t>1005.89231</t>
  </si>
  <si>
    <t>ROAU-SIM-496675</t>
  </si>
  <si>
    <t>GWL_Item_WoQ_UD_Similar_01</t>
  </si>
  <si>
    <t>3175.15653</t>
  </si>
  <si>
    <t>465</t>
  </si>
  <si>
    <t>GWL_Item_WoQ_UD_Similar_02</t>
  </si>
  <si>
    <t>132</t>
  </si>
  <si>
    <t>GWL_Item_WoQ_UD_Similar_03</t>
  </si>
  <si>
    <t>330</t>
  </si>
  <si>
    <t>GWL_Item_FP_service_01</t>
  </si>
  <si>
    <t>GWL_Item_FP_service_02</t>
  </si>
  <si>
    <t>GWL_Item_FP_service_03</t>
  </si>
  <si>
    <t>GWL_Item_FP_Rc_01</t>
  </si>
  <si>
    <t>50</t>
  </si>
  <si>
    <t>883.22852</t>
  </si>
  <si>
    <t>570</t>
  </si>
  <si>
    <t>GWL_Item_FP_Rc_02</t>
  </si>
  <si>
    <t>180</t>
  </si>
  <si>
    <t>GWL_Item_FP_Rc_03</t>
  </si>
  <si>
    <t>3</t>
  </si>
  <si>
    <t>450</t>
  </si>
  <si>
    <t>3714.5</t>
  </si>
  <si>
    <t>932.04355</t>
  </si>
  <si>
    <t>580</t>
  </si>
  <si>
    <t>6980.2</t>
  </si>
  <si>
    <t>232.07826</t>
  </si>
  <si>
    <t>184</t>
  </si>
  <si>
    <t>3680.5</t>
  </si>
  <si>
    <t>122.36957</t>
  </si>
  <si>
    <t>460</t>
  </si>
  <si>
    <t>944.20523</t>
  </si>
  <si>
    <t>440</t>
  </si>
  <si>
    <t>136</t>
  </si>
  <si>
    <t>340</t>
  </si>
  <si>
    <t>GWL_Item_FP_Pl_Similar_01</t>
  </si>
  <si>
    <t>20</t>
  </si>
  <si>
    <t>GWL_Item_FP_Pl_Similar_02</t>
  </si>
  <si>
    <t>40</t>
  </si>
  <si>
    <t>GWL_Item_FP_Pl_Similar_03</t>
  </si>
  <si>
    <t>1215.57818</t>
  </si>
  <si>
    <t>55</t>
  </si>
  <si>
    <t>16</t>
  </si>
  <si>
    <t>768.2164</t>
  </si>
  <si>
    <t>585</t>
  </si>
  <si>
    <t>222.89714</t>
  </si>
  <si>
    <t>196</t>
  </si>
  <si>
    <t>117.52857</t>
  </si>
  <si>
    <t>490</t>
  </si>
  <si>
    <t>GWL_Item_FP_Rc_Service_01</t>
  </si>
  <si>
    <t>GWL_Item_FP_Rc_Service_02</t>
  </si>
  <si>
    <t>GWL_Item_FP_Rc_Service_03</t>
  </si>
  <si>
    <t>GWL_Item_FP_Pl_Service_01</t>
  </si>
  <si>
    <t>GWL_Item_FP_Pl_Service_02</t>
  </si>
  <si>
    <t>GWL_Item_FP_Pl_Service_03</t>
  </si>
  <si>
    <t>GWL_Item_Similar_Rc_01</t>
  </si>
  <si>
    <t>80</t>
  </si>
  <si>
    <t>444.72988</t>
  </si>
  <si>
    <t>GWL_Item_Similar_Rc_02</t>
  </si>
  <si>
    <t>6</t>
  </si>
  <si>
    <t>64</t>
  </si>
  <si>
    <t>857.17165</t>
  </si>
  <si>
    <t>GWL_Item_Similar_Rc_03</t>
  </si>
  <si>
    <t>7</t>
  </si>
  <si>
    <t>160</t>
  </si>
  <si>
    <t>1330.55575</t>
  </si>
  <si>
    <t>75</t>
  </si>
  <si>
    <t>239.12687</t>
  </si>
  <si>
    <t>60</t>
  </si>
  <si>
    <t>458.65976</t>
  </si>
  <si>
    <t>713.50447</t>
  </si>
  <si>
    <t>GWL_Dissimilar_St_01</t>
  </si>
  <si>
    <t>GWL_Dissimilar_St_02</t>
  </si>
  <si>
    <t>282</t>
  </si>
  <si>
    <t>GWL_St_Disimilar_Rc</t>
  </si>
  <si>
    <t>GWL_St_Disimilar_Rc_02</t>
  </si>
  <si>
    <t>GWL_St_Disimilar_Pl_01</t>
  </si>
  <si>
    <t>GWL_St_Disimilar_Pl_02</t>
  </si>
  <si>
    <t>GWL_similar_Pl_St_01</t>
  </si>
  <si>
    <t>100.00215</t>
  </si>
  <si>
    <t>99005</t>
  </si>
  <si>
    <t>GWL_similar_Pl_St_02</t>
  </si>
  <si>
    <t>99.99984</t>
  </si>
  <si>
    <t>99004</t>
  </si>
  <si>
    <t>GWL_Item_Similar_Rc_St_01</t>
  </si>
  <si>
    <t>GWL_Item_Similar_Rc_St_02</t>
  </si>
  <si>
    <t>GWL_Item_Similar_St_08</t>
  </si>
  <si>
    <t>46</t>
  </si>
  <si>
    <t>62.08823</t>
  </si>
  <si>
    <t>70.23124</t>
  </si>
  <si>
    <t>9</t>
  </si>
  <si>
    <t>GWL_Item_Similar_St_09</t>
  </si>
  <si>
    <t>120.76471</t>
  </si>
  <si>
    <t>123.46492</t>
  </si>
  <si>
    <t>14</t>
  </si>
  <si>
    <t>GWL_Item_Service_Rc_04</t>
  </si>
  <si>
    <t>15</t>
  </si>
  <si>
    <t>41.515</t>
  </si>
  <si>
    <t>GWL_Item_Service_Rc_05</t>
  </si>
  <si>
    <t>12</t>
  </si>
  <si>
    <t>80.41</t>
  </si>
  <si>
    <t>GWL_Item_Service_Rc_06</t>
  </si>
  <si>
    <t>30</t>
  </si>
  <si>
    <t>GWL_Item_Similar_Pl_01</t>
  </si>
  <si>
    <t>3611.805</t>
  </si>
  <si>
    <t>GWL_Item_Similar_Pl_02</t>
  </si>
  <si>
    <t>1806.64</t>
  </si>
  <si>
    <t>GWL_Item_Similar_Pl_03</t>
  </si>
  <si>
    <t>70</t>
  </si>
  <si>
    <t>1082.5</t>
  </si>
  <si>
    <t>300</t>
  </si>
  <si>
    <t>8</t>
  </si>
  <si>
    <t>GWL_Item_Service_Pl_01</t>
  </si>
  <si>
    <t>GWL_Item_Service_Pl_02</t>
  </si>
  <si>
    <t>GWL_Item_Service_Pl_03</t>
  </si>
  <si>
    <t>HSN1</t>
  </si>
  <si>
    <t>487.4072</t>
  </si>
  <si>
    <t>337.5</t>
  </si>
  <si>
    <t>HSN2</t>
  </si>
  <si>
    <t>355.91161</t>
  </si>
  <si>
    <t>302.4</t>
  </si>
  <si>
    <t>HSN3</t>
  </si>
  <si>
    <t>0.0847</t>
  </si>
  <si>
    <t>RMN</t>
  </si>
  <si>
    <t>999000</t>
  </si>
  <si>
    <t>GWL_Item_Dissimilar_03</t>
  </si>
  <si>
    <t>6.666</t>
  </si>
  <si>
    <t>16066.305</t>
  </si>
  <si>
    <t>66.66</t>
  </si>
  <si>
    <t>GWL_Item_Dissimilar_04</t>
  </si>
  <si>
    <t>5.332</t>
  </si>
  <si>
    <t>5419.92</t>
  </si>
  <si>
    <t>23.994</t>
  </si>
  <si>
    <t>GWL_Item_Dissimilar_05</t>
  </si>
  <si>
    <t>2857.8</t>
  </si>
  <si>
    <t>129.9</t>
  </si>
  <si>
    <t>59.994</t>
  </si>
  <si>
    <t>10586.325</t>
  </si>
  <si>
    <t>3326.7729</t>
  </si>
  <si>
    <t>590</t>
  </si>
  <si>
    <t>402.96093</t>
  </si>
  <si>
    <t>172</t>
  </si>
  <si>
    <t>212.47209</t>
  </si>
  <si>
    <t>430</t>
  </si>
  <si>
    <t>9.999</t>
  </si>
  <si>
    <t>10835.415</t>
  </si>
  <si>
    <t>6.665</t>
  </si>
  <si>
    <t>4385.208</t>
  </si>
  <si>
    <t>16.665</t>
  </si>
  <si>
    <t>2312.22</t>
  </si>
  <si>
    <t>\</t>
  </si>
  <si>
    <t>GWL_Item_Dissimilar_Rc_01</t>
  </si>
  <si>
    <t>3.333</t>
  </si>
  <si>
    <t>69.993</t>
  </si>
  <si>
    <t>GWL_Item_Dissimilar_Rc_02</t>
  </si>
  <si>
    <t>4.666</t>
  </si>
  <si>
    <t>GWL_Item_Dissimilar_Rc_03</t>
  </si>
  <si>
    <t>GWL_Item_FP_Rc_Dissimilar_01</t>
  </si>
  <si>
    <t>GWL_Item_FP_Rc_Dissimilar_02</t>
  </si>
  <si>
    <t>GWL_Item_FP_Rc_Dissimilar_03</t>
  </si>
  <si>
    <t>2660.13181</t>
  </si>
  <si>
    <t>34.999</t>
  </si>
  <si>
    <t>39.001</t>
  </si>
  <si>
    <t>26.331</t>
  </si>
  <si>
    <t>11143.5</t>
  </si>
  <si>
    <t>3204.00378</t>
  </si>
  <si>
    <t>146.662</t>
  </si>
  <si>
    <t>1545.84713</t>
  </si>
  <si>
    <t>212.343</t>
  </si>
  <si>
    <t>11041.5</t>
  </si>
  <si>
    <t>773.65051</t>
  </si>
  <si>
    <t>112.989</t>
  </si>
  <si>
    <t>GWL_Item_FP_Pl_Dissimilar_01</t>
  </si>
  <si>
    <t>GWL_Item_FP_Pl_Dissimilar_02</t>
  </si>
  <si>
    <t>6.667</t>
  </si>
  <si>
    <t>GWL_Item_FP_Pl_Dissimilar_03</t>
  </si>
  <si>
    <t>PoToMRVWOIpSheet</t>
  </si>
  <si>
    <t>4211.80052</t>
  </si>
  <si>
    <t>61.667</t>
  </si>
  <si>
    <t>80.004</t>
  </si>
  <si>
    <t>39.996</t>
  </si>
  <si>
    <t>3878.07283</t>
  </si>
  <si>
    <t>113.332</t>
  </si>
  <si>
    <t>21812.7</t>
  </si>
  <si>
    <t>1144.9575</t>
  </si>
  <si>
    <t>160.008</t>
  </si>
  <si>
    <t>11383.2</t>
  </si>
  <si>
    <t>598.7875</t>
  </si>
  <si>
    <t>79.992</t>
  </si>
  <si>
    <t>GWL_Item_Dissimilar_Pl_01</t>
  </si>
  <si>
    <t>GWL_Item_Dissimilar_Pl_02</t>
  </si>
  <si>
    <t>13.333</t>
  </si>
  <si>
    <t>GWL_Item_Dissimilar_Pl_03</t>
  </si>
  <si>
    <t>73.326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</si>
</sst>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0.000"/>
    <numFmt numFmtId="182" formatCode="0.00;[Red]0.00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9"/>
      <color rgb="FF004153"/>
      <name val="Arial"/>
      <charset val="134"/>
    </font>
    <font>
      <sz val="11"/>
      <color rgb="FF000000"/>
      <name val="Calibri Light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15" applyNumberFormat="0" applyAlignment="0" applyProtection="0">
      <alignment vertical="center"/>
    </xf>
    <xf numFmtId="0" fontId="15" fillId="15" borderId="16" applyNumberFormat="0" applyAlignment="0" applyProtection="0">
      <alignment vertical="center"/>
    </xf>
    <xf numFmtId="0" fontId="16" fillId="15" borderId="15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1" xfId="0" applyNumberFormat="1" applyFont="1" applyFill="1" applyBorder="1" applyAlignment="1"/>
    <xf numFmtId="0" fontId="2" fillId="0" borderId="0" xfId="0" applyFont="1" applyFill="1" applyAlignment="1"/>
    <xf numFmtId="0" fontId="0" fillId="0" borderId="0" xfId="0" applyFill="1" applyBorder="1" applyAlignment="1"/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1" fillId="3" borderId="1" xfId="0" applyNumberFormat="1" applyFont="1" applyFill="1" applyBorder="1" applyAlignment="1"/>
    <xf numFmtId="0" fontId="2" fillId="0" borderId="4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" fillId="0" borderId="5" xfId="0" applyFont="1" applyFill="1" applyBorder="1" applyAlignment="1"/>
    <xf numFmtId="0" fontId="1" fillId="7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/>
    <xf numFmtId="2" fontId="1" fillId="3" borderId="1" xfId="0" applyNumberFormat="1" applyFont="1" applyFill="1" applyBorder="1" applyAlignment="1"/>
    <xf numFmtId="0" fontId="1" fillId="8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/>
    <xf numFmtId="2" fontId="2" fillId="0" borderId="1" xfId="0" applyNumberFormat="1" applyFont="1" applyFill="1" applyBorder="1" applyAlignment="1"/>
    <xf numFmtId="0" fontId="1" fillId="7" borderId="1" xfId="0" applyFont="1" applyFill="1" applyBorder="1" applyAlignment="1"/>
    <xf numFmtId="2" fontId="1" fillId="7" borderId="1" xfId="0" applyNumberFormat="1" applyFont="1" applyFill="1" applyBorder="1" applyAlignment="1"/>
    <xf numFmtId="181" fontId="2" fillId="0" borderId="1" xfId="0" applyNumberFormat="1" applyFont="1" applyFill="1" applyBorder="1" applyAlignment="1"/>
    <xf numFmtId="0" fontId="1" fillId="9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/>
    <xf numFmtId="0" fontId="3" fillId="10" borderId="7" xfId="0" applyFont="1" applyFill="1" applyBorder="1">
      <alignment vertical="center"/>
    </xf>
    <xf numFmtId="0" fontId="2" fillId="0" borderId="8" xfId="0" applyNumberFormat="1" applyFont="1" applyFill="1" applyBorder="1" applyAlignment="1"/>
    <xf numFmtId="0" fontId="0" fillId="0" borderId="0" xfId="0" applyFill="1" applyAlignment="1"/>
    <xf numFmtId="0" fontId="2" fillId="2" borderId="9" xfId="0" applyFont="1" applyFill="1" applyBorder="1" applyAlignment="1"/>
    <xf numFmtId="181" fontId="2" fillId="0" borderId="8" xfId="0" applyNumberFormat="1" applyFont="1" applyFill="1" applyBorder="1" applyAlignment="1"/>
    <xf numFmtId="0" fontId="0" fillId="0" borderId="8" xfId="0" applyNumberFormat="1" applyFill="1" applyBorder="1" applyAlignment="1"/>
    <xf numFmtId="0" fontId="0" fillId="0" borderId="10" xfId="0" applyNumberFormat="1" applyFill="1" applyBorder="1" applyAlignment="1"/>
    <xf numFmtId="0" fontId="0" fillId="0" borderId="10" xfId="0" applyNumberFormat="1" applyFont="1" applyFill="1" applyBorder="1" applyAlignment="1">
      <alignment vertical="center"/>
    </xf>
    <xf numFmtId="180" fontId="2" fillId="0" borderId="8" xfId="0" applyNumberFormat="1" applyFont="1" applyFill="1" applyBorder="1" applyAlignment="1"/>
    <xf numFmtId="0" fontId="3" fillId="0" borderId="0" xfId="0" applyFont="1">
      <alignment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center"/>
    </xf>
    <xf numFmtId="182" fontId="2" fillId="0" borderId="8" xfId="0" applyNumberFormat="1" applyFont="1" applyFill="1" applyBorder="1" applyAlignment="1"/>
    <xf numFmtId="0" fontId="0" fillId="0" borderId="0" xfId="49" applyFont="1"/>
    <xf numFmtId="0" fontId="1" fillId="0" borderId="0" xfId="49" applyFont="1" applyFill="1" applyBorder="1"/>
    <xf numFmtId="0" fontId="1" fillId="0" borderId="0" xfId="49" applyFont="1" applyFill="1" applyBorder="1" applyAlignment="1">
      <alignment horizontal="center"/>
    </xf>
    <xf numFmtId="0" fontId="2" fillId="0" borderId="0" xfId="49" applyFont="1" applyFill="1" applyBorder="1" applyAlignment="1">
      <alignment horizontal="left" vertic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left" vertical="center"/>
    </xf>
    <xf numFmtId="0" fontId="1" fillId="2" borderId="1" xfId="49" applyFont="1" applyFill="1" applyBorder="1" applyAlignment="1">
      <alignment horizontal="center" vertical="center"/>
    </xf>
    <xf numFmtId="0" fontId="2" fillId="0" borderId="1" xfId="49" applyFont="1" applyBorder="1"/>
    <xf numFmtId="0" fontId="2" fillId="0" borderId="1" xfId="49" applyNumberFormat="1" applyFont="1" applyBorder="1"/>
    <xf numFmtId="0" fontId="2" fillId="0" borderId="0" xfId="49" applyFont="1"/>
    <xf numFmtId="0" fontId="1" fillId="3" borderId="4" xfId="49" applyFont="1" applyFill="1" applyBorder="1" applyAlignment="1"/>
    <xf numFmtId="0" fontId="1" fillId="3" borderId="2" xfId="49" applyFont="1" applyFill="1" applyBorder="1" applyAlignment="1"/>
    <xf numFmtId="0" fontId="1" fillId="3" borderId="3" xfId="49" applyFont="1" applyFill="1" applyBorder="1" applyAlignment="1"/>
    <xf numFmtId="0" fontId="1" fillId="3" borderId="1" xfId="49" applyFont="1" applyFill="1" applyBorder="1"/>
    <xf numFmtId="0" fontId="2" fillId="0" borderId="4" xfId="49" applyFont="1" applyBorder="1" applyAlignment="1">
      <alignment horizontal="left"/>
    </xf>
    <xf numFmtId="0" fontId="2" fillId="0" borderId="3" xfId="49" applyFont="1" applyBorder="1" applyAlignment="1">
      <alignment horizontal="left"/>
    </xf>
    <xf numFmtId="0" fontId="2" fillId="0" borderId="0" xfId="49" applyFont="1" applyFill="1" applyBorder="1"/>
    <xf numFmtId="0" fontId="1" fillId="4" borderId="1" xfId="49" applyFont="1" applyFill="1" applyBorder="1" applyAlignment="1">
      <alignment horizontal="center" vertical="center"/>
    </xf>
    <xf numFmtId="0" fontId="1" fillId="11" borderId="1" xfId="49" applyFont="1" applyFill="1" applyBorder="1" applyAlignment="1">
      <alignment horizontal="center" vertical="center"/>
    </xf>
    <xf numFmtId="0" fontId="1" fillId="0" borderId="1" xfId="49" applyFont="1" applyBorder="1" applyAlignment="1">
      <alignment horizontal="right"/>
    </xf>
    <xf numFmtId="0" fontId="2" fillId="0" borderId="0" xfId="49" applyFont="1" applyAlignment="1"/>
    <xf numFmtId="0" fontId="1" fillId="6" borderId="4" xfId="49" applyFont="1" applyFill="1" applyBorder="1" applyAlignment="1">
      <alignment horizontal="center"/>
    </xf>
    <xf numFmtId="0" fontId="1" fillId="6" borderId="2" xfId="49" applyFont="1" applyFill="1" applyBorder="1" applyAlignment="1">
      <alignment horizontal="center"/>
    </xf>
    <xf numFmtId="0" fontId="1" fillId="6" borderId="3" xfId="49" applyFont="1" applyFill="1" applyBorder="1" applyAlignment="1">
      <alignment horizontal="center"/>
    </xf>
    <xf numFmtId="0" fontId="2" fillId="0" borderId="5" xfId="49" applyFont="1" applyBorder="1"/>
    <xf numFmtId="0" fontId="1" fillId="7" borderId="1" xfId="49" applyFont="1" applyFill="1" applyBorder="1" applyAlignment="1">
      <alignment horizontal="right"/>
    </xf>
    <xf numFmtId="0" fontId="1" fillId="8" borderId="1" xfId="49" applyFont="1" applyFill="1" applyBorder="1" applyAlignment="1">
      <alignment horizontal="center" vertical="center"/>
    </xf>
    <xf numFmtId="2" fontId="2" fillId="0" borderId="1" xfId="49" applyNumberFormat="1" applyFont="1" applyBorder="1"/>
    <xf numFmtId="10" fontId="2" fillId="0" borderId="1" xfId="49" applyNumberFormat="1" applyFont="1" applyBorder="1"/>
    <xf numFmtId="0" fontId="1" fillId="3" borderId="1" xfId="49" applyNumberFormat="1" applyFont="1" applyFill="1" applyBorder="1"/>
    <xf numFmtId="0" fontId="1" fillId="8" borderId="5" xfId="49" applyFont="1" applyFill="1" applyBorder="1" applyAlignment="1">
      <alignment horizontal="center" vertical="center"/>
    </xf>
    <xf numFmtId="0" fontId="1" fillId="7" borderId="1" xfId="49" applyFont="1" applyFill="1" applyBorder="1" applyAlignment="1">
      <alignment horizontal="center" vertical="center"/>
    </xf>
    <xf numFmtId="9" fontId="2" fillId="0" borderId="1" xfId="49" applyNumberFormat="1" applyFont="1" applyBorder="1"/>
    <xf numFmtId="9" fontId="1" fillId="3" borderId="1" xfId="49" applyNumberFormat="1" applyFont="1" applyFill="1" applyBorder="1"/>
    <xf numFmtId="0" fontId="1" fillId="7" borderId="1" xfId="49" applyFont="1" applyFill="1" applyBorder="1"/>
    <xf numFmtId="2" fontId="1" fillId="7" borderId="1" xfId="49" applyNumberFormat="1" applyFont="1" applyFill="1" applyBorder="1"/>
    <xf numFmtId="181" fontId="2" fillId="0" borderId="1" xfId="49" applyNumberFormat="1" applyFont="1" applyBorder="1"/>
    <xf numFmtId="0" fontId="1" fillId="9" borderId="1" xfId="49" applyFont="1" applyFill="1" applyBorder="1" applyAlignment="1">
      <alignment horizontal="center" vertical="center" wrapText="1"/>
    </xf>
    <xf numFmtId="0" fontId="1" fillId="2" borderId="6" xfId="49" applyFont="1" applyFill="1" applyBorder="1" applyAlignment="1">
      <alignment horizontal="center" vertical="center"/>
    </xf>
    <xf numFmtId="0" fontId="2" fillId="2" borderId="6" xfId="49" applyFont="1" applyFill="1" applyBorder="1"/>
    <xf numFmtId="0" fontId="2" fillId="0" borderId="8" xfId="49" applyNumberFormat="1" applyFont="1" applyBorder="1"/>
    <xf numFmtId="0" fontId="2" fillId="0" borderId="8" xfId="49" applyFont="1" applyBorder="1"/>
    <xf numFmtId="0" fontId="2" fillId="2" borderId="9" xfId="49" applyFont="1" applyFill="1" applyBorder="1"/>
    <xf numFmtId="0" fontId="0" fillId="0" borderId="8" xfId="49" applyNumberFormat="1" applyFont="1" applyBorder="1"/>
    <xf numFmtId="0" fontId="0" fillId="0" borderId="10" xfId="49" applyNumberFormat="1" applyFont="1" applyBorder="1"/>
    <xf numFmtId="0" fontId="0" fillId="0" borderId="10" xfId="49" applyNumberFormat="1" applyFont="1" applyBorder="1" applyAlignment="1">
      <alignment vertical="center"/>
    </xf>
    <xf numFmtId="0" fontId="0" fillId="0" borderId="10" xfId="49" applyFont="1" applyBorder="1" applyAlignment="1">
      <alignment vertical="center"/>
    </xf>
    <xf numFmtId="0" fontId="2" fillId="2" borderId="6" xfId="49" applyFont="1" applyFill="1" applyBorder="1" applyAlignment="1"/>
    <xf numFmtId="0" fontId="0" fillId="0" borderId="0" xfId="49" applyNumberFormat="1" applyFont="1"/>
    <xf numFmtId="0" fontId="0" fillId="0" borderId="0" xfId="49" applyNumberFormat="1" applyFont="1" applyAlignment="1">
      <alignment horizontal="center"/>
    </xf>
    <xf numFmtId="0" fontId="2" fillId="0" borderId="1" xfId="0" applyFont="1" applyFill="1" applyBorder="1" applyAlignment="1">
      <alignment wrapText="1"/>
    </xf>
    <xf numFmtId="0" fontId="4" fillId="0" borderId="1" xfId="0" applyFont="1" applyBorder="1" applyAlignment="1"/>
    <xf numFmtId="2" fontId="2" fillId="0" borderId="8" xfId="0" applyNumberFormat="1" applyFont="1" applyFill="1" applyBorder="1" applyAlignment="1"/>
    <xf numFmtId="0" fontId="1" fillId="2" borderId="11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0" fontId="5" fillId="0" borderId="10" xfId="0" applyFont="1" applyBorder="1">
      <alignment vertical="center"/>
    </xf>
    <xf numFmtId="0" fontId="2" fillId="0" borderId="3" xfId="0" applyFont="1" applyFill="1" applyBorder="1" applyAlignment="1"/>
    <xf numFmtId="0" fontId="2" fillId="0" borderId="10" xfId="0" applyFont="1" applyFill="1" applyBorder="1" applyAlignment="1"/>
    <xf numFmtId="0" fontId="2" fillId="0" borderId="10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2" fillId="0" borderId="0" xfId="0" applyFont="1" applyFill="1" applyAlignment="1" quotePrefix="1"/>
    <xf numFmtId="0" fontId="2" fillId="0" borderId="0" xfId="49" applyFo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theme/theme1.xml" Type="http://schemas.openxmlformats.org/officeDocument/2006/relationships/theme"/><Relationship Id="rId58" Target="sharedStrings.xml" Type="http://schemas.openxmlformats.org/officeDocument/2006/relationships/sharedStrings"/><Relationship Id="rId59" Target="styles.xml" Type="http://schemas.openxmlformats.org/officeDocument/2006/relationships/style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3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3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3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G12" sqref="G12:H12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75</v>
      </c>
      <c r="C4" s="7" t="s">
        <v>75</v>
      </c>
      <c r="D4" s="7" t="s">
        <v>76</v>
      </c>
      <c r="E4" s="7" t="s">
        <v>76</v>
      </c>
      <c r="F4" s="8">
        <v>5</v>
      </c>
      <c r="G4" t="s" s="0">
        <v>77</v>
      </c>
      <c r="H4" s="8">
        <f>F4*G4</f>
        <v>750</v>
      </c>
      <c r="I4" t="s" s="0">
        <v>78</v>
      </c>
      <c r="J4" s="8">
        <v>0</v>
      </c>
      <c r="K4" s="8">
        <v>0</v>
      </c>
      <c r="L4" s="8">
        <f>IF(OR(I4=0,I4="0"),0,H4)</f>
        <v>750</v>
      </c>
      <c r="M4" s="8">
        <f>ROUND(L4*I4%,3)</f>
        <v>37.5</v>
      </c>
      <c r="N4" s="8">
        <v>0</v>
      </c>
      <c r="O4" s="8">
        <f>ROUND(N4*J4%,3)</f>
        <v>0</v>
      </c>
      <c r="P4" s="8">
        <f>ROUND(N4-O4,2)</f>
        <v>0</v>
      </c>
      <c r="Q4" s="8">
        <f>ROUND(P4*K4%,2)</f>
        <v>0</v>
      </c>
      <c r="R4" s="31">
        <f>ROUND(M4+O4+Q4,3)</f>
        <v>37.5</v>
      </c>
      <c r="S4" s="8">
        <f>(H4-R4)</f>
        <v>712.5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128.25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128.25</v>
      </c>
      <c r="AC4" s="30">
        <f>IF($V2=1,S4+AB4,S4)</f>
        <v>840.75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712.5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142.5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142.5</v>
      </c>
      <c r="AS4" s="38" t="s">
        <v>79</v>
      </c>
      <c r="AT4" s="39" t="s">
        <v>76</v>
      </c>
      <c r="AW4" s="39">
        <f>AM4</f>
        <v>5</v>
      </c>
      <c r="AX4" s="103">
        <f>AR4</f>
        <v>142.5</v>
      </c>
      <c r="AY4" s="39">
        <f>AU4+AW4</f>
        <v>5</v>
      </c>
      <c r="AZ4" s="39">
        <f>ROUND(((AU4*AV4)+(AW4*AX4))/(AU4+AW4),5)</f>
        <v>142.5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85</v>
      </c>
      <c r="BN4" t="s" s="0">
        <v>85</v>
      </c>
      <c r="BO4" s="39">
        <f>ROUND((((AW4*AZ4)+(BN4*BM4))/(AW4+BN4)),5)</f>
        <v>142.5</v>
      </c>
      <c r="BP4" s="48">
        <f>ROUND(BN4+AW4,3)</f>
        <v>5</v>
      </c>
      <c r="BQ4" s="49">
        <v>123562</v>
      </c>
    </row>
    <row r="5" ht="15.75" spans="1:69">
      <c r="A5" s="7">
        <v>1</v>
      </c>
      <c r="B5" s="7" t="s">
        <v>86</v>
      </c>
      <c r="C5" s="7" t="s">
        <v>86</v>
      </c>
      <c r="D5" s="7" t="s">
        <v>76</v>
      </c>
      <c r="E5" s="7" t="s">
        <v>76</v>
      </c>
      <c r="F5" s="8">
        <v>4</v>
      </c>
      <c r="G5" t="s" s="0">
        <v>87</v>
      </c>
      <c r="H5" s="8">
        <f>F5*G5</f>
        <v>400</v>
      </c>
      <c r="I5" t="s" s="0">
        <v>88</v>
      </c>
      <c r="J5" s="8">
        <v>0</v>
      </c>
      <c r="K5" s="8">
        <v>0</v>
      </c>
      <c r="L5" s="8">
        <f t="shared" ref="L5" si="0">IF(OR(I5=0,I5="0"),0,H5)</f>
        <v>400</v>
      </c>
      <c r="M5" s="8">
        <f>ROUND(L5*I5%,2)</f>
        <v>16</v>
      </c>
      <c r="N5" s="8">
        <v>0</v>
      </c>
      <c r="O5" s="8">
        <f>ROUND(N5*J5%,2)</f>
        <v>0</v>
      </c>
      <c r="P5" s="8">
        <f>ROUND(N5-O5,2)</f>
        <v>0</v>
      </c>
      <c r="Q5" s="8">
        <f>ROUND(P5*K5%,2)</f>
        <v>0</v>
      </c>
      <c r="R5" s="8">
        <f>M5+O5+Q5</f>
        <v>16</v>
      </c>
      <c r="S5" s="8">
        <f>(H5-R5)</f>
        <v>384</v>
      </c>
      <c r="T5" s="8">
        <v>88363222</v>
      </c>
      <c r="U5" s="8">
        <v>18</v>
      </c>
      <c r="V5" s="8">
        <f>IF(OR(StPoToMRVWFPl!$C$2=1,StPoToMRVWFPl!$C$2=4),ROUND((((S5*U5)/100)/2),2),0)</f>
        <v>0</v>
      </c>
      <c r="W5" s="8">
        <f>IF(StPoToMRVWFPl!$C$2=1,ROUND((((S5*U5)/100)/2),2),0)</f>
        <v>0</v>
      </c>
      <c r="X5" s="8">
        <f>IF(StPoToMRVWFPl!$C$2=2,ROUND(((S5*U5)/100),2),0)</f>
        <v>69.12</v>
      </c>
      <c r="Y5" s="8">
        <f>IF(StPoToMRVWFPl!$C$2=4,ROUND((((S5*U5)/100)/2),2),0)</f>
        <v>0</v>
      </c>
      <c r="Z5" s="8">
        <v>0</v>
      </c>
      <c r="AA5" s="8">
        <f>IF(StPoToMRVWFPl!$C3=3,0,(S5*Z5)/100)</f>
        <v>0</v>
      </c>
      <c r="AB5" s="8">
        <f>V5+W5+X5+Y5+AA5</f>
        <v>69.12</v>
      </c>
      <c r="AC5" s="8">
        <f>IF(StPoToMRVWFPl!$V3=1,S5+AB5,S5)</f>
        <v>384</v>
      </c>
      <c r="AD5" s="31">
        <v>120</v>
      </c>
      <c r="AE5" s="31">
        <f>IF(StPoToMRVWFPl!$P$2=1,(S5/StPoToMRVWFPl!$S$6)*StPoToMRVWFPl!$E$17,AD5/StPoToMRVWFPl!$AD$6*StPoToMRVWFPl!$E$17)</f>
        <v>0</v>
      </c>
      <c r="AF5" s="31"/>
      <c r="AG5" s="31">
        <f>IF(StPoToMRVWFPl!$P$2=1,(S5/StPoToMRVWFPl!$S$6)*StPoToMRVWFPl!$E$19,AD5/StPoToMRVWFPl!$AD$6*StPoToMRVWFPl!$E$19)</f>
        <v>0</v>
      </c>
      <c r="AH5" s="31">
        <f>IF(StPoToMRVWFPl!$P$2=1,(S5/StPoToMRVWFPl!$S$6)*StPoToMRVWFPl!$E$20,AD5/StPoToMRVWFPl!$AD$6*StPoToMRVWFPl!$E$20)</f>
        <v>0</v>
      </c>
      <c r="AI5" s="31">
        <f>S5*StPoToMRVWFPl!$M$2</f>
        <v>384</v>
      </c>
      <c r="AJ5" s="31">
        <f>IF(StPoToMRVWFPl!$C$2=3,0,AG5+AH5)</f>
        <v>0</v>
      </c>
      <c r="AK5" s="31">
        <f>IF(StPoToMRVWFPl!$C$2=3,AE5+AG5+AH5,0)</f>
        <v>0</v>
      </c>
      <c r="AL5" s="34">
        <v>1</v>
      </c>
      <c r="AM5" s="31">
        <f>F5/AL5</f>
        <v>4</v>
      </c>
      <c r="AN5" s="31">
        <f>ROUND(AI5/AM5,5)</f>
        <v>96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96</v>
      </c>
      <c r="AS5" s="38" t="s">
        <v>79</v>
      </c>
      <c r="AT5" s="39" t="s">
        <v>76</v>
      </c>
      <c r="AW5" s="39">
        <f>AM5</f>
        <v>4</v>
      </c>
      <c r="AX5" s="103">
        <f>AR5</f>
        <v>96</v>
      </c>
      <c r="AY5" s="39">
        <f>AU5+AW5</f>
        <v>4</v>
      </c>
      <c r="AZ5" s="39">
        <f>ROUND(((AU5*AV5)+(AW5*AX5))/(AU5+AW5),5)</f>
        <v>96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85</v>
      </c>
      <c r="BN5" t="s" s="0">
        <v>85</v>
      </c>
      <c r="BO5" s="39">
        <f>ROUND((((AW5*AZ5)+(BN5*BM5))/(AW5+BN5)),5)</f>
        <v>96</v>
      </c>
      <c r="BP5" s="48">
        <f>ROUND(BN5+AW5,3)</f>
        <v>4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750</v>
      </c>
      <c r="I6" s="7"/>
      <c r="J6" s="7"/>
      <c r="K6" s="7"/>
      <c r="L6" s="7"/>
      <c r="M6" s="7"/>
      <c r="N6" s="7"/>
      <c r="O6" s="7"/>
      <c r="P6" s="7"/>
      <c r="Q6" s="7"/>
      <c r="R6" s="26">
        <f>SUM(R4:R4)</f>
        <v>37.5</v>
      </c>
      <c r="S6" s="13">
        <f>SUM(S4:S4)</f>
        <v>712.5</v>
      </c>
      <c r="T6" s="26"/>
      <c r="U6" s="26"/>
      <c r="V6" s="27">
        <f>SUM(V4:V4)</f>
        <v>0</v>
      </c>
      <c r="W6" s="27">
        <f>SUM(W4:W4)</f>
        <v>0</v>
      </c>
      <c r="X6" s="27">
        <f>SUM(X4:X4)</f>
        <v>128.25</v>
      </c>
      <c r="Y6" s="27"/>
      <c r="Z6" s="27"/>
      <c r="AA6" s="27"/>
      <c r="AB6" s="26">
        <f>SUM(AB4:AB4)</f>
        <v>128.25</v>
      </c>
      <c r="AC6" s="32">
        <f>SUM(AC4:AC4)</f>
        <v>840.75</v>
      </c>
      <c r="AD6" s="33">
        <f>SUM(AD4:AD4)</f>
        <v>120</v>
      </c>
      <c r="AE6" s="33">
        <f>SUM(AE4:AE4)</f>
        <v>0</v>
      </c>
      <c r="AF6" s="32"/>
      <c r="AG6" s="33">
        <f>SUM(AG4:AG4)</f>
        <v>0</v>
      </c>
      <c r="AH6" s="33">
        <f>IF($P$2=1,(S6/$S$6)*$E$20,AD6/$AD$6*$E$20)</f>
        <v>0</v>
      </c>
      <c r="AI6" s="33">
        <f>SUM(AI4:AI4)</f>
        <v>712.5</v>
      </c>
      <c r="AJ6" s="33">
        <f>SUM(AJ4:AJ4)</f>
        <v>0</v>
      </c>
      <c r="AK6" s="33">
        <f>SUM(AK4:AK4)</f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750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37.5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712.5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128.25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840.75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abSelected="1" topLeftCell="B1" workbookViewId="0">
      <selection activeCell="N6" sqref="N6"/>
    </sheetView>
  </sheetViews>
  <sheetFormatPr defaultColWidth="8.84761904761905" defaultRowHeight="15"/>
  <cols>
    <col min="2" max="2" customWidth="true" width="28.0"/>
    <col min="3" max="3" customWidth="true" width="28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109</v>
      </c>
      <c r="C4" s="7" t="s">
        <v>109</v>
      </c>
      <c r="D4" s="7" t="s">
        <v>76</v>
      </c>
      <c r="E4" s="7" t="s">
        <v>76</v>
      </c>
      <c r="F4" s="8">
        <v>5</v>
      </c>
      <c r="G4" t="s" s="0">
        <v>77</v>
      </c>
      <c r="H4" s="8">
        <f>F4*G4</f>
        <v>750</v>
      </c>
      <c r="I4" t="s" s="0">
        <v>78</v>
      </c>
      <c r="J4" s="8">
        <v>4</v>
      </c>
      <c r="K4" s="8">
        <v>3</v>
      </c>
      <c r="L4" s="8">
        <f>IF(OR(I4=0,I4="0"),0,H4)</f>
        <v>750</v>
      </c>
      <c r="M4" s="8">
        <f>ROUND(L4*I4%,3)</f>
        <v>37.5</v>
      </c>
      <c r="N4" s="8">
        <f>L4-M4</f>
        <v>712.5</v>
      </c>
      <c r="O4" s="8">
        <f>ROUND(N4*J4%,3)</f>
        <v>28.5</v>
      </c>
      <c r="P4" s="8">
        <f>ROUND(N4-O4,2)</f>
        <v>684</v>
      </c>
      <c r="Q4" s="8">
        <f>ROUND(P4*K4%,2)</f>
        <v>20.52</v>
      </c>
      <c r="R4" s="31">
        <f>ROUND(M4+O4+Q4,3)</f>
        <v>86.52</v>
      </c>
      <c r="S4" s="8">
        <f>(H4-R4)</f>
        <v>663.48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119.43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119.43</v>
      </c>
      <c r="AC4" s="30">
        <f>IF($V2=1,S4+AB4,S4)</f>
        <v>782.91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663.48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132.696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132.696</v>
      </c>
      <c r="AS4" s="38" t="s">
        <v>79</v>
      </c>
      <c r="AT4" s="39" t="s">
        <v>76</v>
      </c>
      <c r="AU4" s="0"/>
      <c r="AV4" s="0"/>
      <c r="AW4" s="39">
        <f>AM4</f>
        <v>5</v>
      </c>
      <c r="AX4" s="103">
        <f>AR4</f>
        <v>132.696</v>
      </c>
      <c r="AY4" s="39">
        <f>AU4+AW4</f>
        <v>5</v>
      </c>
      <c r="AZ4" s="39">
        <f>ROUND(((AU4*AV4)+(AW4*AX4))/(AU4+AW4),5)</f>
        <v>132.696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85</v>
      </c>
      <c r="BN4" t="s" s="0">
        <v>85</v>
      </c>
      <c r="BO4" s="39">
        <f>ROUND((((AW4*AZ4)+(BN4*BM4))/(AW4+BN4)),5)</f>
        <v>132.696</v>
      </c>
      <c r="BP4" s="48">
        <f>ROUND(BN4+AW4,3)</f>
        <v>5</v>
      </c>
      <c r="BQ4" s="49">
        <v>123562</v>
      </c>
    </row>
    <row r="5" ht="15.75" spans="1:69">
      <c r="A5" s="7">
        <v>1</v>
      </c>
      <c r="B5" s="7" t="s">
        <v>110</v>
      </c>
      <c r="C5" s="7" t="s">
        <v>110</v>
      </c>
      <c r="D5" s="7" t="s">
        <v>76</v>
      </c>
      <c r="E5" s="7" t="s">
        <v>76</v>
      </c>
      <c r="F5" s="8">
        <v>4</v>
      </c>
      <c r="G5" t="s" s="0">
        <v>87</v>
      </c>
      <c r="H5" s="8">
        <f>F5*G5</f>
        <v>400</v>
      </c>
      <c r="I5" t="s" s="0">
        <v>88</v>
      </c>
      <c r="J5" s="8">
        <v>5</v>
      </c>
      <c r="K5" s="8">
        <v>7</v>
      </c>
      <c r="L5" s="8">
        <f>IF(OR(I5=0,I5="0"),0,H5)</f>
        <v>400</v>
      </c>
      <c r="M5" s="8">
        <f>ROUND(L5*I5%,2)</f>
        <v>16</v>
      </c>
      <c r="N5" s="8">
        <f>L5-M5</f>
        <v>384</v>
      </c>
      <c r="O5" s="8">
        <f>ROUND(N5*J5%,2)</f>
        <v>19.2</v>
      </c>
      <c r="P5" s="8">
        <f>ROUND(N5-O5,2)</f>
        <v>364.8</v>
      </c>
      <c r="Q5" s="8">
        <f>ROUND(P5*K5%,2)</f>
        <v>25.54</v>
      </c>
      <c r="R5" s="8">
        <f>M5+O5+Q5</f>
        <v>60.74</v>
      </c>
      <c r="S5" s="8">
        <f>(H5-R5)</f>
        <v>339.26</v>
      </c>
      <c r="T5" s="8">
        <v>88363222</v>
      </c>
      <c r="U5" s="8">
        <v>18</v>
      </c>
      <c r="V5" s="8">
        <f>IF(OR(StPoToMRVWFDURc!$C$2=1,StPoToMRVWFDURc!$C$2=4),ROUND((((S5*U5)/100)/2),2),0)</f>
        <v>0</v>
      </c>
      <c r="W5" s="8">
        <f>IF(StPoToMRVWFDURc!$C$2=1,ROUND((((S5*U5)/100)/2),2),0)</f>
        <v>0</v>
      </c>
      <c r="X5" s="8">
        <f>IF(StPoToMRVWFDURc!$C$2=2,ROUND(((S5*U5)/100),2),0)</f>
        <v>61.07</v>
      </c>
      <c r="Y5" s="8">
        <f>IF(StPoToMRVWFDURc!$C$2=4,ROUND((((S5*U5)/100)/2),2),0)</f>
        <v>0</v>
      </c>
      <c r="Z5" s="8">
        <v>0</v>
      </c>
      <c r="AA5" s="8">
        <f>IF(StPoToMRVWFDURc!$C3=3,0,(S5*Z5)/100)</f>
        <v>0</v>
      </c>
      <c r="AB5" s="8">
        <f>V5+W5+X5+Y5+AA5</f>
        <v>61.07</v>
      </c>
      <c r="AC5" s="8">
        <f>IF(StPoToMRVWFDURc!$V3=1,S5+AB5,S5)</f>
        <v>339.26</v>
      </c>
      <c r="AD5" s="31">
        <v>120</v>
      </c>
      <c r="AE5" s="31">
        <f>IF(StPoToMRVWFDURc!$P$2=1,(S5/StPoToMRVWFDURc!$S$6)*StPoToMRVWFDURc!$E$17,AD5/StPoToMRVWFDURc!$AD$6*StPoToMRVWFDURc!$E$17)</f>
        <v>0</v>
      </c>
      <c r="AF5" s="31"/>
      <c r="AG5" s="31">
        <f>IF(StPoToMRVWFDURc!$P$2=1,(S5/StPoToMRVWFDURc!$S$6)*StPoToMRVWFDURc!$E$19,AD5/StPoToMRVWFDURc!$AD$6*StPoToMRVWFDURc!$E$19)</f>
        <v>0</v>
      </c>
      <c r="AH5" s="31">
        <f>IF(StPoToMRVWFDURc!$P$2=1,(S5/StPoToMRVWFDURc!$S$6)*StPoToMRVWFDURc!$E$20,AD5/StPoToMRVWFDURc!$AD$6*StPoToMRVWFDURc!$E$20)</f>
        <v>0</v>
      </c>
      <c r="AI5" s="31">
        <f>S5*StPoToMRVWFDURc!$M$2</f>
        <v>339.26</v>
      </c>
      <c r="AJ5" s="31">
        <f>IF(StPoToMRVWFDURc!$C$2=3,0,AG5+AH5)</f>
        <v>0</v>
      </c>
      <c r="AK5" s="31">
        <f>IF(StPoToMRVWFDURc!$C$2=3,AE5+AG5+AH5,0)</f>
        <v>0</v>
      </c>
      <c r="AL5" s="34">
        <v>1</v>
      </c>
      <c r="AM5" s="31">
        <f>F5/AL5</f>
        <v>4</v>
      </c>
      <c r="AN5" s="31">
        <f>ROUND(AI5/AM5,5)</f>
        <v>84.815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84.815</v>
      </c>
      <c r="AS5" s="38" t="s">
        <v>79</v>
      </c>
      <c r="AT5" s="39" t="s">
        <v>76</v>
      </c>
      <c r="AU5" s="0"/>
      <c r="AV5" s="0"/>
      <c r="AW5" s="39">
        <f>AM5</f>
        <v>4</v>
      </c>
      <c r="AX5" s="103">
        <f>AR5</f>
        <v>84.815</v>
      </c>
      <c r="AY5" s="39">
        <f>AU5+AW5</f>
        <v>4</v>
      </c>
      <c r="AZ5" s="39">
        <f>ROUND(((AU5*AV5)+(AW5*AX5))/(AU5+AW5),5)</f>
        <v>84.815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85</v>
      </c>
      <c r="BN5" t="s" s="0">
        <v>85</v>
      </c>
      <c r="BO5" s="39">
        <f>ROUND((((AW5*AZ5)+(BN5*BM5))/(AW5+BN5)),5)</f>
        <v>84.815</v>
      </c>
      <c r="BP5" s="48">
        <f>ROUND(BN5+AW5,3)</f>
        <v>4</v>
      </c>
      <c r="BQ5" s="49">
        <v>123562</v>
      </c>
    </row>
    <row r="6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750</v>
      </c>
      <c r="I6" s="7"/>
      <c r="J6" s="7"/>
      <c r="K6" s="7"/>
      <c r="L6" s="7"/>
      <c r="M6" s="7"/>
      <c r="N6" s="7"/>
      <c r="O6" s="7"/>
      <c r="P6" s="7"/>
      <c r="Q6" s="7"/>
      <c r="R6" s="26">
        <f t="shared" ref="R6:X6" si="0">SUM(R4:R4)</f>
        <v>86.52</v>
      </c>
      <c r="S6" s="13">
        <f t="shared" si="0"/>
        <v>663.48</v>
      </c>
      <c r="T6" s="26"/>
      <c r="U6" s="26"/>
      <c r="V6" s="27">
        <f t="shared" si="0"/>
        <v>0</v>
      </c>
      <c r="W6" s="27">
        <f t="shared" si="0"/>
        <v>0</v>
      </c>
      <c r="X6" s="27">
        <f t="shared" si="0"/>
        <v>119.43</v>
      </c>
      <c r="Y6" s="27"/>
      <c r="Z6" s="27"/>
      <c r="AA6" s="27"/>
      <c r="AB6" s="26">
        <f t="shared" ref="AB6:AE6" si="1">SUM(AB4:AB4)</f>
        <v>119.43</v>
      </c>
      <c r="AC6" s="32">
        <f t="shared" si="1"/>
        <v>782.91</v>
      </c>
      <c r="AD6" s="33">
        <f t="shared" si="1"/>
        <v>120</v>
      </c>
      <c r="AE6" s="33">
        <f t="shared" si="1"/>
        <v>0</v>
      </c>
      <c r="AF6" s="32"/>
      <c r="AG6" s="33">
        <f t="shared" ref="AG6:AK6" si="2">SUM(AG4:AG4)</f>
        <v>0</v>
      </c>
      <c r="AH6" s="33">
        <f>IF($P$2=1,(S6/$S$6)*$E$20,AD6/$AD$6*$E$20)</f>
        <v>0</v>
      </c>
      <c r="AI6" s="33">
        <f t="shared" si="2"/>
        <v>663.48</v>
      </c>
      <c r="AJ6" s="33">
        <f t="shared" si="2"/>
        <v>0</v>
      </c>
      <c r="AK6" s="33">
        <f t="shared" si="2"/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750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86.52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663.48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119.43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782.91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C19" sqref="C19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111</v>
      </c>
      <c r="C4" s="7" t="s">
        <v>111</v>
      </c>
      <c r="D4" s="7" t="s">
        <v>76</v>
      </c>
      <c r="E4" s="7" t="s">
        <v>76</v>
      </c>
      <c r="F4" s="8">
        <v>5</v>
      </c>
      <c r="G4" t="s" s="0">
        <v>77</v>
      </c>
      <c r="H4" s="8">
        <f>F4*G4</f>
        <v>750</v>
      </c>
      <c r="I4" t="s" s="0">
        <v>78</v>
      </c>
      <c r="J4" s="8">
        <v>0</v>
      </c>
      <c r="K4" s="8">
        <v>0</v>
      </c>
      <c r="L4" s="8">
        <f>IF(OR(I4=0,I4="0"),0,H4)</f>
        <v>750</v>
      </c>
      <c r="M4" s="8">
        <f>ROUND(L4*I4%,3)</f>
        <v>37.5</v>
      </c>
      <c r="N4" s="8">
        <v>0</v>
      </c>
      <c r="O4" s="8">
        <f>ROUND(N4*J4%,3)</f>
        <v>0</v>
      </c>
      <c r="P4" s="8">
        <f>ROUND(N4-O4,2)</f>
        <v>0</v>
      </c>
      <c r="Q4" s="8">
        <f>ROUND(P4*K4%,2)</f>
        <v>0</v>
      </c>
      <c r="R4" s="31">
        <f>ROUND(M4+O4+Q4,3)</f>
        <v>37.5</v>
      </c>
      <c r="S4" s="8">
        <f>(H4-R4)</f>
        <v>712.5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128.25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128.25</v>
      </c>
      <c r="AC4" s="30">
        <f>IF($V2=1,S4+AB4,S4)</f>
        <v>840.75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712.5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142.5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142.5</v>
      </c>
      <c r="AS4" s="38" t="s">
        <v>79</v>
      </c>
      <c r="AT4" s="39" t="s">
        <v>76</v>
      </c>
      <c r="AU4" t="s" s="0">
        <v>85</v>
      </c>
      <c r="AV4" t="s" s="0">
        <v>112</v>
      </c>
      <c r="AW4" s="39">
        <f>AM4</f>
        <v>5</v>
      </c>
      <c r="AX4" s="103">
        <f>AR4</f>
        <v>142.5</v>
      </c>
      <c r="AY4" s="39">
        <f>AU4+AW4</f>
        <v>5</v>
      </c>
      <c r="AZ4" s="39">
        <f>ROUND(((AU4*AV4)+(AW4*AX4))/(AU4+AW4),5)</f>
        <v>142.5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112</v>
      </c>
      <c r="BN4" t="s" s="0">
        <v>78</v>
      </c>
      <c r="BO4" s="39">
        <f>ROUND((((AW4*AZ4)+(BN4*BM4))/(AW4+BN4)),5)</f>
        <v>142.5</v>
      </c>
      <c r="BP4" s="48">
        <f>ROUND(BN4+AW4,3)</f>
        <v>10</v>
      </c>
      <c r="BQ4" s="49">
        <v>123562</v>
      </c>
    </row>
    <row r="5" ht="15.75" spans="1:69">
      <c r="A5" s="7">
        <v>1</v>
      </c>
      <c r="B5" s="7" t="s">
        <v>113</v>
      </c>
      <c r="C5" s="7" t="s">
        <v>113</v>
      </c>
      <c r="D5" s="7" t="s">
        <v>76</v>
      </c>
      <c r="E5" s="7" t="s">
        <v>76</v>
      </c>
      <c r="F5" s="8">
        <v>4</v>
      </c>
      <c r="G5" t="s" s="0">
        <v>87</v>
      </c>
      <c r="H5" s="8">
        <f>F5*G5</f>
        <v>400</v>
      </c>
      <c r="I5" t="s" s="0">
        <v>88</v>
      </c>
      <c r="J5" s="8">
        <v>0</v>
      </c>
      <c r="K5" s="8">
        <v>0</v>
      </c>
      <c r="L5" s="8">
        <f t="shared" ref="L5" si="0">IF(OR(I5=0,I5="0"),0,H5)</f>
        <v>400</v>
      </c>
      <c r="M5" s="8">
        <f>ROUND(L5*I5%,2)</f>
        <v>16</v>
      </c>
      <c r="N5" s="8">
        <v>0</v>
      </c>
      <c r="O5" s="8">
        <f>ROUND(N5*J5%,2)</f>
        <v>0</v>
      </c>
      <c r="P5" s="8">
        <f>ROUND(N5-O5,2)</f>
        <v>0</v>
      </c>
      <c r="Q5" s="8">
        <f>ROUND(P5*K5%,2)</f>
        <v>0</v>
      </c>
      <c r="R5" s="8">
        <f>M5+O5+Q5</f>
        <v>16</v>
      </c>
      <c r="S5" s="8">
        <f>(H5-R5)</f>
        <v>384</v>
      </c>
      <c r="T5" s="8">
        <v>88363222</v>
      </c>
      <c r="U5" s="8">
        <v>18</v>
      </c>
      <c r="V5" s="8">
        <f>IF(OR(StPoToMRVWFRc!$C$2=1,StPoToMRVWFRc!$C$2=4),ROUND((((S5*U5)/100)/2),2),0)</f>
        <v>0</v>
      </c>
      <c r="W5" s="8">
        <f>IF(StPoToMRVWFRc!$C$2=1,ROUND((((S5*U5)/100)/2),2),0)</f>
        <v>0</v>
      </c>
      <c r="X5" s="8">
        <f>IF(StPoToMRVWFRc!$C$2=2,ROUND(((S5*U5)/100),2),0)</f>
        <v>69.12</v>
      </c>
      <c r="Y5" s="8">
        <f>IF(StPoToMRVWFRc!$C$2=4,ROUND((((S5*U5)/100)/2),2),0)</f>
        <v>0</v>
      </c>
      <c r="Z5" s="8">
        <v>0</v>
      </c>
      <c r="AA5" s="8">
        <f>IF(StPoToMRVWFRc!$C3=3,0,(S5*Z5)/100)</f>
        <v>0</v>
      </c>
      <c r="AB5" s="8">
        <f>V5+W5+X5+Y5+AA5</f>
        <v>69.12</v>
      </c>
      <c r="AC5" s="8">
        <f>IF(StPoToMRVWFRc!$V3=1,S5+AB5,S5)</f>
        <v>384</v>
      </c>
      <c r="AD5" s="31">
        <v>120</v>
      </c>
      <c r="AE5" s="31">
        <f>IF(StPoToMRVWFRc!$P$2=1,(S5/StPoToMRVWFRc!$S$6)*StPoToMRVWFRc!$E$17,AD5/StPoToMRVWFRc!$AD$6*StPoToMRVWFRc!$E$17)</f>
        <v>0</v>
      </c>
      <c r="AF5" s="31"/>
      <c r="AG5" s="31">
        <f>IF(StPoToMRVWFRc!$P$2=1,(S5/StPoToMRVWFRc!$S$6)*StPoToMRVWFRc!$E$19,AD5/StPoToMRVWFRc!$AD$6*StPoToMRVWFRc!$E$19)</f>
        <v>0</v>
      </c>
      <c r="AH5" s="31">
        <f>IF(StPoToMRVWFRc!$P$2=1,(S5/StPoToMRVWFRc!$S$6)*StPoToMRVWFRc!$E$20,AD5/StPoToMRVWFRc!$AD$6*StPoToMRVWFRc!$E$20)</f>
        <v>0</v>
      </c>
      <c r="AI5" s="31">
        <f>S5*StPoToMRVWFRc!$M$2</f>
        <v>384</v>
      </c>
      <c r="AJ5" s="31">
        <f>IF(StPoToMRVWFRc!$C$2=3,0,AG5+AH5)</f>
        <v>0</v>
      </c>
      <c r="AK5" s="31">
        <f>IF(StPoToMRVWFRc!$C$2=3,AE5+AG5+AH5,0)</f>
        <v>0</v>
      </c>
      <c r="AL5" s="34">
        <v>1</v>
      </c>
      <c r="AM5" s="31">
        <f>F5/AL5</f>
        <v>4</v>
      </c>
      <c r="AN5" s="31">
        <f>ROUND(AI5/AM5,5)</f>
        <v>96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96</v>
      </c>
      <c r="AS5" s="38" t="s">
        <v>79</v>
      </c>
      <c r="AT5" s="39" t="s">
        <v>76</v>
      </c>
      <c r="AU5" t="s" s="0">
        <v>85</v>
      </c>
      <c r="AV5" t="s" s="0">
        <v>114</v>
      </c>
      <c r="AW5" s="39">
        <f>AM5</f>
        <v>4</v>
      </c>
      <c r="AX5" s="103">
        <f>AR5</f>
        <v>96</v>
      </c>
      <c r="AY5" s="39">
        <f>AU5+AW5</f>
        <v>4</v>
      </c>
      <c r="AZ5" s="39">
        <f>ROUND(((AU5*AV5)+(AW5*AX5))/(AU5+AW5),5)</f>
        <v>96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114</v>
      </c>
      <c r="BN5" t="s" s="0">
        <v>88</v>
      </c>
      <c r="BO5" s="39">
        <f>ROUND((((AW5*AZ5)+(BN5*BM5))/(AW5+BN5)),5)</f>
        <v>96</v>
      </c>
      <c r="BP5" s="48">
        <f>ROUND(BN5+AW5,3)</f>
        <v>8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750</v>
      </c>
      <c r="I6" s="7"/>
      <c r="J6" s="7"/>
      <c r="K6" s="7"/>
      <c r="L6" s="7"/>
      <c r="M6" s="7"/>
      <c r="N6" s="7"/>
      <c r="O6" s="7"/>
      <c r="P6" s="7"/>
      <c r="Q6" s="7"/>
      <c r="R6" s="26">
        <f>SUM(R4:R4)</f>
        <v>37.5</v>
      </c>
      <c r="S6" s="13">
        <f>SUM(S4:S4)</f>
        <v>712.5</v>
      </c>
      <c r="T6" s="26"/>
      <c r="U6" s="26"/>
      <c r="V6" s="27">
        <f>SUM(V4:V4)</f>
        <v>0</v>
      </c>
      <c r="W6" s="27">
        <f>SUM(W4:W4)</f>
        <v>0</v>
      </c>
      <c r="X6" s="27">
        <f>SUM(X4:X4)</f>
        <v>128.25</v>
      </c>
      <c r="Y6" s="27"/>
      <c r="Z6" s="27"/>
      <c r="AA6" s="27"/>
      <c r="AB6" s="26">
        <f>SUM(AB4:AB4)</f>
        <v>128.25</v>
      </c>
      <c r="AC6" s="32">
        <f>SUM(AC4:AC4)</f>
        <v>840.75</v>
      </c>
      <c r="AD6" s="33">
        <f>SUM(AD4:AD4)</f>
        <v>120</v>
      </c>
      <c r="AE6" s="33">
        <f>SUM(AE4:AE4)</f>
        <v>0</v>
      </c>
      <c r="AF6" s="32"/>
      <c r="AG6" s="33">
        <f>SUM(AG4:AG4)</f>
        <v>0</v>
      </c>
      <c r="AH6" s="33">
        <f>IF($P$2=1,(S6/$S$6)*$E$20,AD6/$AD$6*$E$20)</f>
        <v>0</v>
      </c>
      <c r="AI6" s="33">
        <f>SUM(AI4:AI4)</f>
        <v>712.5</v>
      </c>
      <c r="AJ6" s="33">
        <f>SUM(AJ4:AJ4)</f>
        <v>0</v>
      </c>
      <c r="AK6" s="33">
        <f>SUM(AK4:AK4)</f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750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37.5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712.5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128.25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840.75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B4" sqref="B4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115</v>
      </c>
      <c r="C4" s="7" t="s">
        <v>115</v>
      </c>
      <c r="D4" s="7" t="s">
        <v>76</v>
      </c>
      <c r="E4" s="7" t="s">
        <v>76</v>
      </c>
      <c r="F4" s="8">
        <v>5</v>
      </c>
      <c r="G4" s="0">
        <v>50</v>
      </c>
      <c r="H4" s="8">
        <f>F4*G4</f>
        <v>250</v>
      </c>
      <c r="I4" s="0">
        <v>5</v>
      </c>
      <c r="J4" s="8">
        <v>0</v>
      </c>
      <c r="K4" s="8">
        <v>0</v>
      </c>
      <c r="L4" s="8">
        <f>IF(OR(I4=0,I4="0"),0,H4)</f>
        <v>250</v>
      </c>
      <c r="M4" s="8">
        <f>ROUND(L4*I4%,3)</f>
        <v>12.5</v>
      </c>
      <c r="N4" s="8">
        <v>0</v>
      </c>
      <c r="O4" s="8">
        <f>ROUND(N4*J4%,3)</f>
        <v>0</v>
      </c>
      <c r="P4" s="8">
        <f>ROUND(N4-O4,2)</f>
        <v>0</v>
      </c>
      <c r="Q4" s="8">
        <f>ROUND(P4*K4%,2)</f>
        <v>0</v>
      </c>
      <c r="R4" s="31">
        <f>ROUND(M4+O4+Q4,3)</f>
        <v>12.5</v>
      </c>
      <c r="S4" s="8">
        <f>(H4-R4)</f>
        <v>237.5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42.75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42.75</v>
      </c>
      <c r="AC4" s="30">
        <f>IF($V2=1,S4+AB4,S4)</f>
        <v>280.25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237.5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47.5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47.5</v>
      </c>
      <c r="AS4" s="38" t="s">
        <v>79</v>
      </c>
      <c r="AT4" s="39" t="s">
        <v>76</v>
      </c>
      <c r="AU4" t="s" s="0">
        <v>85</v>
      </c>
      <c r="AV4" t="s" s="0">
        <v>116</v>
      </c>
      <c r="AW4" s="39">
        <f>AM4</f>
        <v>5</v>
      </c>
      <c r="AX4" s="103">
        <f>AR4</f>
        <v>47.5</v>
      </c>
      <c r="AY4" s="39">
        <f>AU4+AW4</f>
        <v>5</v>
      </c>
      <c r="AZ4" s="39">
        <f>ROUND(((AU4*AV4)+(AW4*AX4))/(AU4+AW4),5)</f>
        <v>47.5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116</v>
      </c>
      <c r="BN4" t="s" s="0">
        <v>78</v>
      </c>
      <c r="BO4" s="39">
        <f>ROUND((((AW4*AZ4)+(BN4*BM4))/(AW4+BN4)),5)</f>
        <v>47.5</v>
      </c>
      <c r="BP4" s="48">
        <f>ROUND(BN4+AW4,3)</f>
        <v>10</v>
      </c>
      <c r="BQ4" s="49">
        <v>123562</v>
      </c>
    </row>
    <row r="5" ht="15.75" spans="1:69">
      <c r="A5" s="7">
        <v>1</v>
      </c>
      <c r="B5" s="7" t="s">
        <v>117</v>
      </c>
      <c r="C5" s="7" t="s">
        <v>117</v>
      </c>
      <c r="D5" s="7" t="s">
        <v>76</v>
      </c>
      <c r="E5" s="7" t="s">
        <v>76</v>
      </c>
      <c r="F5" s="8">
        <v>4</v>
      </c>
      <c r="G5" s="0">
        <v>100</v>
      </c>
      <c r="H5" s="8">
        <f>F5*G5</f>
        <v>400</v>
      </c>
      <c r="I5" s="0">
        <v>6</v>
      </c>
      <c r="J5" s="8">
        <v>0</v>
      </c>
      <c r="K5" s="8">
        <v>0</v>
      </c>
      <c r="L5" s="8">
        <f t="shared" ref="L5" si="0">IF(OR(I5=0,I5="0"),0,H5)</f>
        <v>400</v>
      </c>
      <c r="M5" s="8">
        <f>ROUND(L5*I5%,2)</f>
        <v>24</v>
      </c>
      <c r="N5" s="8">
        <v>0</v>
      </c>
      <c r="O5" s="8">
        <f>ROUND(N5*J5%,2)</f>
        <v>0</v>
      </c>
      <c r="P5" s="8">
        <f>ROUND(N5-O5,2)</f>
        <v>0</v>
      </c>
      <c r="Q5" s="8">
        <f>ROUND(P5*K5%,2)</f>
        <v>0</v>
      </c>
      <c r="R5" s="8">
        <f>M5+O5+Q5</f>
        <v>24</v>
      </c>
      <c r="S5" s="8">
        <f>(H5-R5)</f>
        <v>376</v>
      </c>
      <c r="T5" s="8">
        <v>88363222</v>
      </c>
      <c r="U5" s="8">
        <v>18</v>
      </c>
      <c r="V5" s="8">
        <f>IF(OR(StPoToMRVWF!$C$2=1,StPoToMRVWF!$C$2=4),ROUND((((S5*U5)/100)/2),2),0)</f>
        <v>0</v>
      </c>
      <c r="W5" s="8">
        <f>IF(StPoToMRVWF!$C$2=1,ROUND((((S5*U5)/100)/2),2),0)</f>
        <v>0</v>
      </c>
      <c r="X5" s="8">
        <f>IF(StPoToMRVWF!$C$2=2,ROUND(((S5*U5)/100),2),0)</f>
        <v>67.68</v>
      </c>
      <c r="Y5" s="8">
        <f>IF(StPoToMRVWF!$C$2=4,ROUND((((S5*U5)/100)/2),2),0)</f>
        <v>0</v>
      </c>
      <c r="Z5" s="8">
        <v>0</v>
      </c>
      <c r="AA5" s="8">
        <f>IF(StPoToMRVWF!$C3=3,0,(S5*Z5)/100)</f>
        <v>0</v>
      </c>
      <c r="AB5" s="8">
        <f>V5+W5+X5+Y5+AA5</f>
        <v>67.68</v>
      </c>
      <c r="AC5" s="8">
        <f>IF(StPoToMRVWF!$V3=1,S5+AB5,S5)</f>
        <v>376</v>
      </c>
      <c r="AD5" s="31">
        <v>120</v>
      </c>
      <c r="AE5" s="31">
        <f>IF(StPoToMRVWF!$P$2=1,(S5/StPoToMRVWF!$S$6)*StPoToMRVWF!$E$17,AD5/StPoToMRVWF!$AD$6*StPoToMRVWF!$E$17)</f>
        <v>0</v>
      </c>
      <c r="AF5" s="31"/>
      <c r="AG5" s="31">
        <f>IF(StPoToMRVWF!$P$2=1,(S5/StPoToMRVWF!$S$6)*StPoToMRVWF!$E$19,AD5/StPoToMRVWF!$AD$6*StPoToMRVWF!$E$19)</f>
        <v>0</v>
      </c>
      <c r="AH5" s="31">
        <f>IF(StPoToMRVWF!$P$2=1,(S5/StPoToMRVWF!$S$6)*StPoToMRVWF!$E$20,AD5/StPoToMRVWF!$AD$6*StPoToMRVWF!$E$20)</f>
        <v>0</v>
      </c>
      <c r="AI5" s="31">
        <f>S5*StPoToMRVWF!$M$2</f>
        <v>376</v>
      </c>
      <c r="AJ5" s="31">
        <f>IF(StPoToMRVWF!$C$2=3,0,AG5+AH5)</f>
        <v>0</v>
      </c>
      <c r="AK5" s="31">
        <f>IF(StPoToMRVWF!$C$2=3,AE5+AG5+AH5,0)</f>
        <v>0</v>
      </c>
      <c r="AL5" s="34">
        <v>1</v>
      </c>
      <c r="AM5" s="31">
        <f>F5/AL5</f>
        <v>4</v>
      </c>
      <c r="AN5" s="31">
        <f>ROUND(AI5/AM5,5)</f>
        <v>94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94</v>
      </c>
      <c r="AS5" s="38" t="s">
        <v>79</v>
      </c>
      <c r="AT5" s="39" t="s">
        <v>76</v>
      </c>
      <c r="AU5" t="s" s="0">
        <v>85</v>
      </c>
      <c r="AV5" t="s" s="0">
        <v>118</v>
      </c>
      <c r="AW5" s="39">
        <f>AM5</f>
        <v>4</v>
      </c>
      <c r="AX5" s="103">
        <f>AR5</f>
        <v>94</v>
      </c>
      <c r="AY5" s="39">
        <f>AU5+AW5</f>
        <v>4</v>
      </c>
      <c r="AZ5" s="39">
        <f>ROUND(((AU5*AV5)+(AW5*AX5))/(AU5+AW5),5)</f>
        <v>94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118</v>
      </c>
      <c r="BN5" t="s" s="0">
        <v>88</v>
      </c>
      <c r="BO5" s="39">
        <f>ROUND((((AW5*AZ5)+(BN5*BM5))/(AW5+BN5)),5)</f>
        <v>94</v>
      </c>
      <c r="BP5" s="48">
        <f>ROUND(BN5+AW5,3)</f>
        <v>8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250</v>
      </c>
      <c r="I6" s="7"/>
      <c r="J6" s="7"/>
      <c r="K6" s="7"/>
      <c r="L6" s="7"/>
      <c r="M6" s="7"/>
      <c r="N6" s="7"/>
      <c r="O6" s="7"/>
      <c r="P6" s="7"/>
      <c r="Q6" s="7"/>
      <c r="R6" s="26">
        <f>SUM(R4:R4)</f>
        <v>12.5</v>
      </c>
      <c r="S6" s="13">
        <f>SUM(S4:S4)</f>
        <v>237.5</v>
      </c>
      <c r="T6" s="26"/>
      <c r="U6" s="26"/>
      <c r="V6" s="27">
        <f>SUM(V4:V4)</f>
        <v>0</v>
      </c>
      <c r="W6" s="27">
        <f>SUM(W4:W4)</f>
        <v>0</v>
      </c>
      <c r="X6" s="27">
        <f>SUM(X4:X4)</f>
        <v>42.75</v>
      </c>
      <c r="Y6" s="27"/>
      <c r="Z6" s="27"/>
      <c r="AA6" s="27"/>
      <c r="AB6" s="26">
        <f>SUM(AB4:AB4)</f>
        <v>42.75</v>
      </c>
      <c r="AC6" s="32">
        <f>SUM(AC4:AC4)</f>
        <v>280.25</v>
      </c>
      <c r="AD6" s="33">
        <f>SUM(AD4:AD4)</f>
        <v>120</v>
      </c>
      <c r="AE6" s="33">
        <f>SUM(AE4:AE4)</f>
        <v>0</v>
      </c>
      <c r="AF6" s="32"/>
      <c r="AG6" s="33">
        <f>SUM(AG4:AG4)</f>
        <v>0</v>
      </c>
      <c r="AH6" s="33">
        <f>IF($P$2=1,(S6/$S$6)*$E$20,AD6/$AD$6*$E$20)</f>
        <v>0</v>
      </c>
      <c r="AI6" s="33">
        <f>SUM(AI4:AI4)</f>
        <v>237.5</v>
      </c>
      <c r="AJ6" s="33">
        <f>SUM(AJ4:AJ4)</f>
        <v>0</v>
      </c>
      <c r="AK6" s="33">
        <f>SUM(AK4:AK4)</f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250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12.5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237.5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42.75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280.25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B16" sqref="B16"/>
    </sheetView>
  </sheetViews>
  <sheetFormatPr defaultColWidth="8.84761904761905" defaultRowHeight="15"/>
  <cols>
    <col min="2" max="2" customWidth="true" width="28.0"/>
    <col min="3" max="3" customWidth="true" width="30.4285714285714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119</v>
      </c>
      <c r="C4" s="7" t="s">
        <v>119</v>
      </c>
      <c r="D4" s="7" t="s">
        <v>76</v>
      </c>
      <c r="E4" s="7" t="s">
        <v>76</v>
      </c>
      <c r="F4" s="8">
        <v>10</v>
      </c>
      <c r="G4" s="8">
        <v>150</v>
      </c>
      <c r="H4" s="8">
        <f t="shared" ref="H4:H5" si="0">F4*G4</f>
        <v>1500</v>
      </c>
      <c r="I4" s="8">
        <v>5</v>
      </c>
      <c r="J4" s="8">
        <v>8</v>
      </c>
      <c r="K4" s="8">
        <v>5</v>
      </c>
      <c r="L4" s="8">
        <f t="shared" ref="L4:L5" si="1">H4</f>
        <v>1500</v>
      </c>
      <c r="M4" s="8">
        <f t="shared" ref="M4:M5" si="2">ROUND(L4*I4%,2)</f>
        <v>75</v>
      </c>
      <c r="N4" s="8">
        <f t="shared" ref="N4:N5" si="3">H4-M4</f>
        <v>1425</v>
      </c>
      <c r="O4" s="8">
        <f t="shared" ref="O4:O5" si="4">ROUND(N4*J4%,2)</f>
        <v>114</v>
      </c>
      <c r="P4" s="8">
        <f t="shared" ref="P4:P5" si="5">ROUND(N4-O4,2)</f>
        <v>1311</v>
      </c>
      <c r="Q4" s="8">
        <f t="shared" ref="Q4:Q5" si="6">ROUND(P4*K4%,2)</f>
        <v>65.55</v>
      </c>
      <c r="R4" s="8">
        <f t="shared" ref="R4:R5" si="7">M4+O4+Q4</f>
        <v>254.55</v>
      </c>
      <c r="S4" s="8">
        <f t="shared" ref="S4:S5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5" si="9">V4+W4+X4+Y4+AA4</f>
        <v>224.18</v>
      </c>
      <c r="AC4" s="30">
        <f>IF($V2=1,S4+AB4,S4)</f>
        <v>1469.63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5" si="10">F4/AL4</f>
        <v>3.33333333333333</v>
      </c>
      <c r="AN4" s="34">
        <f>ROUND(AI4/AM4,3)</f>
        <v>373.635</v>
      </c>
      <c r="AO4" s="31">
        <f t="shared" ref="AO4:AO5" si="11">AJ4/AM4</f>
        <v>0</v>
      </c>
      <c r="AP4" s="31">
        <f t="shared" ref="AP4:AP5" si="12"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85</v>
      </c>
      <c r="AV4" t="s" s="0">
        <v>121</v>
      </c>
      <c r="AW4" s="39">
        <f t="shared" ref="AW4:AW5" si="13">AM4</f>
        <v>3.33333333333333</v>
      </c>
      <c r="AX4" s="42">
        <f t="shared" ref="AX4:AX5" si="14">AR4</f>
        <v>373.635</v>
      </c>
      <c r="AY4" s="39">
        <f t="shared" ref="AY4:AY5" si="15">AU4+AW4</f>
        <v>3.33333333333333</v>
      </c>
      <c r="AZ4" s="42">
        <f>ROUND(((AU4*AV4)+(AW4*AX4))/(AU4+AW4),5)</f>
        <v>373.635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121</v>
      </c>
      <c r="BN4" t="s" s="0">
        <v>123</v>
      </c>
      <c r="BO4" s="39">
        <f t="shared" ref="BO4:BO5" si="16">ROUND((((AW4*AZ4)+(BN4*BM4))/(AW4+BN4)),5)</f>
        <v>373.635</v>
      </c>
      <c r="BP4" s="48">
        <f t="shared" ref="BP4:BP5" si="17">ROUND(BN4+AW4,3)</f>
        <v>16.665</v>
      </c>
      <c r="BQ4" s="49">
        <v>123562</v>
      </c>
    </row>
    <row r="5" ht="15.75" spans="1:69">
      <c r="A5" s="7">
        <v>1</v>
      </c>
      <c r="B5" s="7" t="s">
        <v>124</v>
      </c>
      <c r="C5" s="7" t="s">
        <v>124</v>
      </c>
      <c r="D5" s="7" t="s">
        <v>76</v>
      </c>
      <c r="E5" s="7" t="s">
        <v>76</v>
      </c>
      <c r="F5" s="8">
        <v>20</v>
      </c>
      <c r="G5" s="8">
        <v>100</v>
      </c>
      <c r="H5" s="8">
        <f t="shared" si="0"/>
        <v>2000</v>
      </c>
      <c r="I5" s="8">
        <v>4</v>
      </c>
      <c r="J5" s="8">
        <v>9</v>
      </c>
      <c r="K5" s="8">
        <v>6</v>
      </c>
      <c r="L5" s="8">
        <f t="shared" si="1"/>
        <v>2000</v>
      </c>
      <c r="M5" s="8">
        <f t="shared" si="2"/>
        <v>80</v>
      </c>
      <c r="N5" s="8">
        <f t="shared" si="3"/>
        <v>1920</v>
      </c>
      <c r="O5" s="8">
        <f t="shared" si="4"/>
        <v>172.8</v>
      </c>
      <c r="P5" s="8">
        <f t="shared" si="5"/>
        <v>1747.2</v>
      </c>
      <c r="Q5" s="8">
        <f t="shared" si="6"/>
        <v>104.83</v>
      </c>
      <c r="R5" s="8">
        <f t="shared" si="7"/>
        <v>357.63</v>
      </c>
      <c r="S5" s="8">
        <f t="shared" si="8"/>
        <v>1642.37</v>
      </c>
      <c r="T5" s="8">
        <v>88363222</v>
      </c>
      <c r="U5" s="8">
        <v>18</v>
      </c>
      <c r="V5" s="8">
        <f>IF(OR(PoToMRVWFDUom!$C$2=1,PoToMRVWFDUom!$C$2=4),ROUND((((S5*U5)/100)/2),2),0)</f>
        <v>0</v>
      </c>
      <c r="W5" s="8">
        <f>IF(PoToMRVWFDUom!$C$2=1,ROUND((((S5*U5)/100)/2),2),0)</f>
        <v>0</v>
      </c>
      <c r="X5" s="8">
        <f>IF(PoToMRVWFDUom!$C$2=2,ROUND(((S5*U5)/100),2),0)</f>
        <v>295.63</v>
      </c>
      <c r="Y5" s="8">
        <f>IF(PoToMRVWFDUom!$C$2=4,ROUND((((S5*U5)/100)/2),2),0)</f>
        <v>0</v>
      </c>
      <c r="Z5" s="8">
        <v>0</v>
      </c>
      <c r="AA5" s="8">
        <f>IF(PoToMRVWFDUom!$C3=3,0,(S5*Z5)/100)</f>
        <v>0</v>
      </c>
      <c r="AB5" s="8">
        <f t="shared" si="9"/>
        <v>295.63</v>
      </c>
      <c r="AC5" s="8">
        <f>IF(PoToMRVWFDUom!$V3=1,S5+AB5,S5)</f>
        <v>1642.37</v>
      </c>
      <c r="AD5" s="31">
        <v>120</v>
      </c>
      <c r="AE5" s="31">
        <f>IF(PoToMRVWFDUom!$P$2=1,(S5/PoToMRVWFDUom!$S$6)*PoToMRVWFDUom!$E$17,AD5/PoToMRVWFDUom!$AD$6*PoToMRVWFDUom!$E$17)</f>
        <v>0</v>
      </c>
      <c r="AF5" s="31"/>
      <c r="AG5" s="31">
        <f>IF(PoToMRVWFDUom!$P$2=1,(S5/PoToMRVWFDUom!$S$6)*PoToMRVWFDUom!$E$19,AD5/PoToMRVWFDUom!$AD$6*PoToMRVWFDUom!$E$19)</f>
        <v>0</v>
      </c>
      <c r="AH5" s="31">
        <f>IF(PoToMRVWFDUom!$P$2=1,(S5/PoToMRVWFDUom!$S$6)*PoToMRVWFDUom!$E$20,AD5/PoToMRVWFDUom!$AD$6*PoToMRVWFDUom!$E$20)</f>
        <v>0</v>
      </c>
      <c r="AI5" s="31">
        <f>S5*PoToMRVWFDUom!$M$2</f>
        <v>1642.37</v>
      </c>
      <c r="AJ5" s="31">
        <f>IF(PoToMRVWFDUom!$C$2=3,0,AG5+AH5)</f>
        <v>0</v>
      </c>
      <c r="AK5" s="31">
        <f>IF(PoToMRVWFDUom!$C$2=3,AE5+AG5+AH5,0)</f>
        <v>0</v>
      </c>
      <c r="AL5" s="34">
        <v>3</v>
      </c>
      <c r="AM5" s="31">
        <f t="shared" si="10"/>
        <v>6.66666666666667</v>
      </c>
      <c r="AN5" s="31">
        <f>ROUND(AI5/AM5,5)</f>
        <v>246.3555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246.3555</v>
      </c>
      <c r="AS5" s="38" t="s">
        <v>120</v>
      </c>
      <c r="AT5" s="39" t="s">
        <v>76</v>
      </c>
      <c r="AU5" t="s" s="0">
        <v>85</v>
      </c>
      <c r="AV5" t="s" s="0">
        <v>125</v>
      </c>
      <c r="AW5" s="39">
        <f t="shared" si="13"/>
        <v>6.66666666666667</v>
      </c>
      <c r="AX5" s="39">
        <f t="shared" si="14"/>
        <v>246.3555</v>
      </c>
      <c r="AY5" s="39">
        <f t="shared" si="15"/>
        <v>6.66666666666667</v>
      </c>
      <c r="AZ5" s="103">
        <f>ROUND(((AU5*AV5)+(AW5*AX5))/(AU5+AW5),2)</f>
        <v>246.36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126</v>
      </c>
      <c r="BO5" s="39">
        <f t="shared" si="16"/>
        <v>246.36</v>
      </c>
      <c r="BP5" s="48">
        <f t="shared" si="17"/>
        <v>19.333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1500</v>
      </c>
      <c r="I6" s="7"/>
      <c r="J6" s="7"/>
      <c r="K6" s="7"/>
      <c r="L6" s="7"/>
      <c r="M6" s="7"/>
      <c r="N6" s="7"/>
      <c r="O6" s="7"/>
      <c r="P6" s="7"/>
      <c r="Q6" s="7"/>
      <c r="R6" s="26">
        <f t="shared" ref="R6:X6" si="18">SUM(R4:R4)</f>
        <v>254.55</v>
      </c>
      <c r="S6" s="13">
        <f t="shared" si="18"/>
        <v>1245.45</v>
      </c>
      <c r="T6" s="26"/>
      <c r="U6" s="26"/>
      <c r="V6" s="27">
        <f t="shared" si="18"/>
        <v>0</v>
      </c>
      <c r="W6" s="27">
        <f t="shared" si="18"/>
        <v>0</v>
      </c>
      <c r="X6" s="27">
        <f t="shared" si="18"/>
        <v>224.18</v>
      </c>
      <c r="Y6" s="27"/>
      <c r="Z6" s="27"/>
      <c r="AA6" s="27"/>
      <c r="AB6" s="26">
        <f t="shared" ref="AB6:AE6" si="19">SUM(AB4:AB4)</f>
        <v>224.18</v>
      </c>
      <c r="AC6" s="32">
        <f t="shared" si="19"/>
        <v>1469.63</v>
      </c>
      <c r="AD6" s="33">
        <f t="shared" si="19"/>
        <v>120</v>
      </c>
      <c r="AE6" s="33">
        <f t="shared" si="19"/>
        <v>0</v>
      </c>
      <c r="AF6" s="32"/>
      <c r="AG6" s="33">
        <f t="shared" ref="AG6:AK6" si="20">SUM(AG4:AG4)</f>
        <v>0</v>
      </c>
      <c r="AH6" s="33">
        <f>IF($P$2=1,(S6/$S$6)*$E$20,AD6/$AD$6*$E$20)</f>
        <v>0</v>
      </c>
      <c r="AI6" s="33">
        <f t="shared" si="20"/>
        <v>1245.45</v>
      </c>
      <c r="AJ6" s="33">
        <f t="shared" si="20"/>
        <v>0</v>
      </c>
      <c r="AK6" s="33">
        <f t="shared" si="20"/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1500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254.55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1245.45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224.18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1469.63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C10" sqref="C10"/>
    </sheetView>
  </sheetViews>
  <sheetFormatPr defaultColWidth="8.84761904761905" defaultRowHeight="15"/>
  <cols>
    <col min="2" max="2" customWidth="true" width="28.0"/>
    <col min="3" max="3" customWidth="true" width="30.4285714285714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119</v>
      </c>
      <c r="C4" s="7" t="s">
        <v>119</v>
      </c>
      <c r="D4" s="7" t="s">
        <v>76</v>
      </c>
      <c r="E4" s="7" t="s">
        <v>76</v>
      </c>
      <c r="F4" s="8">
        <v>10</v>
      </c>
      <c r="G4" s="8">
        <v>150</v>
      </c>
      <c r="H4" s="8">
        <f>F4*G4</f>
        <v>1500</v>
      </c>
      <c r="I4" s="8">
        <v>5</v>
      </c>
      <c r="J4" s="8">
        <v>8</v>
      </c>
      <c r="K4" s="8">
        <v>5</v>
      </c>
      <c r="L4" s="8">
        <f>H4</f>
        <v>1500</v>
      </c>
      <c r="M4" s="8">
        <f>ROUND(L4*I4%,2)</f>
        <v>75</v>
      </c>
      <c r="N4" s="8">
        <f>H4-M4</f>
        <v>1425</v>
      </c>
      <c r="O4" s="8">
        <f>ROUND(N4*J4%,2)</f>
        <v>114</v>
      </c>
      <c r="P4" s="8">
        <f>ROUND(N4-O4,2)</f>
        <v>1311</v>
      </c>
      <c r="Q4" s="8">
        <f>ROUND(P4*K4%,2)</f>
        <v>65.55</v>
      </c>
      <c r="R4" s="8">
        <f>M4+O4+Q4</f>
        <v>254.55</v>
      </c>
      <c r="S4" s="8">
        <f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224.18</v>
      </c>
      <c r="AC4" s="30">
        <f>IF($V2=1,S4+AB4,S4)</f>
        <v>1245.45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>F4/AL4</f>
        <v>3.33333333333333</v>
      </c>
      <c r="AN4" s="34">
        <f>ROUND(AI4/AM4,3)</f>
        <v>373.635</v>
      </c>
      <c r="AO4" s="31">
        <f>AJ4/AM4</f>
        <v>0</v>
      </c>
      <c r="AP4" s="31">
        <f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85</v>
      </c>
      <c r="AV4" t="s" s="0">
        <v>121</v>
      </c>
      <c r="AW4" s="39">
        <f>AM4</f>
        <v>3.33333333333333</v>
      </c>
      <c r="AX4" s="42">
        <f>AR4</f>
        <v>373.635</v>
      </c>
      <c r="AY4" s="39">
        <f>AU4+AW4</f>
        <v>3.33333333333333</v>
      </c>
      <c r="AZ4" s="42">
        <f>ROUND(((AU4*AV4)+(AW4*AX4))/(AU4+AW4),5)</f>
        <v>373.635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127</v>
      </c>
      <c r="BN4" t="s" s="0">
        <v>128</v>
      </c>
      <c r="BO4" s="39">
        <f>ROUND((((AW4*AZ4)+(BN4*BM4))/(AW4+BN4)),5)</f>
        <v>12594.51425</v>
      </c>
      <c r="BP4" s="48">
        <f>ROUND(BN4+AW4,3)</f>
        <v>36.667</v>
      </c>
      <c r="BQ4" s="49">
        <v>123562</v>
      </c>
    </row>
    <row r="5" ht="15.75" spans="1:69">
      <c r="A5" s="7">
        <v>1</v>
      </c>
      <c r="B5" s="7" t="s">
        <v>124</v>
      </c>
      <c r="C5" s="7" t="s">
        <v>124</v>
      </c>
      <c r="D5" s="7" t="s">
        <v>76</v>
      </c>
      <c r="E5" s="7" t="s">
        <v>76</v>
      </c>
      <c r="F5" s="8">
        <v>20</v>
      </c>
      <c r="G5" s="8">
        <v>100</v>
      </c>
      <c r="H5" s="8">
        <f>F5*G5</f>
        <v>2000</v>
      </c>
      <c r="I5" s="8">
        <v>4</v>
      </c>
      <c r="J5" s="8">
        <v>9</v>
      </c>
      <c r="K5" s="8">
        <v>6</v>
      </c>
      <c r="L5" s="8">
        <f>H5</f>
        <v>2000</v>
      </c>
      <c r="M5" s="8">
        <f>ROUND(L5*I5%,2)</f>
        <v>80</v>
      </c>
      <c r="N5" s="8">
        <f>H5-M5</f>
        <v>1920</v>
      </c>
      <c r="O5" s="8">
        <f>ROUND(N5*J5%,2)</f>
        <v>172.8</v>
      </c>
      <c r="P5" s="8">
        <f>ROUND(N5-O5,2)</f>
        <v>1747.2</v>
      </c>
      <c r="Q5" s="8">
        <f>ROUND(P5*K5%,2)</f>
        <v>104.83</v>
      </c>
      <c r="R5" s="8">
        <f>M5+O5+Q5</f>
        <v>357.63</v>
      </c>
      <c r="S5" s="8">
        <f>(H5-R5)</f>
        <v>1642.37</v>
      </c>
      <c r="T5" s="8">
        <v>88363222</v>
      </c>
      <c r="U5" s="8">
        <v>18</v>
      </c>
      <c r="V5" s="8">
        <f>IF(OR(PoToMRVWoQDUom!$C$2=1,PoToMRVWoQDUom!$C$2=4),ROUND((((S5*U5)/100)/2),2),0)</f>
        <v>0</v>
      </c>
      <c r="W5" s="8">
        <f>IF(PoToMRVWoQDUom!$C$2=1,ROUND((((S5*U5)/100)/2),2),0)</f>
        <v>0</v>
      </c>
      <c r="X5" s="8">
        <f>IF(PoToMRVWoQDUom!$C$2=2,ROUND(((S5*U5)/100),2),0)</f>
        <v>295.63</v>
      </c>
      <c r="Y5" s="8">
        <f>IF(PoToMRVWoQDUom!$C$2=4,ROUND((((S5*U5)/100)/2),2),0)</f>
        <v>0</v>
      </c>
      <c r="Z5" s="8">
        <v>0</v>
      </c>
      <c r="AA5" s="8">
        <f>IF(PoToMRVWoQDUom!$C3=3,0,(S5*Z5)/100)</f>
        <v>0</v>
      </c>
      <c r="AB5" s="8">
        <f>V5+W5+X5+Y5+AA5</f>
        <v>295.63</v>
      </c>
      <c r="AC5" s="8">
        <f>IF(PoToMRVWoQDUom!$V3=1,S5+AB5,S5)</f>
        <v>1642.37</v>
      </c>
      <c r="AD5" s="31">
        <v>120</v>
      </c>
      <c r="AE5" s="31">
        <f>IF(PoToMRVWoQDUom!$P$2=1,(S5/PoToMRVWoQDUom!$S$6)*PoToMRVWoQDUom!$E$17,AD5/PoToMRVWoQDUom!$AD$6*PoToMRVWoQDUom!$E$17)</f>
        <v>0</v>
      </c>
      <c r="AF5" s="31"/>
      <c r="AG5" s="31">
        <f>IF(PoToMRVWoQDUom!$P$2=1,(S5/PoToMRVWoQDUom!$S$6)*PoToMRVWoQDUom!$E$19,AD5/PoToMRVWoQDUom!$AD$6*PoToMRVWoQDUom!$E$19)</f>
        <v>0</v>
      </c>
      <c r="AH5" s="31">
        <f>IF(PoToMRVWoQDUom!$P$2=1,(S5/PoToMRVWoQDUom!$S$6)*PoToMRVWoQDUom!$E$20,AD5/PoToMRVWoQDUom!$AD$6*PoToMRVWoQDUom!$E$20)</f>
        <v>0</v>
      </c>
      <c r="AI5" s="31">
        <f>S5*PoToMRVWoQDUom!$M$2</f>
        <v>1642.37</v>
      </c>
      <c r="AJ5" s="31">
        <f>IF(PoToMRVWoQDUom!$C$2=3,0,AG5+AH5)</f>
        <v>0</v>
      </c>
      <c r="AK5" s="31">
        <f>IF(PoToMRVWoQDUom!$C$2=3,AE5+AG5+AH5,0)</f>
        <v>0</v>
      </c>
      <c r="AL5" s="34">
        <v>3</v>
      </c>
      <c r="AM5" s="31">
        <f>F5/AL5</f>
        <v>6.66666666666667</v>
      </c>
      <c r="AN5" s="31">
        <f>ROUND(AI5/AM5,5)</f>
        <v>246.3555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246.3555</v>
      </c>
      <c r="AS5" s="38" t="s">
        <v>120</v>
      </c>
      <c r="AT5" s="39" t="s">
        <v>76</v>
      </c>
      <c r="AU5" t="s" s="0">
        <v>85</v>
      </c>
      <c r="AV5" t="s" s="0">
        <v>125</v>
      </c>
      <c r="AW5" s="39">
        <f>AM5</f>
        <v>6.66666666666667</v>
      </c>
      <c r="AX5" s="39">
        <f>AR5</f>
        <v>246.3555</v>
      </c>
      <c r="AY5" s="39">
        <f>AU5+AW5</f>
        <v>6.66666666666667</v>
      </c>
      <c r="AZ5" s="103">
        <f>ROUND(((AU5*AV5)+(AW5*AX5))/(AU5+AW5),2)</f>
        <v>246.36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129</v>
      </c>
      <c r="BO5" s="39">
        <f>ROUND((((AW5*AZ5)+(BN5*BM5))/(AW5+BN5)),5)</f>
        <v>246.36</v>
      </c>
      <c r="BP5" s="48">
        <f>ROUND(BN5+AW5,3)</f>
        <v>32.667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1500</v>
      </c>
      <c r="I6" s="7"/>
      <c r="J6" s="7"/>
      <c r="K6" s="7"/>
      <c r="L6" s="7"/>
      <c r="M6" s="7"/>
      <c r="N6" s="7"/>
      <c r="O6" s="7"/>
      <c r="P6" s="7"/>
      <c r="Q6" s="7"/>
      <c r="R6" s="26">
        <f t="shared" ref="R6:X6" si="0">SUM(R4:R4)</f>
        <v>254.55</v>
      </c>
      <c r="S6" s="13">
        <f t="shared" si="0"/>
        <v>1245.45</v>
      </c>
      <c r="T6" s="26"/>
      <c r="U6" s="26"/>
      <c r="V6" s="27">
        <f t="shared" si="0"/>
        <v>0</v>
      </c>
      <c r="W6" s="27">
        <f t="shared" si="0"/>
        <v>0</v>
      </c>
      <c r="X6" s="27">
        <f t="shared" si="0"/>
        <v>224.18</v>
      </c>
      <c r="Y6" s="27"/>
      <c r="Z6" s="27"/>
      <c r="AA6" s="27"/>
      <c r="AB6" s="26">
        <f t="shared" ref="AB6:AE6" si="1">SUM(AB4:AB4)</f>
        <v>224.18</v>
      </c>
      <c r="AC6" s="32">
        <f t="shared" si="1"/>
        <v>1245.45</v>
      </c>
      <c r="AD6" s="33">
        <f t="shared" si="1"/>
        <v>120</v>
      </c>
      <c r="AE6" s="33">
        <f t="shared" si="1"/>
        <v>0</v>
      </c>
      <c r="AF6" s="32"/>
      <c r="AG6" s="33">
        <f t="shared" ref="AG6:AK6" si="2">SUM(AG4:AG4)</f>
        <v>0</v>
      </c>
      <c r="AH6" s="33">
        <f>IF($P$2=1,(S6/$S$6)*$E$20,AD6/$AD$6*$E$20)</f>
        <v>0</v>
      </c>
      <c r="AI6" s="33">
        <f t="shared" si="2"/>
        <v>1245.45</v>
      </c>
      <c r="AJ6" s="33">
        <f t="shared" si="2"/>
        <v>0</v>
      </c>
      <c r="AK6" s="33">
        <f t="shared" si="2"/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1500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254.55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1245.45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224.18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1469.63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J1" workbookViewId="0">
      <selection activeCell="Y11" sqref="Y11"/>
    </sheetView>
  </sheetViews>
  <sheetFormatPr defaultColWidth="8.84761904761905" defaultRowHeight="15"/>
  <cols>
    <col min="2" max="2" customWidth="true" width="28.0"/>
    <col min="3" max="3" customWidth="true" width="30.4285714285714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119</v>
      </c>
      <c r="C4" s="7" t="s">
        <v>119</v>
      </c>
      <c r="D4" s="7" t="s">
        <v>76</v>
      </c>
      <c r="E4" s="7" t="s">
        <v>76</v>
      </c>
      <c r="F4" s="8">
        <v>10</v>
      </c>
      <c r="G4" s="8">
        <v>150</v>
      </c>
      <c r="H4" s="8">
        <f>F4*G4</f>
        <v>1500</v>
      </c>
      <c r="I4" s="8">
        <v>5</v>
      </c>
      <c r="J4" s="8">
        <v>8</v>
      </c>
      <c r="K4" s="8">
        <v>5</v>
      </c>
      <c r="L4" s="8">
        <f>H4</f>
        <v>1500</v>
      </c>
      <c r="M4" s="8">
        <f>ROUND(L4*I4%,2)</f>
        <v>75</v>
      </c>
      <c r="N4" s="8">
        <f>H4-M4</f>
        <v>1425</v>
      </c>
      <c r="O4" s="8">
        <f>ROUND(N4*J4%,2)</f>
        <v>114</v>
      </c>
      <c r="P4" s="8">
        <f>ROUND(N4-O4,2)</f>
        <v>1311</v>
      </c>
      <c r="Q4" s="8">
        <f>ROUND(P4*K4%,2)</f>
        <v>65.55</v>
      </c>
      <c r="R4" s="8">
        <f>M4+O4+Q4</f>
        <v>254.55</v>
      </c>
      <c r="S4" s="8">
        <f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0</v>
      </c>
      <c r="AC4" s="30">
        <f>IF($V2=1,S4+AB4,S4)</f>
        <v>1245.45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S4*$M$2</f>
        <v>105863.25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>F4/AL4</f>
        <v>3.33333333333333</v>
      </c>
      <c r="AN4" s="34">
        <f>ROUND(AI4/AM4,3)</f>
        <v>31758.975</v>
      </c>
      <c r="AO4" s="31">
        <f>AJ4/AM4</f>
        <v>0</v>
      </c>
      <c r="AP4" s="31">
        <f>AK4/AM4</f>
        <v>0</v>
      </c>
      <c r="AQ4" s="31" t="s">
        <v>76</v>
      </c>
      <c r="AR4" s="34">
        <f>ROUND(AN4+AO4+AP4,3)</f>
        <v>31758.975</v>
      </c>
      <c r="AS4" s="38" t="s">
        <v>120</v>
      </c>
      <c r="AT4" s="39" t="s">
        <v>76</v>
      </c>
      <c r="AU4" t="s" s="0">
        <v>85</v>
      </c>
      <c r="AV4" t="s" s="0">
        <v>130</v>
      </c>
      <c r="AW4" s="39">
        <f>AM4</f>
        <v>3.33333333333333</v>
      </c>
      <c r="AX4" s="42">
        <f>AR4</f>
        <v>31758.975</v>
      </c>
      <c r="AY4" s="39">
        <f>AU4+AW4</f>
        <v>3.33333333333333</v>
      </c>
      <c r="AZ4" s="42">
        <f>ROUND(((AU4*AV4)+(AW4*AX4))/(AU4+AW4),5)</f>
        <v>31758.975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131</v>
      </c>
      <c r="BN4" t="s" s="0">
        <v>132</v>
      </c>
      <c r="BO4" s="39">
        <f>ROUND((((AW4*AZ4)+(BN4*BM4))/(AW4+BN4)),5)</f>
        <v>15447.6751</v>
      </c>
      <c r="BP4" s="48">
        <f>ROUND(BN4+AW4,3)</f>
        <v>36.667</v>
      </c>
      <c r="BQ4" s="49">
        <v>123562</v>
      </c>
    </row>
    <row r="5" ht="15.75" spans="1:69">
      <c r="A5" s="7">
        <v>1</v>
      </c>
      <c r="B5" s="7" t="s">
        <v>124</v>
      </c>
      <c r="C5" s="7" t="s">
        <v>124</v>
      </c>
      <c r="D5" s="7" t="s">
        <v>76</v>
      </c>
      <c r="E5" s="7" t="s">
        <v>76</v>
      </c>
      <c r="F5" s="8">
        <v>20</v>
      </c>
      <c r="G5" s="8">
        <v>100</v>
      </c>
      <c r="H5" s="8">
        <f>F5*G5</f>
        <v>2000</v>
      </c>
      <c r="I5" s="8">
        <v>4</v>
      </c>
      <c r="J5" s="8">
        <v>9</v>
      </c>
      <c r="K5" s="8">
        <v>6</v>
      </c>
      <c r="L5" s="8">
        <f>H5</f>
        <v>2000</v>
      </c>
      <c r="M5" s="8">
        <f>ROUND(L5*I5%,2)</f>
        <v>80</v>
      </c>
      <c r="N5" s="8">
        <f>H5-M5</f>
        <v>1920</v>
      </c>
      <c r="O5" s="8">
        <f>ROUND(N5*J5%,2)</f>
        <v>172.8</v>
      </c>
      <c r="P5" s="8">
        <f>ROUND(N5-O5,2)</f>
        <v>1747.2</v>
      </c>
      <c r="Q5" s="8">
        <f>ROUND(P5*K5%,2)</f>
        <v>104.83</v>
      </c>
      <c r="R5" s="8">
        <f>M5+O5+Q5</f>
        <v>357.63</v>
      </c>
      <c r="S5" s="8">
        <f>(H5-R5)</f>
        <v>1642.37</v>
      </c>
      <c r="T5" s="8">
        <v>88363222</v>
      </c>
      <c r="U5" s="8">
        <v>18</v>
      </c>
      <c r="V5" s="8">
        <f>IF(OR(PoToMRVWoQDUomImp!$C$2=1,PoToMRVWoQDUomImp!$C$2=4),ROUND((((S5*U5)/100)/2),2),0)</f>
        <v>0</v>
      </c>
      <c r="W5" s="8">
        <f>IF(PoToMRVWoQDUomImp!$C$2=1,ROUND((((S5*U5)/100)/2),2),0)</f>
        <v>0</v>
      </c>
      <c r="X5" s="8">
        <f>IF(PoToMRVWoQDUomImp!$C$2=2,ROUND(((S5*U5)/100),2),0)</f>
        <v>0</v>
      </c>
      <c r="Y5" s="8">
        <f>IF(PoToMRVWoQDUomImp!$C$2=4,ROUND((((S5*U5)/100)/2),2),0)</f>
        <v>0</v>
      </c>
      <c r="Z5" s="8">
        <v>0</v>
      </c>
      <c r="AA5" s="8">
        <f>IF(PoToMRVWoQDUomImp!$C3=3,0,(S5*Z5)/100)</f>
        <v>0</v>
      </c>
      <c r="AB5" s="8">
        <f>V5+W5+X5+Y5+AA5</f>
        <v>0</v>
      </c>
      <c r="AC5" s="8">
        <f>IF(PoToMRVWoQDUomImp!$V3=1,S5+AB5,S5)</f>
        <v>1642.37</v>
      </c>
      <c r="AD5" s="31">
        <v>120</v>
      </c>
      <c r="AE5" s="31">
        <f>IF(PoToMRVWoQDUomImp!$P$2=1,(S5/PoToMRVWoQDUomImp!$S$6)*PoToMRVWoQDUomImp!$E$17,AD5/PoToMRVWoQDUomImp!$AD$6*PoToMRVWoQDUomImp!$E$17)</f>
        <v>0</v>
      </c>
      <c r="AF5" s="31"/>
      <c r="AG5" s="31">
        <f>IF(PoToMRVWoQDUomImp!$P$2=1,(S5/PoToMRVWoQDUomImp!$S$6)*PoToMRVWoQDUomImp!$E$19,AD5/PoToMRVWoQDUomImp!$AD$6*PoToMRVWoQDUomImp!$E$19)</f>
        <v>0</v>
      </c>
      <c r="AH5" s="31">
        <f>IF(PoToMRVWoQDUomImp!$P$2=1,(S5/PoToMRVWoQDUomImp!$S$6)*PoToMRVWoQDUomImp!$E$20,AD5/PoToMRVWoQDUomImp!$AD$6*PoToMRVWoQDUomImp!$E$20)</f>
        <v>0</v>
      </c>
      <c r="AI5" s="31">
        <f>S5*PoToMRVWoQDUomImp!$M$2</f>
        <v>139601.45</v>
      </c>
      <c r="AJ5" s="31">
        <f>IF(PoToMRVWoQDUomImp!$C$2=3,0,AG5+AH5)</f>
        <v>0</v>
      </c>
      <c r="AK5" s="31">
        <f>IF(PoToMRVWoQDUomImp!$C$2=3,AE5+AG5+AH5,0)</f>
        <v>0</v>
      </c>
      <c r="AL5" s="34">
        <v>3</v>
      </c>
      <c r="AM5" s="31">
        <f>F5/AL5</f>
        <v>6.66666666666667</v>
      </c>
      <c r="AN5" s="31">
        <f>ROUND(AI5/AM5,5)</f>
        <v>20940.2175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20940.2175</v>
      </c>
      <c r="AS5" s="38" t="s">
        <v>120</v>
      </c>
      <c r="AT5" s="39" t="s">
        <v>76</v>
      </c>
      <c r="AU5" t="s" s="0">
        <v>85</v>
      </c>
      <c r="AV5" t="s" s="0">
        <v>133</v>
      </c>
      <c r="AW5" s="39">
        <f>AM5</f>
        <v>6.66666666666667</v>
      </c>
      <c r="AX5" s="39">
        <f>AR5</f>
        <v>20940.2175</v>
      </c>
      <c r="AY5" s="39">
        <f>AU5+AW5</f>
        <v>6.66666666666667</v>
      </c>
      <c r="AZ5" s="103">
        <f>ROUND(((AU5*AV5)+(AW5*AX5))/(AU5+AW5),2)</f>
        <v>20940.22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134</v>
      </c>
      <c r="BN5" t="s" s="0">
        <v>135</v>
      </c>
      <c r="BO5" s="39">
        <f>ROUND((((AW5*AZ5)+(BN5*BM5))/(AW5+BN5)),5)</f>
        <v>4469.59673</v>
      </c>
      <c r="BP5" s="48">
        <f>ROUND(BN5+AW5,3)</f>
        <v>32.667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1500</v>
      </c>
      <c r="I6" s="7"/>
      <c r="J6" s="7"/>
      <c r="K6" s="7"/>
      <c r="L6" s="7"/>
      <c r="M6" s="7"/>
      <c r="N6" s="7"/>
      <c r="O6" s="7"/>
      <c r="P6" s="7"/>
      <c r="Q6" s="7"/>
      <c r="R6" s="26">
        <f t="shared" ref="R6:X6" si="0">SUM(R4:R4)</f>
        <v>254.55</v>
      </c>
      <c r="S6" s="13">
        <f t="shared" si="0"/>
        <v>1245.45</v>
      </c>
      <c r="T6" s="26"/>
      <c r="U6" s="26"/>
      <c r="V6" s="27">
        <f t="shared" si="0"/>
        <v>0</v>
      </c>
      <c r="W6" s="27">
        <f t="shared" si="0"/>
        <v>0</v>
      </c>
      <c r="X6" s="27">
        <f t="shared" si="0"/>
        <v>0</v>
      </c>
      <c r="Y6" s="27"/>
      <c r="Z6" s="27"/>
      <c r="AA6" s="27"/>
      <c r="AB6" s="26">
        <f t="shared" ref="AB6:AE6" si="1">SUM(AB4:AB4)</f>
        <v>0</v>
      </c>
      <c r="AC6" s="32">
        <f t="shared" si="1"/>
        <v>1245.45</v>
      </c>
      <c r="AD6" s="33">
        <f t="shared" si="1"/>
        <v>120</v>
      </c>
      <c r="AE6" s="33">
        <f t="shared" si="1"/>
        <v>0</v>
      </c>
      <c r="AF6" s="32"/>
      <c r="AG6" s="33">
        <f t="shared" ref="AG6:AK6" si="2">SUM(AG4:AG4)</f>
        <v>0</v>
      </c>
      <c r="AH6" s="33">
        <f>IF($P$2=1,(S6/$S$6)*$E$20,AD6/$AD$6*$E$20)</f>
        <v>0</v>
      </c>
      <c r="AI6" s="33">
        <f t="shared" si="2"/>
        <v>105863.25</v>
      </c>
      <c r="AJ6" s="33">
        <f t="shared" si="2"/>
        <v>0</v>
      </c>
      <c r="AK6" s="33">
        <f t="shared" si="2"/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1500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254.55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1245.45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0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1245.45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"/>
  <sheetViews>
    <sheetView topLeftCell="AY1" workbookViewId="0">
      <selection activeCell="AS9" sqref="AS9"/>
    </sheetView>
  </sheetViews>
  <sheetFormatPr defaultColWidth="8.84761904761905" defaultRowHeight="15" outlineLevelRow="6"/>
  <cols>
    <col min="2" max="2" customWidth="true" width="20.7142857142857"/>
    <col min="3" max="3" customWidth="true" width="26.2857142857143"/>
    <col min="20" max="20" customWidth="true" width="10.1428571428571"/>
    <col min="52" max="52" width="10.7142857142857"/>
    <col min="67" max="67" width="10.7142857142857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9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</row>
    <row r="2" ht="15.75" spans="1:69">
      <c r="A2" s="3" t="s">
        <v>1</v>
      </c>
      <c r="B2" s="3"/>
      <c r="C2" s="4">
        <v>1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1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9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</row>
    <row r="3" ht="61.5" spans="1:69">
      <c r="A3" s="110" t="s">
        <v>136</v>
      </c>
      <c r="B3" s="110" t="s">
        <v>10</v>
      </c>
      <c r="C3" s="111" t="s">
        <v>137</v>
      </c>
      <c r="D3" s="110" t="s">
        <v>12</v>
      </c>
      <c r="E3" s="110" t="s">
        <v>13</v>
      </c>
      <c r="F3" s="112" t="s">
        <v>138</v>
      </c>
      <c r="G3" s="110" t="s">
        <v>15</v>
      </c>
      <c r="H3" s="110" t="s">
        <v>16</v>
      </c>
      <c r="I3" s="113" t="s">
        <v>17</v>
      </c>
      <c r="J3" s="113" t="s">
        <v>19</v>
      </c>
      <c r="K3" s="113" t="s">
        <v>18</v>
      </c>
      <c r="L3" s="114" t="s">
        <v>20</v>
      </c>
      <c r="M3" s="114" t="s">
        <v>21</v>
      </c>
      <c r="N3" s="114" t="s">
        <v>139</v>
      </c>
      <c r="O3" s="114" t="s">
        <v>25</v>
      </c>
      <c r="P3" s="114" t="s">
        <v>22</v>
      </c>
      <c r="Q3" s="114" t="s">
        <v>23</v>
      </c>
      <c r="R3" s="113" t="s">
        <v>26</v>
      </c>
      <c r="S3" s="110" t="s">
        <v>140</v>
      </c>
      <c r="T3" s="110" t="s">
        <v>28</v>
      </c>
      <c r="U3" s="28" t="s">
        <v>141</v>
      </c>
      <c r="V3" s="28" t="s">
        <v>30</v>
      </c>
      <c r="W3" s="28" t="s">
        <v>31</v>
      </c>
      <c r="X3" s="28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115" t="s">
        <v>37</v>
      </c>
      <c r="AD3" s="115" t="s">
        <v>38</v>
      </c>
      <c r="AE3" s="116" t="s">
        <v>39</v>
      </c>
      <c r="AF3" s="116" t="s">
        <v>40</v>
      </c>
      <c r="AG3" s="116" t="s">
        <v>41</v>
      </c>
      <c r="AH3" s="115" t="s">
        <v>42</v>
      </c>
      <c r="AI3" s="115" t="s">
        <v>43</v>
      </c>
      <c r="AJ3" s="116" t="s">
        <v>44</v>
      </c>
      <c r="AK3" s="116" t="s">
        <v>45</v>
      </c>
      <c r="AL3" s="115" t="s">
        <v>46</v>
      </c>
      <c r="AM3" s="115" t="s">
        <v>47</v>
      </c>
      <c r="AN3" s="116" t="s">
        <v>48</v>
      </c>
      <c r="AO3" s="116" t="s">
        <v>49</v>
      </c>
      <c r="AP3" s="116" t="s">
        <v>50</v>
      </c>
      <c r="AQ3" s="115" t="s">
        <v>51</v>
      </c>
      <c r="AR3" s="117" t="s">
        <v>142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143</v>
      </c>
      <c r="C4" s="7" t="s">
        <v>144</v>
      </c>
      <c r="D4" s="7" t="s">
        <v>76</v>
      </c>
      <c r="E4" s="7" t="s">
        <v>76</v>
      </c>
      <c r="F4" s="8">
        <v>5</v>
      </c>
      <c r="G4" s="8">
        <v>150</v>
      </c>
      <c r="H4" s="8">
        <f t="shared" ref="H4:H6" si="0">F4*G4</f>
        <v>750</v>
      </c>
      <c r="I4" s="8">
        <v>5</v>
      </c>
      <c r="J4" s="8">
        <v>8</v>
      </c>
      <c r="K4" s="8">
        <v>5</v>
      </c>
      <c r="L4" s="8">
        <f t="shared" ref="L4:L6" si="1">H4</f>
        <v>750</v>
      </c>
      <c r="M4" s="8">
        <f t="shared" ref="M4:M6" si="2">ROUND(L4*I4%,2)</f>
        <v>37.5</v>
      </c>
      <c r="N4" s="8">
        <f t="shared" ref="N4:N6" si="3">H4-M4</f>
        <v>712.5</v>
      </c>
      <c r="O4" s="8">
        <f t="shared" ref="O4:O6" si="4">ROUND(N4*J4%,2)</f>
        <v>57</v>
      </c>
      <c r="P4" s="8">
        <f t="shared" ref="P4:P6" si="5">ROUND(N4-O4,2)</f>
        <v>655.5</v>
      </c>
      <c r="Q4" s="8">
        <f t="shared" ref="Q4:Q6" si="6">ROUND(P4*K4%,2)</f>
        <v>32.78</v>
      </c>
      <c r="R4" s="8">
        <f t="shared" ref="R4:R6" si="7">M4+O4+Q4</f>
        <v>127.28</v>
      </c>
      <c r="S4" s="8">
        <f t="shared" ref="S4:S6" si="8">(H4-R4)</f>
        <v>622.72</v>
      </c>
      <c r="T4" s="8">
        <v>85080200</v>
      </c>
      <c r="U4" s="8">
        <v>18</v>
      </c>
      <c r="V4" s="8">
        <f>IF(OR($C$2=1,$C$2=4),ROUND((((S4*U4)/100)/2),2),0)</f>
        <v>56.04</v>
      </c>
      <c r="W4" s="8">
        <f>IF($C$2=1,ROUND((((S4*U4)/100)/2),2),0)</f>
        <v>56.04</v>
      </c>
      <c r="X4" s="8">
        <f>IF($C$2=2,ROUND(((S4*U4)/100),2),0)</f>
        <v>0</v>
      </c>
      <c r="Y4" s="8">
        <f>IF($C$2=4,ROUND((((S4*U4)/100)/2),2),0)</f>
        <v>0</v>
      </c>
      <c r="Z4" s="8">
        <v>4</v>
      </c>
      <c r="AA4" s="8">
        <f>IF($C2=3,0,(S4*Z4)/100)</f>
        <v>24.9088</v>
      </c>
      <c r="AB4" s="8">
        <f t="shared" ref="AB4:AB6" si="9">V4+W4+X4+Y4+AA4</f>
        <v>136.9888</v>
      </c>
      <c r="AC4" s="8">
        <f>IF($V2=1,S4+AB4,S4)</f>
        <v>759.7088</v>
      </c>
      <c r="AD4" s="8">
        <v>120</v>
      </c>
      <c r="AE4" s="8">
        <f>IF($P$2=1,(S4/$S$7)*$E$18,AD4/$AD$7*$E$18)</f>
        <v>0</v>
      </c>
      <c r="AF4" s="8"/>
      <c r="AG4" s="8">
        <f>IF($P$2=1,(S4/$S$7)*$E$20,AD4/$AD$7*$E$20)</f>
        <v>0</v>
      </c>
      <c r="AH4" s="8">
        <f>IF($P$2=1,(S4/$S$7)*$E$20,AD4/$AD$7*$E$20)</f>
        <v>0</v>
      </c>
      <c r="AI4" s="8">
        <f>S4*$M$2</f>
        <v>622.72</v>
      </c>
      <c r="AJ4" s="8">
        <f>IF($C$2=3,0,AG4+AH4)</f>
        <v>0</v>
      </c>
      <c r="AK4" s="8">
        <f>IF($C$2=3,AE4+AG4+AH4,0)</f>
        <v>0</v>
      </c>
      <c r="AL4" s="8">
        <v>1</v>
      </c>
      <c r="AM4" s="8">
        <f t="shared" ref="AM4:AM6" si="10">F4/AL4</f>
        <v>5</v>
      </c>
      <c r="AN4" s="8">
        <f t="shared" ref="AN4" si="11">AI4/AM4</f>
        <v>124.544</v>
      </c>
      <c r="AO4" s="8">
        <f t="shared" ref="AO4:AO6" si="12">AJ4/AM4</f>
        <v>0</v>
      </c>
      <c r="AP4" s="8">
        <f t="shared" ref="AP4:AP6" si="13">AK4/AM4</f>
        <v>0</v>
      </c>
      <c r="AQ4" s="8" t="s">
        <v>76</v>
      </c>
      <c r="AR4" s="40">
        <f t="shared" ref="AR4:AR6" si="14">ROUND(AN4+AO4+AP4,5)</f>
        <v>124.544</v>
      </c>
      <c r="AS4" s="40" t="s">
        <v>145</v>
      </c>
      <c r="AT4" s="39" t="s">
        <v>76</v>
      </c>
      <c r="AU4" s="40" t="s">
        <v>146</v>
      </c>
      <c r="AV4" s="40" t="s">
        <v>147</v>
      </c>
      <c r="AW4" s="39">
        <f t="shared" ref="AW4:AW6" si="15">AM4</f>
        <v>5</v>
      </c>
      <c r="AX4" s="39">
        <f t="shared" ref="AX4:AX6" si="16">AR4</f>
        <v>124.544</v>
      </c>
      <c r="AY4" s="39">
        <f t="shared" ref="AY4:AY6" si="17">AU4+AW4</f>
        <v>14095</v>
      </c>
      <c r="AZ4" s="39">
        <f t="shared" ref="AZ4" si="18">ROUND(((AU4*AV4)+(AW4*AX4))/(AU4+AW4),5)</f>
        <v>121.22156</v>
      </c>
      <c r="BA4" s="43"/>
      <c r="BB4" s="43" t="s">
        <v>80</v>
      </c>
      <c r="BC4" s="118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40"/>
      <c r="BK4" s="40"/>
      <c r="BL4" s="39" t="s">
        <v>148</v>
      </c>
      <c r="BM4" s="40" t="s">
        <v>149</v>
      </c>
      <c r="BN4" s="40" t="s">
        <v>150</v>
      </c>
      <c r="BO4" s="39">
        <f t="shared" ref="BO4:BO6" si="19">ROUND((((AW4*AZ4)+(BN4*BM4))/(AW4+BN4)),5)</f>
        <v>146.67549</v>
      </c>
      <c r="BP4" s="48">
        <f t="shared" ref="BP4" si="20">BN4+AW4</f>
        <v>696</v>
      </c>
      <c r="BQ4" s="49">
        <v>123562</v>
      </c>
    </row>
    <row r="5" ht="15.75" spans="1:69">
      <c r="A5" s="7">
        <v>1</v>
      </c>
      <c r="B5" s="7" t="s">
        <v>151</v>
      </c>
      <c r="C5" s="7" t="s">
        <v>151</v>
      </c>
      <c r="D5" s="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IF(OR(PoToMRVWOIp!$C$2=1,PoToMRVWOIp!$C$2=4),ROUND((((S5*U5)/100)/2),2),0)</f>
        <v>0</v>
      </c>
      <c r="W5" s="8">
        <f>IF(PoToMRVWOIp!$C$2=1,ROUND((((S5*U5)/100)/2),2),0)</f>
        <v>0</v>
      </c>
      <c r="X5" s="8">
        <f>IF(PoToMRVWOIp!$C$2=2,ROUND(((S5*U5)/100),2),0)</f>
        <v>59.12</v>
      </c>
      <c r="Y5" s="8">
        <f>IF(PoToMRVWOIp!$C$2=4,ROUND((((S5*U5)/100)/2),2),0)</f>
        <v>0</v>
      </c>
      <c r="Z5" s="8">
        <v>0</v>
      </c>
      <c r="AA5" s="8">
        <f>IF(PoToMRVWOIp!$C3=3,0,(S5*Z5)/100)</f>
        <v>0</v>
      </c>
      <c r="AB5" s="8">
        <f t="shared" si="9"/>
        <v>59.12</v>
      </c>
      <c r="AC5" s="8">
        <f>IF(PoToMRVWOIp!$V3=1,S5+AB5,S5)</f>
        <v>328.47</v>
      </c>
      <c r="AD5" s="31">
        <v>120</v>
      </c>
      <c r="AE5" s="31">
        <f>IF(PoToMRVWOIp!$P$2=1,(S5/PoToMRVWOIp!$S$7)*PoToMRVWOIp!$E$18,AD5/PoToMRVWOIp!$AD$7*PoToMRVWOIp!$E$18)</f>
        <v>0</v>
      </c>
      <c r="AF5" s="31"/>
      <c r="AG5" s="31">
        <f>IF(PoToMRVWOIp!$P$2=1,(S5/PoToMRVWOIp!$S$7)*PoToMRVWOIp!$E$20,AD5/PoToMRVWOIp!$AD$7*PoToMRVWOIp!$E$20)</f>
        <v>0</v>
      </c>
      <c r="AH5" s="31">
        <f>IF(PoToMRVWOIp!$P$2=1,(S5/PoToMRVWOIp!$S$7)*PoToMRVWOIp!$E$21,AD5/PoToMRVWOIp!$AD$7*PoToMRVWOIp!$E$21)</f>
        <v>0</v>
      </c>
      <c r="AI5" s="31">
        <f>S5*PoToMRVWOIp!$M$2</f>
        <v>328.47</v>
      </c>
      <c r="AJ5" s="31">
        <f>IF(PoToMRVWOIp!$C$2=3,0,AG5+AH5)</f>
        <v>0</v>
      </c>
      <c r="AK5" s="31">
        <f>IF(PoToMRVWOIp!$C$2=3,AE5+AG5+AH5,0)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2"/>
        <v>0</v>
      </c>
      <c r="AP5" s="31">
        <f t="shared" si="13"/>
        <v>0</v>
      </c>
      <c r="AQ5" s="31" t="s">
        <v>76</v>
      </c>
      <c r="AR5" s="31">
        <f t="shared" si="14"/>
        <v>82.1175</v>
      </c>
      <c r="AS5" s="38" t="s">
        <v>120</v>
      </c>
      <c r="AT5" s="39" t="s">
        <v>76</v>
      </c>
      <c r="AU5" t="s" s="0">
        <v>152</v>
      </c>
      <c r="AV5" t="s" s="0">
        <v>153</v>
      </c>
      <c r="AW5" s="39">
        <f t="shared" si="15"/>
        <v>4</v>
      </c>
      <c r="AX5" s="39">
        <f t="shared" si="16"/>
        <v>82.1175</v>
      </c>
      <c r="AY5" s="39">
        <f t="shared" si="17"/>
        <v>36</v>
      </c>
      <c r="AZ5" s="39">
        <f>ROUND(((AU5*AV5)+(AW5*AX5))/(AU5+AW5),3)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154</v>
      </c>
      <c r="BN5" t="s" s="0">
        <v>155</v>
      </c>
      <c r="BO5" s="39">
        <f t="shared" si="19"/>
        <v>85.696</v>
      </c>
      <c r="BP5" s="48">
        <f>ROUND(BN5+AW5,3)</f>
        <v>25</v>
      </c>
      <c r="BQ5" s="49">
        <v>123562</v>
      </c>
    </row>
    <row r="6" ht="15.75" spans="1:69">
      <c r="A6" s="7">
        <v>1</v>
      </c>
      <c r="B6" s="7" t="s">
        <v>156</v>
      </c>
      <c r="C6" s="7" t="s">
        <v>157</v>
      </c>
      <c r="D6" s="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IF(OR(PoToMRVWOIp!$C$2=1,PoToMRVWOIp!$C$2=4),ROUND((((S6*U6)/100)/2),2),0)</f>
        <v>0</v>
      </c>
      <c r="W6" s="8">
        <f>IF(PoToMRVWOIp!$C$2=1,ROUND((((S6*U6)/100)/2),2),0)</f>
        <v>0</v>
      </c>
      <c r="X6" s="8">
        <f>IF(PoToMRVWOIp!$C$2=2,ROUND(((S6*U6)/100),2),0)</f>
        <v>77.94</v>
      </c>
      <c r="Y6" s="8">
        <f>IF(PoToMRVWOIp!$C$2=4,ROUND((((S6*U6)/100)/2),2),0)</f>
        <v>0</v>
      </c>
      <c r="Z6" s="8">
        <v>0</v>
      </c>
      <c r="AA6" s="8">
        <f>IF(PoToMRVWOIp!$C4=3,0,(S6*Z6)/100)</f>
        <v>0</v>
      </c>
      <c r="AB6" s="8">
        <f t="shared" si="9"/>
        <v>77.94</v>
      </c>
      <c r="AC6" s="8">
        <f>IF(PoToMRVWOIp!$V4=1,S6+AB6,S6)</f>
        <v>433.01</v>
      </c>
      <c r="AD6" s="31">
        <v>120</v>
      </c>
      <c r="AE6" s="31">
        <f>IF(PoToMRVWOIp!$P$2=1,(S6/PoToMRVWOIp!$S$7)*PoToMRVWOIp!$E$18,AD6/PoToMRVWOIp!$AD$7*PoToMRVWOIp!$E$18)</f>
        <v>0</v>
      </c>
      <c r="AF6" s="31"/>
      <c r="AG6" s="31">
        <f>IF(PoToMRVWOIp!$P$2=1,(S6/PoToMRVWOIp!$S$7)*PoToMRVWOIp!$E$20,AD6/PoToMRVWOIp!$AD$7*PoToMRVWOIp!$E$20)</f>
        <v>0</v>
      </c>
      <c r="AH6" s="31">
        <f>IF(PoToMRVWOIp!$P$2=1,(S6/PoToMRVWOIp!$S$7)*PoToMRVWOIp!$E$21,AD6/PoToMRVWOIp!$AD$7*PoToMRVWOIp!$E$21)</f>
        <v>0</v>
      </c>
      <c r="AI6" s="31">
        <f>S6*PoToMRVWOIp!$M$2</f>
        <v>433.01</v>
      </c>
      <c r="AJ6" s="31">
        <f>IF(PoToMRVWOIp!$C$2=3,0,AG6+AH6)</f>
        <v>0</v>
      </c>
      <c r="AK6" s="31">
        <f>IF(PoToMRVWOIp!$C$2=3,AE6+AG6+AH6,0)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2"/>
        <v>0</v>
      </c>
      <c r="AP6" s="31">
        <f t="shared" si="13"/>
        <v>0</v>
      </c>
      <c r="AQ6" s="31" t="s">
        <v>76</v>
      </c>
      <c r="AR6" s="31">
        <f t="shared" si="14"/>
        <v>43.301</v>
      </c>
      <c r="AS6" s="38" t="s">
        <v>120</v>
      </c>
      <c r="AT6" s="39" t="s">
        <v>76</v>
      </c>
      <c r="AU6" t="s" s="0">
        <v>158</v>
      </c>
      <c r="AV6" t="s" s="0">
        <v>159</v>
      </c>
      <c r="AW6" s="39">
        <f t="shared" si="15"/>
        <v>10</v>
      </c>
      <c r="AX6" s="39">
        <f t="shared" si="16"/>
        <v>43.301</v>
      </c>
      <c r="AY6" s="39">
        <f t="shared" si="17"/>
        <v>130</v>
      </c>
      <c r="AZ6" s="39">
        <f>ROUND(((AU6*AV6)+(AW6*AX6))/(AU6+AW6),3)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160</v>
      </c>
      <c r="BM6" t="s" s="0">
        <v>85</v>
      </c>
      <c r="BN6" t="s" s="0">
        <v>85</v>
      </c>
      <c r="BO6" s="39">
        <f t="shared" si="19"/>
        <v>43.3</v>
      </c>
      <c r="BP6" s="48">
        <f>ROUND(BN6+AW6,3)</f>
        <v>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SUM(H4:H6)</f>
        <v>1650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21">SUM(R4:R4)</f>
        <v>127.28</v>
      </c>
      <c r="S7" s="13">
        <f t="shared" si="21"/>
        <v>622.72</v>
      </c>
      <c r="T7" s="26"/>
      <c r="U7" s="26"/>
      <c r="V7" s="27">
        <f t="shared" si="21"/>
        <v>56.04</v>
      </c>
      <c r="W7" s="27">
        <f t="shared" si="21"/>
        <v>56.04</v>
      </c>
      <c r="X7" s="27">
        <f t="shared" si="21"/>
        <v>0</v>
      </c>
      <c r="Y7" s="27"/>
      <c r="Z7" s="27"/>
      <c r="AA7" s="27"/>
      <c r="AB7" s="26">
        <f t="shared" ref="AB7:AE7" si="22">SUM(AB4:AB4)</f>
        <v>136.9888</v>
      </c>
      <c r="AC7" s="32">
        <f t="shared" si="22"/>
        <v>759.7088</v>
      </c>
      <c r="AD7" s="33">
        <f t="shared" si="22"/>
        <v>120</v>
      </c>
      <c r="AE7" s="33">
        <f t="shared" si="22"/>
        <v>0</v>
      </c>
      <c r="AF7" s="32"/>
      <c r="AG7" s="33">
        <f t="shared" ref="AG7:AK7" si="23">SUM(AG4:AG4)</f>
        <v>0</v>
      </c>
      <c r="AH7" s="33">
        <f t="shared" si="23"/>
        <v>0</v>
      </c>
      <c r="AI7" s="33">
        <f t="shared" si="23"/>
        <v>622.72</v>
      </c>
      <c r="AJ7" s="33">
        <f t="shared" si="23"/>
        <v>0</v>
      </c>
      <c r="AK7" s="33">
        <f t="shared" si="23"/>
        <v>0</v>
      </c>
      <c r="AL7" s="32"/>
      <c r="AM7" s="32"/>
      <c r="AN7" s="32"/>
      <c r="AO7" s="32"/>
      <c r="AP7" s="32"/>
      <c r="AQ7" s="32"/>
      <c r="AR7" s="32"/>
      <c r="AS7" s="9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</row>
  </sheetData>
  <mergeCells count="1">
    <mergeCell ref="A2:B2"/>
  </mergeCells>
  <hyperlinks>
    <hyperlink ref="BL5" r:id="rId1" display="RM WH-49" tooltip="https://webappqc.roadmaperp.com:8765/ords/r/rmqc27/scm-us9011/warehouse1?p367019101_rowid=AAATkUAAHAADnlgAAE&amp;p367019101_store_id=RM WH-49-4&amp;session=1523407412914"/>
    <hyperlink ref="BL6" r:id="rId1" display="RM WH-49-4" tooltip="https://webappqc.roadmaperp.com:8765/ords/r/rmqc27/scm-us9011/warehouse1?p367019101_rowid=AAATkUAAHAADnlgAAE&amp;p367019101_store_id=RM WH-49-4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C16" sqref="AC16"/>
    </sheetView>
  </sheetViews>
  <sheetFormatPr defaultColWidth="8.84761904761905" defaultRowHeight="15"/>
  <cols>
    <col min="2" max="2" customWidth="true" width="28.0"/>
    <col min="3" max="3" customWidth="true" width="25.5714285714286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161</v>
      </c>
      <c r="C4" s="7" t="s">
        <v>161</v>
      </c>
      <c r="D4" s="7" t="s">
        <v>76</v>
      </c>
      <c r="E4" s="7" t="s">
        <v>76</v>
      </c>
      <c r="F4" s="8">
        <v>5</v>
      </c>
      <c r="G4" s="8">
        <v>150</v>
      </c>
      <c r="H4" s="8">
        <f>F4*G4</f>
        <v>750</v>
      </c>
      <c r="I4" s="8">
        <v>5</v>
      </c>
      <c r="J4" s="8">
        <v>8</v>
      </c>
      <c r="K4" s="8">
        <v>5</v>
      </c>
      <c r="L4" s="8">
        <f>H4</f>
        <v>750</v>
      </c>
      <c r="M4" s="8">
        <f>ROUND(L4*I4%,2)</f>
        <v>37.5</v>
      </c>
      <c r="N4" s="8">
        <f>H4-M4</f>
        <v>712.5</v>
      </c>
      <c r="O4" s="8">
        <f>ROUND(N4*J4%,2)</f>
        <v>57</v>
      </c>
      <c r="P4" s="8">
        <f>ROUND(N4-O4,2)</f>
        <v>655.5</v>
      </c>
      <c r="Q4" s="8">
        <f>ROUND(P4*K4%,2)</f>
        <v>32.78</v>
      </c>
      <c r="R4" s="8">
        <f>M4+O4+Q4</f>
        <v>127.28</v>
      </c>
      <c r="S4" s="8">
        <f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112.09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112.09</v>
      </c>
      <c r="AC4" s="30">
        <f>IF($V2=1,S4+AB4,S4)</f>
        <v>734.81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622.72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124.544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124.544</v>
      </c>
      <c r="AS4" s="38" t="s">
        <v>120</v>
      </c>
      <c r="AT4" s="39" t="s">
        <v>76</v>
      </c>
      <c r="AU4" t="s" s="0">
        <v>162</v>
      </c>
      <c r="AV4" t="s" s="0">
        <v>163</v>
      </c>
      <c r="AW4" s="39">
        <f>AM4</f>
        <v>5</v>
      </c>
      <c r="AX4" s="39">
        <f>AR4</f>
        <v>124.544</v>
      </c>
      <c r="AY4" s="39">
        <f>AU4+AW4</f>
        <v>115</v>
      </c>
      <c r="AZ4" s="39">
        <f>ROUND(((AU4*AV4)+(AW4*AX4))/(AU4+AW4),3)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78</v>
      </c>
      <c r="BO4" s="39">
        <f>ROUND((((AW4*AZ4)+(BN4*BM4))/(AW4+BN4)),5)</f>
        <v>124.545</v>
      </c>
      <c r="BP4" s="48">
        <f>ROUND(BN4+AW4,3)</f>
        <v>10</v>
      </c>
      <c r="BQ4" s="49">
        <v>123562</v>
      </c>
    </row>
    <row r="5" ht="15.75" spans="1:69">
      <c r="A5" s="7">
        <v>1</v>
      </c>
      <c r="B5" s="7" t="s">
        <v>164</v>
      </c>
      <c r="C5" s="7" t="s">
        <v>164</v>
      </c>
      <c r="D5" s="7" t="s">
        <v>76</v>
      </c>
      <c r="E5" s="7" t="s">
        <v>76</v>
      </c>
      <c r="F5" s="8">
        <v>4</v>
      </c>
      <c r="G5" s="8">
        <v>100</v>
      </c>
      <c r="H5" s="8">
        <f>F5*G5</f>
        <v>400</v>
      </c>
      <c r="I5" s="8">
        <v>4</v>
      </c>
      <c r="J5" s="8">
        <v>9</v>
      </c>
      <c r="K5" s="8">
        <v>6</v>
      </c>
      <c r="L5" s="8">
        <f>H5</f>
        <v>400</v>
      </c>
      <c r="M5" s="8">
        <f>ROUND(L5*I5%,2)</f>
        <v>16</v>
      </c>
      <c r="N5" s="8">
        <f>H5-M5</f>
        <v>384</v>
      </c>
      <c r="O5" s="8">
        <f>ROUND(N5*J5%,2)</f>
        <v>34.56</v>
      </c>
      <c r="P5" s="8">
        <f>ROUND(N5-O5,2)</f>
        <v>349.44</v>
      </c>
      <c r="Q5" s="8">
        <f>ROUND(P5*K5%,2)</f>
        <v>20.97</v>
      </c>
      <c r="R5" s="8">
        <f>M5+O5+Q5</f>
        <v>71.53</v>
      </c>
      <c r="S5" s="8">
        <f>(H5-R5)</f>
        <v>328.47</v>
      </c>
      <c r="T5" s="8">
        <v>88363222</v>
      </c>
      <c r="U5" s="8">
        <v>18</v>
      </c>
      <c r="V5" s="8">
        <f>IF(OR(PoToMRVWOIpSer!$C$2=1,PoToMRVWOIpSer!$C$2=4),ROUND((((S5*U5)/100)/2),2),0)</f>
        <v>0</v>
      </c>
      <c r="W5" s="8">
        <f>IF(PoToMRVWOIpSer!$C$2=1,ROUND((((S5*U5)/100)/2),2),0)</f>
        <v>0</v>
      </c>
      <c r="X5" s="8">
        <f>IF(PoToMRVWOIpSer!$C$2=2,ROUND(((S5*U5)/100),2),0)</f>
        <v>59.12</v>
      </c>
      <c r="Y5" s="8">
        <f>IF(PoToMRVWOIpSer!$C$2=4,ROUND((((S5*U5)/100)/2),2),0)</f>
        <v>0</v>
      </c>
      <c r="Z5" s="8">
        <v>0</v>
      </c>
      <c r="AA5" s="8">
        <f>IF(PoToMRVWOIpSer!$C3=3,0,(S5*Z5)/100)</f>
        <v>0</v>
      </c>
      <c r="AB5" s="8">
        <f>V5+W5+X5+Y5+AA5</f>
        <v>59.12</v>
      </c>
      <c r="AC5" s="8">
        <f>IF(PoToMRVWOIpSer!$V3=1,S5+AB5,S5)</f>
        <v>328.47</v>
      </c>
      <c r="AD5" s="31">
        <v>120</v>
      </c>
      <c r="AE5" s="31">
        <f>IF(PoToMRVWOIpSer!$P$2=1,(S5/PoToMRVWOIpSer!$S$7)*PoToMRVWOIpSer!$E$18,AD5/PoToMRVWOIpSer!$AD$7*PoToMRVWOIpSer!$E$18)</f>
        <v>0</v>
      </c>
      <c r="AF5" s="31"/>
      <c r="AG5" s="31">
        <f>IF(PoToMRVWOIpSer!$P$2=1,(S5/PoToMRVWOIpSer!$S$7)*PoToMRVWOIpSer!$E$20,AD5/PoToMRVWOIpSer!$AD$7*PoToMRVWOIpSer!$E$20)</f>
        <v>0</v>
      </c>
      <c r="AH5" s="31">
        <f>IF(PoToMRVWOIpSer!$P$2=1,(S5/PoToMRVWOIpSer!$S$7)*PoToMRVWOIpSer!$E$21,AD5/PoToMRVWOIpSer!$AD$7*PoToMRVWOIpSer!$E$21)</f>
        <v>0</v>
      </c>
      <c r="AI5" s="31">
        <f>S5*PoToMRVWOIpSer!$M$2</f>
        <v>328.47</v>
      </c>
      <c r="AJ5" s="31">
        <f>IF(PoToMRVWOIpSer!$C$2=3,0,AG5+AH5)</f>
        <v>0</v>
      </c>
      <c r="AK5" s="31">
        <f>IF(PoToMRVWOIpSer!$C$2=3,AE5+AG5+AH5,0)</f>
        <v>0</v>
      </c>
      <c r="AL5" s="34">
        <v>1</v>
      </c>
      <c r="AM5" s="31">
        <f>F5/AL5</f>
        <v>4</v>
      </c>
      <c r="AN5" s="31">
        <f>ROUND(AI5/AM5,5)</f>
        <v>82.1175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165</v>
      </c>
      <c r="AV5" t="s" s="0">
        <v>153</v>
      </c>
      <c r="AW5" s="39">
        <f>AM5</f>
        <v>4</v>
      </c>
      <c r="AX5" s="39">
        <f>AR5</f>
        <v>82.1175</v>
      </c>
      <c r="AY5" s="39">
        <f>AU5+AW5</f>
        <v>40</v>
      </c>
      <c r="AZ5" s="39">
        <f>ROUND(((AU5*AV5)+(AW5*AX5))/(AU5+AW5),3)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166</v>
      </c>
      <c r="BN5" t="s" s="0">
        <v>167</v>
      </c>
      <c r="BO5" s="39">
        <f>ROUND((((AW5*AZ5)+(BN5*BM5))/(AW5+BN5)),5)</f>
        <v>83.80679</v>
      </c>
      <c r="BP5" s="48">
        <f>ROUND(BN5+AW5,3)</f>
        <v>53</v>
      </c>
      <c r="BQ5" s="49">
        <v>123562</v>
      </c>
    </row>
    <row r="6" ht="15.75" spans="1:69">
      <c r="A6" s="7">
        <v>1</v>
      </c>
      <c r="B6" s="7" t="s">
        <v>168</v>
      </c>
      <c r="C6" s="7" t="s">
        <v>168</v>
      </c>
      <c r="D6" s="7" t="s">
        <v>76</v>
      </c>
      <c r="E6" s="7" t="s">
        <v>76</v>
      </c>
      <c r="F6" s="8">
        <v>10</v>
      </c>
      <c r="G6" s="8">
        <v>50</v>
      </c>
      <c r="H6" s="8">
        <f>F6*G6</f>
        <v>500</v>
      </c>
      <c r="I6" s="8">
        <v>3</v>
      </c>
      <c r="J6" s="8">
        <v>7</v>
      </c>
      <c r="K6" s="8">
        <v>4</v>
      </c>
      <c r="L6" s="8">
        <f>H6</f>
        <v>500</v>
      </c>
      <c r="M6" s="8">
        <f>ROUND(L6*I6%,2)</f>
        <v>15</v>
      </c>
      <c r="N6" s="8">
        <f>H6-M6</f>
        <v>485</v>
      </c>
      <c r="O6" s="8">
        <f>ROUND(N6*J6%,2)</f>
        <v>33.95</v>
      </c>
      <c r="P6" s="8">
        <f>ROUND(N6-O6,2)</f>
        <v>451.05</v>
      </c>
      <c r="Q6" s="8">
        <f>ROUND(P6*K6%,2)</f>
        <v>18.04</v>
      </c>
      <c r="R6" s="8">
        <f>M6+O6+Q6</f>
        <v>66.99</v>
      </c>
      <c r="S6" s="8">
        <f>(H6-R6)</f>
        <v>433.01</v>
      </c>
      <c r="T6" s="8">
        <v>88363222</v>
      </c>
      <c r="U6" s="8">
        <v>18</v>
      </c>
      <c r="V6" s="8">
        <f>IF(OR(PoToMRVWOIpSer!$C$2=1,PoToMRVWOIpSer!$C$2=4),ROUND((((S6*U6)/100)/2),2),0)</f>
        <v>0</v>
      </c>
      <c r="W6" s="8">
        <f>IF(PoToMRVWOIpSer!$C$2=1,ROUND((((S6*U6)/100)/2),2),0)</f>
        <v>0</v>
      </c>
      <c r="X6" s="8">
        <f>IF(PoToMRVWOIpSer!$C$2=2,ROUND(((S6*U6)/100),2),0)</f>
        <v>77.94</v>
      </c>
      <c r="Y6" s="8">
        <f>IF(PoToMRVWOIpSer!$C$2=4,ROUND((((S6*U6)/100)/2),2),0)</f>
        <v>0</v>
      </c>
      <c r="Z6" s="8">
        <v>0</v>
      </c>
      <c r="AA6" s="8">
        <f>IF(PoToMRVWOIpSer!$C4=3,0,(S6*Z6)/100)</f>
        <v>0</v>
      </c>
      <c r="AB6" s="8">
        <f>V6+W6+X6+Y6+AA6</f>
        <v>77.94</v>
      </c>
      <c r="AC6" s="8">
        <f>IF(PoToMRVWOIpSer!$V4=1,S6+AB6,S6)</f>
        <v>433.01</v>
      </c>
      <c r="AD6" s="31">
        <v>120</v>
      </c>
      <c r="AE6" s="31">
        <f>IF(PoToMRVWOIpSer!$P$2=1,(S6/PoToMRVWOIpSer!$S$7)*PoToMRVWOIpSer!$E$18,AD6/PoToMRVWOIpSer!$AD$7*PoToMRVWOIpSer!$E$18)</f>
        <v>0</v>
      </c>
      <c r="AF6" s="31"/>
      <c r="AG6" s="31">
        <f>IF(PoToMRVWOIpSer!$P$2=1,(S6/PoToMRVWOIpSer!$S$7)*PoToMRVWOIpSer!$E$20,AD6/PoToMRVWOIpSer!$AD$7*PoToMRVWOIpSer!$E$20)</f>
        <v>0</v>
      </c>
      <c r="AH6" s="31">
        <f>IF(PoToMRVWOIpSer!$P$2=1,(S6/PoToMRVWOIpSer!$S$7)*PoToMRVWOIpSer!$E$21,AD6/PoToMRVWOIpSer!$AD$7*PoToMRVWOIpSer!$E$21)</f>
        <v>0</v>
      </c>
      <c r="AI6" s="31">
        <f>S6*PoToMRVWOIpSer!$M$2</f>
        <v>433.01</v>
      </c>
      <c r="AJ6" s="31">
        <f>IF(PoToMRVWOIpSer!$C$2=3,0,AG6+AH6)</f>
        <v>0</v>
      </c>
      <c r="AK6" s="31">
        <f>IF(PoToMRVWOIpSer!$C$2=3,AE6+AG6+AH6,0)</f>
        <v>0</v>
      </c>
      <c r="AL6" s="34">
        <v>1</v>
      </c>
      <c r="AM6" s="31">
        <f>F6/AL6</f>
        <v>10</v>
      </c>
      <c r="AN6" s="31">
        <f>ROUND(AI6/AM6,5)</f>
        <v>43.301</v>
      </c>
      <c r="AO6" s="31">
        <f>AJ6/AM6</f>
        <v>0</v>
      </c>
      <c r="AP6" s="31">
        <f>AK6/AM6</f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169</v>
      </c>
      <c r="AV6" t="s" s="0">
        <v>159</v>
      </c>
      <c r="AW6" s="39">
        <f>AM6</f>
        <v>10</v>
      </c>
      <c r="AX6" s="39">
        <f>AR6</f>
        <v>43.301</v>
      </c>
      <c r="AY6" s="39">
        <f>AU6+AW6</f>
        <v>230</v>
      </c>
      <c r="AZ6" s="39">
        <f>ROUND(((AU6*AV6)+(AW6*AX6))/(AU6+AW6),3)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170</v>
      </c>
      <c r="BO6" s="39">
        <f>ROUND((((AW6*AZ6)+(BN6*BM6))/(AW6+BN6)),5)</f>
        <v>43.3</v>
      </c>
      <c r="BP6" s="48">
        <f>ROUND(BN6+AW6,3)</f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0">SUM(R4:R4)</f>
        <v>127.28</v>
      </c>
      <c r="S7" s="13">
        <f t="shared" si="0"/>
        <v>622.72</v>
      </c>
      <c r="T7" s="26"/>
      <c r="U7" s="26"/>
      <c r="V7" s="27">
        <f t="shared" si="0"/>
        <v>0</v>
      </c>
      <c r="W7" s="27">
        <f t="shared" si="0"/>
        <v>0</v>
      </c>
      <c r="X7" s="27">
        <f t="shared" si="0"/>
        <v>112.09</v>
      </c>
      <c r="Y7" s="27"/>
      <c r="Z7" s="27"/>
      <c r="AA7" s="27"/>
      <c r="AB7" s="26">
        <f>SUM(AB4:AB4)</f>
        <v>112.09</v>
      </c>
      <c r="AC7" s="32">
        <f>SUM(AC4:AC4)</f>
        <v>734.81</v>
      </c>
      <c r="AD7" s="33">
        <f>SUM(AD4:AD4)</f>
        <v>120</v>
      </c>
      <c r="AE7" s="33">
        <f>SUM(AE4:AE4)</f>
        <v>0</v>
      </c>
      <c r="AF7" s="32"/>
      <c r="AG7" s="33">
        <f t="shared" ref="AG7:AK7" si="1">SUM(AG4:AG4)</f>
        <v>0</v>
      </c>
      <c r="AH7" s="33">
        <f>IF($P$2=1,(S7/$S$7)*$E$21,AD7/$AD$7*$E$21)</f>
        <v>0</v>
      </c>
      <c r="AI7" s="33">
        <f t="shared" si="1"/>
        <v>622.72</v>
      </c>
      <c r="AJ7" s="33">
        <f t="shared" si="1"/>
        <v>0</v>
      </c>
      <c r="AK7" s="33">
        <f t="shared" si="1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750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112.09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734.81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K10" sqref="K10"/>
    </sheetView>
  </sheetViews>
  <sheetFormatPr defaultColWidth="8.84761904761905" defaultRowHeight="15"/>
  <cols>
    <col min="2" max="2" customWidth="true" width="28.0"/>
    <col min="3" max="3" customWidth="true" width="25.5714285714286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161</v>
      </c>
      <c r="C4" s="7" t="s">
        <v>161</v>
      </c>
      <c r="D4" s="7" t="s">
        <v>76</v>
      </c>
      <c r="E4" s="7" t="s">
        <v>76</v>
      </c>
      <c r="F4" s="8">
        <v>5</v>
      </c>
      <c r="G4" s="8">
        <v>150</v>
      </c>
      <c r="H4" s="8">
        <f t="shared" ref="H4:H6" si="0">F4*G4</f>
        <v>750</v>
      </c>
      <c r="I4" s="8">
        <v>5</v>
      </c>
      <c r="J4" s="8">
        <v>8</v>
      </c>
      <c r="K4" s="8">
        <v>5</v>
      </c>
      <c r="L4" s="8">
        <f t="shared" ref="L4:L6" si="1">H4</f>
        <v>750</v>
      </c>
      <c r="M4" s="8">
        <f t="shared" ref="M4:M6" si="2">ROUND(L4*I4%,2)</f>
        <v>37.5</v>
      </c>
      <c r="N4" s="8">
        <f t="shared" ref="N4:N6" si="3">H4-M4</f>
        <v>712.5</v>
      </c>
      <c r="O4" s="8">
        <f t="shared" ref="O4:O6" si="4">ROUND(N4*J4%,2)</f>
        <v>57</v>
      </c>
      <c r="P4" s="8">
        <f t="shared" ref="P4:P6" si="5">ROUND(N4-O4,2)</f>
        <v>655.5</v>
      </c>
      <c r="Q4" s="8">
        <f t="shared" ref="Q4:Q6" si="6">ROUND(P4*K4%,2)</f>
        <v>32.78</v>
      </c>
      <c r="R4" s="8">
        <f t="shared" ref="R4:R6" si="7">M4+O4+Q4</f>
        <v>127.28</v>
      </c>
      <c r="S4" s="8">
        <f t="shared" ref="S4:S6" si="8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0</v>
      </c>
      <c r="AC4" s="30">
        <f>IF($V2=1,S4+AB4,S4)</f>
        <v>622.72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52931.2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5</v>
      </c>
      <c r="AN4" s="31">
        <f t="shared" ref="AN4:AN6" si="11">ROUND(AI4/AM4,5)</f>
        <v>10586.24</v>
      </c>
      <c r="AO4" s="31">
        <f t="shared" ref="AO4:AO6" si="12">AJ4/AM4</f>
        <v>0</v>
      </c>
      <c r="AP4" s="31">
        <f t="shared" ref="AP4:AP6" si="13">AK4/AM4</f>
        <v>0</v>
      </c>
      <c r="AQ4" s="31" t="s">
        <v>76</v>
      </c>
      <c r="AR4" s="31">
        <f t="shared" ref="AR4:AR6" si="14">ROUND(AN4+AO4+AP4,5)</f>
        <v>10586.24</v>
      </c>
      <c r="AS4" s="38" t="s">
        <v>120</v>
      </c>
      <c r="AT4" s="39" t="s">
        <v>76</v>
      </c>
      <c r="AU4" t="s" s="0">
        <v>162</v>
      </c>
      <c r="AV4" t="s" s="0">
        <v>163</v>
      </c>
      <c r="AW4" s="39">
        <f t="shared" ref="AW4:AW6" si="15">AM4</f>
        <v>5</v>
      </c>
      <c r="AX4" s="39">
        <f t="shared" ref="AX4:AX6" si="16">AR4</f>
        <v>10586.24</v>
      </c>
      <c r="AY4" s="39">
        <f t="shared" ref="AY4:AY6" si="17">AU4+AW4</f>
        <v>115</v>
      </c>
      <c r="AZ4" s="39">
        <f t="shared" ref="AZ4:AZ6" si="18">ROUND(((AU4*AV4)+(AW4*AX4))/(AU4+AW4),3)</f>
        <v>579.401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78</v>
      </c>
      <c r="BO4" s="39">
        <f t="shared" ref="BO4:BO6" si="19">ROUND((((AW4*AZ4)+(BN4*BM4))/(AW4+BN4)),5)</f>
        <v>351.973</v>
      </c>
      <c r="BP4" s="48">
        <f t="shared" ref="BP4:BP6" si="20">ROUND(BN4+AW4,3)</f>
        <v>10</v>
      </c>
      <c r="BQ4" s="49">
        <v>123562</v>
      </c>
    </row>
    <row r="5" ht="15.75" spans="1:69">
      <c r="A5" s="7">
        <v>1</v>
      </c>
      <c r="B5" s="7" t="s">
        <v>164</v>
      </c>
      <c r="C5" s="7" t="s">
        <v>164</v>
      </c>
      <c r="D5" s="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IF(OR(PoToMRVWOIpSerImp!$C$2=1,PoToMRVWOIpSerImp!$C$2=4),ROUND((((S5*U5)/100)/2),2),0)</f>
        <v>0</v>
      </c>
      <c r="W5" s="8">
        <f>IF(PoToMRVWOIpSerImp!$C$2=1,ROUND((((S5*U5)/100)/2),2),0)</f>
        <v>0</v>
      </c>
      <c r="X5" s="8">
        <f>IF(PoToMRVWOIpSerImp!$C$2=2,ROUND(((S5*U5)/100),2),0)</f>
        <v>0</v>
      </c>
      <c r="Y5" s="8">
        <f>IF(PoToMRVWOIpSerImp!$C$2=4,ROUND((((S5*U5)/100)/2),2),0)</f>
        <v>0</v>
      </c>
      <c r="Z5" s="8">
        <v>0</v>
      </c>
      <c r="AA5" s="8">
        <f>IF(PoToMRVWOIpSerImp!$C3=3,0,(S5*Z5)/100)</f>
        <v>0</v>
      </c>
      <c r="AB5" s="8">
        <f t="shared" si="9"/>
        <v>0</v>
      </c>
      <c r="AC5" s="8">
        <f>IF(PoToMRVWOIpSerImp!$V3=1,S5+AB5,S5)</f>
        <v>328.47</v>
      </c>
      <c r="AD5" s="31">
        <v>120</v>
      </c>
      <c r="AE5" s="31">
        <f>IF(PoToMRVWOIpSerImp!$P$2=1,(S5/PoToMRVWOIpSerImp!$S$7)*PoToMRVWOIpSerImp!$E$18,AD5/PoToMRVWOIpSerImp!$AD$7*PoToMRVWOIpSerImp!$E$18)</f>
        <v>0</v>
      </c>
      <c r="AF5" s="31"/>
      <c r="AG5" s="31">
        <f>IF(PoToMRVWOIpSerImp!$P$2=1,(S5/PoToMRVWOIpSerImp!$S$7)*PoToMRVWOIpSerImp!$E$20,AD5/PoToMRVWOIpSerImp!$AD$7*PoToMRVWOIpSerImp!$E$20)</f>
        <v>0</v>
      </c>
      <c r="AH5" s="31">
        <f>IF(PoToMRVWOIpSerImp!$P$2=1,(S5/PoToMRVWOIpSerImp!$S$7)*PoToMRVWOIpSerImp!$E$21,AD5/PoToMRVWOIpSerImp!$AD$7*PoToMRVWOIpSerImp!$E$21)</f>
        <v>0</v>
      </c>
      <c r="AI5" s="31">
        <f>S5*PoToMRVWOIpSerImp!$M$2</f>
        <v>27919.95</v>
      </c>
      <c r="AJ5" s="31">
        <f>IF(PoToMRVWOIpSerImp!$C$2=3,0,AG5+AH5)</f>
        <v>0</v>
      </c>
      <c r="AK5" s="31">
        <f>IF(PoToMRVWOIpSerImp!$C$2=3,AE5+AG5+AH5,0)</f>
        <v>0</v>
      </c>
      <c r="AL5" s="34">
        <v>1</v>
      </c>
      <c r="AM5" s="31">
        <f t="shared" si="10"/>
        <v>4</v>
      </c>
      <c r="AN5" s="31">
        <f t="shared" si="11"/>
        <v>6979.9875</v>
      </c>
      <c r="AO5" s="31">
        <f t="shared" si="12"/>
        <v>0</v>
      </c>
      <c r="AP5" s="31">
        <f t="shared" si="13"/>
        <v>0</v>
      </c>
      <c r="AQ5" s="31" t="s">
        <v>76</v>
      </c>
      <c r="AR5" s="31">
        <f t="shared" si="14"/>
        <v>6979.9875</v>
      </c>
      <c r="AS5" s="38" t="s">
        <v>120</v>
      </c>
      <c r="AT5" s="39" t="s">
        <v>76</v>
      </c>
      <c r="AU5" t="s" s="0">
        <v>165</v>
      </c>
      <c r="AV5" t="s" s="0">
        <v>153</v>
      </c>
      <c r="AW5" s="39">
        <f t="shared" si="15"/>
        <v>4</v>
      </c>
      <c r="AX5" s="39">
        <f t="shared" si="16"/>
        <v>6979.9875</v>
      </c>
      <c r="AY5" s="39">
        <f t="shared" si="17"/>
        <v>40</v>
      </c>
      <c r="AZ5" s="39">
        <f t="shared" si="18"/>
        <v>771.907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166</v>
      </c>
      <c r="BN5" t="s" s="0">
        <v>167</v>
      </c>
      <c r="BO5" s="39">
        <f t="shared" si="19"/>
        <v>135.86619</v>
      </c>
      <c r="BP5" s="48">
        <f t="shared" si="20"/>
        <v>53</v>
      </c>
      <c r="BQ5" s="49">
        <v>123562</v>
      </c>
    </row>
    <row r="6" ht="15.75" spans="1:69">
      <c r="A6" s="7">
        <v>1</v>
      </c>
      <c r="B6" s="7" t="s">
        <v>168</v>
      </c>
      <c r="C6" s="7" t="s">
        <v>168</v>
      </c>
      <c r="D6" s="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IF(OR(PoToMRVWOIpSerImp!$C$2=1,PoToMRVWOIpSerImp!$C$2=4),ROUND((((S6*U6)/100)/2),2),0)</f>
        <v>0</v>
      </c>
      <c r="W6" s="8">
        <f>IF(PoToMRVWOIpSerImp!$C$2=1,ROUND((((S6*U6)/100)/2),2),0)</f>
        <v>0</v>
      </c>
      <c r="X6" s="8">
        <f>IF(PoToMRVWOIpSerImp!$C$2=2,ROUND(((S6*U6)/100),2),0)</f>
        <v>0</v>
      </c>
      <c r="Y6" s="8">
        <f>IF(PoToMRVWOIpSerImp!$C$2=4,ROUND((((S6*U6)/100)/2),2),0)</f>
        <v>0</v>
      </c>
      <c r="Z6" s="8">
        <v>0</v>
      </c>
      <c r="AA6" s="8">
        <f>IF(PoToMRVWOIpSerImp!$C4=3,0,(S6*Z6)/100)</f>
        <v>0</v>
      </c>
      <c r="AB6" s="8">
        <f t="shared" si="9"/>
        <v>0</v>
      </c>
      <c r="AC6" s="8">
        <f>IF(PoToMRVWOIpSerImp!$V4=1,S6+AB6,S6)</f>
        <v>433.01</v>
      </c>
      <c r="AD6" s="31">
        <v>120</v>
      </c>
      <c r="AE6" s="31">
        <f>IF(PoToMRVWOIpSerImp!$P$2=1,(S6/PoToMRVWOIpSerImp!$S$7)*PoToMRVWOIpSerImp!$E$18,AD6/PoToMRVWOIpSerImp!$AD$7*PoToMRVWOIpSerImp!$E$18)</f>
        <v>0</v>
      </c>
      <c r="AF6" s="31"/>
      <c r="AG6" s="31">
        <f>IF(PoToMRVWOIpSerImp!$P$2=1,(S6/PoToMRVWOIpSerImp!$S$7)*PoToMRVWOIpSerImp!$E$20,AD6/PoToMRVWOIpSerImp!$AD$7*PoToMRVWOIpSerImp!$E$20)</f>
        <v>0</v>
      </c>
      <c r="AH6" s="31">
        <f>IF(PoToMRVWOIpSerImp!$P$2=1,(S6/PoToMRVWOIpSerImp!$S$7)*PoToMRVWOIpSerImp!$E$21,AD6/PoToMRVWOIpSerImp!$AD$7*PoToMRVWOIpSerImp!$E$21)</f>
        <v>0</v>
      </c>
      <c r="AI6" s="31">
        <f>S6*PoToMRVWOIpSerImp!$M$2</f>
        <v>36805.85</v>
      </c>
      <c r="AJ6" s="31">
        <f>IF(PoToMRVWOIpSerImp!$C$2=3,0,AG6+AH6)</f>
        <v>0</v>
      </c>
      <c r="AK6" s="31">
        <f>IF(PoToMRVWOIpSerImp!$C$2=3,AE6+AG6+AH6,0)</f>
        <v>0</v>
      </c>
      <c r="AL6" s="34">
        <v>1</v>
      </c>
      <c r="AM6" s="31">
        <f t="shared" si="10"/>
        <v>10</v>
      </c>
      <c r="AN6" s="31">
        <f t="shared" si="11"/>
        <v>3680.585</v>
      </c>
      <c r="AO6" s="31">
        <f t="shared" si="12"/>
        <v>0</v>
      </c>
      <c r="AP6" s="31">
        <f t="shared" si="13"/>
        <v>0</v>
      </c>
      <c r="AQ6" s="31" t="s">
        <v>76</v>
      </c>
      <c r="AR6" s="31">
        <f t="shared" si="14"/>
        <v>3680.585</v>
      </c>
      <c r="AS6" s="38" t="s">
        <v>120</v>
      </c>
      <c r="AT6" s="39" t="s">
        <v>76</v>
      </c>
      <c r="AU6" t="s" s="0">
        <v>169</v>
      </c>
      <c r="AV6" t="s" s="0">
        <v>159</v>
      </c>
      <c r="AW6" s="39">
        <f t="shared" si="15"/>
        <v>10</v>
      </c>
      <c r="AX6" s="39">
        <f t="shared" si="16"/>
        <v>3680.585</v>
      </c>
      <c r="AY6" s="39">
        <f t="shared" si="17"/>
        <v>230</v>
      </c>
      <c r="AZ6" s="39">
        <f t="shared" si="18"/>
        <v>201.443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170</v>
      </c>
      <c r="BO6" s="39">
        <f t="shared" si="19"/>
        <v>122.3715</v>
      </c>
      <c r="BP6" s="48">
        <f t="shared" si="20"/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21">SUM(R4:R4)</f>
        <v>127.28</v>
      </c>
      <c r="S7" s="13">
        <f t="shared" si="21"/>
        <v>622.72</v>
      </c>
      <c r="T7" s="26"/>
      <c r="U7" s="26"/>
      <c r="V7" s="27">
        <f t="shared" si="21"/>
        <v>0</v>
      </c>
      <c r="W7" s="27">
        <f t="shared" si="21"/>
        <v>0</v>
      </c>
      <c r="X7" s="27">
        <f t="shared" si="21"/>
        <v>0</v>
      </c>
      <c r="Y7" s="27"/>
      <c r="Z7" s="27"/>
      <c r="AA7" s="27"/>
      <c r="AB7" s="26">
        <f t="shared" ref="AB7:AE7" si="22">SUM(AB4:AB4)</f>
        <v>0</v>
      </c>
      <c r="AC7" s="32">
        <f t="shared" si="22"/>
        <v>622.72</v>
      </c>
      <c r="AD7" s="33">
        <f t="shared" si="22"/>
        <v>120</v>
      </c>
      <c r="AE7" s="33">
        <f t="shared" si="22"/>
        <v>0</v>
      </c>
      <c r="AF7" s="32"/>
      <c r="AG7" s="33">
        <f t="shared" ref="AG7:AK7" si="23">SUM(AG4:AG4)</f>
        <v>0</v>
      </c>
      <c r="AH7" s="33">
        <f>IF($P$2=1,(S7/$S$7)*$E$21,AD7/$AD$7*$E$21)</f>
        <v>0</v>
      </c>
      <c r="AI7" s="33">
        <f t="shared" si="23"/>
        <v>52931.2</v>
      </c>
      <c r="AJ7" s="33">
        <f t="shared" si="23"/>
        <v>0</v>
      </c>
      <c r="AK7" s="33">
        <f t="shared" si="23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750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topLeftCell="F1" workbookViewId="0">
      <selection activeCell="Y9" sqref="Y9"/>
    </sheetView>
  </sheetViews>
  <sheetFormatPr defaultColWidth="8.84761904761905" defaultRowHeight="15"/>
  <cols>
    <col min="2" max="3" customWidth="true" width="31.847619047619"/>
    <col min="35" max="35" customWidth="true" width="14.0"/>
    <col min="40" max="40" customWidth="true" width="20.7142857142857"/>
    <col min="44" max="44" customWidth="true" width="10.7142857142857"/>
    <col min="50" max="50" customWidth="true" width="15.5714285714286"/>
    <col min="52" max="52" customWidth="true" width="18.1428571428571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46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143</v>
      </c>
      <c r="C4" s="7" t="s">
        <v>144</v>
      </c>
      <c r="D4" s="7" t="s">
        <v>76</v>
      </c>
      <c r="E4" s="7" t="s">
        <v>76</v>
      </c>
      <c r="F4" s="8">
        <v>10</v>
      </c>
      <c r="G4" s="8">
        <v>150</v>
      </c>
      <c r="H4" s="8">
        <f>F4*G4</f>
        <v>1500</v>
      </c>
      <c r="I4" s="8">
        <v>5</v>
      </c>
      <c r="J4" s="8">
        <v>8</v>
      </c>
      <c r="K4" s="8">
        <v>5</v>
      </c>
      <c r="L4" s="8">
        <f>H4</f>
        <v>1500</v>
      </c>
      <c r="M4" s="8">
        <f>ROUND(L4*I4%,2)</f>
        <v>75</v>
      </c>
      <c r="N4" s="8">
        <f>H4-M4</f>
        <v>1425</v>
      </c>
      <c r="O4" s="8">
        <f>ROUND(N4*J4%,2)</f>
        <v>114</v>
      </c>
      <c r="P4" s="8">
        <f>ROUND(N4-O4,2)</f>
        <v>1311</v>
      </c>
      <c r="Q4" s="8">
        <f>ROUND(P4*K4%,2)</f>
        <v>65.55</v>
      </c>
      <c r="R4" s="8">
        <f>M4+O4+Q4</f>
        <v>254.55</v>
      </c>
      <c r="S4" s="8">
        <f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0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105863.25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10</v>
      </c>
      <c r="AN4" s="34">
        <f>ROUND(AI4/AM4,3)</f>
        <v>10586.325</v>
      </c>
      <c r="AO4" s="31">
        <f>AJ4/AM4</f>
        <v>0</v>
      </c>
      <c r="AP4" s="31">
        <f>AK4/AM4</f>
        <v>0</v>
      </c>
      <c r="AQ4" s="31" t="s">
        <v>76</v>
      </c>
      <c r="AR4" s="34">
        <f>ROUND(AN4+AO4+AP4,3)</f>
        <v>10586.325</v>
      </c>
      <c r="AS4" s="38" t="s">
        <v>120</v>
      </c>
      <c r="AT4" s="39" t="s">
        <v>76</v>
      </c>
      <c r="AU4" t="s" s="0">
        <v>171</v>
      </c>
      <c r="AV4" t="s" s="0">
        <v>172</v>
      </c>
      <c r="AW4" s="39">
        <f>AM4</f>
        <v>10</v>
      </c>
      <c r="AX4" s="42">
        <f>AR4</f>
        <v>10586.325</v>
      </c>
      <c r="AY4" s="39">
        <f>AU4+AW4</f>
        <v>40</v>
      </c>
      <c r="AZ4" s="42">
        <f>ROUND(((AU4*AV4)+(AW4*AX4))/(AU4+AW4),5)</f>
        <v>2739.99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173</v>
      </c>
      <c r="BO4" s="39">
        <f>ROUND((((AW4*AZ4)+(BN4*BM4))/(AW4+BN4)),5)</f>
        <v>255.31725</v>
      </c>
      <c r="BP4" s="48">
        <f>ROUND(BN4+AW4,3)</f>
        <v>200</v>
      </c>
      <c r="BQ4" s="49">
        <v>123562</v>
      </c>
    </row>
    <row r="5" ht="15.75" spans="1:69">
      <c r="A5" s="7">
        <v>1</v>
      </c>
      <c r="B5" s="7" t="s">
        <v>174</v>
      </c>
      <c r="C5" s="7" t="s">
        <v>151</v>
      </c>
      <c r="D5" s="7" t="s">
        <v>76</v>
      </c>
      <c r="E5" s="7" t="s">
        <v>76</v>
      </c>
      <c r="F5" s="8">
        <v>4</v>
      </c>
      <c r="G5" s="8">
        <v>100</v>
      </c>
      <c r="H5" s="8">
        <f>F5*G5</f>
        <v>400</v>
      </c>
      <c r="I5" s="8">
        <v>4</v>
      </c>
      <c r="J5" s="8">
        <v>9</v>
      </c>
      <c r="K5" s="8">
        <v>6</v>
      </c>
      <c r="L5" s="8">
        <f>H5</f>
        <v>400</v>
      </c>
      <c r="M5" s="8">
        <f>ROUND(L5*I5%,2)</f>
        <v>16</v>
      </c>
      <c r="N5" s="8">
        <f>H5-M5</f>
        <v>384</v>
      </c>
      <c r="O5" s="8">
        <f>ROUND(N5*J5%,2)</f>
        <v>34.56</v>
      </c>
      <c r="P5" s="8">
        <f>ROUND(N5-O5,2)</f>
        <v>349.44</v>
      </c>
      <c r="Q5" s="8">
        <f>ROUND(P5*K5%,2)</f>
        <v>20.97</v>
      </c>
      <c r="R5" s="8">
        <f>M5+O5+Q5</f>
        <v>71.53</v>
      </c>
      <c r="S5" s="8">
        <f>(H5-R5)</f>
        <v>328.47</v>
      </c>
      <c r="T5" s="8">
        <v>88363222</v>
      </c>
      <c r="U5" s="8">
        <v>18</v>
      </c>
      <c r="V5" s="8">
        <f>IF(OR(PoToMRVWOIp!$C$2=1,PoToMRVWOIp!$C$2=4),ROUND((((S5*U5)/100)/2),2),0)</f>
        <v>0</v>
      </c>
      <c r="W5" s="8">
        <f>IF(PoToMRVWOIp!$C$2=1,ROUND((((S5*U5)/100)/2),2),0)</f>
        <v>0</v>
      </c>
      <c r="X5" s="8">
        <f>IF($C$2=2,ROUND(((S5*U5)/100),2),0)</f>
        <v>0</v>
      </c>
      <c r="Y5" s="8">
        <f>IF(PoToMRVWOIp!$C$2=4,ROUND((((S5*U5)/100)/2),2),0)</f>
        <v>0</v>
      </c>
      <c r="Z5" s="8">
        <v>0</v>
      </c>
      <c r="AA5" s="8">
        <f>IF(PoToMRVWOIp!$C3=3,0,(S5*Z5)/100)</f>
        <v>0</v>
      </c>
      <c r="AB5" s="8">
        <f>V5+W5+X5+Y5+AA5</f>
        <v>0</v>
      </c>
      <c r="AC5" s="8">
        <f>IF(PoToMRVWOIp!$V3=1,S5+AB5,S5)</f>
        <v>328.47</v>
      </c>
      <c r="AD5" s="31">
        <v>120</v>
      </c>
      <c r="AE5" s="31">
        <f>IF(PoToMRVWOIp!$P$2=1,(S5/PoToMRVWOIp!$S$7)*PoToMRVWOIp!$E$18,AD5/PoToMRVWOIp!$AD$7*PoToMRVWOIp!$E$18)</f>
        <v>0</v>
      </c>
      <c r="AF5" s="31"/>
      <c r="AG5" s="31">
        <f>IF(PoToMRVWOIp!$P$2=1,(S5/PoToMRVWOIp!$S$7)*PoToMRVWOIp!$E$20,AD5/PoToMRVWOIp!$AD$7*PoToMRVWOIp!$E$20)</f>
        <v>0</v>
      </c>
      <c r="AH5" s="31">
        <f>IF(PoToMRVWOIp!$P$2=1,(S5/PoToMRVWOIp!$S$7)*PoToMRVWOIp!$E$21,AD5/PoToMRVWOIp!$AD$7*PoToMRVWOIp!$E$21)</f>
        <v>0</v>
      </c>
      <c r="AI5" s="31">
        <f>S5*PoToMRVWOIp!$M$2</f>
        <v>328.47</v>
      </c>
      <c r="AJ5" s="31">
        <f>IF(PoToMRVWOIp!$C$2=3,0,AG5+AH5)</f>
        <v>0</v>
      </c>
      <c r="AK5" s="31">
        <f>IF(PoToMRVWOIp!$C$2=3,AE5+AG5+AH5,0)</f>
        <v>0</v>
      </c>
      <c r="AL5" s="34">
        <v>1</v>
      </c>
      <c r="AM5" s="31">
        <f>F5/AL5</f>
        <v>4</v>
      </c>
      <c r="AN5" s="31">
        <f>ROUND(AI5/AM5,5)</f>
        <v>82.1175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175</v>
      </c>
      <c r="AV5" t="s" s="0">
        <v>176</v>
      </c>
      <c r="AW5" s="39">
        <f>AM5</f>
        <v>4</v>
      </c>
      <c r="AX5" s="39">
        <f>AR5</f>
        <v>82.1175</v>
      </c>
      <c r="AY5" s="39">
        <f>AU5+AW5</f>
        <v>52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177</v>
      </c>
      <c r="BO5" s="39">
        <f>ROUND((((AW5*AZ5)+(BN5*BM5))/(AW5+BN5)),5)</f>
        <v>82.12</v>
      </c>
      <c r="BP5" s="48">
        <f>ROUND(BN5+AW5,3)</f>
        <v>56</v>
      </c>
      <c r="BQ5" s="49">
        <v>123562</v>
      </c>
    </row>
    <row r="6" ht="15.75" spans="1:69">
      <c r="A6" s="7">
        <v>1</v>
      </c>
      <c r="B6" s="7" t="s">
        <v>156</v>
      </c>
      <c r="C6" s="7" t="s">
        <v>157</v>
      </c>
      <c r="D6" s="7" t="s">
        <v>76</v>
      </c>
      <c r="E6" s="7" t="s">
        <v>76</v>
      </c>
      <c r="F6" s="8">
        <v>10</v>
      </c>
      <c r="G6" s="8">
        <v>50</v>
      </c>
      <c r="H6" s="8">
        <f>F6*G6</f>
        <v>500</v>
      </c>
      <c r="I6" s="8">
        <v>3</v>
      </c>
      <c r="J6" s="8">
        <v>7</v>
      </c>
      <c r="K6" s="8">
        <v>4</v>
      </c>
      <c r="L6" s="8">
        <f>H6</f>
        <v>500</v>
      </c>
      <c r="M6" s="8">
        <f>ROUND(L6*I6%,2)</f>
        <v>15</v>
      </c>
      <c r="N6" s="8">
        <f>H6-M6</f>
        <v>485</v>
      </c>
      <c r="O6" s="8">
        <f>ROUND(N6*J6%,2)</f>
        <v>33.95</v>
      </c>
      <c r="P6" s="8">
        <f>ROUND(N6-O6,2)</f>
        <v>451.05</v>
      </c>
      <c r="Q6" s="8">
        <f>ROUND(P6*K6%,2)</f>
        <v>18.04</v>
      </c>
      <c r="R6" s="8">
        <f>M6+O6+Q6</f>
        <v>66.99</v>
      </c>
      <c r="S6" s="8">
        <f>(H6-R6)</f>
        <v>433.01</v>
      </c>
      <c r="T6" s="8">
        <v>88363222</v>
      </c>
      <c r="U6" s="8">
        <v>18</v>
      </c>
      <c r="V6" s="8">
        <f>IF(OR(PoToMRVWOIp!$C$2=1,PoToMRVWOIp!$C$2=4),ROUND((((S6*U6)/100)/2),2),0)</f>
        <v>0</v>
      </c>
      <c r="W6" s="8">
        <f>IF(PoToMRVWOIp!$C$2=1,ROUND((((S6*U6)/100)/2),2),0)</f>
        <v>0</v>
      </c>
      <c r="X6" s="8">
        <f>IF($C$2=2,ROUND(((S6*U6)/100),2),0)</f>
        <v>0</v>
      </c>
      <c r="Y6" s="8">
        <f>IF(PoToMRVWOIp!$C$2=4,ROUND((((S6*U6)/100)/2),2),0)</f>
        <v>0</v>
      </c>
      <c r="Z6" s="8">
        <v>0</v>
      </c>
      <c r="AA6" s="8">
        <f>IF(PoToMRVWOIp!$C4=3,0,(S6*Z6)/100)</f>
        <v>0</v>
      </c>
      <c r="AB6" s="8">
        <f>V6+W6+X6+Y6+AA6</f>
        <v>0</v>
      </c>
      <c r="AC6" s="8">
        <f>IF(PoToMRVWOIp!$V4=1,S6+AB6,S6)</f>
        <v>433.01</v>
      </c>
      <c r="AD6" s="31">
        <v>120</v>
      </c>
      <c r="AE6" s="31">
        <f>IF(PoToMRVWOIp!$P$2=1,(S6/PoToMRVWOIp!$S$7)*PoToMRVWOIp!$E$18,AD6/PoToMRVWOIp!$AD$7*PoToMRVWOIp!$E$18)</f>
        <v>0</v>
      </c>
      <c r="AF6" s="31"/>
      <c r="AG6" s="31">
        <f>IF(PoToMRVWOIp!$P$2=1,(S6/PoToMRVWOIp!$S$7)*PoToMRVWOIp!$E$20,AD6/PoToMRVWOIp!$AD$7*PoToMRVWOIp!$E$20)</f>
        <v>0</v>
      </c>
      <c r="AH6" s="31">
        <f>IF(PoToMRVWOIp!$P$2=1,(S6/PoToMRVWOIp!$S$7)*PoToMRVWOIp!$E$21,AD6/PoToMRVWOIp!$AD$7*PoToMRVWOIp!$E$21)</f>
        <v>0</v>
      </c>
      <c r="AI6" s="31">
        <f>S6*PoToMRVWOIp!$M$2</f>
        <v>433.01</v>
      </c>
      <c r="AJ6" s="31">
        <f>IF(PoToMRVWOIp!$C$2=3,0,AG6+AH6)</f>
        <v>0</v>
      </c>
      <c r="AK6" s="31">
        <f>IF(PoToMRVWOIp!$C$2=3,AE6+AG6+AH6,0)</f>
        <v>0</v>
      </c>
      <c r="AL6" s="34">
        <v>1</v>
      </c>
      <c r="AM6" s="31">
        <f>F6/AL6</f>
        <v>10</v>
      </c>
      <c r="AN6" s="31">
        <f>ROUND(AI6/AM6,5)</f>
        <v>43.301</v>
      </c>
      <c r="AO6" s="31">
        <f>AJ6/AM6</f>
        <v>0</v>
      </c>
      <c r="AP6" s="31">
        <f>AK6/AM6</f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178</v>
      </c>
      <c r="AV6" t="s" s="0">
        <v>179</v>
      </c>
      <c r="AW6" s="39">
        <f>AM6</f>
        <v>10</v>
      </c>
      <c r="AX6" s="39">
        <f>AR6</f>
        <v>43.301</v>
      </c>
      <c r="AY6" s="39">
        <f>AU6+AW6</f>
        <v>130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180</v>
      </c>
      <c r="BO6" s="39">
        <f>ROUND((((AW6*AZ6)+(BN6*BM6))/(AW6+BN6)),5)</f>
        <v>43.3</v>
      </c>
      <c r="BP6" s="48">
        <f>ROUND(BN6+AW6,3)</f>
        <v>140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0">SUM(R4:R4)</f>
        <v>254.55</v>
      </c>
      <c r="S7" s="13">
        <f t="shared" si="0"/>
        <v>1245.45</v>
      </c>
      <c r="T7" s="26"/>
      <c r="U7" s="26"/>
      <c r="V7" s="27">
        <f t="shared" si="0"/>
        <v>0</v>
      </c>
      <c r="W7" s="27">
        <f t="shared" si="0"/>
        <v>0</v>
      </c>
      <c r="X7" s="27">
        <f t="shared" si="0"/>
        <v>0</v>
      </c>
      <c r="Y7" s="27"/>
      <c r="Z7" s="27"/>
      <c r="AA7" s="27"/>
      <c r="AB7" s="26">
        <f>SUM(AB4:AB4)</f>
        <v>0</v>
      </c>
      <c r="AC7" s="32">
        <f>SUM(AC4:AC4)</f>
        <v>1245.45</v>
      </c>
      <c r="AD7" s="33">
        <f>SUM(AD4:AD4)</f>
        <v>120</v>
      </c>
      <c r="AE7" s="33">
        <f>SUM(AE4:AE4)</f>
        <v>0</v>
      </c>
      <c r="AF7" s="32"/>
      <c r="AG7" s="33">
        <f t="shared" ref="AG7:AK7" si="1">SUM(AG4:AG4)</f>
        <v>0</v>
      </c>
      <c r="AH7" s="33">
        <f>IF($P$2=1,(S7/$S$7)*$E$21,AD7/$AD$7*$E$21)</f>
        <v>0</v>
      </c>
      <c r="AI7" s="33">
        <f t="shared" si="1"/>
        <v>105863.25</v>
      </c>
      <c r="AJ7" s="33">
        <f t="shared" si="1"/>
        <v>0</v>
      </c>
      <c r="AK7" s="33">
        <f t="shared" si="1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94</v>
      </c>
      <c r="H8" s="15"/>
      <c r="I8" s="19">
        <f>R5</f>
        <v>71.53</v>
      </c>
      <c r="J8" s="19"/>
      <c r="K8" s="9"/>
      <c r="L8" s="9"/>
      <c r="M8" s="23">
        <v>1</v>
      </c>
      <c r="N8" s="23" t="s">
        <v>76</v>
      </c>
      <c r="O8" s="23">
        <v>2</v>
      </c>
      <c r="P8" s="23" t="s">
        <v>95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96</v>
      </c>
      <c r="BI8" s="119" t="s">
        <v>97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98</v>
      </c>
      <c r="H9" s="15"/>
      <c r="I9" s="19">
        <f>S5</f>
        <v>328.47</v>
      </c>
      <c r="J9" s="19"/>
      <c r="K9" s="9"/>
      <c r="L9" s="9"/>
      <c r="M9" s="7">
        <v>1</v>
      </c>
      <c r="N9" s="7" t="s">
        <v>76</v>
      </c>
      <c r="O9" s="7">
        <v>2.5</v>
      </c>
      <c r="P9" s="7" t="s">
        <v>99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100</v>
      </c>
      <c r="H10" s="15"/>
      <c r="I10" s="19">
        <f>AB5</f>
        <v>0</v>
      </c>
      <c r="J10" s="19"/>
      <c r="K10" s="9"/>
      <c r="L10" s="9"/>
      <c r="M10" s="7">
        <v>1</v>
      </c>
      <c r="N10" s="7" t="s">
        <v>95</v>
      </c>
      <c r="O10" s="7">
        <v>0.001</v>
      </c>
      <c r="P10" s="7" t="s">
        <v>101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102</v>
      </c>
      <c r="H11" s="15"/>
      <c r="I11" s="24">
        <f>I9+I10</f>
        <v>328.47</v>
      </c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spans="1:6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 t="s">
        <v>103</v>
      </c>
      <c r="BN12" s="9" t="s">
        <v>104</v>
      </c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 t="s">
        <v>105</v>
      </c>
      <c r="BL13" s="9">
        <v>12.5</v>
      </c>
      <c r="BM13" s="9">
        <f>BL15*BL16</f>
        <v>18277.77</v>
      </c>
      <c r="BN13" s="9">
        <f>BL13*BL14</f>
        <v>6092.59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106</v>
      </c>
      <c r="BL14" s="9">
        <v>487.4072</v>
      </c>
      <c r="BM14" s="9">
        <f>BL13+BL15</f>
        <v>50</v>
      </c>
      <c r="BN14" s="9"/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107</v>
      </c>
      <c r="BL15" s="9">
        <v>37.5</v>
      </c>
      <c r="BM15" s="9"/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108</v>
      </c>
      <c r="BL16" s="9">
        <v>487.4072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>
        <f>BM13+BN13</f>
        <v>24370.36</v>
      </c>
      <c r="BN17" s="9">
        <f>BM17/BM14</f>
        <v>487.4072</v>
      </c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40"/>
      <c r="BQ18" s="40"/>
    </row>
  </sheetData>
  <mergeCells count="9">
    <mergeCell ref="A2:B2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4" sqref="$A4:$XFD7"/>
    </sheetView>
  </sheetViews>
  <sheetFormatPr defaultColWidth="8.84761904761905" defaultRowHeight="15"/>
  <cols>
    <col min="2" max="2" customWidth="true" width="28.0"/>
    <col min="3" max="3" customWidth="true" width="23.2857142857143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143</v>
      </c>
      <c r="C4" s="7" t="s">
        <v>144</v>
      </c>
      <c r="D4" s="7" t="s">
        <v>76</v>
      </c>
      <c r="E4" s="7" t="s">
        <v>76</v>
      </c>
      <c r="F4" s="8">
        <v>10</v>
      </c>
      <c r="G4" s="8">
        <v>150</v>
      </c>
      <c r="H4" s="8">
        <f>F4*G4</f>
        <v>1500</v>
      </c>
      <c r="I4" s="8">
        <v>5</v>
      </c>
      <c r="J4" s="8">
        <v>8</v>
      </c>
      <c r="K4" s="8">
        <v>5</v>
      </c>
      <c r="L4" s="8">
        <f>H4</f>
        <v>1500</v>
      </c>
      <c r="M4" s="8">
        <f>ROUND(L4*I4%,2)</f>
        <v>75</v>
      </c>
      <c r="N4" s="8">
        <f>H4-M4</f>
        <v>1425</v>
      </c>
      <c r="O4" s="8">
        <f>ROUND(N4*J4%,2)</f>
        <v>114</v>
      </c>
      <c r="P4" s="8">
        <f>ROUND(N4-O4,2)</f>
        <v>1311</v>
      </c>
      <c r="Q4" s="8">
        <f>ROUND(P4*K4%,2)</f>
        <v>65.55</v>
      </c>
      <c r="R4" s="8">
        <f>M4+O4+Q4</f>
        <v>254.55</v>
      </c>
      <c r="S4" s="8">
        <f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10</v>
      </c>
      <c r="AN4" s="34">
        <f>ROUND(AI4/AM4,3)</f>
        <v>124.545</v>
      </c>
      <c r="AO4" s="31">
        <f>AJ4/AM4</f>
        <v>0</v>
      </c>
      <c r="AP4" s="31">
        <f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181</v>
      </c>
      <c r="AV4" t="s" s="0">
        <v>182</v>
      </c>
      <c r="AW4" s="39">
        <f>AM4</f>
        <v>10</v>
      </c>
      <c r="AX4" s="42">
        <f>AR4</f>
        <v>124.545</v>
      </c>
      <c r="AY4" s="39">
        <f>AU4+AW4</f>
        <v>40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173</v>
      </c>
      <c r="BO4" s="39">
        <f>ROUND((((AW4*AZ4)+(BN4*BM4))/(AW4+BN4)),5)</f>
        <v>124.545</v>
      </c>
      <c r="BP4" s="48">
        <f>ROUND(BN4+AW4,3)</f>
        <v>200</v>
      </c>
      <c r="BQ4" s="49">
        <v>123562</v>
      </c>
    </row>
    <row r="5" ht="15.75" spans="1:69">
      <c r="A5" s="7">
        <v>1</v>
      </c>
      <c r="B5" s="7" t="s">
        <v>174</v>
      </c>
      <c r="C5" s="7" t="s">
        <v>151</v>
      </c>
      <c r="D5" s="7" t="s">
        <v>76</v>
      </c>
      <c r="E5" s="7" t="s">
        <v>76</v>
      </c>
      <c r="F5" s="8">
        <v>4</v>
      </c>
      <c r="G5" s="8">
        <v>100</v>
      </c>
      <c r="H5" s="8">
        <f>F5*G5</f>
        <v>400</v>
      </c>
      <c r="I5" s="8">
        <v>4</v>
      </c>
      <c r="J5" s="8">
        <v>9</v>
      </c>
      <c r="K5" s="8">
        <v>6</v>
      </c>
      <c r="L5" s="8">
        <f>H5</f>
        <v>400</v>
      </c>
      <c r="M5" s="8">
        <f>ROUND(L5*I5%,2)</f>
        <v>16</v>
      </c>
      <c r="N5" s="8">
        <f>H5-M5</f>
        <v>384</v>
      </c>
      <c r="O5" s="8">
        <f>ROUND(N5*J5%,2)</f>
        <v>34.56</v>
      </c>
      <c r="P5" s="8">
        <f>ROUND(N5-O5,2)</f>
        <v>349.44</v>
      </c>
      <c r="Q5" s="8">
        <f>ROUND(P5*K5%,2)</f>
        <v>20.97</v>
      </c>
      <c r="R5" s="8">
        <f>M5+O5+Q5</f>
        <v>71.53</v>
      </c>
      <c r="S5" s="8">
        <f>(H5-R5)</f>
        <v>328.47</v>
      </c>
      <c r="T5" s="8">
        <v>88363222</v>
      </c>
      <c r="U5" s="8">
        <v>18</v>
      </c>
      <c r="V5" s="8">
        <f>IF(OR(PoToMRVWOIp!$C$2=1,PoToMRVWOIp!$C$2=4),ROUND((((S5*U5)/100)/2),2),0)</f>
        <v>0</v>
      </c>
      <c r="W5" s="8">
        <f>IF(PoToMRVWOIp!$C$2=1,ROUND((((S5*U5)/100)/2),2),0)</f>
        <v>0</v>
      </c>
      <c r="X5" s="8">
        <f>IF(PoToMRVWOIp!$C$2=2,ROUND(((S5*U5)/100),2),0)</f>
        <v>59.12</v>
      </c>
      <c r="Y5" s="8">
        <f>IF(PoToMRVWOIp!$C$2=4,ROUND((((S5*U5)/100)/2),2),0)</f>
        <v>0</v>
      </c>
      <c r="Z5" s="8">
        <v>0</v>
      </c>
      <c r="AA5" s="8">
        <f>IF(PoToMRVWOIp!$C3=3,0,(S5*Z5)/100)</f>
        <v>0</v>
      </c>
      <c r="AB5" s="8">
        <f>V5+W5+X5+Y5+AA5</f>
        <v>59.12</v>
      </c>
      <c r="AC5" s="8">
        <f>IF(PoToMRVWOIp!$V3=1,S5+AB5,S5)</f>
        <v>328.47</v>
      </c>
      <c r="AD5" s="31">
        <v>120</v>
      </c>
      <c r="AE5" s="31">
        <f>IF(PoToMRVWOIp!$P$2=1,(S5/PoToMRVWOIp!$S$7)*PoToMRVWOIp!$E$18,AD5/PoToMRVWOIp!$AD$7*PoToMRVWOIp!$E$18)</f>
        <v>0</v>
      </c>
      <c r="AF5" s="31"/>
      <c r="AG5" s="31">
        <f>IF(PoToMRVWOIp!$P$2=1,(S5/PoToMRVWOIp!$S$7)*PoToMRVWOIp!$E$20,AD5/PoToMRVWOIp!$AD$7*PoToMRVWOIp!$E$20)</f>
        <v>0</v>
      </c>
      <c r="AH5" s="31">
        <f>IF(PoToMRVWOIp!$P$2=1,(S5/PoToMRVWOIp!$S$7)*PoToMRVWOIp!$E$21,AD5/PoToMRVWOIp!$AD$7*PoToMRVWOIp!$E$21)</f>
        <v>0</v>
      </c>
      <c r="AI5" s="31">
        <f>S5*PoToMRVWOIp!$M$2</f>
        <v>328.47</v>
      </c>
      <c r="AJ5" s="31">
        <f>IF(PoToMRVWOIp!$C$2=3,0,AG5+AH5)</f>
        <v>0</v>
      </c>
      <c r="AK5" s="31">
        <f>IF(PoToMRVWOIp!$C$2=3,AE5+AG5+AH5,0)</f>
        <v>0</v>
      </c>
      <c r="AL5" s="34">
        <v>1</v>
      </c>
      <c r="AM5" s="31">
        <f>F5/AL5</f>
        <v>4</v>
      </c>
      <c r="AN5" s="31">
        <f>ROUND(AI5/AM5,5)</f>
        <v>82.1175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183</v>
      </c>
      <c r="AV5" t="s" s="0">
        <v>184</v>
      </c>
      <c r="AW5" s="39">
        <f>AM5</f>
        <v>4</v>
      </c>
      <c r="AX5" s="39">
        <f>AR5</f>
        <v>82.1175</v>
      </c>
      <c r="AY5" s="39">
        <f>AU5+AW5</f>
        <v>52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177</v>
      </c>
      <c r="BO5" s="39">
        <f>ROUND((((AW5*AZ5)+(BN5*BM5))/(AW5+BN5)),5)</f>
        <v>82.12</v>
      </c>
      <c r="BP5" s="48">
        <f>ROUND(BN5+AW5,3)</f>
        <v>56</v>
      </c>
      <c r="BQ5" s="49">
        <v>123562</v>
      </c>
    </row>
    <row r="6" ht="15.75" spans="1:69">
      <c r="A6" s="7">
        <v>1</v>
      </c>
      <c r="B6" s="7" t="s">
        <v>156</v>
      </c>
      <c r="C6" s="7" t="s">
        <v>157</v>
      </c>
      <c r="D6" s="7" t="s">
        <v>76</v>
      </c>
      <c r="E6" s="7" t="s">
        <v>76</v>
      </c>
      <c r="F6" s="8">
        <v>10</v>
      </c>
      <c r="G6" s="8">
        <v>50</v>
      </c>
      <c r="H6" s="8">
        <f>F6*G6</f>
        <v>500</v>
      </c>
      <c r="I6" s="8">
        <v>3</v>
      </c>
      <c r="J6" s="8">
        <v>7</v>
      </c>
      <c r="K6" s="8">
        <v>4</v>
      </c>
      <c r="L6" s="8">
        <f>H6</f>
        <v>500</v>
      </c>
      <c r="M6" s="8">
        <f>ROUND(L6*I6%,2)</f>
        <v>15</v>
      </c>
      <c r="N6" s="8">
        <f>H6-M6</f>
        <v>485</v>
      </c>
      <c r="O6" s="8">
        <f>ROUND(N6*J6%,2)</f>
        <v>33.95</v>
      </c>
      <c r="P6" s="8">
        <f>ROUND(N6-O6,2)</f>
        <v>451.05</v>
      </c>
      <c r="Q6" s="8">
        <f>ROUND(P6*K6%,2)</f>
        <v>18.04</v>
      </c>
      <c r="R6" s="8">
        <f>M6+O6+Q6</f>
        <v>66.99</v>
      </c>
      <c r="S6" s="8">
        <f>(H6-R6)</f>
        <v>433.01</v>
      </c>
      <c r="T6" s="8">
        <v>88363222</v>
      </c>
      <c r="U6" s="8">
        <v>18</v>
      </c>
      <c r="V6" s="8">
        <f>IF(OR(PoToMRVWOIp!$C$2=1,PoToMRVWOIp!$C$2=4),ROUND((((S6*U6)/100)/2),2),0)</f>
        <v>0</v>
      </c>
      <c r="W6" s="8">
        <f>IF(PoToMRVWOIp!$C$2=1,ROUND((((S6*U6)/100)/2),2),0)</f>
        <v>0</v>
      </c>
      <c r="X6" s="8">
        <f>IF(PoToMRVWOIp!$C$2=2,ROUND(((S6*U6)/100),2),0)</f>
        <v>77.94</v>
      </c>
      <c r="Y6" s="8">
        <f>IF(PoToMRVWOIp!$C$2=4,ROUND((((S6*U6)/100)/2),2),0)</f>
        <v>0</v>
      </c>
      <c r="Z6" s="8">
        <v>0</v>
      </c>
      <c r="AA6" s="8">
        <f>IF(PoToMRVWOIp!$C4=3,0,(S6*Z6)/100)</f>
        <v>0</v>
      </c>
      <c r="AB6" s="8">
        <f>V6+W6+X6+Y6+AA6</f>
        <v>77.94</v>
      </c>
      <c r="AC6" s="8">
        <f>IF(PoToMRVWOIp!$V4=1,S6+AB6,S6)</f>
        <v>433.01</v>
      </c>
      <c r="AD6" s="31">
        <v>120</v>
      </c>
      <c r="AE6" s="31">
        <f>IF(PoToMRVWOIp!$P$2=1,(S6/PoToMRVWOIp!$S$7)*PoToMRVWOIp!$E$18,AD6/PoToMRVWOIp!$AD$7*PoToMRVWOIp!$E$18)</f>
        <v>0</v>
      </c>
      <c r="AF6" s="31"/>
      <c r="AG6" s="31">
        <f>IF(PoToMRVWOIp!$P$2=1,(S6/PoToMRVWOIp!$S$7)*PoToMRVWOIp!$E$20,AD6/PoToMRVWOIp!$AD$7*PoToMRVWOIp!$E$20)</f>
        <v>0</v>
      </c>
      <c r="AH6" s="31">
        <f>IF(PoToMRVWOIp!$P$2=1,(S6/PoToMRVWOIp!$S$7)*PoToMRVWOIp!$E$21,AD6/PoToMRVWOIp!$AD$7*PoToMRVWOIp!$E$21)</f>
        <v>0</v>
      </c>
      <c r="AI6" s="31">
        <f>S6*PoToMRVWOIp!$M$2</f>
        <v>433.01</v>
      </c>
      <c r="AJ6" s="31">
        <f>IF(PoToMRVWOIp!$C$2=3,0,AG6+AH6)</f>
        <v>0</v>
      </c>
      <c r="AK6" s="31">
        <f>IF(PoToMRVWOIp!$C$2=3,AE6+AG6+AH6,0)</f>
        <v>0</v>
      </c>
      <c r="AL6" s="34">
        <v>1</v>
      </c>
      <c r="AM6" s="31">
        <f>F6/AL6</f>
        <v>10</v>
      </c>
      <c r="AN6" s="31">
        <f>ROUND(AI6/AM6,5)</f>
        <v>43.301</v>
      </c>
      <c r="AO6" s="31">
        <f>AJ6/AM6</f>
        <v>0</v>
      </c>
      <c r="AP6" s="31">
        <f>AK6/AM6</f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185</v>
      </c>
      <c r="AV6" t="s" s="0">
        <v>186</v>
      </c>
      <c r="AW6" s="39">
        <f>AM6</f>
        <v>10</v>
      </c>
      <c r="AX6" s="39">
        <f>AR6</f>
        <v>43.301</v>
      </c>
      <c r="AY6" s="39">
        <f>AU6+AW6</f>
        <v>130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180</v>
      </c>
      <c r="BO6" s="39">
        <f>ROUND((((AW6*AZ6)+(BN6*BM6))/(AW6+BN6)),5)</f>
        <v>43.3</v>
      </c>
      <c r="BP6" s="48">
        <f>ROUND(BN6+AW6,3)</f>
        <v>140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0">SUM(R4:R4)</f>
        <v>254.55</v>
      </c>
      <c r="S7" s="13">
        <f t="shared" si="0"/>
        <v>1245.45</v>
      </c>
      <c r="T7" s="26"/>
      <c r="U7" s="26"/>
      <c r="V7" s="27">
        <f t="shared" si="0"/>
        <v>0</v>
      </c>
      <c r="W7" s="27">
        <f t="shared" si="0"/>
        <v>0</v>
      </c>
      <c r="X7" s="27">
        <f t="shared" si="0"/>
        <v>224.18</v>
      </c>
      <c r="Y7" s="27"/>
      <c r="Z7" s="27"/>
      <c r="AA7" s="27"/>
      <c r="AB7" s="26">
        <f>SUM(AB4:AB4)</f>
        <v>224.18</v>
      </c>
      <c r="AC7" s="32">
        <f>SUM(AC4:AC4)</f>
        <v>1469.63</v>
      </c>
      <c r="AD7" s="33">
        <f>SUM(AD4:AD4)</f>
        <v>120</v>
      </c>
      <c r="AE7" s="33">
        <f>SUM(AE4:AE4)</f>
        <v>0</v>
      </c>
      <c r="AF7" s="32"/>
      <c r="AG7" s="33">
        <f t="shared" ref="AG7:AK7" si="1">SUM(AG4:AG4)</f>
        <v>0</v>
      </c>
      <c r="AH7" s="33">
        <f>IF($P$2=1,(S7/$S$7)*$E$21,AD7/$AD$7*$E$21)</f>
        <v>0</v>
      </c>
      <c r="AI7" s="33">
        <f t="shared" si="1"/>
        <v>1245.45</v>
      </c>
      <c r="AJ7" s="33">
        <f t="shared" si="1"/>
        <v>0</v>
      </c>
      <c r="AK7" s="33">
        <f t="shared" si="1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workbookViewId="0">
      <selection activeCell="D10" sqref="D10"/>
    </sheetView>
  </sheetViews>
  <sheetFormatPr defaultColWidth="8.84761904761905" defaultRowHeight="15"/>
  <cols>
    <col min="2" max="2" customWidth="true" width="28.0"/>
    <col min="3" max="3" customWidth="true" width="30.4285714285714"/>
    <col min="19" max="19" width="9.42857142857143"/>
    <col min="20" max="20" width="9.71428571428571"/>
    <col min="29" max="29" width="9.4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t="s" s="0">
        <v>187</v>
      </c>
      <c r="C4" t="s" s="0">
        <v>187</v>
      </c>
      <c r="D4" s="7" t="s">
        <v>76</v>
      </c>
      <c r="E4" s="7" t="s">
        <v>76</v>
      </c>
      <c r="F4" s="8">
        <v>5</v>
      </c>
      <c r="H4" s="8">
        <f>F4*G4</f>
        <v>750</v>
      </c>
      <c r="I4" s="8">
        <v>5</v>
      </c>
      <c r="J4" s="8">
        <v>0</v>
      </c>
      <c r="K4" s="8">
        <v>0</v>
      </c>
      <c r="L4" s="8">
        <f>H4</f>
        <v>750</v>
      </c>
      <c r="M4" s="8">
        <f>ROUND(L4*I4%,2)</f>
        <v>37.5</v>
      </c>
      <c r="N4" s="8">
        <f>H4-M4</f>
        <v>712.5</v>
      </c>
      <c r="O4" s="8">
        <f>ROUND(N4*J4%,2)</f>
        <v>0</v>
      </c>
      <c r="P4" s="8">
        <f>ROUND(N4-O4,2)</f>
        <v>712.5</v>
      </c>
      <c r="Q4" s="8">
        <f>ROUND(P4*K4%,2)</f>
        <v>0</v>
      </c>
      <c r="R4" s="8">
        <f>M4+O4+Q4</f>
        <v>37.5</v>
      </c>
      <c r="S4" s="8">
        <f>(H4-R4)</f>
        <v>712.5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128.25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128.25</v>
      </c>
      <c r="AC4" s="30">
        <f>IF($V2=1,S4+AB4,S4)</f>
        <v>712.5</v>
      </c>
      <c r="AD4" s="31">
        <v>120</v>
      </c>
      <c r="AE4" s="31">
        <f>IF($P$2=1,(S4/$S$5)*$E$16,AD4/$AD$5*$E$16)</f>
        <v>0</v>
      </c>
      <c r="AF4" s="31"/>
      <c r="AG4" s="31">
        <f>IF($P$2=1,(S4/$S$5)*$E$18,AD4/$AD$5*$E$18)</f>
        <v>0</v>
      </c>
      <c r="AH4" s="31">
        <f>IF($P$2=1,(S4/$S$5)*$E$19,AD4/$AD$5*$E$19)</f>
        <v>0</v>
      </c>
      <c r="AI4" s="31">
        <f>S4*$M$2</f>
        <v>712.5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4">
        <f>ROUND(AI4/AM4,3)</f>
        <v>142.5</v>
      </c>
      <c r="AO4" s="31">
        <f>AJ4/AM4</f>
        <v>0</v>
      </c>
      <c r="AP4" s="31">
        <f>AK4/AM4</f>
        <v>0</v>
      </c>
      <c r="AQ4" s="31" t="s">
        <v>76</v>
      </c>
      <c r="AR4" s="34">
        <f>ROUND(AN4+AO4+AP4,3)</f>
        <v>142.5</v>
      </c>
      <c r="AS4" s="38" t="s">
        <v>120</v>
      </c>
      <c r="AT4" s="39" t="s">
        <v>76</v>
      </c>
      <c r="AW4" s="39">
        <f>AM4</f>
        <v>5</v>
      </c>
      <c r="AX4" s="42">
        <f>AR4</f>
        <v>142.5</v>
      </c>
      <c r="AY4" s="39">
        <f>AU4+AW4</f>
        <v>5</v>
      </c>
      <c r="AZ4" s="39">
        <f>ROUND(((AU4*AV4)+(AW4*AX4))/(AU4+AW4),5)</f>
        <v>142.5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85</v>
      </c>
      <c r="BN4" t="s" s="0">
        <v>85</v>
      </c>
      <c r="BO4" s="39">
        <f>ROUND((((AW4*AZ4)+(BN4*BM4))/(AW4+BN4)),5)</f>
        <v>142.5</v>
      </c>
      <c r="BP4" s="48">
        <f>ROUND(BN4+AW4,3)</f>
        <v>5</v>
      </c>
      <c r="BQ4" s="49">
        <v>123562</v>
      </c>
    </row>
    <row r="5" ht="15.75" spans="1:69">
      <c r="A5" s="9"/>
      <c r="B5" s="10"/>
      <c r="C5" s="10"/>
      <c r="D5" s="11" t="s">
        <v>89</v>
      </c>
      <c r="E5" s="11"/>
      <c r="F5" s="11"/>
      <c r="G5" s="12"/>
      <c r="H5" s="13">
        <f>SUM(H4:H4)</f>
        <v>750</v>
      </c>
      <c r="I5" s="7"/>
      <c r="J5" s="7"/>
      <c r="K5" s="7"/>
      <c r="L5" s="7"/>
      <c r="M5" s="7"/>
      <c r="N5" s="7"/>
      <c r="O5" s="7"/>
      <c r="P5" s="7"/>
      <c r="Q5" s="7"/>
      <c r="R5" s="26">
        <f t="shared" ref="R5:X5" si="0">SUM(R4:R4)</f>
        <v>37.5</v>
      </c>
      <c r="S5" s="13">
        <f t="shared" si="0"/>
        <v>712.5</v>
      </c>
      <c r="T5" s="26"/>
      <c r="U5" s="26"/>
      <c r="V5" s="27">
        <f t="shared" si="0"/>
        <v>0</v>
      </c>
      <c r="W5" s="27">
        <f t="shared" si="0"/>
        <v>0</v>
      </c>
      <c r="X5" s="27">
        <f t="shared" si="0"/>
        <v>128.25</v>
      </c>
      <c r="Y5" s="27"/>
      <c r="Z5" s="27"/>
      <c r="AA5" s="27"/>
      <c r="AB5" s="26">
        <f t="shared" ref="AB5:AE5" si="1">SUM(AB4:AB4)</f>
        <v>128.25</v>
      </c>
      <c r="AC5" s="32">
        <f t="shared" si="1"/>
        <v>712.5</v>
      </c>
      <c r="AD5" s="33">
        <f t="shared" si="1"/>
        <v>120</v>
      </c>
      <c r="AE5" s="33">
        <f t="shared" si="1"/>
        <v>0</v>
      </c>
      <c r="AF5" s="32"/>
      <c r="AG5" s="33">
        <f t="shared" ref="AG5:AK5" si="2">SUM(AG4:AG4)</f>
        <v>0</v>
      </c>
      <c r="AH5" s="33">
        <f>IF($P$2=1,(S5/$S$5)*$E$19,AD5/$AD$5*$E$19)</f>
        <v>0</v>
      </c>
      <c r="AI5" s="33">
        <f t="shared" si="2"/>
        <v>712.5</v>
      </c>
      <c r="AJ5" s="33">
        <f t="shared" si="2"/>
        <v>0</v>
      </c>
      <c r="AK5" s="33">
        <f t="shared" si="2"/>
        <v>0</v>
      </c>
      <c r="AL5" s="32"/>
      <c r="AM5" s="32"/>
      <c r="AN5" s="32"/>
      <c r="AO5" s="32"/>
      <c r="AP5" s="32"/>
      <c r="AQ5" s="32"/>
      <c r="AR5" s="32"/>
      <c r="AS5" s="9"/>
      <c r="AT5" s="9"/>
      <c r="AU5" s="40"/>
      <c r="AV5" s="40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40"/>
      <c r="BQ5" s="40"/>
    </row>
    <row r="6" ht="15.75" spans="1:69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14" t="s">
        <v>90</v>
      </c>
      <c r="H7" s="15"/>
      <c r="I7" s="19">
        <f>H5</f>
        <v>750</v>
      </c>
      <c r="J7" s="19"/>
      <c r="K7" s="9"/>
      <c r="L7" s="9"/>
      <c r="M7" s="20" t="s">
        <v>91</v>
      </c>
      <c r="N7" s="21"/>
      <c r="O7" s="21"/>
      <c r="P7" s="22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 t="s">
        <v>92</v>
      </c>
      <c r="BI7" s="119" t="s">
        <v>93</v>
      </c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94</v>
      </c>
      <c r="H8" s="15"/>
      <c r="I8" s="19">
        <f>R5</f>
        <v>37.5</v>
      </c>
      <c r="J8" s="19"/>
      <c r="K8" s="9"/>
      <c r="L8" s="9"/>
      <c r="M8" s="23">
        <v>1</v>
      </c>
      <c r="N8" s="23" t="s">
        <v>76</v>
      </c>
      <c r="O8" s="23">
        <v>2</v>
      </c>
      <c r="P8" s="23" t="s">
        <v>95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96</v>
      </c>
      <c r="BI8" s="119" t="s">
        <v>97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98</v>
      </c>
      <c r="H9" s="15"/>
      <c r="I9" s="19">
        <f>S5</f>
        <v>712.5</v>
      </c>
      <c r="J9" s="19"/>
      <c r="K9" s="9"/>
      <c r="L9" s="9"/>
      <c r="M9" s="7">
        <v>1</v>
      </c>
      <c r="N9" s="7" t="s">
        <v>76</v>
      </c>
      <c r="O9" s="7">
        <v>2.5</v>
      </c>
      <c r="P9" s="7" t="s">
        <v>99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100</v>
      </c>
      <c r="H10" s="15"/>
      <c r="I10" s="19">
        <f>AB5</f>
        <v>128.25</v>
      </c>
      <c r="J10" s="19"/>
      <c r="K10" s="9"/>
      <c r="L10" s="9"/>
      <c r="M10" s="7">
        <v>1</v>
      </c>
      <c r="N10" s="7" t="s">
        <v>95</v>
      </c>
      <c r="O10" s="7">
        <v>0.001</v>
      </c>
      <c r="P10" s="7" t="s">
        <v>101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102</v>
      </c>
      <c r="H11" s="15"/>
      <c r="I11" s="24">
        <f>I9+I10</f>
        <v>840.75</v>
      </c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spans="1:6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 t="s">
        <v>103</v>
      </c>
      <c r="BN12" s="9" t="s">
        <v>104</v>
      </c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 t="s">
        <v>105</v>
      </c>
      <c r="BL13" s="9">
        <v>12.5</v>
      </c>
      <c r="BM13" s="9">
        <f>BL15*BL16</f>
        <v>18277.77</v>
      </c>
      <c r="BN13" s="9">
        <f>BL13*BL14</f>
        <v>6092.59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106</v>
      </c>
      <c r="BL14" s="9">
        <v>487.4072</v>
      </c>
      <c r="BM14" s="9">
        <f>BL13+BL15</f>
        <v>50</v>
      </c>
      <c r="BN14" s="9"/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107</v>
      </c>
      <c r="BL15" s="9">
        <v>37.5</v>
      </c>
      <c r="BM15" s="9"/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108</v>
      </c>
      <c r="BL16" s="9">
        <v>487.4072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>
        <f>BM13+BN13</f>
        <v>24370.36</v>
      </c>
      <c r="BN17" s="9">
        <f>BM17/BM14</f>
        <v>487.4072</v>
      </c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40"/>
      <c r="BQ18" s="40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E1" workbookViewId="0">
      <selection activeCell="AR4" sqref="AR4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188</v>
      </c>
      <c r="C4" s="7" t="s">
        <v>188</v>
      </c>
      <c r="D4" s="7" t="s">
        <v>76</v>
      </c>
      <c r="E4" s="7" t="s">
        <v>76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85</v>
      </c>
      <c r="AV4" t="s" s="0">
        <v>163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10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189</v>
      </c>
      <c r="BN4" t="s" s="0">
        <v>190</v>
      </c>
      <c r="BO4" s="39">
        <f t="shared" ref="BO4:BO6" si="16">ROUND((((AW4*AZ4)+(BN4*BM4))/(AW4+BN4)),5)</f>
        <v>124.545</v>
      </c>
      <c r="BP4" s="48">
        <f t="shared" ref="BP4:BP6" si="17">ROUND(BN4+AW4,3)</f>
        <v>40</v>
      </c>
      <c r="BQ4" s="49">
        <v>123562</v>
      </c>
    </row>
    <row r="5" ht="15.75" spans="1:69">
      <c r="A5" s="7">
        <v>1</v>
      </c>
      <c r="B5" s="7" t="s">
        <v>191</v>
      </c>
      <c r="C5" s="7" t="s">
        <v>191</v>
      </c>
      <c r="D5" s="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IF(OR(PoToMRVWFSUom!$C$2=1,PoToMRVWFSUom!$C$2=4),ROUND((((S5*U5)/100)/2),2),0)</f>
        <v>0</v>
      </c>
      <c r="W5" s="8">
        <f>IF(PoToMRVWFSUom!$C$2=1,ROUND((((S5*U5)/100)/2),2),0)</f>
        <v>0</v>
      </c>
      <c r="X5" s="8">
        <f>IF(PoToMRVWFSUom!$C$2=2,ROUND(((S5*U5)/100),2),0)</f>
        <v>59.12</v>
      </c>
      <c r="Y5" s="8">
        <f>IF(PoToMRVWFSUom!$C$2=4,ROUND((((S5*U5)/100)/2),2),0)</f>
        <v>0</v>
      </c>
      <c r="Z5" s="8">
        <v>0</v>
      </c>
      <c r="AA5" s="8">
        <f>IF(PoToMRVWFSUom!$C3=3,0,(S5*Z5)/100)</f>
        <v>0</v>
      </c>
      <c r="AB5" s="8">
        <f t="shared" si="9"/>
        <v>59.12</v>
      </c>
      <c r="AC5" s="8">
        <f>IF(PoToMRVWFSUom!$V3=1,S5+AB5,S5)</f>
        <v>328.47</v>
      </c>
      <c r="AD5" s="31">
        <v>120</v>
      </c>
      <c r="AE5" s="31">
        <f>IF(PoToMRVWFSUom!$P$2=1,(S5/PoToMRVWFSUom!$S$7)*PoToMRVWFSUom!$E$18,AD5/PoToMRVWFSUom!$AD$7*PoToMRVWFSUom!$E$18)</f>
        <v>0</v>
      </c>
      <c r="AF5" s="31"/>
      <c r="AG5" s="31">
        <f>IF(PoToMRVWFSUom!$P$2=1,(S5/PoToMRVWFSUom!$S$7)*PoToMRVWFSUom!$E$20,AD5/PoToMRVWFSUom!$AD$7*PoToMRVWFSUom!$E$20)</f>
        <v>0</v>
      </c>
      <c r="AH5" s="31">
        <f>IF(PoToMRVWFSUom!$P$2=1,(S5/PoToMRVWFSUom!$S$7)*PoToMRVWFSUom!$E$21,AD5/PoToMRVWFSUom!$AD$7*PoToMRVWFSUom!$E$21)</f>
        <v>0</v>
      </c>
      <c r="AI5" s="31">
        <f>S5*PoToMRVWFSUom!$M$2</f>
        <v>328.47</v>
      </c>
      <c r="AJ5" s="31">
        <f>IF(PoToMRVWFSUom!$C$2=3,0,AG5+AH5)</f>
        <v>0</v>
      </c>
      <c r="AK5" s="31">
        <f>IF(PoToMRVWFSUom!$C$2=3,AE5+AG5+AH5,0)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85</v>
      </c>
      <c r="AV5" t="s" s="0">
        <v>153</v>
      </c>
      <c r="AW5" s="39">
        <f t="shared" si="13"/>
        <v>4</v>
      </c>
      <c r="AX5" s="39">
        <f t="shared" si="14"/>
        <v>82.1175</v>
      </c>
      <c r="AY5" s="39">
        <f t="shared" si="15"/>
        <v>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192</v>
      </c>
      <c r="BO5" s="39">
        <f t="shared" si="16"/>
        <v>82.12</v>
      </c>
      <c r="BP5" s="48">
        <f t="shared" si="17"/>
        <v>16</v>
      </c>
      <c r="BQ5" s="49">
        <v>123562</v>
      </c>
    </row>
    <row r="6" ht="15.75" spans="1:69">
      <c r="A6" s="7">
        <v>1</v>
      </c>
      <c r="B6" s="7" t="s">
        <v>193</v>
      </c>
      <c r="C6" s="7" t="s">
        <v>193</v>
      </c>
      <c r="D6" s="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IF(OR(PoToMRVWFSUom!$C$2=1,PoToMRVWFSUom!$C$2=4),ROUND((((S6*U6)/100)/2),2),0)</f>
        <v>0</v>
      </c>
      <c r="W6" s="8">
        <f>IF(PoToMRVWFSUom!$C$2=1,ROUND((((S6*U6)/100)/2),2),0)</f>
        <v>0</v>
      </c>
      <c r="X6" s="8">
        <f>IF(PoToMRVWFSUom!$C$2=2,ROUND(((S6*U6)/100),2),0)</f>
        <v>77.94</v>
      </c>
      <c r="Y6" s="8">
        <f>IF(PoToMRVWFSUom!$C$2=4,ROUND((((S6*U6)/100)/2),2),0)</f>
        <v>0</v>
      </c>
      <c r="Z6" s="8">
        <v>0</v>
      </c>
      <c r="AA6" s="8">
        <f>IF(PoToMRVWFSUom!$C4=3,0,(S6*Z6)/100)</f>
        <v>0</v>
      </c>
      <c r="AB6" s="8">
        <f t="shared" si="9"/>
        <v>77.94</v>
      </c>
      <c r="AC6" s="8">
        <f>IF(PoToMRVWFSUom!$V4=1,S6+AB6,S6)</f>
        <v>433.01</v>
      </c>
      <c r="AD6" s="31">
        <v>120</v>
      </c>
      <c r="AE6" s="31">
        <f>IF(PoToMRVWFSUom!$P$2=1,(S6/PoToMRVWFSUom!$S$7)*PoToMRVWFSUom!$E$18,AD6/PoToMRVWFSUom!$AD$7*PoToMRVWFSUom!$E$18)</f>
        <v>0</v>
      </c>
      <c r="AF6" s="31"/>
      <c r="AG6" s="31">
        <f>IF(PoToMRVWFSUom!$P$2=1,(S6/PoToMRVWFSUom!$S$7)*PoToMRVWFSUom!$E$20,AD6/PoToMRVWFSUom!$AD$7*PoToMRVWFSUom!$E$20)</f>
        <v>0</v>
      </c>
      <c r="AH6" s="31">
        <f>IF(PoToMRVWFSUom!$P$2=1,(S6/PoToMRVWFSUom!$S$7)*PoToMRVWFSUom!$E$21,AD6/PoToMRVWFSUom!$AD$7*PoToMRVWFSUom!$E$21)</f>
        <v>0</v>
      </c>
      <c r="AI6" s="31">
        <f>S6*PoToMRVWFSUom!$M$2</f>
        <v>433.01</v>
      </c>
      <c r="AJ6" s="31">
        <f>IF(PoToMRVWFSUom!$C$2=3,0,AG6+AH6)</f>
        <v>0</v>
      </c>
      <c r="AK6" s="31">
        <f>IF(PoToMRVWFSUom!$C$2=3,AE6+AG6+AH6,0)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85</v>
      </c>
      <c r="AV6" t="s" s="0">
        <v>159</v>
      </c>
      <c r="AW6" s="39">
        <f t="shared" si="13"/>
        <v>10</v>
      </c>
      <c r="AX6" s="39">
        <f t="shared" si="14"/>
        <v>43.301</v>
      </c>
      <c r="AY6" s="39">
        <f t="shared" si="15"/>
        <v>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194</v>
      </c>
      <c r="BO6" s="39">
        <f t="shared" si="16"/>
        <v>43.3</v>
      </c>
      <c r="BP6" s="48">
        <f t="shared" si="17"/>
        <v>40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1469.63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17" sqref="B17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104" t="s">
        <v>10</v>
      </c>
      <c r="C3" s="104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105">
        <v>1</v>
      </c>
      <c r="B4" s="106" t="s">
        <v>195</v>
      </c>
      <c r="C4" s="106" t="s">
        <v>195</v>
      </c>
      <c r="D4" s="107" t="s">
        <v>76</v>
      </c>
      <c r="E4" s="7" t="s">
        <v>76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30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O4" s="39">
        <f t="shared" ref="BO4:BO6" si="16">ROUND((((AW4*AZ4)+(BN4*BM4))/(AW4+BN4)),5)</f>
        <v>124.545</v>
      </c>
      <c r="BP4" s="48">
        <f t="shared" ref="BP4:BP6" si="17">ROUND(BN4+AW4,3)</f>
        <v>160</v>
      </c>
      <c r="BQ4" s="49">
        <v>123562</v>
      </c>
    </row>
    <row r="5" ht="15.75" spans="1:69">
      <c r="A5" s="105">
        <v>1</v>
      </c>
      <c r="B5" s="106" t="s">
        <v>196</v>
      </c>
      <c r="C5" s="108" t="s">
        <v>196</v>
      </c>
      <c r="D5" s="10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IF(OR(PoToMRVWFSUomserv!$C$2=1,PoToMRVWFSUomserv!$C$2=4),ROUND((((S5*U5)/100)/2),2),0)</f>
        <v>0</v>
      </c>
      <c r="W5" s="8">
        <f>IF(PoToMRVWFSUomserv!$C$2=1,ROUND((((S5*U5)/100)/2),2),0)</f>
        <v>0</v>
      </c>
      <c r="X5" s="8">
        <f>IF(PoToMRVWFSUomserv!$C$2=2,ROUND(((S5*U5)/100),2),0)</f>
        <v>59.12</v>
      </c>
      <c r="Y5" s="8">
        <f>IF(PoToMRVWFSUomserv!$C$2=4,ROUND((((S5*U5)/100)/2),2),0)</f>
        <v>0</v>
      </c>
      <c r="Z5" s="8">
        <v>0</v>
      </c>
      <c r="AA5" s="8">
        <f>IF(PoToMRVWFSUomserv!$C3=3,0,(S5*Z5)/100)</f>
        <v>0</v>
      </c>
      <c r="AB5" s="8">
        <f t="shared" si="9"/>
        <v>59.12</v>
      </c>
      <c r="AC5" s="8">
        <f>IF(PoToMRVWFSUomserv!$V3=1,S5+AB5,S5)</f>
        <v>328.47</v>
      </c>
      <c r="AD5" s="31">
        <v>120</v>
      </c>
      <c r="AE5" s="31">
        <f>IF(PoToMRVWFSUomserv!$P$2=1,(S5/PoToMRVWFSUomserv!$S$7)*PoToMRVWFSUomserv!$E$18,AD5/PoToMRVWFSUomserv!$AD$7*PoToMRVWFSUomserv!$E$18)</f>
        <v>0</v>
      </c>
      <c r="AF5" s="31"/>
      <c r="AG5" s="31">
        <f>IF(PoToMRVWFSUomserv!$P$2=1,(S5/PoToMRVWFSUomserv!$S$7)*PoToMRVWFSUomserv!$E$20,AD5/PoToMRVWFSUomserv!$AD$7*PoToMRVWFSUomserv!$E$20)</f>
        <v>0</v>
      </c>
      <c r="AH5" s="31">
        <f>IF(PoToMRVWFSUomserv!$P$2=1,(S5/PoToMRVWFSUomserv!$S$7)*PoToMRVWFSUomserv!$E$21,AD5/PoToMRVWFSUomserv!$AD$7*PoToMRVWFSUomserv!$E$21)</f>
        <v>0</v>
      </c>
      <c r="AI5" s="31">
        <f>S5*PoToMRVWFSUomserv!$M$2</f>
        <v>328.47</v>
      </c>
      <c r="AJ5" s="31">
        <f>IF(PoToMRVWFSUomserv!$C$2=3,0,AG5+AH5)</f>
        <v>0</v>
      </c>
      <c r="AK5" s="31">
        <f>IF(PoToMRVWFSUomserv!$C$2=3,AE5+AG5+AH5,0)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W5" s="39">
        <f t="shared" si="13"/>
        <v>4</v>
      </c>
      <c r="AX5" s="39">
        <f t="shared" si="14"/>
        <v>82.1175</v>
      </c>
      <c r="AY5" s="39">
        <f t="shared" si="15"/>
        <v>44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O5" s="39">
        <f t="shared" si="16"/>
        <v>82.12</v>
      </c>
      <c r="BP5" s="48">
        <f t="shared" si="17"/>
        <v>44</v>
      </c>
      <c r="BQ5" s="49">
        <v>123562</v>
      </c>
    </row>
    <row r="6" ht="15.75" spans="1:69">
      <c r="A6" s="105">
        <v>1</v>
      </c>
      <c r="B6" s="108" t="s">
        <v>197</v>
      </c>
      <c r="C6" s="108" t="s">
        <v>197</v>
      </c>
      <c r="D6" s="10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IF(OR(PoToMRVWFSUomserv!$C$2=1,PoToMRVWFSUomserv!$C$2=4),ROUND((((S6*U6)/100)/2),2),0)</f>
        <v>0</v>
      </c>
      <c r="W6" s="8">
        <f>IF(PoToMRVWFSUomserv!$C$2=1,ROUND((((S6*U6)/100)/2),2),0)</f>
        <v>0</v>
      </c>
      <c r="X6" s="8">
        <f>IF(PoToMRVWFSUomserv!$C$2=2,ROUND(((S6*U6)/100),2),0)</f>
        <v>77.94</v>
      </c>
      <c r="Y6" s="8">
        <f>IF(PoToMRVWFSUomserv!$C$2=4,ROUND((((S6*U6)/100)/2),2),0)</f>
        <v>0</v>
      </c>
      <c r="Z6" s="8">
        <v>0</v>
      </c>
      <c r="AA6" s="8">
        <f>IF(PoToMRVWFSUomserv!$C4=3,0,(S6*Z6)/100)</f>
        <v>0</v>
      </c>
      <c r="AB6" s="8">
        <f t="shared" si="9"/>
        <v>77.94</v>
      </c>
      <c r="AC6" s="8">
        <f>IF(PoToMRVWFSUomserv!$V4=1,S6+AB6,S6)</f>
        <v>433.01</v>
      </c>
      <c r="AD6" s="31">
        <v>120</v>
      </c>
      <c r="AE6" s="31">
        <f>IF(PoToMRVWFSUomserv!$P$2=1,(S6/PoToMRVWFSUomserv!$S$7)*PoToMRVWFSUomserv!$E$18,AD6/PoToMRVWFSUomserv!$AD$7*PoToMRVWFSUomserv!$E$18)</f>
        <v>0</v>
      </c>
      <c r="AF6" s="31"/>
      <c r="AG6" s="31">
        <f>IF(PoToMRVWFSUomserv!$P$2=1,(S6/PoToMRVWFSUomserv!$S$7)*PoToMRVWFSUomserv!$E$20,AD6/PoToMRVWFSUomserv!$AD$7*PoToMRVWFSUomserv!$E$20)</f>
        <v>0</v>
      </c>
      <c r="AH6" s="31">
        <f>IF(PoToMRVWFSUomserv!$P$2=1,(S6/PoToMRVWFSUomserv!$S$7)*PoToMRVWFSUomserv!$E$21,AD6/PoToMRVWFSUomserv!$AD$7*PoToMRVWFSUomserv!$E$21)</f>
        <v>0</v>
      </c>
      <c r="AI6" s="31">
        <f>S6*PoToMRVWFSUomserv!$M$2</f>
        <v>433.01</v>
      </c>
      <c r="AJ6" s="31">
        <f>IF(PoToMRVWFSUomserv!$C$2=3,0,AG6+AH6)</f>
        <v>0</v>
      </c>
      <c r="AK6" s="31">
        <f>IF(PoToMRVWFSUomserv!$C$2=3,AE6+AG6+AH6,0)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W6" s="39">
        <f t="shared" si="13"/>
        <v>10</v>
      </c>
      <c r="AX6" s="39">
        <f t="shared" si="14"/>
        <v>43.301</v>
      </c>
      <c r="AY6" s="39">
        <f t="shared" si="15"/>
        <v>110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O6" s="39">
        <f t="shared" si="16"/>
        <v>43.3</v>
      </c>
      <c r="BP6" s="48">
        <f t="shared" si="17"/>
        <v>110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1469.63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B1" workbookViewId="0">
      <selection activeCell="C12" sqref="C12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104" t="s">
        <v>10</v>
      </c>
      <c r="C3" s="104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105">
        <v>1</v>
      </c>
      <c r="B4" s="106" t="s">
        <v>195</v>
      </c>
      <c r="C4" s="106" t="s">
        <v>195</v>
      </c>
      <c r="D4" s="107" t="s">
        <v>76</v>
      </c>
      <c r="E4" s="7" t="s">
        <v>76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0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105863.25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10586.325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10586.325</v>
      </c>
      <c r="AS4" s="38" t="s">
        <v>120</v>
      </c>
      <c r="AT4" s="39" t="s">
        <v>76</v>
      </c>
      <c r="AW4" s="39">
        <f t="shared" ref="AW4:AW6" si="13">AM4</f>
        <v>10</v>
      </c>
      <c r="AX4" s="42">
        <f t="shared" ref="AX4:AX6" si="14">AR4</f>
        <v>10586.325</v>
      </c>
      <c r="AY4" s="39">
        <f t="shared" ref="AY4:AY6" si="15">AU4+AW4</f>
        <v>10</v>
      </c>
      <c r="AZ4" s="42">
        <f>ROUND(((AU4*AV4)+(AW4*AX4))/(AU4+AW4),5)</f>
        <v>10586.325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O4" s="39">
        <f t="shared" ref="BO4:BO6" si="16">ROUND((((AW4*AZ4)+(BN4*BM4))/(AW4+BN4)),5)</f>
        <v>10586.325</v>
      </c>
      <c r="BP4" s="48">
        <f t="shared" ref="BP4:BP6" si="17">ROUND(BN4+AW4,3)</f>
        <v>10</v>
      </c>
      <c r="BQ4" s="49">
        <v>123562</v>
      </c>
    </row>
    <row r="5" ht="15.75" spans="1:69">
      <c r="A5" s="105">
        <v>1</v>
      </c>
      <c r="B5" s="106" t="s">
        <v>196</v>
      </c>
      <c r="C5" s="108" t="s">
        <v>196</v>
      </c>
      <c r="D5" s="10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IF(OR(PoToMRVWFSUomservImp!$C$2=1,PoToMRVWFSUomservImp!$C$2=4),ROUND((((S5*U5)/100)/2),2),0)</f>
        <v>0</v>
      </c>
      <c r="W5" s="8">
        <f>IF(PoToMRVWFSUomservImp!$C$2=1,ROUND((((S5*U5)/100)/2),2),0)</f>
        <v>0</v>
      </c>
      <c r="X5" s="8">
        <f>IF(PoToMRVWFSUomservImp!$C$2=2,ROUND(((S5*U5)/100),2),0)</f>
        <v>0</v>
      </c>
      <c r="Y5" s="8">
        <f>IF(PoToMRVWFSUomservImp!$C$2=4,ROUND((((S5*U5)/100)/2),2),0)</f>
        <v>0</v>
      </c>
      <c r="Z5" s="8">
        <v>0</v>
      </c>
      <c r="AA5" s="8">
        <f>IF(PoToMRVWFSUomservImp!$C3=3,0,(S5*Z5)/100)</f>
        <v>0</v>
      </c>
      <c r="AB5" s="8">
        <f t="shared" si="9"/>
        <v>0</v>
      </c>
      <c r="AC5" s="8">
        <f>IF(PoToMRVWFSUomservImp!$V3=1,S5+AB5,S5)</f>
        <v>328.47</v>
      </c>
      <c r="AD5" s="31">
        <v>120</v>
      </c>
      <c r="AE5" s="31">
        <f>IF(PoToMRVWFSUomservImp!$P$2=1,(S5/PoToMRVWFSUomservImp!$S$7)*PoToMRVWFSUomservImp!$E$18,AD5/PoToMRVWFSUomservImp!$AD$7*PoToMRVWFSUomservImp!$E$18)</f>
        <v>0</v>
      </c>
      <c r="AF5" s="31"/>
      <c r="AG5" s="31">
        <f>IF(PoToMRVWFSUomservImp!$P$2=1,(S5/PoToMRVWFSUomservImp!$S$7)*PoToMRVWFSUomservImp!$E$20,AD5/PoToMRVWFSUomservImp!$AD$7*PoToMRVWFSUomservImp!$E$20)</f>
        <v>0</v>
      </c>
      <c r="AH5" s="31">
        <f>IF(PoToMRVWFSUomservImp!$P$2=1,(S5/PoToMRVWFSUomservImp!$S$7)*PoToMRVWFSUomservImp!$E$21,AD5/PoToMRVWFSUomservImp!$AD$7*PoToMRVWFSUomservImp!$E$21)</f>
        <v>0</v>
      </c>
      <c r="AI5" s="31">
        <f>S5*PoToMRVWFSUomservImp!$M$2</f>
        <v>27919.95</v>
      </c>
      <c r="AJ5" s="31">
        <f>IF(PoToMRVWFSUomservImp!$C$2=3,0,AG5+AH5)</f>
        <v>0</v>
      </c>
      <c r="AK5" s="31">
        <f>IF(PoToMRVWFSUomservImp!$C$2=3,AE5+AG5+AH5,0)</f>
        <v>0</v>
      </c>
      <c r="AL5" s="34">
        <v>1</v>
      </c>
      <c r="AM5" s="31">
        <f t="shared" si="10"/>
        <v>4</v>
      </c>
      <c r="AN5" s="31">
        <f>ROUND(AI5/AM5,5)</f>
        <v>6979.9875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6979.9875</v>
      </c>
      <c r="AS5" s="38" t="s">
        <v>120</v>
      </c>
      <c r="AT5" s="39" t="s">
        <v>76</v>
      </c>
      <c r="AW5" s="39">
        <f t="shared" si="13"/>
        <v>4</v>
      </c>
      <c r="AX5" s="39">
        <f t="shared" si="14"/>
        <v>6979.9875</v>
      </c>
      <c r="AY5" s="39">
        <f t="shared" si="15"/>
        <v>4</v>
      </c>
      <c r="AZ5" s="39">
        <f>ROUND(((AU5*AV5)+(AW5*AX5))/(AU5+AW5),2)</f>
        <v>6979.99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O5" s="39">
        <f t="shared" si="16"/>
        <v>6979.99</v>
      </c>
      <c r="BP5" s="48">
        <f t="shared" si="17"/>
        <v>4</v>
      </c>
      <c r="BQ5" s="49">
        <v>123562</v>
      </c>
    </row>
    <row r="6" ht="15.75" spans="1:69">
      <c r="A6" s="105">
        <v>1</v>
      </c>
      <c r="B6" s="108" t="s">
        <v>197</v>
      </c>
      <c r="C6" s="108" t="s">
        <v>197</v>
      </c>
      <c r="D6" s="10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IF(OR(PoToMRVWFSUomservImp!$C$2=1,PoToMRVWFSUomservImp!$C$2=4),ROUND((((S6*U6)/100)/2),2),0)</f>
        <v>0</v>
      </c>
      <c r="W6" s="8">
        <f>IF(PoToMRVWFSUomservImp!$C$2=1,ROUND((((S6*U6)/100)/2),2),0)</f>
        <v>0</v>
      </c>
      <c r="X6" s="8">
        <f>IF(PoToMRVWFSUomservImp!$C$2=2,ROUND(((S6*U6)/100),2),0)</f>
        <v>0</v>
      </c>
      <c r="Y6" s="8">
        <f>IF(PoToMRVWFSUomservImp!$C$2=4,ROUND((((S6*U6)/100)/2),2),0)</f>
        <v>0</v>
      </c>
      <c r="Z6" s="8">
        <v>0</v>
      </c>
      <c r="AA6" s="8">
        <f>IF(PoToMRVWFSUomservImp!$C4=3,0,(S6*Z6)/100)</f>
        <v>0</v>
      </c>
      <c r="AB6" s="8">
        <f t="shared" si="9"/>
        <v>0</v>
      </c>
      <c r="AC6" s="8">
        <f>IF(PoToMRVWFSUomservImp!$V4=1,S6+AB6,S6)</f>
        <v>433.01</v>
      </c>
      <c r="AD6" s="31">
        <v>120</v>
      </c>
      <c r="AE6" s="31">
        <f>IF(PoToMRVWFSUomservImp!$P$2=1,(S6/PoToMRVWFSUomservImp!$S$7)*PoToMRVWFSUomservImp!$E$18,AD6/PoToMRVWFSUomservImp!$AD$7*PoToMRVWFSUomservImp!$E$18)</f>
        <v>0</v>
      </c>
      <c r="AF6" s="31"/>
      <c r="AG6" s="31">
        <f>IF(PoToMRVWFSUomservImp!$P$2=1,(S6/PoToMRVWFSUomservImp!$S$7)*PoToMRVWFSUomservImp!$E$20,AD6/PoToMRVWFSUomservImp!$AD$7*PoToMRVWFSUomservImp!$E$20)</f>
        <v>0</v>
      </c>
      <c r="AH6" s="31">
        <f>IF(PoToMRVWFSUomservImp!$P$2=1,(S6/PoToMRVWFSUomservImp!$S$7)*PoToMRVWFSUomservImp!$E$21,AD6/PoToMRVWFSUomservImp!$AD$7*PoToMRVWFSUomservImp!$E$21)</f>
        <v>0</v>
      </c>
      <c r="AI6" s="31">
        <f>S6*PoToMRVWFSUomservImp!$M$2</f>
        <v>36805.85</v>
      </c>
      <c r="AJ6" s="31">
        <f>IF(PoToMRVWFSUomservImp!$C$2=3,0,AG6+AH6)</f>
        <v>0</v>
      </c>
      <c r="AK6" s="31">
        <f>IF(PoToMRVWFSUomservImp!$C$2=3,AE6+AG6+AH6,0)</f>
        <v>0</v>
      </c>
      <c r="AL6" s="34">
        <v>1</v>
      </c>
      <c r="AM6" s="31">
        <f t="shared" si="10"/>
        <v>10</v>
      </c>
      <c r="AN6" s="31">
        <f>ROUND(AI6/AM6,5)</f>
        <v>3680.585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3680.585</v>
      </c>
      <c r="AS6" s="38" t="s">
        <v>120</v>
      </c>
      <c r="AT6" s="39" t="s">
        <v>76</v>
      </c>
      <c r="AW6" s="39">
        <f t="shared" si="13"/>
        <v>10</v>
      </c>
      <c r="AX6" s="39">
        <f t="shared" si="14"/>
        <v>3680.585</v>
      </c>
      <c r="AY6" s="39">
        <f t="shared" si="15"/>
        <v>10</v>
      </c>
      <c r="AZ6" s="39">
        <f>ROUND(((AU6*AV6)+(AW6*AX6))/(AU6+AW6),2)</f>
        <v>3680.59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O6" s="39">
        <f t="shared" si="16"/>
        <v>3680.59</v>
      </c>
      <c r="BP6" s="48">
        <f t="shared" si="17"/>
        <v>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0</v>
      </c>
      <c r="Y7" s="27"/>
      <c r="Z7" s="27"/>
      <c r="AA7" s="27"/>
      <c r="AB7" s="26">
        <f t="shared" ref="AB7:AE7" si="19">SUM(AB4:AB4)</f>
        <v>0</v>
      </c>
      <c r="AC7" s="32">
        <f t="shared" si="19"/>
        <v>1245.45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105863.25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1245.45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V13" sqref="V13"/>
    </sheetView>
  </sheetViews>
  <sheetFormatPr defaultColWidth="8.84761904761905" defaultRowHeight="15"/>
  <cols>
    <col min="2" max="2" customWidth="true" width="28.0"/>
    <col min="3" max="3" customWidth="true" width="30.4285714285714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198</v>
      </c>
      <c r="C4" s="7" t="s">
        <v>198</v>
      </c>
      <c r="D4" s="7" t="s">
        <v>76</v>
      </c>
      <c r="E4" s="7" t="s">
        <v>76</v>
      </c>
      <c r="F4" s="8">
        <v>10</v>
      </c>
      <c r="G4" t="s" s="0">
        <v>199</v>
      </c>
      <c r="H4" s="8">
        <f t="shared" ref="H4:H6" si="0">F4*G4</f>
        <v>1500</v>
      </c>
      <c r="I4" t="s" s="0">
        <v>85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85</v>
      </c>
      <c r="AV4" t="s" s="0">
        <v>163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10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200</v>
      </c>
      <c r="BN4" t="s" s="0">
        <v>201</v>
      </c>
      <c r="BO4" s="39">
        <f t="shared" ref="BO4:BO6" si="16">ROUND((((AW4*AZ4)+(BN4*BM4))/(AW4+BN4)),5)</f>
        <v>1458.03</v>
      </c>
      <c r="BP4" s="48">
        <f t="shared" ref="BP4:BP6" si="17">ROUND(BN4+AW4,3)</f>
        <v>60</v>
      </c>
      <c r="BQ4" s="49">
        <v>123562</v>
      </c>
    </row>
    <row r="5" ht="15.75" spans="1:69">
      <c r="A5" s="7">
        <v>1</v>
      </c>
      <c r="B5" s="7" t="s">
        <v>202</v>
      </c>
      <c r="C5" s="7" t="s">
        <v>202</v>
      </c>
      <c r="D5" s="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IF(OR(PoToMRVWoQSUomRC!$C$2=1,PoToMRVWoQSUomRC!$C$2=4),ROUND((((S5*U5)/100)/2),2),0)</f>
        <v>0</v>
      </c>
      <c r="W5" s="8">
        <f>IF(PoToMRVWoQSUomRC!$C$2=1,ROUND((((S5*U5)/100)/2),2),0)</f>
        <v>0</v>
      </c>
      <c r="X5" s="8">
        <f>IF(PoToMRVWoQSUomRC!$C$2=2,ROUND(((S5*U5)/100),2),0)</f>
        <v>59.12</v>
      </c>
      <c r="Y5" s="8">
        <f>IF(PoToMRVWoQSUomRC!$C$2=4,ROUND((((S5*U5)/100)/2),2),0)</f>
        <v>0</v>
      </c>
      <c r="Z5" s="8">
        <v>0</v>
      </c>
      <c r="AA5" s="8">
        <f>IF(PoToMRVWoQSUomRC!$C3=3,0,(S5*Z5)/100)</f>
        <v>0</v>
      </c>
      <c r="AB5" s="8">
        <f t="shared" si="9"/>
        <v>59.12</v>
      </c>
      <c r="AC5" s="8">
        <f>IF(PoToMRVWoQSUomRC!$V3=1,S5+AB5,S5)</f>
        <v>328.47</v>
      </c>
      <c r="AD5" s="31">
        <v>120</v>
      </c>
      <c r="AE5" s="31">
        <f>IF(PoToMRVWoQSUomRC!$P$2=1,(S5/PoToMRVWoQSUomRC!$S$7)*PoToMRVWoQSUomRC!$E$18,AD5/PoToMRVWoQSUomRC!$AD$7*PoToMRVWoQSUomRC!$E$18)</f>
        <v>0</v>
      </c>
      <c r="AF5" s="31"/>
      <c r="AG5" s="31">
        <f>IF(PoToMRVWoQSUomRC!$P$2=1,(S5/PoToMRVWoQSUomRC!$S$7)*PoToMRVWoQSUomRC!$E$20,AD5/PoToMRVWoQSUomRC!$AD$7*PoToMRVWoQSUomRC!$E$20)</f>
        <v>0</v>
      </c>
      <c r="AH5" s="31">
        <f>IF(PoToMRVWoQSUomRC!$P$2=1,(S5/PoToMRVWoQSUomRC!$S$7)*PoToMRVWoQSUomRC!$E$21,AD5/PoToMRVWoQSUomRC!$AD$7*PoToMRVWoQSUomRC!$E$21)</f>
        <v>0</v>
      </c>
      <c r="AI5" s="31">
        <f>S5*PoToMRVWoQSUomRC!$M$2</f>
        <v>328.47</v>
      </c>
      <c r="AJ5" s="31">
        <f>IF(PoToMRVWoQSUomRC!$C$2=3,0,AG5+AH5)</f>
        <v>0</v>
      </c>
      <c r="AK5" s="31">
        <f>IF(PoToMRVWoQSUomRC!$C$2=3,AE5+AG5+AH5,0)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85</v>
      </c>
      <c r="AV5" t="s" s="0">
        <v>153</v>
      </c>
      <c r="AW5" s="39">
        <f t="shared" si="13"/>
        <v>4</v>
      </c>
      <c r="AX5" s="39">
        <f t="shared" si="14"/>
        <v>82.1175</v>
      </c>
      <c r="AY5" s="39">
        <f t="shared" si="15"/>
        <v>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203</v>
      </c>
      <c r="BO5" s="39">
        <f t="shared" si="16"/>
        <v>82.12</v>
      </c>
      <c r="BP5" s="48">
        <f t="shared" si="17"/>
        <v>16</v>
      </c>
      <c r="BQ5" s="49">
        <v>123562</v>
      </c>
    </row>
    <row r="6" ht="15.75" spans="1:69">
      <c r="A6" s="7">
        <v>1</v>
      </c>
      <c r="B6" s="7" t="s">
        <v>204</v>
      </c>
      <c r="C6" s="7" t="s">
        <v>204</v>
      </c>
      <c r="D6" s="7" t="s">
        <v>76</v>
      </c>
      <c r="E6" s="7" t="s">
        <v>76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IF(OR(PoToMRVWoQSUomRC!$C$2=1,PoToMRVWoQSUomRC!$C$2=4),ROUND((((S6*U6)/100)/2),2),0)</f>
        <v>0</v>
      </c>
      <c r="W6" s="8">
        <f>IF(PoToMRVWoQSUomRC!$C$2=1,ROUND((((S6*U6)/100)/2),2),0)</f>
        <v>0</v>
      </c>
      <c r="X6" s="8">
        <f>IF(PoToMRVWoQSUomRC!$C$2=2,ROUND(((S6*U6)/100),2),0)</f>
        <v>77.94</v>
      </c>
      <c r="Y6" s="8">
        <f>IF(PoToMRVWoQSUomRC!$C$2=4,ROUND((((S6*U6)/100)/2),2),0)</f>
        <v>0</v>
      </c>
      <c r="Z6" s="8">
        <v>0</v>
      </c>
      <c r="AA6" s="8">
        <f>IF(PoToMRVWoQSUomRC!$C4=3,0,(S6*Z6)/100)</f>
        <v>0</v>
      </c>
      <c r="AB6" s="8">
        <f t="shared" si="9"/>
        <v>77.94</v>
      </c>
      <c r="AC6" s="8">
        <f>IF(PoToMRVWoQSUomRC!$V4=1,S6+AB6,S6)</f>
        <v>433.01</v>
      </c>
      <c r="AD6" s="31">
        <v>120</v>
      </c>
      <c r="AE6" s="31">
        <f>IF(PoToMRVWoQSUomRC!$P$2=1,(S6/PoToMRVWoQSUomRC!$S$7)*PoToMRVWoQSUomRC!$E$18,AD6/PoToMRVWoQSUomRC!$AD$7*PoToMRVWoQSUomRC!$E$18)</f>
        <v>0</v>
      </c>
      <c r="AF6" s="31"/>
      <c r="AG6" s="31">
        <f>IF(PoToMRVWoQSUomRC!$P$2=1,(S6/PoToMRVWoQSUomRC!$S$7)*PoToMRVWoQSUomRC!$E$20,AD6/PoToMRVWoQSUomRC!$AD$7*PoToMRVWoQSUomRC!$E$20)</f>
        <v>0</v>
      </c>
      <c r="AH6" s="31">
        <f>IF(PoToMRVWoQSUomRC!$P$2=1,(S6/PoToMRVWoQSUomRC!$S$7)*PoToMRVWoQSUomRC!$E$21,AD6/PoToMRVWoQSUomRC!$AD$7*PoToMRVWoQSUomRC!$E$21)</f>
        <v>0</v>
      </c>
      <c r="AI6" s="31">
        <f>S6*PoToMRVWoQSUomRC!$M$2</f>
        <v>433.01</v>
      </c>
      <c r="AJ6" s="31">
        <f>IF(PoToMRVWoQSUomRC!$C$2=3,0,AG6+AH6)</f>
        <v>0</v>
      </c>
      <c r="AK6" s="31">
        <f>IF(PoToMRVWoQSUomRC!$C$2=3,AE6+AG6+AH6,0)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85</v>
      </c>
      <c r="AV6" t="s" s="0">
        <v>159</v>
      </c>
      <c r="AW6" s="39">
        <f t="shared" si="13"/>
        <v>10</v>
      </c>
      <c r="AX6" s="39">
        <f t="shared" si="14"/>
        <v>43.301</v>
      </c>
      <c r="AY6" s="39">
        <f t="shared" si="15"/>
        <v>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206</v>
      </c>
      <c r="BO6" s="39">
        <f t="shared" si="16"/>
        <v>43.3</v>
      </c>
      <c r="BP6" s="48">
        <f t="shared" si="17"/>
        <v>40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1245.45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G1" workbookViewId="0">
      <selection activeCell="AR9" sqref="AR9"/>
    </sheetView>
  </sheetViews>
  <sheetFormatPr defaultColWidth="8.84761904761905" defaultRowHeight="15"/>
  <cols>
    <col min="2" max="2" customWidth="true" width="28.0"/>
    <col min="3" max="3" customWidth="true" width="30.4285714285714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198</v>
      </c>
      <c r="C4" s="7" t="s">
        <v>198</v>
      </c>
      <c r="D4" s="7" t="s">
        <v>76</v>
      </c>
      <c r="E4" s="7" t="s">
        <v>76</v>
      </c>
      <c r="F4" s="8">
        <v>10</v>
      </c>
      <c r="G4" t="s" s="0">
        <v>199</v>
      </c>
      <c r="H4" s="8">
        <f t="shared" ref="H4:H6" si="0">F4*G4</f>
        <v>500</v>
      </c>
      <c r="I4" t="s" s="0">
        <v>85</v>
      </c>
      <c r="J4" s="8">
        <v>8</v>
      </c>
      <c r="K4" s="8">
        <v>5</v>
      </c>
      <c r="L4" s="8">
        <v>0</v>
      </c>
      <c r="M4" s="8">
        <f t="shared" ref="M4:M6" si="1">ROUND(L4*I4%,2)</f>
        <v>0</v>
      </c>
      <c r="N4" s="8">
        <f t="shared" ref="N4:N6" si="2">H4-M4</f>
        <v>500</v>
      </c>
      <c r="O4" s="8">
        <f t="shared" ref="O4:O6" si="3">ROUND(N4*J4%,2)</f>
        <v>40</v>
      </c>
      <c r="P4" s="8">
        <f t="shared" ref="P4:P6" si="4">ROUND(N4-O4,2)</f>
        <v>460</v>
      </c>
      <c r="Q4" s="8">
        <f t="shared" ref="Q4:Q6" si="5">ROUND(P4*K4%,2)</f>
        <v>23</v>
      </c>
      <c r="R4" s="8">
        <f t="shared" ref="R4:R6" si="6">M4+O4+Q4</f>
        <v>63</v>
      </c>
      <c r="S4" s="8">
        <f t="shared" ref="S4:S6" si="7">(H4-R4)</f>
        <v>437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8">V4+W4+X4+Y4+AA4</f>
        <v>0</v>
      </c>
      <c r="AC4" s="30">
        <f>IF($V2=1,S4+AB4,S4)</f>
        <v>437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37145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9">F4/AL4</f>
        <v>10</v>
      </c>
      <c r="AN4" s="34">
        <f>ROUND(AI4/AM4,3)</f>
        <v>3714.5</v>
      </c>
      <c r="AO4" s="31">
        <f t="shared" ref="AO4:AO6" si="10">AJ4/AM4</f>
        <v>0</v>
      </c>
      <c r="AP4" s="31">
        <f t="shared" ref="AP4:AP6" si="11">AK4/AM4</f>
        <v>0</v>
      </c>
      <c r="AQ4" s="31" t="s">
        <v>76</v>
      </c>
      <c r="AR4" s="34">
        <f>ROUND(AN4+AO4+AP4,3)</f>
        <v>3714.5</v>
      </c>
      <c r="AS4" s="38" t="s">
        <v>120</v>
      </c>
      <c r="AT4" s="39" t="s">
        <v>76</v>
      </c>
      <c r="AU4" t="s" s="0">
        <v>85</v>
      </c>
      <c r="AV4" t="s" s="0">
        <v>207</v>
      </c>
      <c r="AW4" s="39">
        <f t="shared" ref="AW4:AW6" si="12">AM4</f>
        <v>10</v>
      </c>
      <c r="AX4" s="42">
        <f t="shared" ref="AX4:AX6" si="13">AR4</f>
        <v>3714.5</v>
      </c>
      <c r="AY4" s="39">
        <f t="shared" ref="AY4:AY6" si="14">AU4+AW4</f>
        <v>10</v>
      </c>
      <c r="AZ4" s="39">
        <f>ROUND(((AU4*AV4)+(AW4*AX4))/(AU4+AW4),5)</f>
        <v>3714.5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208</v>
      </c>
      <c r="BN4" t="s" s="0">
        <v>209</v>
      </c>
      <c r="BO4" s="39">
        <f t="shared" ref="BO4:BO6" si="15">ROUND((((AW4*AZ4)+(BN4*BM4))/(AW4+BN4)),5)</f>
        <v>932.04355</v>
      </c>
      <c r="BP4" s="48">
        <f t="shared" ref="BP4:BP6" si="16">ROUND(BN4+AW4,3)</f>
        <v>580</v>
      </c>
      <c r="BQ4" s="49">
        <v>123562</v>
      </c>
    </row>
    <row r="5" ht="15.75" spans="1:69">
      <c r="A5" s="7">
        <v>1</v>
      </c>
      <c r="B5" s="7" t="s">
        <v>202</v>
      </c>
      <c r="C5" s="7" t="s">
        <v>202</v>
      </c>
      <c r="D5" s="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ref="L4:L6" si="17">H5</f>
        <v>400</v>
      </c>
      <c r="M5" s="8">
        <f t="shared" si="1"/>
        <v>16</v>
      </c>
      <c r="N5" s="8">
        <f t="shared" si="2"/>
        <v>384</v>
      </c>
      <c r="O5" s="8">
        <f t="shared" si="3"/>
        <v>34.56</v>
      </c>
      <c r="P5" s="8">
        <f t="shared" si="4"/>
        <v>349.44</v>
      </c>
      <c r="Q5" s="8">
        <f t="shared" si="5"/>
        <v>20.97</v>
      </c>
      <c r="R5" s="8">
        <f t="shared" si="6"/>
        <v>71.53</v>
      </c>
      <c r="S5" s="8">
        <f t="shared" si="7"/>
        <v>328.47</v>
      </c>
      <c r="T5" s="8">
        <v>88363222</v>
      </c>
      <c r="U5" s="8">
        <v>18</v>
      </c>
      <c r="V5" s="8">
        <f>IF(OR(PoToMRVWoQSUomRCImp!$C$2=1,PoToMRVWoQSUomRCImp!$C$2=4),ROUND((((S5*U5)/100)/2),2),0)</f>
        <v>0</v>
      </c>
      <c r="W5" s="8">
        <f>IF(PoToMRVWoQSUomRCImp!$C$2=1,ROUND((((S5*U5)/100)/2),2),0)</f>
        <v>0</v>
      </c>
      <c r="X5" s="8">
        <f>IF(PoToMRVWoQSUomRCImp!$C$2=2,ROUND(((S5*U5)/100),2),0)</f>
        <v>0</v>
      </c>
      <c r="Y5" s="8">
        <f>IF(PoToMRVWoQSUomRCImp!$C$2=4,ROUND((((S5*U5)/100)/2),2),0)</f>
        <v>0</v>
      </c>
      <c r="Z5" s="8">
        <v>0</v>
      </c>
      <c r="AA5" s="8">
        <f>IF(PoToMRVWoQSUomRCImp!$C3=3,0,(S5*Z5)/100)</f>
        <v>0</v>
      </c>
      <c r="AB5" s="8">
        <f t="shared" si="8"/>
        <v>0</v>
      </c>
      <c r="AC5" s="8">
        <f>IF(PoToMRVWoQSUomRCImp!$V3=1,S5+AB5,S5)</f>
        <v>328.47</v>
      </c>
      <c r="AD5" s="31">
        <v>120</v>
      </c>
      <c r="AE5" s="31">
        <f>IF(PoToMRVWoQSUomRCImp!$P$2=1,(S5/PoToMRVWoQSUomRCImp!$S$7)*PoToMRVWoQSUomRCImp!$E$18,AD5/PoToMRVWoQSUomRCImp!$AD$7*PoToMRVWoQSUomRCImp!$E$18)</f>
        <v>0</v>
      </c>
      <c r="AF5" s="31"/>
      <c r="AG5" s="31">
        <f>IF(PoToMRVWoQSUomRCImp!$P$2=1,(S5/PoToMRVWoQSUomRCImp!$S$7)*PoToMRVWoQSUomRCImp!$E$20,AD5/PoToMRVWoQSUomRCImp!$AD$7*PoToMRVWoQSUomRCImp!$E$20)</f>
        <v>0</v>
      </c>
      <c r="AH5" s="31">
        <f>IF(PoToMRVWoQSUomRCImp!$P$2=1,(S5/PoToMRVWoQSUomRCImp!$S$7)*PoToMRVWoQSUomRCImp!$E$21,AD5/PoToMRVWoQSUomRCImp!$AD$7*PoToMRVWoQSUomRCImp!$E$21)</f>
        <v>0</v>
      </c>
      <c r="AI5" s="31">
        <f>S5*PoToMRVWoQSUomRCImp!$M$2</f>
        <v>27919.95</v>
      </c>
      <c r="AJ5" s="31">
        <f>IF(PoToMRVWoQSUomRCImp!$C$2=3,0,AG5+AH5)</f>
        <v>0</v>
      </c>
      <c r="AK5" s="31">
        <f>IF(PoToMRVWoQSUomRCImp!$C$2=3,AE5+AG5+AH5,0)</f>
        <v>0</v>
      </c>
      <c r="AL5" s="34">
        <v>1</v>
      </c>
      <c r="AM5" s="31">
        <f t="shared" si="9"/>
        <v>4</v>
      </c>
      <c r="AN5" s="31">
        <f>ROUND(AI5/AM5,5)</f>
        <v>6979.9875</v>
      </c>
      <c r="AO5" s="31">
        <f t="shared" si="10"/>
        <v>0</v>
      </c>
      <c r="AP5" s="31">
        <f t="shared" si="11"/>
        <v>0</v>
      </c>
      <c r="AQ5" s="31" t="s">
        <v>76</v>
      </c>
      <c r="AR5" s="31">
        <f>ROUND(AN5+AO5+AP5,5)</f>
        <v>6979.9875</v>
      </c>
      <c r="AS5" s="38" t="s">
        <v>120</v>
      </c>
      <c r="AT5" s="39" t="s">
        <v>76</v>
      </c>
      <c r="AU5" t="s" s="0">
        <v>85</v>
      </c>
      <c r="AV5" t="s" s="0">
        <v>210</v>
      </c>
      <c r="AW5" s="39">
        <f t="shared" si="12"/>
        <v>4</v>
      </c>
      <c r="AX5" s="39">
        <f t="shared" si="13"/>
        <v>6979.9875</v>
      </c>
      <c r="AY5" s="39">
        <f t="shared" si="14"/>
        <v>4</v>
      </c>
      <c r="AZ5" s="39">
        <f>ROUND(((AU5*AV5)+(AW5*AX5))/(AU5+AW5),2)</f>
        <v>6979.99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211</v>
      </c>
      <c r="BN5" t="s" s="0">
        <v>212</v>
      </c>
      <c r="BO5" s="39">
        <f t="shared" si="15"/>
        <v>232.0737</v>
      </c>
      <c r="BP5" s="48">
        <f t="shared" si="16"/>
        <v>184</v>
      </c>
      <c r="BQ5" s="49">
        <v>123562</v>
      </c>
    </row>
    <row r="6" ht="15.75" spans="1:69">
      <c r="A6" s="7">
        <v>1</v>
      </c>
      <c r="B6" s="7" t="s">
        <v>204</v>
      </c>
      <c r="C6" s="7" t="s">
        <v>204</v>
      </c>
      <c r="D6" s="7" t="s">
        <v>76</v>
      </c>
      <c r="E6" s="7" t="s">
        <v>76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7"/>
        <v>500</v>
      </c>
      <c r="M6" s="8">
        <f t="shared" si="1"/>
        <v>15</v>
      </c>
      <c r="N6" s="8">
        <f t="shared" si="2"/>
        <v>485</v>
      </c>
      <c r="O6" s="8">
        <f t="shared" si="3"/>
        <v>33.95</v>
      </c>
      <c r="P6" s="8">
        <f t="shared" si="4"/>
        <v>451.05</v>
      </c>
      <c r="Q6" s="8">
        <f t="shared" si="5"/>
        <v>18.04</v>
      </c>
      <c r="R6" s="8">
        <f t="shared" si="6"/>
        <v>66.99</v>
      </c>
      <c r="S6" s="8">
        <f t="shared" si="7"/>
        <v>433.01</v>
      </c>
      <c r="T6" s="8">
        <v>88363222</v>
      </c>
      <c r="U6" s="8">
        <v>18</v>
      </c>
      <c r="V6" s="8">
        <f>IF(OR(PoToMRVWoQSUomRCImp!$C$2=1,PoToMRVWoQSUomRCImp!$C$2=4),ROUND((((S6*U6)/100)/2),2),0)</f>
        <v>0</v>
      </c>
      <c r="W6" s="8">
        <f>IF(PoToMRVWoQSUomRCImp!$C$2=1,ROUND((((S6*U6)/100)/2),2),0)</f>
        <v>0</v>
      </c>
      <c r="X6" s="8">
        <f>IF(PoToMRVWoQSUomRCImp!$C$2=2,ROUND(((S6*U6)/100),2),0)</f>
        <v>0</v>
      </c>
      <c r="Y6" s="8">
        <f>IF(PoToMRVWoQSUomRCImp!$C$2=4,ROUND((((S6*U6)/100)/2),2),0)</f>
        <v>0</v>
      </c>
      <c r="Z6" s="8">
        <v>0</v>
      </c>
      <c r="AA6" s="8">
        <f>IF(PoToMRVWoQSUomRCImp!$C4=3,0,(S6*Z6)/100)</f>
        <v>0</v>
      </c>
      <c r="AB6" s="8">
        <f t="shared" si="8"/>
        <v>0</v>
      </c>
      <c r="AC6" s="8">
        <f>IF(PoToMRVWoQSUomRCImp!$V4=1,S6+AB6,S6)</f>
        <v>433.01</v>
      </c>
      <c r="AD6" s="31">
        <v>120</v>
      </c>
      <c r="AE6" s="31">
        <f>IF(PoToMRVWoQSUomRCImp!$P$2=1,(S6/PoToMRVWoQSUomRCImp!$S$7)*PoToMRVWoQSUomRCImp!$E$18,AD6/PoToMRVWoQSUomRCImp!$AD$7*PoToMRVWoQSUomRCImp!$E$18)</f>
        <v>0</v>
      </c>
      <c r="AF6" s="31"/>
      <c r="AG6" s="31">
        <f>IF(PoToMRVWoQSUomRCImp!$P$2=1,(S6/PoToMRVWoQSUomRCImp!$S$7)*PoToMRVWoQSUomRCImp!$E$20,AD6/PoToMRVWoQSUomRCImp!$AD$7*PoToMRVWoQSUomRCImp!$E$20)</f>
        <v>0</v>
      </c>
      <c r="AH6" s="31">
        <f>IF(PoToMRVWoQSUomRCImp!$P$2=1,(S6/PoToMRVWoQSUomRCImp!$S$7)*PoToMRVWoQSUomRCImp!$E$21,AD6/PoToMRVWoQSUomRCImp!$AD$7*PoToMRVWoQSUomRCImp!$E$21)</f>
        <v>0</v>
      </c>
      <c r="AI6" s="31">
        <f>S6*PoToMRVWoQSUomRCImp!$M$2</f>
        <v>36805.85</v>
      </c>
      <c r="AJ6" s="31">
        <f>IF(PoToMRVWoQSUomRCImp!$C$2=3,0,AG6+AH6)</f>
        <v>0</v>
      </c>
      <c r="AK6" s="31">
        <f>IF(PoToMRVWoQSUomRCImp!$C$2=3,AE6+AG6+AH6,0)</f>
        <v>0</v>
      </c>
      <c r="AL6" s="34">
        <v>1</v>
      </c>
      <c r="AM6" s="31">
        <f t="shared" si="9"/>
        <v>10</v>
      </c>
      <c r="AN6" s="31">
        <f>ROUND(AI6/AM6,5)</f>
        <v>3680.585</v>
      </c>
      <c r="AO6" s="31">
        <f t="shared" si="10"/>
        <v>0</v>
      </c>
      <c r="AP6" s="31">
        <f t="shared" si="11"/>
        <v>0</v>
      </c>
      <c r="AQ6" s="31" t="s">
        <v>76</v>
      </c>
      <c r="AR6" s="31">
        <f>ROUND(AN6+AO6+AP6,5)</f>
        <v>3680.585</v>
      </c>
      <c r="AS6" s="38" t="s">
        <v>120</v>
      </c>
      <c r="AT6" s="39" t="s">
        <v>76</v>
      </c>
      <c r="AU6" t="s" s="0">
        <v>85</v>
      </c>
      <c r="AV6" t="s" s="0">
        <v>213</v>
      </c>
      <c r="AW6" s="39">
        <f t="shared" si="12"/>
        <v>10</v>
      </c>
      <c r="AX6" s="39">
        <f t="shared" si="13"/>
        <v>3680.585</v>
      </c>
      <c r="AY6" s="39">
        <f t="shared" si="14"/>
        <v>10</v>
      </c>
      <c r="AZ6" s="39">
        <f>ROUND(((AU6*AV6)+(AW6*AX6))/(AU6+AW6),2)</f>
        <v>3680.59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214</v>
      </c>
      <c r="BN6" t="s" s="0">
        <v>215</v>
      </c>
      <c r="BO6" s="39">
        <f t="shared" si="15"/>
        <v>122.37152</v>
      </c>
      <c r="BP6" s="48">
        <f t="shared" si="16"/>
        <v>460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63</v>
      </c>
      <c r="S7" s="13">
        <f t="shared" si="18"/>
        <v>437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0</v>
      </c>
      <c r="Y7" s="27"/>
      <c r="Z7" s="27"/>
      <c r="AA7" s="27"/>
      <c r="AB7" s="26">
        <f t="shared" ref="AB7:AE7" si="19">SUM(AB4:AB4)</f>
        <v>0</v>
      </c>
      <c r="AC7" s="32">
        <f t="shared" si="19"/>
        <v>437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37145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63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437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437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198</v>
      </c>
      <c r="C4" s="7" t="s">
        <v>198</v>
      </c>
      <c r="D4" s="7" t="s">
        <v>76</v>
      </c>
      <c r="E4" s="7" t="s">
        <v>76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85</v>
      </c>
      <c r="AV4" t="s" s="0">
        <v>163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30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216</v>
      </c>
      <c r="BN4" t="s" s="0">
        <v>217</v>
      </c>
      <c r="BO4" s="39">
        <f t="shared" ref="BO4:BO6" si="16">ROUND((((AW4*AZ4)+(BN4*BM4))/(AW4+BN4)),5)</f>
        <v>124.545</v>
      </c>
      <c r="BP4" s="48">
        <f t="shared" ref="BP4:BP6" si="17">ROUND(BN4+AW4,3)</f>
        <v>160</v>
      </c>
      <c r="BQ4" s="49">
        <v>123562</v>
      </c>
    </row>
    <row r="5" ht="15.75" spans="1:69">
      <c r="A5" s="7">
        <v>1</v>
      </c>
      <c r="B5" s="7" t="s">
        <v>202</v>
      </c>
      <c r="C5" s="7" t="s">
        <v>202</v>
      </c>
      <c r="D5" s="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IF(OR(PoToMRVWFSUomRC!$C$2=1,PoToMRVWFSUomRC!$C$2=4),ROUND((((S5*U5)/100)/2),2),0)</f>
        <v>0</v>
      </c>
      <c r="W5" s="8">
        <f>IF(PoToMRVWFSUomRC!$C$2=1,ROUND((((S5*U5)/100)/2),2),0)</f>
        <v>0</v>
      </c>
      <c r="X5" s="8">
        <f>IF(PoToMRVWFSUomRC!$C$2=2,ROUND(((S5*U5)/100),2),0)</f>
        <v>59.12</v>
      </c>
      <c r="Y5" s="8">
        <f>IF(PoToMRVWFSUomRC!$C$2=4,ROUND((((S5*U5)/100)/2),2),0)</f>
        <v>0</v>
      </c>
      <c r="Z5" s="8">
        <v>0</v>
      </c>
      <c r="AA5" s="8">
        <f>IF(PoToMRVWFSUomRC!$C3=3,0,(S5*Z5)/100)</f>
        <v>0</v>
      </c>
      <c r="AB5" s="8">
        <f t="shared" si="9"/>
        <v>59.12</v>
      </c>
      <c r="AC5" s="8">
        <f>IF(PoToMRVWFSUomRC!$V3=1,S5+AB5,S5)</f>
        <v>328.47</v>
      </c>
      <c r="AD5" s="31">
        <v>120</v>
      </c>
      <c r="AE5" s="31">
        <f>IF(PoToMRVWFSUomRC!$P$2=1,(S5/PoToMRVWFSUomRC!$S$7)*PoToMRVWFSUomRC!$E$18,AD5/PoToMRVWFSUomRC!$AD$7*PoToMRVWFSUomRC!$E$18)</f>
        <v>0</v>
      </c>
      <c r="AF5" s="31"/>
      <c r="AG5" s="31">
        <f>IF(PoToMRVWFSUomRC!$P$2=1,(S5/PoToMRVWFSUomRC!$S$7)*PoToMRVWFSUomRC!$E$20,AD5/PoToMRVWFSUomRC!$AD$7*PoToMRVWFSUomRC!$E$20)</f>
        <v>0</v>
      </c>
      <c r="AH5" s="31">
        <f>IF(PoToMRVWFSUomRC!$P$2=1,(S5/PoToMRVWFSUomRC!$S$7)*PoToMRVWFSUomRC!$E$21,AD5/PoToMRVWFSUomRC!$AD$7*PoToMRVWFSUomRC!$E$21)</f>
        <v>0</v>
      </c>
      <c r="AI5" s="31">
        <f>S5*PoToMRVWFSUomRC!$M$2</f>
        <v>328.47</v>
      </c>
      <c r="AJ5" s="31">
        <f>IF(PoToMRVWFSUomRC!$C$2=3,0,AG5+AH5)</f>
        <v>0</v>
      </c>
      <c r="AK5" s="31">
        <f>IF(PoToMRVWFSUomRC!$C$2=3,AE5+AG5+AH5,0)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85</v>
      </c>
      <c r="AV5" t="s" s="0">
        <v>153</v>
      </c>
      <c r="AW5" s="39">
        <f t="shared" si="13"/>
        <v>4</v>
      </c>
      <c r="AX5" s="39">
        <f t="shared" si="14"/>
        <v>82.1175</v>
      </c>
      <c r="AY5" s="39">
        <f t="shared" si="15"/>
        <v>44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218</v>
      </c>
      <c r="BO5" s="39">
        <f t="shared" si="16"/>
        <v>82.12</v>
      </c>
      <c r="BP5" s="48">
        <f t="shared" si="17"/>
        <v>44</v>
      </c>
      <c r="BQ5" s="49">
        <v>123562</v>
      </c>
    </row>
    <row r="6" ht="15.75" spans="1:69">
      <c r="A6" s="7">
        <v>1</v>
      </c>
      <c r="B6" s="7" t="s">
        <v>204</v>
      </c>
      <c r="C6" s="7" t="s">
        <v>204</v>
      </c>
      <c r="D6" s="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IF(OR(PoToMRVWFSUomRC!$C$2=1,PoToMRVWFSUomRC!$C$2=4),ROUND((((S6*U6)/100)/2),2),0)</f>
        <v>0</v>
      </c>
      <c r="W6" s="8">
        <f>IF(PoToMRVWFSUomRC!$C$2=1,ROUND((((S6*U6)/100)/2),2),0)</f>
        <v>0</v>
      </c>
      <c r="X6" s="8">
        <f>IF(PoToMRVWFSUomRC!$C$2=2,ROUND(((S6*U6)/100),2),0)</f>
        <v>77.94</v>
      </c>
      <c r="Y6" s="8">
        <f>IF(PoToMRVWFSUomRC!$C$2=4,ROUND((((S6*U6)/100)/2),2),0)</f>
        <v>0</v>
      </c>
      <c r="Z6" s="8">
        <v>0</v>
      </c>
      <c r="AA6" s="8">
        <f>IF(PoToMRVWFSUomRC!$C4=3,0,(S6*Z6)/100)</f>
        <v>0</v>
      </c>
      <c r="AB6" s="8">
        <f t="shared" si="9"/>
        <v>77.94</v>
      </c>
      <c r="AC6" s="8">
        <f>IF(PoToMRVWFSUomRC!$V4=1,S6+AB6,S6)</f>
        <v>433.01</v>
      </c>
      <c r="AD6" s="31">
        <v>120</v>
      </c>
      <c r="AE6" s="31">
        <f>IF(PoToMRVWFSUomRC!$P$2=1,(S6/PoToMRVWFSUomRC!$S$7)*PoToMRVWFSUomRC!$E$18,AD6/PoToMRVWFSUomRC!$AD$7*PoToMRVWFSUomRC!$E$18)</f>
        <v>0</v>
      </c>
      <c r="AF6" s="31"/>
      <c r="AG6" s="31">
        <f>IF(PoToMRVWFSUomRC!$P$2=1,(S6/PoToMRVWFSUomRC!$S$7)*PoToMRVWFSUomRC!$E$20,AD6/PoToMRVWFSUomRC!$AD$7*PoToMRVWFSUomRC!$E$20)</f>
        <v>0</v>
      </c>
      <c r="AH6" s="31">
        <f>IF(PoToMRVWFSUomRC!$P$2=1,(S6/PoToMRVWFSUomRC!$S$7)*PoToMRVWFSUomRC!$E$21,AD6/PoToMRVWFSUomRC!$AD$7*PoToMRVWFSUomRC!$E$21)</f>
        <v>0</v>
      </c>
      <c r="AI6" s="31">
        <f>S6*PoToMRVWFSUomRC!$M$2</f>
        <v>433.01</v>
      </c>
      <c r="AJ6" s="31">
        <f>IF(PoToMRVWFSUomRC!$C$2=3,0,AG6+AH6)</f>
        <v>0</v>
      </c>
      <c r="AK6" s="31">
        <f>IF(PoToMRVWFSUomRC!$C$2=3,AE6+AG6+AH6,0)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85</v>
      </c>
      <c r="AV6" t="s" s="0">
        <v>159</v>
      </c>
      <c r="AW6" s="39">
        <f t="shared" si="13"/>
        <v>10</v>
      </c>
      <c r="AX6" s="39">
        <f t="shared" si="14"/>
        <v>43.301</v>
      </c>
      <c r="AY6" s="39">
        <f t="shared" si="15"/>
        <v>110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219</v>
      </c>
      <c r="BO6" s="39">
        <f t="shared" si="16"/>
        <v>43.3</v>
      </c>
      <c r="BP6" s="48">
        <f t="shared" si="17"/>
        <v>110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1469.63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220</v>
      </c>
      <c r="C4" s="7" t="s">
        <v>220</v>
      </c>
      <c r="D4" s="7" t="s">
        <v>76</v>
      </c>
      <c r="E4" s="7" t="s">
        <v>76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221</v>
      </c>
      <c r="AV4" t="s" s="0">
        <v>163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30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77</v>
      </c>
      <c r="BO4" s="39">
        <f t="shared" ref="BO4:BO6" si="16">ROUND((((AW4*AZ4)+(BN4*BM4))/(AW4+BN4)),5)</f>
        <v>124.545</v>
      </c>
      <c r="BP4" s="48">
        <f t="shared" ref="BP4:BP6" si="17">ROUND(BN4+AW4,3)</f>
        <v>160</v>
      </c>
      <c r="BQ4" s="49">
        <v>123562</v>
      </c>
    </row>
    <row r="5" ht="15.75" spans="1:69">
      <c r="A5" s="7">
        <v>1</v>
      </c>
      <c r="B5" s="7" t="s">
        <v>222</v>
      </c>
      <c r="C5" s="7" t="s">
        <v>222</v>
      </c>
      <c r="D5" s="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IF(OR(PoToMRVWFSUomPl!$C$2=1,PoToMRVWFSUomPl!$C$2=4),ROUND((((S5*U5)/100)/2),2),0)</f>
        <v>0</v>
      </c>
      <c r="W5" s="8">
        <f>IF(PoToMRVWFSUomPl!$C$2=1,ROUND((((S5*U5)/100)/2),2),0)</f>
        <v>0</v>
      </c>
      <c r="X5" s="8">
        <f>IF(PoToMRVWFSUomPl!$C$2=2,ROUND(((S5*U5)/100),2),0)</f>
        <v>59.12</v>
      </c>
      <c r="Y5" s="8">
        <f>IF(PoToMRVWFSUomPl!$C$2=4,ROUND((((S5*U5)/100)/2),2),0)</f>
        <v>0</v>
      </c>
      <c r="Z5" s="8">
        <v>0</v>
      </c>
      <c r="AA5" s="8">
        <f>IF(PoToMRVWFSUomPl!$C3=3,0,(S5*Z5)/100)</f>
        <v>0</v>
      </c>
      <c r="AB5" s="8">
        <f t="shared" si="9"/>
        <v>59.12</v>
      </c>
      <c r="AC5" s="8">
        <f>IF(PoToMRVWFSUomPl!$V3=1,S5+AB5,S5)</f>
        <v>328.47</v>
      </c>
      <c r="AD5" s="31">
        <v>120</v>
      </c>
      <c r="AE5" s="31">
        <f>IF(PoToMRVWFSUomPl!$P$2=1,(S5/PoToMRVWFSUomPl!$S$7)*PoToMRVWFSUomPl!$E$18,AD5/PoToMRVWFSUomPl!$AD$7*PoToMRVWFSUomPl!$E$18)</f>
        <v>0</v>
      </c>
      <c r="AF5" s="31"/>
      <c r="AG5" s="31">
        <f>IF(PoToMRVWFSUomPl!$P$2=1,(S5/PoToMRVWFSUomPl!$S$7)*PoToMRVWFSUomPl!$E$20,AD5/PoToMRVWFSUomPl!$AD$7*PoToMRVWFSUomPl!$E$20)</f>
        <v>0</v>
      </c>
      <c r="AH5" s="31">
        <f>IF(PoToMRVWFSUomPl!$P$2=1,(S5/PoToMRVWFSUomPl!$S$7)*PoToMRVWFSUomPl!$E$21,AD5/PoToMRVWFSUomPl!$AD$7*PoToMRVWFSUomPl!$E$21)</f>
        <v>0</v>
      </c>
      <c r="AI5" s="31">
        <f>S5*PoToMRVWFSUomPl!$M$2</f>
        <v>328.47</v>
      </c>
      <c r="AJ5" s="31">
        <f>IF(PoToMRVWFSUomPl!$C$2=3,0,AG5+AH5)</f>
        <v>0</v>
      </c>
      <c r="AK5" s="31">
        <f>IF(PoToMRVWFSUomPl!$C$2=3,AE5+AG5+AH5,0)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223</v>
      </c>
      <c r="AV5" t="s" s="0">
        <v>153</v>
      </c>
      <c r="AW5" s="39">
        <f t="shared" si="13"/>
        <v>4</v>
      </c>
      <c r="AX5" s="39">
        <f t="shared" si="14"/>
        <v>82.1175</v>
      </c>
      <c r="AY5" s="39">
        <f t="shared" si="15"/>
        <v>44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223</v>
      </c>
      <c r="BO5" s="39">
        <f t="shared" si="16"/>
        <v>82.12</v>
      </c>
      <c r="BP5" s="48">
        <f t="shared" si="17"/>
        <v>44</v>
      </c>
      <c r="BQ5" s="49">
        <v>123562</v>
      </c>
    </row>
    <row r="6" ht="15.75" spans="1:69">
      <c r="A6" s="7">
        <v>1</v>
      </c>
      <c r="B6" s="7" t="s">
        <v>224</v>
      </c>
      <c r="C6" s="7" t="s">
        <v>224</v>
      </c>
      <c r="D6" s="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IF(OR(PoToMRVWFSUomPl!$C$2=1,PoToMRVWFSUomPl!$C$2=4),ROUND((((S6*U6)/100)/2),2),0)</f>
        <v>0</v>
      </c>
      <c r="W6" s="8">
        <f>IF(PoToMRVWFSUomPl!$C$2=1,ROUND((((S6*U6)/100)/2),2),0)</f>
        <v>0</v>
      </c>
      <c r="X6" s="8">
        <f>IF(PoToMRVWFSUomPl!$C$2=2,ROUND(((S6*U6)/100),2),0)</f>
        <v>77.94</v>
      </c>
      <c r="Y6" s="8">
        <f>IF(PoToMRVWFSUomPl!$C$2=4,ROUND((((S6*U6)/100)/2),2),0)</f>
        <v>0</v>
      </c>
      <c r="Z6" s="8">
        <v>0</v>
      </c>
      <c r="AA6" s="8">
        <f>IF(PoToMRVWFSUomPl!$C4=3,0,(S6*Z6)/100)</f>
        <v>0</v>
      </c>
      <c r="AB6" s="8">
        <f t="shared" si="9"/>
        <v>77.94</v>
      </c>
      <c r="AC6" s="8">
        <f>IF(PoToMRVWFSUomPl!$V4=1,S6+AB6,S6)</f>
        <v>433.01</v>
      </c>
      <c r="AD6" s="31">
        <v>120</v>
      </c>
      <c r="AE6" s="31">
        <f>IF(PoToMRVWFSUomPl!$P$2=1,(S6/PoToMRVWFSUomPl!$S$7)*PoToMRVWFSUomPl!$E$18,AD6/PoToMRVWFSUomPl!$AD$7*PoToMRVWFSUomPl!$E$18)</f>
        <v>0</v>
      </c>
      <c r="AF6" s="31"/>
      <c r="AG6" s="31">
        <f>IF(PoToMRVWFSUomPl!$P$2=1,(S6/PoToMRVWFSUomPl!$S$7)*PoToMRVWFSUomPl!$E$20,AD6/PoToMRVWFSUomPl!$AD$7*PoToMRVWFSUomPl!$E$20)</f>
        <v>0</v>
      </c>
      <c r="AH6" s="31">
        <f>IF(PoToMRVWFSUomPl!$P$2=1,(S6/PoToMRVWFSUomPl!$S$7)*PoToMRVWFSUomPl!$E$21,AD6/PoToMRVWFSUomPl!$AD$7*PoToMRVWFSUomPl!$E$21)</f>
        <v>0</v>
      </c>
      <c r="AI6" s="31">
        <f>S6*PoToMRVWFSUomPl!$M$2</f>
        <v>433.01</v>
      </c>
      <c r="AJ6" s="31">
        <f>IF(PoToMRVWFSUomPl!$C$2=3,0,AG6+AH6)</f>
        <v>0</v>
      </c>
      <c r="AK6" s="31">
        <f>IF(PoToMRVWFSUomPl!$C$2=3,AE6+AG6+AH6,0)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87</v>
      </c>
      <c r="AV6" t="s" s="0">
        <v>159</v>
      </c>
      <c r="AW6" s="39">
        <f t="shared" si="13"/>
        <v>10</v>
      </c>
      <c r="AX6" s="39">
        <f t="shared" si="14"/>
        <v>43.301</v>
      </c>
      <c r="AY6" s="39">
        <f t="shared" si="15"/>
        <v>110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87</v>
      </c>
      <c r="BO6" s="39">
        <f t="shared" si="16"/>
        <v>43.3</v>
      </c>
      <c r="BP6" s="48">
        <f t="shared" si="17"/>
        <v>110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1469.63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V9" sqref="V9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220</v>
      </c>
      <c r="C4" s="7" t="s">
        <v>220</v>
      </c>
      <c r="D4" s="7" t="s">
        <v>76</v>
      </c>
      <c r="E4" s="7" t="s">
        <v>76</v>
      </c>
      <c r="F4" s="8">
        <v>10</v>
      </c>
      <c r="G4" t="s" s="0">
        <v>77</v>
      </c>
      <c r="H4" s="8">
        <f t="shared" ref="H4:H6" si="0">F4*G4</f>
        <v>1500</v>
      </c>
      <c r="I4" t="s" s="0">
        <v>78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85</v>
      </c>
      <c r="AV4" t="s" s="0">
        <v>163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10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225</v>
      </c>
      <c r="BN4" t="s" s="0">
        <v>226</v>
      </c>
      <c r="BO4" s="39">
        <f t="shared" ref="BO4:BO6" si="16">ROUND((((AW4*AZ4)+(BN4*BM4))/(AW4+BN4)),5)</f>
        <v>1047.72692</v>
      </c>
      <c r="BP4" s="48">
        <f t="shared" ref="BP4:BP6" si="17">ROUND(BN4+AW4,3)</f>
        <v>65</v>
      </c>
      <c r="BQ4" s="49">
        <v>123562</v>
      </c>
    </row>
    <row r="5" ht="15.75" spans="1:69">
      <c r="A5" s="7">
        <v>1</v>
      </c>
      <c r="B5" s="7" t="s">
        <v>222</v>
      </c>
      <c r="C5" s="7" t="s">
        <v>222</v>
      </c>
      <c r="D5" s="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IF(OR(PoToMRVWoQUomPl!$C$2=1,PoToMRVWoQUomPl!$C$2=4),ROUND((((S5*U5)/100)/2),2),0)</f>
        <v>0</v>
      </c>
      <c r="W5" s="8">
        <f>IF(PoToMRVWoQUomPl!$C$2=1,ROUND((((S5*U5)/100)/2),2),0)</f>
        <v>0</v>
      </c>
      <c r="X5" s="8">
        <f>IF(PoToMRVWoQUomPl!$C$2=2,ROUND(((S5*U5)/100),2),0)</f>
        <v>59.12</v>
      </c>
      <c r="Y5" s="8">
        <f>IF(PoToMRVWoQUomPl!$C$2=4,ROUND((((S5*U5)/100)/2),2),0)</f>
        <v>0</v>
      </c>
      <c r="Z5" s="8">
        <v>0</v>
      </c>
      <c r="AA5" s="8">
        <f>IF(PoToMRVWoQUomPl!$C3=3,0,(S5*Z5)/100)</f>
        <v>0</v>
      </c>
      <c r="AB5" s="8">
        <f t="shared" si="9"/>
        <v>59.12</v>
      </c>
      <c r="AC5" s="8">
        <f>IF(PoToMRVWoQUomPl!$V3=1,S5+AB5,S5)</f>
        <v>328.47</v>
      </c>
      <c r="AD5" s="31">
        <v>120</v>
      </c>
      <c r="AE5" s="31">
        <f>IF(PoToMRVWoQUomPl!$P$2=1,(S5/PoToMRVWoQUomPl!$S$7)*PoToMRVWoQUomPl!$E$18,AD5/PoToMRVWoQUomPl!$AD$7*PoToMRVWoQUomPl!$E$18)</f>
        <v>0</v>
      </c>
      <c r="AF5" s="31"/>
      <c r="AG5" s="31">
        <f>IF(PoToMRVWoQUomPl!$P$2=1,(S5/PoToMRVWoQUomPl!$S$7)*PoToMRVWoQUomPl!$E$20,AD5/PoToMRVWoQUomPl!$AD$7*PoToMRVWoQUomPl!$E$20)</f>
        <v>0</v>
      </c>
      <c r="AH5" s="31">
        <f>IF(PoToMRVWoQUomPl!$P$2=1,(S5/PoToMRVWoQUomPl!$S$7)*PoToMRVWoQUomPl!$E$21,AD5/PoToMRVWoQUomPl!$AD$7*PoToMRVWoQUomPl!$E$21)</f>
        <v>0</v>
      </c>
      <c r="AI5" s="31">
        <f>S5*PoToMRVWoQUomPl!$M$2</f>
        <v>328.47</v>
      </c>
      <c r="AJ5" s="31">
        <f>IF(PoToMRVWoQUomPl!$C$2=3,0,AG5+AH5)</f>
        <v>0</v>
      </c>
      <c r="AK5" s="31">
        <f>IF(PoToMRVWoQUomPl!$C$2=3,AE5+AG5+AH5,0)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85</v>
      </c>
      <c r="AV5" t="s" s="0">
        <v>153</v>
      </c>
      <c r="AW5" s="39">
        <f t="shared" si="13"/>
        <v>4</v>
      </c>
      <c r="AX5" s="39">
        <f t="shared" si="14"/>
        <v>82.1175</v>
      </c>
      <c r="AY5" s="39">
        <f t="shared" si="15"/>
        <v>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227</v>
      </c>
      <c r="BO5" s="39">
        <f t="shared" si="16"/>
        <v>82.12</v>
      </c>
      <c r="BP5" s="48">
        <f t="shared" si="17"/>
        <v>20</v>
      </c>
      <c r="BQ5" s="49">
        <v>123562</v>
      </c>
    </row>
    <row r="6" ht="15.75" spans="1:69">
      <c r="A6" s="7">
        <v>1</v>
      </c>
      <c r="B6" s="7" t="s">
        <v>224</v>
      </c>
      <c r="C6" s="7" t="s">
        <v>224</v>
      </c>
      <c r="D6" s="7" t="s">
        <v>76</v>
      </c>
      <c r="E6" s="7" t="s">
        <v>76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IF(OR(PoToMRVWoQUomPl!$C$2=1,PoToMRVWoQUomPl!$C$2=4),ROUND((((S6*U6)/100)/2),2),0)</f>
        <v>0</v>
      </c>
      <c r="W6" s="8">
        <f>IF(PoToMRVWoQUomPl!$C$2=1,ROUND((((S6*U6)/100)/2),2),0)</f>
        <v>0</v>
      </c>
      <c r="X6" s="8">
        <f>IF(PoToMRVWoQUomPl!$C$2=2,ROUND(((S6*U6)/100),2),0)</f>
        <v>77.94</v>
      </c>
      <c r="Y6" s="8">
        <f>IF(PoToMRVWoQUomPl!$C$2=4,ROUND((((S6*U6)/100)/2),2),0)</f>
        <v>0</v>
      </c>
      <c r="Z6" s="8">
        <v>0</v>
      </c>
      <c r="AA6" s="8">
        <f>IF(PoToMRVWoQUomPl!$C4=3,0,(S6*Z6)/100)</f>
        <v>0</v>
      </c>
      <c r="AB6" s="8">
        <f t="shared" si="9"/>
        <v>77.94</v>
      </c>
      <c r="AC6" s="8">
        <f>IF(PoToMRVWoQUomPl!$V4=1,S6+AB6,S6)</f>
        <v>433.01</v>
      </c>
      <c r="AD6" s="31">
        <v>120</v>
      </c>
      <c r="AE6" s="31">
        <f>IF(PoToMRVWoQUomPl!$P$2=1,(S6/PoToMRVWoQUomPl!$S$7)*PoToMRVWoQUomPl!$E$18,AD6/PoToMRVWoQUomPl!$AD$7*PoToMRVWoQUomPl!$E$18)</f>
        <v>0</v>
      </c>
      <c r="AF6" s="31"/>
      <c r="AG6" s="31">
        <f>IF(PoToMRVWoQUomPl!$P$2=1,(S6/PoToMRVWoQUomPl!$S$7)*PoToMRVWoQUomPl!$E$20,AD6/PoToMRVWoQUomPl!$AD$7*PoToMRVWoQUomPl!$E$20)</f>
        <v>0</v>
      </c>
      <c r="AH6" s="31">
        <f>IF(PoToMRVWoQUomPl!$P$2=1,(S6/PoToMRVWoQUomPl!$S$7)*PoToMRVWoQUomPl!$E$21,AD6/PoToMRVWoQUomPl!$AD$7*PoToMRVWoQUomPl!$E$21)</f>
        <v>0</v>
      </c>
      <c r="AI6" s="31">
        <f>S6*PoToMRVWoQUomPl!$M$2</f>
        <v>433.01</v>
      </c>
      <c r="AJ6" s="31">
        <f>IF(PoToMRVWoQUomPl!$C$2=3,0,AG6+AH6)</f>
        <v>0</v>
      </c>
      <c r="AK6" s="31">
        <f>IF(PoToMRVWoQUomPl!$C$2=3,AE6+AG6+AH6,0)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85</v>
      </c>
      <c r="AV6" t="s" s="0">
        <v>159</v>
      </c>
      <c r="AW6" s="39">
        <f t="shared" si="13"/>
        <v>10</v>
      </c>
      <c r="AX6" s="39">
        <f t="shared" si="14"/>
        <v>43.301</v>
      </c>
      <c r="AY6" s="39">
        <f t="shared" si="15"/>
        <v>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223</v>
      </c>
      <c r="BO6" s="39">
        <f t="shared" si="16"/>
        <v>43.3</v>
      </c>
      <c r="BP6" s="48">
        <f t="shared" si="17"/>
        <v>50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1245.45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5" sqref="L5"/>
    </sheetView>
  </sheetViews>
  <sheetFormatPr defaultColWidth="8.84761904761905" defaultRowHeight="15"/>
  <cols>
    <col min="2" max="2" customWidth="true" width="28.0"/>
    <col min="3" max="3" customWidth="true" width="30.4285714285714"/>
    <col min="12" max="12" customWidth="true" width="14.2857142857143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220</v>
      </c>
      <c r="C4" s="7" t="s">
        <v>220</v>
      </c>
      <c r="D4" s="7" t="s">
        <v>76</v>
      </c>
      <c r="E4" s="7" t="s">
        <v>76</v>
      </c>
      <c r="F4" s="8">
        <v>10</v>
      </c>
      <c r="G4" t="s" s="0">
        <v>199</v>
      </c>
      <c r="H4" s="8">
        <f t="shared" ref="H4:H6" si="0">F4*G4</f>
        <v>1500</v>
      </c>
      <c r="I4" t="s" s="0">
        <v>85</v>
      </c>
      <c r="J4" s="8">
        <v>8</v>
      </c>
      <c r="K4" s="8">
        <v>5</v>
      </c>
      <c r="L4" s="8">
        <v>0</v>
      </c>
      <c r="M4" s="8">
        <f t="shared" ref="M4:M6" si="1">ROUND(L4*I4%,2)</f>
        <v>0</v>
      </c>
      <c r="N4" s="8">
        <f t="shared" ref="N4:N6" si="2">H4-M4</f>
        <v>1500</v>
      </c>
      <c r="O4" s="8">
        <f t="shared" ref="O4:O6" si="3">ROUND(N4*J4%,2)</f>
        <v>120</v>
      </c>
      <c r="P4" s="8">
        <f t="shared" ref="P4:P6" si="4">ROUND(N4-O4,2)</f>
        <v>1380</v>
      </c>
      <c r="Q4" s="8">
        <f t="shared" ref="Q4:Q6" si="5">ROUND(P4*K4%,2)</f>
        <v>69</v>
      </c>
      <c r="R4" s="8">
        <f t="shared" ref="R4:R6" si="6">M4+O4+Q4</f>
        <v>189</v>
      </c>
      <c r="S4" s="8">
        <f t="shared" ref="S4:S6" si="7">(H4-R4)</f>
        <v>1311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8">V4+W4+X4+Y4+AA4</f>
        <v>0</v>
      </c>
      <c r="AC4" s="30">
        <f>IF($V2=1,S4+AB4,S4)</f>
        <v>1311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111435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9">F4/AL4</f>
        <v>10</v>
      </c>
      <c r="AN4" s="34">
        <f>ROUND(AI4/AM4,3)</f>
        <v>11143.5</v>
      </c>
      <c r="AO4" s="31">
        <f t="shared" ref="AO4:AO6" si="10">AJ4/AM4</f>
        <v>0</v>
      </c>
      <c r="AP4" s="31">
        <f t="shared" ref="AP4:AP6" si="11">AK4/AM4</f>
        <v>0</v>
      </c>
      <c r="AQ4" s="31" t="s">
        <v>76</v>
      </c>
      <c r="AR4" s="34">
        <f>ROUND(AN4+AO4+AP4,3)</f>
        <v>11143.5</v>
      </c>
      <c r="AS4" s="38" t="s">
        <v>120</v>
      </c>
      <c r="AT4" s="39" t="s">
        <v>76</v>
      </c>
      <c r="AU4" t="s" s="0">
        <v>85</v>
      </c>
      <c r="AV4" t="s" s="0">
        <v>207</v>
      </c>
      <c r="AW4" s="39">
        <f t="shared" ref="AW4:AW6" si="12">AM4</f>
        <v>10</v>
      </c>
      <c r="AX4" s="42">
        <f t="shared" ref="AX4:AX6" si="13">AR4</f>
        <v>11143.5</v>
      </c>
      <c r="AY4" s="39">
        <f t="shared" ref="AY4:AY6" si="14">AU4+AW4</f>
        <v>10</v>
      </c>
      <c r="AZ4" s="42">
        <f>ROUND(((AU4*AV4)+(AW4*AX4))/(AU4+AW4),5)</f>
        <v>11143.5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228</v>
      </c>
      <c r="BN4" t="s" s="0">
        <v>229</v>
      </c>
      <c r="BO4" s="39">
        <f t="shared" ref="BO4:BO6" si="15">ROUND((((AW4*AZ4)+(BN4*BM4))/(AW4+BN4)),5)</f>
        <v>895.20786</v>
      </c>
      <c r="BP4" s="48">
        <f t="shared" ref="BP4:BP6" si="16">ROUND(BN4+AW4,3)</f>
        <v>65</v>
      </c>
      <c r="BQ4" s="49">
        <v>123562</v>
      </c>
    </row>
    <row r="5" ht="15.75" spans="1:69">
      <c r="A5" s="7">
        <v>1</v>
      </c>
      <c r="B5" s="7" t="s">
        <v>222</v>
      </c>
      <c r="C5" s="7" t="s">
        <v>222</v>
      </c>
      <c r="D5" s="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ref="L4:L6" si="17">H5</f>
        <v>400</v>
      </c>
      <c r="M5" s="8">
        <f t="shared" si="1"/>
        <v>16</v>
      </c>
      <c r="N5" s="8">
        <f t="shared" si="2"/>
        <v>384</v>
      </c>
      <c r="O5" s="8">
        <f t="shared" si="3"/>
        <v>34.56</v>
      </c>
      <c r="P5" s="8">
        <f t="shared" si="4"/>
        <v>349.44</v>
      </c>
      <c r="Q5" s="8">
        <f t="shared" si="5"/>
        <v>20.97</v>
      </c>
      <c r="R5" s="8">
        <f t="shared" si="6"/>
        <v>71.53</v>
      </c>
      <c r="S5" s="8">
        <f t="shared" si="7"/>
        <v>328.47</v>
      </c>
      <c r="T5" s="8">
        <v>88363222</v>
      </c>
      <c r="U5" s="8">
        <v>18</v>
      </c>
      <c r="V5" s="8">
        <f>IF(OR(PoToMRVWoQUomPlImp!$C$2=1,PoToMRVWoQUomPlImp!$C$2=4),ROUND((((S5*U5)/100)/2),2),0)</f>
        <v>0</v>
      </c>
      <c r="W5" s="8">
        <f>IF(PoToMRVWoQUomPlImp!$C$2=1,ROUND((((S5*U5)/100)/2),2),0)</f>
        <v>0</v>
      </c>
      <c r="X5" s="8">
        <f>IF(PoToMRVWoQUomPlImp!$C$2=2,ROUND(((S5*U5)/100),2),0)</f>
        <v>0</v>
      </c>
      <c r="Y5" s="8">
        <f>IF(PoToMRVWoQUomPlImp!$C$2=4,ROUND((((S5*U5)/100)/2),2),0)</f>
        <v>0</v>
      </c>
      <c r="Z5" s="8">
        <v>0</v>
      </c>
      <c r="AA5" s="8">
        <f>IF(PoToMRVWoQUomPlImp!$C3=3,0,(S5*Z5)/100)</f>
        <v>0</v>
      </c>
      <c r="AB5" s="8">
        <f t="shared" si="8"/>
        <v>0</v>
      </c>
      <c r="AC5" s="8">
        <f>IF(PoToMRVWoQUomPlImp!$V3=1,S5+AB5,S5)</f>
        <v>328.47</v>
      </c>
      <c r="AD5" s="31">
        <v>120</v>
      </c>
      <c r="AE5" s="31">
        <f>IF(PoToMRVWoQUomPlImp!$P$2=1,(S5/PoToMRVWoQUomPlImp!$S$7)*PoToMRVWoQUomPlImp!$E$18,AD5/PoToMRVWoQUomPlImp!$AD$7*PoToMRVWoQUomPlImp!$E$18)</f>
        <v>0</v>
      </c>
      <c r="AF5" s="31"/>
      <c r="AG5" s="31">
        <f>IF(PoToMRVWoQUomPlImp!$P$2=1,(S5/PoToMRVWoQUomPlImp!$S$7)*PoToMRVWoQUomPlImp!$E$20,AD5/PoToMRVWoQUomPlImp!$AD$7*PoToMRVWoQUomPlImp!$E$20)</f>
        <v>0</v>
      </c>
      <c r="AH5" s="31">
        <f>IF(PoToMRVWoQUomPlImp!$P$2=1,(S5/PoToMRVWoQUomPlImp!$S$7)*PoToMRVWoQUomPlImp!$E$21,AD5/PoToMRVWoQUomPlImp!$AD$7*PoToMRVWoQUomPlImp!$E$21)</f>
        <v>0</v>
      </c>
      <c r="AI5" s="31">
        <f>S5*PoToMRVWoQUomPlImp!$M$2</f>
        <v>27919.95</v>
      </c>
      <c r="AJ5" s="31">
        <f>IF(PoToMRVWoQUomPlImp!$C$2=3,0,AG5+AH5)</f>
        <v>0</v>
      </c>
      <c r="AK5" s="31">
        <f>IF(PoToMRVWoQUomPlImp!$C$2=3,AE5+AG5+AH5,0)</f>
        <v>0</v>
      </c>
      <c r="AL5" s="34">
        <v>1</v>
      </c>
      <c r="AM5" s="31">
        <f t="shared" si="9"/>
        <v>4</v>
      </c>
      <c r="AN5" s="31">
        <f>ROUND(AI5/AM5,5)</f>
        <v>6979.9875</v>
      </c>
      <c r="AO5" s="31">
        <f t="shared" si="10"/>
        <v>0</v>
      </c>
      <c r="AP5" s="31">
        <f t="shared" si="11"/>
        <v>0</v>
      </c>
      <c r="AQ5" s="31" t="s">
        <v>76</v>
      </c>
      <c r="AR5" s="31">
        <f>ROUND(AN5+AO5+AP5,5)</f>
        <v>6979.9875</v>
      </c>
      <c r="AS5" s="38" t="s">
        <v>120</v>
      </c>
      <c r="AT5" s="39" t="s">
        <v>76</v>
      </c>
      <c r="AU5" t="s" s="0">
        <v>85</v>
      </c>
      <c r="AV5" t="s" s="0">
        <v>210</v>
      </c>
      <c r="AW5" s="39">
        <f t="shared" si="12"/>
        <v>4</v>
      </c>
      <c r="AX5" s="39">
        <f t="shared" si="13"/>
        <v>6979.9875</v>
      </c>
      <c r="AY5" s="39">
        <f t="shared" si="14"/>
        <v>4</v>
      </c>
      <c r="AZ5" s="39">
        <f>ROUND(((AU5*AV5)+(AW5*AX5))/(AU5+AW5),2)</f>
        <v>6979.99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230</v>
      </c>
      <c r="BN5" t="s" s="0">
        <v>231</v>
      </c>
      <c r="BO5" s="39">
        <f t="shared" si="15"/>
        <v>222.89286</v>
      </c>
      <c r="BP5" s="48">
        <f t="shared" si="16"/>
        <v>20</v>
      </c>
      <c r="BQ5" s="49">
        <v>123562</v>
      </c>
    </row>
    <row r="6" ht="15.75" spans="1:69">
      <c r="A6" s="7">
        <v>1</v>
      </c>
      <c r="B6" s="7" t="s">
        <v>224</v>
      </c>
      <c r="C6" s="7" t="s">
        <v>224</v>
      </c>
      <c r="D6" s="7" t="s">
        <v>76</v>
      </c>
      <c r="E6" s="7" t="s">
        <v>76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7"/>
        <v>500</v>
      </c>
      <c r="M6" s="8">
        <f t="shared" si="1"/>
        <v>15</v>
      </c>
      <c r="N6" s="8">
        <f t="shared" si="2"/>
        <v>485</v>
      </c>
      <c r="O6" s="8">
        <f t="shared" si="3"/>
        <v>33.95</v>
      </c>
      <c r="P6" s="8">
        <f t="shared" si="4"/>
        <v>451.05</v>
      </c>
      <c r="Q6" s="8">
        <f t="shared" si="5"/>
        <v>18.04</v>
      </c>
      <c r="R6" s="8">
        <f t="shared" si="6"/>
        <v>66.99</v>
      </c>
      <c r="S6" s="8">
        <f t="shared" si="7"/>
        <v>433.01</v>
      </c>
      <c r="T6" s="8">
        <v>88363222</v>
      </c>
      <c r="U6" s="8">
        <v>18</v>
      </c>
      <c r="V6" s="8">
        <f>IF(OR(PoToMRVWoQUomPlImp!$C$2=1,PoToMRVWoQUomPlImp!$C$2=4),ROUND((((S6*U6)/100)/2),2),0)</f>
        <v>0</v>
      </c>
      <c r="W6" s="8">
        <f>IF(PoToMRVWoQUomPlImp!$C$2=1,ROUND((((S6*U6)/100)/2),2),0)</f>
        <v>0</v>
      </c>
      <c r="X6" s="8">
        <f>IF(PoToMRVWoQUomPlImp!$C$2=2,ROUND(((S6*U6)/100),2),0)</f>
        <v>0</v>
      </c>
      <c r="Y6" s="8">
        <f>IF(PoToMRVWoQUomPlImp!$C$2=4,ROUND((((S6*U6)/100)/2),2),0)</f>
        <v>0</v>
      </c>
      <c r="Z6" s="8">
        <v>0</v>
      </c>
      <c r="AA6" s="8">
        <f>IF(PoToMRVWoQUomPlImp!$C4=3,0,(S6*Z6)/100)</f>
        <v>0</v>
      </c>
      <c r="AB6" s="8">
        <f t="shared" si="8"/>
        <v>0</v>
      </c>
      <c r="AC6" s="8">
        <f>IF(PoToMRVWoQUomPlImp!$V4=1,S6+AB6,S6)</f>
        <v>433.01</v>
      </c>
      <c r="AD6" s="31">
        <v>120</v>
      </c>
      <c r="AE6" s="31">
        <f>IF(PoToMRVWoQUomPlImp!$P$2=1,(S6/PoToMRVWoQUomPlImp!$S$7)*PoToMRVWoQUomPlImp!$E$18,AD6/PoToMRVWoQUomPlImp!$AD$7*PoToMRVWoQUomPlImp!$E$18)</f>
        <v>0</v>
      </c>
      <c r="AF6" s="31"/>
      <c r="AG6" s="31">
        <f>IF(PoToMRVWoQUomPlImp!$P$2=1,(S6/PoToMRVWoQUomPlImp!$S$7)*PoToMRVWoQUomPlImp!$E$20,AD6/PoToMRVWoQUomPlImp!$AD$7*PoToMRVWoQUomPlImp!$E$20)</f>
        <v>0</v>
      </c>
      <c r="AH6" s="31">
        <f>IF(PoToMRVWoQUomPlImp!$P$2=1,(S6/PoToMRVWoQUomPlImp!$S$7)*PoToMRVWoQUomPlImp!$E$21,AD6/PoToMRVWoQUomPlImp!$AD$7*PoToMRVWoQUomPlImp!$E$21)</f>
        <v>0</v>
      </c>
      <c r="AI6" s="31">
        <f>S6*PoToMRVWoQUomPlImp!$M$2</f>
        <v>36805.85</v>
      </c>
      <c r="AJ6" s="31">
        <f>IF(PoToMRVWoQUomPlImp!$C$2=3,0,AG6+AH6)</f>
        <v>0</v>
      </c>
      <c r="AK6" s="31">
        <f>IF(PoToMRVWoQUomPlImp!$C$2=3,AE6+AG6+AH6,0)</f>
        <v>0</v>
      </c>
      <c r="AL6" s="34">
        <v>1</v>
      </c>
      <c r="AM6" s="31">
        <f t="shared" si="9"/>
        <v>10</v>
      </c>
      <c r="AN6" s="31">
        <f>ROUND(AI6/AM6,5)</f>
        <v>3680.585</v>
      </c>
      <c r="AO6" s="31">
        <f t="shared" si="10"/>
        <v>0</v>
      </c>
      <c r="AP6" s="31">
        <f t="shared" si="11"/>
        <v>0</v>
      </c>
      <c r="AQ6" s="31" t="s">
        <v>76</v>
      </c>
      <c r="AR6" s="31">
        <f>ROUND(AN6+AO6+AP6,5)</f>
        <v>3680.585</v>
      </c>
      <c r="AS6" s="38" t="s">
        <v>120</v>
      </c>
      <c r="AT6" s="39" t="s">
        <v>76</v>
      </c>
      <c r="AU6" t="s" s="0">
        <v>85</v>
      </c>
      <c r="AV6" t="s" s="0">
        <v>213</v>
      </c>
      <c r="AW6" s="39">
        <f t="shared" si="12"/>
        <v>10</v>
      </c>
      <c r="AX6" s="39">
        <f t="shared" si="13"/>
        <v>3680.585</v>
      </c>
      <c r="AY6" s="39">
        <f t="shared" si="14"/>
        <v>10</v>
      </c>
      <c r="AZ6" s="39">
        <f>ROUND(((AU6*AV6)+(AW6*AX6))/(AU6+AW6),2)</f>
        <v>3680.59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232</v>
      </c>
      <c r="BN6" t="s" s="0">
        <v>233</v>
      </c>
      <c r="BO6" s="39">
        <f t="shared" si="15"/>
        <v>117.53041</v>
      </c>
      <c r="BP6" s="48">
        <f t="shared" si="16"/>
        <v>50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189</v>
      </c>
      <c r="S7" s="13">
        <f t="shared" si="18"/>
        <v>1311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0</v>
      </c>
      <c r="Y7" s="27"/>
      <c r="Z7" s="27"/>
      <c r="AA7" s="27"/>
      <c r="AB7" s="26">
        <f t="shared" ref="AB7:AE7" si="19">SUM(AB4:AB4)</f>
        <v>0</v>
      </c>
      <c r="AC7" s="32">
        <f t="shared" si="19"/>
        <v>1311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111435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189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1311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1311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104" t="s">
        <v>10</v>
      </c>
      <c r="C3" s="104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105">
        <v>1</v>
      </c>
      <c r="B4" s="106" t="s">
        <v>234</v>
      </c>
      <c r="C4" s="106" t="s">
        <v>234</v>
      </c>
      <c r="D4" s="107" t="s">
        <v>76</v>
      </c>
      <c r="E4" s="7" t="s">
        <v>76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221</v>
      </c>
      <c r="AV4" t="s" s="0">
        <v>163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30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77</v>
      </c>
      <c r="BO4" s="39">
        <f t="shared" ref="BO4:BO6" si="16">ROUND((((AW4*AZ4)+(BN4*BM4))/(AW4+BN4)),5)</f>
        <v>124.545</v>
      </c>
      <c r="BP4" s="48">
        <f t="shared" ref="BP4:BP6" si="17">ROUND(BN4+AW4,3)</f>
        <v>160</v>
      </c>
      <c r="BQ4" s="49">
        <v>123562</v>
      </c>
    </row>
    <row r="5" ht="15.75" spans="1:69">
      <c r="A5" s="105">
        <v>1</v>
      </c>
      <c r="B5" s="106" t="s">
        <v>235</v>
      </c>
      <c r="C5" s="108" t="s">
        <v>235</v>
      </c>
      <c r="D5" s="10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IF(OR(PoToMRVWFSUomservRc!$C$2=1,PoToMRVWFSUomservRc!$C$2=4),ROUND((((S5*U5)/100)/2),2),0)</f>
        <v>0</v>
      </c>
      <c r="W5" s="8">
        <f>IF(PoToMRVWFSUomservRc!$C$2=1,ROUND((((S5*U5)/100)/2),2),0)</f>
        <v>0</v>
      </c>
      <c r="X5" s="8">
        <f>IF(PoToMRVWFSUomservRc!$C$2=2,ROUND(((S5*U5)/100),2),0)</f>
        <v>59.12</v>
      </c>
      <c r="Y5" s="8">
        <f>IF(PoToMRVWFSUomservRc!$C$2=4,ROUND((((S5*U5)/100)/2),2),0)</f>
        <v>0</v>
      </c>
      <c r="Z5" s="8">
        <v>0</v>
      </c>
      <c r="AA5" s="8">
        <f>IF(PoToMRVWFSUomservRc!$C3=3,0,(S5*Z5)/100)</f>
        <v>0</v>
      </c>
      <c r="AB5" s="8">
        <f t="shared" si="9"/>
        <v>59.12</v>
      </c>
      <c r="AC5" s="8">
        <f>IF(PoToMRVWFSUomservRc!$V3=1,S5+AB5,S5)</f>
        <v>328.47</v>
      </c>
      <c r="AD5" s="31">
        <v>120</v>
      </c>
      <c r="AE5" s="31">
        <f>IF(PoToMRVWFSUomservRc!$P$2=1,(S5/PoToMRVWFSUomservRc!$S$7)*PoToMRVWFSUomservRc!$E$18,AD5/PoToMRVWFSUomservRc!$AD$7*PoToMRVWFSUomservRc!$E$18)</f>
        <v>0</v>
      </c>
      <c r="AF5" s="31"/>
      <c r="AG5" s="31">
        <f>IF(PoToMRVWFSUomservRc!$P$2=1,(S5/PoToMRVWFSUomservRc!$S$7)*PoToMRVWFSUomservRc!$E$20,AD5/PoToMRVWFSUomservRc!$AD$7*PoToMRVWFSUomservRc!$E$20)</f>
        <v>0</v>
      </c>
      <c r="AH5" s="31">
        <f>IF(PoToMRVWFSUomservRc!$P$2=1,(S5/PoToMRVWFSUomservRc!$S$7)*PoToMRVWFSUomservRc!$E$21,AD5/PoToMRVWFSUomservRc!$AD$7*PoToMRVWFSUomservRc!$E$21)</f>
        <v>0</v>
      </c>
      <c r="AI5" s="31">
        <f>S5*PoToMRVWFSUomservRc!$M$2</f>
        <v>328.47</v>
      </c>
      <c r="AJ5" s="31">
        <f>IF(PoToMRVWFSUomservRc!$C$2=3,0,AG5+AH5)</f>
        <v>0</v>
      </c>
      <c r="AK5" s="31">
        <f>IF(PoToMRVWFSUomservRc!$C$2=3,AE5+AG5+AH5,0)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223</v>
      </c>
      <c r="AV5" t="s" s="0">
        <v>153</v>
      </c>
      <c r="AW5" s="39">
        <f t="shared" si="13"/>
        <v>4</v>
      </c>
      <c r="AX5" s="39">
        <f t="shared" si="14"/>
        <v>82.1175</v>
      </c>
      <c r="AY5" s="39">
        <f t="shared" si="15"/>
        <v>44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223</v>
      </c>
      <c r="BO5" s="39">
        <f t="shared" si="16"/>
        <v>82.12</v>
      </c>
      <c r="BP5" s="48">
        <f t="shared" si="17"/>
        <v>44</v>
      </c>
      <c r="BQ5" s="49">
        <v>123562</v>
      </c>
    </row>
    <row r="6" ht="15.75" spans="1:69">
      <c r="A6" s="105">
        <v>1</v>
      </c>
      <c r="B6" s="108" t="s">
        <v>236</v>
      </c>
      <c r="C6" s="108" t="s">
        <v>236</v>
      </c>
      <c r="D6" s="10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IF(OR(PoToMRVWFSUomservRc!$C$2=1,PoToMRVWFSUomservRc!$C$2=4),ROUND((((S6*U6)/100)/2),2),0)</f>
        <v>0</v>
      </c>
      <c r="W6" s="8">
        <f>IF(PoToMRVWFSUomservRc!$C$2=1,ROUND((((S6*U6)/100)/2),2),0)</f>
        <v>0</v>
      </c>
      <c r="X6" s="8">
        <f>IF(PoToMRVWFSUomservRc!$C$2=2,ROUND(((S6*U6)/100),2),0)</f>
        <v>77.94</v>
      </c>
      <c r="Y6" s="8">
        <f>IF(PoToMRVWFSUomservRc!$C$2=4,ROUND((((S6*U6)/100)/2),2),0)</f>
        <v>0</v>
      </c>
      <c r="Z6" s="8">
        <v>0</v>
      </c>
      <c r="AA6" s="8">
        <f>IF(PoToMRVWFSUomservRc!$C4=3,0,(S6*Z6)/100)</f>
        <v>0</v>
      </c>
      <c r="AB6" s="8">
        <f t="shared" si="9"/>
        <v>77.94</v>
      </c>
      <c r="AC6" s="8">
        <f>IF(PoToMRVWFSUomservRc!$V4=1,S6+AB6,S6)</f>
        <v>433.01</v>
      </c>
      <c r="AD6" s="31">
        <v>120</v>
      </c>
      <c r="AE6" s="31">
        <f>IF(PoToMRVWFSUomservRc!$P$2=1,(S6/PoToMRVWFSUomservRc!$S$7)*PoToMRVWFSUomservRc!$E$18,AD6/PoToMRVWFSUomservRc!$AD$7*PoToMRVWFSUomservRc!$E$18)</f>
        <v>0</v>
      </c>
      <c r="AF6" s="31"/>
      <c r="AG6" s="31">
        <f>IF(PoToMRVWFSUomservRc!$P$2=1,(S6/PoToMRVWFSUomservRc!$S$7)*PoToMRVWFSUomservRc!$E$20,AD6/PoToMRVWFSUomservRc!$AD$7*PoToMRVWFSUomservRc!$E$20)</f>
        <v>0</v>
      </c>
      <c r="AH6" s="31">
        <f>IF(PoToMRVWFSUomservRc!$P$2=1,(S6/PoToMRVWFSUomservRc!$S$7)*PoToMRVWFSUomservRc!$E$21,AD6/PoToMRVWFSUomservRc!$AD$7*PoToMRVWFSUomservRc!$E$21)</f>
        <v>0</v>
      </c>
      <c r="AI6" s="31">
        <f>S6*PoToMRVWFSUomservRc!$M$2</f>
        <v>433.01</v>
      </c>
      <c r="AJ6" s="31">
        <f>IF(PoToMRVWFSUomservRc!$C$2=3,0,AG6+AH6)</f>
        <v>0</v>
      </c>
      <c r="AK6" s="31">
        <f>IF(PoToMRVWFSUomservRc!$C$2=3,AE6+AG6+AH6,0)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87</v>
      </c>
      <c r="AV6" t="s" s="0">
        <v>159</v>
      </c>
      <c r="AW6" s="39">
        <f t="shared" si="13"/>
        <v>10</v>
      </c>
      <c r="AX6" s="39">
        <f t="shared" si="14"/>
        <v>43.301</v>
      </c>
      <c r="AY6" s="39">
        <f t="shared" si="15"/>
        <v>110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87</v>
      </c>
      <c r="BO6" s="39">
        <f t="shared" si="16"/>
        <v>43.3</v>
      </c>
      <c r="BP6" s="48">
        <f t="shared" si="17"/>
        <v>110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1469.63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H1" workbookViewId="0">
      <selection activeCell="W9" sqref="W9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104" t="s">
        <v>10</v>
      </c>
      <c r="C3" s="104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105">
        <v>1</v>
      </c>
      <c r="B4" s="106" t="s">
        <v>234</v>
      </c>
      <c r="C4" s="106" t="s">
        <v>234</v>
      </c>
      <c r="D4" s="107" t="s">
        <v>76</v>
      </c>
      <c r="E4" s="7" t="s">
        <v>76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IF(AND($C$2=2,V$2=1),ROUND((S4*U4)/100,2),0)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0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221</v>
      </c>
      <c r="AV4" t="s" s="0">
        <v>163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30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77</v>
      </c>
      <c r="BO4" s="39">
        <f t="shared" ref="BO4:BO6" si="16">ROUND((((AW4*AZ4)+(BN4*BM4))/(AW4+BN4)),5)</f>
        <v>124.545</v>
      </c>
      <c r="BP4" s="48">
        <f t="shared" ref="BP4:BP6" si="17">ROUND(BN4+AW4,3)</f>
        <v>160</v>
      </c>
      <c r="BQ4" s="49">
        <v>123562</v>
      </c>
    </row>
    <row r="5" ht="15.75" spans="1:69">
      <c r="A5" s="105">
        <v>1</v>
      </c>
      <c r="B5" s="106" t="s">
        <v>235</v>
      </c>
      <c r="C5" s="108" t="s">
        <v>235</v>
      </c>
      <c r="D5" s="10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IF(OR(PoToMRVWoQSUomservRc!$C$2=1,PoToMRVWoQSUomservRc!$C$2=4),ROUND((((S5*U5)/100)/2),2),0)</f>
        <v>0</v>
      </c>
      <c r="W5" s="8">
        <f>IF(PoToMRVWoQSUomservRc!$C$2=1,ROUND((((S5*U5)/100)/2),2),0)</f>
        <v>0</v>
      </c>
      <c r="X5" s="8">
        <f>IF(AND($C$2=2,V$2=1),ROUND((S5*U5)/100,2),0)</f>
        <v>0</v>
      </c>
      <c r="Y5" s="8">
        <f>IF(PoToMRVWoQSUomservRc!$C$2=4,ROUND((((S5*U5)/100)/2),2),0)</f>
        <v>0</v>
      </c>
      <c r="Z5" s="8">
        <v>0</v>
      </c>
      <c r="AA5" s="8">
        <f>IF(PoToMRVWoQSUomservRc!$C3=3,0,(S5*Z5)/100)</f>
        <v>0</v>
      </c>
      <c r="AB5" s="8">
        <f t="shared" si="9"/>
        <v>0</v>
      </c>
      <c r="AC5" s="8">
        <f>IF(PoToMRVWoQSUomservRc!$V3=1,S5+AB5,S5)</f>
        <v>328.47</v>
      </c>
      <c r="AD5" s="31">
        <v>120</v>
      </c>
      <c r="AE5" s="31">
        <f>IF(PoToMRVWoQSUomservRc!$P$2=1,(S5/PoToMRVWoQSUomservRc!$S$7)*PoToMRVWoQSUomservRc!$E$18,AD5/PoToMRVWoQSUomservRc!$AD$7*PoToMRVWoQSUomservRc!$E$18)</f>
        <v>0</v>
      </c>
      <c r="AF5" s="31"/>
      <c r="AG5" s="31">
        <f>IF(PoToMRVWoQSUomservRc!$P$2=1,(S5/PoToMRVWoQSUomservRc!$S$7)*PoToMRVWoQSUomservRc!$E$20,AD5/PoToMRVWoQSUomservRc!$AD$7*PoToMRVWoQSUomservRc!$E$20)</f>
        <v>0</v>
      </c>
      <c r="AH5" s="31">
        <f>IF(PoToMRVWoQSUomservRc!$P$2=1,(S5/PoToMRVWoQSUomservRc!$S$7)*PoToMRVWoQSUomservRc!$E$21,AD5/PoToMRVWoQSUomservRc!$AD$7*PoToMRVWoQSUomservRc!$E$21)</f>
        <v>0</v>
      </c>
      <c r="AI5" s="31">
        <f>S5*PoToMRVWoQSUomservRc!$M$2</f>
        <v>328.47</v>
      </c>
      <c r="AJ5" s="31">
        <f>IF(PoToMRVWoQSUomservRc!$C$2=3,0,AG5+AH5)</f>
        <v>0</v>
      </c>
      <c r="AK5" s="31">
        <f>IF(PoToMRVWoQSUomservRc!$C$2=3,AE5+AG5+AH5,0)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223</v>
      </c>
      <c r="AV5" t="s" s="0">
        <v>153</v>
      </c>
      <c r="AW5" s="39">
        <f t="shared" si="13"/>
        <v>4</v>
      </c>
      <c r="AX5" s="39">
        <f t="shared" si="14"/>
        <v>82.1175</v>
      </c>
      <c r="AY5" s="39">
        <f t="shared" si="15"/>
        <v>44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223</v>
      </c>
      <c r="BO5" s="39">
        <f t="shared" si="16"/>
        <v>82.12</v>
      </c>
      <c r="BP5" s="48">
        <f t="shared" si="17"/>
        <v>44</v>
      </c>
      <c r="BQ5" s="49">
        <v>123562</v>
      </c>
    </row>
    <row r="6" ht="15.75" spans="1:69">
      <c r="A6" s="105">
        <v>1</v>
      </c>
      <c r="B6" s="108" t="s">
        <v>236</v>
      </c>
      <c r="C6" s="108" t="s">
        <v>236</v>
      </c>
      <c r="D6" s="10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IF(OR(PoToMRVWoQSUomservRc!$C$2=1,PoToMRVWoQSUomservRc!$C$2=4),ROUND((((S6*U6)/100)/2),2),0)</f>
        <v>0</v>
      </c>
      <c r="W6" s="8">
        <f>IF(PoToMRVWoQSUomservRc!$C$2=1,ROUND((((S6*U6)/100)/2),2),0)</f>
        <v>0</v>
      </c>
      <c r="X6" s="8">
        <f>IF(AND($C$2=2,V$2=1),ROUND((S6*U6)/100,2),0)</f>
        <v>0</v>
      </c>
      <c r="Y6" s="8">
        <f>IF(PoToMRVWoQSUomservRc!$C$2=4,ROUND((((S6*U6)/100)/2),2),0)</f>
        <v>0</v>
      </c>
      <c r="Z6" s="8">
        <v>0</v>
      </c>
      <c r="AA6" s="8">
        <f>IF(PoToMRVWoQSUomservRc!$C4=3,0,(S6*Z6)/100)</f>
        <v>0</v>
      </c>
      <c r="AB6" s="8">
        <f t="shared" si="9"/>
        <v>0</v>
      </c>
      <c r="AC6" s="8">
        <f>IF(PoToMRVWoQSUomservRc!$V4=1,S6+AB6,S6)</f>
        <v>433.01</v>
      </c>
      <c r="AD6" s="31">
        <v>120</v>
      </c>
      <c r="AE6" s="31">
        <f>IF(PoToMRVWoQSUomservRc!$P$2=1,(S6/PoToMRVWoQSUomservRc!$S$7)*PoToMRVWoQSUomservRc!$E$18,AD6/PoToMRVWoQSUomservRc!$AD$7*PoToMRVWoQSUomservRc!$E$18)</f>
        <v>0</v>
      </c>
      <c r="AF6" s="31"/>
      <c r="AG6" s="31">
        <f>IF(PoToMRVWoQSUomservRc!$P$2=1,(S6/PoToMRVWoQSUomservRc!$S$7)*PoToMRVWoQSUomservRc!$E$20,AD6/PoToMRVWoQSUomservRc!$AD$7*PoToMRVWoQSUomservRc!$E$20)</f>
        <v>0</v>
      </c>
      <c r="AH6" s="31">
        <f>IF(PoToMRVWoQSUomservRc!$P$2=1,(S6/PoToMRVWoQSUomservRc!$S$7)*PoToMRVWoQSUomservRc!$E$21,AD6/PoToMRVWoQSUomservRc!$AD$7*PoToMRVWoQSUomservRc!$E$21)</f>
        <v>0</v>
      </c>
      <c r="AI6" s="31">
        <f>S6*PoToMRVWoQSUomservRc!$M$2</f>
        <v>433.01</v>
      </c>
      <c r="AJ6" s="31">
        <f>IF(PoToMRVWoQSUomservRc!$C$2=3,0,AG6+AH6)</f>
        <v>0</v>
      </c>
      <c r="AK6" s="31">
        <f>IF(PoToMRVWoQSUomservRc!$C$2=3,AE6+AG6+AH6,0)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87</v>
      </c>
      <c r="AV6" t="s" s="0">
        <v>159</v>
      </c>
      <c r="AW6" s="39">
        <f t="shared" si="13"/>
        <v>10</v>
      </c>
      <c r="AX6" s="39">
        <f t="shared" si="14"/>
        <v>43.301</v>
      </c>
      <c r="AY6" s="39">
        <f t="shared" si="15"/>
        <v>110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87</v>
      </c>
      <c r="BO6" s="39">
        <f t="shared" si="16"/>
        <v>43.3</v>
      </c>
      <c r="BP6" s="48">
        <f t="shared" si="17"/>
        <v>110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0</v>
      </c>
      <c r="Y7" s="27"/>
      <c r="Z7" s="27"/>
      <c r="AA7" s="27"/>
      <c r="AB7" s="26">
        <f t="shared" ref="AB7:AE7" si="19">SUM(AB4:AB4)</f>
        <v>0</v>
      </c>
      <c r="AC7" s="32">
        <f t="shared" si="19"/>
        <v>1245.45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1245.45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8" sqref="L8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104" t="s">
        <v>10</v>
      </c>
      <c r="C3" s="104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105">
        <v>1</v>
      </c>
      <c r="B4" s="106" t="s">
        <v>234</v>
      </c>
      <c r="C4" s="106" t="s">
        <v>234</v>
      </c>
      <c r="D4" s="107" t="s">
        <v>76</v>
      </c>
      <c r="E4" s="7" t="s">
        <v>76</v>
      </c>
      <c r="F4" s="8">
        <v>10</v>
      </c>
      <c r="G4" t="s" s="0">
        <v>199</v>
      </c>
      <c r="H4" s="8">
        <f t="shared" ref="H4:H6" si="0">F4*G4</f>
        <v>1500</v>
      </c>
      <c r="I4" t="s" s="0">
        <v>85</v>
      </c>
      <c r="J4" s="8">
        <v>8</v>
      </c>
      <c r="K4" s="8">
        <v>5</v>
      </c>
      <c r="L4" s="8">
        <v>0</v>
      </c>
      <c r="M4" s="8">
        <f t="shared" ref="M4:M6" si="1">ROUND(L4*I4%,2)</f>
        <v>0</v>
      </c>
      <c r="N4" s="8">
        <f t="shared" ref="N4:N6" si="2">H4-M4</f>
        <v>1500</v>
      </c>
      <c r="O4" s="8">
        <f t="shared" ref="O4:O6" si="3">ROUND(N4*J4%,2)</f>
        <v>120</v>
      </c>
      <c r="P4" s="8">
        <f t="shared" ref="P4:P6" si="4">ROUND(N4-O4,2)</f>
        <v>1380</v>
      </c>
      <c r="Q4" s="8">
        <f t="shared" ref="Q4:Q6" si="5">ROUND(P4*K4%,2)</f>
        <v>69</v>
      </c>
      <c r="R4" s="8">
        <f t="shared" ref="R4:R6" si="6">M4+O4+Q4</f>
        <v>189</v>
      </c>
      <c r="S4" s="8">
        <f t="shared" ref="S4:S6" si="7">(H4-R4)</f>
        <v>1311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IF(AND($C$2=2,V$2=1),ROUND((S4*U4)/100,2),0)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8">V4+W4+X4+Y4+AA4</f>
        <v>0</v>
      </c>
      <c r="AC4" s="30">
        <f>IF($V2=1,S4+AB4,S4)</f>
        <v>1311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1311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9">F4/AL4</f>
        <v>10</v>
      </c>
      <c r="AN4" s="34">
        <f>ROUND(AI4/AM4,3)</f>
        <v>131.1</v>
      </c>
      <c r="AO4" s="31">
        <f t="shared" ref="AO4:AO6" si="10">AJ4/AM4</f>
        <v>0</v>
      </c>
      <c r="AP4" s="31">
        <f t="shared" ref="AP4:AP6" si="11">AK4/AM4</f>
        <v>0</v>
      </c>
      <c r="AQ4" s="31" t="s">
        <v>76</v>
      </c>
      <c r="AR4" s="34">
        <f>ROUND(AN4+AO4+AP4,3)</f>
        <v>131.1</v>
      </c>
      <c r="AS4" s="38" t="s">
        <v>120</v>
      </c>
      <c r="AT4" s="39" t="s">
        <v>76</v>
      </c>
      <c r="AU4" t="s" s="0">
        <v>221</v>
      </c>
      <c r="AV4" t="s" s="0">
        <v>163</v>
      </c>
      <c r="AW4" s="39">
        <f t="shared" ref="AW4:AW6" si="12">AM4</f>
        <v>10</v>
      </c>
      <c r="AX4" s="42">
        <f t="shared" ref="AX4:AX6" si="13">AR4</f>
        <v>131.1</v>
      </c>
      <c r="AY4" s="39">
        <f t="shared" ref="AY4:AY6" si="14">AU4+AW4</f>
        <v>30</v>
      </c>
      <c r="AZ4" s="42">
        <f>ROUND(((AU4*AV4)+(AW4*AX4))/(AU4+AW4),5)</f>
        <v>126.73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77</v>
      </c>
      <c r="BO4" s="39">
        <f t="shared" ref="BO4:BO6" si="15">ROUND((((AW4*AZ4)+(BN4*BM4))/(AW4+BN4)),5)</f>
        <v>124.68156</v>
      </c>
      <c r="BP4" s="48">
        <f t="shared" ref="BP4:BP6" si="16">ROUND(BN4+AW4,3)</f>
        <v>160</v>
      </c>
      <c r="BQ4" s="49">
        <v>123562</v>
      </c>
    </row>
    <row r="5" ht="15.75" spans="1:69">
      <c r="A5" s="105">
        <v>1</v>
      </c>
      <c r="B5" s="106" t="s">
        <v>235</v>
      </c>
      <c r="C5" s="108" t="s">
        <v>235</v>
      </c>
      <c r="D5" s="10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ref="L4:L6" si="17">H5</f>
        <v>400</v>
      </c>
      <c r="M5" s="8">
        <f t="shared" si="1"/>
        <v>16</v>
      </c>
      <c r="N5" s="8">
        <f t="shared" si="2"/>
        <v>384</v>
      </c>
      <c r="O5" s="8">
        <f t="shared" si="3"/>
        <v>34.56</v>
      </c>
      <c r="P5" s="8">
        <f t="shared" si="4"/>
        <v>349.44</v>
      </c>
      <c r="Q5" s="8">
        <f t="shared" si="5"/>
        <v>20.97</v>
      </c>
      <c r="R5" s="8">
        <f t="shared" si="6"/>
        <v>71.53</v>
      </c>
      <c r="S5" s="8">
        <f t="shared" si="7"/>
        <v>328.47</v>
      </c>
      <c r="T5" s="8">
        <v>88363222</v>
      </c>
      <c r="U5" s="8">
        <v>18</v>
      </c>
      <c r="V5" s="8">
        <f>IF(OR(PoToMRVWoQSUomservRcImp!$C$2=1,PoToMRVWoQSUomservRcImp!$C$2=4),ROUND((((S5*U5)/100)/2),2),0)</f>
        <v>0</v>
      </c>
      <c r="W5" s="8">
        <f>IF(PoToMRVWoQSUomservRcImp!$C$2=1,ROUND((((S5*U5)/100)/2),2),0)</f>
        <v>0</v>
      </c>
      <c r="X5" s="8">
        <f>IF(AND($C$2=2,V$2=1),ROUND((S5*U5)/100,2),0)</f>
        <v>0</v>
      </c>
      <c r="Y5" s="8">
        <f>IF(PoToMRVWoQSUomservRcImp!$C$2=4,ROUND((((S5*U5)/100)/2),2),0)</f>
        <v>0</v>
      </c>
      <c r="Z5" s="8">
        <v>0</v>
      </c>
      <c r="AA5" s="8">
        <f>IF(PoToMRVWoQSUomservRcImp!$C3=3,0,(S5*Z5)/100)</f>
        <v>0</v>
      </c>
      <c r="AB5" s="8">
        <f t="shared" si="8"/>
        <v>0</v>
      </c>
      <c r="AC5" s="8">
        <f>IF(PoToMRVWoQSUomservRcImp!$V3=1,S5+AB5,S5)</f>
        <v>328.47</v>
      </c>
      <c r="AD5" s="31">
        <v>120</v>
      </c>
      <c r="AE5" s="31">
        <f>IF(PoToMRVWoQSUomservRcImp!$P$2=1,(S5/PoToMRVWoQSUomservRcImp!$S$7)*PoToMRVWoQSUomservRcImp!$E$18,AD5/PoToMRVWoQSUomservRcImp!$AD$7*PoToMRVWoQSUomservRcImp!$E$18)</f>
        <v>0</v>
      </c>
      <c r="AF5" s="31"/>
      <c r="AG5" s="31">
        <f>IF(PoToMRVWoQSUomservRcImp!$P$2=1,(S5/PoToMRVWoQSUomservRcImp!$S$7)*PoToMRVWoQSUomservRcImp!$E$20,AD5/PoToMRVWoQSUomservRcImp!$AD$7*PoToMRVWoQSUomservRcImp!$E$20)</f>
        <v>0</v>
      </c>
      <c r="AH5" s="31">
        <f>IF(PoToMRVWoQSUomservRcImp!$P$2=1,(S5/PoToMRVWoQSUomservRcImp!$S$7)*PoToMRVWoQSUomservRcImp!$E$21,AD5/PoToMRVWoQSUomservRcImp!$AD$7*PoToMRVWoQSUomservRcImp!$E$21)</f>
        <v>0</v>
      </c>
      <c r="AI5" s="31">
        <f>S5*PoToMRVWoQSUomservRcImp!$M$2</f>
        <v>328.47</v>
      </c>
      <c r="AJ5" s="31">
        <f>IF(PoToMRVWoQSUomservRcImp!$C$2=3,0,AG5+AH5)</f>
        <v>0</v>
      </c>
      <c r="AK5" s="31">
        <f>IF(PoToMRVWoQSUomservRcImp!$C$2=3,AE5+AG5+AH5,0)</f>
        <v>0</v>
      </c>
      <c r="AL5" s="34">
        <v>1</v>
      </c>
      <c r="AM5" s="31">
        <f t="shared" si="9"/>
        <v>4</v>
      </c>
      <c r="AN5" s="31">
        <f>ROUND(AI5/AM5,5)</f>
        <v>82.1175</v>
      </c>
      <c r="AO5" s="31">
        <f t="shared" si="10"/>
        <v>0</v>
      </c>
      <c r="AP5" s="31">
        <f t="shared" si="11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223</v>
      </c>
      <c r="AV5" t="s" s="0">
        <v>153</v>
      </c>
      <c r="AW5" s="39">
        <f t="shared" si="12"/>
        <v>4</v>
      </c>
      <c r="AX5" s="39">
        <f t="shared" si="13"/>
        <v>82.1175</v>
      </c>
      <c r="AY5" s="39">
        <f t="shared" si="14"/>
        <v>44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223</v>
      </c>
      <c r="BO5" s="39">
        <f t="shared" si="15"/>
        <v>82.12</v>
      </c>
      <c r="BP5" s="48">
        <f t="shared" si="16"/>
        <v>44</v>
      </c>
      <c r="BQ5" s="49">
        <v>123562</v>
      </c>
    </row>
    <row r="6" ht="15.75" spans="1:69">
      <c r="A6" s="105">
        <v>1</v>
      </c>
      <c r="B6" s="108" t="s">
        <v>236</v>
      </c>
      <c r="C6" s="108" t="s">
        <v>236</v>
      </c>
      <c r="D6" s="107" t="s">
        <v>76</v>
      </c>
      <c r="E6" s="7" t="s">
        <v>76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7"/>
        <v>500</v>
      </c>
      <c r="M6" s="8">
        <f t="shared" si="1"/>
        <v>15</v>
      </c>
      <c r="N6" s="8">
        <f t="shared" si="2"/>
        <v>485</v>
      </c>
      <c r="O6" s="8">
        <f t="shared" si="3"/>
        <v>33.95</v>
      </c>
      <c r="P6" s="8">
        <f t="shared" si="4"/>
        <v>451.05</v>
      </c>
      <c r="Q6" s="8">
        <f t="shared" si="5"/>
        <v>18.04</v>
      </c>
      <c r="R6" s="8">
        <f t="shared" si="6"/>
        <v>66.99</v>
      </c>
      <c r="S6" s="8">
        <f t="shared" si="7"/>
        <v>433.01</v>
      </c>
      <c r="T6" s="8">
        <v>88363222</v>
      </c>
      <c r="U6" s="8">
        <v>18</v>
      </c>
      <c r="V6" s="8">
        <f>IF(OR(PoToMRVWoQSUomservRcImp!$C$2=1,PoToMRVWoQSUomservRcImp!$C$2=4),ROUND((((S6*U6)/100)/2),2),0)</f>
        <v>0</v>
      </c>
      <c r="W6" s="8">
        <f>IF(PoToMRVWoQSUomservRcImp!$C$2=1,ROUND((((S6*U6)/100)/2),2),0)</f>
        <v>0</v>
      </c>
      <c r="X6" s="8">
        <f>IF(AND($C$2=2,V$2=1),ROUND((S6*U6)/100,2),0)</f>
        <v>0</v>
      </c>
      <c r="Y6" s="8">
        <f>IF(PoToMRVWoQSUomservRcImp!$C$2=4,ROUND((((S6*U6)/100)/2),2),0)</f>
        <v>0</v>
      </c>
      <c r="Z6" s="8">
        <v>0</v>
      </c>
      <c r="AA6" s="8">
        <f>IF(PoToMRVWoQSUomservRcImp!$C4=3,0,(S6*Z6)/100)</f>
        <v>0</v>
      </c>
      <c r="AB6" s="8">
        <f t="shared" si="8"/>
        <v>0</v>
      </c>
      <c r="AC6" s="8">
        <f>IF(PoToMRVWoQSUomservRcImp!$V4=1,S6+AB6,S6)</f>
        <v>433.01</v>
      </c>
      <c r="AD6" s="31">
        <v>120</v>
      </c>
      <c r="AE6" s="31">
        <f>IF(PoToMRVWoQSUomservRcImp!$P$2=1,(S6/PoToMRVWoQSUomservRcImp!$S$7)*PoToMRVWoQSUomservRcImp!$E$18,AD6/PoToMRVWoQSUomservRcImp!$AD$7*PoToMRVWoQSUomservRcImp!$E$18)</f>
        <v>0</v>
      </c>
      <c r="AF6" s="31"/>
      <c r="AG6" s="31">
        <f>IF(PoToMRVWoQSUomservRcImp!$P$2=1,(S6/PoToMRVWoQSUomservRcImp!$S$7)*PoToMRVWoQSUomservRcImp!$E$20,AD6/PoToMRVWoQSUomservRcImp!$AD$7*PoToMRVWoQSUomservRcImp!$E$20)</f>
        <v>0</v>
      </c>
      <c r="AH6" s="31">
        <f>IF(PoToMRVWoQSUomservRcImp!$P$2=1,(S6/PoToMRVWoQSUomservRcImp!$S$7)*PoToMRVWoQSUomservRcImp!$E$21,AD6/PoToMRVWoQSUomservRcImp!$AD$7*PoToMRVWoQSUomservRcImp!$E$21)</f>
        <v>0</v>
      </c>
      <c r="AI6" s="31">
        <f>S6*PoToMRVWoQSUomservRcImp!$M$2</f>
        <v>433.01</v>
      </c>
      <c r="AJ6" s="31">
        <f>IF(PoToMRVWoQSUomservRcImp!$C$2=3,0,AG6+AH6)</f>
        <v>0</v>
      </c>
      <c r="AK6" s="31">
        <f>IF(PoToMRVWoQSUomservRcImp!$C$2=3,AE6+AG6+AH6,0)</f>
        <v>0</v>
      </c>
      <c r="AL6" s="34">
        <v>1</v>
      </c>
      <c r="AM6" s="31">
        <f t="shared" si="9"/>
        <v>10</v>
      </c>
      <c r="AN6" s="31">
        <f>ROUND(AI6/AM6,5)</f>
        <v>43.301</v>
      </c>
      <c r="AO6" s="31">
        <f t="shared" si="10"/>
        <v>0</v>
      </c>
      <c r="AP6" s="31">
        <f t="shared" si="11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87</v>
      </c>
      <c r="AV6" t="s" s="0">
        <v>159</v>
      </c>
      <c r="AW6" s="39">
        <f t="shared" si="12"/>
        <v>10</v>
      </c>
      <c r="AX6" s="39">
        <f t="shared" si="13"/>
        <v>43.301</v>
      </c>
      <c r="AY6" s="39">
        <f t="shared" si="14"/>
        <v>110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87</v>
      </c>
      <c r="BO6" s="39">
        <f t="shared" si="15"/>
        <v>43.3</v>
      </c>
      <c r="BP6" s="48">
        <f t="shared" si="16"/>
        <v>110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189</v>
      </c>
      <c r="S7" s="13">
        <f t="shared" si="18"/>
        <v>1311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0</v>
      </c>
      <c r="Y7" s="27"/>
      <c r="Z7" s="27"/>
      <c r="AA7" s="27"/>
      <c r="AB7" s="26">
        <f t="shared" ref="AB7:AE7" si="19">SUM(AB4:AB4)</f>
        <v>0</v>
      </c>
      <c r="AC7" s="32">
        <f t="shared" si="19"/>
        <v>1311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1311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189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1311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1311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104" t="s">
        <v>10</v>
      </c>
      <c r="C3" s="104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105">
        <v>1</v>
      </c>
      <c r="B4" s="106" t="s">
        <v>237</v>
      </c>
      <c r="C4" s="106" t="s">
        <v>237</v>
      </c>
      <c r="D4" s="107" t="s">
        <v>76</v>
      </c>
      <c r="E4" s="7" t="s">
        <v>76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221</v>
      </c>
      <c r="AV4" t="s" s="0">
        <v>163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30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77</v>
      </c>
      <c r="BO4" s="39">
        <f t="shared" ref="BO4:BO6" si="16">ROUND((((AW4*AZ4)+(BN4*BM4))/(AW4+BN4)),5)</f>
        <v>124.545</v>
      </c>
      <c r="BP4" s="48">
        <f t="shared" ref="BP4:BP6" si="17">ROUND(BN4+AW4,3)</f>
        <v>160</v>
      </c>
      <c r="BQ4" s="49">
        <v>123562</v>
      </c>
    </row>
    <row r="5" ht="15.75" spans="1:69">
      <c r="A5" s="105">
        <v>1</v>
      </c>
      <c r="B5" s="106" t="s">
        <v>238</v>
      </c>
      <c r="C5" s="106" t="s">
        <v>238</v>
      </c>
      <c r="D5" s="107" t="s">
        <v>76</v>
      </c>
      <c r="E5" s="7" t="s">
        <v>76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IF(OR(PoToMRVWFSUomservPl!$C$2=1,PoToMRVWFSUomservPl!$C$2=4),ROUND((((S5*U5)/100)/2),2),0)</f>
        <v>0</v>
      </c>
      <c r="W5" s="8">
        <f>IF(PoToMRVWFSUomservPl!$C$2=1,ROUND((((S5*U5)/100)/2),2),0)</f>
        <v>0</v>
      </c>
      <c r="X5" s="8">
        <f>IF(PoToMRVWFSUomservPl!$C$2=2,ROUND(((S5*U5)/100),2),0)</f>
        <v>59.12</v>
      </c>
      <c r="Y5" s="8">
        <f>IF(PoToMRVWFSUomservPl!$C$2=4,ROUND((((S5*U5)/100)/2),2),0)</f>
        <v>0</v>
      </c>
      <c r="Z5" s="8">
        <v>0</v>
      </c>
      <c r="AA5" s="8">
        <f>IF(PoToMRVWFSUomservPl!$C3=3,0,(S5*Z5)/100)</f>
        <v>0</v>
      </c>
      <c r="AB5" s="8">
        <f t="shared" si="9"/>
        <v>59.12</v>
      </c>
      <c r="AC5" s="8">
        <f>IF(PoToMRVWFSUomservPl!$V3=1,S5+AB5,S5)</f>
        <v>328.47</v>
      </c>
      <c r="AD5" s="31">
        <v>120</v>
      </c>
      <c r="AE5" s="31">
        <f>IF(PoToMRVWFSUomservPl!$P$2=1,(S5/PoToMRVWFSUomservPl!$S$7)*PoToMRVWFSUomservPl!$E$18,AD5/PoToMRVWFSUomservPl!$AD$7*PoToMRVWFSUomservPl!$E$18)</f>
        <v>0</v>
      </c>
      <c r="AF5" s="31"/>
      <c r="AG5" s="31">
        <f>IF(PoToMRVWFSUomservPl!$P$2=1,(S5/PoToMRVWFSUomservPl!$S$7)*PoToMRVWFSUomservPl!$E$20,AD5/PoToMRVWFSUomservPl!$AD$7*PoToMRVWFSUomservPl!$E$20)</f>
        <v>0</v>
      </c>
      <c r="AH5" s="31">
        <f>IF(PoToMRVWFSUomservPl!$P$2=1,(S5/PoToMRVWFSUomservPl!$S$7)*PoToMRVWFSUomservPl!$E$21,AD5/PoToMRVWFSUomservPl!$AD$7*PoToMRVWFSUomservPl!$E$21)</f>
        <v>0</v>
      </c>
      <c r="AI5" s="31">
        <f>S5*PoToMRVWFSUomservPl!$M$2</f>
        <v>328.47</v>
      </c>
      <c r="AJ5" s="31">
        <f>IF(PoToMRVWFSUomservPl!$C$2=3,0,AG5+AH5)</f>
        <v>0</v>
      </c>
      <c r="AK5" s="31">
        <f>IF(PoToMRVWFSUomservPl!$C$2=3,AE5+AG5+AH5,0)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223</v>
      </c>
      <c r="AV5" t="s" s="0">
        <v>153</v>
      </c>
      <c r="AW5" s="39">
        <f t="shared" si="13"/>
        <v>4</v>
      </c>
      <c r="AX5" s="39">
        <f t="shared" si="14"/>
        <v>82.1175</v>
      </c>
      <c r="AY5" s="39">
        <f t="shared" si="15"/>
        <v>44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223</v>
      </c>
      <c r="BO5" s="39">
        <f t="shared" si="16"/>
        <v>82.12</v>
      </c>
      <c r="BP5" s="48">
        <f t="shared" si="17"/>
        <v>44</v>
      </c>
      <c r="BQ5" s="49">
        <v>123562</v>
      </c>
    </row>
    <row r="6" customHeight="1" spans="1:69">
      <c r="A6" s="105">
        <v>1</v>
      </c>
      <c r="B6" s="108" t="s">
        <v>239</v>
      </c>
      <c r="C6" s="109" t="s">
        <v>239</v>
      </c>
      <c r="D6" s="107" t="s">
        <v>76</v>
      </c>
      <c r="E6" s="7" t="s">
        <v>76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IF(OR(PoToMRVWFSUomservPl!$C$2=1,PoToMRVWFSUomservPl!$C$2=4),ROUND((((S6*U6)/100)/2),2),0)</f>
        <v>0</v>
      </c>
      <c r="W6" s="8">
        <f>IF(PoToMRVWFSUomservPl!$C$2=1,ROUND((((S6*U6)/100)/2),2),0)</f>
        <v>0</v>
      </c>
      <c r="X6" s="8">
        <f>IF(PoToMRVWFSUomservPl!$C$2=2,ROUND(((S6*U6)/100),2),0)</f>
        <v>77.94</v>
      </c>
      <c r="Y6" s="8">
        <f>IF(PoToMRVWFSUomservPl!$C$2=4,ROUND((((S6*U6)/100)/2),2),0)</f>
        <v>0</v>
      </c>
      <c r="Z6" s="8">
        <v>0</v>
      </c>
      <c r="AA6" s="8">
        <f>IF(PoToMRVWFSUomservPl!$C4=3,0,(S6*Z6)/100)</f>
        <v>0</v>
      </c>
      <c r="AB6" s="8">
        <f t="shared" si="9"/>
        <v>77.94</v>
      </c>
      <c r="AC6" s="8">
        <f>IF(PoToMRVWFSUomservPl!$V4=1,S6+AB6,S6)</f>
        <v>433.01</v>
      </c>
      <c r="AD6" s="31">
        <v>120</v>
      </c>
      <c r="AE6" s="31">
        <f>IF(PoToMRVWFSUomservPl!$P$2=1,(S6/PoToMRVWFSUomservPl!$S$7)*PoToMRVWFSUomservPl!$E$18,AD6/PoToMRVWFSUomservPl!$AD$7*PoToMRVWFSUomservPl!$E$18)</f>
        <v>0</v>
      </c>
      <c r="AF6" s="31"/>
      <c r="AG6" s="31">
        <f>IF(PoToMRVWFSUomservPl!$P$2=1,(S6/PoToMRVWFSUomservPl!$S$7)*PoToMRVWFSUomservPl!$E$20,AD6/PoToMRVWFSUomservPl!$AD$7*PoToMRVWFSUomservPl!$E$20)</f>
        <v>0</v>
      </c>
      <c r="AH6" s="31">
        <f>IF(PoToMRVWFSUomservPl!$P$2=1,(S6/PoToMRVWFSUomservPl!$S$7)*PoToMRVWFSUomservPl!$E$21,AD6/PoToMRVWFSUomservPl!$AD$7*PoToMRVWFSUomservPl!$E$21)</f>
        <v>0</v>
      </c>
      <c r="AI6" s="31">
        <f>S6*PoToMRVWFSUomservPl!$M$2</f>
        <v>433.01</v>
      </c>
      <c r="AJ6" s="31">
        <f>IF(PoToMRVWFSUomservPl!$C$2=3,0,AG6+AH6)</f>
        <v>0</v>
      </c>
      <c r="AK6" s="31">
        <f>IF(PoToMRVWFSUomservPl!$C$2=3,AE6+AG6+AH6,0)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87</v>
      </c>
      <c r="AV6" t="s" s="0">
        <v>159</v>
      </c>
      <c r="AW6" s="39">
        <f t="shared" si="13"/>
        <v>10</v>
      </c>
      <c r="AX6" s="39">
        <f t="shared" si="14"/>
        <v>43.301</v>
      </c>
      <c r="AY6" s="39">
        <f t="shared" si="15"/>
        <v>110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87</v>
      </c>
      <c r="BO6" s="39">
        <f t="shared" si="16"/>
        <v>43.3</v>
      </c>
      <c r="BP6" s="48">
        <f t="shared" si="17"/>
        <v>110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1469.63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P16" sqref="P16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104" t="s">
        <v>10</v>
      </c>
      <c r="C3" s="104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105">
        <v>1</v>
      </c>
      <c r="B4" s="106" t="s">
        <v>237</v>
      </c>
      <c r="C4" s="106" t="s">
        <v>237</v>
      </c>
      <c r="D4" s="107" t="s">
        <v>76</v>
      </c>
      <c r="E4" s="7" t="s">
        <v>76</v>
      </c>
      <c r="F4" s="8">
        <v>10</v>
      </c>
      <c r="G4" t="s" s="0">
        <v>77</v>
      </c>
      <c r="H4" s="8">
        <f t="shared" ref="H4:H6" si="0">F4*G4</f>
        <v>1500</v>
      </c>
      <c r="I4" t="s" s="0">
        <v>78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124.545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124.545</v>
      </c>
      <c r="AS4" s="38" t="s">
        <v>120</v>
      </c>
      <c r="AT4" s="39" t="s">
        <v>76</v>
      </c>
      <c r="AU4" t="s" s="0">
        <v>221</v>
      </c>
      <c r="AV4" t="s" s="0">
        <v>163</v>
      </c>
      <c r="AW4" s="39">
        <f t="shared" ref="AW4:AW6" si="13">AM4</f>
        <v>10</v>
      </c>
      <c r="AX4" s="42">
        <f t="shared" ref="AX4:AX6" si="14">AR4</f>
        <v>124.545</v>
      </c>
      <c r="AY4" s="39">
        <f t="shared" ref="AY4:AY6" si="15">AU4+AW4</f>
        <v>30</v>
      </c>
      <c r="AZ4" s="42">
        <f>ROUND(((AU4*AV4)+(AW4*AX4))/(AU4+AW4),5)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77</v>
      </c>
      <c r="BO4" s="39">
        <f t="shared" ref="BO4:BO6" si="16">ROUND((((AW4*AZ4)+(BN4*BM4))/(AW4+BN4)),5)</f>
        <v>124.545</v>
      </c>
      <c r="BP4" s="48">
        <f t="shared" ref="BP4:BP6" si="17">ROUND(BN4+AW4,3)</f>
        <v>160</v>
      </c>
      <c r="BQ4" s="49">
        <v>123562</v>
      </c>
    </row>
    <row r="5" ht="15.75" spans="1:69">
      <c r="A5" s="105">
        <v>1</v>
      </c>
      <c r="B5" s="106" t="s">
        <v>238</v>
      </c>
      <c r="C5" s="106" t="s">
        <v>238</v>
      </c>
      <c r="D5" s="10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IF(OR(PoToMRVWoQSUomservPl!$C$2=1,PoToMRVWoQSUomservPl!$C$2=4),ROUND((((S5*U5)/100)/2),2),0)</f>
        <v>0</v>
      </c>
      <c r="W5" s="8">
        <f>IF(PoToMRVWoQSUomservPl!$C$2=1,ROUND((((S5*U5)/100)/2),2),0)</f>
        <v>0</v>
      </c>
      <c r="X5" s="8">
        <f>IF(PoToMRVWoQSUomservPl!$C$2=2,ROUND(((S5*U5)/100),2),0)</f>
        <v>59.12</v>
      </c>
      <c r="Y5" s="8">
        <f>IF(PoToMRVWoQSUomservPl!$C$2=4,ROUND((((S5*U5)/100)/2),2),0)</f>
        <v>0</v>
      </c>
      <c r="Z5" s="8">
        <v>0</v>
      </c>
      <c r="AA5" s="8">
        <f>IF(PoToMRVWoQSUomservPl!$C3=3,0,(S5*Z5)/100)</f>
        <v>0</v>
      </c>
      <c r="AB5" s="8">
        <f t="shared" si="9"/>
        <v>59.12</v>
      </c>
      <c r="AC5" s="8">
        <f>IF(PoToMRVWoQSUomservPl!$V3=1,S5+AB5,S5)</f>
        <v>328.47</v>
      </c>
      <c r="AD5" s="31">
        <v>120</v>
      </c>
      <c r="AE5" s="31">
        <f>IF(PoToMRVWoQSUomservPl!$P$2=1,(S5/PoToMRVWoQSUomservPl!$S$7)*PoToMRVWoQSUomservPl!$E$18,AD5/PoToMRVWoQSUomservPl!$AD$7*PoToMRVWoQSUomservPl!$E$18)</f>
        <v>0</v>
      </c>
      <c r="AF5" s="31"/>
      <c r="AG5" s="31">
        <f>IF(PoToMRVWoQSUomservPl!$P$2=1,(S5/PoToMRVWoQSUomservPl!$S$7)*PoToMRVWoQSUomservPl!$E$20,AD5/PoToMRVWoQSUomservPl!$AD$7*PoToMRVWoQSUomservPl!$E$20)</f>
        <v>0</v>
      </c>
      <c r="AH5" s="31">
        <f>IF(PoToMRVWoQSUomservPl!$P$2=1,(S5/PoToMRVWoQSUomservPl!$S$7)*PoToMRVWoQSUomservPl!$E$21,AD5/PoToMRVWoQSUomservPl!$AD$7*PoToMRVWoQSUomservPl!$E$21)</f>
        <v>0</v>
      </c>
      <c r="AI5" s="31">
        <f>S5*PoToMRVWoQSUomservPl!$M$2</f>
        <v>328.47</v>
      </c>
      <c r="AJ5" s="31">
        <f>IF(PoToMRVWoQSUomservPl!$C$2=3,0,AG5+AH5)</f>
        <v>0</v>
      </c>
      <c r="AK5" s="31">
        <f>IF(PoToMRVWoQSUomservPl!$C$2=3,AE5+AG5+AH5,0)</f>
        <v>0</v>
      </c>
      <c r="AL5" s="34">
        <v>1</v>
      </c>
      <c r="AM5" s="31">
        <f t="shared" si="10"/>
        <v>4</v>
      </c>
      <c r="AN5" s="31">
        <f>ROUND(AI5/AM5,5)</f>
        <v>82.1175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223</v>
      </c>
      <c r="AV5" t="s" s="0">
        <v>153</v>
      </c>
      <c r="AW5" s="39">
        <f t="shared" si="13"/>
        <v>4</v>
      </c>
      <c r="AX5" s="39">
        <f t="shared" si="14"/>
        <v>82.1175</v>
      </c>
      <c r="AY5" s="39">
        <f t="shared" si="15"/>
        <v>44</v>
      </c>
      <c r="AZ5" s="39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223</v>
      </c>
      <c r="BO5" s="39">
        <f t="shared" si="16"/>
        <v>82.12</v>
      </c>
      <c r="BP5" s="48">
        <f t="shared" si="17"/>
        <v>44</v>
      </c>
      <c r="BQ5" s="49">
        <v>123562</v>
      </c>
    </row>
    <row r="6" customHeight="1" spans="1:69">
      <c r="A6" s="105">
        <v>1</v>
      </c>
      <c r="B6" s="108" t="s">
        <v>239</v>
      </c>
      <c r="C6" s="109" t="s">
        <v>239</v>
      </c>
      <c r="D6" s="107" t="s">
        <v>76</v>
      </c>
      <c r="E6" s="7" t="s">
        <v>76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IF(OR(PoToMRVWoQSUomservPl!$C$2=1,PoToMRVWoQSUomservPl!$C$2=4),ROUND((((S6*U6)/100)/2),2),0)</f>
        <v>0</v>
      </c>
      <c r="W6" s="8">
        <f>IF(PoToMRVWoQSUomservPl!$C$2=1,ROUND((((S6*U6)/100)/2),2),0)</f>
        <v>0</v>
      </c>
      <c r="X6" s="8">
        <f>IF(PoToMRVWoQSUomservPl!$C$2=2,ROUND(((S6*U6)/100),2),0)</f>
        <v>77.94</v>
      </c>
      <c r="Y6" s="8">
        <f>IF(PoToMRVWoQSUomservPl!$C$2=4,ROUND((((S6*U6)/100)/2),2),0)</f>
        <v>0</v>
      </c>
      <c r="Z6" s="8">
        <v>0</v>
      </c>
      <c r="AA6" s="8">
        <f>IF(PoToMRVWoQSUomservPl!$C4=3,0,(S6*Z6)/100)</f>
        <v>0</v>
      </c>
      <c r="AB6" s="8">
        <f t="shared" si="9"/>
        <v>77.94</v>
      </c>
      <c r="AC6" s="8">
        <f>IF(PoToMRVWoQSUomservPl!$V4=1,S6+AB6,S6)</f>
        <v>433.01</v>
      </c>
      <c r="AD6" s="31">
        <v>120</v>
      </c>
      <c r="AE6" s="31">
        <f>IF(PoToMRVWoQSUomservPl!$P$2=1,(S6/PoToMRVWoQSUomservPl!$S$7)*PoToMRVWoQSUomservPl!$E$18,AD6/PoToMRVWoQSUomservPl!$AD$7*PoToMRVWoQSUomservPl!$E$18)</f>
        <v>0</v>
      </c>
      <c r="AF6" s="31"/>
      <c r="AG6" s="31">
        <f>IF(PoToMRVWoQSUomservPl!$P$2=1,(S6/PoToMRVWoQSUomservPl!$S$7)*PoToMRVWoQSUomservPl!$E$20,AD6/PoToMRVWoQSUomservPl!$AD$7*PoToMRVWoQSUomservPl!$E$20)</f>
        <v>0</v>
      </c>
      <c r="AH6" s="31">
        <f>IF(PoToMRVWoQSUomservPl!$P$2=1,(S6/PoToMRVWoQSUomservPl!$S$7)*PoToMRVWoQSUomservPl!$E$21,AD6/PoToMRVWoQSUomservPl!$AD$7*PoToMRVWoQSUomservPl!$E$21)</f>
        <v>0</v>
      </c>
      <c r="AI6" s="31">
        <f>S6*PoToMRVWoQSUomservPl!$M$2</f>
        <v>433.01</v>
      </c>
      <c r="AJ6" s="31">
        <f>IF(PoToMRVWoQSUomservPl!$C$2=3,0,AG6+AH6)</f>
        <v>0</v>
      </c>
      <c r="AK6" s="31">
        <f>IF(PoToMRVWoQSUomservPl!$C$2=3,AE6+AG6+AH6,0)</f>
        <v>0</v>
      </c>
      <c r="AL6" s="34">
        <v>1</v>
      </c>
      <c r="AM6" s="31">
        <f t="shared" si="10"/>
        <v>10</v>
      </c>
      <c r="AN6" s="31">
        <f>ROUND(AI6/AM6,5)</f>
        <v>43.301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87</v>
      </c>
      <c r="AV6" t="s" s="0">
        <v>159</v>
      </c>
      <c r="AW6" s="39">
        <f t="shared" si="13"/>
        <v>10</v>
      </c>
      <c r="AX6" s="39">
        <f t="shared" si="14"/>
        <v>43.301</v>
      </c>
      <c r="AY6" s="39">
        <f t="shared" si="15"/>
        <v>110</v>
      </c>
      <c r="AZ6" s="39">
        <f>ROUND(((AU6*AV6)+(AW6*AX6))/(AU6+AW6),2)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87</v>
      </c>
      <c r="BO6" s="39">
        <f t="shared" si="16"/>
        <v>43.3</v>
      </c>
      <c r="BP6" s="48">
        <f t="shared" si="17"/>
        <v>110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1245.45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F11" sqref="F11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104" t="s">
        <v>10</v>
      </c>
      <c r="C3" s="104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105">
        <v>1</v>
      </c>
      <c r="B4" s="106" t="s">
        <v>237</v>
      </c>
      <c r="C4" s="106" t="s">
        <v>237</v>
      </c>
      <c r="D4" s="107" t="s">
        <v>76</v>
      </c>
      <c r="E4" s="7" t="s">
        <v>76</v>
      </c>
      <c r="F4" s="8">
        <v>10</v>
      </c>
      <c r="G4" t="s" s="0">
        <v>77</v>
      </c>
      <c r="H4" s="8">
        <f t="shared" ref="H4:H6" si="0">F4*G4</f>
        <v>1500</v>
      </c>
      <c r="I4" t="s" s="0">
        <v>78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0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105863.25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10">F4/AL4</f>
        <v>10</v>
      </c>
      <c r="AN4" s="34">
        <f>ROUND(AI4/AM4,3)</f>
        <v>10586.325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10586.325</v>
      </c>
      <c r="AS4" s="38" t="s">
        <v>120</v>
      </c>
      <c r="AT4" s="39" t="s">
        <v>76</v>
      </c>
      <c r="AU4" t="s" s="0">
        <v>221</v>
      </c>
      <c r="AV4" t="s" s="0">
        <v>163</v>
      </c>
      <c r="AW4" s="39">
        <f t="shared" ref="AW4:AW6" si="13">AM4</f>
        <v>10</v>
      </c>
      <c r="AX4" s="42">
        <f t="shared" ref="AX4:AX6" si="14">AR4</f>
        <v>10586.325</v>
      </c>
      <c r="AY4" s="39">
        <f t="shared" ref="AY4:AY6" si="15">AU4+AW4</f>
        <v>30</v>
      </c>
      <c r="AZ4" s="42">
        <f>ROUND(((AU4*AV4)+(AW4*AX4))/(AU4+AW4),5)</f>
        <v>3611.805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77</v>
      </c>
      <c r="BO4" s="39">
        <f t="shared" ref="BO4:BO6" si="16">ROUND((((AW4*AZ4)+(BN4*BM4))/(AW4+BN4)),5)</f>
        <v>342.49875</v>
      </c>
      <c r="BP4" s="48">
        <f t="shared" ref="BP4:BP6" si="17">ROUND(BN4+AW4,3)</f>
        <v>160</v>
      </c>
      <c r="BQ4" s="49">
        <v>123562</v>
      </c>
    </row>
    <row r="5" ht="15.75" spans="1:69">
      <c r="A5" s="105">
        <v>1</v>
      </c>
      <c r="B5" s="106" t="s">
        <v>238</v>
      </c>
      <c r="C5" s="106" t="s">
        <v>238</v>
      </c>
      <c r="D5" s="10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IF(OR(PoToMRVWoQSUomservPlImp!$C$2=1,PoToMRVWoQSUomservPlImp!$C$2=4),ROUND((((S5*U5)/100)/2),2),0)</f>
        <v>0</v>
      </c>
      <c r="W5" s="8">
        <f>IF(PoToMRVWoQSUomservPlImp!$C$2=1,ROUND((((S5*U5)/100)/2),2),0)</f>
        <v>0</v>
      </c>
      <c r="X5" s="8">
        <f>IF(PoToMRVWoQSUomservPlImp!$C$2=2,ROUND(((S5*U5)/100),2),0)</f>
        <v>0</v>
      </c>
      <c r="Y5" s="8">
        <f>IF(PoToMRVWoQSUomservPlImp!$C$2=4,ROUND((((S5*U5)/100)/2),2),0)</f>
        <v>0</v>
      </c>
      <c r="Z5" s="8">
        <v>0</v>
      </c>
      <c r="AA5" s="8">
        <f>IF(PoToMRVWoQSUomservPlImp!$C3=3,0,(S5*Z5)/100)</f>
        <v>0</v>
      </c>
      <c r="AB5" s="8">
        <f t="shared" si="9"/>
        <v>0</v>
      </c>
      <c r="AC5" s="8">
        <f>IF(PoToMRVWoQSUomservPlImp!$V3=1,S5+AB5,S5)</f>
        <v>328.47</v>
      </c>
      <c r="AD5" s="31">
        <v>120</v>
      </c>
      <c r="AE5" s="31">
        <f>IF(PoToMRVWoQSUomservPlImp!$P$2=1,(S5/PoToMRVWoQSUomservPlImp!$S$7)*PoToMRVWoQSUomservPlImp!$E$18,AD5/PoToMRVWoQSUomservPlImp!$AD$7*PoToMRVWoQSUomservPlImp!$E$18)</f>
        <v>0</v>
      </c>
      <c r="AF5" s="31"/>
      <c r="AG5" s="31">
        <f>IF(PoToMRVWoQSUomservPlImp!$P$2=1,(S5/PoToMRVWoQSUomservPlImp!$S$7)*PoToMRVWoQSUomservPlImp!$E$20,AD5/PoToMRVWoQSUomservPlImp!$AD$7*PoToMRVWoQSUomservPlImp!$E$20)</f>
        <v>0</v>
      </c>
      <c r="AH5" s="31">
        <f>IF(PoToMRVWoQSUomservPlImp!$P$2=1,(S5/PoToMRVWoQSUomservPlImp!$S$7)*PoToMRVWoQSUomservPlImp!$E$21,AD5/PoToMRVWoQSUomservPlImp!$AD$7*PoToMRVWoQSUomservPlImp!$E$21)</f>
        <v>0</v>
      </c>
      <c r="AI5" s="31">
        <f>S5*PoToMRVWoQSUomservPlImp!$M$2</f>
        <v>27919.95</v>
      </c>
      <c r="AJ5" s="31">
        <f>IF(PoToMRVWoQSUomservPlImp!$C$2=3,0,AG5+AH5)</f>
        <v>0</v>
      </c>
      <c r="AK5" s="31">
        <f>IF(PoToMRVWoQSUomservPlImp!$C$2=3,AE5+AG5+AH5,0)</f>
        <v>0</v>
      </c>
      <c r="AL5" s="34">
        <v>1</v>
      </c>
      <c r="AM5" s="31">
        <f t="shared" si="10"/>
        <v>4</v>
      </c>
      <c r="AN5" s="31">
        <f>ROUND(AI5/AM5,5)</f>
        <v>6979.9875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6979.9875</v>
      </c>
      <c r="AS5" s="38" t="s">
        <v>120</v>
      </c>
      <c r="AT5" s="39" t="s">
        <v>76</v>
      </c>
      <c r="AU5" t="s" s="0">
        <v>223</v>
      </c>
      <c r="AV5" t="s" s="0">
        <v>153</v>
      </c>
      <c r="AW5" s="39">
        <f t="shared" si="13"/>
        <v>4</v>
      </c>
      <c r="AX5" s="39">
        <f t="shared" si="14"/>
        <v>6979.9875</v>
      </c>
      <c r="AY5" s="39">
        <f t="shared" si="15"/>
        <v>44</v>
      </c>
      <c r="AZ5" s="39">
        <f>ROUND(((AU5*AV5)+(AW5*AX5))/(AU5+AW5),2)</f>
        <v>709.2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223</v>
      </c>
      <c r="BO5" s="39">
        <f t="shared" si="16"/>
        <v>139.12727</v>
      </c>
      <c r="BP5" s="48">
        <f t="shared" si="17"/>
        <v>44</v>
      </c>
      <c r="BQ5" s="49">
        <v>123562</v>
      </c>
    </row>
    <row r="6" customHeight="1" spans="1:69">
      <c r="A6" s="105">
        <v>1</v>
      </c>
      <c r="B6" s="108" t="s">
        <v>239</v>
      </c>
      <c r="C6" s="109" t="s">
        <v>239</v>
      </c>
      <c r="D6" s="107" t="s">
        <v>76</v>
      </c>
      <c r="E6" s="7" t="s">
        <v>76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IF(OR(PoToMRVWoQSUomservPlImp!$C$2=1,PoToMRVWoQSUomservPlImp!$C$2=4),ROUND((((S6*U6)/100)/2),2),0)</f>
        <v>0</v>
      </c>
      <c r="W6" s="8">
        <f>IF(PoToMRVWoQSUomservPlImp!$C$2=1,ROUND((((S6*U6)/100)/2),2),0)</f>
        <v>0</v>
      </c>
      <c r="X6" s="8">
        <f>IF(PoToMRVWoQSUomservPlImp!$C$2=2,ROUND(((S6*U6)/100),2),0)</f>
        <v>0</v>
      </c>
      <c r="Y6" s="8">
        <f>IF(PoToMRVWoQSUomservPlImp!$C$2=4,ROUND((((S6*U6)/100)/2),2),0)</f>
        <v>0</v>
      </c>
      <c r="Z6" s="8">
        <v>0</v>
      </c>
      <c r="AA6" s="8">
        <f>IF(PoToMRVWoQSUomservPlImp!$C4=3,0,(S6*Z6)/100)</f>
        <v>0</v>
      </c>
      <c r="AB6" s="8">
        <f t="shared" si="9"/>
        <v>0</v>
      </c>
      <c r="AC6" s="8">
        <f>IF(PoToMRVWoQSUomservPlImp!$V4=1,S6+AB6,S6)</f>
        <v>433.01</v>
      </c>
      <c r="AD6" s="31">
        <v>120</v>
      </c>
      <c r="AE6" s="31">
        <f>IF(PoToMRVWoQSUomservPlImp!$P$2=1,(S6/PoToMRVWoQSUomservPlImp!$S$7)*PoToMRVWoQSUomservPlImp!$E$18,AD6/PoToMRVWoQSUomservPlImp!$AD$7*PoToMRVWoQSUomservPlImp!$E$18)</f>
        <v>0</v>
      </c>
      <c r="AF6" s="31"/>
      <c r="AG6" s="31">
        <f>IF(PoToMRVWoQSUomservPlImp!$P$2=1,(S6/PoToMRVWoQSUomservPlImp!$S$7)*PoToMRVWoQSUomservPlImp!$E$20,AD6/PoToMRVWoQSUomservPlImp!$AD$7*PoToMRVWoQSUomservPlImp!$E$20)</f>
        <v>0</v>
      </c>
      <c r="AH6" s="31">
        <f>IF(PoToMRVWoQSUomservPlImp!$P$2=1,(S6/PoToMRVWoQSUomservPlImp!$S$7)*PoToMRVWoQSUomservPlImp!$E$21,AD6/PoToMRVWoQSUomservPlImp!$AD$7*PoToMRVWoQSUomservPlImp!$E$21)</f>
        <v>0</v>
      </c>
      <c r="AI6" s="31">
        <f>S6*PoToMRVWoQSUomservPlImp!$M$2</f>
        <v>36805.85</v>
      </c>
      <c r="AJ6" s="31">
        <f>IF(PoToMRVWoQSUomservPlImp!$C$2=3,0,AG6+AH6)</f>
        <v>0</v>
      </c>
      <c r="AK6" s="31">
        <f>IF(PoToMRVWoQSUomservPlImp!$C$2=3,AE6+AG6+AH6,0)</f>
        <v>0</v>
      </c>
      <c r="AL6" s="34">
        <v>1</v>
      </c>
      <c r="AM6" s="31">
        <f t="shared" si="10"/>
        <v>10</v>
      </c>
      <c r="AN6" s="31">
        <f>ROUND(AI6/AM6,5)</f>
        <v>3680.585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3680.585</v>
      </c>
      <c r="AS6" s="38" t="s">
        <v>120</v>
      </c>
      <c r="AT6" s="39" t="s">
        <v>76</v>
      </c>
      <c r="AU6" t="s" s="0">
        <v>87</v>
      </c>
      <c r="AV6" t="s" s="0">
        <v>159</v>
      </c>
      <c r="AW6" s="39">
        <f t="shared" si="13"/>
        <v>10</v>
      </c>
      <c r="AX6" s="39">
        <f t="shared" si="14"/>
        <v>3680.585</v>
      </c>
      <c r="AY6" s="39">
        <f t="shared" si="15"/>
        <v>110</v>
      </c>
      <c r="AZ6" s="39">
        <f>ROUND(((AU6*AV6)+(AW6*AX6))/(AU6+AW6),2)</f>
        <v>373.96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87</v>
      </c>
      <c r="BO6" s="39">
        <f t="shared" si="16"/>
        <v>73.36</v>
      </c>
      <c r="BP6" s="48">
        <f t="shared" si="17"/>
        <v>110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0</v>
      </c>
      <c r="Y7" s="27"/>
      <c r="Z7" s="27"/>
      <c r="AA7" s="27"/>
      <c r="AB7" s="26">
        <f t="shared" ref="AB7:AE7" si="19">SUM(AB4:AB4)</f>
        <v>0</v>
      </c>
      <c r="AC7" s="32">
        <f t="shared" si="19"/>
        <v>1245.45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105863.25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1245.45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5" sqref="B5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240</v>
      </c>
      <c r="C4" s="7" t="s">
        <v>240</v>
      </c>
      <c r="D4" s="7" t="s">
        <v>76</v>
      </c>
      <c r="E4" s="7" t="s">
        <v>76</v>
      </c>
      <c r="F4" s="8">
        <v>5</v>
      </c>
      <c r="G4" t="s" s="0">
        <v>199</v>
      </c>
      <c r="H4" s="8">
        <f>F4*G4</f>
        <v>250</v>
      </c>
      <c r="I4" t="s" s="0">
        <v>78</v>
      </c>
      <c r="J4" s="8">
        <v>8</v>
      </c>
      <c r="K4" s="8">
        <v>5</v>
      </c>
      <c r="L4" s="8">
        <f>IF(OR(I4=0,I4="0"),0,H4)</f>
        <v>250</v>
      </c>
      <c r="M4" s="8">
        <f>ROUND(L4*I4%,3)</f>
        <v>12.5</v>
      </c>
      <c r="N4" s="8">
        <f>H4-M4</f>
        <v>237.5</v>
      </c>
      <c r="O4" s="8">
        <f>ROUND(N4*J4%,3)</f>
        <v>19</v>
      </c>
      <c r="P4" s="8">
        <f>ROUND(N4-O4,2)</f>
        <v>218.5</v>
      </c>
      <c r="Q4" s="8">
        <f>ROUND(P4*K4%,2)</f>
        <v>10.93</v>
      </c>
      <c r="R4" s="31">
        <f>ROUND(M4+O4+Q4,3)</f>
        <v>42.43</v>
      </c>
      <c r="S4" s="31">
        <f>(H4-R4)</f>
        <v>207.57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37.36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37.36</v>
      </c>
      <c r="AC4" s="30">
        <f>IF($V2=1,S4+AB4,S4)</f>
        <v>244.93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S4*$M2</f>
        <v>207.57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41.514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41.514</v>
      </c>
      <c r="AS4" s="38" t="s">
        <v>120</v>
      </c>
      <c r="AT4" s="39" t="s">
        <v>76</v>
      </c>
      <c r="AU4" t="s" s="0">
        <v>241</v>
      </c>
      <c r="AV4" t="s" s="0">
        <v>242</v>
      </c>
      <c r="AW4" s="39">
        <f>AM4</f>
        <v>5</v>
      </c>
      <c r="AX4" s="103">
        <f>AR4</f>
        <v>41.514</v>
      </c>
      <c r="AY4" s="39">
        <f>AU4+AW4</f>
        <v>20</v>
      </c>
      <c r="AZ4" s="39">
        <f>ROUND(((AU4*AV4)+(AW4*AX4))/(AU4+AW4),3)</f>
        <v>41.515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85</v>
      </c>
      <c r="BN4" t="s" s="0">
        <v>85</v>
      </c>
      <c r="BO4" s="39">
        <f>ROUND((((AW4*AZ4)+(BN4*BM4))/(AW4+BN4)),5)</f>
        <v>41.515</v>
      </c>
      <c r="BP4" s="48">
        <f>ROUND(BN4+AW4,3)</f>
        <v>10</v>
      </c>
      <c r="BQ4" s="49">
        <v>123562</v>
      </c>
    </row>
    <row r="5" ht="15.75" spans="1:69">
      <c r="A5" s="7">
        <v>1</v>
      </c>
      <c r="B5" s="7" t="s">
        <v>243</v>
      </c>
      <c r="C5" s="7" t="s">
        <v>243</v>
      </c>
      <c r="D5" s="7" t="s">
        <v>76</v>
      </c>
      <c r="E5" s="7" t="s">
        <v>76</v>
      </c>
      <c r="F5" s="8">
        <v>4</v>
      </c>
      <c r="G5" t="s" s="0">
        <v>87</v>
      </c>
      <c r="H5" s="8">
        <f>F5*G5</f>
        <v>400</v>
      </c>
      <c r="I5" t="s" s="0">
        <v>244</v>
      </c>
      <c r="J5" s="8">
        <v>9</v>
      </c>
      <c r="K5" s="8">
        <v>6</v>
      </c>
      <c r="L5" s="8">
        <f t="shared" ref="L5:L6" si="0">IF(OR(I5=0,I5="0"),0,H5)</f>
        <v>400</v>
      </c>
      <c r="M5" s="8">
        <f>ROUND(L5*I5%,2)</f>
        <v>24</v>
      </c>
      <c r="N5" s="8">
        <f>H5-M5</f>
        <v>376</v>
      </c>
      <c r="O5" s="8">
        <f>ROUND(N5*J5%,2)</f>
        <v>33.84</v>
      </c>
      <c r="P5" s="8">
        <f>ROUND(N5-O5,2)</f>
        <v>342.16</v>
      </c>
      <c r="Q5" s="8">
        <f>ROUND(P5*K5%,2)</f>
        <v>20.53</v>
      </c>
      <c r="R5" s="8">
        <f>M5+O5+Q5</f>
        <v>78.37</v>
      </c>
      <c r="S5" s="8">
        <f>(H5-R5)</f>
        <v>321.63</v>
      </c>
      <c r="T5" s="8">
        <v>88363222</v>
      </c>
      <c r="U5" s="8">
        <v>18</v>
      </c>
      <c r="V5" s="8">
        <f>IF(OR(PoToMRVWOIpRc!$C$2=1,PoToMRVWOIpRc!$C$2=4),ROUND((((S5*U5)/100)/2),2),0)</f>
        <v>0</v>
      </c>
      <c r="W5" s="8">
        <f>IF(PoToMRVWOIpRc!$C$2=1,ROUND((((S5*U5)/100)/2),2),0)</f>
        <v>0</v>
      </c>
      <c r="X5" s="8">
        <f>IF(PoToMRVWOIpRc!$C$2=2,ROUND(((S5*U5)/100),2),0)</f>
        <v>57.89</v>
      </c>
      <c r="Y5" s="8">
        <f>IF(PoToMRVWOIpRc!$C$2=4,ROUND((((S5*U5)/100)/2),2),0)</f>
        <v>0</v>
      </c>
      <c r="Z5" s="8">
        <v>0</v>
      </c>
      <c r="AA5" s="8">
        <f>IF(PoToMRVWOIpRc!$C3=3,0,(S5*Z5)/100)</f>
        <v>0</v>
      </c>
      <c r="AB5" s="8">
        <f>V5+W5+X5+Y5+AA5</f>
        <v>57.89</v>
      </c>
      <c r="AC5" s="8">
        <f>IF(PoToMRVWOIpRc!$V3=1,S5+AB5,S5)</f>
        <v>321.63</v>
      </c>
      <c r="AD5" s="31">
        <v>120</v>
      </c>
      <c r="AE5" s="31">
        <f>IF(PoToMRVWOIpRc!$P$2=1,(S5/PoToMRVWOIpRc!$S$7)*PoToMRVWOIpRc!$E$18,AD5/PoToMRVWOIpRc!$AD$7*PoToMRVWOIpRc!$E$18)</f>
        <v>0</v>
      </c>
      <c r="AF5" s="31"/>
      <c r="AG5" s="31">
        <f>IF(PoToMRVWOIpRc!$P$2=1,(S5/PoToMRVWOIpRc!$S$7)*PoToMRVWOIpRc!$E$20,AD5/PoToMRVWOIpRc!$AD$7*PoToMRVWOIpRc!$E$20)</f>
        <v>0</v>
      </c>
      <c r="AH5" s="31">
        <f>IF(PoToMRVWOIpRc!$P$2=1,(S5/PoToMRVWOIpRc!$S$7)*PoToMRVWOIpRc!$E$21,AD5/PoToMRVWOIpRc!$AD$7*PoToMRVWOIpRc!$E$21)</f>
        <v>0</v>
      </c>
      <c r="AI5" s="31">
        <f>S5*PoToMRVWOIpRc!$M$2</f>
        <v>321.63</v>
      </c>
      <c r="AJ5" s="31">
        <f>IF(PoToMRVWOIpRc!$C$2=3,0,AG5+AH5)</f>
        <v>0</v>
      </c>
      <c r="AK5" s="31">
        <f>IF(PoToMRVWOIpRc!$C$2=3,AE5+AG5+AH5,0)</f>
        <v>0</v>
      </c>
      <c r="AL5" s="34">
        <v>1</v>
      </c>
      <c r="AM5" s="31">
        <f>F5/AL5</f>
        <v>4</v>
      </c>
      <c r="AN5" s="31">
        <f>ROUND(AI5/AM5,5)</f>
        <v>80.4075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80.4075</v>
      </c>
      <c r="AS5" s="38" t="s">
        <v>120</v>
      </c>
      <c r="AT5" s="39" t="s">
        <v>76</v>
      </c>
      <c r="AU5" t="s" s="0">
        <v>245</v>
      </c>
      <c r="AV5" t="s" s="0">
        <v>246</v>
      </c>
      <c r="AW5" s="39">
        <f>AM5</f>
        <v>4</v>
      </c>
      <c r="AX5" s="103">
        <f>AR5</f>
        <v>80.4075</v>
      </c>
      <c r="AY5" s="39">
        <f>AU5+AW5</f>
        <v>16</v>
      </c>
      <c r="AZ5" s="103">
        <f>ROUND(((AU5*AV5)+(AW5*AX5))/(AU5+AW5),2)</f>
        <v>80.41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85</v>
      </c>
      <c r="BN5" t="s" s="0">
        <v>85</v>
      </c>
      <c r="BO5" s="39">
        <f>ROUND((((AW5*AZ5)+(BN5*BM5))/(AW5+BN5)),5)</f>
        <v>80.41</v>
      </c>
      <c r="BP5" s="48">
        <f>ROUND(BN5+AW5,3)</f>
        <v>8</v>
      </c>
      <c r="BQ5" s="49">
        <v>123562</v>
      </c>
    </row>
    <row r="6" ht="15.75" spans="1:69">
      <c r="A6" s="7">
        <v>1</v>
      </c>
      <c r="B6" s="7" t="s">
        <v>247</v>
      </c>
      <c r="C6" s="7" t="s">
        <v>247</v>
      </c>
      <c r="D6" s="7" t="s">
        <v>76</v>
      </c>
      <c r="E6" s="7" t="s">
        <v>76</v>
      </c>
      <c r="F6" s="8">
        <v>10</v>
      </c>
      <c r="G6" t="s" s="0">
        <v>77</v>
      </c>
      <c r="H6" s="8">
        <f>F6*G6</f>
        <v>1500</v>
      </c>
      <c r="I6" t="s" s="0">
        <v>248</v>
      </c>
      <c r="J6" s="8">
        <v>7</v>
      </c>
      <c r="K6" s="8">
        <v>4</v>
      </c>
      <c r="L6" s="8">
        <f t="shared" si="0"/>
        <v>1500</v>
      </c>
      <c r="M6" s="8">
        <f>ROUND(L6*I6%,2)</f>
        <v>105</v>
      </c>
      <c r="N6" s="8">
        <f>H6-M6</f>
        <v>1395</v>
      </c>
      <c r="O6" s="8">
        <f>ROUND(N6*J6%,2)</f>
        <v>97.65</v>
      </c>
      <c r="P6" s="8">
        <f>ROUND(N6-O6,2)</f>
        <v>1297.35</v>
      </c>
      <c r="Q6" s="8">
        <f>ROUND(P6*K6%,2)</f>
        <v>51.89</v>
      </c>
      <c r="R6" s="8">
        <f>M6+O6+Q6</f>
        <v>254.54</v>
      </c>
      <c r="S6" s="8">
        <f>(H6-R6)</f>
        <v>1245.46</v>
      </c>
      <c r="T6" s="8">
        <v>88363222</v>
      </c>
      <c r="U6" s="8">
        <v>18</v>
      </c>
      <c r="V6" s="8">
        <f>IF(OR(PoToMRVWOIpRc!$C$2=1,PoToMRVWOIpRc!$C$2=4),ROUND((((S6*U6)/100)/2),2),0)</f>
        <v>0</v>
      </c>
      <c r="W6" s="8">
        <f>IF(PoToMRVWOIpRc!$C$2=1,ROUND((((S6*U6)/100)/2),2),0)</f>
        <v>0</v>
      </c>
      <c r="X6" s="8">
        <f>IF(PoToMRVWOIpRc!$C$2=2,ROUND(((S6*U6)/100),2),0)</f>
        <v>224.18</v>
      </c>
      <c r="Y6" s="8">
        <f>IF(PoToMRVWOIpRc!$C$2=4,ROUND((((S6*U6)/100)/2),2),0)</f>
        <v>0</v>
      </c>
      <c r="Z6" s="8">
        <v>0</v>
      </c>
      <c r="AA6" s="8">
        <f>IF(PoToMRVWOIpRc!$C4=3,0,(S6*Z6)/100)</f>
        <v>0</v>
      </c>
      <c r="AB6" s="8">
        <f>V6+W6+X6+Y6+AA6</f>
        <v>224.18</v>
      </c>
      <c r="AC6" s="8">
        <f>IF(PoToMRVWOIpRc!$V4=1,S6+AB6,S6)</f>
        <v>1245.46</v>
      </c>
      <c r="AD6" s="31">
        <v>120</v>
      </c>
      <c r="AE6" s="31">
        <f>IF(PoToMRVWOIpRc!$P$2=1,(S6/PoToMRVWOIpRc!$S$7)*PoToMRVWOIpRc!$E$18,AD6/PoToMRVWOIpRc!$AD$7*PoToMRVWOIpRc!$E$18)</f>
        <v>0</v>
      </c>
      <c r="AF6" s="31"/>
      <c r="AG6" s="31">
        <f>IF(PoToMRVWOIpRc!$P$2=1,(S6/PoToMRVWOIpRc!$S$7)*PoToMRVWOIpRc!$E$20,AD6/PoToMRVWOIpRc!$AD$7*PoToMRVWOIpRc!$E$20)</f>
        <v>0</v>
      </c>
      <c r="AH6" s="31">
        <f>IF(PoToMRVWOIpRc!$P$2=1,(S6/PoToMRVWOIpRc!$S$7)*PoToMRVWOIpRc!$E$21,AD6/PoToMRVWOIpRc!$AD$7*PoToMRVWOIpRc!$E$21)</f>
        <v>0</v>
      </c>
      <c r="AI6" s="31">
        <f>S6*PoToMRVWOIpRc!$M$2</f>
        <v>1245.46</v>
      </c>
      <c r="AJ6" s="31">
        <f>IF(PoToMRVWOIpRc!$C$2=3,0,AG6+AH6)</f>
        <v>0</v>
      </c>
      <c r="AK6" s="31">
        <f>IF(PoToMRVWOIpRc!$C$2=3,AE6+AG6+AH6,0)</f>
        <v>0</v>
      </c>
      <c r="AL6" s="34">
        <v>1</v>
      </c>
      <c r="AM6" s="31">
        <f>F6/AL6</f>
        <v>10</v>
      </c>
      <c r="AN6" s="31">
        <f>ROUND(AI6/AM6,5)</f>
        <v>124.546</v>
      </c>
      <c r="AO6" s="31">
        <f>AJ6/AM6</f>
        <v>0</v>
      </c>
      <c r="AP6" s="31">
        <f>AK6/AM6</f>
        <v>0</v>
      </c>
      <c r="AQ6" s="31" t="s">
        <v>76</v>
      </c>
      <c r="AR6" s="31">
        <f>ROUND(AN6+AO6+AP6,5)</f>
        <v>124.546</v>
      </c>
      <c r="AS6" s="38" t="s">
        <v>120</v>
      </c>
      <c r="AT6" s="39" t="s">
        <v>76</v>
      </c>
      <c r="AU6" t="s" s="0">
        <v>249</v>
      </c>
      <c r="AV6" t="s" s="0">
        <v>250</v>
      </c>
      <c r="AW6" s="39">
        <f>AM6</f>
        <v>10</v>
      </c>
      <c r="AX6" s="39">
        <f>AR6</f>
        <v>124.546</v>
      </c>
      <c r="AY6" s="39">
        <f>AU6+AW6</f>
        <v>40</v>
      </c>
      <c r="AZ6" s="39">
        <f>ROUND(((AU6*AV6)+(AW6*AX6))/(AU6+AW6),3)</f>
        <v>124.545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85</v>
      </c>
      <c r="BN6" t="s" s="0">
        <v>85</v>
      </c>
      <c r="BO6" s="39">
        <f>ROUND((((AW6*AZ6)+(BN6*BM6))/(AW6+BN6)),5)</f>
        <v>124.545</v>
      </c>
      <c r="BP6" s="48">
        <f>ROUND(BN6+AW6,3)</f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">SUM(R4:R4)</f>
        <v>42.43</v>
      </c>
      <c r="S7" s="13">
        <f t="shared" si="1"/>
        <v>207.57</v>
      </c>
      <c r="T7" s="26"/>
      <c r="U7" s="26"/>
      <c r="V7" s="27">
        <f t="shared" si="1"/>
        <v>0</v>
      </c>
      <c r="W7" s="27">
        <f t="shared" si="1"/>
        <v>0</v>
      </c>
      <c r="X7" s="27">
        <f t="shared" si="1"/>
        <v>37.36</v>
      </c>
      <c r="Y7" s="27"/>
      <c r="Z7" s="27"/>
      <c r="AA7" s="27"/>
      <c r="AB7" s="26">
        <f>SUM(AB4:AB4)</f>
        <v>37.36</v>
      </c>
      <c r="AC7" s="32">
        <f>SUM(AC4:AC4)</f>
        <v>244.93</v>
      </c>
      <c r="AD7" s="33">
        <f>SUM(AD4:AD4)</f>
        <v>120</v>
      </c>
      <c r="AE7" s="33">
        <f>SUM(AE4:AE4)</f>
        <v>0</v>
      </c>
      <c r="AF7" s="32"/>
      <c r="AG7" s="33">
        <f t="shared" ref="AG7:AK7" si="2">SUM(AG4:AG4)</f>
        <v>0</v>
      </c>
      <c r="AH7" s="33">
        <f>IF($P$2=1,(S7/$S$7)*$E$21,AD7/$AD$7*$E$21)</f>
        <v>0</v>
      </c>
      <c r="AI7" s="33">
        <f t="shared" si="2"/>
        <v>207.57</v>
      </c>
      <c r="AJ7" s="33">
        <f t="shared" si="2"/>
        <v>0</v>
      </c>
      <c r="AK7" s="33">
        <f t="shared" si="2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250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42.43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207.57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37.36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244.93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K20" sqref="K20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240</v>
      </c>
      <c r="C4" s="7" t="s">
        <v>240</v>
      </c>
      <c r="D4" s="7" t="s">
        <v>76</v>
      </c>
      <c r="E4" s="7" t="s">
        <v>76</v>
      </c>
      <c r="F4" s="8">
        <v>5</v>
      </c>
      <c r="G4" t="s" s="0">
        <v>199</v>
      </c>
      <c r="H4" s="8">
        <f t="shared" ref="H4:H6" si="0">F4*G4</f>
        <v>250</v>
      </c>
      <c r="I4" t="s" s="0">
        <v>78</v>
      </c>
      <c r="J4" s="8">
        <v>8</v>
      </c>
      <c r="K4" s="8">
        <v>5</v>
      </c>
      <c r="L4" s="8">
        <f t="shared" ref="L4:L6" si="1">IF(OR(I4=0,I4="0"),0,H4)</f>
        <v>250</v>
      </c>
      <c r="M4" s="8">
        <f>ROUND(L4*I4%,3)</f>
        <v>12.5</v>
      </c>
      <c r="N4" s="8">
        <f t="shared" ref="N4:N6" si="2">H4-M4</f>
        <v>237.5</v>
      </c>
      <c r="O4" s="8">
        <f>ROUND(N4*J4%,3)</f>
        <v>19</v>
      </c>
      <c r="P4" s="8">
        <f t="shared" ref="P4:P6" si="3">ROUND(N4-O4,2)</f>
        <v>218.5</v>
      </c>
      <c r="Q4" s="8">
        <f t="shared" ref="Q4:Q6" si="4">ROUND(P4*K4%,2)</f>
        <v>10.93</v>
      </c>
      <c r="R4" s="31">
        <f>ROUND(M4+O4+Q4,3)</f>
        <v>42.43</v>
      </c>
      <c r="S4" s="31">
        <f t="shared" ref="S4:S6" si="5">(H4-R4)</f>
        <v>207.57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0">
        <f>IF($V2=1,S4+AB4,S4)</f>
        <v>207.57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S4*$M2</f>
        <v>17643.45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7">F4/AL4</f>
        <v>5</v>
      </c>
      <c r="AN4" s="31">
        <f t="shared" ref="AN4:AN6" si="8">ROUND(AI4/AM4,5)</f>
        <v>3528.69</v>
      </c>
      <c r="AO4" s="31">
        <f t="shared" ref="AO4:AO6" si="9">AJ4/AM4</f>
        <v>0</v>
      </c>
      <c r="AP4" s="31">
        <f t="shared" ref="AP4:AP6" si="10">AK4/AM4</f>
        <v>0</v>
      </c>
      <c r="AQ4" s="31" t="s">
        <v>76</v>
      </c>
      <c r="AR4" s="31">
        <f t="shared" ref="AR4:AR6" si="11">ROUND(AN4+AO4+AP4,5)</f>
        <v>3528.69</v>
      </c>
      <c r="AS4" s="38" t="s">
        <v>120</v>
      </c>
      <c r="AT4" s="39" t="s">
        <v>76</v>
      </c>
      <c r="AU4" t="s" s="0">
        <v>251</v>
      </c>
      <c r="AV4" t="s" s="0">
        <v>252</v>
      </c>
      <c r="AW4" s="39">
        <f t="shared" ref="AW4:AW6" si="12">AM4</f>
        <v>5</v>
      </c>
      <c r="AX4" s="103">
        <f t="shared" ref="AX4:AX6" si="13">AR4</f>
        <v>3528.69</v>
      </c>
      <c r="AY4" s="39">
        <f t="shared" ref="AY4:AY6" si="14">AU4+AW4</f>
        <v>20</v>
      </c>
      <c r="AZ4" s="39">
        <f>ROUND(((AU4*AV4)+(AW4*AX4))/(AU4+AW4),3)</f>
        <v>913.309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85</v>
      </c>
      <c r="BN4" t="s" s="0">
        <v>85</v>
      </c>
      <c r="BO4" s="39">
        <f t="shared" ref="BO4:BO6" si="15">ROUND((((AW4*AZ4)+(BN4*BM4))/(AW4+BN4)),5)</f>
        <v>477.412</v>
      </c>
      <c r="BP4" s="48">
        <f t="shared" ref="BP4:BP6" si="16">ROUND(BN4+AW4,3)</f>
        <v>10</v>
      </c>
      <c r="BQ4" s="49">
        <v>123562</v>
      </c>
    </row>
    <row r="5" ht="15.75" spans="1:69">
      <c r="A5" s="7">
        <v>1</v>
      </c>
      <c r="B5" s="7" t="s">
        <v>243</v>
      </c>
      <c r="C5" s="7" t="s">
        <v>243</v>
      </c>
      <c r="D5" s="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244</v>
      </c>
      <c r="J5" s="8">
        <v>9</v>
      </c>
      <c r="K5" s="8">
        <v>6</v>
      </c>
      <c r="L5" s="8">
        <f t="shared" si="1"/>
        <v>400</v>
      </c>
      <c r="M5" s="8">
        <f>ROUND(L5*I5%,2)</f>
        <v>24</v>
      </c>
      <c r="N5" s="8">
        <f t="shared" si="2"/>
        <v>376</v>
      </c>
      <c r="O5" s="8">
        <f>ROUND(N5*J5%,2)</f>
        <v>33.84</v>
      </c>
      <c r="P5" s="8">
        <f t="shared" si="3"/>
        <v>342.16</v>
      </c>
      <c r="Q5" s="8">
        <f t="shared" si="4"/>
        <v>20.53</v>
      </c>
      <c r="R5" s="8">
        <f>M5+O5+Q5</f>
        <v>78.37</v>
      </c>
      <c r="S5" s="8">
        <f t="shared" si="5"/>
        <v>321.63</v>
      </c>
      <c r="T5" s="8">
        <v>88363222</v>
      </c>
      <c r="U5" s="8">
        <v>18</v>
      </c>
      <c r="V5" s="8">
        <f>IF(OR(PoToMRVWOIpRcImp!$C$2=1,PoToMRVWOIpRcImp!$C$2=4),ROUND((((S5*U5)/100)/2),2),0)</f>
        <v>0</v>
      </c>
      <c r="W5" s="8">
        <f>IF(PoToMRVWOIpRcImp!$C$2=1,ROUND((((S5*U5)/100)/2),2),0)</f>
        <v>0</v>
      </c>
      <c r="X5" s="8">
        <f>IF(PoToMRVWOIpRcImp!$C$2=2,ROUND(((S5*U5)/100),2),0)</f>
        <v>0</v>
      </c>
      <c r="Y5" s="8">
        <f>IF(PoToMRVWOIpRcImp!$C$2=4,ROUND((((S5*U5)/100)/2),2),0)</f>
        <v>0</v>
      </c>
      <c r="Z5" s="8">
        <v>0</v>
      </c>
      <c r="AA5" s="8">
        <f>IF(PoToMRVWOIpRcImp!$C3=3,0,(S5*Z5)/100)</f>
        <v>0</v>
      </c>
      <c r="AB5" s="8">
        <f t="shared" si="6"/>
        <v>0</v>
      </c>
      <c r="AC5" s="8">
        <f>IF(PoToMRVWOIpRcImp!$V3=1,S5+AB5,S5)</f>
        <v>321.63</v>
      </c>
      <c r="AD5" s="31">
        <v>120</v>
      </c>
      <c r="AE5" s="31">
        <f>IF(PoToMRVWOIpRcImp!$P$2=1,(S5/PoToMRVWOIpRcImp!$S$7)*PoToMRVWOIpRcImp!$E$18,AD5/PoToMRVWOIpRcImp!$AD$7*PoToMRVWOIpRcImp!$E$18)</f>
        <v>0</v>
      </c>
      <c r="AF5" s="31"/>
      <c r="AG5" s="31">
        <f>IF(PoToMRVWOIpRcImp!$P$2=1,(S5/PoToMRVWOIpRcImp!$S$7)*PoToMRVWOIpRcImp!$E$20,AD5/PoToMRVWOIpRcImp!$AD$7*PoToMRVWOIpRcImp!$E$20)</f>
        <v>0</v>
      </c>
      <c r="AH5" s="31">
        <f>IF(PoToMRVWOIpRcImp!$P$2=1,(S5/PoToMRVWOIpRcImp!$S$7)*PoToMRVWOIpRcImp!$E$21,AD5/PoToMRVWOIpRcImp!$AD$7*PoToMRVWOIpRcImp!$E$21)</f>
        <v>0</v>
      </c>
      <c r="AI5" s="31">
        <f>S5*PoToMRVWOIpRcImp!$M$2</f>
        <v>27338.55</v>
      </c>
      <c r="AJ5" s="31">
        <f>IF(PoToMRVWOIpRcImp!$C$2=3,0,AG5+AH5)</f>
        <v>0</v>
      </c>
      <c r="AK5" s="31">
        <f>IF(PoToMRVWOIpRcImp!$C$2=3,AE5+AG5+AH5,0)</f>
        <v>0</v>
      </c>
      <c r="AL5" s="34">
        <v>1</v>
      </c>
      <c r="AM5" s="31">
        <f t="shared" si="7"/>
        <v>4</v>
      </c>
      <c r="AN5" s="31">
        <f t="shared" si="8"/>
        <v>6834.6375</v>
      </c>
      <c r="AO5" s="31">
        <f t="shared" si="9"/>
        <v>0</v>
      </c>
      <c r="AP5" s="31">
        <f t="shared" si="10"/>
        <v>0</v>
      </c>
      <c r="AQ5" s="31" t="s">
        <v>76</v>
      </c>
      <c r="AR5" s="31">
        <f t="shared" si="11"/>
        <v>6834.6375</v>
      </c>
      <c r="AS5" s="38" t="s">
        <v>120</v>
      </c>
      <c r="AT5" s="39" t="s">
        <v>76</v>
      </c>
      <c r="AU5" t="s" s="0">
        <v>253</v>
      </c>
      <c r="AV5" t="s" s="0">
        <v>254</v>
      </c>
      <c r="AW5" s="39">
        <f t="shared" si="12"/>
        <v>4</v>
      </c>
      <c r="AX5" s="103">
        <f t="shared" si="13"/>
        <v>6834.6375</v>
      </c>
      <c r="AY5" s="39">
        <f t="shared" si="14"/>
        <v>16</v>
      </c>
      <c r="AZ5" s="103">
        <f>ROUND(((AU5*AV5)+(AW5*AX5))/(AU5+AW5),2)</f>
        <v>1768.97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85</v>
      </c>
      <c r="BN5" t="s" s="0">
        <v>85</v>
      </c>
      <c r="BO5" s="39">
        <f t="shared" si="15"/>
        <v>924.69</v>
      </c>
      <c r="BP5" s="48">
        <f t="shared" si="16"/>
        <v>8</v>
      </c>
      <c r="BQ5" s="49">
        <v>123562</v>
      </c>
    </row>
    <row r="6" ht="15.75" spans="1:69">
      <c r="A6" s="7">
        <v>1</v>
      </c>
      <c r="B6" s="7" t="s">
        <v>247</v>
      </c>
      <c r="C6" s="7" t="s">
        <v>247</v>
      </c>
      <c r="D6" s="7" t="s">
        <v>76</v>
      </c>
      <c r="E6" s="7" t="s">
        <v>76</v>
      </c>
      <c r="F6" s="8">
        <v>10</v>
      </c>
      <c r="G6" t="s" s="0">
        <v>77</v>
      </c>
      <c r="H6" s="8">
        <f t="shared" si="0"/>
        <v>1500</v>
      </c>
      <c r="I6" t="s" s="0">
        <v>248</v>
      </c>
      <c r="J6" s="8">
        <v>7</v>
      </c>
      <c r="K6" s="8">
        <v>4</v>
      </c>
      <c r="L6" s="8">
        <f t="shared" si="1"/>
        <v>1500</v>
      </c>
      <c r="M6" s="8">
        <f>ROUND(L6*I6%,2)</f>
        <v>105</v>
      </c>
      <c r="N6" s="8">
        <f t="shared" si="2"/>
        <v>1395</v>
      </c>
      <c r="O6" s="8">
        <f>ROUND(N6*J6%,2)</f>
        <v>97.65</v>
      </c>
      <c r="P6" s="8">
        <f t="shared" si="3"/>
        <v>1297.35</v>
      </c>
      <c r="Q6" s="8">
        <f t="shared" si="4"/>
        <v>51.89</v>
      </c>
      <c r="R6" s="8">
        <f>M6+O6+Q6</f>
        <v>254.54</v>
      </c>
      <c r="S6" s="8">
        <f t="shared" si="5"/>
        <v>1245.46</v>
      </c>
      <c r="T6" s="8">
        <v>88363222</v>
      </c>
      <c r="U6" s="8">
        <v>18</v>
      </c>
      <c r="V6" s="8">
        <f>IF(OR(PoToMRVWOIpRcImp!$C$2=1,PoToMRVWOIpRcImp!$C$2=4),ROUND((((S6*U6)/100)/2),2),0)</f>
        <v>0</v>
      </c>
      <c r="W6" s="8">
        <f>IF(PoToMRVWOIpRcImp!$C$2=1,ROUND((((S6*U6)/100)/2),2),0)</f>
        <v>0</v>
      </c>
      <c r="X6" s="8">
        <f>IF(PoToMRVWOIpRcImp!$C$2=2,ROUND(((S6*U6)/100),2),0)</f>
        <v>0</v>
      </c>
      <c r="Y6" s="8">
        <f>IF(PoToMRVWOIpRcImp!$C$2=4,ROUND((((S6*U6)/100)/2),2),0)</f>
        <v>0</v>
      </c>
      <c r="Z6" s="8">
        <v>0</v>
      </c>
      <c r="AA6" s="8">
        <f>IF(PoToMRVWOIpRcImp!$C4=3,0,(S6*Z6)/100)</f>
        <v>0</v>
      </c>
      <c r="AB6" s="8">
        <f t="shared" si="6"/>
        <v>0</v>
      </c>
      <c r="AC6" s="8">
        <f>IF(PoToMRVWOIpRcImp!$V4=1,S6+AB6,S6)</f>
        <v>1245.46</v>
      </c>
      <c r="AD6" s="31">
        <v>120</v>
      </c>
      <c r="AE6" s="31">
        <f>IF(PoToMRVWOIpRcImp!$P$2=1,(S6/PoToMRVWOIpRcImp!$S$7)*PoToMRVWOIpRcImp!$E$18,AD6/PoToMRVWOIpRcImp!$AD$7*PoToMRVWOIpRcImp!$E$18)</f>
        <v>0</v>
      </c>
      <c r="AF6" s="31"/>
      <c r="AG6" s="31">
        <f>IF(PoToMRVWOIpRcImp!$P$2=1,(S6/PoToMRVWOIpRcImp!$S$7)*PoToMRVWOIpRcImp!$E$20,AD6/PoToMRVWOIpRcImp!$AD$7*PoToMRVWOIpRcImp!$E$20)</f>
        <v>0</v>
      </c>
      <c r="AH6" s="31">
        <f>IF(PoToMRVWOIpRcImp!$P$2=1,(S6/PoToMRVWOIpRcImp!$S$7)*PoToMRVWOIpRcImp!$E$21,AD6/PoToMRVWOIpRcImp!$AD$7*PoToMRVWOIpRcImp!$E$21)</f>
        <v>0</v>
      </c>
      <c r="AI6" s="31">
        <f>S6*PoToMRVWOIpRcImp!$M$2</f>
        <v>105864.1</v>
      </c>
      <c r="AJ6" s="31">
        <f>IF(PoToMRVWOIpRcImp!$C$2=3,0,AG6+AH6)</f>
        <v>0</v>
      </c>
      <c r="AK6" s="31">
        <f>IF(PoToMRVWOIpRcImp!$C$2=3,AE6+AG6+AH6,0)</f>
        <v>0</v>
      </c>
      <c r="AL6" s="34">
        <v>1</v>
      </c>
      <c r="AM6" s="31">
        <f t="shared" si="7"/>
        <v>10</v>
      </c>
      <c r="AN6" s="31">
        <f t="shared" si="8"/>
        <v>10586.41</v>
      </c>
      <c r="AO6" s="31">
        <f t="shared" si="9"/>
        <v>0</v>
      </c>
      <c r="AP6" s="31">
        <f t="shared" si="10"/>
        <v>0</v>
      </c>
      <c r="AQ6" s="31" t="s">
        <v>76</v>
      </c>
      <c r="AR6" s="31">
        <f t="shared" si="11"/>
        <v>10586.41</v>
      </c>
      <c r="AS6" s="38" t="s">
        <v>120</v>
      </c>
      <c r="AT6" s="39" t="s">
        <v>76</v>
      </c>
      <c r="AU6" t="s" s="0">
        <v>77</v>
      </c>
      <c r="AV6" t="s" s="0">
        <v>255</v>
      </c>
      <c r="AW6" s="39">
        <f t="shared" si="12"/>
        <v>10</v>
      </c>
      <c r="AX6" s="39">
        <f t="shared" si="13"/>
        <v>10586.41</v>
      </c>
      <c r="AY6" s="39">
        <f t="shared" si="14"/>
        <v>40</v>
      </c>
      <c r="AZ6" s="39">
        <f>ROUND(((AU6*AV6)+(AW6*AX6))/(AU6+AW6),3)</f>
        <v>2740.011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85</v>
      </c>
      <c r="BN6" t="s" s="0">
        <v>85</v>
      </c>
      <c r="BO6" s="39">
        <f t="shared" si="15"/>
        <v>1432.278</v>
      </c>
      <c r="BP6" s="48">
        <f t="shared" si="16"/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42.43</v>
      </c>
      <c r="S7" s="13">
        <f t="shared" si="17"/>
        <v>207.57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0</v>
      </c>
      <c r="Y7" s="27"/>
      <c r="Z7" s="27"/>
      <c r="AA7" s="27"/>
      <c r="AB7" s="26">
        <f t="shared" ref="AB7:AE7" si="18">SUM(AB4:AB4)</f>
        <v>0</v>
      </c>
      <c r="AC7" s="32">
        <f t="shared" si="18"/>
        <v>207.57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17643.45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250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42.43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207.57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207.57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J5" sqref="J5"/>
    </sheetView>
  </sheetViews>
  <sheetFormatPr defaultColWidth="8.84761904761905" defaultRowHeight="15"/>
  <cols>
    <col min="2" max="2" customWidth="true" width="28.0"/>
    <col min="3" max="3" customWidth="true" width="24.1428571428571"/>
    <col min="12" max="12" customWidth="true" width="13.2190476190476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256</v>
      </c>
      <c r="C4" s="7" t="s">
        <v>256</v>
      </c>
      <c r="D4" s="7" t="s">
        <v>76</v>
      </c>
      <c r="E4" s="7" t="s">
        <v>76</v>
      </c>
      <c r="F4" s="8">
        <v>5</v>
      </c>
      <c r="G4" s="0">
        <v>50</v>
      </c>
      <c r="H4" s="8">
        <f>F4*G4</f>
        <v>250</v>
      </c>
      <c r="I4" s="0">
        <v>5</v>
      </c>
      <c r="J4" s="8">
        <v>10</v>
      </c>
      <c r="K4" s="8">
        <v>10</v>
      </c>
      <c r="L4" s="8">
        <f>IF(OR(I4=0,I4="0"),0,H4)</f>
        <v>250</v>
      </c>
      <c r="M4" s="8">
        <f>ROUND(L4*I4%,3)</f>
        <v>12.5</v>
      </c>
      <c r="N4" s="8">
        <f>IF(OR(I4=0,I4="0"),0,H4-M4)</f>
        <v>237.5</v>
      </c>
      <c r="O4" s="8">
        <f>ROUND(N4*J4%,3)</f>
        <v>23.75</v>
      </c>
      <c r="P4" s="8">
        <f>ROUND(N4-O4,2)</f>
        <v>213.75</v>
      </c>
      <c r="Q4" s="8">
        <f>ROUND(P4*K4%,2)</f>
        <v>21.38</v>
      </c>
      <c r="R4" s="31">
        <f>ROUND(M4+O4+Q4,3)</f>
        <v>57.63</v>
      </c>
      <c r="S4" s="8">
        <f>(H4-R4)</f>
        <v>192.37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34.63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34.63</v>
      </c>
      <c r="AC4" s="30">
        <f>IF($V2=1,S4+AB4,S4)</f>
        <v>227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192.37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>F4/AL4</f>
        <v>1.66666666666667</v>
      </c>
      <c r="AN4" s="31">
        <f>ROUND(AI4/AM4,5)</f>
        <v>115.422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115.422</v>
      </c>
      <c r="AS4" s="38" t="s">
        <v>79</v>
      </c>
      <c r="AT4" s="39" t="s">
        <v>76</v>
      </c>
      <c r="AU4" t="s" s="0">
        <v>78</v>
      </c>
      <c r="AV4" t="s" s="0">
        <v>112</v>
      </c>
      <c r="AW4" s="39">
        <f>AM4</f>
        <v>1.66666666666667</v>
      </c>
      <c r="AX4" s="103">
        <f>AR4</f>
        <v>115.422</v>
      </c>
      <c r="AY4" s="39">
        <f>AU4+AW4</f>
        <v>6.66666666666667</v>
      </c>
      <c r="AZ4" s="39">
        <f>ROUND(((AU4*AV4)+(AW4*AX4))/(AU4+AW4),5)</f>
        <v>135.7305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85</v>
      </c>
      <c r="BN4" t="s" s="0">
        <v>85</v>
      </c>
      <c r="BO4" s="39">
        <f>ROUND((((AW4*AZ4)+(BN4*BM4))/(AW4+BN4)),5)</f>
        <v>135.7305</v>
      </c>
      <c r="BP4" s="48">
        <f>ROUND(BN4+AW4,3)</f>
        <v>1.667</v>
      </c>
      <c r="BQ4" s="49">
        <v>123562</v>
      </c>
    </row>
    <row r="5" ht="15.75" spans="1:69">
      <c r="A5" s="7">
        <v>1</v>
      </c>
      <c r="B5" s="7" t="s">
        <v>257</v>
      </c>
      <c r="C5" s="7" t="s">
        <v>257</v>
      </c>
      <c r="D5" s="7" t="s">
        <v>76</v>
      </c>
      <c r="E5" s="7" t="s">
        <v>76</v>
      </c>
      <c r="F5" s="8">
        <v>15</v>
      </c>
      <c r="G5" s="0">
        <v>100</v>
      </c>
      <c r="H5" s="8">
        <f>F5*G5</f>
        <v>1500</v>
      </c>
      <c r="I5" s="0">
        <v>6</v>
      </c>
      <c r="J5" s="8">
        <v>8</v>
      </c>
      <c r="K5" s="8">
        <v>4</v>
      </c>
      <c r="L5" s="8">
        <f t="shared" ref="L5" si="0">IF(OR(I5=0,I5="0"),0,H5)</f>
        <v>1500</v>
      </c>
      <c r="M5" s="8">
        <f>ROUND(L5*I5%,2)</f>
        <v>90</v>
      </c>
      <c r="N5" s="8">
        <f>IF(OR(I5=0,I5="0"),0,H5-M5)</f>
        <v>1410</v>
      </c>
      <c r="O5" s="8">
        <f>ROUND(N5*J5%,2)</f>
        <v>112.8</v>
      </c>
      <c r="P5" s="8">
        <f>ROUND(N5-O5,2)</f>
        <v>1297.2</v>
      </c>
      <c r="Q5" s="8">
        <f>ROUND(P5*K5%,2)</f>
        <v>51.89</v>
      </c>
      <c r="R5" s="8">
        <f>M5+O5+Q5</f>
        <v>254.69</v>
      </c>
      <c r="S5" s="8">
        <f>(H5-R5)</f>
        <v>1245.31</v>
      </c>
      <c r="T5" s="8">
        <v>88363222</v>
      </c>
      <c r="U5" s="8">
        <v>18</v>
      </c>
      <c r="V5" s="8">
        <f>IF(OR(StPoToMRVWOIpDU!$C$2=1,StPoToMRVWOIpDU!$C$2=4),ROUND((((S5*U5)/100)/2),2),0)</f>
        <v>0</v>
      </c>
      <c r="W5" s="8">
        <f>IF(StPoToMRVWOIpDU!$C$2=1,ROUND((((S5*U5)/100)/2),2),0)</f>
        <v>0</v>
      </c>
      <c r="X5" s="8">
        <f>IF(StPoToMRVWOIpDU!$C$2=2,ROUND(((S5*U5)/100),2),0)</f>
        <v>224.16</v>
      </c>
      <c r="Y5" s="8">
        <f>IF(StPoToMRVWOIpDU!$C$2=4,ROUND((((S5*U5)/100)/2),2),0)</f>
        <v>0</v>
      </c>
      <c r="Z5" s="8">
        <v>0</v>
      </c>
      <c r="AA5" s="8">
        <f>IF(StPoToMRVWOIpDU!$C3=3,0,(S5*Z5)/100)</f>
        <v>0</v>
      </c>
      <c r="AB5" s="8">
        <f>V5+W5+X5+Y5+AA5</f>
        <v>224.16</v>
      </c>
      <c r="AC5" s="8">
        <f>IF(StPoToMRVWOIpDU!$V3=1,S5+AB5,S5)</f>
        <v>1245.31</v>
      </c>
      <c r="AD5" s="31">
        <v>120</v>
      </c>
      <c r="AE5" s="31">
        <f>IF(StPoToMRVWOIpDU!$P$2=1,(S5/StPoToMRVWOIpDU!$S$6)*StPoToMRVWOIpDU!$E$17,AD5/StPoToMRVWOIpDU!$AD$6*StPoToMRVWOIpDU!$E$17)</f>
        <v>0</v>
      </c>
      <c r="AF5" s="31"/>
      <c r="AG5" s="31">
        <f>IF(StPoToMRVWOIpDU!$P$2=1,(S5/StPoToMRVWOIpDU!$S$6)*StPoToMRVWOIpDU!$E$19,AD5/StPoToMRVWOIpDU!$AD$6*StPoToMRVWOIpDU!$E$19)</f>
        <v>0</v>
      </c>
      <c r="AH5" s="31">
        <f>IF(StPoToMRVWOIpDU!$P$2=1,(S5/StPoToMRVWOIpDU!$S$6)*StPoToMRVWOIpDU!$E$20,AD5/StPoToMRVWOIpDU!$AD$6*StPoToMRVWOIpDU!$E$20)</f>
        <v>0</v>
      </c>
      <c r="AI5" s="31">
        <f>S5*StPoToMRVWOIpDU!$M$2</f>
        <v>1245.31</v>
      </c>
      <c r="AJ5" s="31">
        <f>IF(StPoToMRVWOIpDU!$C$2=3,0,AG5+AH5)</f>
        <v>0</v>
      </c>
      <c r="AK5" s="31">
        <f>IF(StPoToMRVWOIpDU!$C$2=3,AE5+AG5+AH5,0)</f>
        <v>0</v>
      </c>
      <c r="AL5" s="34">
        <v>3</v>
      </c>
      <c r="AM5" s="31">
        <f>F5/AL5</f>
        <v>5</v>
      </c>
      <c r="AN5" s="31">
        <f>ROUND(AI5/AM5,5)</f>
        <v>249.062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249.062</v>
      </c>
      <c r="AS5" s="38" t="s">
        <v>79</v>
      </c>
      <c r="AT5" s="39" t="s">
        <v>76</v>
      </c>
      <c r="AU5" t="s" s="0">
        <v>78</v>
      </c>
      <c r="AV5" t="s" s="0">
        <v>258</v>
      </c>
      <c r="AW5" s="39">
        <f>AM5</f>
        <v>5</v>
      </c>
      <c r="AX5" s="103">
        <f>AR5</f>
        <v>249.062</v>
      </c>
      <c r="AY5" s="39">
        <f>AU5+AW5</f>
        <v>5</v>
      </c>
      <c r="AZ5" s="39">
        <f>ROUND(((AU5*AV5)+(AW5*AX5))/(AU5+AW5),5)</f>
        <v>265.531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85</v>
      </c>
      <c r="BN5" t="s" s="0">
        <v>85</v>
      </c>
      <c r="BO5" s="39">
        <f>ROUND((((AW5*AZ5)+(BN5*BM5))/(AW5+BN5)),5)</f>
        <v>265.531</v>
      </c>
      <c r="BP5" s="48">
        <f>ROUND(BN5+AW5,3)</f>
        <v>5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250</v>
      </c>
      <c r="I6" s="7"/>
      <c r="J6" s="7"/>
      <c r="K6" s="7"/>
      <c r="L6" s="7"/>
      <c r="M6" s="7"/>
      <c r="N6" s="7"/>
      <c r="O6" s="7"/>
      <c r="P6" s="7"/>
      <c r="Q6" s="7"/>
      <c r="R6" s="26">
        <f>SUM(R4:R4)</f>
        <v>57.63</v>
      </c>
      <c r="S6" s="13">
        <f>SUM(S4:S4)</f>
        <v>192.37</v>
      </c>
      <c r="T6" s="26"/>
      <c r="U6" s="26"/>
      <c r="V6" s="27">
        <f>SUM(V4:V4)</f>
        <v>0</v>
      </c>
      <c r="W6" s="27">
        <f>SUM(W4:W4)</f>
        <v>0</v>
      </c>
      <c r="X6" s="27">
        <f>SUM(X4:X4)</f>
        <v>34.63</v>
      </c>
      <c r="Y6" s="27"/>
      <c r="Z6" s="27"/>
      <c r="AA6" s="27"/>
      <c r="AB6" s="26">
        <f>SUM(AB4:AB4)</f>
        <v>34.63</v>
      </c>
      <c r="AC6" s="32">
        <f>SUM(AC4:AC4)</f>
        <v>227</v>
      </c>
      <c r="AD6" s="33">
        <f>SUM(AD4:AD4)</f>
        <v>120</v>
      </c>
      <c r="AE6" s="33">
        <f>SUM(AE4:AE4)</f>
        <v>0</v>
      </c>
      <c r="AF6" s="32"/>
      <c r="AG6" s="33">
        <f>SUM(AG4:AG4)</f>
        <v>0</v>
      </c>
      <c r="AH6" s="33">
        <f>IF($P$2=1,(S6/$S$6)*$E$20,AD6/$AD$6*$E$20)</f>
        <v>0</v>
      </c>
      <c r="AI6" s="33">
        <f>SUM(AI4:AI4)</f>
        <v>192.37</v>
      </c>
      <c r="AJ6" s="33">
        <f>SUM(AJ4:AJ4)</f>
        <v>0</v>
      </c>
      <c r="AK6" s="33">
        <f>SUM(AK4:AK4)</f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250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57.63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192.37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34.63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227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C24" sqref="C24"/>
    </sheetView>
  </sheetViews>
  <sheetFormatPr defaultColWidth="8.84761904761905" defaultRowHeight="15"/>
  <cols>
    <col min="2" max="2" customWidth="true" width="28.0"/>
    <col min="3" max="3" customWidth="true" width="24.1428571428571"/>
    <col min="12" max="12" customWidth="true" width="13.2190476190476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259</v>
      </c>
      <c r="C4" s="7" t="s">
        <v>259</v>
      </c>
      <c r="D4" s="7" t="s">
        <v>76</v>
      </c>
      <c r="E4" s="7" t="s">
        <v>76</v>
      </c>
      <c r="F4" s="8">
        <v>5</v>
      </c>
      <c r="G4" s="0">
        <v>150</v>
      </c>
      <c r="H4" s="8">
        <f>F4*G4</f>
        <v>750</v>
      </c>
      <c r="I4" s="0">
        <v>5</v>
      </c>
      <c r="J4" s="8">
        <v>10</v>
      </c>
      <c r="K4" s="8">
        <v>10</v>
      </c>
      <c r="L4" s="8">
        <f>IF(OR(I4=0,I4="0"),0,H4)</f>
        <v>750</v>
      </c>
      <c r="M4" s="8">
        <f>ROUND(L4*I4%,3)</f>
        <v>37.5</v>
      </c>
      <c r="N4" s="8">
        <f>IF(OR(I4=0,I4="0"),0,H4-M4)</f>
        <v>712.5</v>
      </c>
      <c r="O4" s="8">
        <f>ROUND(N4*J4%,3)</f>
        <v>71.25</v>
      </c>
      <c r="P4" s="8">
        <f>ROUND(N4-O4,2)</f>
        <v>641.25</v>
      </c>
      <c r="Q4" s="8">
        <f>ROUND(P4*K4%,2)</f>
        <v>64.13</v>
      </c>
      <c r="R4" s="31">
        <f>ROUND(M4+O4+Q4,3)</f>
        <v>172.88</v>
      </c>
      <c r="S4" s="8">
        <f>(H4-R4)</f>
        <v>577.12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103.88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103.88</v>
      </c>
      <c r="AC4" s="30">
        <f>IF($V2=1,S4+AB4,S4)</f>
        <v>681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577.12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>F4/AL4</f>
        <v>1.66666666666667</v>
      </c>
      <c r="AN4" s="31">
        <f>ROUND(AI4/AM4,5)</f>
        <v>346.272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346.272</v>
      </c>
      <c r="AS4" s="38" t="s">
        <v>79</v>
      </c>
      <c r="AT4" s="39" t="s">
        <v>76</v>
      </c>
      <c r="AU4" t="s" s="0">
        <v>78</v>
      </c>
      <c r="AV4" t="s" s="0">
        <v>112</v>
      </c>
      <c r="AW4" s="39">
        <f>AM4</f>
        <v>1.66666666666667</v>
      </c>
      <c r="AX4" s="103">
        <f>AR4</f>
        <v>346.272</v>
      </c>
      <c r="AY4" s="39">
        <f>AU4+AW4</f>
        <v>6.66666666666667</v>
      </c>
      <c r="AZ4" s="39">
        <f>ROUND(((AU4*AV4)+(AW4*AX4))/(AU4+AW4),5)</f>
        <v>193.443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85</v>
      </c>
      <c r="BN4" t="s" s="0">
        <v>85</v>
      </c>
      <c r="BO4" s="39">
        <f>ROUND((((AW4*AZ4)+(BN4*BM4))/(AW4+BN4)),5)</f>
        <v>193.443</v>
      </c>
      <c r="BP4" s="48">
        <f>ROUND(BN4+AW4,3)</f>
        <v>1.667</v>
      </c>
      <c r="BQ4" s="49">
        <v>123562</v>
      </c>
    </row>
    <row r="5" ht="15.75" spans="1:69">
      <c r="A5" s="7">
        <v>1</v>
      </c>
      <c r="B5" s="7" t="s">
        <v>260</v>
      </c>
      <c r="C5" s="7" t="s">
        <v>260</v>
      </c>
      <c r="D5" s="7" t="s">
        <v>76</v>
      </c>
      <c r="E5" s="7" t="s">
        <v>76</v>
      </c>
      <c r="F5" s="8">
        <v>15</v>
      </c>
      <c r="G5" s="0">
        <v>100</v>
      </c>
      <c r="H5" s="8">
        <f>F5*G5</f>
        <v>1500</v>
      </c>
      <c r="I5" s="0">
        <v>4</v>
      </c>
      <c r="J5" s="8">
        <v>8</v>
      </c>
      <c r="K5" s="8">
        <v>4</v>
      </c>
      <c r="L5" s="8">
        <f>IF(OR(I5=0,I5="0"),0,H5)</f>
        <v>1500</v>
      </c>
      <c r="M5" s="8">
        <f>ROUND(L5*I5%,2)</f>
        <v>60</v>
      </c>
      <c r="N5" s="8">
        <f>IF(OR(I5=0,I5="0"),0,H5-M5)</f>
        <v>1440</v>
      </c>
      <c r="O5" s="8">
        <f>ROUND(N5*J5%,2)</f>
        <v>115.2</v>
      </c>
      <c r="P5" s="8">
        <f>ROUND(N5-O5,2)</f>
        <v>1324.8</v>
      </c>
      <c r="Q5" s="8">
        <f>ROUND(P5*K5%,2)</f>
        <v>52.99</v>
      </c>
      <c r="R5" s="8">
        <f>M5+O5+Q5</f>
        <v>228.19</v>
      </c>
      <c r="S5" s="8">
        <f>(H5-R5)</f>
        <v>1271.81</v>
      </c>
      <c r="T5" s="8">
        <v>88363222</v>
      </c>
      <c r="U5" s="8">
        <v>18</v>
      </c>
      <c r="V5" s="8">
        <f>IF(OR(StPoToMRVWOIpDURc!$C$2=1,StPoToMRVWOIpDURc!$C$2=4),ROUND((((S5*U5)/100)/2),2),0)</f>
        <v>0</v>
      </c>
      <c r="W5" s="8">
        <f>IF(StPoToMRVWOIpDURc!$C$2=1,ROUND((((S5*U5)/100)/2),2),0)</f>
        <v>0</v>
      </c>
      <c r="X5" s="8">
        <f>IF(StPoToMRVWOIpDURc!$C$2=2,ROUND(((S5*U5)/100),2),0)</f>
        <v>228.93</v>
      </c>
      <c r="Y5" s="8">
        <f>IF(StPoToMRVWOIpDURc!$C$2=4,ROUND((((S5*U5)/100)/2),2),0)</f>
        <v>0</v>
      </c>
      <c r="Z5" s="8">
        <v>0</v>
      </c>
      <c r="AA5" s="8">
        <f>IF(StPoToMRVWOIpDURc!$C3=3,0,(S5*Z5)/100)</f>
        <v>0</v>
      </c>
      <c r="AB5" s="8">
        <f>V5+W5+X5+Y5+AA5</f>
        <v>228.93</v>
      </c>
      <c r="AC5" s="8">
        <f>IF(StPoToMRVWOIpDURc!$V3=1,S5+AB5,S5)</f>
        <v>1271.81</v>
      </c>
      <c r="AD5" s="31">
        <v>120</v>
      </c>
      <c r="AE5" s="31">
        <f>IF(StPoToMRVWOIpDURc!$P$2=1,(S5/StPoToMRVWOIpDURc!$S$6)*StPoToMRVWOIpDURc!$E$17,AD5/StPoToMRVWOIpDURc!$AD$6*StPoToMRVWOIpDURc!$E$17)</f>
        <v>0</v>
      </c>
      <c r="AF5" s="31"/>
      <c r="AG5" s="31">
        <f>IF(StPoToMRVWOIpDURc!$P$2=1,(S5/StPoToMRVWOIpDURc!$S$6)*StPoToMRVWOIpDURc!$E$19,AD5/StPoToMRVWOIpDURc!$AD$6*StPoToMRVWOIpDURc!$E$19)</f>
        <v>0</v>
      </c>
      <c r="AH5" s="31">
        <f>IF(StPoToMRVWOIpDURc!$P$2=1,(S5/StPoToMRVWOIpDURc!$S$6)*StPoToMRVWOIpDURc!$E$20,AD5/StPoToMRVWOIpDURc!$AD$6*StPoToMRVWOIpDURc!$E$20)</f>
        <v>0</v>
      </c>
      <c r="AI5" s="31">
        <f>S5*StPoToMRVWOIpDURc!$M$2</f>
        <v>1271.81</v>
      </c>
      <c r="AJ5" s="31">
        <f>IF(StPoToMRVWOIpDURc!$C$2=3,0,AG5+AH5)</f>
        <v>0</v>
      </c>
      <c r="AK5" s="31">
        <f>IF(StPoToMRVWOIpDURc!$C$2=3,AE5+AG5+AH5,0)</f>
        <v>0</v>
      </c>
      <c r="AL5" s="34">
        <v>3</v>
      </c>
      <c r="AM5" s="31">
        <f>F5/AL5</f>
        <v>5</v>
      </c>
      <c r="AN5" s="31">
        <f>ROUND(AI5/AM5,5)</f>
        <v>254.362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254.362</v>
      </c>
      <c r="AS5" s="38" t="s">
        <v>79</v>
      </c>
      <c r="AT5" s="39" t="s">
        <v>76</v>
      </c>
      <c r="AU5" t="s" s="0">
        <v>78</v>
      </c>
      <c r="AV5" t="s" s="0">
        <v>258</v>
      </c>
      <c r="AW5" s="39">
        <f>AM5</f>
        <v>5</v>
      </c>
      <c r="AX5" s="103">
        <f>AR5</f>
        <v>254.362</v>
      </c>
      <c r="AY5" s="39">
        <f>AU5+AW5</f>
        <v>10</v>
      </c>
      <c r="AZ5" s="39">
        <f>ROUND(((AU5*AV5)+(AW5*AX5))/(AU5+AW5),5)</f>
        <v>268.181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85</v>
      </c>
      <c r="BN5" t="s" s="0">
        <v>85</v>
      </c>
      <c r="BO5" s="39">
        <f>ROUND((((AW5*AZ5)+(BN5*BM5))/(AW5+BN5)),5)</f>
        <v>268.181</v>
      </c>
      <c r="BP5" s="48">
        <f>ROUND(BN5+AW5,3)</f>
        <v>5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750</v>
      </c>
      <c r="I6" s="7"/>
      <c r="J6" s="7"/>
      <c r="K6" s="7"/>
      <c r="L6" s="7"/>
      <c r="M6" s="7"/>
      <c r="N6" s="7"/>
      <c r="O6" s="7"/>
      <c r="P6" s="7"/>
      <c r="Q6" s="7"/>
      <c r="R6" s="26">
        <f t="shared" ref="R6:X6" si="0">SUM(R4:R4)</f>
        <v>172.88</v>
      </c>
      <c r="S6" s="13">
        <f t="shared" si="0"/>
        <v>577.12</v>
      </c>
      <c r="T6" s="26"/>
      <c r="U6" s="26"/>
      <c r="V6" s="27">
        <f t="shared" si="0"/>
        <v>0</v>
      </c>
      <c r="W6" s="27">
        <f t="shared" si="0"/>
        <v>0</v>
      </c>
      <c r="X6" s="27">
        <f t="shared" si="0"/>
        <v>103.88</v>
      </c>
      <c r="Y6" s="27"/>
      <c r="Z6" s="27"/>
      <c r="AA6" s="27"/>
      <c r="AB6" s="26">
        <f t="shared" ref="AB6:AE6" si="1">SUM(AB4:AB4)</f>
        <v>103.88</v>
      </c>
      <c r="AC6" s="32">
        <f t="shared" si="1"/>
        <v>681</v>
      </c>
      <c r="AD6" s="33">
        <f t="shared" si="1"/>
        <v>120</v>
      </c>
      <c r="AE6" s="33">
        <f t="shared" si="1"/>
        <v>0</v>
      </c>
      <c r="AF6" s="32"/>
      <c r="AG6" s="33">
        <f t="shared" ref="AG6:AK6" si="2">SUM(AG4:AG4)</f>
        <v>0</v>
      </c>
      <c r="AH6" s="33">
        <f>IF($P$2=1,(S6/$S$6)*$E$20,AD6/$AD$6*$E$20)</f>
        <v>0</v>
      </c>
      <c r="AI6" s="33">
        <f t="shared" si="2"/>
        <v>577.12</v>
      </c>
      <c r="AJ6" s="33">
        <f t="shared" si="2"/>
        <v>0</v>
      </c>
      <c r="AK6" s="33">
        <f t="shared" si="2"/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750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172.88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577.12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103.88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681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E12" sqref="E12"/>
    </sheetView>
  </sheetViews>
  <sheetFormatPr defaultColWidth="8.84761904761905" defaultRowHeight="15"/>
  <cols>
    <col min="2" max="2" customWidth="true" width="28.0"/>
    <col min="3" max="3" customWidth="true" width="24.1428571428571"/>
    <col min="12" max="12" customWidth="true" width="13.2190476190476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261</v>
      </c>
      <c r="C4" s="7" t="s">
        <v>261</v>
      </c>
      <c r="D4" s="7" t="s">
        <v>76</v>
      </c>
      <c r="E4" s="7" t="s">
        <v>76</v>
      </c>
      <c r="F4" s="8">
        <v>5</v>
      </c>
      <c r="G4" s="0">
        <v>150</v>
      </c>
      <c r="H4" s="8">
        <f>F4*G4</f>
        <v>750</v>
      </c>
      <c r="I4" s="0">
        <v>5</v>
      </c>
      <c r="J4" s="8">
        <v>10</v>
      </c>
      <c r="K4" s="8">
        <v>10</v>
      </c>
      <c r="L4" s="8">
        <f>IF(OR(I4=0,I4="0"),0,H4)</f>
        <v>750</v>
      </c>
      <c r="M4" s="8">
        <f>ROUND(L4*I4%,3)</f>
        <v>37.5</v>
      </c>
      <c r="N4" s="8">
        <f>IF(OR(I4=0,I4="0"),0,H4-M4)</f>
        <v>712.5</v>
      </c>
      <c r="O4" s="8">
        <f>ROUND(N4*J4%,3)</f>
        <v>71.25</v>
      </c>
      <c r="P4" s="8">
        <f>ROUND(N4-O4,2)</f>
        <v>641.25</v>
      </c>
      <c r="Q4" s="8">
        <f>ROUND(P4*K4%,2)</f>
        <v>64.13</v>
      </c>
      <c r="R4" s="31">
        <f>ROUND(M4+O4+Q4,3)</f>
        <v>172.88</v>
      </c>
      <c r="S4" s="8">
        <f>(H4-R4)</f>
        <v>577.12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103.88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103.88</v>
      </c>
      <c r="AC4" s="30">
        <f>IF($V2=1,S4+AB4,S4)</f>
        <v>681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577.12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>F4/AL4</f>
        <v>1.66666666666667</v>
      </c>
      <c r="AN4" s="31">
        <f>ROUND(AI4/AM4,5)</f>
        <v>346.272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346.272</v>
      </c>
      <c r="AS4" s="38" t="s">
        <v>79</v>
      </c>
      <c r="AT4" s="39" t="s">
        <v>76</v>
      </c>
      <c r="AW4" s="39">
        <f>AM4</f>
        <v>1.66666666666667</v>
      </c>
      <c r="AX4" s="103">
        <f>AR4</f>
        <v>346.272</v>
      </c>
      <c r="AY4" s="39">
        <f>AU4+AW4</f>
        <v>6.66666666666667</v>
      </c>
      <c r="AZ4" s="39">
        <f>ROUND(((AU4*AV4)+(AW4*AX4))/(AU4+AW4),5)</f>
        <v>193.443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85</v>
      </c>
      <c r="BN4" t="s" s="0">
        <v>85</v>
      </c>
      <c r="BO4" s="39">
        <f>ROUND((((AW4*AZ4)+(BN4*BM4))/(AW4+BN4)),5)</f>
        <v>193.443</v>
      </c>
      <c r="BP4" s="48">
        <f>ROUND(BN4+AW4,3)</f>
        <v>1.667</v>
      </c>
      <c r="BQ4" s="49">
        <v>123562</v>
      </c>
    </row>
    <row r="5" ht="15.75" spans="1:69">
      <c r="A5" s="7">
        <v>1</v>
      </c>
      <c r="B5" s="7" t="s">
        <v>262</v>
      </c>
      <c r="C5" s="7" t="s">
        <v>262</v>
      </c>
      <c r="D5" s="7" t="s">
        <v>76</v>
      </c>
      <c r="E5" s="7" t="s">
        <v>76</v>
      </c>
      <c r="F5" s="8">
        <v>15</v>
      </c>
      <c r="G5" s="0">
        <v>100</v>
      </c>
      <c r="H5" s="8">
        <f>F5*G5</f>
        <v>1500</v>
      </c>
      <c r="I5" s="0">
        <v>4</v>
      </c>
      <c r="J5" s="8">
        <v>8</v>
      </c>
      <c r="K5" s="8">
        <v>4</v>
      </c>
      <c r="L5" s="8">
        <f>IF(OR(I5=0,I5="0"),0,H5)</f>
        <v>1500</v>
      </c>
      <c r="M5" s="8">
        <f>ROUND(L5*I5%,2)</f>
        <v>60</v>
      </c>
      <c r="N5" s="8">
        <f>IF(OR(I5=0,I5="0"),0,H5-M5)</f>
        <v>1440</v>
      </c>
      <c r="O5" s="8">
        <f>ROUND(N5*J5%,2)</f>
        <v>115.2</v>
      </c>
      <c r="P5" s="8">
        <f>ROUND(N5-O5,2)</f>
        <v>1324.8</v>
      </c>
      <c r="Q5" s="8">
        <f>ROUND(P5*K5%,2)</f>
        <v>52.99</v>
      </c>
      <c r="R5" s="8">
        <f>M5+O5+Q5</f>
        <v>228.19</v>
      </c>
      <c r="S5" s="8">
        <f>(H5-R5)</f>
        <v>1271.81</v>
      </c>
      <c r="T5" s="8">
        <v>88363222</v>
      </c>
      <c r="U5" s="8">
        <v>18</v>
      </c>
      <c r="V5" s="8">
        <f>IF(OR(StPoToMRVWOIpDUPl!$C$2=1,StPoToMRVWOIpDUPl!$C$2=4),ROUND((((S5*U5)/100)/2),2),0)</f>
        <v>0</v>
      </c>
      <c r="W5" s="8">
        <f>IF(StPoToMRVWOIpDUPl!$C$2=1,ROUND((((S5*U5)/100)/2),2),0)</f>
        <v>0</v>
      </c>
      <c r="X5" s="8">
        <f>IF(StPoToMRVWOIpDUPl!$C$2=2,ROUND(((S5*U5)/100),2),0)</f>
        <v>228.93</v>
      </c>
      <c r="Y5" s="8">
        <f>IF(StPoToMRVWOIpDUPl!$C$2=4,ROUND((((S5*U5)/100)/2),2),0)</f>
        <v>0</v>
      </c>
      <c r="Z5" s="8">
        <v>0</v>
      </c>
      <c r="AA5" s="8">
        <f>IF(StPoToMRVWOIpDUPl!$C3=3,0,(S5*Z5)/100)</f>
        <v>0</v>
      </c>
      <c r="AB5" s="8">
        <f>V5+W5+X5+Y5+AA5</f>
        <v>228.93</v>
      </c>
      <c r="AC5" s="8">
        <f>IF(StPoToMRVWOIpDUPl!$V3=1,S5+AB5,S5)</f>
        <v>1271.81</v>
      </c>
      <c r="AD5" s="31">
        <v>120</v>
      </c>
      <c r="AE5" s="31">
        <f>IF(StPoToMRVWOIpDUPl!$P$2=1,(S5/StPoToMRVWOIpDUPl!$S$6)*StPoToMRVWOIpDUPl!$E$17,AD5/StPoToMRVWOIpDUPl!$AD$6*StPoToMRVWOIpDUPl!$E$17)</f>
        <v>0</v>
      </c>
      <c r="AF5" s="31"/>
      <c r="AG5" s="31">
        <f>IF(StPoToMRVWOIpDUPl!$P$2=1,(S5/StPoToMRVWOIpDUPl!$S$6)*StPoToMRVWOIpDUPl!$E$19,AD5/StPoToMRVWOIpDUPl!$AD$6*StPoToMRVWOIpDUPl!$E$19)</f>
        <v>0</v>
      </c>
      <c r="AH5" s="31">
        <f>IF(StPoToMRVWOIpDUPl!$P$2=1,(S5/StPoToMRVWOIpDUPl!$S$6)*StPoToMRVWOIpDUPl!$E$20,AD5/StPoToMRVWOIpDUPl!$AD$6*StPoToMRVWOIpDUPl!$E$20)</f>
        <v>0</v>
      </c>
      <c r="AI5" s="31">
        <f>S5*StPoToMRVWOIpDUPl!$M$2</f>
        <v>1271.81</v>
      </c>
      <c r="AJ5" s="31">
        <f>IF(StPoToMRVWOIpDUPl!$C$2=3,0,AG5+AH5)</f>
        <v>0</v>
      </c>
      <c r="AK5" s="31">
        <f>IF(StPoToMRVWOIpDUPl!$C$2=3,AE5+AG5+AH5,0)</f>
        <v>0</v>
      </c>
      <c r="AL5" s="34">
        <v>3</v>
      </c>
      <c r="AM5" s="31">
        <f>F5/AL5</f>
        <v>5</v>
      </c>
      <c r="AN5" s="31">
        <f>ROUND(AI5/AM5,5)</f>
        <v>254.362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254.362</v>
      </c>
      <c r="AS5" s="38" t="s">
        <v>79</v>
      </c>
      <c r="AT5" s="39" t="s">
        <v>76</v>
      </c>
      <c r="AW5" s="39">
        <f>AM5</f>
        <v>5</v>
      </c>
      <c r="AX5" s="103">
        <f>AR5</f>
        <v>254.362</v>
      </c>
      <c r="AY5" s="39">
        <f>AU5+AW5</f>
        <v>10</v>
      </c>
      <c r="AZ5" s="39">
        <f>ROUND(((AU5*AV5)+(AW5*AX5))/(AU5+AW5),5)</f>
        <v>268.181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85</v>
      </c>
      <c r="BN5" t="s" s="0">
        <v>85</v>
      </c>
      <c r="BO5" s="39">
        <f>ROUND((((AW5*AZ5)+(BN5*BM5))/(AW5+BN5)),5)</f>
        <v>268.181</v>
      </c>
      <c r="BP5" s="48">
        <f>ROUND(BN5+AW5,3)</f>
        <v>5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750</v>
      </c>
      <c r="I6" s="7"/>
      <c r="J6" s="7"/>
      <c r="K6" s="7"/>
      <c r="L6" s="7"/>
      <c r="M6" s="7"/>
      <c r="N6" s="7"/>
      <c r="O6" s="7"/>
      <c r="P6" s="7"/>
      <c r="Q6" s="7"/>
      <c r="R6" s="26">
        <f t="shared" ref="R6:X6" si="0">SUM(R4:R4)</f>
        <v>172.88</v>
      </c>
      <c r="S6" s="13">
        <f t="shared" si="0"/>
        <v>577.12</v>
      </c>
      <c r="T6" s="26"/>
      <c r="U6" s="26"/>
      <c r="V6" s="27">
        <f t="shared" si="0"/>
        <v>0</v>
      </c>
      <c r="W6" s="27">
        <f t="shared" si="0"/>
        <v>0</v>
      </c>
      <c r="X6" s="27">
        <f t="shared" si="0"/>
        <v>103.88</v>
      </c>
      <c r="Y6" s="27"/>
      <c r="Z6" s="27"/>
      <c r="AA6" s="27"/>
      <c r="AB6" s="26">
        <f t="shared" ref="AB6:AE6" si="1">SUM(AB4:AB4)</f>
        <v>103.88</v>
      </c>
      <c r="AC6" s="32">
        <f t="shared" si="1"/>
        <v>681</v>
      </c>
      <c r="AD6" s="33">
        <f t="shared" si="1"/>
        <v>120</v>
      </c>
      <c r="AE6" s="33">
        <f t="shared" si="1"/>
        <v>0</v>
      </c>
      <c r="AF6" s="32"/>
      <c r="AG6" s="33">
        <f t="shared" ref="AG6:AK6" si="2">SUM(AG4:AG4)</f>
        <v>0</v>
      </c>
      <c r="AH6" s="33">
        <f>IF($P$2=1,(S6/$S$6)*$E$20,AD6/$AD$6*$E$20)</f>
        <v>0</v>
      </c>
      <c r="AI6" s="33">
        <f t="shared" si="2"/>
        <v>577.12</v>
      </c>
      <c r="AJ6" s="33">
        <f t="shared" si="2"/>
        <v>0</v>
      </c>
      <c r="AK6" s="33">
        <f t="shared" si="2"/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750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172.88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577.12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103.88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681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G16" sqref="G16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263</v>
      </c>
      <c r="C4" s="7" t="s">
        <v>263</v>
      </c>
      <c r="D4" s="7" t="s">
        <v>76</v>
      </c>
      <c r="E4" s="7" t="s">
        <v>76</v>
      </c>
      <c r="F4" s="8">
        <v>5</v>
      </c>
      <c r="G4" t="s" s="0">
        <v>77</v>
      </c>
      <c r="H4" s="8">
        <f>F4*G4</f>
        <v>750</v>
      </c>
      <c r="I4" t="s" s="0">
        <v>78</v>
      </c>
      <c r="J4" s="8">
        <v>0</v>
      </c>
      <c r="K4" s="8">
        <v>0</v>
      </c>
      <c r="L4" s="8">
        <f>IF(OR(I4=0,I4="0"),0,H4)</f>
        <v>750</v>
      </c>
      <c r="M4" s="8">
        <f>ROUND(L4*I4%,3)</f>
        <v>37.5</v>
      </c>
      <c r="N4" s="8">
        <v>0</v>
      </c>
      <c r="O4" s="8">
        <f>ROUND(N4*J4%,3)</f>
        <v>0</v>
      </c>
      <c r="P4" s="8">
        <f>ROUND(N4-O4,2)</f>
        <v>0</v>
      </c>
      <c r="Q4" s="8">
        <f>ROUND(P4*K4%,2)</f>
        <v>0</v>
      </c>
      <c r="R4" s="31">
        <f>ROUND(M4+O4+Q4,3)</f>
        <v>37.5</v>
      </c>
      <c r="S4" s="8">
        <f>(H4-R4)</f>
        <v>712.5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128.25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128.25</v>
      </c>
      <c r="AC4" s="30">
        <f>IF($V2=1,S4+AB4,S4)</f>
        <v>840.75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712.5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142.5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142.5</v>
      </c>
      <c r="AS4" s="38" t="s">
        <v>79</v>
      </c>
      <c r="AT4" s="39" t="s">
        <v>76</v>
      </c>
      <c r="AU4" t="s" s="0">
        <v>85</v>
      </c>
      <c r="AV4" t="s" s="0">
        <v>112</v>
      </c>
      <c r="AW4" s="39">
        <f>AM4</f>
        <v>5</v>
      </c>
      <c r="AX4" s="103">
        <f>AR4</f>
        <v>142.5</v>
      </c>
      <c r="AY4" s="39">
        <f>AU4+AW4</f>
        <v>5</v>
      </c>
      <c r="AZ4" s="39">
        <f>ROUND(((AU4*AV4)+(AW4*AX4))/(AU4+AW4),5)</f>
        <v>142.5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264</v>
      </c>
      <c r="BN4" t="s" s="0">
        <v>265</v>
      </c>
      <c r="BO4" s="39">
        <f>ROUND((((AW4*AZ4)+(BN4*BM4))/(AW4+BN4)),5)</f>
        <v>100.00215</v>
      </c>
      <c r="BP4" s="48">
        <f>ROUND(BN4+AW4,3)</f>
        <v>99005</v>
      </c>
      <c r="BQ4" s="49">
        <v>123562</v>
      </c>
    </row>
    <row r="5" ht="15.75" spans="1:69">
      <c r="A5" s="7">
        <v>1</v>
      </c>
      <c r="B5" s="7" t="s">
        <v>266</v>
      </c>
      <c r="C5" s="7" t="s">
        <v>266</v>
      </c>
      <c r="D5" s="7" t="s">
        <v>76</v>
      </c>
      <c r="E5" s="7" t="s">
        <v>76</v>
      </c>
      <c r="F5" s="8">
        <v>4</v>
      </c>
      <c r="G5" t="s" s="0">
        <v>87</v>
      </c>
      <c r="H5" s="8">
        <f>F5*G5</f>
        <v>400</v>
      </c>
      <c r="I5" t="s" s="0">
        <v>88</v>
      </c>
      <c r="J5" s="8">
        <v>0</v>
      </c>
      <c r="K5" s="8">
        <v>0</v>
      </c>
      <c r="L5" s="8">
        <f t="shared" ref="L5" si="0">IF(OR(I5=0,I5="0"),0,H5)</f>
        <v>400</v>
      </c>
      <c r="M5" s="8">
        <f>ROUND(L5*I5%,2)</f>
        <v>16</v>
      </c>
      <c r="N5" s="8">
        <v>0</v>
      </c>
      <c r="O5" s="8">
        <f>ROUND(N5*J5%,2)</f>
        <v>0</v>
      </c>
      <c r="P5" s="8">
        <f>ROUND(N5-O5,2)</f>
        <v>0</v>
      </c>
      <c r="Q5" s="8">
        <f>ROUND(P5*K5%,2)</f>
        <v>0</v>
      </c>
      <c r="R5" s="8">
        <f>M5+O5+Q5</f>
        <v>16</v>
      </c>
      <c r="S5" s="8">
        <f>(H5-R5)</f>
        <v>384</v>
      </c>
      <c r="T5" s="8">
        <v>88363222</v>
      </c>
      <c r="U5" s="8">
        <v>18</v>
      </c>
      <c r="V5" s="8">
        <f>IF(OR(StPoToMRVWOIpPl!$C$2=1,StPoToMRVWOIpPl!$C$2=4),ROUND((((S5*U5)/100)/2),2),0)</f>
        <v>0</v>
      </c>
      <c r="W5" s="8">
        <f>IF(StPoToMRVWOIpPl!$C$2=1,ROUND((((S5*U5)/100)/2),2),0)</f>
        <v>0</v>
      </c>
      <c r="X5" s="8">
        <f>IF(StPoToMRVWOIpPl!$C$2=2,ROUND(((S5*U5)/100),2),0)</f>
        <v>69.12</v>
      </c>
      <c r="Y5" s="8">
        <f>IF(StPoToMRVWOIpPl!$C$2=4,ROUND((((S5*U5)/100)/2),2),0)</f>
        <v>0</v>
      </c>
      <c r="Z5" s="8">
        <v>0</v>
      </c>
      <c r="AA5" s="8">
        <f>IF(StPoToMRVWOIpPl!$C3=3,0,(S5*Z5)/100)</f>
        <v>0</v>
      </c>
      <c r="AB5" s="8">
        <f>V5+W5+X5+Y5+AA5</f>
        <v>69.12</v>
      </c>
      <c r="AC5" s="8">
        <f>IF(StPoToMRVWOIpPl!$V3=1,S5+AB5,S5)</f>
        <v>384</v>
      </c>
      <c r="AD5" s="31">
        <v>120</v>
      </c>
      <c r="AE5" s="31">
        <f>IF(StPoToMRVWOIpPl!$P$2=1,(S5/StPoToMRVWOIpPl!$S$6)*StPoToMRVWOIpPl!$E$17,AD5/StPoToMRVWOIpPl!$AD$6*StPoToMRVWOIpPl!$E$17)</f>
        <v>0</v>
      </c>
      <c r="AF5" s="31"/>
      <c r="AG5" s="31">
        <f>IF(StPoToMRVWOIpPl!$P$2=1,(S5/StPoToMRVWOIpPl!$S$6)*StPoToMRVWOIpPl!$E$19,AD5/StPoToMRVWOIpPl!$AD$6*StPoToMRVWOIpPl!$E$19)</f>
        <v>0</v>
      </c>
      <c r="AH5" s="31">
        <f>IF(StPoToMRVWOIpPl!$P$2=1,(S5/StPoToMRVWOIpPl!$S$6)*StPoToMRVWOIpPl!$E$20,AD5/StPoToMRVWOIpPl!$AD$6*StPoToMRVWOIpPl!$E$20)</f>
        <v>0</v>
      </c>
      <c r="AI5" s="31">
        <f>S5*StPoToMRVWOIpPl!$M$2</f>
        <v>384</v>
      </c>
      <c r="AJ5" s="31">
        <f>IF(StPoToMRVWOIpPl!$C$2=3,0,AG5+AH5)</f>
        <v>0</v>
      </c>
      <c r="AK5" s="31">
        <f>IF(StPoToMRVWOIpPl!$C$2=3,AE5+AG5+AH5,0)</f>
        <v>0</v>
      </c>
      <c r="AL5" s="34">
        <v>1</v>
      </c>
      <c r="AM5" s="31">
        <f>F5/AL5</f>
        <v>4</v>
      </c>
      <c r="AN5" s="31">
        <f>ROUND(AI5/AM5,5)</f>
        <v>96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96</v>
      </c>
      <c r="AS5" s="38" t="s">
        <v>79</v>
      </c>
      <c r="AT5" s="39" t="s">
        <v>76</v>
      </c>
      <c r="AU5" t="s" s="0">
        <v>85</v>
      </c>
      <c r="AV5" t="s" s="0">
        <v>114</v>
      </c>
      <c r="AW5" s="39">
        <f>AM5</f>
        <v>4</v>
      </c>
      <c r="AX5" s="103">
        <f>AR5</f>
        <v>96</v>
      </c>
      <c r="AY5" s="39">
        <f>AU5+AW5</f>
        <v>4</v>
      </c>
      <c r="AZ5" s="39">
        <f>ROUND(((AU5*AV5)+(AW5*AX5))/(AU5+AW5),5)</f>
        <v>96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267</v>
      </c>
      <c r="BN5" t="s" s="0">
        <v>268</v>
      </c>
      <c r="BO5" s="39">
        <f>ROUND((((AW5*AZ5)+(BN5*BM5))/(AW5+BN5)),5)</f>
        <v>99.99984</v>
      </c>
      <c r="BP5" s="48">
        <f>ROUND(BN5+AW5,3)</f>
        <v>99004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750</v>
      </c>
      <c r="I6" s="7"/>
      <c r="J6" s="7"/>
      <c r="K6" s="7"/>
      <c r="L6" s="7"/>
      <c r="M6" s="7"/>
      <c r="N6" s="7"/>
      <c r="O6" s="7"/>
      <c r="P6" s="7"/>
      <c r="Q6" s="7"/>
      <c r="R6" s="26">
        <f>SUM(R4:R4)</f>
        <v>37.5</v>
      </c>
      <c r="S6" s="13">
        <f>SUM(S4:S4)</f>
        <v>712.5</v>
      </c>
      <c r="T6" s="26"/>
      <c r="U6" s="26"/>
      <c r="V6" s="27">
        <f>SUM(V4:V4)</f>
        <v>0</v>
      </c>
      <c r="W6" s="27">
        <f>SUM(W4:W4)</f>
        <v>0</v>
      </c>
      <c r="X6" s="27">
        <f>SUM(X4:X4)</f>
        <v>128.25</v>
      </c>
      <c r="Y6" s="27"/>
      <c r="Z6" s="27"/>
      <c r="AA6" s="27"/>
      <c r="AB6" s="26">
        <f>SUM(AB4:AB4)</f>
        <v>128.25</v>
      </c>
      <c r="AC6" s="32">
        <f>SUM(AC4:AC4)</f>
        <v>840.75</v>
      </c>
      <c r="AD6" s="33">
        <f>SUM(AD4:AD4)</f>
        <v>120</v>
      </c>
      <c r="AE6" s="33">
        <f>SUM(AE4:AE4)</f>
        <v>0</v>
      </c>
      <c r="AF6" s="32"/>
      <c r="AG6" s="33">
        <f>SUM(AG4:AG4)</f>
        <v>0</v>
      </c>
      <c r="AH6" s="33">
        <f>IF($P$2=1,(S6/$S$6)*$E$20,AD6/$AD$6*$E$20)</f>
        <v>0</v>
      </c>
      <c r="AI6" s="33">
        <f>SUM(AI4:AI4)</f>
        <v>712.5</v>
      </c>
      <c r="AJ6" s="33">
        <f>SUM(AJ4:AJ4)</f>
        <v>0</v>
      </c>
      <c r="AK6" s="33">
        <f>SUM(AK4:AK4)</f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750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37.5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712.5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128.25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840.75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E1" workbookViewId="0">
      <selection activeCell="S9" sqref="S9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269</v>
      </c>
      <c r="C4" s="7" t="s">
        <v>269</v>
      </c>
      <c r="D4" s="7" t="s">
        <v>76</v>
      </c>
      <c r="E4" s="7" t="s">
        <v>76</v>
      </c>
      <c r="F4" s="8">
        <v>5</v>
      </c>
      <c r="G4" t="s" s="0">
        <v>77</v>
      </c>
      <c r="H4" s="8">
        <f>F4*G4</f>
        <v>750</v>
      </c>
      <c r="I4" t="s" s="0">
        <v>78</v>
      </c>
      <c r="J4" s="8">
        <v>0</v>
      </c>
      <c r="K4" s="8">
        <v>0</v>
      </c>
      <c r="L4" s="8">
        <f>IF(OR(I4=0,I4="0"),0,H4)</f>
        <v>750</v>
      </c>
      <c r="M4" s="8">
        <f>ROUND(L4*I4%,3)</f>
        <v>37.5</v>
      </c>
      <c r="N4" s="8">
        <v>0</v>
      </c>
      <c r="O4" s="8">
        <f>ROUND(N4*J4%,3)</f>
        <v>0</v>
      </c>
      <c r="P4" s="8">
        <f>ROUND(N4-O4,2)</f>
        <v>0</v>
      </c>
      <c r="Q4" s="8">
        <f>ROUND(P4*K4%,2)</f>
        <v>0</v>
      </c>
      <c r="R4" s="31">
        <f>ROUND(M4+O4+Q4,3)</f>
        <v>37.5</v>
      </c>
      <c r="S4" s="8">
        <f>(H4-R4)</f>
        <v>712.5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128.25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128.25</v>
      </c>
      <c r="AC4" s="30">
        <f>IF($V2=1,S4+AB4,S4)</f>
        <v>840.75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712.5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142.5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142.5</v>
      </c>
      <c r="AS4" s="38" t="s">
        <v>79</v>
      </c>
      <c r="AT4" s="39" t="s">
        <v>76</v>
      </c>
      <c r="AU4" t="s" s="0">
        <v>85</v>
      </c>
      <c r="AV4" t="s" s="0">
        <v>112</v>
      </c>
      <c r="AW4" s="39">
        <f>AM4</f>
        <v>5</v>
      </c>
      <c r="AX4" s="103">
        <f>AR4</f>
        <v>142.5</v>
      </c>
      <c r="AY4" s="39">
        <f>AU4+AW4</f>
        <v>5</v>
      </c>
      <c r="AZ4" s="39">
        <f>ROUND(((AU4*AV4)+(AW4*AX4))/(AU4+AW4),5)</f>
        <v>142.5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264</v>
      </c>
      <c r="BN4" t="s" s="0">
        <v>265</v>
      </c>
      <c r="BO4" s="39">
        <f>ROUND((((AW4*AZ4)+(BN4*BM4))/(AW4+BN4)),5)</f>
        <v>100.00215</v>
      </c>
      <c r="BP4" s="48">
        <f>ROUND(BN4+AW4,3)</f>
        <v>99005</v>
      </c>
      <c r="BQ4" s="49">
        <v>123562</v>
      </c>
    </row>
    <row r="5" ht="15.75" spans="1:69">
      <c r="A5" s="7">
        <v>1</v>
      </c>
      <c r="B5" s="7" t="s">
        <v>270</v>
      </c>
      <c r="C5" s="7" t="s">
        <v>270</v>
      </c>
      <c r="D5" s="7" t="s">
        <v>76</v>
      </c>
      <c r="E5" s="7" t="s">
        <v>76</v>
      </c>
      <c r="F5" s="8">
        <v>4</v>
      </c>
      <c r="G5" t="s" s="0">
        <v>87</v>
      </c>
      <c r="H5" s="8">
        <f>F5*G5</f>
        <v>400</v>
      </c>
      <c r="I5" t="s" s="0">
        <v>88</v>
      </c>
      <c r="J5" s="8">
        <v>0</v>
      </c>
      <c r="K5" s="8">
        <v>0</v>
      </c>
      <c r="L5" s="8">
        <f t="shared" ref="L5" si="0">IF(OR(I5=0,I5="0"),0,H5)</f>
        <v>400</v>
      </c>
      <c r="M5" s="8">
        <f>ROUND(L5*I5%,2)</f>
        <v>16</v>
      </c>
      <c r="N5" s="8">
        <v>0</v>
      </c>
      <c r="O5" s="8">
        <f>ROUND(N5*J5%,2)</f>
        <v>0</v>
      </c>
      <c r="P5" s="8">
        <f>ROUND(N5-O5,2)</f>
        <v>0</v>
      </c>
      <c r="Q5" s="8">
        <f>ROUND(P5*K5%,2)</f>
        <v>0</v>
      </c>
      <c r="R5" s="8">
        <f>M5+O5+Q5</f>
        <v>16</v>
      </c>
      <c r="S5" s="8">
        <f>(H5-R5)</f>
        <v>384</v>
      </c>
      <c r="T5" s="8">
        <v>88363222</v>
      </c>
      <c r="U5" s="8">
        <v>18</v>
      </c>
      <c r="V5" s="8">
        <f>IF(OR(StPoToMRVWOIpRc!$C$2=1,StPoToMRVWOIpRc!$C$2=4),ROUND((((S5*U5)/100)/2),2),0)</f>
        <v>0</v>
      </c>
      <c r="W5" s="8">
        <f>IF(StPoToMRVWOIpRc!$C$2=1,ROUND((((S5*U5)/100)/2),2),0)</f>
        <v>0</v>
      </c>
      <c r="X5" s="8">
        <f>IF(StPoToMRVWOIpRc!$C$2=2,ROUND(((S5*U5)/100),2),0)</f>
        <v>69.12</v>
      </c>
      <c r="Y5" s="8">
        <f>IF(StPoToMRVWOIpRc!$C$2=4,ROUND((((S5*U5)/100)/2),2),0)</f>
        <v>0</v>
      </c>
      <c r="Z5" s="8">
        <v>0</v>
      </c>
      <c r="AA5" s="8">
        <f>IF(StPoToMRVWOIpRc!$C3=3,0,(S5*Z5)/100)</f>
        <v>0</v>
      </c>
      <c r="AB5" s="8">
        <f>V5+W5+X5+Y5+AA5</f>
        <v>69.12</v>
      </c>
      <c r="AC5" s="8">
        <f>IF(StPoToMRVWOIpRc!$V3=1,S5+AB5,S5)</f>
        <v>384</v>
      </c>
      <c r="AD5" s="31">
        <v>120</v>
      </c>
      <c r="AE5" s="31">
        <f>IF(StPoToMRVWOIpRc!$P$2=1,(S5/StPoToMRVWOIpRc!$S$6)*StPoToMRVWOIpRc!$E$17,AD5/StPoToMRVWOIpRc!$AD$6*StPoToMRVWOIpRc!$E$17)</f>
        <v>0</v>
      </c>
      <c r="AF5" s="31"/>
      <c r="AG5" s="31">
        <f>IF(StPoToMRVWOIpRc!$P$2=1,(S5/StPoToMRVWOIpRc!$S$6)*StPoToMRVWOIpRc!$E$19,AD5/StPoToMRVWOIpRc!$AD$6*StPoToMRVWOIpRc!$E$19)</f>
        <v>0</v>
      </c>
      <c r="AH5" s="31">
        <f>IF(StPoToMRVWOIpRc!$P$2=1,(S5/StPoToMRVWOIpRc!$S$6)*StPoToMRVWOIpRc!$E$20,AD5/StPoToMRVWOIpRc!$AD$6*StPoToMRVWOIpRc!$E$20)</f>
        <v>0</v>
      </c>
      <c r="AI5" s="31">
        <f>S5*StPoToMRVWOIpRc!$M$2</f>
        <v>384</v>
      </c>
      <c r="AJ5" s="31">
        <f>IF(StPoToMRVWOIpRc!$C$2=3,0,AG5+AH5)</f>
        <v>0</v>
      </c>
      <c r="AK5" s="31">
        <f>IF(StPoToMRVWOIpRc!$C$2=3,AE5+AG5+AH5,0)</f>
        <v>0</v>
      </c>
      <c r="AL5" s="34">
        <v>1</v>
      </c>
      <c r="AM5" s="31">
        <f>F5/AL5</f>
        <v>4</v>
      </c>
      <c r="AN5" s="31">
        <f>ROUND(AI5/AM5,5)</f>
        <v>96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96</v>
      </c>
      <c r="AS5" s="38" t="s">
        <v>79</v>
      </c>
      <c r="AT5" s="39" t="s">
        <v>76</v>
      </c>
      <c r="AU5" t="s" s="0">
        <v>85</v>
      </c>
      <c r="AV5" t="s" s="0">
        <v>114</v>
      </c>
      <c r="AW5" s="39">
        <f>AM5</f>
        <v>4</v>
      </c>
      <c r="AX5" s="103">
        <f>AR5</f>
        <v>96</v>
      </c>
      <c r="AY5" s="39">
        <f>AU5+AW5</f>
        <v>4</v>
      </c>
      <c r="AZ5" s="39">
        <f>ROUND(((AU5*AV5)+(AW5*AX5))/(AU5+AW5),5)</f>
        <v>96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267</v>
      </c>
      <c r="BN5" t="s" s="0">
        <v>268</v>
      </c>
      <c r="BO5" s="39">
        <f>ROUND((((AW5*AZ5)+(BN5*BM5))/(AW5+BN5)),5)</f>
        <v>99.99984</v>
      </c>
      <c r="BP5" s="48">
        <f>ROUND(BN5+AW5,3)</f>
        <v>99004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750</v>
      </c>
      <c r="I6" s="7"/>
      <c r="J6" s="7"/>
      <c r="K6" s="7"/>
      <c r="L6" s="7"/>
      <c r="M6" s="7"/>
      <c r="N6" s="7"/>
      <c r="O6" s="7"/>
      <c r="P6" s="7"/>
      <c r="Q6" s="7"/>
      <c r="R6" s="26">
        <f>SUM(R4:R4)</f>
        <v>37.5</v>
      </c>
      <c r="S6" s="13">
        <f>SUM(S4:S4)</f>
        <v>712.5</v>
      </c>
      <c r="T6" s="26"/>
      <c r="U6" s="26"/>
      <c r="V6" s="27">
        <f>SUM(V4:V4)</f>
        <v>0</v>
      </c>
      <c r="W6" s="27">
        <f>SUM(W4:W4)</f>
        <v>0</v>
      </c>
      <c r="X6" s="27">
        <f>SUM(X4:X4)</f>
        <v>128.25</v>
      </c>
      <c r="Y6" s="27"/>
      <c r="Z6" s="27"/>
      <c r="AA6" s="27"/>
      <c r="AB6" s="26">
        <f>SUM(AB4:AB4)</f>
        <v>128.25</v>
      </c>
      <c r="AC6" s="32">
        <f>SUM(AC4:AC4)</f>
        <v>840.75</v>
      </c>
      <c r="AD6" s="33">
        <f>SUM(AD4:AD4)</f>
        <v>120</v>
      </c>
      <c r="AE6" s="33">
        <f>SUM(AE4:AE4)</f>
        <v>0</v>
      </c>
      <c r="AF6" s="32"/>
      <c r="AG6" s="33">
        <f>SUM(AG4:AG4)</f>
        <v>0</v>
      </c>
      <c r="AH6" s="33">
        <f>IF($P$2=1,(S6/$S$6)*$E$20,AD6/$AD$6*$E$20)</f>
        <v>0</v>
      </c>
      <c r="AI6" s="33">
        <f>SUM(AI4:AI4)</f>
        <v>712.5</v>
      </c>
      <c r="AJ6" s="33">
        <f>SUM(AJ4:AJ4)</f>
        <v>0</v>
      </c>
      <c r="AK6" s="33">
        <f>SUM(AK4:AK4)</f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750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37.5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712.5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128.25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840.75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B1" workbookViewId="0">
      <selection activeCell="J5" sqref="J5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271</v>
      </c>
      <c r="C4" s="7" t="s">
        <v>271</v>
      </c>
      <c r="D4" s="7" t="s">
        <v>76</v>
      </c>
      <c r="E4" s="7" t="s">
        <v>76</v>
      </c>
      <c r="F4" s="8">
        <v>5</v>
      </c>
      <c r="G4" s="0">
        <v>50</v>
      </c>
      <c r="H4" s="8">
        <f>F4*G4</f>
        <v>250</v>
      </c>
      <c r="I4" s="0">
        <v>5</v>
      </c>
      <c r="J4" s="8">
        <v>10</v>
      </c>
      <c r="K4" s="8">
        <v>10</v>
      </c>
      <c r="L4" s="8">
        <f>IF(OR(I4=0,I4="0"),0,H4)</f>
        <v>250</v>
      </c>
      <c r="M4" s="8">
        <f>ROUND(L4*I4%,3)</f>
        <v>12.5</v>
      </c>
      <c r="N4" s="8">
        <f>L4-M4</f>
        <v>237.5</v>
      </c>
      <c r="O4" s="8">
        <f>ROUND(N4*J4%,3)</f>
        <v>23.75</v>
      </c>
      <c r="P4" s="8">
        <f>ROUND(N4-O4,2)</f>
        <v>213.75</v>
      </c>
      <c r="Q4" s="8">
        <f>ROUND(P4*K4%,2)</f>
        <v>21.38</v>
      </c>
      <c r="R4" s="31">
        <f>ROUND(M4+O4+Q4,3)</f>
        <v>57.63</v>
      </c>
      <c r="S4" s="8">
        <f>(H4-R4)</f>
        <v>192.37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34.63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34.63</v>
      </c>
      <c r="AC4" s="30">
        <f>IF($V2=1,S4+AB4,S4)</f>
        <v>227</v>
      </c>
      <c r="AD4" s="31">
        <v>120</v>
      </c>
      <c r="AE4" s="31">
        <f>IF($P$2=1,(S4/$S$6)*$E$17,AD4/$AD$6*$E$17)</f>
        <v>0</v>
      </c>
      <c r="AF4" s="31"/>
      <c r="AG4" s="31">
        <f>IF($P$2=1,(S4/$S$6)*$E$19,AD4/$AD$6*$E$19)</f>
        <v>0</v>
      </c>
      <c r="AH4" s="31">
        <f>IF($P$2=1,(S4/$S$6)*$E$20,AD4/$AD$6*$E$20)</f>
        <v>0</v>
      </c>
      <c r="AI4" s="31">
        <f>S4*$M2</f>
        <v>192.37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38.474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38.474</v>
      </c>
      <c r="AS4" s="38" t="s">
        <v>79</v>
      </c>
      <c r="AT4" s="39" t="s">
        <v>76</v>
      </c>
      <c r="AU4" t="s" s="0">
        <v>272</v>
      </c>
      <c r="AV4" t="s" s="0">
        <v>273</v>
      </c>
      <c r="AW4" s="39">
        <f>AM4</f>
        <v>5</v>
      </c>
      <c r="AX4" s="103">
        <f>AR4</f>
        <v>38.474</v>
      </c>
      <c r="AY4" s="39">
        <f>AU4+AW4</f>
        <v>51</v>
      </c>
      <c r="AZ4" s="39">
        <f>ROUND(((AU4*AV4)+(AW4*AX4))/(AU4+AW4),5)</f>
        <v>59.77311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84</v>
      </c>
      <c r="BM4" t="s" s="0">
        <v>274</v>
      </c>
      <c r="BN4" t="s" s="0">
        <v>275</v>
      </c>
      <c r="BO4" s="39">
        <f>ROUND((((AW4*AZ4)+(BN4*BM4))/(AW4+BN4)),5)</f>
        <v>66.49619</v>
      </c>
      <c r="BP4" s="48">
        <f>ROUND(BN4+AW4,3)</f>
        <v>9</v>
      </c>
      <c r="BQ4" s="49">
        <v>123562</v>
      </c>
    </row>
    <row r="5" ht="15.75" spans="1:69">
      <c r="A5" s="7">
        <v>1</v>
      </c>
      <c r="B5" s="7" t="s">
        <v>276</v>
      </c>
      <c r="C5" s="7" t="s">
        <v>276</v>
      </c>
      <c r="D5" s="7" t="s">
        <v>76</v>
      </c>
      <c r="E5" s="7" t="s">
        <v>76</v>
      </c>
      <c r="F5" s="8">
        <v>4</v>
      </c>
      <c r="G5" s="0">
        <v>100</v>
      </c>
      <c r="H5" s="8">
        <f>F5*G5</f>
        <v>400</v>
      </c>
      <c r="I5" s="0">
        <v>6</v>
      </c>
      <c r="J5" s="8">
        <v>8</v>
      </c>
      <c r="K5" s="8">
        <v>7</v>
      </c>
      <c r="L5" s="8">
        <f t="shared" ref="L5" si="0">IF(OR(I5=0,I5="0"),0,H5)</f>
        <v>400</v>
      </c>
      <c r="M5" s="8">
        <f>ROUND(L5*I5%,2)</f>
        <v>24</v>
      </c>
      <c r="N5" s="8">
        <f>L5-M5</f>
        <v>376</v>
      </c>
      <c r="O5" s="8">
        <f>ROUND(N5*J5%,2)</f>
        <v>30.08</v>
      </c>
      <c r="P5" s="8">
        <f>ROUND(N5-O5,2)</f>
        <v>345.92</v>
      </c>
      <c r="Q5" s="8">
        <f>ROUND(P5*K5%,2)</f>
        <v>24.21</v>
      </c>
      <c r="R5" s="8">
        <f>M5+O5+Q5</f>
        <v>78.29</v>
      </c>
      <c r="S5" s="8">
        <f>(H5-R5)</f>
        <v>321.71</v>
      </c>
      <c r="T5" s="8">
        <v>88363222</v>
      </c>
      <c r="U5" s="8">
        <v>18</v>
      </c>
      <c r="V5" s="8">
        <f>IF(OR(StPoToMRVWOIp!$C$2=1,StPoToMRVWOIp!$C$2=4),ROUND((((S5*U5)/100)/2),2),0)</f>
        <v>0</v>
      </c>
      <c r="W5" s="8">
        <f>IF(StPoToMRVWOIp!$C$2=1,ROUND((((S5*U5)/100)/2),2),0)</f>
        <v>0</v>
      </c>
      <c r="X5" s="8">
        <f>IF(StPoToMRVWOIp!$C$2=2,ROUND(((S5*U5)/100),2),0)</f>
        <v>57.91</v>
      </c>
      <c r="Y5" s="8">
        <f>IF(StPoToMRVWOIp!$C$2=4,ROUND((((S5*U5)/100)/2),2),0)</f>
        <v>0</v>
      </c>
      <c r="Z5" s="8">
        <v>0</v>
      </c>
      <c r="AA5" s="8">
        <f>IF(StPoToMRVWOIp!$C3=3,0,(S5*Z5)/100)</f>
        <v>0</v>
      </c>
      <c r="AB5" s="8">
        <f>V5+W5+X5+Y5+AA5</f>
        <v>57.91</v>
      </c>
      <c r="AC5" s="8">
        <f>IF(StPoToMRVWOIp!$V3=1,S5+AB5,S5)</f>
        <v>321.71</v>
      </c>
      <c r="AD5" s="31">
        <v>120</v>
      </c>
      <c r="AE5" s="31">
        <f>IF(StPoToMRVWOIp!$P$2=1,(S5/StPoToMRVWOIp!$S$6)*StPoToMRVWOIp!$E$17,AD5/StPoToMRVWOIp!$AD$6*StPoToMRVWOIp!$E$17)</f>
        <v>0</v>
      </c>
      <c r="AF5" s="31"/>
      <c r="AG5" s="31">
        <f>IF(StPoToMRVWOIp!$P$2=1,(S5/StPoToMRVWOIp!$S$6)*StPoToMRVWOIp!$E$19,AD5/StPoToMRVWOIp!$AD$6*StPoToMRVWOIp!$E$19)</f>
        <v>0</v>
      </c>
      <c r="AH5" s="31">
        <f>IF(StPoToMRVWOIp!$P$2=1,(S5/StPoToMRVWOIp!$S$6)*StPoToMRVWOIp!$E$20,AD5/StPoToMRVWOIp!$AD$6*StPoToMRVWOIp!$E$20)</f>
        <v>0</v>
      </c>
      <c r="AI5" s="31">
        <f>S5*StPoToMRVWOIp!$M$2</f>
        <v>321.71</v>
      </c>
      <c r="AJ5" s="31">
        <f>IF(StPoToMRVWOIp!$C$2=3,0,AG5+AH5)</f>
        <v>0</v>
      </c>
      <c r="AK5" s="31">
        <f>IF(StPoToMRVWOIp!$C$2=3,AE5+AG5+AH5,0)</f>
        <v>0</v>
      </c>
      <c r="AL5" s="34">
        <v>1</v>
      </c>
      <c r="AM5" s="31">
        <f>F5/AL5</f>
        <v>4</v>
      </c>
      <c r="AN5" s="31">
        <f>ROUND(AI5/AM5,5)</f>
        <v>80.4275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80.4275</v>
      </c>
      <c r="AS5" s="38" t="s">
        <v>79</v>
      </c>
      <c r="AT5" s="39" t="s">
        <v>76</v>
      </c>
      <c r="AU5" t="s" s="0">
        <v>245</v>
      </c>
      <c r="AV5" t="s" s="0">
        <v>277</v>
      </c>
      <c r="AW5" s="39">
        <f>AM5</f>
        <v>4</v>
      </c>
      <c r="AX5" s="103">
        <f>AR5</f>
        <v>80.4275</v>
      </c>
      <c r="AY5" s="39">
        <f>AU5+AW5</f>
        <v>68</v>
      </c>
      <c r="AZ5" s="39">
        <f>ROUND(((AU5*AV5)+(AW5*AX5))/(AU5+AW5),5)</f>
        <v>118.39193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84</v>
      </c>
      <c r="BM5" t="s" s="0">
        <v>278</v>
      </c>
      <c r="BN5" t="s" s="0">
        <v>279</v>
      </c>
      <c r="BO5" s="39">
        <f>ROUND((((AW5*AZ5)+(BN5*BM5))/(AW5+BN5)),5)</f>
        <v>122.33759</v>
      </c>
      <c r="BP5" s="48">
        <f>ROUND(BN5+AW5,3)</f>
        <v>14</v>
      </c>
      <c r="BQ5" s="49">
        <v>123562</v>
      </c>
    </row>
    <row r="6" ht="15.75" spans="1:69">
      <c r="A6" s="9"/>
      <c r="B6" s="10"/>
      <c r="C6" s="10"/>
      <c r="D6" s="11" t="s">
        <v>89</v>
      </c>
      <c r="E6" s="11"/>
      <c r="F6" s="11"/>
      <c r="G6" s="12"/>
      <c r="H6" s="13">
        <f>SUM(H4:H4)</f>
        <v>250</v>
      </c>
      <c r="I6" s="7"/>
      <c r="J6" s="7"/>
      <c r="K6" s="7"/>
      <c r="L6" s="7"/>
      <c r="M6" s="7"/>
      <c r="N6" s="7"/>
      <c r="O6" s="7"/>
      <c r="P6" s="7"/>
      <c r="Q6" s="7"/>
      <c r="R6" s="26">
        <f>SUM(R4:R4)</f>
        <v>57.63</v>
      </c>
      <c r="S6" s="13">
        <f>SUM(S4:S4)</f>
        <v>192.37</v>
      </c>
      <c r="T6" s="26"/>
      <c r="U6" s="26"/>
      <c r="V6" s="27">
        <f>SUM(V4:V4)</f>
        <v>0</v>
      </c>
      <c r="W6" s="27">
        <f>SUM(W4:W4)</f>
        <v>0</v>
      </c>
      <c r="X6" s="27">
        <f>SUM(X4:X4)</f>
        <v>34.63</v>
      </c>
      <c r="Y6" s="27"/>
      <c r="Z6" s="27"/>
      <c r="AA6" s="27"/>
      <c r="AB6" s="26">
        <f>SUM(AB4:AB4)</f>
        <v>34.63</v>
      </c>
      <c r="AC6" s="32">
        <f>SUM(AC4:AC4)</f>
        <v>227</v>
      </c>
      <c r="AD6" s="33">
        <f>SUM(AD4:AD4)</f>
        <v>120</v>
      </c>
      <c r="AE6" s="33">
        <f>SUM(AE4:AE4)</f>
        <v>0</v>
      </c>
      <c r="AF6" s="32"/>
      <c r="AG6" s="33">
        <f>SUM(AG4:AG4)</f>
        <v>0</v>
      </c>
      <c r="AH6" s="33">
        <f>IF($P$2=1,(S6/$S$6)*$E$20,AD6/$AD$6*$E$20)</f>
        <v>0</v>
      </c>
      <c r="AI6" s="33">
        <f>SUM(AI4:AI4)</f>
        <v>192.37</v>
      </c>
      <c r="AJ6" s="33">
        <f>SUM(AJ4:AJ4)</f>
        <v>0</v>
      </c>
      <c r="AK6" s="33">
        <f>SUM(AK4:AK4)</f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7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14" t="s">
        <v>90</v>
      </c>
      <c r="H8" s="15"/>
      <c r="I8" s="19">
        <f>H6</f>
        <v>250</v>
      </c>
      <c r="J8" s="19"/>
      <c r="K8" s="9"/>
      <c r="L8" s="9"/>
      <c r="M8" s="20" t="s">
        <v>91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92</v>
      </c>
      <c r="BI8" s="119" t="s">
        <v>93</v>
      </c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94</v>
      </c>
      <c r="H9" s="15"/>
      <c r="I9" s="19">
        <f>R6</f>
        <v>57.63</v>
      </c>
      <c r="J9" s="19"/>
      <c r="K9" s="9"/>
      <c r="L9" s="9"/>
      <c r="M9" s="23">
        <v>1</v>
      </c>
      <c r="N9" s="23" t="s">
        <v>76</v>
      </c>
      <c r="O9" s="23">
        <v>2</v>
      </c>
      <c r="P9" s="23" t="s">
        <v>95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96</v>
      </c>
      <c r="BI9" s="119" t="s">
        <v>97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98</v>
      </c>
      <c r="H10" s="15"/>
      <c r="I10" s="19">
        <f>S6</f>
        <v>192.37</v>
      </c>
      <c r="J10" s="19"/>
      <c r="K10" s="9"/>
      <c r="L10" s="9"/>
      <c r="M10" s="7">
        <v>1</v>
      </c>
      <c r="N10" s="7" t="s">
        <v>76</v>
      </c>
      <c r="O10" s="7">
        <v>2.5</v>
      </c>
      <c r="P10" s="7" t="s">
        <v>99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100</v>
      </c>
      <c r="H11" s="15"/>
      <c r="I11" s="19">
        <f>AB6</f>
        <v>34.63</v>
      </c>
      <c r="J11" s="19"/>
      <c r="K11" s="9"/>
      <c r="L11" s="9"/>
      <c r="M11" s="7">
        <v>1</v>
      </c>
      <c r="N11" s="7" t="s">
        <v>95</v>
      </c>
      <c r="O11" s="7">
        <v>0.001</v>
      </c>
      <c r="P11" s="7" t="s">
        <v>101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102</v>
      </c>
      <c r="H12" s="15"/>
      <c r="I12" s="24">
        <f>I10+I11</f>
        <v>227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103</v>
      </c>
      <c r="BN13" s="9" t="s">
        <v>104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105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106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107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108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"/>
    </sheetView>
  </sheetViews>
  <sheetFormatPr defaultColWidth="8.84761904761905" defaultRowHeight="15"/>
  <cols>
    <col min="2" max="2" customWidth="true" width="28.0"/>
    <col min="3" max="3" customWidth="true" width="23.7142857142857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280</v>
      </c>
      <c r="C4" s="7" t="s">
        <v>280</v>
      </c>
      <c r="D4" s="7" t="s">
        <v>76</v>
      </c>
      <c r="E4" s="7" t="s">
        <v>76</v>
      </c>
      <c r="F4" s="8">
        <v>5</v>
      </c>
      <c r="G4" t="s" s="0">
        <v>77</v>
      </c>
      <c r="H4" s="8">
        <f>F4*G4</f>
        <v>750</v>
      </c>
      <c r="I4" t="s" s="0">
        <v>78</v>
      </c>
      <c r="J4" s="8">
        <v>8</v>
      </c>
      <c r="K4" s="8">
        <v>5</v>
      </c>
      <c r="L4" s="8">
        <f>IF(OR(I4=0,I4="0"),0,H4)</f>
        <v>750</v>
      </c>
      <c r="M4" s="8">
        <f>ROUND(L4*I4%,3)</f>
        <v>37.5</v>
      </c>
      <c r="N4" s="8">
        <f>H4-M4</f>
        <v>712.5</v>
      </c>
      <c r="O4" s="8">
        <f>ROUND(N4*J4%,3)</f>
        <v>57</v>
      </c>
      <c r="P4" s="8">
        <f>ROUND(N4-O4,2)</f>
        <v>655.5</v>
      </c>
      <c r="Q4" s="8">
        <f>ROUND(P4*K4%,2)</f>
        <v>32.78</v>
      </c>
      <c r="R4" s="31">
        <f>ROUND(M4+O4+Q4,3)</f>
        <v>127.28</v>
      </c>
      <c r="S4" s="31">
        <f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112.09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112.09</v>
      </c>
      <c r="AC4" s="30">
        <f>IF($V2=1,S4+AB4,S4)</f>
        <v>734.81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S4*$M2</f>
        <v>622.72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124.544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124.544</v>
      </c>
      <c r="AS4" s="38" t="s">
        <v>120</v>
      </c>
      <c r="AT4" s="39" t="s">
        <v>76</v>
      </c>
      <c r="AU4" t="s" s="0">
        <v>281</v>
      </c>
      <c r="AV4" t="s" s="0">
        <v>282</v>
      </c>
      <c r="AW4" s="39">
        <f>AM4</f>
        <v>5</v>
      </c>
      <c r="AX4" s="103">
        <f>AR4</f>
        <v>124.544</v>
      </c>
      <c r="AY4" s="39">
        <f>AU4+AW4</f>
        <v>20</v>
      </c>
      <c r="AZ4" s="39">
        <f>ROUND(((AU4*AV4)+(AW4*AX4))/(AU4+AW4),3)</f>
        <v>62.272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282</v>
      </c>
      <c r="BN4" t="s" s="0">
        <v>78</v>
      </c>
      <c r="BO4" s="39">
        <f>ROUND((((AW4*AZ4)+(BN4*BM4))/(AW4+BN4)),5)</f>
        <v>51.8935</v>
      </c>
      <c r="BP4" s="48">
        <f>ROUND(BN4+AW4,3)</f>
        <v>10</v>
      </c>
      <c r="BQ4" s="49">
        <v>123562</v>
      </c>
    </row>
    <row r="5" ht="15.75" spans="1:69">
      <c r="A5" s="7">
        <v>1</v>
      </c>
      <c r="B5" s="7" t="s">
        <v>283</v>
      </c>
      <c r="C5" s="7" t="s">
        <v>283</v>
      </c>
      <c r="D5" s="7" t="s">
        <v>76</v>
      </c>
      <c r="E5" s="7" t="s">
        <v>76</v>
      </c>
      <c r="F5" s="8">
        <v>4</v>
      </c>
      <c r="G5" t="s" s="0">
        <v>87</v>
      </c>
      <c r="H5" s="8">
        <f>F5*G5</f>
        <v>400</v>
      </c>
      <c r="I5" t="s" s="0">
        <v>88</v>
      </c>
      <c r="J5" s="8">
        <v>9</v>
      </c>
      <c r="K5" s="8">
        <v>6</v>
      </c>
      <c r="L5" s="8">
        <f t="shared" ref="L5:L6" si="0">IF(OR(I5=0,I5="0"),0,H5)</f>
        <v>400</v>
      </c>
      <c r="M5" s="8">
        <f>ROUND(L5*I5%,2)</f>
        <v>16</v>
      </c>
      <c r="N5" s="8">
        <f>H5-M5</f>
        <v>384</v>
      </c>
      <c r="O5" s="8">
        <f>ROUND(N5*J5%,2)</f>
        <v>34.56</v>
      </c>
      <c r="P5" s="8">
        <f>ROUND(N5-O5,2)</f>
        <v>349.44</v>
      </c>
      <c r="Q5" s="8">
        <f>ROUND(P5*K5%,2)</f>
        <v>20.97</v>
      </c>
      <c r="R5" s="8">
        <f>M5+O5+Q5</f>
        <v>71.53</v>
      </c>
      <c r="S5" s="8">
        <f>(H5-R5)</f>
        <v>328.47</v>
      </c>
      <c r="T5" s="8">
        <v>88363222</v>
      </c>
      <c r="U5" s="8">
        <v>18</v>
      </c>
      <c r="V5" s="8">
        <f>IF(OR(PoToMRVWOIpRcServ!$C$2=1,PoToMRVWOIpRcServ!$C$2=4),ROUND((((S5*U5)/100)/2),2),0)</f>
        <v>0</v>
      </c>
      <c r="W5" s="8">
        <f>IF(PoToMRVWOIpRcServ!$C$2=1,ROUND((((S5*U5)/100)/2),2),0)</f>
        <v>0</v>
      </c>
      <c r="X5" s="8">
        <f>IF(PoToMRVWOIpRcServ!$C$2=2,ROUND(((S5*U5)/100),2),0)</f>
        <v>59.12</v>
      </c>
      <c r="Y5" s="8">
        <f>IF(PoToMRVWOIpRcServ!$C$2=4,ROUND((((S5*U5)/100)/2),2),0)</f>
        <v>0</v>
      </c>
      <c r="Z5" s="8">
        <v>0</v>
      </c>
      <c r="AA5" s="8">
        <f>IF(PoToMRVWOIpRcServ!$C3=3,0,(S5*Z5)/100)</f>
        <v>0</v>
      </c>
      <c r="AB5" s="8">
        <f>V5+W5+X5+Y5+AA5</f>
        <v>59.12</v>
      </c>
      <c r="AC5" s="8">
        <f>IF(PoToMRVWOIpRcServ!$V3=1,S5+AB5,S5)</f>
        <v>328.47</v>
      </c>
      <c r="AD5" s="31">
        <v>120</v>
      </c>
      <c r="AE5" s="31">
        <f>IF(PoToMRVWOIpRcServ!$P$2=1,(S5/PoToMRVWOIpRcServ!$S$7)*PoToMRVWOIpRcServ!$E$18,AD5/PoToMRVWOIpRcServ!$AD$7*PoToMRVWOIpRcServ!$E$18)</f>
        <v>0</v>
      </c>
      <c r="AF5" s="31"/>
      <c r="AG5" s="31">
        <f>IF(PoToMRVWOIpRcServ!$P$2=1,(S5/PoToMRVWOIpRcServ!$S$7)*PoToMRVWOIpRcServ!$E$20,AD5/PoToMRVWOIpRcServ!$AD$7*PoToMRVWOIpRcServ!$E$20)</f>
        <v>0</v>
      </c>
      <c r="AH5" s="31">
        <f>IF(PoToMRVWOIpRcServ!$P$2=1,(S5/PoToMRVWOIpRcServ!$S$7)*PoToMRVWOIpRcServ!$E$21,AD5/PoToMRVWOIpRcServ!$AD$7*PoToMRVWOIpRcServ!$E$21)</f>
        <v>0</v>
      </c>
      <c r="AI5" s="31">
        <f>S5*PoToMRVWOIpRcServ!$M$2</f>
        <v>328.47</v>
      </c>
      <c r="AJ5" s="31">
        <f>IF(PoToMRVWOIpRcServ!$C$2=3,0,AG5+AH5)</f>
        <v>0</v>
      </c>
      <c r="AK5" s="31">
        <f>IF(PoToMRVWOIpRcServ!$C$2=3,AE5+AG5+AH5,0)</f>
        <v>0</v>
      </c>
      <c r="AL5" s="34">
        <v>1</v>
      </c>
      <c r="AM5" s="31">
        <f>F5/AL5</f>
        <v>4</v>
      </c>
      <c r="AN5" s="31">
        <f>ROUND(AI5/AM5,5)</f>
        <v>82.1175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284</v>
      </c>
      <c r="AV5" t="s" s="0">
        <v>285</v>
      </c>
      <c r="AW5" s="39">
        <f>AM5</f>
        <v>4</v>
      </c>
      <c r="AX5" s="103">
        <f>AR5</f>
        <v>82.1175</v>
      </c>
      <c r="AY5" s="39">
        <f>AU5+AW5</f>
        <v>16</v>
      </c>
      <c r="AZ5" s="103">
        <f>ROUND(((AU5*AV5)+(AW5*AX5))/(AU5+AW5),2)</f>
        <v>80.84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285</v>
      </c>
      <c r="BN5" t="s" s="0">
        <v>88</v>
      </c>
      <c r="BO5" s="39">
        <f>ROUND((((AW5*AZ5)+(BN5*BM5))/(AW5+BN5)),5)</f>
        <v>80.625</v>
      </c>
      <c r="BP5" s="48">
        <f>ROUND(BN5+AW5,3)</f>
        <v>8</v>
      </c>
      <c r="BQ5" s="49">
        <v>123562</v>
      </c>
    </row>
    <row r="6" ht="15.75" spans="1:69">
      <c r="A6" s="7">
        <v>1</v>
      </c>
      <c r="B6" s="102" t="s">
        <v>286</v>
      </c>
      <c r="C6" s="102" t="s">
        <v>286</v>
      </c>
      <c r="D6" s="7" t="s">
        <v>76</v>
      </c>
      <c r="E6" s="7" t="s">
        <v>76</v>
      </c>
      <c r="F6" s="8">
        <v>10</v>
      </c>
      <c r="G6" t="s" s="0">
        <v>199</v>
      </c>
      <c r="H6" s="8">
        <f>F6*G6</f>
        <v>500</v>
      </c>
      <c r="I6" t="s" s="0">
        <v>205</v>
      </c>
      <c r="J6" s="8">
        <v>7</v>
      </c>
      <c r="K6" s="8">
        <v>4</v>
      </c>
      <c r="L6" s="8">
        <f t="shared" si="0"/>
        <v>500</v>
      </c>
      <c r="M6" s="8">
        <f>ROUND(L6*I6%,2)</f>
        <v>15</v>
      </c>
      <c r="N6" s="8">
        <f>H6-M6</f>
        <v>485</v>
      </c>
      <c r="O6" s="8">
        <f>ROUND(N6*J6%,2)</f>
        <v>33.95</v>
      </c>
      <c r="P6" s="8">
        <f>ROUND(N6-O6,2)</f>
        <v>451.05</v>
      </c>
      <c r="Q6" s="8">
        <f>ROUND(P6*K6%,2)</f>
        <v>18.04</v>
      </c>
      <c r="R6" s="8">
        <f>M6+O6+Q6</f>
        <v>66.99</v>
      </c>
      <c r="S6" s="8">
        <f>(H6-R6)</f>
        <v>433.01</v>
      </c>
      <c r="T6" s="8">
        <v>88363222</v>
      </c>
      <c r="U6" s="8">
        <v>18</v>
      </c>
      <c r="V6" s="8">
        <f>IF(OR(PoToMRVWOIpRcServ!$C$2=1,PoToMRVWOIpRcServ!$C$2=4),ROUND((((S6*U6)/100)/2),2),0)</f>
        <v>0</v>
      </c>
      <c r="W6" s="8">
        <f>IF(PoToMRVWOIpRcServ!$C$2=1,ROUND((((S6*U6)/100)/2),2),0)</f>
        <v>0</v>
      </c>
      <c r="X6" s="8">
        <f>IF(PoToMRVWOIpRcServ!$C$2=2,ROUND(((S6*U6)/100),2),0)</f>
        <v>77.94</v>
      </c>
      <c r="Y6" s="8">
        <f>IF(PoToMRVWOIpRcServ!$C$2=4,ROUND((((S6*U6)/100)/2),2),0)</f>
        <v>0</v>
      </c>
      <c r="Z6" s="8">
        <v>0</v>
      </c>
      <c r="AA6" s="8">
        <f>IF(PoToMRVWOIpRcServ!$C4=3,0,(S6*Z6)/100)</f>
        <v>0</v>
      </c>
      <c r="AB6" s="8">
        <f>V6+W6+X6+Y6+AA6</f>
        <v>77.94</v>
      </c>
      <c r="AC6" s="8">
        <f>IF(PoToMRVWOIpRcServ!$V4=1,S6+AB6,S6)</f>
        <v>433.01</v>
      </c>
      <c r="AD6" s="31">
        <v>120</v>
      </c>
      <c r="AE6" s="31">
        <f>IF(PoToMRVWOIpRcServ!$P$2=1,(S6/PoToMRVWOIpRcServ!$S$7)*PoToMRVWOIpRcServ!$E$18,AD6/PoToMRVWOIpRcServ!$AD$7*PoToMRVWOIpRcServ!$E$18)</f>
        <v>0</v>
      </c>
      <c r="AF6" s="31"/>
      <c r="AG6" s="31">
        <f>IF(PoToMRVWOIpRcServ!$P$2=1,(S6/PoToMRVWOIpRcServ!$S$7)*PoToMRVWOIpRcServ!$E$20,AD6/PoToMRVWOIpRcServ!$AD$7*PoToMRVWOIpRcServ!$E$20)</f>
        <v>0</v>
      </c>
      <c r="AH6" s="31">
        <f>IF(PoToMRVWOIpRcServ!$P$2=1,(S6/PoToMRVWOIpRcServ!$S$7)*PoToMRVWOIpRcServ!$E$21,AD6/PoToMRVWOIpRcServ!$AD$7*PoToMRVWOIpRcServ!$E$21)</f>
        <v>0</v>
      </c>
      <c r="AI6" s="31">
        <f>S6*PoToMRVWOIpRcServ!$M$2</f>
        <v>433.01</v>
      </c>
      <c r="AJ6" s="31">
        <f>IF(PoToMRVWOIpRcServ!$C$2=3,0,AG6+AH6)</f>
        <v>0</v>
      </c>
      <c r="AK6" s="31">
        <f>IF(PoToMRVWOIpRcServ!$C$2=3,AE6+AG6+AH6,0)</f>
        <v>0</v>
      </c>
      <c r="AL6" s="34">
        <v>1</v>
      </c>
      <c r="AM6" s="31">
        <f>F6/AL6</f>
        <v>10</v>
      </c>
      <c r="AN6" s="31">
        <f>ROUND(AI6/AM6,5)</f>
        <v>43.301</v>
      </c>
      <c r="AO6" s="31">
        <f>AJ6/AM6</f>
        <v>0</v>
      </c>
      <c r="AP6" s="31">
        <f>AK6/AM6</f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287</v>
      </c>
      <c r="AV6" t="s" s="0">
        <v>163</v>
      </c>
      <c r="AW6" s="39">
        <f>AM6</f>
        <v>10</v>
      </c>
      <c r="AX6" s="39">
        <f>AR6</f>
        <v>43.301</v>
      </c>
      <c r="AY6" s="39">
        <f>AU6+AW6</f>
        <v>40</v>
      </c>
      <c r="AZ6" s="39">
        <f>ROUND(((AU6*AV6)+(AW6*AX6))/(AU6+AW6),3)</f>
        <v>104.234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163</v>
      </c>
      <c r="BN6" t="s" s="0">
        <v>170</v>
      </c>
      <c r="BO6" s="39">
        <f>ROUND((((AW6*AZ6)+(BN6*BM6))/(AW6+BN6)),5)</f>
        <v>114.3895</v>
      </c>
      <c r="BP6" s="48">
        <f>ROUND(BN6+AW6,3)</f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">SUM(R4:R4)</f>
        <v>127.28</v>
      </c>
      <c r="S7" s="13">
        <f t="shared" si="1"/>
        <v>622.72</v>
      </c>
      <c r="T7" s="26"/>
      <c r="U7" s="26"/>
      <c r="V7" s="27">
        <f t="shared" si="1"/>
        <v>0</v>
      </c>
      <c r="W7" s="27">
        <f t="shared" si="1"/>
        <v>0</v>
      </c>
      <c r="X7" s="27">
        <f t="shared" si="1"/>
        <v>112.09</v>
      </c>
      <c r="Y7" s="27"/>
      <c r="Z7" s="27"/>
      <c r="AA7" s="27"/>
      <c r="AB7" s="26">
        <f>SUM(AB4:AB4)</f>
        <v>112.09</v>
      </c>
      <c r="AC7" s="32">
        <f>SUM(AC4:AC4)</f>
        <v>734.81</v>
      </c>
      <c r="AD7" s="33">
        <f>SUM(AD4:AD4)</f>
        <v>120</v>
      </c>
      <c r="AE7" s="33">
        <f>SUM(AE4:AE4)</f>
        <v>0</v>
      </c>
      <c r="AF7" s="32"/>
      <c r="AG7" s="33">
        <f t="shared" ref="AG7:AK7" si="2">SUM(AG4:AG4)</f>
        <v>0</v>
      </c>
      <c r="AH7" s="33">
        <f>IF($P$2=1,(S7/$S$7)*$E$21,AD7/$AD$7*$E$21)</f>
        <v>0</v>
      </c>
      <c r="AI7" s="33">
        <f t="shared" si="2"/>
        <v>622.72</v>
      </c>
      <c r="AJ7" s="33">
        <f t="shared" si="2"/>
        <v>0</v>
      </c>
      <c r="AK7" s="33">
        <f t="shared" si="2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750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112.09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734.81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G16" sqref="G16"/>
    </sheetView>
  </sheetViews>
  <sheetFormatPr defaultColWidth="8.84761904761905" defaultRowHeight="15"/>
  <cols>
    <col min="2" max="2" customWidth="true" width="28.0"/>
    <col min="3" max="3" customWidth="true" width="23.7142857142857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280</v>
      </c>
      <c r="C4" s="7" t="s">
        <v>280</v>
      </c>
      <c r="D4" s="7" t="s">
        <v>76</v>
      </c>
      <c r="E4" s="7" t="s">
        <v>76</v>
      </c>
      <c r="F4" s="8">
        <v>5</v>
      </c>
      <c r="G4" t="s" s="0">
        <v>77</v>
      </c>
      <c r="H4" s="8">
        <f t="shared" ref="H4:H6" si="0">F4*G4</f>
        <v>750</v>
      </c>
      <c r="I4" t="s" s="0">
        <v>78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31">
        <f>ROUND(M4+O4+Q4,3)</f>
        <v>127.28</v>
      </c>
      <c r="S4" s="31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0">
        <f>IF($V2=1,S4+AB4,S4)</f>
        <v>622.72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S4*$M2</f>
        <v>52931.2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7">F4/AL4</f>
        <v>5</v>
      </c>
      <c r="AN4" s="31">
        <f t="shared" ref="AN4:AN6" si="8">ROUND(AI4/AM4,5)</f>
        <v>10586.24</v>
      </c>
      <c r="AO4" s="31">
        <f t="shared" ref="AO4:AO6" si="9">AJ4/AM4</f>
        <v>0</v>
      </c>
      <c r="AP4" s="31">
        <f t="shared" ref="AP4:AP6" si="10">AK4/AM4</f>
        <v>0</v>
      </c>
      <c r="AQ4" s="31" t="s">
        <v>76</v>
      </c>
      <c r="AR4" s="31">
        <f t="shared" ref="AR4:AR6" si="11">ROUND(AN4+AO4+AP4,5)</f>
        <v>10586.24</v>
      </c>
      <c r="AS4" s="38" t="s">
        <v>120</v>
      </c>
      <c r="AT4" s="39" t="s">
        <v>76</v>
      </c>
      <c r="AU4" t="s" s="0">
        <v>281</v>
      </c>
      <c r="AV4" t="s" s="0">
        <v>282</v>
      </c>
      <c r="AW4" s="39">
        <f t="shared" ref="AW4:AW6" si="12">AM4</f>
        <v>5</v>
      </c>
      <c r="AX4" s="103">
        <f t="shared" ref="AX4:AX6" si="13">AR4</f>
        <v>10586.24</v>
      </c>
      <c r="AY4" s="39">
        <f t="shared" ref="AY4:AY6" si="14">AU4+AW4</f>
        <v>20</v>
      </c>
      <c r="AZ4" s="39">
        <f>ROUND(((AU4*AV4)+(AW4*AX4))/(AU4+AW4),3)</f>
        <v>2677.696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282</v>
      </c>
      <c r="BN4" t="s" s="0">
        <v>78</v>
      </c>
      <c r="BO4" s="39">
        <f t="shared" ref="BO4:BO6" si="15">ROUND((((AW4*AZ4)+(BN4*BM4))/(AW4+BN4)),5)</f>
        <v>1359.6055</v>
      </c>
      <c r="BP4" s="48">
        <f t="shared" ref="BP4:BP6" si="16">ROUND(BN4+AW4,3)</f>
        <v>10</v>
      </c>
      <c r="BQ4" s="49">
        <v>123562</v>
      </c>
    </row>
    <row r="5" ht="15.75" spans="1:69">
      <c r="A5" s="7">
        <v>1</v>
      </c>
      <c r="B5" s="7" t="s">
        <v>283</v>
      </c>
      <c r="C5" s="7" t="s">
        <v>283</v>
      </c>
      <c r="D5" s="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IF(OR(PoToMRVWOIpRcServImp!$C$2=1,PoToMRVWOIpRcServImp!$C$2=4),ROUND((((S5*U5)/100)/2),2),0)</f>
        <v>0</v>
      </c>
      <c r="W5" s="8">
        <f>IF(PoToMRVWOIpRcServImp!$C$2=1,ROUND((((S5*U5)/100)/2),2),0)</f>
        <v>0</v>
      </c>
      <c r="X5" s="8">
        <f>IF(PoToMRVWOIpRcServImp!$C$2=2,ROUND(((S5*U5)/100),2),0)</f>
        <v>0</v>
      </c>
      <c r="Y5" s="8">
        <f>IF(PoToMRVWOIpRcServImp!$C$2=4,ROUND((((S5*U5)/100)/2),2),0)</f>
        <v>0</v>
      </c>
      <c r="Z5" s="8">
        <v>0</v>
      </c>
      <c r="AA5" s="8">
        <f>IF(PoToMRVWOIpRcServImp!$C3=3,0,(S5*Z5)/100)</f>
        <v>0</v>
      </c>
      <c r="AB5" s="8">
        <f t="shared" si="6"/>
        <v>0</v>
      </c>
      <c r="AC5" s="8">
        <f>IF(PoToMRVWOIpRcServImp!$V3=1,S5+AB5,S5)</f>
        <v>328.47</v>
      </c>
      <c r="AD5" s="31">
        <v>120</v>
      </c>
      <c r="AE5" s="31">
        <f>IF(PoToMRVWOIpRcServImp!$P$2=1,(S5/PoToMRVWOIpRcServImp!$S$7)*PoToMRVWOIpRcServImp!$E$18,AD5/PoToMRVWOIpRcServImp!$AD$7*PoToMRVWOIpRcServImp!$E$18)</f>
        <v>0</v>
      </c>
      <c r="AF5" s="31"/>
      <c r="AG5" s="31">
        <f>IF(PoToMRVWOIpRcServImp!$P$2=1,(S5/PoToMRVWOIpRcServImp!$S$7)*PoToMRVWOIpRcServImp!$E$20,AD5/PoToMRVWOIpRcServImp!$AD$7*PoToMRVWOIpRcServImp!$E$20)</f>
        <v>0</v>
      </c>
      <c r="AH5" s="31">
        <f>IF(PoToMRVWOIpRcServImp!$P$2=1,(S5/PoToMRVWOIpRcServImp!$S$7)*PoToMRVWOIpRcServImp!$E$21,AD5/PoToMRVWOIpRcServImp!$AD$7*PoToMRVWOIpRcServImp!$E$21)</f>
        <v>0</v>
      </c>
      <c r="AI5" s="31">
        <f>S5*PoToMRVWOIpRcServImp!$M$2</f>
        <v>27919.95</v>
      </c>
      <c r="AJ5" s="31">
        <f>IF(PoToMRVWOIpRcServImp!$C$2=3,0,AG5+AH5)</f>
        <v>0</v>
      </c>
      <c r="AK5" s="31">
        <f>IF(PoToMRVWOIpRcServImp!$C$2=3,AE5+AG5+AH5,0)</f>
        <v>0</v>
      </c>
      <c r="AL5" s="34">
        <v>1</v>
      </c>
      <c r="AM5" s="31">
        <f t="shared" si="7"/>
        <v>4</v>
      </c>
      <c r="AN5" s="31">
        <f t="shared" si="8"/>
        <v>6979.9875</v>
      </c>
      <c r="AO5" s="31">
        <f t="shared" si="9"/>
        <v>0</v>
      </c>
      <c r="AP5" s="31">
        <f t="shared" si="10"/>
        <v>0</v>
      </c>
      <c r="AQ5" s="31" t="s">
        <v>76</v>
      </c>
      <c r="AR5" s="31">
        <f t="shared" si="11"/>
        <v>6979.9875</v>
      </c>
      <c r="AS5" s="38" t="s">
        <v>120</v>
      </c>
      <c r="AT5" s="39" t="s">
        <v>76</v>
      </c>
      <c r="AU5" t="s" s="0">
        <v>284</v>
      </c>
      <c r="AV5" t="s" s="0">
        <v>285</v>
      </c>
      <c r="AW5" s="39">
        <f t="shared" si="12"/>
        <v>4</v>
      </c>
      <c r="AX5" s="103">
        <f t="shared" si="13"/>
        <v>6979.9875</v>
      </c>
      <c r="AY5" s="39">
        <f t="shared" si="14"/>
        <v>16</v>
      </c>
      <c r="AZ5" s="103">
        <f>ROUND(((AU5*AV5)+(AW5*AX5))/(AU5+AW5),2)</f>
        <v>1805.3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285</v>
      </c>
      <c r="BN5" t="s" s="0">
        <v>88</v>
      </c>
      <c r="BO5" s="39">
        <f t="shared" si="15"/>
        <v>942.855</v>
      </c>
      <c r="BP5" s="48">
        <f t="shared" si="16"/>
        <v>8</v>
      </c>
      <c r="BQ5" s="49">
        <v>123562</v>
      </c>
    </row>
    <row r="6" ht="15.75" spans="1:69">
      <c r="A6" s="7">
        <v>1</v>
      </c>
      <c r="B6" s="102" t="s">
        <v>286</v>
      </c>
      <c r="C6" s="102" t="s">
        <v>286</v>
      </c>
      <c r="D6" s="7" t="s">
        <v>76</v>
      </c>
      <c r="E6" s="7" t="s">
        <v>76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>ROUND(L6*I6%,2)</f>
        <v>15</v>
      </c>
      <c r="N6" s="8">
        <f t="shared" si="2"/>
        <v>485</v>
      </c>
      <c r="O6" s="8">
        <f>ROUND(N6*J6%,2)</f>
        <v>33.95</v>
      </c>
      <c r="P6" s="8">
        <f t="shared" si="3"/>
        <v>451.05</v>
      </c>
      <c r="Q6" s="8">
        <f t="shared" si="4"/>
        <v>18.04</v>
      </c>
      <c r="R6" s="8">
        <f>M6+O6+Q6</f>
        <v>66.99</v>
      </c>
      <c r="S6" s="8">
        <f t="shared" si="5"/>
        <v>433.01</v>
      </c>
      <c r="T6" s="8">
        <v>88363222</v>
      </c>
      <c r="U6" s="8">
        <v>18</v>
      </c>
      <c r="V6" s="8">
        <f>IF(OR(PoToMRVWOIpRcServImp!$C$2=1,PoToMRVWOIpRcServImp!$C$2=4),ROUND((((S6*U6)/100)/2),2),0)</f>
        <v>0</v>
      </c>
      <c r="W6" s="8">
        <f>IF(PoToMRVWOIpRcServImp!$C$2=1,ROUND((((S6*U6)/100)/2),2),0)</f>
        <v>0</v>
      </c>
      <c r="X6" s="8">
        <f>IF(PoToMRVWOIpRcServImp!$C$2=2,ROUND(((S6*U6)/100),2),0)</f>
        <v>0</v>
      </c>
      <c r="Y6" s="8">
        <f>IF(PoToMRVWOIpRcServImp!$C$2=4,ROUND((((S6*U6)/100)/2),2),0)</f>
        <v>0</v>
      </c>
      <c r="Z6" s="8">
        <v>0</v>
      </c>
      <c r="AA6" s="8">
        <f>IF(PoToMRVWOIpRcServImp!$C4=3,0,(S6*Z6)/100)</f>
        <v>0</v>
      </c>
      <c r="AB6" s="8">
        <f t="shared" si="6"/>
        <v>0</v>
      </c>
      <c r="AC6" s="8">
        <f>IF(PoToMRVWOIpRcServImp!$V4=1,S6+AB6,S6)</f>
        <v>433.01</v>
      </c>
      <c r="AD6" s="31">
        <v>120</v>
      </c>
      <c r="AE6" s="31">
        <f>IF(PoToMRVWOIpRcServImp!$P$2=1,(S6/PoToMRVWOIpRcServImp!$S$7)*PoToMRVWOIpRcServImp!$E$18,AD6/PoToMRVWOIpRcServImp!$AD$7*PoToMRVWOIpRcServImp!$E$18)</f>
        <v>0</v>
      </c>
      <c r="AF6" s="31"/>
      <c r="AG6" s="31">
        <f>IF(PoToMRVWOIpRcServImp!$P$2=1,(S6/PoToMRVWOIpRcServImp!$S$7)*PoToMRVWOIpRcServImp!$E$20,AD6/PoToMRVWOIpRcServImp!$AD$7*PoToMRVWOIpRcServImp!$E$20)</f>
        <v>0</v>
      </c>
      <c r="AH6" s="31">
        <f>IF(PoToMRVWOIpRcServImp!$P$2=1,(S6/PoToMRVWOIpRcServImp!$S$7)*PoToMRVWOIpRcServImp!$E$21,AD6/PoToMRVWOIpRcServImp!$AD$7*PoToMRVWOIpRcServImp!$E$21)</f>
        <v>0</v>
      </c>
      <c r="AI6" s="31">
        <f>S6*PoToMRVWOIpRcServImp!$M$2</f>
        <v>36805.85</v>
      </c>
      <c r="AJ6" s="31">
        <f>IF(PoToMRVWOIpRcServImp!$C$2=3,0,AG6+AH6)</f>
        <v>0</v>
      </c>
      <c r="AK6" s="31">
        <f>IF(PoToMRVWOIpRcServImp!$C$2=3,AE6+AG6+AH6,0)</f>
        <v>0</v>
      </c>
      <c r="AL6" s="34">
        <v>1</v>
      </c>
      <c r="AM6" s="31">
        <f t="shared" si="7"/>
        <v>10</v>
      </c>
      <c r="AN6" s="31">
        <f t="shared" si="8"/>
        <v>3680.585</v>
      </c>
      <c r="AO6" s="31">
        <f t="shared" si="9"/>
        <v>0</v>
      </c>
      <c r="AP6" s="31">
        <f t="shared" si="10"/>
        <v>0</v>
      </c>
      <c r="AQ6" s="31" t="s">
        <v>76</v>
      </c>
      <c r="AR6" s="31">
        <f t="shared" si="11"/>
        <v>3680.585</v>
      </c>
      <c r="AS6" s="38" t="s">
        <v>120</v>
      </c>
      <c r="AT6" s="39" t="s">
        <v>76</v>
      </c>
      <c r="AU6" t="s" s="0">
        <v>287</v>
      </c>
      <c r="AV6" t="s" s="0">
        <v>163</v>
      </c>
      <c r="AW6" s="39">
        <f t="shared" si="12"/>
        <v>10</v>
      </c>
      <c r="AX6" s="39">
        <f t="shared" si="13"/>
        <v>3680.585</v>
      </c>
      <c r="AY6" s="39">
        <f t="shared" si="14"/>
        <v>40</v>
      </c>
      <c r="AZ6" s="39">
        <f>ROUND(((AU6*AV6)+(AW6*AX6))/(AU6+AW6),3)</f>
        <v>1013.555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163</v>
      </c>
      <c r="BN6" t="s" s="0">
        <v>170</v>
      </c>
      <c r="BO6" s="39">
        <f t="shared" si="15"/>
        <v>569.05</v>
      </c>
      <c r="BP6" s="48">
        <f t="shared" si="16"/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127.28</v>
      </c>
      <c r="S7" s="13">
        <f t="shared" si="17"/>
        <v>622.72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0</v>
      </c>
      <c r="Y7" s="27"/>
      <c r="Z7" s="27"/>
      <c r="AA7" s="27"/>
      <c r="AB7" s="26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750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O1" workbookViewId="0">
      <selection activeCell="AX8" sqref="AX8"/>
    </sheetView>
  </sheetViews>
  <sheetFormatPr defaultColWidth="8.84761904761905" defaultRowHeight="15"/>
  <cols>
    <col min="2" max="2" customWidth="true" width="28.0"/>
    <col min="3" max="3" customWidth="true" width="23.0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288</v>
      </c>
      <c r="C4" s="7" t="s">
        <v>288</v>
      </c>
      <c r="D4" s="7" t="s">
        <v>76</v>
      </c>
      <c r="E4" s="7" t="s">
        <v>76</v>
      </c>
      <c r="F4" s="8">
        <v>5</v>
      </c>
      <c r="G4" t="s" s="0">
        <v>77</v>
      </c>
      <c r="H4" s="8">
        <f>F4*G4</f>
        <v>750</v>
      </c>
      <c r="I4" t="s" s="0">
        <v>78</v>
      </c>
      <c r="J4" s="8">
        <v>8</v>
      </c>
      <c r="K4" s="8">
        <v>5</v>
      </c>
      <c r="L4" s="8">
        <f>IF(OR(I4=0,I4="0"),0,H4)</f>
        <v>750</v>
      </c>
      <c r="M4" s="8">
        <f>ROUND(L4*I4%,3)</f>
        <v>37.5</v>
      </c>
      <c r="N4" s="8">
        <f>H4-M4</f>
        <v>712.5</v>
      </c>
      <c r="O4" s="8">
        <f>ROUND(N4*J4%,3)</f>
        <v>57</v>
      </c>
      <c r="P4" s="8">
        <f>ROUND(N4-O4,2)</f>
        <v>655.5</v>
      </c>
      <c r="Q4" s="8">
        <f>ROUND(P4*K4%,2)</f>
        <v>32.78</v>
      </c>
      <c r="R4" s="31">
        <f>ROUND(M4+O4+Q4,3)</f>
        <v>127.28</v>
      </c>
      <c r="S4" s="31">
        <f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112.09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112.09</v>
      </c>
      <c r="AC4" s="30">
        <f>IF($V2=1,S4+AB4,S4)</f>
        <v>734.81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S4*$M2</f>
        <v>622.72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124.544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124.544</v>
      </c>
      <c r="AS4" s="38" t="s">
        <v>120</v>
      </c>
      <c r="AT4" s="39" t="s">
        <v>76</v>
      </c>
      <c r="AU4" t="s" s="0">
        <v>281</v>
      </c>
      <c r="AV4" t="s" s="0">
        <v>289</v>
      </c>
      <c r="AW4" s="39">
        <f>AM4</f>
        <v>5</v>
      </c>
      <c r="AX4" s="103">
        <f>AR4</f>
        <v>124.544</v>
      </c>
      <c r="AY4" s="39">
        <f>AU4+AW4</f>
        <v>15</v>
      </c>
      <c r="AZ4" s="42">
        <f>ROUND(((AU4*AV4)+(AW4*AX4))/(AU4+AW4),3)</f>
        <v>124.545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163</v>
      </c>
      <c r="BN4" t="s" s="0">
        <v>241</v>
      </c>
      <c r="BO4" s="39">
        <f>ROUND((((AW4*AZ4)+(BN4*BM4))/(AW4+BN4)),5)</f>
        <v>124.545</v>
      </c>
      <c r="BP4" s="48">
        <f>ROUND(BN4+AW4,3)</f>
        <v>5</v>
      </c>
      <c r="BQ4" s="49">
        <v>123562</v>
      </c>
    </row>
    <row r="5" ht="15.75" spans="1:69">
      <c r="A5" s="7">
        <v>1</v>
      </c>
      <c r="B5" s="7" t="s">
        <v>290</v>
      </c>
      <c r="C5" s="7" t="s">
        <v>290</v>
      </c>
      <c r="D5" s="7" t="s">
        <v>76</v>
      </c>
      <c r="E5" s="7" t="s">
        <v>76</v>
      </c>
      <c r="F5" s="8">
        <v>4</v>
      </c>
      <c r="G5" t="s" s="0">
        <v>87</v>
      </c>
      <c r="H5" s="8">
        <f>F5*G5</f>
        <v>400</v>
      </c>
      <c r="I5" t="s" s="0">
        <v>88</v>
      </c>
      <c r="J5" s="8">
        <v>9</v>
      </c>
      <c r="K5" s="8">
        <v>6</v>
      </c>
      <c r="L5" s="8">
        <f t="shared" ref="L5:L6" si="0">IF(OR(I5=0,I5="0"),0,H5)</f>
        <v>400</v>
      </c>
      <c r="M5" s="8">
        <f>ROUND(L5*I5%,2)</f>
        <v>16</v>
      </c>
      <c r="N5" s="8">
        <f>H5-M5</f>
        <v>384</v>
      </c>
      <c r="O5" s="8">
        <f>ROUND(N5*J5%,2)</f>
        <v>34.56</v>
      </c>
      <c r="P5" s="8">
        <f>ROUND(N5-O5,2)</f>
        <v>349.44</v>
      </c>
      <c r="Q5" s="8">
        <f>ROUND(P5*K5%,2)</f>
        <v>20.97</v>
      </c>
      <c r="R5" s="8">
        <f>M5+O5+Q5</f>
        <v>71.53</v>
      </c>
      <c r="S5" s="8">
        <f>(H5-R5)</f>
        <v>328.47</v>
      </c>
      <c r="T5" s="8">
        <v>88363222</v>
      </c>
      <c r="U5" s="8">
        <v>18</v>
      </c>
      <c r="V5" s="8">
        <f>IF(OR(PoToMRVWOIpPl!$C$2=1,PoToMRVWOIpPl!$C$2=4),ROUND((((S5*U5)/100)/2),2),0)</f>
        <v>0</v>
      </c>
      <c r="W5" s="8">
        <f>IF(PoToMRVWOIpPl!$C$2=1,ROUND((((S5*U5)/100)/2),2),0)</f>
        <v>0</v>
      </c>
      <c r="X5" s="8">
        <f>IF(PoToMRVWOIpPl!$C$2=2,ROUND(((S5*U5)/100),2),0)</f>
        <v>59.12</v>
      </c>
      <c r="Y5" s="8">
        <f>IF(PoToMRVWOIpPl!$C$2=4,ROUND((((S5*U5)/100)/2),2),0)</f>
        <v>0</v>
      </c>
      <c r="Z5" s="8">
        <v>0</v>
      </c>
      <c r="AA5" s="8">
        <f>IF(PoToMRVWOIpPl!$C3=3,0,(S5*Z5)/100)</f>
        <v>0</v>
      </c>
      <c r="AB5" s="8">
        <f>V5+W5+X5+Y5+AA5</f>
        <v>59.12</v>
      </c>
      <c r="AC5" s="8">
        <f>IF(PoToMRVWOIpPl!$V3=1,S5+AB5,S5)</f>
        <v>328.47</v>
      </c>
      <c r="AD5" s="31">
        <v>120</v>
      </c>
      <c r="AE5" s="31">
        <f>IF(PoToMRVWOIpPl!$P$2=1,(S5/PoToMRVWOIpPl!$S$7)*PoToMRVWOIpPl!$E$18,AD5/PoToMRVWOIpPl!$AD$7*PoToMRVWOIpPl!$E$18)</f>
        <v>0</v>
      </c>
      <c r="AF5" s="31"/>
      <c r="AG5" s="31">
        <f>IF(PoToMRVWOIpPl!$P$2=1,(S5/PoToMRVWOIpPl!$S$7)*PoToMRVWOIpPl!$E$20,AD5/PoToMRVWOIpPl!$AD$7*PoToMRVWOIpPl!$E$20)</f>
        <v>0</v>
      </c>
      <c r="AH5" s="31">
        <f>IF(PoToMRVWOIpPl!$P$2=1,(S5/PoToMRVWOIpPl!$S$7)*PoToMRVWOIpPl!$E$21,AD5/PoToMRVWOIpPl!$AD$7*PoToMRVWOIpPl!$E$21)</f>
        <v>0</v>
      </c>
      <c r="AI5" s="31">
        <f>S5*PoToMRVWOIpPl!$M$2</f>
        <v>328.47</v>
      </c>
      <c r="AJ5" s="31">
        <f>IF(PoToMRVWOIpPl!$C$2=3,0,AG5+AH5)</f>
        <v>0</v>
      </c>
      <c r="AK5" s="31">
        <f>IF(PoToMRVWOIpPl!$C$2=3,AE5+AG5+AH5,0)</f>
        <v>0</v>
      </c>
      <c r="AL5" s="34">
        <v>1</v>
      </c>
      <c r="AM5" s="31">
        <f>F5/AL5</f>
        <v>4</v>
      </c>
      <c r="AN5" s="31">
        <f>ROUND(AI5/AM5,5)</f>
        <v>82.1175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227</v>
      </c>
      <c r="AV5" t="s" s="0">
        <v>291</v>
      </c>
      <c r="AW5" s="39">
        <f>AM5</f>
        <v>4</v>
      </c>
      <c r="AX5" s="103">
        <f>AR5</f>
        <v>82.1175</v>
      </c>
      <c r="AY5" s="39">
        <f>AU5+AW5</f>
        <v>12</v>
      </c>
      <c r="AZ5" s="103">
        <f>ROUND(((AU5*AV5)+(AW5*AX5))/(AU5+AW5),2)</f>
        <v>82.12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153</v>
      </c>
      <c r="BN5" t="s" s="0">
        <v>253</v>
      </c>
      <c r="BO5" s="39">
        <f>ROUND((((AW5*AZ5)+(BN5*BM5))/(AW5+BN5)),5)</f>
        <v>82.12</v>
      </c>
      <c r="BP5" s="48">
        <f>ROUND(BN5+AW5,3)</f>
        <v>4</v>
      </c>
      <c r="BQ5" s="49">
        <v>123562</v>
      </c>
    </row>
    <row r="6" ht="15.75" spans="1:69">
      <c r="A6" s="7">
        <v>1</v>
      </c>
      <c r="B6" s="101" t="s">
        <v>292</v>
      </c>
      <c r="C6" s="102" t="s">
        <v>292</v>
      </c>
      <c r="D6" s="7" t="s">
        <v>76</v>
      </c>
      <c r="E6" s="7" t="s">
        <v>76</v>
      </c>
      <c r="F6" s="8">
        <v>20</v>
      </c>
      <c r="G6" t="s" s="0">
        <v>199</v>
      </c>
      <c r="H6" s="8">
        <f>F6*G6</f>
        <v>1000</v>
      </c>
      <c r="I6" t="s" s="0">
        <v>205</v>
      </c>
      <c r="J6" s="8">
        <v>7</v>
      </c>
      <c r="K6" s="8">
        <v>4</v>
      </c>
      <c r="L6" s="8">
        <f t="shared" si="0"/>
        <v>1000</v>
      </c>
      <c r="M6" s="8">
        <f>ROUND(L6*I6%,2)</f>
        <v>30</v>
      </c>
      <c r="N6" s="8">
        <f>H6-M6</f>
        <v>970</v>
      </c>
      <c r="O6" s="8">
        <f>ROUND(N6*J6%,2)</f>
        <v>67.9</v>
      </c>
      <c r="P6" s="8">
        <f>ROUND(N6-O6,2)</f>
        <v>902.1</v>
      </c>
      <c r="Q6" s="8">
        <f>ROUND(P6*K6%,2)</f>
        <v>36.08</v>
      </c>
      <c r="R6" s="8">
        <f>M6+O6+Q6</f>
        <v>133.98</v>
      </c>
      <c r="S6" s="8">
        <f>(H6-R6)</f>
        <v>866.02</v>
      </c>
      <c r="T6" s="8">
        <v>88363222</v>
      </c>
      <c r="U6" s="8">
        <v>18</v>
      </c>
      <c r="V6" s="8">
        <f>IF(OR(PoToMRVWOIpPl!$C$2=1,PoToMRVWOIpPl!$C$2=4),ROUND((((S6*U6)/100)/2),2),0)</f>
        <v>0</v>
      </c>
      <c r="W6" s="8">
        <f>IF(PoToMRVWOIpPl!$C$2=1,ROUND((((S6*U6)/100)/2),2),0)</f>
        <v>0</v>
      </c>
      <c r="X6" s="8">
        <f>IF(PoToMRVWOIpPl!$C$2=2,ROUND(((S6*U6)/100),2),0)</f>
        <v>155.88</v>
      </c>
      <c r="Y6" s="8">
        <f>IF(PoToMRVWOIpPl!$C$2=4,ROUND((((S6*U6)/100)/2),2),0)</f>
        <v>0</v>
      </c>
      <c r="Z6" s="8">
        <v>0</v>
      </c>
      <c r="AA6" s="8">
        <f>IF(PoToMRVWOIpPl!$C4=3,0,(S6*Z6)/100)</f>
        <v>0</v>
      </c>
      <c r="AB6" s="8">
        <f>V6+W6+X6+Y6+AA6</f>
        <v>155.88</v>
      </c>
      <c r="AC6" s="8">
        <f>IF(PoToMRVWOIpPl!$V4=1,S6+AB6,S6)</f>
        <v>866.02</v>
      </c>
      <c r="AD6" s="31">
        <v>120</v>
      </c>
      <c r="AE6" s="31">
        <f>IF(PoToMRVWOIpPl!$P$2=1,(S6/PoToMRVWOIpPl!$S$7)*PoToMRVWOIpPl!$E$18,AD6/PoToMRVWOIpPl!$AD$7*PoToMRVWOIpPl!$E$18)</f>
        <v>0</v>
      </c>
      <c r="AF6" s="31"/>
      <c r="AG6" s="31">
        <f>IF(PoToMRVWOIpPl!$P$2=1,(S6/PoToMRVWOIpPl!$S$7)*PoToMRVWOIpPl!$E$20,AD6/PoToMRVWOIpPl!$AD$7*PoToMRVWOIpPl!$E$20)</f>
        <v>0</v>
      </c>
      <c r="AH6" s="31">
        <f>IF(PoToMRVWOIpPl!$P$2=1,(S6/PoToMRVWOIpPl!$S$7)*PoToMRVWOIpPl!$E$21,AD6/PoToMRVWOIpPl!$AD$7*PoToMRVWOIpPl!$E$21)</f>
        <v>0</v>
      </c>
      <c r="AI6" s="31">
        <f>S6*PoToMRVWOIpPl!$M$2</f>
        <v>866.02</v>
      </c>
      <c r="AJ6" s="31">
        <f>IF(PoToMRVWOIpPl!$C$2=3,0,AG6+AH6)</f>
        <v>0</v>
      </c>
      <c r="AK6" s="31">
        <f>IF(PoToMRVWOIpPl!$C$2=3,AE6+AG6+AH6,0)</f>
        <v>0</v>
      </c>
      <c r="AL6" s="34">
        <v>1</v>
      </c>
      <c r="AM6" s="31">
        <f>F6/AL6</f>
        <v>20</v>
      </c>
      <c r="AN6" s="31">
        <f>ROUND(AI6/AM6,5)</f>
        <v>43.301</v>
      </c>
      <c r="AO6" s="31">
        <f>AJ6/AM6</f>
        <v>0</v>
      </c>
      <c r="AP6" s="31">
        <f>AK6/AM6</f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293</v>
      </c>
      <c r="AV6" t="s" s="0">
        <v>294</v>
      </c>
      <c r="AW6" s="39">
        <f>AM6</f>
        <v>20</v>
      </c>
      <c r="AX6" s="39">
        <f>AR6</f>
        <v>43.301</v>
      </c>
      <c r="AY6" s="39">
        <f>AU6+AW6</f>
        <v>50</v>
      </c>
      <c r="AZ6" s="39">
        <f>ROUND(((AU6*AV6)+(AW6*AX6))/(AU6+AW6),1)</f>
        <v>43.3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159</v>
      </c>
      <c r="BN6" t="s" s="0">
        <v>295</v>
      </c>
      <c r="BO6" s="39">
        <f>ROUND((((AW6*AZ6)+(BN6*BM6))/(AW6+BN6)),5)</f>
        <v>43.3</v>
      </c>
      <c r="BP6" s="48">
        <f>ROUND(BN6+AW6,3)</f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">SUM(R4:R4)</f>
        <v>127.28</v>
      </c>
      <c r="S7" s="13">
        <f t="shared" si="1"/>
        <v>622.72</v>
      </c>
      <c r="T7" s="26"/>
      <c r="U7" s="26"/>
      <c r="V7" s="27">
        <f t="shared" si="1"/>
        <v>0</v>
      </c>
      <c r="W7" s="27">
        <f t="shared" si="1"/>
        <v>0</v>
      </c>
      <c r="X7" s="27">
        <f t="shared" si="1"/>
        <v>112.09</v>
      </c>
      <c r="Y7" s="27"/>
      <c r="Z7" s="27"/>
      <c r="AA7" s="27"/>
      <c r="AB7" s="26">
        <f>SUM(AB4:AB4)</f>
        <v>112.09</v>
      </c>
      <c r="AC7" s="32">
        <f>SUM(AC4:AC4)</f>
        <v>734.81</v>
      </c>
      <c r="AD7" s="33">
        <f>SUM(AD4:AD4)</f>
        <v>120</v>
      </c>
      <c r="AE7" s="33">
        <f>SUM(AE4:AE4)</f>
        <v>0</v>
      </c>
      <c r="AF7" s="32"/>
      <c r="AG7" s="33">
        <f t="shared" ref="AG7:AK7" si="2">SUM(AG4:AG4)</f>
        <v>0</v>
      </c>
      <c r="AH7" s="33">
        <f>IF($P$2=1,(S7/$S$7)*$E$21,AD7/$AD$7*$E$21)</f>
        <v>0</v>
      </c>
      <c r="AI7" s="33">
        <f t="shared" si="2"/>
        <v>622.72</v>
      </c>
      <c r="AJ7" s="33">
        <f t="shared" si="2"/>
        <v>0</v>
      </c>
      <c r="AK7" s="33">
        <f t="shared" si="2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750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112.09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734.81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M1" workbookViewId="0">
      <selection activeCell="AA8" sqref="AA8:AA9"/>
    </sheetView>
  </sheetViews>
  <sheetFormatPr defaultColWidth="8.84761904761905" defaultRowHeight="15"/>
  <cols>
    <col min="2" max="2" customWidth="true" width="28.0"/>
    <col min="3" max="3" customWidth="true" width="23.0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288</v>
      </c>
      <c r="C4" s="7" t="s">
        <v>288</v>
      </c>
      <c r="D4" s="7" t="s">
        <v>76</v>
      </c>
      <c r="E4" s="7" t="s">
        <v>76</v>
      </c>
      <c r="F4" s="8">
        <v>5</v>
      </c>
      <c r="G4" t="s" s="0">
        <v>77</v>
      </c>
      <c r="H4" s="8">
        <f t="shared" ref="H4:H6" si="0">F4*G4</f>
        <v>750</v>
      </c>
      <c r="I4" t="s" s="0">
        <v>78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31">
        <f>ROUND(M4+O4+Q4,3)</f>
        <v>127.28</v>
      </c>
      <c r="S4" s="31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0">
        <f>IF($V2=1,S4+AB4,S4)</f>
        <v>622.72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S4*$M2</f>
        <v>52931.2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7">F4/AL4</f>
        <v>5</v>
      </c>
      <c r="AN4" s="31">
        <f t="shared" ref="AN4:AN6" si="8">ROUND(AI4/AM4,5)</f>
        <v>10586.24</v>
      </c>
      <c r="AO4" s="31">
        <f t="shared" ref="AO4:AO6" si="9">AJ4/AM4</f>
        <v>0</v>
      </c>
      <c r="AP4" s="31">
        <f t="shared" ref="AP4:AP6" si="10">AK4/AM4</f>
        <v>0</v>
      </c>
      <c r="AQ4" s="31" t="s">
        <v>76</v>
      </c>
      <c r="AR4" s="31">
        <f t="shared" ref="AR4:AR6" si="11">ROUND(AN4+AO4+AP4,5)</f>
        <v>10586.24</v>
      </c>
      <c r="AS4" s="38" t="s">
        <v>120</v>
      </c>
      <c r="AT4" s="39" t="s">
        <v>76</v>
      </c>
      <c r="AU4" t="s" s="0">
        <v>170</v>
      </c>
      <c r="AV4" t="s" s="0">
        <v>163</v>
      </c>
      <c r="AW4" s="39">
        <f t="shared" ref="AW4:AW6" si="12">AM4</f>
        <v>5</v>
      </c>
      <c r="AX4" s="103">
        <f t="shared" ref="AX4:AX6" si="13">AR4</f>
        <v>10586.24</v>
      </c>
      <c r="AY4" s="39">
        <f t="shared" ref="AY4:AY6" si="14">AU4+AW4</f>
        <v>15</v>
      </c>
      <c r="AZ4" s="42">
        <f>ROUND(((AU4*AV4)+(AW4*AX4))/(AU4+AW4),3)</f>
        <v>3611.777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85</v>
      </c>
      <c r="BN4" t="s" s="0">
        <v>85</v>
      </c>
      <c r="BO4" s="39">
        <f t="shared" ref="BO4:BO6" si="15">ROUND((((AW4*AZ4)+(BN4*BM4))/(AW4+BN4)),5)</f>
        <v>3611.777</v>
      </c>
      <c r="BP4" s="48">
        <f t="shared" ref="BP4:BP6" si="16">ROUND(BN4+AW4,3)</f>
        <v>5</v>
      </c>
      <c r="BQ4" s="49">
        <v>123562</v>
      </c>
    </row>
    <row r="5" ht="15.75" spans="1:69">
      <c r="A5" s="7">
        <v>1</v>
      </c>
      <c r="B5" s="7" t="s">
        <v>290</v>
      </c>
      <c r="C5" s="7" t="s">
        <v>290</v>
      </c>
      <c r="D5" s="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IF(OR(PoToMRVWOIpPlImp!$C$2=1,PoToMRVWOIpPlImp!$C$2=4),ROUND((((S5*U5)/100)/2),2),0)</f>
        <v>0</v>
      </c>
      <c r="W5" s="8">
        <f>IF(PoToMRVWOIpPlImp!$C$2=1,ROUND((((S5*U5)/100)/2),2),0)</f>
        <v>0</v>
      </c>
      <c r="X5" s="8">
        <f>IF(PoToMRVWOIpPlImp!$C$2=2,ROUND(((S5*U5)/100),2),0)</f>
        <v>0</v>
      </c>
      <c r="Y5" s="8">
        <f>IF(PoToMRVWOIpPlImp!$C$2=4,ROUND((((S5*U5)/100)/2),2),0)</f>
        <v>0</v>
      </c>
      <c r="Z5" s="8">
        <v>0</v>
      </c>
      <c r="AA5" s="8">
        <f>IF(PoToMRVWOIpPlImp!$C3=3,0,(S5*Z5)/100)</f>
        <v>0</v>
      </c>
      <c r="AB5" s="8">
        <f t="shared" si="6"/>
        <v>0</v>
      </c>
      <c r="AC5" s="8">
        <f>IF(PoToMRVWOIpPlImp!$V3=1,S5+AB5,S5)</f>
        <v>328.47</v>
      </c>
      <c r="AD5" s="31">
        <v>120</v>
      </c>
      <c r="AE5" s="31">
        <f>IF(PoToMRVWOIpPlImp!$P$2=1,(S5/PoToMRVWOIpPlImp!$S$7)*PoToMRVWOIpPlImp!$E$18,AD5/PoToMRVWOIpPlImp!$AD$7*PoToMRVWOIpPlImp!$E$18)</f>
        <v>0</v>
      </c>
      <c r="AF5" s="31"/>
      <c r="AG5" s="31">
        <f>IF(PoToMRVWOIpPlImp!$P$2=1,(S5/PoToMRVWOIpPlImp!$S$7)*PoToMRVWOIpPlImp!$E$20,AD5/PoToMRVWOIpPlImp!$AD$7*PoToMRVWOIpPlImp!$E$20)</f>
        <v>0</v>
      </c>
      <c r="AH5" s="31">
        <f>IF(PoToMRVWOIpPlImp!$P$2=1,(S5/PoToMRVWOIpPlImp!$S$7)*PoToMRVWOIpPlImp!$E$21,AD5/PoToMRVWOIpPlImp!$AD$7*PoToMRVWOIpPlImp!$E$21)</f>
        <v>0</v>
      </c>
      <c r="AI5" s="31">
        <f>S5*PoToMRVWOIpPlImp!$M$2</f>
        <v>27919.95</v>
      </c>
      <c r="AJ5" s="31">
        <f>IF(PoToMRVWOIpPlImp!$C$2=3,0,AG5+AH5)</f>
        <v>0</v>
      </c>
      <c r="AK5" s="31">
        <f>IF(PoToMRVWOIpPlImp!$C$2=3,AE5+AG5+AH5,0)</f>
        <v>0</v>
      </c>
      <c r="AL5" s="34">
        <v>1</v>
      </c>
      <c r="AM5" s="31">
        <f t="shared" si="7"/>
        <v>4</v>
      </c>
      <c r="AN5" s="31">
        <f t="shared" si="8"/>
        <v>6979.9875</v>
      </c>
      <c r="AO5" s="31">
        <f t="shared" si="9"/>
        <v>0</v>
      </c>
      <c r="AP5" s="31">
        <f t="shared" si="10"/>
        <v>0</v>
      </c>
      <c r="AQ5" s="31" t="s">
        <v>76</v>
      </c>
      <c r="AR5" s="31">
        <f t="shared" si="11"/>
        <v>6979.9875</v>
      </c>
      <c r="AS5" s="38" t="s">
        <v>120</v>
      </c>
      <c r="AT5" s="39" t="s">
        <v>76</v>
      </c>
      <c r="AU5" t="s" s="0">
        <v>296</v>
      </c>
      <c r="AV5" t="s" s="0">
        <v>153</v>
      </c>
      <c r="AW5" s="39">
        <f t="shared" si="12"/>
        <v>4</v>
      </c>
      <c r="AX5" s="103">
        <f t="shared" si="13"/>
        <v>6979.9875</v>
      </c>
      <c r="AY5" s="39">
        <f t="shared" si="14"/>
        <v>12</v>
      </c>
      <c r="AZ5" s="103">
        <f>ROUND(((AU5*AV5)+(AW5*AX5))/(AU5+AW5),2)</f>
        <v>2381.41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85</v>
      </c>
      <c r="BN5" t="s" s="0">
        <v>85</v>
      </c>
      <c r="BO5" s="39">
        <f t="shared" si="15"/>
        <v>2381.41</v>
      </c>
      <c r="BP5" s="48">
        <f t="shared" si="16"/>
        <v>4</v>
      </c>
      <c r="BQ5" s="49">
        <v>123562</v>
      </c>
    </row>
    <row r="6" ht="15.75" spans="1:69">
      <c r="A6" s="7">
        <v>1</v>
      </c>
      <c r="B6" s="101" t="s">
        <v>292</v>
      </c>
      <c r="C6" s="102" t="s">
        <v>292</v>
      </c>
      <c r="D6" s="7" t="s">
        <v>76</v>
      </c>
      <c r="E6" s="7" t="s">
        <v>76</v>
      </c>
      <c r="F6" s="8">
        <v>20</v>
      </c>
      <c r="G6" t="s" s="0">
        <v>199</v>
      </c>
      <c r="H6" s="8">
        <f t="shared" si="0"/>
        <v>1000</v>
      </c>
      <c r="I6" t="s" s="0">
        <v>205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IF(OR(PoToMRVWOIpPlImp!$C$2=1,PoToMRVWOIpPlImp!$C$2=4),ROUND((((S6*U6)/100)/2),2),0)</f>
        <v>0</v>
      </c>
      <c r="W6" s="8">
        <f>IF(PoToMRVWOIpPlImp!$C$2=1,ROUND((((S6*U6)/100)/2),2),0)</f>
        <v>0</v>
      </c>
      <c r="X6" s="8">
        <f>IF(PoToMRVWOIpPlImp!$C$2=2,ROUND(((S6*U6)/100),2),0)</f>
        <v>0</v>
      </c>
      <c r="Y6" s="8">
        <f>IF(PoToMRVWOIpPlImp!$C$2=4,ROUND((((S6*U6)/100)/2),2),0)</f>
        <v>0</v>
      </c>
      <c r="Z6" s="8">
        <v>0</v>
      </c>
      <c r="AA6" s="8">
        <f>IF(PoToMRVWOIpPlImp!$C4=3,0,(S6*Z6)/100)</f>
        <v>0</v>
      </c>
      <c r="AB6" s="8">
        <f t="shared" si="6"/>
        <v>0</v>
      </c>
      <c r="AC6" s="8">
        <f>IF(PoToMRVWOIpPlImp!$V4=1,S6+AB6,S6)</f>
        <v>866.02</v>
      </c>
      <c r="AD6" s="31">
        <v>120</v>
      </c>
      <c r="AE6" s="31">
        <f>IF(PoToMRVWOIpPlImp!$P$2=1,(S6/PoToMRVWOIpPlImp!$S$7)*PoToMRVWOIpPlImp!$E$18,AD6/PoToMRVWOIpPlImp!$AD$7*PoToMRVWOIpPlImp!$E$18)</f>
        <v>0</v>
      </c>
      <c r="AF6" s="31"/>
      <c r="AG6" s="31">
        <f>IF(PoToMRVWOIpPlImp!$P$2=1,(S6/PoToMRVWOIpPlImp!$S$7)*PoToMRVWOIpPlImp!$E$20,AD6/PoToMRVWOIpPlImp!$AD$7*PoToMRVWOIpPlImp!$E$20)</f>
        <v>0</v>
      </c>
      <c r="AH6" s="31">
        <f>IF(PoToMRVWOIpPlImp!$P$2=1,(S6/PoToMRVWOIpPlImp!$S$7)*PoToMRVWOIpPlImp!$E$21,AD6/PoToMRVWOIpPlImp!$AD$7*PoToMRVWOIpPlImp!$E$21)</f>
        <v>0</v>
      </c>
      <c r="AI6" s="31">
        <f>S6*PoToMRVWOIpPlImp!$M$2</f>
        <v>73611.7</v>
      </c>
      <c r="AJ6" s="31">
        <f>IF(PoToMRVWOIpPlImp!$C$2=3,0,AG6+AH6)</f>
        <v>0</v>
      </c>
      <c r="AK6" s="31">
        <f>IF(PoToMRVWOIpPlImp!$C$2=3,AE6+AG6+AH6,0)</f>
        <v>0</v>
      </c>
      <c r="AL6" s="34">
        <v>1</v>
      </c>
      <c r="AM6" s="31">
        <f t="shared" si="7"/>
        <v>20</v>
      </c>
      <c r="AN6" s="31">
        <f t="shared" si="8"/>
        <v>3680.585</v>
      </c>
      <c r="AO6" s="31">
        <f t="shared" si="9"/>
        <v>0</v>
      </c>
      <c r="AP6" s="31">
        <f t="shared" si="10"/>
        <v>0</v>
      </c>
      <c r="AQ6" s="31" t="s">
        <v>76</v>
      </c>
      <c r="AR6" s="31">
        <f t="shared" si="11"/>
        <v>3680.585</v>
      </c>
      <c r="AS6" s="38" t="s">
        <v>120</v>
      </c>
      <c r="AT6" s="39" t="s">
        <v>76</v>
      </c>
      <c r="AU6" t="s" s="0">
        <v>287</v>
      </c>
      <c r="AV6" t="s" s="0">
        <v>159</v>
      </c>
      <c r="AW6" s="39">
        <f t="shared" si="12"/>
        <v>20</v>
      </c>
      <c r="AX6" s="39">
        <f t="shared" si="13"/>
        <v>3680.585</v>
      </c>
      <c r="AY6" s="39">
        <f t="shared" si="14"/>
        <v>50</v>
      </c>
      <c r="AZ6" s="39">
        <f>ROUND(((AU6*AV6)+(AW6*AX6))/(AU6+AW6),1)</f>
        <v>1498.2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85</v>
      </c>
      <c r="BN6" t="s" s="0">
        <v>85</v>
      </c>
      <c r="BO6" s="39">
        <f t="shared" si="15"/>
        <v>1498.2</v>
      </c>
      <c r="BP6" s="48">
        <f t="shared" si="16"/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127.28</v>
      </c>
      <c r="S7" s="13">
        <f t="shared" si="17"/>
        <v>622.72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0</v>
      </c>
      <c r="Y7" s="27"/>
      <c r="Z7" s="27"/>
      <c r="AA7" s="27"/>
      <c r="AB7" s="26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750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9" sqref="L9"/>
    </sheetView>
  </sheetViews>
  <sheetFormatPr defaultColWidth="8.84761904761905" defaultRowHeight="15"/>
  <cols>
    <col min="2" max="2" customWidth="true" width="28.0"/>
    <col min="3" max="3" customWidth="true" width="23.0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297</v>
      </c>
      <c r="C4" s="7" t="s">
        <v>297</v>
      </c>
      <c r="D4" s="7" t="s">
        <v>76</v>
      </c>
      <c r="E4" s="7" t="s">
        <v>76</v>
      </c>
      <c r="F4" s="8">
        <v>5</v>
      </c>
      <c r="G4" t="s" s="0">
        <v>77</v>
      </c>
      <c r="H4" s="8">
        <f>F4*G4</f>
        <v>750</v>
      </c>
      <c r="I4" t="s" s="0">
        <v>78</v>
      </c>
      <c r="J4" s="8">
        <v>8</v>
      </c>
      <c r="K4" s="8">
        <v>5</v>
      </c>
      <c r="L4" s="8">
        <f>IF(OR(I4=0,I4="0"),0,H4)</f>
        <v>750</v>
      </c>
      <c r="M4" s="8">
        <f>ROUND(L4*I4%,3)</f>
        <v>37.5</v>
      </c>
      <c r="N4" s="8">
        <f>H4-M4</f>
        <v>712.5</v>
      </c>
      <c r="O4" s="8">
        <f>ROUND(N4*J4%,3)</f>
        <v>57</v>
      </c>
      <c r="P4" s="8">
        <f>ROUND(N4-O4,2)</f>
        <v>655.5</v>
      </c>
      <c r="Q4" s="8">
        <f>ROUND(P4*K4%,2)</f>
        <v>32.78</v>
      </c>
      <c r="R4" s="31">
        <f>ROUND(M4+O4+Q4,3)</f>
        <v>127.28</v>
      </c>
      <c r="S4" s="31">
        <f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112.09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112.09</v>
      </c>
      <c r="AC4" s="30">
        <f>IF($V2=1,S4+AB4,S4)</f>
        <v>734.81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S4*$M2</f>
        <v>622.72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>F4/AL4</f>
        <v>5</v>
      </c>
      <c r="AN4" s="31">
        <f>ROUND(AI4/AM4,5)</f>
        <v>124.544</v>
      </c>
      <c r="AO4" s="31">
        <f>AJ4/AM4</f>
        <v>0</v>
      </c>
      <c r="AP4" s="31">
        <f>AK4/AM4</f>
        <v>0</v>
      </c>
      <c r="AQ4" s="31" t="s">
        <v>76</v>
      </c>
      <c r="AR4" s="31">
        <f>ROUND(AN4+AO4+AP4,5)</f>
        <v>124.544</v>
      </c>
      <c r="AS4" s="38" t="s">
        <v>120</v>
      </c>
      <c r="AT4" s="39" t="s">
        <v>76</v>
      </c>
      <c r="AU4" t="s" s="0">
        <v>170</v>
      </c>
      <c r="AV4" t="s" s="0">
        <v>282</v>
      </c>
      <c r="AW4" s="39">
        <f>AM4</f>
        <v>5</v>
      </c>
      <c r="AX4" s="103">
        <f>AR4</f>
        <v>124.544</v>
      </c>
      <c r="AY4" s="39">
        <f>AU4+AW4</f>
        <v>15</v>
      </c>
      <c r="AZ4" s="42">
        <f>ROUND(((AU4*AV4)+(AW4*AX4))/(AU4+AW4),3)</f>
        <v>69.191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282</v>
      </c>
      <c r="BN4" t="s" s="0">
        <v>78</v>
      </c>
      <c r="BO4" s="39">
        <f>ROUND((((AW4*AZ4)+(BN4*BM4))/(AW4+BN4)),5)</f>
        <v>55.353</v>
      </c>
      <c r="BP4" s="48">
        <f>ROUND(BN4+AW4,3)</f>
        <v>10</v>
      </c>
      <c r="BQ4" s="49">
        <v>123562</v>
      </c>
    </row>
    <row r="5" ht="15.75" spans="1:69">
      <c r="A5" s="7">
        <v>1</v>
      </c>
      <c r="B5" s="7" t="s">
        <v>298</v>
      </c>
      <c r="C5" s="7" t="s">
        <v>298</v>
      </c>
      <c r="D5" s="7" t="s">
        <v>76</v>
      </c>
      <c r="E5" s="7" t="s">
        <v>76</v>
      </c>
      <c r="F5" s="8">
        <v>4</v>
      </c>
      <c r="G5" t="s" s="0">
        <v>87</v>
      </c>
      <c r="H5" s="8">
        <f>F5*G5</f>
        <v>400</v>
      </c>
      <c r="I5" t="s" s="0">
        <v>88</v>
      </c>
      <c r="J5" s="8">
        <v>9</v>
      </c>
      <c r="K5" s="8">
        <v>6</v>
      </c>
      <c r="L5" s="8">
        <f t="shared" ref="L5:L6" si="0">IF(OR(I5=0,I5="0"),0,H5)</f>
        <v>400</v>
      </c>
      <c r="M5" s="8">
        <f>ROUND(L5*I5%,2)</f>
        <v>16</v>
      </c>
      <c r="N5" s="8">
        <f>H5-M5</f>
        <v>384</v>
      </c>
      <c r="O5" s="8">
        <f>ROUND(N5*J5%,2)</f>
        <v>34.56</v>
      </c>
      <c r="P5" s="8">
        <f>ROUND(N5-O5,2)</f>
        <v>349.44</v>
      </c>
      <c r="Q5" s="8">
        <f>ROUND(P5*K5%,2)</f>
        <v>20.97</v>
      </c>
      <c r="R5" s="8">
        <f>M5+O5+Q5</f>
        <v>71.53</v>
      </c>
      <c r="S5" s="8">
        <f>(H5-R5)</f>
        <v>328.47</v>
      </c>
      <c r="T5" s="8">
        <v>88363222</v>
      </c>
      <c r="U5" s="8">
        <v>18</v>
      </c>
      <c r="V5" s="8">
        <f>IF(OR(PoToMRVWOIpPlServ!$C$2=1,PoToMRVWOIpPlServ!$C$2=4),ROUND((((S5*U5)/100)/2),2),0)</f>
        <v>0</v>
      </c>
      <c r="W5" s="8">
        <f>IF(PoToMRVWOIpPlServ!$C$2=1,ROUND((((S5*U5)/100)/2),2),0)</f>
        <v>0</v>
      </c>
      <c r="X5" s="8">
        <f>IF(PoToMRVWOIpPlServ!$C$2=2,ROUND(((S5*U5)/100),2),0)</f>
        <v>59.12</v>
      </c>
      <c r="Y5" s="8">
        <f>IF(PoToMRVWOIpPlServ!$C$2=4,ROUND((((S5*U5)/100)/2),2),0)</f>
        <v>0</v>
      </c>
      <c r="Z5" s="8">
        <v>0</v>
      </c>
      <c r="AA5" s="8">
        <f>IF(PoToMRVWOIpPlServ!$C3=3,0,(S5*Z5)/100)</f>
        <v>0</v>
      </c>
      <c r="AB5" s="8">
        <f>V5+W5+X5+Y5+AA5</f>
        <v>59.12</v>
      </c>
      <c r="AC5" s="8">
        <f>IF(PoToMRVWOIpPlServ!$V3=1,S5+AB5,S5)</f>
        <v>328.47</v>
      </c>
      <c r="AD5" s="31">
        <v>120</v>
      </c>
      <c r="AE5" s="31">
        <f>IF(PoToMRVWOIpPlServ!$P$2=1,(S5/PoToMRVWOIpPlServ!$S$7)*PoToMRVWOIpPlServ!$E$18,AD5/PoToMRVWOIpPlServ!$AD$7*PoToMRVWOIpPlServ!$E$18)</f>
        <v>0</v>
      </c>
      <c r="AF5" s="31"/>
      <c r="AG5" s="31">
        <f>IF(PoToMRVWOIpPlServ!$P$2=1,(S5/PoToMRVWOIpPlServ!$S$7)*PoToMRVWOIpPlServ!$E$20,AD5/PoToMRVWOIpPlServ!$AD$7*PoToMRVWOIpPlServ!$E$20)</f>
        <v>0</v>
      </c>
      <c r="AH5" s="31">
        <f>IF(PoToMRVWOIpPlServ!$P$2=1,(S5/PoToMRVWOIpPlServ!$S$7)*PoToMRVWOIpPlServ!$E$21,AD5/PoToMRVWOIpPlServ!$AD$7*PoToMRVWOIpPlServ!$E$21)</f>
        <v>0</v>
      </c>
      <c r="AI5" s="31">
        <f>S5*PoToMRVWOIpPlServ!$M$2</f>
        <v>328.47</v>
      </c>
      <c r="AJ5" s="31">
        <f>IF(PoToMRVWOIpPlServ!$C$2=3,0,AG5+AH5)</f>
        <v>0</v>
      </c>
      <c r="AK5" s="31">
        <f>IF(PoToMRVWOIpPlServ!$C$2=3,AE5+AG5+AH5,0)</f>
        <v>0</v>
      </c>
      <c r="AL5" s="34">
        <v>1</v>
      </c>
      <c r="AM5" s="31">
        <f>F5/AL5</f>
        <v>4</v>
      </c>
      <c r="AN5" s="31">
        <f>ROUND(AI5/AM5,5)</f>
        <v>82.1175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82.1175</v>
      </c>
      <c r="AS5" s="38" t="s">
        <v>120</v>
      </c>
      <c r="AT5" s="39" t="s">
        <v>76</v>
      </c>
      <c r="AU5" t="s" s="0">
        <v>296</v>
      </c>
      <c r="AV5" t="s" s="0">
        <v>285</v>
      </c>
      <c r="AW5" s="39">
        <f>AM5</f>
        <v>4</v>
      </c>
      <c r="AX5" s="103">
        <f>AR5</f>
        <v>82.1175</v>
      </c>
      <c r="AY5" s="39">
        <f>AU5+AW5</f>
        <v>12</v>
      </c>
      <c r="AZ5" s="103">
        <f>ROUND(((AU5*AV5)+(AW5*AX5))/(AU5+AW5),2)</f>
        <v>80.98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285</v>
      </c>
      <c r="BN5" t="s" s="0">
        <v>88</v>
      </c>
      <c r="BO5" s="39">
        <f>ROUND((((AW5*AZ5)+(BN5*BM5))/(AW5+BN5)),5)</f>
        <v>80.695</v>
      </c>
      <c r="BP5" s="48">
        <f>ROUND(BN5+AW5,3)</f>
        <v>8</v>
      </c>
      <c r="BQ5" s="49">
        <v>123562</v>
      </c>
    </row>
    <row r="6" ht="15.75" spans="1:69">
      <c r="A6" s="7">
        <v>1</v>
      </c>
      <c r="B6" s="101" t="s">
        <v>299</v>
      </c>
      <c r="C6" s="102" t="s">
        <v>299</v>
      </c>
      <c r="D6" s="7" t="s">
        <v>76</v>
      </c>
      <c r="E6" s="7" t="s">
        <v>76</v>
      </c>
      <c r="F6" s="8">
        <v>10</v>
      </c>
      <c r="G6" t="s" s="0">
        <v>199</v>
      </c>
      <c r="H6" s="8">
        <f>F6*G6</f>
        <v>500</v>
      </c>
      <c r="I6" t="s" s="0">
        <v>205</v>
      </c>
      <c r="J6" s="8">
        <v>7</v>
      </c>
      <c r="K6" s="8">
        <v>4</v>
      </c>
      <c r="L6" s="8">
        <f t="shared" si="0"/>
        <v>500</v>
      </c>
      <c r="M6" s="8">
        <f>ROUND(L6*I6%,2)</f>
        <v>15</v>
      </c>
      <c r="N6" s="8">
        <f>H6-M6</f>
        <v>485</v>
      </c>
      <c r="O6" s="8">
        <f>ROUND(N6*J6%,2)</f>
        <v>33.95</v>
      </c>
      <c r="P6" s="8">
        <f>ROUND(N6-O6,2)</f>
        <v>451.05</v>
      </c>
      <c r="Q6" s="8">
        <f>ROUND(P6*K6%,2)</f>
        <v>18.04</v>
      </c>
      <c r="R6" s="8">
        <f>M6+O6+Q6</f>
        <v>66.99</v>
      </c>
      <c r="S6" s="8">
        <f>(H6-R6)</f>
        <v>433.01</v>
      </c>
      <c r="T6" s="8">
        <v>88363222</v>
      </c>
      <c r="U6" s="8">
        <v>18</v>
      </c>
      <c r="V6" s="8">
        <f>IF(OR(PoToMRVWOIpPlServ!$C$2=1,PoToMRVWOIpPlServ!$C$2=4),ROUND((((S6*U6)/100)/2),2),0)</f>
        <v>0</v>
      </c>
      <c r="W6" s="8">
        <f>IF(PoToMRVWOIpPlServ!$C$2=1,ROUND((((S6*U6)/100)/2),2),0)</f>
        <v>0</v>
      </c>
      <c r="X6" s="8">
        <f>IF(PoToMRVWOIpPlServ!$C$2=2,ROUND(((S6*U6)/100),2),0)</f>
        <v>77.94</v>
      </c>
      <c r="Y6" s="8">
        <f>IF(PoToMRVWOIpPlServ!$C$2=4,ROUND((((S6*U6)/100)/2),2),0)</f>
        <v>0</v>
      </c>
      <c r="Z6" s="8">
        <v>0</v>
      </c>
      <c r="AA6" s="8">
        <f>IF(PoToMRVWOIpPlServ!$C4=3,0,(S6*Z6)/100)</f>
        <v>0</v>
      </c>
      <c r="AB6" s="8">
        <f>V6+W6+X6+Y6+AA6</f>
        <v>77.94</v>
      </c>
      <c r="AC6" s="8">
        <f>IF(PoToMRVWOIpPlServ!$V4=1,S6+AB6,S6)</f>
        <v>433.01</v>
      </c>
      <c r="AD6" s="31">
        <v>120</v>
      </c>
      <c r="AE6" s="31">
        <f>IF(PoToMRVWOIpPlServ!$P$2=1,(S6/PoToMRVWOIpPlServ!$S$7)*PoToMRVWOIpPlServ!$E$18,AD6/PoToMRVWOIpPlServ!$AD$7*PoToMRVWOIpPlServ!$E$18)</f>
        <v>0</v>
      </c>
      <c r="AF6" s="31"/>
      <c r="AG6" s="31">
        <f>IF(PoToMRVWOIpPlServ!$P$2=1,(S6/PoToMRVWOIpPlServ!$S$7)*PoToMRVWOIpPlServ!$E$20,AD6/PoToMRVWOIpPlServ!$AD$7*PoToMRVWOIpPlServ!$E$20)</f>
        <v>0</v>
      </c>
      <c r="AH6" s="31">
        <f>IF(PoToMRVWOIpPlServ!$P$2=1,(S6/PoToMRVWOIpPlServ!$S$7)*PoToMRVWOIpPlServ!$E$21,AD6/PoToMRVWOIpPlServ!$AD$7*PoToMRVWOIpPlServ!$E$21)</f>
        <v>0</v>
      </c>
      <c r="AI6" s="31">
        <f>S6*PoToMRVWOIpPlServ!$M$2</f>
        <v>433.01</v>
      </c>
      <c r="AJ6" s="31">
        <f>IF(PoToMRVWOIpPlServ!$C$2=3,0,AG6+AH6)</f>
        <v>0</v>
      </c>
      <c r="AK6" s="31">
        <f>IF(PoToMRVWOIpPlServ!$C$2=3,AE6+AG6+AH6,0)</f>
        <v>0</v>
      </c>
      <c r="AL6" s="34">
        <v>1</v>
      </c>
      <c r="AM6" s="31">
        <f>F6/AL6</f>
        <v>10</v>
      </c>
      <c r="AN6" s="31">
        <f>ROUND(AI6/AM6,5)</f>
        <v>43.301</v>
      </c>
      <c r="AO6" s="31">
        <f>AJ6/AM6</f>
        <v>0</v>
      </c>
      <c r="AP6" s="31">
        <f>AK6/AM6</f>
        <v>0</v>
      </c>
      <c r="AQ6" s="31" t="s">
        <v>76</v>
      </c>
      <c r="AR6" s="31">
        <f>ROUND(AN6+AO6+AP6,5)</f>
        <v>43.301</v>
      </c>
      <c r="AS6" s="38" t="s">
        <v>120</v>
      </c>
      <c r="AT6" s="39" t="s">
        <v>76</v>
      </c>
      <c r="AU6" t="s" s="0">
        <v>221</v>
      </c>
      <c r="AV6" t="s" s="0">
        <v>163</v>
      </c>
      <c r="AW6" s="39">
        <f>AM6</f>
        <v>10</v>
      </c>
      <c r="AX6" s="39">
        <f>AR6</f>
        <v>43.301</v>
      </c>
      <c r="AY6" s="39">
        <f>AU6+AW6</f>
        <v>30</v>
      </c>
      <c r="AZ6" s="42">
        <f>ROUND(((AU6*AV6)+(AW6*AX6))/(AU6+AW6),3)</f>
        <v>97.464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163</v>
      </c>
      <c r="BN6" t="s" s="0">
        <v>170</v>
      </c>
      <c r="BO6" s="39">
        <f>ROUND((((AW6*AZ6)+(BN6*BM6))/(AW6+BN6)),5)</f>
        <v>111.0045</v>
      </c>
      <c r="BP6" s="48">
        <f>ROUND(BN6+AW6,3)</f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">SUM(R4:R4)</f>
        <v>127.28</v>
      </c>
      <c r="S7" s="13">
        <f t="shared" si="1"/>
        <v>622.72</v>
      </c>
      <c r="T7" s="26"/>
      <c r="U7" s="26"/>
      <c r="V7" s="27">
        <f t="shared" si="1"/>
        <v>0</v>
      </c>
      <c r="W7" s="27">
        <f t="shared" si="1"/>
        <v>0</v>
      </c>
      <c r="X7" s="27">
        <f t="shared" si="1"/>
        <v>112.09</v>
      </c>
      <c r="Y7" s="27"/>
      <c r="Z7" s="27"/>
      <c r="AA7" s="27"/>
      <c r="AB7" s="26">
        <f>SUM(AB4:AB4)</f>
        <v>112.09</v>
      </c>
      <c r="AC7" s="32">
        <f>SUM(AC4:AC4)</f>
        <v>734.81</v>
      </c>
      <c r="AD7" s="33">
        <f>SUM(AD4:AD4)</f>
        <v>120</v>
      </c>
      <c r="AE7" s="33">
        <f>SUM(AE4:AE4)</f>
        <v>0</v>
      </c>
      <c r="AF7" s="32"/>
      <c r="AG7" s="33">
        <f t="shared" ref="AG7:AK7" si="2">SUM(AG4:AG4)</f>
        <v>0</v>
      </c>
      <c r="AH7" s="33">
        <f>IF($P$2=1,(S7/$S$7)*$E$21,AD7/$AD$7*$E$21)</f>
        <v>0</v>
      </c>
      <c r="AI7" s="33">
        <f t="shared" si="2"/>
        <v>622.72</v>
      </c>
      <c r="AJ7" s="33">
        <f t="shared" si="2"/>
        <v>0</v>
      </c>
      <c r="AK7" s="33">
        <f t="shared" si="2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750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112.09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734.81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zoomScale="115" zoomScaleNormal="115" topLeftCell="W1" workbookViewId="0">
      <selection activeCell="M3" sqref="M3"/>
    </sheetView>
  </sheetViews>
  <sheetFormatPr defaultColWidth="8.84761904761905" defaultRowHeight="15"/>
  <cols>
    <col min="2" max="2" customWidth="true" width="28.0"/>
    <col min="3" max="3" customWidth="true" width="23.0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6">
        <v>85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297</v>
      </c>
      <c r="C4" s="7" t="s">
        <v>297</v>
      </c>
      <c r="D4" s="7" t="s">
        <v>76</v>
      </c>
      <c r="E4" s="7" t="s">
        <v>76</v>
      </c>
      <c r="F4" s="8">
        <v>5</v>
      </c>
      <c r="G4" t="s" s="0">
        <v>199</v>
      </c>
      <c r="H4" s="8">
        <f t="shared" ref="H4:H6" si="0">F4*G4</f>
        <v>250</v>
      </c>
      <c r="I4" t="s" s="0">
        <v>85</v>
      </c>
      <c r="J4" s="8">
        <v>8</v>
      </c>
      <c r="K4" s="8">
        <v>5</v>
      </c>
      <c r="L4" s="8">
        <f t="shared" ref="L4:L6" si="1">IF(OR(I4=0,I4="0"),0,H4)</f>
        <v>0</v>
      </c>
      <c r="M4" s="8">
        <f>ROUND(L4*I4%,3)</f>
        <v>0</v>
      </c>
      <c r="N4" s="8">
        <f t="shared" ref="N4:N6" si="2">H4-M4</f>
        <v>250</v>
      </c>
      <c r="O4" s="8">
        <f>ROUND(N4*J4%,3)</f>
        <v>20</v>
      </c>
      <c r="P4" s="8">
        <f t="shared" ref="P4:P6" si="3">ROUND(N4-O4,2)</f>
        <v>230</v>
      </c>
      <c r="Q4" s="8">
        <f t="shared" ref="Q4:Q6" si="4">ROUND(P4*K4%,2)</f>
        <v>11.5</v>
      </c>
      <c r="R4" s="31">
        <f>ROUND(M4+O4+Q4,3)</f>
        <v>31.5</v>
      </c>
      <c r="S4" s="8">
        <f t="shared" ref="S4:S6" si="5">(H4-R4)</f>
        <v>218.5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0">
        <f>IF($V2=1,S4+AB4,S4)</f>
        <v>218.5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S4*$M2</f>
        <v>18572.5</v>
      </c>
      <c r="AJ4" s="31">
        <f>IF($C$2=3,0,AG4+AH4)</f>
        <v>0</v>
      </c>
      <c r="AK4" s="31">
        <f>IF($C$2=3,AE4+AG4+AH4,0)</f>
        <v>0</v>
      </c>
      <c r="AL4" s="34">
        <v>1</v>
      </c>
      <c r="AM4" s="31">
        <f t="shared" ref="AM4:AM6" si="7">F4/AL4</f>
        <v>5</v>
      </c>
      <c r="AN4" s="31">
        <f t="shared" ref="AN4:AN6" si="8">ROUND(AI4/AM4,5)</f>
        <v>3714.5</v>
      </c>
      <c r="AO4" s="31">
        <f t="shared" ref="AO4:AO6" si="9">AJ4/AM4</f>
        <v>0</v>
      </c>
      <c r="AP4" s="31">
        <f t="shared" ref="AP4:AP6" si="10">AK4/AM4</f>
        <v>0</v>
      </c>
      <c r="AQ4" s="31" t="s">
        <v>76</v>
      </c>
      <c r="AR4" s="31">
        <f t="shared" ref="AR4:AR6" si="11">ROUND(AN4+AO4+AP4,5)</f>
        <v>3714.5</v>
      </c>
      <c r="AS4" s="38" t="s">
        <v>120</v>
      </c>
      <c r="AT4" s="39" t="s">
        <v>76</v>
      </c>
      <c r="AU4" t="s" s="0">
        <v>170</v>
      </c>
      <c r="AV4" t="s" s="0">
        <v>282</v>
      </c>
      <c r="AW4" s="39">
        <f t="shared" ref="AW4:AW6" si="12">AM4</f>
        <v>5</v>
      </c>
      <c r="AX4" s="103">
        <f t="shared" ref="AX4:AX6" si="13">AR4</f>
        <v>3714.5</v>
      </c>
      <c r="AY4" s="39">
        <f t="shared" ref="AY4:AY6" si="14">AU4+AW4</f>
        <v>15</v>
      </c>
      <c r="AZ4" s="42">
        <f>ROUND(((AU4*AV4)+(AW4*AX4))/(AU4+AW4),3)</f>
        <v>1265.843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282</v>
      </c>
      <c r="BN4" t="s" s="0">
        <v>78</v>
      </c>
      <c r="BO4" s="39">
        <f t="shared" ref="BO4:BO6" si="15">ROUND((((AW4*AZ4)+(BN4*BM4))/(AW4+BN4)),5)</f>
        <v>653.679</v>
      </c>
      <c r="BP4" s="48">
        <f t="shared" ref="BP4:BP6" si="16">ROUND(BN4+AW4,3)</f>
        <v>10</v>
      </c>
      <c r="BQ4" s="49">
        <v>123562</v>
      </c>
    </row>
    <row r="5" ht="15.75" spans="1:69">
      <c r="A5" s="7">
        <v>1</v>
      </c>
      <c r="B5" s="7" t="s">
        <v>298</v>
      </c>
      <c r="C5" s="7" t="s">
        <v>298</v>
      </c>
      <c r="D5" s="7" t="s">
        <v>76</v>
      </c>
      <c r="E5" s="7" t="s">
        <v>76</v>
      </c>
      <c r="F5" s="8">
        <v>4</v>
      </c>
      <c r="G5" t="s" s="0">
        <v>87</v>
      </c>
      <c r="H5" s="8">
        <f t="shared" si="0"/>
        <v>400</v>
      </c>
      <c r="I5" t="s" s="0">
        <v>88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IF(OR(PoToMRVWOIpPlServImp!$C$2=1,PoToMRVWOIpPlServImp!$C$2=4),ROUND((((S5*U5)/100)/2),2),0)</f>
        <v>0</v>
      </c>
      <c r="W5" s="8">
        <f>IF(PoToMRVWOIpPlServImp!$C$2=1,ROUND((((S5*U5)/100)/2),2),0)</f>
        <v>0</v>
      </c>
      <c r="X5" s="8">
        <f>IF(PoToMRVWOIpPlServImp!$C$2=2,ROUND(((S5*U5)/100),2),0)</f>
        <v>0</v>
      </c>
      <c r="Y5" s="8">
        <f>IF(PoToMRVWOIpPlServImp!$C$2=4,ROUND((((S5*U5)/100)/2),2),0)</f>
        <v>0</v>
      </c>
      <c r="Z5" s="8">
        <v>0</v>
      </c>
      <c r="AA5" s="8">
        <f>IF(PoToMRVWOIpPlServImp!$C3=3,0,(S5*Z5)/100)</f>
        <v>0</v>
      </c>
      <c r="AB5" s="8">
        <f t="shared" si="6"/>
        <v>0</v>
      </c>
      <c r="AC5" s="8">
        <f>IF(PoToMRVWOIpPlServImp!$V3=1,S5+AB5,S5)</f>
        <v>328.47</v>
      </c>
      <c r="AD5" s="31">
        <v>120</v>
      </c>
      <c r="AE5" s="31">
        <f>IF(PoToMRVWOIpPlServImp!$P$2=1,(S5/PoToMRVWOIpPlServImp!$S$7)*PoToMRVWOIpPlServImp!$E$18,AD5/PoToMRVWOIpPlServImp!$AD$7*PoToMRVWOIpPlServImp!$E$18)</f>
        <v>0</v>
      </c>
      <c r="AF5" s="31"/>
      <c r="AG5" s="31">
        <f>IF(PoToMRVWOIpPlServImp!$P$2=1,(S5/PoToMRVWOIpPlServImp!$S$7)*PoToMRVWOIpPlServImp!$E$20,AD5/PoToMRVWOIpPlServImp!$AD$7*PoToMRVWOIpPlServImp!$E$20)</f>
        <v>0</v>
      </c>
      <c r="AH5" s="31">
        <f>IF(PoToMRVWOIpPlServImp!$P$2=1,(S5/PoToMRVWOIpPlServImp!$S$7)*PoToMRVWOIpPlServImp!$E$21,AD5/PoToMRVWOIpPlServImp!$AD$7*PoToMRVWOIpPlServImp!$E$21)</f>
        <v>0</v>
      </c>
      <c r="AI5" s="31">
        <f>S5*PoToMRVWOIpPlServImp!$M$2</f>
        <v>27919.95</v>
      </c>
      <c r="AJ5" s="31">
        <f>IF(PoToMRVWOIpPlServImp!$C$2=3,0,AG5+AH5)</f>
        <v>0</v>
      </c>
      <c r="AK5" s="31">
        <f>IF(PoToMRVWOIpPlServImp!$C$2=3,AE5+AG5+AH5,0)</f>
        <v>0</v>
      </c>
      <c r="AL5" s="34">
        <v>1</v>
      </c>
      <c r="AM5" s="31">
        <f t="shared" si="7"/>
        <v>4</v>
      </c>
      <c r="AN5" s="31">
        <f t="shared" si="8"/>
        <v>6979.9875</v>
      </c>
      <c r="AO5" s="31">
        <f t="shared" si="9"/>
        <v>0</v>
      </c>
      <c r="AP5" s="31">
        <f t="shared" si="10"/>
        <v>0</v>
      </c>
      <c r="AQ5" s="31" t="s">
        <v>76</v>
      </c>
      <c r="AR5" s="31">
        <f t="shared" si="11"/>
        <v>6979.9875</v>
      </c>
      <c r="AS5" s="38" t="s">
        <v>120</v>
      </c>
      <c r="AT5" s="39" t="s">
        <v>76</v>
      </c>
      <c r="AU5" t="s" s="0">
        <v>296</v>
      </c>
      <c r="AV5" t="s" s="0">
        <v>285</v>
      </c>
      <c r="AW5" s="39">
        <f t="shared" si="12"/>
        <v>4</v>
      </c>
      <c r="AX5" s="103">
        <f t="shared" si="13"/>
        <v>6979.9875</v>
      </c>
      <c r="AY5" s="39">
        <f t="shared" si="14"/>
        <v>12</v>
      </c>
      <c r="AZ5" s="103">
        <f>ROUND(((AU5*AV5)+(AW5*AX5))/(AU5+AW5),2)</f>
        <v>2380.27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285</v>
      </c>
      <c r="BN5" t="s" s="0">
        <v>88</v>
      </c>
      <c r="BO5" s="39">
        <f t="shared" si="15"/>
        <v>1230.34</v>
      </c>
      <c r="BP5" s="48">
        <f t="shared" si="16"/>
        <v>8</v>
      </c>
      <c r="BQ5" s="49">
        <v>123562</v>
      </c>
    </row>
    <row r="6" ht="15.75" spans="1:69">
      <c r="A6" s="7">
        <v>1</v>
      </c>
      <c r="B6" s="101" t="s">
        <v>299</v>
      </c>
      <c r="C6" s="102" t="s">
        <v>299</v>
      </c>
      <c r="D6" s="7" t="s">
        <v>76</v>
      </c>
      <c r="E6" s="7" t="s">
        <v>76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>ROUND(L6*I6%,2)</f>
        <v>15</v>
      </c>
      <c r="N6" s="8">
        <f t="shared" si="2"/>
        <v>485</v>
      </c>
      <c r="O6" s="8">
        <f>ROUND(N6*J6%,2)</f>
        <v>33.95</v>
      </c>
      <c r="P6" s="8">
        <f t="shared" si="3"/>
        <v>451.05</v>
      </c>
      <c r="Q6" s="8">
        <f t="shared" si="4"/>
        <v>18.04</v>
      </c>
      <c r="R6" s="8">
        <f>M6+O6+Q6</f>
        <v>66.99</v>
      </c>
      <c r="S6" s="8">
        <f t="shared" si="5"/>
        <v>433.01</v>
      </c>
      <c r="T6" s="8">
        <v>88363222</v>
      </c>
      <c r="U6" s="8">
        <v>18</v>
      </c>
      <c r="V6" s="8">
        <f>IF(OR(PoToMRVWOIpPlServImp!$C$2=1,PoToMRVWOIpPlServImp!$C$2=4),ROUND((((S6*U6)/100)/2),2),0)</f>
        <v>0</v>
      </c>
      <c r="W6" s="8">
        <f>IF(PoToMRVWOIpPlServImp!$C$2=1,ROUND((((S6*U6)/100)/2),2),0)</f>
        <v>0</v>
      </c>
      <c r="X6" s="8">
        <f>IF(PoToMRVWOIpPlServImp!$C$2=2,ROUND(((S6*U6)/100),2),0)</f>
        <v>0</v>
      </c>
      <c r="Y6" s="8">
        <f>IF(PoToMRVWOIpPlServImp!$C$2=4,ROUND((((S6*U6)/100)/2),2),0)</f>
        <v>0</v>
      </c>
      <c r="Z6" s="8">
        <v>0</v>
      </c>
      <c r="AA6" s="8">
        <f>IF(PoToMRVWOIpPlServImp!$C4=3,0,(S6*Z6)/100)</f>
        <v>0</v>
      </c>
      <c r="AB6" s="8">
        <f t="shared" si="6"/>
        <v>0</v>
      </c>
      <c r="AC6" s="8">
        <f>IF(PoToMRVWOIpPlServImp!$V4=1,S6+AB6,S6)</f>
        <v>433.01</v>
      </c>
      <c r="AD6" s="31">
        <v>120</v>
      </c>
      <c r="AE6" s="31">
        <f>IF(PoToMRVWOIpPlServImp!$P$2=1,(S6/PoToMRVWOIpPlServImp!$S$7)*PoToMRVWOIpPlServImp!$E$18,AD6/PoToMRVWOIpPlServImp!$AD$7*PoToMRVWOIpPlServImp!$E$18)</f>
        <v>0</v>
      </c>
      <c r="AF6" s="31"/>
      <c r="AG6" s="31">
        <f>IF(PoToMRVWOIpPlServImp!$P$2=1,(S6/PoToMRVWOIpPlServImp!$S$7)*PoToMRVWOIpPlServImp!$E$20,AD6/PoToMRVWOIpPlServImp!$AD$7*PoToMRVWOIpPlServImp!$E$20)</f>
        <v>0</v>
      </c>
      <c r="AH6" s="31">
        <f>IF(PoToMRVWOIpPlServImp!$P$2=1,(S6/PoToMRVWOIpPlServImp!$S$7)*PoToMRVWOIpPlServImp!$E$21,AD6/PoToMRVWOIpPlServImp!$AD$7*PoToMRVWOIpPlServImp!$E$21)</f>
        <v>0</v>
      </c>
      <c r="AI6" s="31">
        <f>S6*PoToMRVWOIpPlServImp!$M$2</f>
        <v>36805.85</v>
      </c>
      <c r="AJ6" s="31">
        <f>IF(PoToMRVWOIpPlServImp!$C$2=3,0,AG6+AH6)</f>
        <v>0</v>
      </c>
      <c r="AK6" s="31">
        <f>IF(PoToMRVWOIpPlServImp!$C$2=3,AE6+AG6+AH6,0)</f>
        <v>0</v>
      </c>
      <c r="AL6" s="34">
        <v>1</v>
      </c>
      <c r="AM6" s="31">
        <f t="shared" si="7"/>
        <v>10</v>
      </c>
      <c r="AN6" s="31">
        <f t="shared" si="8"/>
        <v>3680.585</v>
      </c>
      <c r="AO6" s="31">
        <f t="shared" si="9"/>
        <v>0</v>
      </c>
      <c r="AP6" s="31">
        <f t="shared" si="10"/>
        <v>0</v>
      </c>
      <c r="AQ6" s="31" t="s">
        <v>76</v>
      </c>
      <c r="AR6" s="31">
        <f t="shared" si="11"/>
        <v>3680.585</v>
      </c>
      <c r="AS6" s="38" t="s">
        <v>120</v>
      </c>
      <c r="AT6" s="39" t="s">
        <v>76</v>
      </c>
      <c r="AU6" t="s" s="0">
        <v>221</v>
      </c>
      <c r="AV6" t="s" s="0">
        <v>163</v>
      </c>
      <c r="AW6" s="39">
        <f t="shared" si="12"/>
        <v>10</v>
      </c>
      <c r="AX6" s="39">
        <f t="shared" si="13"/>
        <v>3680.585</v>
      </c>
      <c r="AY6" s="39">
        <f t="shared" si="14"/>
        <v>30</v>
      </c>
      <c r="AZ6" s="42">
        <f>ROUND(((AU6*AV6)+(AW6*AX6))/(AU6+AW6),3)</f>
        <v>1309.892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163</v>
      </c>
      <c r="BN6" t="s" s="0">
        <v>170</v>
      </c>
      <c r="BO6" s="39">
        <f t="shared" si="15"/>
        <v>717.2185</v>
      </c>
      <c r="BP6" s="48">
        <f t="shared" si="16"/>
        <v>20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31.5</v>
      </c>
      <c r="S7" s="13">
        <f t="shared" si="17"/>
        <v>218.5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0</v>
      </c>
      <c r="Y7" s="27"/>
      <c r="Z7" s="27"/>
      <c r="AA7" s="27"/>
      <c r="AB7" s="26">
        <f t="shared" ref="AB7:AE7" si="18">SUM(AB4:AB4)</f>
        <v>0</v>
      </c>
      <c r="AC7" s="32">
        <f t="shared" si="18"/>
        <v>218.5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18572.5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250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31.5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218.5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218.5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AS9" sqref="AS9"/>
    </sheetView>
  </sheetViews>
  <sheetFormatPr defaultColWidth="9" defaultRowHeight="15"/>
  <cols>
    <col min="1" max="1" style="51" width="9.0"/>
    <col min="2" max="2" customWidth="true" style="51" width="23.5714285714286"/>
    <col min="3" max="3" customWidth="true" style="51" width="18.5714285714286"/>
    <col min="4" max="4" customWidth="true" style="51" width="72.4285714285714"/>
    <col min="5" max="10" style="51" width="9.0"/>
    <col min="11" max="11" customWidth="true" style="51" width="6.14285714285714"/>
    <col min="12" max="28" style="51" width="9.0"/>
    <col min="29" max="29" customWidth="true" style="51" width="11.5714285714286"/>
    <col min="30" max="34" style="51" width="9.0"/>
    <col min="35" max="35" customWidth="true" style="51" width="14.2857142857143"/>
    <col min="36" max="36" customWidth="true" style="51" width="17.5714285714286"/>
    <col min="37" max="37" customWidth="true" style="51" width="13.4285714285714"/>
    <col min="38" max="38" customWidth="true" style="51" width="13.5714285714286"/>
    <col min="39" max="44" style="51" width="9.0"/>
    <col min="45" max="45" customWidth="true" style="51" width="9.42857142857143"/>
    <col min="46" max="46" style="51" width="9.0"/>
    <col min="47" max="47" customWidth="true" style="51" width="15.2857142857143"/>
    <col min="48" max="48" customWidth="true" style="51" width="20.2857142857143"/>
    <col min="49" max="49" style="51" width="9.0"/>
    <col min="50" max="50" customWidth="true" style="51" width="16.2857142857143"/>
    <col min="51" max="51" customWidth="true" style="51" width="13.847619047619"/>
    <col min="52" max="52" customWidth="true" style="51" width="18.847619047619"/>
    <col min="53" max="53" style="51" width="9.0"/>
    <col min="54" max="57" customWidth="true" style="51" width="21.7142857142857"/>
    <col min="58" max="58" customWidth="true" style="51" width="16.5714285714286"/>
    <col min="59" max="59" customWidth="true" style="51" width="13.7142857142857"/>
    <col min="60" max="60" customWidth="true" style="51" width="12.4285714285714"/>
    <col min="61" max="62" style="51" width="9.0"/>
    <col min="63" max="63" customWidth="true" style="51" width="30.5714285714286"/>
    <col min="64" max="64" style="51" width="9.0"/>
    <col min="65" max="65" customWidth="true" style="51" width="41.1428571428571"/>
    <col min="66" max="66" customWidth="true" style="51" width="37.0"/>
    <col min="67" max="67" customWidth="true" style="51" width="18.847619047619"/>
    <col min="68" max="68" customWidth="true" style="51" width="34.4285714285714"/>
    <col min="69" max="16384" style="51" width="9.0"/>
  </cols>
  <sheetData>
    <row r="1" spans="1:67">
      <c r="A1" s="52" t="s">
        <v>0</v>
      </c>
      <c r="B1" s="53"/>
      <c r="C1" s="53"/>
      <c r="D1" s="53"/>
      <c r="E1" s="53"/>
      <c r="F1" s="53"/>
      <c r="G1" s="53"/>
      <c r="H1" s="52"/>
      <c r="I1" s="67"/>
      <c r="J1" s="67"/>
      <c r="K1" s="67"/>
      <c r="L1" s="67"/>
      <c r="M1" s="67"/>
      <c r="N1" s="67"/>
      <c r="O1" s="67"/>
      <c r="P1" s="67"/>
      <c r="Q1" s="67"/>
      <c r="R1" s="52"/>
      <c r="S1" s="52"/>
      <c r="T1" s="52"/>
      <c r="U1" s="52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</row>
    <row r="2" ht="15.75" spans="1:67">
      <c r="A2" s="54" t="s">
        <v>1</v>
      </c>
      <c r="B2" s="54"/>
      <c r="C2" s="55">
        <v>1</v>
      </c>
      <c r="D2" s="56" t="s">
        <v>2</v>
      </c>
      <c r="E2" s="53"/>
      <c r="F2" s="53"/>
      <c r="G2" s="53"/>
      <c r="H2" s="52"/>
      <c r="I2" s="67" t="s">
        <v>3</v>
      </c>
      <c r="J2" s="67" t="s">
        <v>4</v>
      </c>
      <c r="K2" s="67"/>
      <c r="L2" s="67" t="s">
        <v>5</v>
      </c>
      <c r="M2" s="67">
        <v>1</v>
      </c>
      <c r="N2" s="67"/>
      <c r="O2" s="67" t="s">
        <v>6</v>
      </c>
      <c r="P2" s="67">
        <v>2</v>
      </c>
      <c r="Q2" s="67" t="s">
        <v>7</v>
      </c>
      <c r="R2" s="52"/>
      <c r="S2" s="52"/>
      <c r="T2" s="52"/>
      <c r="U2" s="52"/>
      <c r="V2" s="52">
        <v>1</v>
      </c>
      <c r="W2" s="52" t="s">
        <v>8</v>
      </c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</row>
    <row r="3" ht="61.5" spans="1:69">
      <c r="A3" s="57" t="s">
        <v>9</v>
      </c>
      <c r="B3" s="57" t="s">
        <v>10</v>
      </c>
      <c r="C3" s="57" t="s">
        <v>11</v>
      </c>
      <c r="D3" s="57" t="s">
        <v>12</v>
      </c>
      <c r="E3" s="57" t="s">
        <v>13</v>
      </c>
      <c r="F3" s="57" t="s">
        <v>14</v>
      </c>
      <c r="G3" s="57" t="s">
        <v>15</v>
      </c>
      <c r="H3" s="57" t="s">
        <v>16</v>
      </c>
      <c r="I3" s="68" t="s">
        <v>17</v>
      </c>
      <c r="J3" s="68" t="s">
        <v>18</v>
      </c>
      <c r="K3" s="68" t="s">
        <v>19</v>
      </c>
      <c r="L3" s="69" t="s">
        <v>20</v>
      </c>
      <c r="M3" s="69" t="s">
        <v>21</v>
      </c>
      <c r="N3" s="69" t="s">
        <v>22</v>
      </c>
      <c r="O3" s="69" t="s">
        <v>23</v>
      </c>
      <c r="P3" s="69" t="s">
        <v>24</v>
      </c>
      <c r="Q3" s="69" t="s">
        <v>25</v>
      </c>
      <c r="R3" s="68" t="s">
        <v>26</v>
      </c>
      <c r="S3" s="57" t="s">
        <v>27</v>
      </c>
      <c r="T3" s="57" t="s">
        <v>28</v>
      </c>
      <c r="U3" s="77" t="s">
        <v>29</v>
      </c>
      <c r="V3" s="77" t="s">
        <v>30</v>
      </c>
      <c r="W3" s="77" t="s">
        <v>31</v>
      </c>
      <c r="X3" s="77" t="s">
        <v>32</v>
      </c>
      <c r="Y3" s="81" t="s">
        <v>33</v>
      </c>
      <c r="Z3" s="81" t="s">
        <v>34</v>
      </c>
      <c r="AA3" s="81" t="s">
        <v>35</v>
      </c>
      <c r="AB3" s="81" t="s">
        <v>36</v>
      </c>
      <c r="AC3" s="82" t="s">
        <v>37</v>
      </c>
      <c r="AD3" s="82" t="s">
        <v>38</v>
      </c>
      <c r="AE3" s="82" t="s">
        <v>39</v>
      </c>
      <c r="AF3" s="82" t="s">
        <v>40</v>
      </c>
      <c r="AG3" s="82" t="s">
        <v>41</v>
      </c>
      <c r="AH3" s="82" t="s">
        <v>42</v>
      </c>
      <c r="AI3" s="82" t="s">
        <v>43</v>
      </c>
      <c r="AJ3" s="82" t="s">
        <v>44</v>
      </c>
      <c r="AK3" s="82" t="s">
        <v>45</v>
      </c>
      <c r="AL3" s="82" t="s">
        <v>46</v>
      </c>
      <c r="AM3" s="82" t="s">
        <v>47</v>
      </c>
      <c r="AN3" s="82" t="s">
        <v>48</v>
      </c>
      <c r="AO3" s="82" t="s">
        <v>49</v>
      </c>
      <c r="AP3" s="82" t="s">
        <v>50</v>
      </c>
      <c r="AQ3" s="82" t="s">
        <v>51</v>
      </c>
      <c r="AR3" s="88" t="s">
        <v>52</v>
      </c>
      <c r="AS3" s="89" t="s">
        <v>53</v>
      </c>
      <c r="AT3" s="89" t="s">
        <v>51</v>
      </c>
      <c r="AU3" s="90" t="s">
        <v>54</v>
      </c>
      <c r="AV3" s="90" t="s">
        <v>55</v>
      </c>
      <c r="AW3" s="90" t="s">
        <v>56</v>
      </c>
      <c r="AX3" s="90" t="s">
        <v>57</v>
      </c>
      <c r="AY3" s="90" t="s">
        <v>58</v>
      </c>
      <c r="AZ3" s="90" t="s">
        <v>59</v>
      </c>
      <c r="BA3" s="90" t="s">
        <v>60</v>
      </c>
      <c r="BB3" s="90" t="s">
        <v>61</v>
      </c>
      <c r="BC3" s="93" t="s">
        <v>62</v>
      </c>
      <c r="BD3" s="93" t="s">
        <v>63</v>
      </c>
      <c r="BE3" s="93" t="s">
        <v>64</v>
      </c>
      <c r="BF3" s="90" t="s">
        <v>65</v>
      </c>
      <c r="BG3" s="90" t="s">
        <v>66</v>
      </c>
      <c r="BH3" s="90" t="s">
        <v>67</v>
      </c>
      <c r="BI3" s="90" t="s">
        <v>68</v>
      </c>
      <c r="BJ3" s="90" t="s">
        <v>69</v>
      </c>
      <c r="BK3" s="90" t="s">
        <v>70</v>
      </c>
      <c r="BL3" s="90" t="s">
        <v>71</v>
      </c>
      <c r="BM3" s="98" t="s">
        <v>72</v>
      </c>
      <c r="BN3" s="90" t="s">
        <v>73</v>
      </c>
      <c r="BO3" s="90" t="s">
        <v>59</v>
      </c>
      <c r="BP3" s="90" t="s">
        <v>74</v>
      </c>
      <c r="BQ3" s="90" t="s">
        <v>28</v>
      </c>
    </row>
    <row r="4" ht="15.75" spans="1:69">
      <c r="A4" s="58">
        <v>1</v>
      </c>
      <c r="B4" s="58"/>
      <c r="C4" s="58"/>
      <c r="D4" s="58" t="s">
        <v>76</v>
      </c>
      <c r="E4" s="58" t="s">
        <v>95</v>
      </c>
      <c r="F4" s="59">
        <v>25</v>
      </c>
      <c r="G4" s="59">
        <v>257.63</v>
      </c>
      <c r="H4" s="59">
        <f>F4*G4</f>
        <v>6440.75</v>
      </c>
      <c r="I4" s="59">
        <v>1</v>
      </c>
      <c r="J4" s="59">
        <v>2</v>
      </c>
      <c r="K4" s="59">
        <v>2.5</v>
      </c>
      <c r="L4" s="59">
        <f>H4</f>
        <v>6440.75</v>
      </c>
      <c r="M4" s="59">
        <f>ROUND(L4*I4%,2)</f>
        <v>64.41</v>
      </c>
      <c r="N4" s="59">
        <f>H4-M4</f>
        <v>6376.34</v>
      </c>
      <c r="O4" s="59">
        <f>ROUND(N4*J4%,2)</f>
        <v>127.53</v>
      </c>
      <c r="P4" s="59">
        <f>ROUND(N4-O4,2)</f>
        <v>6248.81</v>
      </c>
      <c r="Q4" s="59">
        <f>ROUND(P4*K4%,2)</f>
        <v>156.22</v>
      </c>
      <c r="R4" s="59">
        <f>ROUND((M4+O4+Q4),2)</f>
        <v>348.16</v>
      </c>
      <c r="S4" s="59">
        <f>ROUND((H4-R4),2)</f>
        <v>6092.59</v>
      </c>
      <c r="T4" s="78" t="s">
        <v>300</v>
      </c>
      <c r="U4" s="79">
        <v>0.18</v>
      </c>
      <c r="V4" s="59">
        <f>IF(OR($C$2=1,$C$2=4),ROUND(((S4*U4)/2),2),0)</f>
        <v>548.33</v>
      </c>
      <c r="W4" s="59">
        <f>IF($C$2=1,ROUND(((S4*U4)/2),2),0)</f>
        <v>548.33</v>
      </c>
      <c r="X4" s="59">
        <f>IF($C$2=2,ROUND(((S4*U4)),2),0)</f>
        <v>0</v>
      </c>
      <c r="Y4" s="59">
        <f>IF($C$2=4,ROUND(((S4*U4)/2),2),0)</f>
        <v>0</v>
      </c>
      <c r="Z4" s="83">
        <v>0</v>
      </c>
      <c r="AA4" s="59">
        <f>IF($C2=3,0,ROUND(S4*Z4,2))</f>
        <v>0</v>
      </c>
      <c r="AB4" s="58">
        <f>V4+W4+X4+Y4+AA4</f>
        <v>1096.66</v>
      </c>
      <c r="AC4" s="58">
        <f>IF($V2=1,S4+AB4,S4)</f>
        <v>7189.25</v>
      </c>
      <c r="AD4" s="78">
        <v>120</v>
      </c>
      <c r="AE4" s="78">
        <f>IF($P$2=1,(S4/$S$7)*$E$18,AD4/$AD$7*$E$18)</f>
        <v>0</v>
      </c>
      <c r="AF4" s="78"/>
      <c r="AG4" s="78">
        <f>IF($P$2=1,(S4/$S$7)*$E$20,AD4/$AD$7*$E$20)</f>
        <v>0</v>
      </c>
      <c r="AH4" s="78">
        <f>IF($P$2=1,(S4/$S$7)*$E$21,AD4/$AD$7*$E$21)</f>
        <v>0</v>
      </c>
      <c r="AI4" s="78">
        <f t="shared" ref="AI4:AI6" si="0">S4*$M$2</f>
        <v>6092.59</v>
      </c>
      <c r="AJ4" s="78">
        <f>IF($C$2=3,0,AG4+AH4)</f>
        <v>0</v>
      </c>
      <c r="AK4" s="78">
        <f t="shared" ref="AK4:AK6" si="1">IF($C$2=3,AE4+AG4+AH4,0)</f>
        <v>0</v>
      </c>
      <c r="AL4" s="87">
        <v>2</v>
      </c>
      <c r="AM4" s="78">
        <f>F4/AL4</f>
        <v>12.5</v>
      </c>
      <c r="AN4" s="78">
        <f>ROUND(AI4/AM4,5)</f>
        <v>487.4072</v>
      </c>
      <c r="AO4" s="78">
        <f>AJ4/AM4</f>
        <v>0</v>
      </c>
      <c r="AP4" s="78">
        <f>AK4/AM4</f>
        <v>0</v>
      </c>
      <c r="AQ4" s="78" t="s">
        <v>76</v>
      </c>
      <c r="AR4" s="78">
        <f>ROUND(AN4+AO4+AP4,5)</f>
        <v>487.4072</v>
      </c>
      <c r="AS4" s="91" t="s">
        <v>145</v>
      </c>
      <c r="AT4" s="91" t="s">
        <v>76</v>
      </c>
      <c r="AU4" s="51" t="s">
        <v>85</v>
      </c>
      <c r="AV4" s="51" t="s">
        <v>301</v>
      </c>
      <c r="AW4" s="91">
        <f>AM4</f>
        <v>12.5</v>
      </c>
      <c r="AX4" s="91">
        <f>AR4</f>
        <v>487.4072</v>
      </c>
      <c r="AY4" s="91">
        <f>AU4+AW4</f>
        <v>12.5</v>
      </c>
      <c r="AZ4" s="91">
        <f>ROUND(((AU4*AV4)+(AW4*AX4))/(AU4+AW4),5)</f>
        <v>487.4072</v>
      </c>
      <c r="BA4" s="94"/>
      <c r="BB4" s="94" t="s">
        <v>80</v>
      </c>
      <c r="BC4" s="95" t="s">
        <v>81</v>
      </c>
      <c r="BD4" s="96" t="s">
        <v>82</v>
      </c>
      <c r="BE4" s="96" t="s">
        <v>83</v>
      </c>
      <c r="BF4" s="94"/>
      <c r="BG4" s="94"/>
      <c r="BH4" s="94"/>
      <c r="BI4" s="91"/>
      <c r="BJ4" s="91"/>
      <c r="BK4" s="91"/>
      <c r="BL4" s="92" t="s">
        <v>148</v>
      </c>
      <c r="BM4" s="51" t="s">
        <v>301</v>
      </c>
      <c r="BN4" s="51" t="s">
        <v>302</v>
      </c>
      <c r="BO4" s="91">
        <f>ROUND((((AW4*AZ4)+(BN4*BM4))/(AW4+BN4)),5)</f>
        <v>487.4072</v>
      </c>
      <c r="BP4" s="99">
        <f>BN4+AW4</f>
        <v>350</v>
      </c>
      <c r="BQ4" s="100">
        <v>123562</v>
      </c>
    </row>
    <row r="5" ht="15.75" spans="1:69">
      <c r="A5" s="58">
        <v>2</v>
      </c>
      <c r="B5" s="58"/>
      <c r="C5" s="58"/>
      <c r="D5" s="58" t="s">
        <v>76</v>
      </c>
      <c r="E5" s="58" t="s">
        <v>99</v>
      </c>
      <c r="F5" s="59">
        <v>28</v>
      </c>
      <c r="G5" s="59">
        <v>150.5</v>
      </c>
      <c r="H5" s="59">
        <f t="shared" ref="H5:H6" si="2">F5*G5</f>
        <v>4214</v>
      </c>
      <c r="I5" s="59">
        <v>1</v>
      </c>
      <c r="J5" s="59">
        <v>2</v>
      </c>
      <c r="K5" s="59">
        <v>2.5</v>
      </c>
      <c r="L5" s="59">
        <f t="shared" ref="L5:L6" si="3">H5</f>
        <v>4214</v>
      </c>
      <c r="M5" s="59">
        <f t="shared" ref="M5:M6" si="4">ROUND(L5*I5%,2)</f>
        <v>42.14</v>
      </c>
      <c r="N5" s="59">
        <f t="shared" ref="N5:N6" si="5">H5-M5</f>
        <v>4171.86</v>
      </c>
      <c r="O5" s="59">
        <f t="shared" ref="O5:O6" si="6">ROUND(N5*J5%,2)</f>
        <v>83.44</v>
      </c>
      <c r="P5" s="59">
        <f t="shared" ref="P5:P6" si="7">ROUND(N5-O5,2)</f>
        <v>4088.42</v>
      </c>
      <c r="Q5" s="59">
        <f t="shared" ref="Q5:Q6" si="8">ROUND(P5*K5%,2)</f>
        <v>102.21</v>
      </c>
      <c r="R5" s="59">
        <f t="shared" ref="R5:R6" si="9">ROUND((M5+O5+Q5),2)</f>
        <v>227.79</v>
      </c>
      <c r="S5" s="59">
        <f t="shared" ref="S5:S6" si="10">ROUND((H5-R5),2)</f>
        <v>3986.21</v>
      </c>
      <c r="T5" s="78" t="s">
        <v>303</v>
      </c>
      <c r="U5" s="79">
        <v>0.18</v>
      </c>
      <c r="V5" s="59">
        <f t="shared" ref="V5:V6" si="11">IF(OR($C$2=1,$C$2=4),ROUND(((S5*U5)/2),2),0)</f>
        <v>358.76</v>
      </c>
      <c r="W5" s="59">
        <f t="shared" ref="W5:W6" si="12">IF($C$2=1,ROUND(((S5*U5)/2),2),0)</f>
        <v>358.76</v>
      </c>
      <c r="X5" s="59">
        <f t="shared" ref="X5:X6" si="13">IF($C$2=2,ROUND(((S5*U5)),2),0)</f>
        <v>0</v>
      </c>
      <c r="Y5" s="59">
        <f t="shared" ref="Y5:Y6" si="14">IF($C$2=4,ROUND(((S5*U5)/2),2),0)</f>
        <v>0</v>
      </c>
      <c r="Z5" s="83">
        <v>0</v>
      </c>
      <c r="AA5" s="59">
        <f t="shared" ref="AA5:AA6" si="15">IF($C3=3,0,ROUND(S5*Z5,2))</f>
        <v>0</v>
      </c>
      <c r="AB5" s="58">
        <f t="shared" ref="AB5:AB6" si="16">V5+W5+X5+Y5+AA5</f>
        <v>717.52</v>
      </c>
      <c r="AC5" s="58">
        <f t="shared" ref="AC5:AC6" si="17">IF($V3=1,S5+AB5,S5)</f>
        <v>3986.21</v>
      </c>
      <c r="AD5" s="78">
        <v>350</v>
      </c>
      <c r="AE5" s="78">
        <f>IF($P$2=1,(S5/$S$7)*$E$18,AD5/$AD$7*$E$18)</f>
        <v>0</v>
      </c>
      <c r="AF5" s="78"/>
      <c r="AG5" s="78">
        <f>IF($P$2=1,(S5/$S$7)*$E$20,AD5/$AD$7*$E$20)</f>
        <v>0</v>
      </c>
      <c r="AH5" s="78">
        <f>IF($P$2=1,(S5/$S$7)*$E$21,AD5/$AD$7*$E$21)</f>
        <v>0</v>
      </c>
      <c r="AI5" s="78">
        <f t="shared" si="0"/>
        <v>3986.21</v>
      </c>
      <c r="AJ5" s="78">
        <f t="shared" ref="AJ5:AJ6" si="18">IF($C$2=3,0,AG5+AH5)</f>
        <v>0</v>
      </c>
      <c r="AK5" s="78">
        <f t="shared" si="1"/>
        <v>0</v>
      </c>
      <c r="AL5" s="87">
        <v>2.5</v>
      </c>
      <c r="AM5" s="78">
        <f>F5/AL5</f>
        <v>11.2</v>
      </c>
      <c r="AN5" s="78">
        <f t="shared" ref="AN5:AN6" si="19">ROUND(AI5/AM5,5)</f>
        <v>355.91161</v>
      </c>
      <c r="AO5" s="78">
        <f t="shared" ref="AO5:AO6" si="20">AJ5/AM5</f>
        <v>0</v>
      </c>
      <c r="AP5" s="78">
        <f t="shared" ref="AP5:AP6" si="21">AK5/AM5</f>
        <v>0</v>
      </c>
      <c r="AQ5" s="78" t="s">
        <v>76</v>
      </c>
      <c r="AR5" s="78">
        <f t="shared" ref="AR5:AR6" si="22">ROUND(AN5+AO5+AP5,5)</f>
        <v>355.91161</v>
      </c>
      <c r="AS5" s="91" t="s">
        <v>145</v>
      </c>
      <c r="AT5" s="91" t="s">
        <v>76</v>
      </c>
      <c r="AU5" s="51" t="s">
        <v>85</v>
      </c>
      <c r="AV5" s="51" t="s">
        <v>304</v>
      </c>
      <c r="AW5" s="91">
        <f>AM5</f>
        <v>11.2</v>
      </c>
      <c r="AX5" s="91">
        <f>AR5</f>
        <v>355.91161</v>
      </c>
      <c r="AY5" s="91">
        <f>AU5+AW5</f>
        <v>11.2</v>
      </c>
      <c r="AZ5" s="91">
        <f>ROUND(((AU5*AV5)+(AW5*AX5))/(AU5+AW5),5)</f>
        <v>355.91161</v>
      </c>
      <c r="BA5" s="94"/>
      <c r="BB5" s="94" t="s">
        <v>80</v>
      </c>
      <c r="BC5" s="95" t="s">
        <v>81</v>
      </c>
      <c r="BD5" s="96" t="s">
        <v>82</v>
      </c>
      <c r="BE5" s="96" t="s">
        <v>83</v>
      </c>
      <c r="BF5" s="94"/>
      <c r="BG5" s="94"/>
      <c r="BH5" s="94"/>
      <c r="BI5" s="91"/>
      <c r="BJ5" s="91"/>
      <c r="BK5" s="91"/>
      <c r="BL5" s="92" t="s">
        <v>148</v>
      </c>
      <c r="BM5" s="51" t="s">
        <v>304</v>
      </c>
      <c r="BN5" s="51" t="s">
        <v>305</v>
      </c>
      <c r="BO5" s="91">
        <f>ROUND((((AW5*AZ5)+(BN5*BM5))/(AW5+BN5)),5)</f>
        <v>355.91161</v>
      </c>
      <c r="BP5" s="99">
        <f>BN5+AW5</f>
        <v>313.6</v>
      </c>
      <c r="BQ5" s="100">
        <v>123562</v>
      </c>
    </row>
    <row r="6" ht="15.75" spans="1:69">
      <c r="A6" s="58">
        <v>3</v>
      </c>
      <c r="B6" s="58"/>
      <c r="C6" s="58"/>
      <c r="D6" s="58" t="s">
        <v>95</v>
      </c>
      <c r="E6" s="58" t="s">
        <v>101</v>
      </c>
      <c r="F6" s="59">
        <v>37</v>
      </c>
      <c r="G6" s="59">
        <v>89.54</v>
      </c>
      <c r="H6" s="59">
        <f t="shared" si="2"/>
        <v>3312.98</v>
      </c>
      <c r="I6" s="59">
        <v>1</v>
      </c>
      <c r="J6" s="59">
        <v>2</v>
      </c>
      <c r="K6" s="59">
        <v>2.5</v>
      </c>
      <c r="L6" s="59">
        <f t="shared" si="3"/>
        <v>3312.98</v>
      </c>
      <c r="M6" s="59">
        <f t="shared" si="4"/>
        <v>33.13</v>
      </c>
      <c r="N6" s="59">
        <f t="shared" si="5"/>
        <v>3279.85</v>
      </c>
      <c r="O6" s="59">
        <f t="shared" si="6"/>
        <v>65.6</v>
      </c>
      <c r="P6" s="59">
        <f t="shared" si="7"/>
        <v>3214.25</v>
      </c>
      <c r="Q6" s="59">
        <f t="shared" si="8"/>
        <v>80.36</v>
      </c>
      <c r="R6" s="59">
        <f t="shared" si="9"/>
        <v>179.09</v>
      </c>
      <c r="S6" s="59">
        <f t="shared" si="10"/>
        <v>3133.89</v>
      </c>
      <c r="T6" s="78" t="s">
        <v>306</v>
      </c>
      <c r="U6" s="79">
        <v>0.18</v>
      </c>
      <c r="V6" s="59">
        <f t="shared" si="11"/>
        <v>282.05</v>
      </c>
      <c r="W6" s="59">
        <f t="shared" si="12"/>
        <v>282.05</v>
      </c>
      <c r="X6" s="59">
        <f t="shared" si="13"/>
        <v>0</v>
      </c>
      <c r="Y6" s="59">
        <f t="shared" si="14"/>
        <v>0</v>
      </c>
      <c r="Z6" s="83">
        <v>0</v>
      </c>
      <c r="AA6" s="59">
        <f t="shared" si="15"/>
        <v>0</v>
      </c>
      <c r="AB6" s="58">
        <f t="shared" si="16"/>
        <v>564.1</v>
      </c>
      <c r="AC6" s="58">
        <f t="shared" si="17"/>
        <v>3133.89</v>
      </c>
      <c r="AD6" s="78">
        <v>220</v>
      </c>
      <c r="AE6" s="78">
        <f>IF($P$2=1,(S6/$S$7)*$E$18,AD6/$AD$7*$E$18)</f>
        <v>0</v>
      </c>
      <c r="AF6" s="78"/>
      <c r="AG6" s="78">
        <f>IF($P$2=1,(S6/$S$7)*$E$20,AD6/$AD$7*$E$20)</f>
        <v>0</v>
      </c>
      <c r="AH6" s="78">
        <f>IF($P$2=1,(S6/$S$7)*$E$21,AD6/$AD$7*$E$21)</f>
        <v>0</v>
      </c>
      <c r="AI6" s="78">
        <f t="shared" si="0"/>
        <v>3133.89</v>
      </c>
      <c r="AJ6" s="78">
        <f t="shared" si="18"/>
        <v>0</v>
      </c>
      <c r="AK6" s="78">
        <f t="shared" si="1"/>
        <v>0</v>
      </c>
      <c r="AL6" s="58">
        <v>0.001</v>
      </c>
      <c r="AM6" s="78">
        <f>F6/AL6</f>
        <v>37000</v>
      </c>
      <c r="AN6" s="78">
        <f t="shared" si="19"/>
        <v>0.0847</v>
      </c>
      <c r="AO6" s="78">
        <f t="shared" si="20"/>
        <v>0</v>
      </c>
      <c r="AP6" s="78">
        <f t="shared" si="21"/>
        <v>0</v>
      </c>
      <c r="AQ6" s="78" t="s">
        <v>76</v>
      </c>
      <c r="AR6" s="78">
        <f t="shared" si="22"/>
        <v>0.0847</v>
      </c>
      <c r="AS6" s="92" t="s">
        <v>145</v>
      </c>
      <c r="AT6" s="92" t="s">
        <v>76</v>
      </c>
      <c r="AU6" s="51" t="s">
        <v>85</v>
      </c>
      <c r="AV6" s="51" t="s">
        <v>307</v>
      </c>
      <c r="AW6" s="91">
        <f>AM6</f>
        <v>37000</v>
      </c>
      <c r="AX6" s="91">
        <f>AR6</f>
        <v>0.0847</v>
      </c>
      <c r="AY6" s="91">
        <f>AU6+AW6</f>
        <v>37000</v>
      </c>
      <c r="AZ6" s="91">
        <f>ROUND(((AU6*AV6)+(AW6*AX6))/(AU6+AW6),5)</f>
        <v>0.0847</v>
      </c>
      <c r="BA6" s="92"/>
      <c r="BB6" s="92"/>
      <c r="BC6" s="97" t="s">
        <v>81</v>
      </c>
      <c r="BD6" s="97" t="s">
        <v>308</v>
      </c>
      <c r="BE6" s="92"/>
      <c r="BF6" s="92"/>
      <c r="BG6" s="92"/>
      <c r="BH6" s="92"/>
      <c r="BI6" s="92"/>
      <c r="BJ6" s="92"/>
      <c r="BK6" s="92"/>
      <c r="BL6" s="92" t="s">
        <v>148</v>
      </c>
      <c r="BM6" s="51" t="s">
        <v>307</v>
      </c>
      <c r="BN6" s="51" t="s">
        <v>309</v>
      </c>
      <c r="BO6" s="91">
        <f>ROUND((((AW6*AZ6)+(BN6*BM6))/(AW6+BN6)),5)</f>
        <v>0.0847</v>
      </c>
      <c r="BP6" s="99">
        <f>BN6+AW6</f>
        <v>1036000</v>
      </c>
      <c r="BQ6" s="100">
        <v>123562</v>
      </c>
    </row>
    <row r="7" ht="15.75" spans="1:67">
      <c r="A7" s="60"/>
      <c r="C7" s="61" t="s">
        <v>89</v>
      </c>
      <c r="D7" s="62"/>
      <c r="E7" s="62"/>
      <c r="F7" s="62"/>
      <c r="G7" s="63"/>
      <c r="H7" s="64">
        <f>SUM(H4:H6)</f>
        <v>13967.73</v>
      </c>
      <c r="I7" s="58"/>
      <c r="J7" s="58"/>
      <c r="K7" s="58"/>
      <c r="L7" s="58"/>
      <c r="M7" s="58"/>
      <c r="N7" s="58"/>
      <c r="O7" s="58"/>
      <c r="P7" s="58"/>
      <c r="Q7" s="58"/>
      <c r="R7" s="64">
        <f>SUM(R4:R6)</f>
        <v>755.04</v>
      </c>
      <c r="S7" s="64">
        <f>SUM(S4:S6)</f>
        <v>13212.69</v>
      </c>
      <c r="T7" s="64"/>
      <c r="U7" s="64"/>
      <c r="V7" s="80">
        <f t="shared" ref="V7:AE7" si="23">SUM(V4:V6)</f>
        <v>1189.14</v>
      </c>
      <c r="W7" s="80">
        <f t="shared" si="23"/>
        <v>1189.14</v>
      </c>
      <c r="X7" s="80">
        <f t="shared" si="23"/>
        <v>0</v>
      </c>
      <c r="Y7" s="80">
        <f t="shared" si="23"/>
        <v>0</v>
      </c>
      <c r="Z7" s="84">
        <f t="shared" si="23"/>
        <v>0</v>
      </c>
      <c r="AA7" s="80">
        <f t="shared" si="23"/>
        <v>0</v>
      </c>
      <c r="AB7" s="64">
        <f t="shared" si="23"/>
        <v>2378.28</v>
      </c>
      <c r="AC7" s="85">
        <f t="shared" si="23"/>
        <v>14309.35</v>
      </c>
      <c r="AD7" s="86">
        <f t="shared" si="23"/>
        <v>690</v>
      </c>
      <c r="AE7" s="86">
        <f t="shared" si="23"/>
        <v>0</v>
      </c>
      <c r="AF7" s="85"/>
      <c r="AG7" s="86">
        <f>SUM(AG4:AG6)</f>
        <v>0</v>
      </c>
      <c r="AH7" s="86">
        <f>IF($P$2=1,(S7/$S$7)*$E$21,AD7/$AD$7*$E$21)</f>
        <v>0</v>
      </c>
      <c r="AI7" s="86">
        <f>SUM(AI4:AI6)</f>
        <v>13212.69</v>
      </c>
      <c r="AJ7" s="86">
        <f>SUM(AJ4:AJ6)</f>
        <v>0</v>
      </c>
      <c r="AK7" s="86">
        <f>SUM(AK4:AK6)</f>
        <v>0</v>
      </c>
      <c r="AL7" s="85"/>
      <c r="AM7" s="85"/>
      <c r="AN7" s="85"/>
      <c r="AO7" s="85"/>
      <c r="AP7" s="85"/>
      <c r="AQ7" s="85"/>
      <c r="AR7" s="85"/>
      <c r="AS7" s="60"/>
      <c r="AT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</row>
    <row r="8" ht="15.75" spans="1:67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</row>
    <row r="9" ht="15.75" spans="1:67">
      <c r="A9" s="60"/>
      <c r="B9" s="60"/>
      <c r="C9" s="60"/>
      <c r="D9" s="60"/>
      <c r="E9" s="60"/>
      <c r="F9" s="60"/>
      <c r="G9" s="65" t="s">
        <v>90</v>
      </c>
      <c r="H9" s="66"/>
      <c r="I9" s="70">
        <f>H7</f>
        <v>13967.73</v>
      </c>
      <c r="J9" s="70"/>
      <c r="K9" s="71"/>
      <c r="L9" s="60"/>
      <c r="M9" s="72" t="s">
        <v>91</v>
      </c>
      <c r="N9" s="73"/>
      <c r="O9" s="73"/>
      <c r="P9" s="74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 t="s">
        <v>92</v>
      </c>
      <c r="BI9" s="120" t="s">
        <v>93</v>
      </c>
      <c r="BJ9" s="60"/>
      <c r="BK9" s="60"/>
      <c r="BL9" s="60"/>
      <c r="BM9" s="60"/>
      <c r="BN9" s="60"/>
      <c r="BO9" s="60"/>
    </row>
    <row r="10" ht="15.75" spans="1:67">
      <c r="A10" s="60"/>
      <c r="B10" s="60"/>
      <c r="C10" s="60"/>
      <c r="D10" s="60"/>
      <c r="E10" s="60"/>
      <c r="F10" s="60"/>
      <c r="G10" s="65" t="s">
        <v>94</v>
      </c>
      <c r="H10" s="66"/>
      <c r="I10" s="70">
        <f>R7</f>
        <v>755.04</v>
      </c>
      <c r="J10" s="70"/>
      <c r="K10" s="60"/>
      <c r="L10" s="60"/>
      <c r="M10" s="75">
        <v>1</v>
      </c>
      <c r="N10" s="75" t="s">
        <v>76</v>
      </c>
      <c r="O10" s="75">
        <v>2</v>
      </c>
      <c r="P10" s="75" t="s">
        <v>95</v>
      </c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 t="s">
        <v>96</v>
      </c>
      <c r="BI10" s="120" t="s">
        <v>97</v>
      </c>
      <c r="BJ10" s="60"/>
      <c r="BK10" s="60"/>
      <c r="BL10" s="60"/>
      <c r="BM10" s="60"/>
      <c r="BN10" s="60"/>
      <c r="BO10" s="60"/>
    </row>
    <row r="11" ht="15.75" spans="1:67">
      <c r="A11" s="60"/>
      <c r="B11" s="60"/>
      <c r="C11" s="60"/>
      <c r="D11" s="60"/>
      <c r="E11" s="60"/>
      <c r="F11" s="60"/>
      <c r="G11" s="65" t="s">
        <v>98</v>
      </c>
      <c r="H11" s="66"/>
      <c r="I11" s="70">
        <f>S7</f>
        <v>13212.69</v>
      </c>
      <c r="J11" s="70"/>
      <c r="K11" s="60"/>
      <c r="L11" s="60"/>
      <c r="M11" s="58">
        <v>1</v>
      </c>
      <c r="N11" s="58" t="s">
        <v>76</v>
      </c>
      <c r="O11" s="58">
        <v>2.5</v>
      </c>
      <c r="P11" s="58" t="s">
        <v>99</v>
      </c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</row>
    <row r="12" ht="15.75" spans="1:67">
      <c r="A12" s="60"/>
      <c r="B12" s="60"/>
      <c r="C12" s="60"/>
      <c r="D12" s="60"/>
      <c r="E12" s="60"/>
      <c r="F12" s="60"/>
      <c r="G12" s="65" t="s">
        <v>100</v>
      </c>
      <c r="H12" s="66"/>
      <c r="I12" s="70">
        <f>AB7</f>
        <v>2378.28</v>
      </c>
      <c r="J12" s="70"/>
      <c r="K12" s="60"/>
      <c r="L12" s="60"/>
      <c r="M12" s="58">
        <v>1</v>
      </c>
      <c r="N12" s="58" t="s">
        <v>95</v>
      </c>
      <c r="O12" s="58">
        <v>0.001</v>
      </c>
      <c r="P12" s="58" t="s">
        <v>101</v>
      </c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</row>
    <row r="13" ht="15.75" spans="1:67">
      <c r="A13" s="60"/>
      <c r="B13" s="60"/>
      <c r="C13" s="60"/>
      <c r="D13" s="60"/>
      <c r="E13" s="60"/>
      <c r="F13" s="60"/>
      <c r="G13" s="65" t="s">
        <v>102</v>
      </c>
      <c r="H13" s="66"/>
      <c r="I13" s="76">
        <f>I11+I12</f>
        <v>15590.97</v>
      </c>
      <c r="J13" s="76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</row>
    <row r="14" spans="1:67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 t="s">
        <v>103</v>
      </c>
      <c r="BN14" s="60" t="s">
        <v>104</v>
      </c>
      <c r="BO14" s="60"/>
    </row>
    <row r="15" spans="1:67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 t="s">
        <v>105</v>
      </c>
      <c r="BL15" s="60">
        <v>12.5</v>
      </c>
      <c r="BM15" s="60">
        <f>BL17*BL18</f>
        <v>18277.77</v>
      </c>
      <c r="BN15" s="60">
        <f>BL15*BL16</f>
        <v>6092.59</v>
      </c>
      <c r="BO15" s="60"/>
    </row>
    <row r="16" spans="1:67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 t="s">
        <v>106</v>
      </c>
      <c r="BL16" s="60">
        <v>487.4072</v>
      </c>
      <c r="BM16" s="60">
        <f>BL15+BL17</f>
        <v>50</v>
      </c>
      <c r="BN16" s="60"/>
      <c r="BO16" s="60"/>
    </row>
    <row r="17" spans="1:6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 t="s">
        <v>107</v>
      </c>
      <c r="BL17" s="60">
        <v>37.5</v>
      </c>
      <c r="BM17" s="60"/>
      <c r="BN17" s="60"/>
      <c r="BO17" s="60"/>
    </row>
    <row r="18" spans="1:67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 t="s">
        <v>108</v>
      </c>
      <c r="BL18" s="60">
        <v>487.4072</v>
      </c>
      <c r="BM18" s="60"/>
      <c r="BN18" s="60"/>
      <c r="BO18" s="60"/>
    </row>
    <row r="19" spans="1:67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>
        <f>BM15+BN15</f>
        <v>24370.36</v>
      </c>
      <c r="BN19" s="60">
        <f>BM19/BM16</f>
        <v>487.4072</v>
      </c>
      <c r="BO19" s="60"/>
    </row>
    <row r="20" spans="1:67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</row>
    <row r="21" spans="1:67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pageMargins left="0.7" right="0.7" top="0.75" bottom="0.75" header="0.3" footer="0.3"/>
  <pageSetup paperSize="1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310</v>
      </c>
      <c r="C4" s="7" t="s">
        <v>310</v>
      </c>
      <c r="D4" s="7" t="s">
        <v>76</v>
      </c>
      <c r="E4" s="7" t="s">
        <v>95</v>
      </c>
      <c r="F4" s="8">
        <v>10</v>
      </c>
      <c r="G4" s="8">
        <v>150</v>
      </c>
      <c r="H4" s="8">
        <f>F4*G4</f>
        <v>1500</v>
      </c>
      <c r="I4" s="8">
        <v>5</v>
      </c>
      <c r="J4" s="8">
        <v>8</v>
      </c>
      <c r="K4" s="8">
        <v>5</v>
      </c>
      <c r="L4" s="8">
        <f>H4</f>
        <v>1500</v>
      </c>
      <c r="M4" s="8">
        <f>ROUND(L4*I4%,2)</f>
        <v>75</v>
      </c>
      <c r="N4" s="8">
        <f>H4-M4</f>
        <v>1425</v>
      </c>
      <c r="O4" s="8">
        <f>ROUND(N4*J4%,2)</f>
        <v>114</v>
      </c>
      <c r="P4" s="8">
        <f>ROUND(N4-O4,2)</f>
        <v>1311</v>
      </c>
      <c r="Q4" s="8">
        <f>ROUND(P4*K4%,2)</f>
        <v>65.55</v>
      </c>
      <c r="R4" s="8">
        <f>M4+O4+Q4</f>
        <v>254.55</v>
      </c>
      <c r="S4" s="8">
        <f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>F4/AL4</f>
        <v>3.33333333333333</v>
      </c>
      <c r="AN4" s="34">
        <f>ROUND(AI4/AM4,3)</f>
        <v>373.635</v>
      </c>
      <c r="AO4" s="31">
        <f>AJ4/AM4</f>
        <v>0</v>
      </c>
      <c r="AP4" s="31">
        <f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311</v>
      </c>
      <c r="AV4" t="s" s="0">
        <v>312</v>
      </c>
      <c r="AW4" s="39">
        <f>AM4</f>
        <v>3.33333333333333</v>
      </c>
      <c r="AX4" s="42">
        <f>AR4</f>
        <v>373.635</v>
      </c>
      <c r="AY4" s="39">
        <f>AU4+AW4</f>
        <v>6.66633333333333</v>
      </c>
      <c r="AZ4" s="42">
        <f>ROUND(((AU4*AV4)+(AW4*AX4))/(AU4+AW4),5)</f>
        <v>373.635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121</v>
      </c>
      <c r="BN4" t="s" s="0">
        <v>313</v>
      </c>
      <c r="BO4" s="39">
        <f>ROUND((((AW4*AZ4)+(BN4*BM4))/(AW4+BN4)),5)</f>
        <v>373.635</v>
      </c>
      <c r="BP4" s="48">
        <f>ROUND(BN4+AW4,3)</f>
        <v>16.665</v>
      </c>
      <c r="BQ4" s="49">
        <v>123562</v>
      </c>
    </row>
    <row r="5" ht="15.75" spans="1:69">
      <c r="A5" s="7">
        <v>1</v>
      </c>
      <c r="B5" s="7" t="s">
        <v>314</v>
      </c>
      <c r="C5" s="7" t="s">
        <v>314</v>
      </c>
      <c r="D5" s="7" t="s">
        <v>76</v>
      </c>
      <c r="E5" s="7" t="s">
        <v>95</v>
      </c>
      <c r="F5" s="8">
        <v>4</v>
      </c>
      <c r="G5" s="8">
        <v>100</v>
      </c>
      <c r="H5" s="8">
        <f>F5*G5</f>
        <v>400</v>
      </c>
      <c r="I5" s="8">
        <v>4</v>
      </c>
      <c r="J5" s="8">
        <v>9</v>
      </c>
      <c r="K5" s="8">
        <v>6</v>
      </c>
      <c r="L5" s="8">
        <f>H5</f>
        <v>400</v>
      </c>
      <c r="M5" s="8">
        <f>ROUND(L5*I5%,2)</f>
        <v>16</v>
      </c>
      <c r="N5" s="8">
        <f>H5-M5</f>
        <v>384</v>
      </c>
      <c r="O5" s="8">
        <f>ROUND(N5*J5%,2)</f>
        <v>34.56</v>
      </c>
      <c r="P5" s="8">
        <f>ROUND(N5-O5,2)</f>
        <v>349.44</v>
      </c>
      <c r="Q5" s="8">
        <f>ROUND(P5*K5%,2)</f>
        <v>20.97</v>
      </c>
      <c r="R5" s="8">
        <f>M5+O5+Q5</f>
        <v>71.53</v>
      </c>
      <c r="S5" s="8">
        <f>(H5-R5)</f>
        <v>328.47</v>
      </c>
      <c r="T5" s="8">
        <v>88363222</v>
      </c>
      <c r="U5" s="8">
        <v>18</v>
      </c>
      <c r="V5" s="8">
        <f>IF(OR(PoToMRVWOIpDUom!$C$2=1,PoToMRVWOIpDUom!$C$2=4),ROUND((((S5*U5)/100)/2),2),0)</f>
        <v>0</v>
      </c>
      <c r="W5" s="8">
        <f>IF(PoToMRVWOIpDUom!$C$2=1,ROUND((((S5*U5)/100)/2),2),0)</f>
        <v>0</v>
      </c>
      <c r="X5" s="8">
        <f>IF(PoToMRVWOIpDUom!$C$2=2,ROUND(((S5*U5)/100),2),0)</f>
        <v>59.12</v>
      </c>
      <c r="Y5" s="8">
        <f>IF(PoToMRVWOIpDUom!$C$2=4,ROUND((((S5*U5)/100)/2),2),0)</f>
        <v>0</v>
      </c>
      <c r="Z5" s="8">
        <v>0</v>
      </c>
      <c r="AA5" s="8">
        <f>IF(PoToMRVWOIpDUom!$C3=3,0,(S5*Z5)/100)</f>
        <v>0</v>
      </c>
      <c r="AB5" s="8">
        <f>V5+W5+X5+Y5+AA5</f>
        <v>59.12</v>
      </c>
      <c r="AC5" s="8">
        <f>IF(PoToMRVWOIpDUom!$V3=1,S5+AB5,S5)</f>
        <v>328.47</v>
      </c>
      <c r="AD5" s="31">
        <v>120</v>
      </c>
      <c r="AE5" s="31">
        <f>IF(PoToMRVWOIpDUom!$P$2=1,(S5/PoToMRVWOIpDUom!$S$7)*PoToMRVWOIpDUom!$E$18,AD5/PoToMRVWOIpDUom!$AD$7*PoToMRVWOIpDUom!$E$18)</f>
        <v>0</v>
      </c>
      <c r="AF5" s="31"/>
      <c r="AG5" s="31">
        <f>IF(PoToMRVWOIpDUom!$P$2=1,(S5/PoToMRVWOIpDUom!$S$7)*PoToMRVWOIpDUom!$E$20,AD5/PoToMRVWOIpDUom!$AD$7*PoToMRVWOIpDUom!$E$20)</f>
        <v>0</v>
      </c>
      <c r="AH5" s="31">
        <f>IF(PoToMRVWOIpDUom!$P$2=1,(S5/PoToMRVWOIpDUom!$S$7)*PoToMRVWOIpDUom!$E$21,AD5/PoToMRVWOIpDUom!$AD$7*PoToMRVWOIpDUom!$E$21)</f>
        <v>0</v>
      </c>
      <c r="AI5" s="31">
        <f>S5*PoToMRVWOIpDUom!$M$2</f>
        <v>328.47</v>
      </c>
      <c r="AJ5" s="31">
        <f>IF(PoToMRVWOIpDUom!$C$2=3,0,AG5+AH5)</f>
        <v>0</v>
      </c>
      <c r="AK5" s="31">
        <f>IF(PoToMRVWOIpDUom!$C$2=3,AE5+AG5+AH5,0)</f>
        <v>0</v>
      </c>
      <c r="AL5" s="34">
        <v>3</v>
      </c>
      <c r="AM5" s="31">
        <f>F5/AL5</f>
        <v>1.33333333333333</v>
      </c>
      <c r="AN5" s="31">
        <f>ROUND(AI5/AM5,5)</f>
        <v>246.3525</v>
      </c>
      <c r="AO5" s="31">
        <f>AJ5/AM5</f>
        <v>0</v>
      </c>
      <c r="AP5" s="31">
        <f>AK5/AM5</f>
        <v>0</v>
      </c>
      <c r="AQ5" s="31" t="s">
        <v>76</v>
      </c>
      <c r="AR5" s="31">
        <f>ROUND(AN5+AO5+AP5,5)</f>
        <v>246.3525</v>
      </c>
      <c r="AS5" s="38" t="s">
        <v>120</v>
      </c>
      <c r="AT5" s="39" t="s">
        <v>76</v>
      </c>
      <c r="AU5" t="s" s="0">
        <v>315</v>
      </c>
      <c r="AV5" t="s" s="0">
        <v>316</v>
      </c>
      <c r="AW5" s="39">
        <f>AM5</f>
        <v>1.33333333333333</v>
      </c>
      <c r="AX5" s="39">
        <f>AR5</f>
        <v>246.3525</v>
      </c>
      <c r="AY5" s="39">
        <f>AU5+AW5</f>
        <v>5.33233333333333</v>
      </c>
      <c r="AZ5" s="39">
        <f>ROUND(((AU5*AV5)+(AW5*AX5))/(AU5+AW5),2)</f>
        <v>246.36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317</v>
      </c>
      <c r="BO5" s="39">
        <f>ROUND((((AW5*AZ5)+(BN5*BM5))/(AW5+BN5)),5)</f>
        <v>246.36</v>
      </c>
      <c r="BP5" s="48">
        <f>ROUND(BN5+AW5,3)</f>
        <v>3.999</v>
      </c>
      <c r="BQ5" s="49">
        <v>123562</v>
      </c>
    </row>
    <row r="6" ht="15.75" spans="1:69">
      <c r="A6" s="7">
        <v>1</v>
      </c>
      <c r="B6" s="7" t="s">
        <v>318</v>
      </c>
      <c r="C6" s="7" t="s">
        <v>318</v>
      </c>
      <c r="D6" s="7" t="s">
        <v>76</v>
      </c>
      <c r="E6" s="7" t="s">
        <v>95</v>
      </c>
      <c r="F6" s="8">
        <v>10</v>
      </c>
      <c r="G6" s="8">
        <v>50</v>
      </c>
      <c r="H6" s="8">
        <f>F6*G6</f>
        <v>500</v>
      </c>
      <c r="I6" s="8">
        <v>3</v>
      </c>
      <c r="J6" s="8">
        <v>7</v>
      </c>
      <c r="K6" s="8">
        <v>4</v>
      </c>
      <c r="L6" s="8">
        <f>H6</f>
        <v>500</v>
      </c>
      <c r="M6" s="8">
        <f>ROUND(L6*I6%,2)</f>
        <v>15</v>
      </c>
      <c r="N6" s="8">
        <f>H6-M6</f>
        <v>485</v>
      </c>
      <c r="O6" s="8">
        <f>ROUND(N6*J6%,2)</f>
        <v>33.95</v>
      </c>
      <c r="P6" s="8">
        <f>ROUND(N6-O6,2)</f>
        <v>451.05</v>
      </c>
      <c r="Q6" s="8">
        <f>ROUND(P6*K6%,2)</f>
        <v>18.04</v>
      </c>
      <c r="R6" s="8">
        <f>M6+O6+Q6</f>
        <v>66.99</v>
      </c>
      <c r="S6" s="8">
        <f>(H6-R6)</f>
        <v>433.01</v>
      </c>
      <c r="T6" s="8">
        <v>88363222</v>
      </c>
      <c r="U6" s="8">
        <v>18</v>
      </c>
      <c r="V6" s="8">
        <f>IF(OR(PoToMRVWOIpDUom!$C$2=1,PoToMRVWOIpDUom!$C$2=4),ROUND((((S6*U6)/100)/2),2),0)</f>
        <v>0</v>
      </c>
      <c r="W6" s="8">
        <f>IF(PoToMRVWOIpDUom!$C$2=1,ROUND((((S6*U6)/100)/2),2),0)</f>
        <v>0</v>
      </c>
      <c r="X6" s="8">
        <f>IF(PoToMRVWOIpDUom!$C$2=2,ROUND(((S6*U6)/100),2),0)</f>
        <v>77.94</v>
      </c>
      <c r="Y6" s="8">
        <f>IF(PoToMRVWOIpDUom!$C$2=4,ROUND((((S6*U6)/100)/2),2),0)</f>
        <v>0</v>
      </c>
      <c r="Z6" s="8">
        <v>0</v>
      </c>
      <c r="AA6" s="8">
        <f>IF(PoToMRVWOIpDUom!$C4=3,0,(S6*Z6)/100)</f>
        <v>0</v>
      </c>
      <c r="AB6" s="8">
        <f>V6+W6+X6+Y6+AA6</f>
        <v>77.94</v>
      </c>
      <c r="AC6" s="8">
        <f>IF(PoToMRVWOIpDUom!$V4=1,S6+AB6,S6)</f>
        <v>433.01</v>
      </c>
      <c r="AD6" s="31">
        <v>120</v>
      </c>
      <c r="AE6" s="31">
        <f>IF(PoToMRVWOIpDUom!$P$2=1,(S6/PoToMRVWOIpDUom!$S$7)*PoToMRVWOIpDUom!$E$18,AD6/PoToMRVWOIpDUom!$AD$7*PoToMRVWOIpDUom!$E$18)</f>
        <v>0</v>
      </c>
      <c r="AF6" s="31"/>
      <c r="AG6" s="31">
        <f>IF(PoToMRVWOIpDUom!$P$2=1,(S6/PoToMRVWOIpDUom!$S$7)*PoToMRVWOIpDUom!$E$20,AD6/PoToMRVWOIpDUom!$AD$7*PoToMRVWOIpDUom!$E$20)</f>
        <v>0</v>
      </c>
      <c r="AH6" s="31">
        <f>IF(PoToMRVWOIpDUom!$P$2=1,(S6/PoToMRVWOIpDUom!$S$7)*PoToMRVWOIpDUom!$E$21,AD6/PoToMRVWOIpDUom!$AD$7*PoToMRVWOIpDUom!$E$21)</f>
        <v>0</v>
      </c>
      <c r="AI6" s="31">
        <f>S6*PoToMRVWOIpDUom!$M$2</f>
        <v>433.01</v>
      </c>
      <c r="AJ6" s="31">
        <f>IF(PoToMRVWOIpDUom!$C$2=3,0,AG6+AH6)</f>
        <v>0</v>
      </c>
      <c r="AK6" s="31">
        <f>IF(PoToMRVWOIpDUom!$C$2=3,AE6+AG6+AH6,0)</f>
        <v>0</v>
      </c>
      <c r="AL6" s="34">
        <v>3</v>
      </c>
      <c r="AM6" s="31">
        <f>F6/AL6</f>
        <v>3.33333333333333</v>
      </c>
      <c r="AN6" s="31">
        <f>ROUND(AI6/AM6,5)</f>
        <v>129.903</v>
      </c>
      <c r="AO6" s="31">
        <f>AJ6/AM6</f>
        <v>0</v>
      </c>
      <c r="AP6" s="31">
        <f>AK6/AM6</f>
        <v>0</v>
      </c>
      <c r="AQ6" s="31" t="s">
        <v>76</v>
      </c>
      <c r="AR6" s="31">
        <f>ROUND(AN6+AO6+AP6,5)</f>
        <v>129.903</v>
      </c>
      <c r="AS6" s="38" t="s">
        <v>120</v>
      </c>
      <c r="AT6" s="39" t="s">
        <v>76</v>
      </c>
      <c r="AU6" t="s" s="0">
        <v>123</v>
      </c>
      <c r="AV6" t="s" s="0">
        <v>319</v>
      </c>
      <c r="AW6" s="39">
        <f>AM6</f>
        <v>3.33333333333333</v>
      </c>
      <c r="AX6" s="39">
        <f>AR6</f>
        <v>129.903</v>
      </c>
      <c r="AY6" s="39">
        <f>AU6+AW6</f>
        <v>13.3323333333333</v>
      </c>
      <c r="AZ6" s="39">
        <f>ROUND(((AU6*AV6)+(AW6*AX6))/(AU6+AW6),2)</f>
        <v>129.9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321</v>
      </c>
      <c r="BO6" s="39">
        <f>ROUND((((AW6*AZ6)+(BN6*BM6))/(AW6+BN6)),5)</f>
        <v>129.9</v>
      </c>
      <c r="BP6" s="48">
        <f>ROUND(BN6+AW6,3)</f>
        <v>9.999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0">SUM(R4:R4)</f>
        <v>254.55</v>
      </c>
      <c r="S7" s="13">
        <f t="shared" si="0"/>
        <v>1245.45</v>
      </c>
      <c r="T7" s="26"/>
      <c r="U7" s="26"/>
      <c r="V7" s="27">
        <f t="shared" si="0"/>
        <v>0</v>
      </c>
      <c r="W7" s="27">
        <f t="shared" si="0"/>
        <v>0</v>
      </c>
      <c r="X7" s="27">
        <f t="shared" si="0"/>
        <v>224.18</v>
      </c>
      <c r="Y7" s="27"/>
      <c r="Z7" s="27"/>
      <c r="AA7" s="27"/>
      <c r="AB7" s="26">
        <f>SUM(AB4:AB4)</f>
        <v>224.18</v>
      </c>
      <c r="AC7" s="32">
        <f>SUM(AC4:AC4)</f>
        <v>1469.63</v>
      </c>
      <c r="AD7" s="33">
        <f>SUM(AD4:AD4)</f>
        <v>120</v>
      </c>
      <c r="AE7" s="33">
        <f>SUM(AE4:AE4)</f>
        <v>0</v>
      </c>
      <c r="AF7" s="32"/>
      <c r="AG7" s="33">
        <f t="shared" ref="AG7:AK7" si="1">SUM(AG4:AG4)</f>
        <v>0</v>
      </c>
      <c r="AH7" s="33">
        <f>IF($P$2=1,(S7/$S$7)*$E$21,AD7/$AD$7*$E$21)</f>
        <v>0</v>
      </c>
      <c r="AI7" s="33">
        <f t="shared" si="1"/>
        <v>1245.45</v>
      </c>
      <c r="AJ7" s="33">
        <f t="shared" si="1"/>
        <v>0</v>
      </c>
      <c r="AK7" s="33">
        <f t="shared" si="1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N1" workbookViewId="0">
      <selection activeCell="Z9" sqref="Z9"/>
    </sheetView>
  </sheetViews>
  <sheetFormatPr defaultColWidth="8.84761904761905" defaultRowHeight="15"/>
  <cols>
    <col min="2" max="3" customWidth="true" width="32.1428571428571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188</v>
      </c>
      <c r="C4" s="7" t="s">
        <v>188</v>
      </c>
      <c r="D4" s="7" t="s">
        <v>76</v>
      </c>
      <c r="E4" s="7" t="s">
        <v>95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IF(AND($C$2=2,V$2=1),ROUND(((S4*U4)/100),2),0)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0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373.635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311</v>
      </c>
      <c r="AV4" t="s" s="0">
        <v>312</v>
      </c>
      <c r="AW4" s="39">
        <f t="shared" ref="AW4:AW6" si="13">AM4</f>
        <v>3.33333333333333</v>
      </c>
      <c r="AX4" s="42">
        <f t="shared" ref="AX4:AX6" si="14">AR4</f>
        <v>373.635</v>
      </c>
      <c r="AY4" s="39">
        <f t="shared" ref="AY4:AY6" si="15">AU4+AW4</f>
        <v>9.99933333333333</v>
      </c>
      <c r="AZ4" s="42">
        <f>ROUND(((AU4*AV4)+(AW4*AX4))/(AU4+AW4),5)</f>
        <v>10835.06625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121</v>
      </c>
      <c r="BN4" t="s" s="0">
        <v>313</v>
      </c>
      <c r="BO4" s="39">
        <f t="shared" ref="BO4:BO6" si="16">ROUND((((AW4*AZ4)+(BN4*BM4))/(AW4+BN4)),5)</f>
        <v>871.84584</v>
      </c>
      <c r="BP4" s="48">
        <f t="shared" ref="BP4:BP6" si="17">ROUND(BN4+AW4,3)</f>
        <v>69.993</v>
      </c>
      <c r="BQ4" s="49">
        <v>123562</v>
      </c>
    </row>
    <row r="5" ht="15.75" spans="1:69">
      <c r="A5" s="7">
        <v>1</v>
      </c>
      <c r="B5" s="7" t="s">
        <v>191</v>
      </c>
      <c r="C5" s="7" t="s">
        <v>191</v>
      </c>
      <c r="D5" s="7" t="s">
        <v>76</v>
      </c>
      <c r="E5" s="7" t="s">
        <v>95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IF(OR(PoToMRVWoQSUom!$C$2=1,PoToMRVWoQSUom!$C$2=4),ROUND((((S5*U5)/100)/2),2),0)</f>
        <v>0</v>
      </c>
      <c r="W5" s="8">
        <f>IF(PoToMRVWoQSUom!$C$2=1,ROUND((((S5*U5)/100)/2),2),0)</f>
        <v>0</v>
      </c>
      <c r="X5" s="8">
        <f>IF(AND($C$2=2,V$2=1),ROUND(((S5*U5)/100),2),0)</f>
        <v>0</v>
      </c>
      <c r="Y5" s="8">
        <f>IF(PoToMRVWoQSUom!$C$2=4,ROUND((((S5*U5)/100)/2),2),0)</f>
        <v>0</v>
      </c>
      <c r="Z5" s="8">
        <v>0</v>
      </c>
      <c r="AA5" s="8">
        <f>IF(PoToMRVWoQSUom!$C3=3,0,(S5*Z5)/100)</f>
        <v>0</v>
      </c>
      <c r="AB5" s="8">
        <f t="shared" si="9"/>
        <v>0</v>
      </c>
      <c r="AC5" s="8">
        <f>IF(PoToMRVWoQSUom!$V3=1,S5+AB5,S5)</f>
        <v>328.47</v>
      </c>
      <c r="AD5" s="31">
        <v>120</v>
      </c>
      <c r="AE5" s="31">
        <f>IF(PoToMRVWoQSUom!$P$2=1,(S5/PoToMRVWoQSUom!$S$7)*PoToMRVWoQSUom!$E$18,AD5/PoToMRVWoQSUom!$AD$7*PoToMRVWoQSUom!$E$18)</f>
        <v>0</v>
      </c>
      <c r="AF5" s="31"/>
      <c r="AG5" s="31">
        <f>IF(PoToMRVWoQSUom!$P$2=1,(S5/PoToMRVWoQSUom!$S$7)*PoToMRVWoQSUom!$E$20,AD5/PoToMRVWoQSUom!$AD$7*PoToMRVWoQSUom!$E$20)</f>
        <v>0</v>
      </c>
      <c r="AH5" s="31">
        <f>IF(PoToMRVWoQSUom!$P$2=1,(S5/PoToMRVWoQSUom!$S$7)*PoToMRVWoQSUom!$E$21,AD5/PoToMRVWoQSUom!$AD$7*PoToMRVWoQSUom!$E$21)</f>
        <v>0</v>
      </c>
      <c r="AI5" s="31">
        <f>S5*PoToMRVWoQSUom!$M$2</f>
        <v>328.47</v>
      </c>
      <c r="AJ5" s="31">
        <f>IF(PoToMRVWoQSUom!$C$2=3,0,AG5+AH5)</f>
        <v>0</v>
      </c>
      <c r="AK5" s="31">
        <f>IF(PoToMRVWoQSUom!$C$2=3,AE5+AG5+AH5,0)</f>
        <v>0</v>
      </c>
      <c r="AL5" s="34">
        <v>3</v>
      </c>
      <c r="AM5" s="31">
        <f t="shared" si="10"/>
        <v>1.33333333333333</v>
      </c>
      <c r="AN5" s="31">
        <f>ROUND(AI5/AM5,5)</f>
        <v>246.3525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246.3525</v>
      </c>
      <c r="AS5" s="38" t="s">
        <v>120</v>
      </c>
      <c r="AT5" s="39" t="s">
        <v>76</v>
      </c>
      <c r="AU5" t="s" s="0">
        <v>315</v>
      </c>
      <c r="AV5" t="s" s="0">
        <v>316</v>
      </c>
      <c r="AW5" s="39">
        <f t="shared" si="13"/>
        <v>1.33333333333333</v>
      </c>
      <c r="AX5" s="39">
        <f t="shared" si="14"/>
        <v>246.3525</v>
      </c>
      <c r="AY5" s="39">
        <f t="shared" si="15"/>
        <v>6.66533333333333</v>
      </c>
      <c r="AZ5" s="39">
        <f>ROUND(((AU5*AV5)+(AW5*AX5))/(AU5+AW5),2)</f>
        <v>4385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317</v>
      </c>
      <c r="BO5" s="39">
        <f t="shared" si="16"/>
        <v>464.23476</v>
      </c>
      <c r="BP5" s="48">
        <f t="shared" si="17"/>
        <v>25.327</v>
      </c>
      <c r="BQ5" s="49">
        <v>123562</v>
      </c>
    </row>
    <row r="6" ht="15.75" spans="1:69">
      <c r="A6" s="7">
        <v>1</v>
      </c>
      <c r="B6" s="7" t="s">
        <v>193</v>
      </c>
      <c r="C6" s="7" t="s">
        <v>193</v>
      </c>
      <c r="D6" s="7" t="s">
        <v>76</v>
      </c>
      <c r="E6" s="7" t="s">
        <v>95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IF(OR(PoToMRVWoQSUom!$C$2=1,PoToMRVWoQSUom!$C$2=4),ROUND((((S6*U6)/100)/2),2),0)</f>
        <v>0</v>
      </c>
      <c r="W6" s="8">
        <f>IF(PoToMRVWoQSUom!$C$2=1,ROUND((((S6*U6)/100)/2),2),0)</f>
        <v>0</v>
      </c>
      <c r="X6" s="8">
        <f>IF(AND($C$2=2,V$2=1),ROUND(((S6*U6)/100),2),0)</f>
        <v>0</v>
      </c>
      <c r="Y6" s="8">
        <f>IF(PoToMRVWoQSUom!$C$2=4,ROUND((((S6*U6)/100)/2),2),0)</f>
        <v>0</v>
      </c>
      <c r="Z6" s="8">
        <v>0</v>
      </c>
      <c r="AA6" s="8">
        <f>IF(PoToMRVWoQSUom!$C4=3,0,(S6*Z6)/100)</f>
        <v>0</v>
      </c>
      <c r="AB6" s="8">
        <f t="shared" si="9"/>
        <v>0</v>
      </c>
      <c r="AC6" s="8">
        <f>IF(PoToMRVWoQSUom!$V4=1,S6+AB6,S6)</f>
        <v>433.01</v>
      </c>
      <c r="AD6" s="31">
        <v>120</v>
      </c>
      <c r="AE6" s="31">
        <f>IF(PoToMRVWoQSUom!$P$2=1,(S6/PoToMRVWoQSUom!$S$7)*PoToMRVWoQSUom!$E$18,AD6/PoToMRVWoQSUom!$AD$7*PoToMRVWoQSUom!$E$18)</f>
        <v>0</v>
      </c>
      <c r="AF6" s="31"/>
      <c r="AG6" s="31">
        <f>IF(PoToMRVWoQSUom!$P$2=1,(S6/PoToMRVWoQSUom!$S$7)*PoToMRVWoQSUom!$E$20,AD6/PoToMRVWoQSUom!$AD$7*PoToMRVWoQSUom!$E$20)</f>
        <v>0</v>
      </c>
      <c r="AH6" s="31">
        <f>IF(PoToMRVWoQSUom!$P$2=1,(S6/PoToMRVWoQSUom!$S$7)*PoToMRVWoQSUom!$E$21,AD6/PoToMRVWoQSUom!$AD$7*PoToMRVWoQSUom!$E$21)</f>
        <v>0</v>
      </c>
      <c r="AI6" s="31">
        <f>S6*PoToMRVWoQSUom!$M$2</f>
        <v>433.01</v>
      </c>
      <c r="AJ6" s="31">
        <f>IF(PoToMRVWoQSUom!$C$2=3,0,AG6+AH6)</f>
        <v>0</v>
      </c>
      <c r="AK6" s="31">
        <f>IF(PoToMRVWoQSUom!$C$2=3,AE6+AG6+AH6,0)</f>
        <v>0</v>
      </c>
      <c r="AL6" s="34">
        <v>3</v>
      </c>
      <c r="AM6" s="31">
        <f t="shared" si="10"/>
        <v>3.33333333333333</v>
      </c>
      <c r="AN6" s="31">
        <f>ROUND(AI6/AM6,5)</f>
        <v>129.903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129.903</v>
      </c>
      <c r="AS6" s="38" t="s">
        <v>120</v>
      </c>
      <c r="AT6" s="39" t="s">
        <v>76</v>
      </c>
      <c r="AU6" t="s" s="0">
        <v>123</v>
      </c>
      <c r="AV6" t="s" s="0">
        <v>319</v>
      </c>
      <c r="AW6" s="39">
        <f t="shared" si="13"/>
        <v>3.33333333333333</v>
      </c>
      <c r="AX6" s="39">
        <f t="shared" si="14"/>
        <v>129.903</v>
      </c>
      <c r="AY6" s="39">
        <f t="shared" si="15"/>
        <v>16.6653333333333</v>
      </c>
      <c r="AZ6" s="39">
        <f>ROUND(((AU6*AV6)+(AW6*AX6))/(AU6+AW6),2)</f>
        <v>2312.18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321</v>
      </c>
      <c r="BO6" s="39">
        <f t="shared" si="16"/>
        <v>244.76772</v>
      </c>
      <c r="BP6" s="48">
        <f t="shared" si="17"/>
        <v>63.327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0</v>
      </c>
      <c r="Y7" s="27"/>
      <c r="Z7" s="27"/>
      <c r="AA7" s="27"/>
      <c r="AB7" s="26">
        <f t="shared" ref="AB7:AE7" si="19">SUM(AB4:AB4)</f>
        <v>0</v>
      </c>
      <c r="AC7" s="32">
        <f t="shared" si="19"/>
        <v>1245.45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1245.45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B1" workbookViewId="0">
      <selection activeCell="M3" sqref="M3"/>
    </sheetView>
  </sheetViews>
  <sheetFormatPr defaultColWidth="8.84761904761905" defaultRowHeight="15"/>
  <cols>
    <col min="2" max="3" customWidth="true" width="32.1428571428571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188</v>
      </c>
      <c r="C4" s="7" t="s">
        <v>188</v>
      </c>
      <c r="D4" s="7" t="s">
        <v>76</v>
      </c>
      <c r="E4" s="7" t="s">
        <v>95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IF(AND($C$2=2,V$2=1),ROUND(((S4*U4)/100),2),0)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0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105863.25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31758.975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31758.975</v>
      </c>
      <c r="AS4" s="38" t="s">
        <v>120</v>
      </c>
      <c r="AT4" s="39" t="s">
        <v>76</v>
      </c>
      <c r="AU4" t="s" s="0">
        <v>85</v>
      </c>
      <c r="AV4" t="s" s="0">
        <v>322</v>
      </c>
      <c r="AW4" s="39">
        <f t="shared" ref="AW4:AW6" si="13">AM4</f>
        <v>3.33333333333333</v>
      </c>
      <c r="AX4" s="42">
        <f t="shared" ref="AX4:AX6" si="14">AR4</f>
        <v>31758.975</v>
      </c>
      <c r="AY4" s="39">
        <f t="shared" ref="AY4:AY6" si="15">AU4+AW4</f>
        <v>9.99933333333333</v>
      </c>
      <c r="AZ4" s="42">
        <f>ROUND(((AU4*AV4)+(AW4*AX4))/(AU4+AW4),5)</f>
        <v>31758.975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323</v>
      </c>
      <c r="BN4" t="s" s="0">
        <v>324</v>
      </c>
      <c r="BO4" s="39">
        <f t="shared" ref="BO4:BO6" si="16">ROUND((((AW4*AZ4)+(BN4*BM4))/(AW4+BN4)),5)</f>
        <v>3238.83622</v>
      </c>
      <c r="BP4" s="48">
        <f t="shared" ref="BP4:BP6" si="17">ROUND(BN4+AW4,3)</f>
        <v>69.993</v>
      </c>
      <c r="BQ4" s="49">
        <v>123562</v>
      </c>
    </row>
    <row r="5" ht="15.75" spans="1:69">
      <c r="A5" s="7">
        <v>1</v>
      </c>
      <c r="B5" s="7" t="s">
        <v>191</v>
      </c>
      <c r="C5" s="7" t="s">
        <v>191</v>
      </c>
      <c r="D5" s="7" t="s">
        <v>76</v>
      </c>
      <c r="E5" s="7" t="s">
        <v>95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IF(OR(PoToMRVWoQSUomImp!$C$2=1,PoToMRVWoQSUomImp!$C$2=4),ROUND((((S5*U5)/100)/2),2),0)</f>
        <v>0</v>
      </c>
      <c r="W5" s="8">
        <f>IF(PoToMRVWoQSUomImp!$C$2=1,ROUND((((S5*U5)/100)/2),2),0)</f>
        <v>0</v>
      </c>
      <c r="X5" s="8">
        <f>IF(AND($C$2=2,V$2=1),ROUND(((S5*U5)/100),2),0)</f>
        <v>0</v>
      </c>
      <c r="Y5" s="8">
        <f>IF(PoToMRVWoQSUomImp!$C$2=4,ROUND((((S5*U5)/100)/2),2),0)</f>
        <v>0</v>
      </c>
      <c r="Z5" s="8">
        <v>0</v>
      </c>
      <c r="AA5" s="8">
        <f>IF(PoToMRVWoQSUomImp!$C3=3,0,(S5*Z5)/100)</f>
        <v>0</v>
      </c>
      <c r="AB5" s="8">
        <f t="shared" si="9"/>
        <v>0</v>
      </c>
      <c r="AC5" s="8">
        <f>IF(PoToMRVWoQSUomImp!$V3=1,S5+AB5,S5)</f>
        <v>328.47</v>
      </c>
      <c r="AD5" s="31">
        <v>120</v>
      </c>
      <c r="AE5" s="31">
        <f>IF(PoToMRVWoQSUomImp!$P$2=1,(S5/PoToMRVWoQSUomImp!$S$7)*PoToMRVWoQSUomImp!$E$18,AD5/PoToMRVWoQSUomImp!$AD$7*PoToMRVWoQSUomImp!$E$18)</f>
        <v>0</v>
      </c>
      <c r="AF5" s="31"/>
      <c r="AG5" s="31">
        <f>IF(PoToMRVWoQSUomImp!$P$2=1,(S5/PoToMRVWoQSUomImp!$S$7)*PoToMRVWoQSUomImp!$E$20,AD5/PoToMRVWoQSUomImp!$AD$7*PoToMRVWoQSUomImp!$E$20)</f>
        <v>0</v>
      </c>
      <c r="AH5" s="31">
        <f>IF(PoToMRVWoQSUomImp!$P$2=1,(S5/PoToMRVWoQSUomImp!$S$7)*PoToMRVWoQSUomImp!$E$21,AD5/PoToMRVWoQSUomImp!$AD$7*PoToMRVWoQSUomImp!$E$21)</f>
        <v>0</v>
      </c>
      <c r="AI5" s="31">
        <f>S5*PoToMRVWoQSUomImp!$M$2</f>
        <v>27919.95</v>
      </c>
      <c r="AJ5" s="31">
        <f>IF(PoToMRVWoQSUomImp!$C$2=3,0,AG5+AH5)</f>
        <v>0</v>
      </c>
      <c r="AK5" s="31">
        <f>IF(PoToMRVWoQSUomImp!$C$2=3,AE5+AG5+AH5,0)</f>
        <v>0</v>
      </c>
      <c r="AL5" s="34">
        <v>3</v>
      </c>
      <c r="AM5" s="31">
        <f t="shared" si="10"/>
        <v>1.33333333333333</v>
      </c>
      <c r="AN5" s="31">
        <f>ROUND(AI5/AM5,5)</f>
        <v>20939.9625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20939.9625</v>
      </c>
      <c r="AS5" s="38" t="s">
        <v>120</v>
      </c>
      <c r="AT5" s="39" t="s">
        <v>76</v>
      </c>
      <c r="AU5" t="s" s="0">
        <v>85</v>
      </c>
      <c r="AV5" t="s" s="0">
        <v>210</v>
      </c>
      <c r="AW5" s="39">
        <f t="shared" si="13"/>
        <v>1.33333333333333</v>
      </c>
      <c r="AX5" s="39">
        <f t="shared" si="14"/>
        <v>20939.9625</v>
      </c>
      <c r="AY5" s="39">
        <f t="shared" si="15"/>
        <v>6.66533333333333</v>
      </c>
      <c r="AZ5" s="39">
        <f>ROUND(((AU5*AV5)+(AW5*AX5))/(AU5+AW5),2)</f>
        <v>20939.96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325</v>
      </c>
      <c r="BN5" t="s" s="0">
        <v>326</v>
      </c>
      <c r="BO5" s="39">
        <f t="shared" si="16"/>
        <v>250.32839</v>
      </c>
      <c r="BP5" s="48">
        <f t="shared" si="17"/>
        <v>25.327</v>
      </c>
      <c r="BQ5" s="49">
        <v>123562</v>
      </c>
    </row>
    <row r="6" ht="15.75" spans="1:69">
      <c r="A6" s="7">
        <v>1</v>
      </c>
      <c r="B6" s="7" t="s">
        <v>193</v>
      </c>
      <c r="C6" s="7" t="s">
        <v>193</v>
      </c>
      <c r="D6" s="7" t="s">
        <v>76</v>
      </c>
      <c r="E6" s="7" t="s">
        <v>95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IF(OR(PoToMRVWoQSUomImp!$C$2=1,PoToMRVWoQSUomImp!$C$2=4),ROUND((((S6*U6)/100)/2),2),0)</f>
        <v>0</v>
      </c>
      <c r="W6" s="8">
        <f>IF(PoToMRVWoQSUomImp!$C$2=1,ROUND((((S6*U6)/100)/2),2),0)</f>
        <v>0</v>
      </c>
      <c r="X6" s="8">
        <f>IF(AND($C$2=2,V$2=1),ROUND(((S6*U6)/100),2),0)</f>
        <v>0</v>
      </c>
      <c r="Y6" s="8">
        <f>IF(PoToMRVWoQSUomImp!$C$2=4,ROUND((((S6*U6)/100)/2),2),0)</f>
        <v>0</v>
      </c>
      <c r="Z6" s="8">
        <v>0</v>
      </c>
      <c r="AA6" s="8">
        <f>IF(PoToMRVWoQSUomImp!$C4=3,0,(S6*Z6)/100)</f>
        <v>0</v>
      </c>
      <c r="AB6" s="8">
        <f t="shared" si="9"/>
        <v>0</v>
      </c>
      <c r="AC6" s="8">
        <f>IF(PoToMRVWoQSUomImp!$V4=1,S6+AB6,S6)</f>
        <v>433.01</v>
      </c>
      <c r="AD6" s="31">
        <v>120</v>
      </c>
      <c r="AE6" s="31">
        <f>IF(PoToMRVWoQSUomImp!$P$2=1,(S6/PoToMRVWoQSUomImp!$S$7)*PoToMRVWoQSUomImp!$E$18,AD6/PoToMRVWoQSUomImp!$AD$7*PoToMRVWoQSUomImp!$E$18)</f>
        <v>0</v>
      </c>
      <c r="AF6" s="31"/>
      <c r="AG6" s="31">
        <f>IF(PoToMRVWoQSUomImp!$P$2=1,(S6/PoToMRVWoQSUomImp!$S$7)*PoToMRVWoQSUomImp!$E$20,AD6/PoToMRVWoQSUomImp!$AD$7*PoToMRVWoQSUomImp!$E$20)</f>
        <v>0</v>
      </c>
      <c r="AH6" s="31">
        <f>IF(PoToMRVWoQSUomImp!$P$2=1,(S6/PoToMRVWoQSUomImp!$S$7)*PoToMRVWoQSUomImp!$E$21,AD6/PoToMRVWoQSUomImp!$AD$7*PoToMRVWoQSUomImp!$E$21)</f>
        <v>0</v>
      </c>
      <c r="AI6" s="31">
        <f>S6*PoToMRVWoQSUomImp!$M$2</f>
        <v>36805.85</v>
      </c>
      <c r="AJ6" s="31">
        <f>IF(PoToMRVWoQSUomImp!$C$2=3,0,AG6+AH6)</f>
        <v>0</v>
      </c>
      <c r="AK6" s="31">
        <f>IF(PoToMRVWoQSUomImp!$C$2=3,AE6+AG6+AH6,0)</f>
        <v>0</v>
      </c>
      <c r="AL6" s="34">
        <v>3</v>
      </c>
      <c r="AM6" s="31">
        <f t="shared" si="10"/>
        <v>3.33333333333333</v>
      </c>
      <c r="AN6" s="31">
        <f>ROUND(AI6/AM6,5)</f>
        <v>11041.755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11041.755</v>
      </c>
      <c r="AS6" s="38" t="s">
        <v>120</v>
      </c>
      <c r="AT6" s="39" t="s">
        <v>76</v>
      </c>
      <c r="AU6" t="s" s="0">
        <v>85</v>
      </c>
      <c r="AV6" t="s" s="0">
        <v>213</v>
      </c>
      <c r="AW6" s="39">
        <f t="shared" si="13"/>
        <v>3.33333333333333</v>
      </c>
      <c r="AX6" s="39">
        <f t="shared" si="14"/>
        <v>11041.755</v>
      </c>
      <c r="AY6" s="39">
        <f t="shared" si="15"/>
        <v>16.6653333333333</v>
      </c>
      <c r="AZ6" s="39">
        <f>ROUND(((AU6*AV6)+(AW6*AX6))/(AU6+AW6),2)</f>
        <v>11041.76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327</v>
      </c>
      <c r="BN6" t="s" s="0">
        <v>328</v>
      </c>
      <c r="BO6" s="39">
        <f t="shared" si="16"/>
        <v>131.99726</v>
      </c>
      <c r="BP6" s="48">
        <f t="shared" si="17"/>
        <v>63.327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0</v>
      </c>
      <c r="Y7" s="27"/>
      <c r="Z7" s="27"/>
      <c r="AA7" s="27"/>
      <c r="AB7" s="26">
        <f t="shared" ref="AB7:AE7" si="19">SUM(AB4:AB4)</f>
        <v>0</v>
      </c>
      <c r="AC7" s="32">
        <f t="shared" si="19"/>
        <v>1245.45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105863.25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1245.45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K1" workbookViewId="0">
      <selection activeCell="X4" sqref="X4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310</v>
      </c>
      <c r="C4" s="7" t="s">
        <v>310</v>
      </c>
      <c r="D4" s="7" t="s">
        <v>76</v>
      </c>
      <c r="E4" s="7" t="s">
        <v>95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0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105863.25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31758.975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31758.975</v>
      </c>
      <c r="AS4" s="38" t="s">
        <v>120</v>
      </c>
      <c r="AT4" s="39" t="s">
        <v>76</v>
      </c>
      <c r="AU4" t="s" s="0">
        <v>329</v>
      </c>
      <c r="AV4" t="s" s="0">
        <v>330</v>
      </c>
      <c r="AW4" s="39">
        <f t="shared" ref="AW4:AW6" si="13">AM4</f>
        <v>3.33333333333333</v>
      </c>
      <c r="AX4" s="42">
        <f t="shared" ref="AX4:AX6" si="14">AR4</f>
        <v>31758.975</v>
      </c>
      <c r="AY4" s="39">
        <f t="shared" ref="AY4:AY6" si="15">AU4+AW4</f>
        <v>6.66633333333333</v>
      </c>
      <c r="AZ4" s="42">
        <f>ROUND(((AU4*AV4)+(AW4*AX4))/(AU4+AW4),5)</f>
        <v>16067.08967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121</v>
      </c>
      <c r="BN4" t="s" s="0">
        <v>313</v>
      </c>
      <c r="BO4" s="39">
        <f t="shared" ref="BO4:BO6" si="16">ROUND((((AW4*AZ4)+(BN4*BM4))/(AW4+BN4)),5)</f>
        <v>3512.57705</v>
      </c>
      <c r="BP4" s="48">
        <f t="shared" ref="BP4:BP6" si="17">ROUND(BN4+AW4,3)</f>
        <v>16.665</v>
      </c>
      <c r="BQ4" s="49">
        <v>123562</v>
      </c>
    </row>
    <row r="5" ht="15.75" spans="1:69">
      <c r="A5" s="7">
        <v>1</v>
      </c>
      <c r="B5" s="7" t="s">
        <v>314</v>
      </c>
      <c r="C5" s="7" t="s">
        <v>314</v>
      </c>
      <c r="D5" s="7" t="s">
        <v>76</v>
      </c>
      <c r="E5" s="7" t="s">
        <v>95</v>
      </c>
      <c r="F5" s="8">
        <v>4</v>
      </c>
      <c r="G5" s="8">
        <v>100</v>
      </c>
      <c r="H5" s="8">
        <f t="shared" si="0"/>
        <v>400</v>
      </c>
      <c r="I5" s="8">
        <v>4</v>
      </c>
      <c r="J5" s="8">
        <v>9</v>
      </c>
      <c r="K5" s="8">
        <v>6</v>
      </c>
      <c r="L5" s="8">
        <f t="shared" si="1"/>
        <v>400</v>
      </c>
      <c r="M5" s="8">
        <f t="shared" si="2"/>
        <v>16</v>
      </c>
      <c r="N5" s="8">
        <f t="shared" si="3"/>
        <v>384</v>
      </c>
      <c r="O5" s="8">
        <f t="shared" si="4"/>
        <v>34.56</v>
      </c>
      <c r="P5" s="8">
        <f t="shared" si="5"/>
        <v>349.44</v>
      </c>
      <c r="Q5" s="8">
        <f t="shared" si="6"/>
        <v>20.97</v>
      </c>
      <c r="R5" s="8">
        <f t="shared" si="7"/>
        <v>71.53</v>
      </c>
      <c r="S5" s="8">
        <f t="shared" si="8"/>
        <v>328.47</v>
      </c>
      <c r="T5" s="8">
        <v>88363222</v>
      </c>
      <c r="U5" s="8">
        <v>18</v>
      </c>
      <c r="V5" s="8">
        <f>IF(OR(PoToMRVWOIpDUomImp!$C$2=1,PoToMRVWOIpDUomImp!$C$2=4),ROUND((((S5*U5)/100)/2),2),0)</f>
        <v>0</v>
      </c>
      <c r="W5" s="8">
        <f>IF(PoToMRVWOIpDUomImp!$C$2=1,ROUND((((S5*U5)/100)/2),2),0)</f>
        <v>0</v>
      </c>
      <c r="X5" s="8">
        <f>IF(PoToMRVWOIpDUomImp!$C$2=2,ROUND(((S5*U5)/100),2),0)</f>
        <v>0</v>
      </c>
      <c r="Y5" s="8">
        <f>IF(PoToMRVWOIpDUomImp!$C$2=4,ROUND((((S5*U5)/100)/2),2),0)</f>
        <v>0</v>
      </c>
      <c r="Z5" s="8">
        <v>0</v>
      </c>
      <c r="AA5" s="8">
        <f>IF(PoToMRVWOIpDUomImp!$C3=3,0,(S5*Z5)/100)</f>
        <v>0</v>
      </c>
      <c r="AB5" s="8">
        <f t="shared" si="9"/>
        <v>0</v>
      </c>
      <c r="AC5" s="8">
        <f>IF(PoToMRVWOIpDUomImp!$V3=1,S5+AB5,S5)</f>
        <v>328.47</v>
      </c>
      <c r="AD5" s="31">
        <v>120</v>
      </c>
      <c r="AE5" s="31">
        <f>IF(PoToMRVWOIpDUomImp!$P$2=1,(S5/PoToMRVWOIpDUomImp!$S$7)*PoToMRVWOIpDUomImp!$E$18,AD5/PoToMRVWOIpDUomImp!$AD$7*PoToMRVWOIpDUomImp!$E$18)</f>
        <v>0</v>
      </c>
      <c r="AF5" s="31"/>
      <c r="AG5" s="31">
        <f>IF(PoToMRVWOIpDUomImp!$P$2=1,(S5/PoToMRVWOIpDUomImp!$S$7)*PoToMRVWOIpDUomImp!$E$20,AD5/PoToMRVWOIpDUomImp!$AD$7*PoToMRVWOIpDUomImp!$E$20)</f>
        <v>0</v>
      </c>
      <c r="AH5" s="31">
        <f>IF(PoToMRVWOIpDUomImp!$P$2=1,(S5/PoToMRVWOIpDUomImp!$S$7)*PoToMRVWOIpDUomImp!$E$21,AD5/PoToMRVWOIpDUomImp!$AD$7*PoToMRVWOIpDUomImp!$E$21)</f>
        <v>0</v>
      </c>
      <c r="AI5" s="31">
        <f>S5*PoToMRVWOIpDUomImp!$M$2</f>
        <v>27919.95</v>
      </c>
      <c r="AJ5" s="31">
        <f>IF(PoToMRVWOIpDUomImp!$C$2=3,0,AG5+AH5)</f>
        <v>0</v>
      </c>
      <c r="AK5" s="31">
        <f>IF(PoToMRVWOIpDUomImp!$C$2=3,AE5+AG5+AH5,0)</f>
        <v>0</v>
      </c>
      <c r="AL5" s="34">
        <v>3</v>
      </c>
      <c r="AM5" s="31">
        <f t="shared" si="10"/>
        <v>1.33333333333333</v>
      </c>
      <c r="AN5" s="31">
        <f>ROUND(AI5/AM5,5)</f>
        <v>20939.9625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20939.9625</v>
      </c>
      <c r="AS5" s="38" t="s">
        <v>120</v>
      </c>
      <c r="AT5" s="39" t="s">
        <v>76</v>
      </c>
      <c r="AU5" t="s" s="0">
        <v>331</v>
      </c>
      <c r="AV5" t="s" s="0">
        <v>332</v>
      </c>
      <c r="AW5" s="39">
        <f t="shared" si="13"/>
        <v>1.33333333333333</v>
      </c>
      <c r="AX5" s="39">
        <f t="shared" si="14"/>
        <v>20939.9625</v>
      </c>
      <c r="AY5" s="39">
        <f t="shared" si="15"/>
        <v>5.33233333333333</v>
      </c>
      <c r="AZ5" s="39">
        <f>ROUND(((AU5*AV5)+(AW5*AX5))/(AU5+AW5),2)</f>
        <v>5420.73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317</v>
      </c>
      <c r="BO5" s="39">
        <f t="shared" si="16"/>
        <v>1971.43751</v>
      </c>
      <c r="BP5" s="48">
        <f t="shared" si="17"/>
        <v>3.999</v>
      </c>
      <c r="BQ5" s="49">
        <v>123562</v>
      </c>
    </row>
    <row r="6" ht="15.75" spans="1:69">
      <c r="A6" s="7">
        <v>1</v>
      </c>
      <c r="B6" s="7" t="s">
        <v>318</v>
      </c>
      <c r="C6" s="7" t="s">
        <v>318</v>
      </c>
      <c r="D6" s="7" t="s">
        <v>76</v>
      </c>
      <c r="E6" s="7" t="s">
        <v>95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IF(OR(PoToMRVWOIpDUomImp!$C$2=1,PoToMRVWOIpDUomImp!$C$2=4),ROUND((((S6*U6)/100)/2),2),0)</f>
        <v>0</v>
      </c>
      <c r="W6" s="8">
        <f>IF(PoToMRVWOIpDUomImp!$C$2=1,ROUND((((S6*U6)/100)/2),2),0)</f>
        <v>0</v>
      </c>
      <c r="X6" s="8">
        <f>IF(PoToMRVWOIpDUomImp!$C$2=2,ROUND(((S6*U6)/100),2),0)</f>
        <v>0</v>
      </c>
      <c r="Y6" s="8">
        <f>IF(PoToMRVWOIpDUomImp!$C$2=4,ROUND((((S6*U6)/100)/2),2),0)</f>
        <v>0</v>
      </c>
      <c r="Z6" s="8">
        <v>0</v>
      </c>
      <c r="AA6" s="8">
        <f>IF(PoToMRVWOIpDUomImp!$C4=3,0,(S6*Z6)/100)</f>
        <v>0</v>
      </c>
      <c r="AB6" s="8">
        <f t="shared" si="9"/>
        <v>0</v>
      </c>
      <c r="AC6" s="8">
        <f>IF(PoToMRVWOIpDUomImp!$V4=1,S6+AB6,S6)</f>
        <v>433.01</v>
      </c>
      <c r="AD6" s="31">
        <v>120</v>
      </c>
      <c r="AE6" s="31">
        <f>IF(PoToMRVWOIpDUomImp!$P$2=1,(S6/PoToMRVWOIpDUomImp!$S$7)*PoToMRVWOIpDUomImp!$E$18,AD6/PoToMRVWOIpDUomImp!$AD$7*PoToMRVWOIpDUomImp!$E$18)</f>
        <v>0</v>
      </c>
      <c r="AF6" s="31"/>
      <c r="AG6" s="31">
        <f>IF(PoToMRVWOIpDUomImp!$P$2=1,(S6/PoToMRVWOIpDUomImp!$S$7)*PoToMRVWOIpDUomImp!$E$20,AD6/PoToMRVWOIpDUomImp!$AD$7*PoToMRVWOIpDUomImp!$E$20)</f>
        <v>0</v>
      </c>
      <c r="AH6" s="31">
        <f>IF(PoToMRVWOIpDUomImp!$P$2=1,(S6/PoToMRVWOIpDUomImp!$S$7)*PoToMRVWOIpDUomImp!$E$21,AD6/PoToMRVWOIpDUomImp!$AD$7*PoToMRVWOIpDUomImp!$E$21)</f>
        <v>0</v>
      </c>
      <c r="AI6" s="31">
        <f>S6*PoToMRVWOIpDUomImp!$M$2</f>
        <v>36805.85</v>
      </c>
      <c r="AJ6" s="31">
        <f>IF(PoToMRVWOIpDUomImp!$C$2=3,0,AG6+AH6)</f>
        <v>0</v>
      </c>
      <c r="AK6" s="31">
        <f>IF(PoToMRVWOIpDUomImp!$C$2=3,AE6+AG6+AH6,0)</f>
        <v>0</v>
      </c>
      <c r="AL6" s="34">
        <v>3</v>
      </c>
      <c r="AM6" s="31">
        <f t="shared" si="10"/>
        <v>3.33333333333333</v>
      </c>
      <c r="AN6" s="31">
        <f>ROUND(AI6/AM6,5)</f>
        <v>11041.755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11041.755</v>
      </c>
      <c r="AS6" s="38" t="s">
        <v>120</v>
      </c>
      <c r="AT6" s="39" t="s">
        <v>76</v>
      </c>
      <c r="AU6" t="s" s="0">
        <v>333</v>
      </c>
      <c r="AV6" t="s" s="0">
        <v>334</v>
      </c>
      <c r="AW6" s="39">
        <f t="shared" si="13"/>
        <v>3.33333333333333</v>
      </c>
      <c r="AX6" s="39">
        <f t="shared" si="14"/>
        <v>11041.755</v>
      </c>
      <c r="AY6" s="39">
        <f t="shared" si="15"/>
        <v>13.3323333333333</v>
      </c>
      <c r="AZ6" s="39">
        <f>ROUND(((AU6*AV6)+(AW6*AX6))/(AU6+AW6),2)</f>
        <v>2858.07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321</v>
      </c>
      <c r="BO6" s="39">
        <f t="shared" si="16"/>
        <v>1039.35063</v>
      </c>
      <c r="BP6" s="48">
        <f t="shared" si="17"/>
        <v>9.999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0</v>
      </c>
      <c r="Y7" s="27"/>
      <c r="Z7" s="27"/>
      <c r="AA7" s="27"/>
      <c r="AB7" s="26">
        <f t="shared" ref="AB7:AE7" si="19">SUM(AB4:AB4)</f>
        <v>0</v>
      </c>
      <c r="AC7" s="32">
        <f t="shared" si="19"/>
        <v>1245.45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105863.25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 t="s">
        <v>335</v>
      </c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1245.45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336</v>
      </c>
      <c r="C4" s="7" t="s">
        <v>336</v>
      </c>
      <c r="D4" s="7" t="s">
        <v>76</v>
      </c>
      <c r="E4" s="7" t="s">
        <v>95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373.635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337</v>
      </c>
      <c r="AV4" t="s" s="0">
        <v>121</v>
      </c>
      <c r="AW4" s="39">
        <f t="shared" ref="AW4:AW6" si="13">AM4</f>
        <v>3.33333333333333</v>
      </c>
      <c r="AX4" s="42">
        <f t="shared" ref="AX4:AX6" si="14">AR4</f>
        <v>373.635</v>
      </c>
      <c r="AY4" s="39">
        <f t="shared" ref="AY4:AY6" si="15">AU4+AW4</f>
        <v>13.3323333333333</v>
      </c>
      <c r="AZ4" s="42">
        <f>ROUND(((AU4*AV4)+(AW4*AX4))/(AU4+AW4),5)</f>
        <v>373.635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121</v>
      </c>
      <c r="BN4" t="s" s="0">
        <v>338</v>
      </c>
      <c r="BO4" s="39">
        <f t="shared" ref="BO4:BO6" si="16">ROUND((((AW4*AZ4)+(BN4*BM4))/(AW4+BN4)),5)</f>
        <v>373.635</v>
      </c>
      <c r="BP4" s="48">
        <f t="shared" ref="BP4:BP6" si="17">ROUND(BN4+AW4,3)</f>
        <v>6.666</v>
      </c>
      <c r="BQ4" s="49">
        <v>123562</v>
      </c>
    </row>
    <row r="5" ht="15.75" spans="1:69">
      <c r="A5" s="7">
        <v>1</v>
      </c>
      <c r="B5" s="7" t="s">
        <v>339</v>
      </c>
      <c r="C5" s="7" t="s">
        <v>339</v>
      </c>
      <c r="D5" s="7" t="s">
        <v>76</v>
      </c>
      <c r="E5" s="7" t="s">
        <v>95</v>
      </c>
      <c r="F5" s="8">
        <v>10</v>
      </c>
      <c r="G5" s="8">
        <v>100</v>
      </c>
      <c r="H5" s="8">
        <f t="shared" si="0"/>
        <v>1000</v>
      </c>
      <c r="I5" s="8">
        <v>4</v>
      </c>
      <c r="J5" s="8">
        <v>9</v>
      </c>
      <c r="K5" s="8">
        <v>6</v>
      </c>
      <c r="L5" s="8">
        <f t="shared" si="1"/>
        <v>1000</v>
      </c>
      <c r="M5" s="8">
        <f t="shared" si="2"/>
        <v>40</v>
      </c>
      <c r="N5" s="8">
        <f t="shared" si="3"/>
        <v>960</v>
      </c>
      <c r="O5" s="8">
        <f t="shared" si="4"/>
        <v>86.4</v>
      </c>
      <c r="P5" s="8">
        <f t="shared" si="5"/>
        <v>873.6</v>
      </c>
      <c r="Q5" s="8">
        <f t="shared" si="6"/>
        <v>52.42</v>
      </c>
      <c r="R5" s="8">
        <f t="shared" si="7"/>
        <v>178.82</v>
      </c>
      <c r="S5" s="8">
        <f t="shared" si="8"/>
        <v>821.18</v>
      </c>
      <c r="T5" s="8">
        <v>88363222</v>
      </c>
      <c r="U5" s="8">
        <v>18</v>
      </c>
      <c r="V5" s="8">
        <f>IF(OR(PoToMRVWOIpDUomRc!$C$2=1,PoToMRVWOIpDUomRc!$C$2=4),ROUND((((S5*U5)/100)/2),2),0)</f>
        <v>0</v>
      </c>
      <c r="W5" s="8">
        <f>IF(PoToMRVWOIpDUomRc!$C$2=1,ROUND((((S5*U5)/100)/2),2),0)</f>
        <v>0</v>
      </c>
      <c r="X5" s="8">
        <f>IF(PoToMRVWOIpDUomRc!$C$2=2,ROUND(((S5*U5)/100),2),0)</f>
        <v>147.81</v>
      </c>
      <c r="Y5" s="8">
        <f>IF(PoToMRVWOIpDUomRc!$C$2=4,ROUND((((S5*U5)/100)/2),2),0)</f>
        <v>0</v>
      </c>
      <c r="Z5" s="8">
        <v>0</v>
      </c>
      <c r="AA5" s="8">
        <f>IF(PoToMRVWOIpDUomRc!$C3=3,0,(S5*Z5)/100)</f>
        <v>0</v>
      </c>
      <c r="AB5" s="8">
        <f t="shared" si="9"/>
        <v>147.81</v>
      </c>
      <c r="AC5" s="8">
        <f>IF(PoToMRVWOIpDUomRc!$V3=1,S5+AB5,S5)</f>
        <v>821.18</v>
      </c>
      <c r="AD5" s="31">
        <v>120</v>
      </c>
      <c r="AE5" s="31">
        <f>IF(PoToMRVWOIpDUomRc!$P$2=1,(S5/PoToMRVWOIpDUomRc!$S$7)*PoToMRVWOIpDUomRc!$E$18,AD5/PoToMRVWOIpDUomRc!$AD$7*PoToMRVWOIpDUomRc!$E$18)</f>
        <v>0</v>
      </c>
      <c r="AF5" s="31"/>
      <c r="AG5" s="31">
        <f>IF(PoToMRVWOIpDUomRc!$P$2=1,(S5/PoToMRVWOIpDUomRc!$S$7)*PoToMRVWOIpDUomRc!$E$20,AD5/PoToMRVWOIpDUomRc!$AD$7*PoToMRVWOIpDUomRc!$E$20)</f>
        <v>0</v>
      </c>
      <c r="AH5" s="31">
        <f>IF(PoToMRVWOIpDUomRc!$P$2=1,(S5/PoToMRVWOIpDUomRc!$S$7)*PoToMRVWOIpDUomRc!$E$21,AD5/PoToMRVWOIpDUomRc!$AD$7*PoToMRVWOIpDUomRc!$E$21)</f>
        <v>0</v>
      </c>
      <c r="AI5" s="31">
        <f>S5*PoToMRVWOIpDUomRc!$M$2</f>
        <v>821.18</v>
      </c>
      <c r="AJ5" s="31">
        <f>IF(PoToMRVWOIpDUomRc!$C$2=3,0,AG5+AH5)</f>
        <v>0</v>
      </c>
      <c r="AK5" s="31">
        <f>IF(PoToMRVWOIpDUomRc!$C$2=3,AE5+AG5+AH5,0)</f>
        <v>0</v>
      </c>
      <c r="AL5" s="34">
        <v>3</v>
      </c>
      <c r="AM5" s="31">
        <f t="shared" si="10"/>
        <v>3.33333333333333</v>
      </c>
      <c r="AN5" s="31">
        <f>ROUND(AI5/AM5,5)</f>
        <v>246.354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246.354</v>
      </c>
      <c r="AS5" s="38" t="s">
        <v>120</v>
      </c>
      <c r="AT5" s="39" t="s">
        <v>76</v>
      </c>
      <c r="AU5" t="s" s="0">
        <v>340</v>
      </c>
      <c r="AV5" t="s" s="0">
        <v>125</v>
      </c>
      <c r="AW5" s="39">
        <f t="shared" si="13"/>
        <v>3.33333333333333</v>
      </c>
      <c r="AX5" s="46">
        <f t="shared" si="14"/>
        <v>246.354</v>
      </c>
      <c r="AY5" s="39">
        <f t="shared" si="15"/>
        <v>7.33233333333333</v>
      </c>
      <c r="AZ5" s="46">
        <f>ROUND(((AU5*AV5)+(AW5*AX5))/(AU5+AW5),5)</f>
        <v>246.35727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313</v>
      </c>
      <c r="BO5" s="39">
        <f>ROUND((((AW5*AZ5)+(BN5*BM5))/(AW5+BN5)),2)</f>
        <v>246.36</v>
      </c>
      <c r="BP5" s="48">
        <f t="shared" si="17"/>
        <v>4.666</v>
      </c>
      <c r="BQ5" s="49">
        <v>123562</v>
      </c>
    </row>
    <row r="6" ht="15.75" spans="1:69">
      <c r="A6" s="7">
        <v>1</v>
      </c>
      <c r="B6" s="7" t="s">
        <v>341</v>
      </c>
      <c r="C6" s="7" t="s">
        <v>341</v>
      </c>
      <c r="D6" s="7" t="s">
        <v>76</v>
      </c>
      <c r="E6" s="7" t="s">
        <v>95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IF(OR(PoToMRVWOIpDUomRc!$C$2=1,PoToMRVWOIpDUomRc!$C$2=4),ROUND((((S6*U6)/100)/2),2),0)</f>
        <v>0</v>
      </c>
      <c r="W6" s="8">
        <f>IF(PoToMRVWOIpDUomRc!$C$2=1,ROUND((((S6*U6)/100)/2),2),0)</f>
        <v>0</v>
      </c>
      <c r="X6" s="8">
        <f>IF(PoToMRVWOIpDUomRc!$C$2=2,ROUND(((S6*U6)/100),2),0)</f>
        <v>77.94</v>
      </c>
      <c r="Y6" s="8">
        <f>IF(PoToMRVWOIpDUomRc!$C$2=4,ROUND((((S6*U6)/100)/2),2),0)</f>
        <v>0</v>
      </c>
      <c r="Z6" s="8">
        <v>0</v>
      </c>
      <c r="AA6" s="8">
        <f>IF(PoToMRVWOIpDUomRc!$C4=3,0,(S6*Z6)/100)</f>
        <v>0</v>
      </c>
      <c r="AB6" s="8">
        <f t="shared" si="9"/>
        <v>77.94</v>
      </c>
      <c r="AC6" s="8">
        <f>IF(PoToMRVWOIpDUomRc!$V4=1,S6+AB6,S6)</f>
        <v>433.01</v>
      </c>
      <c r="AD6" s="31">
        <v>120</v>
      </c>
      <c r="AE6" s="31">
        <f>IF(PoToMRVWOIpDUomRc!$P$2=1,(S6/PoToMRVWOIpDUomRc!$S$7)*PoToMRVWOIpDUomRc!$E$18,AD6/PoToMRVWOIpDUomRc!$AD$7*PoToMRVWOIpDUomRc!$E$18)</f>
        <v>0</v>
      </c>
      <c r="AF6" s="31"/>
      <c r="AG6" s="31">
        <f>IF(PoToMRVWOIpDUomRc!$P$2=1,(S6/PoToMRVWOIpDUomRc!$S$7)*PoToMRVWOIpDUomRc!$E$20,AD6/PoToMRVWOIpDUomRc!$AD$7*PoToMRVWOIpDUomRc!$E$20)</f>
        <v>0</v>
      </c>
      <c r="AH6" s="31">
        <f>IF(PoToMRVWOIpDUomRc!$P$2=1,(S6/PoToMRVWOIpDUomRc!$S$7)*PoToMRVWOIpDUomRc!$E$21,AD6/PoToMRVWOIpDUomRc!$AD$7*PoToMRVWOIpDUomRc!$E$21)</f>
        <v>0</v>
      </c>
      <c r="AI6" s="31">
        <f>S6*PoToMRVWOIpDUomRc!$M$2</f>
        <v>433.01</v>
      </c>
      <c r="AJ6" s="31">
        <f>IF(PoToMRVWOIpDUomRc!$C$2=3,0,AG6+AH6)</f>
        <v>0</v>
      </c>
      <c r="AK6" s="31">
        <f>IF(PoToMRVWOIpDUomRc!$C$2=3,AE6+AG6+AH6,0)</f>
        <v>0</v>
      </c>
      <c r="AL6" s="34">
        <v>3</v>
      </c>
      <c r="AM6" s="31">
        <f t="shared" si="10"/>
        <v>3.33333333333333</v>
      </c>
      <c r="AN6" s="31">
        <f>ROUND(AI6/AM6,5)</f>
        <v>129.903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129.903</v>
      </c>
      <c r="AS6" s="38" t="s">
        <v>120</v>
      </c>
      <c r="AT6" s="39" t="s">
        <v>76</v>
      </c>
      <c r="AU6" t="s" s="0">
        <v>311</v>
      </c>
      <c r="AV6" t="s" s="0">
        <v>320</v>
      </c>
      <c r="AW6" s="39">
        <f t="shared" si="13"/>
        <v>3.33333333333333</v>
      </c>
      <c r="AX6" s="39">
        <f t="shared" si="14"/>
        <v>129.903</v>
      </c>
      <c r="AY6" s="39">
        <f t="shared" si="15"/>
        <v>13.3323333333333</v>
      </c>
      <c r="AZ6" s="39">
        <f>ROUND(((AU6*AV6)+(AW6*AX6))/(AU6+AW6),2)</f>
        <v>129.9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313</v>
      </c>
      <c r="BO6" s="39">
        <f t="shared" si="16"/>
        <v>129.9</v>
      </c>
      <c r="BP6" s="48">
        <f t="shared" si="17"/>
        <v>6.666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8">SUM(R4:R4)</f>
        <v>254.55</v>
      </c>
      <c r="S7" s="13">
        <f t="shared" si="18"/>
        <v>1245.45</v>
      </c>
      <c r="T7" s="26"/>
      <c r="U7" s="26"/>
      <c r="V7" s="27">
        <f t="shared" si="18"/>
        <v>0</v>
      </c>
      <c r="W7" s="27">
        <f t="shared" si="18"/>
        <v>0</v>
      </c>
      <c r="X7" s="27">
        <f t="shared" si="18"/>
        <v>224.18</v>
      </c>
      <c r="Y7" s="27"/>
      <c r="Z7" s="27"/>
      <c r="AA7" s="27"/>
      <c r="AB7" s="26">
        <f t="shared" ref="AB7:AE7" si="19">SUM(AB4:AB4)</f>
        <v>224.18</v>
      </c>
      <c r="AC7" s="32">
        <f t="shared" si="19"/>
        <v>1469.63</v>
      </c>
      <c r="AD7" s="33">
        <f t="shared" si="19"/>
        <v>120</v>
      </c>
      <c r="AE7" s="33">
        <f t="shared" si="19"/>
        <v>0</v>
      </c>
      <c r="AF7" s="32"/>
      <c r="AG7" s="33">
        <f t="shared" ref="AG7:AK7" si="20">SUM(AG4:AG4)</f>
        <v>0</v>
      </c>
      <c r="AH7" s="33">
        <f>IF($P$2=1,(S7/$S$7)*$E$21,AD7/$AD$7*$E$21)</f>
        <v>0</v>
      </c>
      <c r="AI7" s="33">
        <f t="shared" si="20"/>
        <v>1245.45</v>
      </c>
      <c r="AJ7" s="33">
        <f t="shared" si="20"/>
        <v>0</v>
      </c>
      <c r="AK7" s="33">
        <f t="shared" si="20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8" sqref="L8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336</v>
      </c>
      <c r="C4" s="7" t="s">
        <v>336</v>
      </c>
      <c r="D4" s="7" t="s">
        <v>76</v>
      </c>
      <c r="E4" s="7" t="s">
        <v>95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0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105863.25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31758.975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31758.975</v>
      </c>
      <c r="AS4" s="38" t="s">
        <v>120</v>
      </c>
      <c r="AT4" s="39" t="s">
        <v>76</v>
      </c>
      <c r="AU4" t="s" s="0">
        <v>337</v>
      </c>
      <c r="AV4" t="s" s="0">
        <v>121</v>
      </c>
      <c r="AW4" s="39">
        <f t="shared" ref="AW4:AW6" si="13">AM4</f>
        <v>3.33333333333333</v>
      </c>
      <c r="AX4" s="42">
        <f t="shared" ref="AX4:AX6" si="14">AR4</f>
        <v>31758.975</v>
      </c>
      <c r="AY4" s="39">
        <f t="shared" ref="AY4:AY6" si="15">AU4+AW4</f>
        <v>6.66633333333333</v>
      </c>
      <c r="AZ4" s="42">
        <f>ROUND(((AU4*AV4)+(AW4*AX4))/(AU4+AW4),5)</f>
        <v>16067.08967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121</v>
      </c>
      <c r="BN4" t="s" s="0">
        <v>338</v>
      </c>
      <c r="BO4" s="39">
        <f>ROUND((((AW4*AZ4)+(BN4*BM4))/(AW4+BN4)),5)</f>
        <v>1087.04195</v>
      </c>
      <c r="BP4" s="48">
        <f t="shared" ref="BP4:BP6" si="16">ROUND(BN4+AW4,3)</f>
        <v>73.326</v>
      </c>
      <c r="BQ4" s="49">
        <v>123562</v>
      </c>
    </row>
    <row r="5" ht="15.75" spans="1:69">
      <c r="A5" s="7">
        <v>1</v>
      </c>
      <c r="B5" s="7" t="s">
        <v>339</v>
      </c>
      <c r="C5" s="7" t="s">
        <v>339</v>
      </c>
      <c r="D5" s="7" t="s">
        <v>76</v>
      </c>
      <c r="E5" s="7" t="s">
        <v>95</v>
      </c>
      <c r="F5" s="8">
        <v>10</v>
      </c>
      <c r="G5" s="8">
        <v>100</v>
      </c>
      <c r="H5" s="8">
        <f t="shared" si="0"/>
        <v>1000</v>
      </c>
      <c r="I5" s="8">
        <v>4</v>
      </c>
      <c r="J5" s="8">
        <v>9</v>
      </c>
      <c r="K5" s="8">
        <v>6</v>
      </c>
      <c r="L5" s="8">
        <f t="shared" si="1"/>
        <v>1000</v>
      </c>
      <c r="M5" s="8">
        <f t="shared" si="2"/>
        <v>40</v>
      </c>
      <c r="N5" s="8">
        <f t="shared" si="3"/>
        <v>960</v>
      </c>
      <c r="O5" s="8">
        <f t="shared" si="4"/>
        <v>86.4</v>
      </c>
      <c r="P5" s="8">
        <f t="shared" si="5"/>
        <v>873.6</v>
      </c>
      <c r="Q5" s="8">
        <f t="shared" si="6"/>
        <v>52.42</v>
      </c>
      <c r="R5" s="8">
        <f t="shared" si="7"/>
        <v>178.82</v>
      </c>
      <c r="S5" s="8">
        <f t="shared" si="8"/>
        <v>821.18</v>
      </c>
      <c r="T5" s="8">
        <v>88363222</v>
      </c>
      <c r="U5" s="8">
        <v>18</v>
      </c>
      <c r="V5" s="8">
        <f>IF(OR(PoToMRVWOIpDUomRcImp!$C$2=1,PoToMRVWOIpDUomRcImp!$C$2=4),ROUND((((S5*U5)/100)/2),2),0)</f>
        <v>0</v>
      </c>
      <c r="W5" s="8">
        <f>IF(PoToMRVWOIpDUomRcImp!$C$2=1,ROUND((((S5*U5)/100)/2),2),0)</f>
        <v>0</v>
      </c>
      <c r="X5" s="8">
        <f>IF(PoToMRVWOIpDUomRcImp!$C$2=2,ROUND(((S5*U5)/100),2),0)</f>
        <v>0</v>
      </c>
      <c r="Y5" s="8">
        <f>IF(PoToMRVWOIpDUomRcImp!$C$2=4,ROUND((((S5*U5)/100)/2),2),0)</f>
        <v>0</v>
      </c>
      <c r="Z5" s="8">
        <v>0</v>
      </c>
      <c r="AA5" s="8">
        <f>IF(PoToMRVWOIpDUomRcImp!$C3=3,0,(S5*Z5)/100)</f>
        <v>0</v>
      </c>
      <c r="AB5" s="8">
        <f t="shared" si="9"/>
        <v>0</v>
      </c>
      <c r="AC5" s="8">
        <f>IF(PoToMRVWOIpDUomRcImp!$V3=1,S5+AB5,S5)</f>
        <v>821.18</v>
      </c>
      <c r="AD5" s="31">
        <v>120</v>
      </c>
      <c r="AE5" s="31">
        <f>IF(PoToMRVWOIpDUomRcImp!$P$2=1,(S5/PoToMRVWOIpDUomRcImp!$S$7)*PoToMRVWOIpDUomRcImp!$E$18,AD5/PoToMRVWOIpDUomRcImp!$AD$7*PoToMRVWOIpDUomRcImp!$E$18)</f>
        <v>0</v>
      </c>
      <c r="AF5" s="31"/>
      <c r="AG5" s="31">
        <f>IF(PoToMRVWOIpDUomRcImp!$P$2=1,(S5/PoToMRVWOIpDUomRcImp!$S$7)*PoToMRVWOIpDUomRcImp!$E$20,AD5/PoToMRVWOIpDUomRcImp!$AD$7*PoToMRVWOIpDUomRcImp!$E$20)</f>
        <v>0</v>
      </c>
      <c r="AH5" s="31">
        <f>IF(PoToMRVWOIpDUomRcImp!$P$2=1,(S5/PoToMRVWOIpDUomRcImp!$S$7)*PoToMRVWOIpDUomRcImp!$E$21,AD5/PoToMRVWOIpDUomRcImp!$AD$7*PoToMRVWOIpDUomRcImp!$E$21)</f>
        <v>0</v>
      </c>
      <c r="AI5" s="31">
        <f>S5*PoToMRVWOIpDUomRcImp!$M$2</f>
        <v>69800.3</v>
      </c>
      <c r="AJ5" s="31">
        <f>IF(PoToMRVWOIpDUomRcImp!$C$2=3,0,AG5+AH5)</f>
        <v>0</v>
      </c>
      <c r="AK5" s="31">
        <f>IF(PoToMRVWOIpDUomRcImp!$C$2=3,AE5+AG5+AH5,0)</f>
        <v>0</v>
      </c>
      <c r="AL5" s="34">
        <v>3</v>
      </c>
      <c r="AM5" s="31">
        <f t="shared" si="10"/>
        <v>3.33333333333333</v>
      </c>
      <c r="AN5" s="31">
        <f>ROUND(AI5/AM5,5)</f>
        <v>20940.09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20940.09</v>
      </c>
      <c r="AS5" s="38" t="s">
        <v>120</v>
      </c>
      <c r="AT5" s="39" t="s">
        <v>76</v>
      </c>
      <c r="AU5" t="s" s="0">
        <v>340</v>
      </c>
      <c r="AV5" t="s" s="0">
        <v>125</v>
      </c>
      <c r="AW5" s="39">
        <f t="shared" si="13"/>
        <v>3.33333333333333</v>
      </c>
      <c r="AX5" s="46">
        <f t="shared" si="14"/>
        <v>20940.09</v>
      </c>
      <c r="AY5" s="39">
        <f t="shared" si="15"/>
        <v>7.99933333333333</v>
      </c>
      <c r="AZ5" s="46">
        <f>ROUND(((AU5*AV5)+(AW5*AX5))/(AU5+AW5),5)</f>
        <v>8869.46609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313</v>
      </c>
      <c r="BO5" s="39">
        <f>ROUND((((AW5*AZ5)+(BN5*BM5))/(AW5+BN5)),2)</f>
        <v>657.02</v>
      </c>
      <c r="BP5" s="48">
        <f t="shared" si="16"/>
        <v>69.993</v>
      </c>
      <c r="BQ5" s="49">
        <v>123562</v>
      </c>
    </row>
    <row r="6" ht="15.75" spans="1:69">
      <c r="A6" s="7">
        <v>1</v>
      </c>
      <c r="B6" s="7" t="s">
        <v>341</v>
      </c>
      <c r="C6" s="7" t="s">
        <v>341</v>
      </c>
      <c r="D6" s="7" t="s">
        <v>76</v>
      </c>
      <c r="E6" s="7" t="s">
        <v>95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IF(OR(PoToMRVWOIpDUomRcImp!$C$2=1,PoToMRVWOIpDUomRcImp!$C$2=4),ROUND((((S6*U6)/100)/2),2),0)</f>
        <v>0</v>
      </c>
      <c r="W6" s="8">
        <f>IF(PoToMRVWOIpDUomRcImp!$C$2=1,ROUND((((S6*U6)/100)/2),2),0)</f>
        <v>0</v>
      </c>
      <c r="X6" s="8">
        <f>IF(PoToMRVWOIpDUomRcImp!$C$2=2,ROUND(((S6*U6)/100),2),0)</f>
        <v>0</v>
      </c>
      <c r="Y6" s="8">
        <f>IF(PoToMRVWOIpDUomRcImp!$C$2=4,ROUND((((S6*U6)/100)/2),2),0)</f>
        <v>0</v>
      </c>
      <c r="Z6" s="8">
        <v>0</v>
      </c>
      <c r="AA6" s="8">
        <f>IF(PoToMRVWOIpDUomRcImp!$C4=3,0,(S6*Z6)/100)</f>
        <v>0</v>
      </c>
      <c r="AB6" s="8">
        <f t="shared" si="9"/>
        <v>0</v>
      </c>
      <c r="AC6" s="8">
        <f>IF(PoToMRVWOIpDUomRcImp!$V4=1,S6+AB6,S6)</f>
        <v>433.01</v>
      </c>
      <c r="AD6" s="31">
        <v>120</v>
      </c>
      <c r="AE6" s="31">
        <f>IF(PoToMRVWOIpDUomRcImp!$P$2=1,(S6/PoToMRVWOIpDUomRcImp!$S$7)*PoToMRVWOIpDUomRcImp!$E$18,AD6/PoToMRVWOIpDUomRcImp!$AD$7*PoToMRVWOIpDUomRcImp!$E$18)</f>
        <v>0</v>
      </c>
      <c r="AF6" s="31"/>
      <c r="AG6" s="31">
        <f>IF(PoToMRVWOIpDUomRcImp!$P$2=1,(S6/PoToMRVWOIpDUomRcImp!$S$7)*PoToMRVWOIpDUomRcImp!$E$20,AD6/PoToMRVWOIpDUomRcImp!$AD$7*PoToMRVWOIpDUomRcImp!$E$20)</f>
        <v>0</v>
      </c>
      <c r="AH6" s="31">
        <f>IF(PoToMRVWOIpDUomRcImp!$P$2=1,(S6/PoToMRVWOIpDUomRcImp!$S$7)*PoToMRVWOIpDUomRcImp!$E$21,AD6/PoToMRVWOIpDUomRcImp!$AD$7*PoToMRVWOIpDUomRcImp!$E$21)</f>
        <v>0</v>
      </c>
      <c r="AI6" s="31">
        <f>S6*PoToMRVWOIpDUomRcImp!$M$2</f>
        <v>36805.85</v>
      </c>
      <c r="AJ6" s="31">
        <f>IF(PoToMRVWOIpDUomRcImp!$C$2=3,0,AG6+AH6)</f>
        <v>0</v>
      </c>
      <c r="AK6" s="31">
        <f>IF(PoToMRVWOIpDUomRcImp!$C$2=3,AE6+AG6+AH6,0)</f>
        <v>0</v>
      </c>
      <c r="AL6" s="34">
        <v>3</v>
      </c>
      <c r="AM6" s="31">
        <f t="shared" si="10"/>
        <v>3.33333333333333</v>
      </c>
      <c r="AN6" s="31">
        <f>ROUND(AI6/AM6,5)</f>
        <v>11041.755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11041.755</v>
      </c>
      <c r="AS6" s="38" t="s">
        <v>120</v>
      </c>
      <c r="AT6" s="39" t="s">
        <v>76</v>
      </c>
      <c r="AU6" t="s" s="0">
        <v>311</v>
      </c>
      <c r="AV6" t="s" s="0">
        <v>320</v>
      </c>
      <c r="AW6" s="39">
        <f t="shared" si="13"/>
        <v>3.33333333333333</v>
      </c>
      <c r="AX6" s="39">
        <f t="shared" si="14"/>
        <v>11041.755</v>
      </c>
      <c r="AY6" s="39">
        <f t="shared" si="15"/>
        <v>9.99933333333333</v>
      </c>
      <c r="AZ6" s="39">
        <f>ROUND(((AU6*AV6)+(AW6*AX6))/(AU6+AW6),2)</f>
        <v>3767.43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313</v>
      </c>
      <c r="BO6" s="39">
        <f>ROUND((((AW6*AZ6)+(BN6*BM6))/(AW6+BN6)),5)</f>
        <v>303.13221</v>
      </c>
      <c r="BP6" s="48">
        <f t="shared" si="16"/>
        <v>69.993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254.55</v>
      </c>
      <c r="S7" s="13">
        <f t="shared" si="17"/>
        <v>1245.45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0</v>
      </c>
      <c r="Y7" s="27"/>
      <c r="Z7" s="27"/>
      <c r="AA7" s="27"/>
      <c r="AB7" s="26">
        <f t="shared" ref="AB7:AE7" si="18">SUM(AB4:AB4)</f>
        <v>0</v>
      </c>
      <c r="AC7" s="32">
        <f t="shared" si="18"/>
        <v>1245.45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105863.25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1245.45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C1" workbookViewId="0">
      <selection activeCell="C4" sqref="C4"/>
    </sheetView>
  </sheetViews>
  <sheetFormatPr defaultColWidth="8.84761904761905" defaultRowHeight="15"/>
  <cols>
    <col min="2" max="2" customWidth="true" width="28.0"/>
    <col min="3" max="3" customWidth="true" width="30.0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342</v>
      </c>
      <c r="C4" s="7" t="s">
        <v>342</v>
      </c>
      <c r="D4" s="7" t="s">
        <v>76</v>
      </c>
      <c r="E4" s="7" t="s">
        <v>95</v>
      </c>
      <c r="F4" s="8">
        <v>10</v>
      </c>
      <c r="G4" t="s" s="0">
        <v>77</v>
      </c>
      <c r="H4" s="8">
        <f t="shared" ref="H4:H6" si="0">F4*G4</f>
        <v>1500</v>
      </c>
      <c r="I4" t="s" s="0">
        <v>78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373.635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85</v>
      </c>
      <c r="AV4" t="s" s="0">
        <v>121</v>
      </c>
      <c r="AW4" s="39">
        <f t="shared" ref="AW4:AW6" si="13">AM4</f>
        <v>3.33333333333333</v>
      </c>
      <c r="AX4" s="42">
        <f t="shared" ref="AX4:AX6" si="14">AR4</f>
        <v>373.635</v>
      </c>
      <c r="AY4" s="39">
        <f t="shared" ref="AY4:AY6" si="15">AU4+AW4</f>
        <v>3.33333333333333</v>
      </c>
      <c r="AZ4" s="42">
        <f>ROUND(((AU4*AV4)+(AW4*AX4))/(AU4+AW4),5)</f>
        <v>373.635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121</v>
      </c>
      <c r="BN4" t="s" s="0">
        <v>123</v>
      </c>
      <c r="BO4" s="39">
        <f>ROUND((((AW4*AZ4)+(BN4*BM4))/(AW4+BN4)),5)</f>
        <v>373.635</v>
      </c>
      <c r="BP4" s="48">
        <f t="shared" ref="BP4:BP6" si="16">ROUND(BN4+AW4,3)</f>
        <v>16.665</v>
      </c>
      <c r="BQ4" s="49">
        <v>123562</v>
      </c>
    </row>
    <row r="5" ht="15.75" spans="1:69">
      <c r="A5" s="7">
        <v>1</v>
      </c>
      <c r="B5" s="7" t="s">
        <v>343</v>
      </c>
      <c r="C5" s="7" t="s">
        <v>343</v>
      </c>
      <c r="D5" s="7" t="s">
        <v>76</v>
      </c>
      <c r="E5" s="7" t="s">
        <v>95</v>
      </c>
      <c r="F5" s="8">
        <v>20</v>
      </c>
      <c r="G5" t="s" s="0">
        <v>87</v>
      </c>
      <c r="H5" s="8">
        <f t="shared" si="0"/>
        <v>2000</v>
      </c>
      <c r="I5" t="s" s="0">
        <v>88</v>
      </c>
      <c r="J5" s="8">
        <v>9</v>
      </c>
      <c r="K5" s="8">
        <v>6</v>
      </c>
      <c r="L5" s="8">
        <f t="shared" si="1"/>
        <v>2000</v>
      </c>
      <c r="M5" s="8">
        <f t="shared" si="2"/>
        <v>80</v>
      </c>
      <c r="N5" s="8">
        <f t="shared" si="3"/>
        <v>1920</v>
      </c>
      <c r="O5" s="8">
        <f t="shared" si="4"/>
        <v>172.8</v>
      </c>
      <c r="P5" s="8">
        <f t="shared" si="5"/>
        <v>1747.2</v>
      </c>
      <c r="Q5" s="8">
        <f t="shared" si="6"/>
        <v>104.83</v>
      </c>
      <c r="R5" s="8">
        <f t="shared" si="7"/>
        <v>357.63</v>
      </c>
      <c r="S5" s="8">
        <f t="shared" si="8"/>
        <v>1642.37</v>
      </c>
      <c r="T5" s="8">
        <v>88363222</v>
      </c>
      <c r="U5" s="8">
        <v>18</v>
      </c>
      <c r="V5" s="8">
        <f>IF(OR(PoToMRVWFPDUomRc!$C$2=1,PoToMRVWFPDUomRc!$C$2=4),ROUND((((S5*U5)/100)/2),2),0)</f>
        <v>0</v>
      </c>
      <c r="W5" s="8">
        <f>IF(PoToMRVWFPDUomRc!$C$2=1,ROUND((((S5*U5)/100)/2),2),0)</f>
        <v>0</v>
      </c>
      <c r="X5" s="8">
        <f>IF(PoToMRVWFPDUomRc!$C$2=2,ROUND(((S5*U5)/100),2),0)</f>
        <v>295.63</v>
      </c>
      <c r="Y5" s="8">
        <f>IF(PoToMRVWFPDUomRc!$C$2=4,ROUND((((S5*U5)/100)/2),2),0)</f>
        <v>0</v>
      </c>
      <c r="Z5" s="8">
        <v>0</v>
      </c>
      <c r="AA5" s="8">
        <f>IF(PoToMRVWFPDUomRc!$C3=3,0,(S5*Z5)/100)</f>
        <v>0</v>
      </c>
      <c r="AB5" s="8">
        <f t="shared" si="9"/>
        <v>295.63</v>
      </c>
      <c r="AC5" s="8">
        <f>IF(PoToMRVWFPDUomRc!$V3=1,S5+AB5,S5)</f>
        <v>1642.37</v>
      </c>
      <c r="AD5" s="31">
        <v>120</v>
      </c>
      <c r="AE5" s="31">
        <f>IF(PoToMRVWFPDUomRc!$P$2=1,(S5/PoToMRVWFPDUomRc!$S$7)*PoToMRVWFPDUomRc!$E$18,AD5/PoToMRVWFPDUomRc!$AD$7*PoToMRVWFPDUomRc!$E$18)</f>
        <v>0</v>
      </c>
      <c r="AF5" s="31"/>
      <c r="AG5" s="31">
        <f>IF(PoToMRVWFPDUomRc!$P$2=1,(S5/PoToMRVWFPDUomRc!$S$7)*PoToMRVWFPDUomRc!$E$20,AD5/PoToMRVWFPDUomRc!$AD$7*PoToMRVWFPDUomRc!$E$20)</f>
        <v>0</v>
      </c>
      <c r="AH5" s="31">
        <f>IF(PoToMRVWFPDUomRc!$P$2=1,(S5/PoToMRVWFPDUomRc!$S$7)*PoToMRVWFPDUomRc!$E$21,AD5/PoToMRVWFPDUomRc!$AD$7*PoToMRVWFPDUomRc!$E$21)</f>
        <v>0</v>
      </c>
      <c r="AI5" s="31">
        <f>S5*PoToMRVWFPDUomRc!$M$2</f>
        <v>1642.37</v>
      </c>
      <c r="AJ5" s="31">
        <f>IF(PoToMRVWFPDUomRc!$C$2=3,0,AG5+AH5)</f>
        <v>0</v>
      </c>
      <c r="AK5" s="31">
        <f>IF(PoToMRVWFPDUomRc!$C$2=3,AE5+AG5+AH5,0)</f>
        <v>0</v>
      </c>
      <c r="AL5" s="34">
        <v>3</v>
      </c>
      <c r="AM5" s="31">
        <f t="shared" si="10"/>
        <v>6.66666666666667</v>
      </c>
      <c r="AN5" s="31">
        <f>ROUND(AI5/AM5,5)</f>
        <v>246.3555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246.3555</v>
      </c>
      <c r="AS5" s="38" t="s">
        <v>120</v>
      </c>
      <c r="AT5" s="39" t="s">
        <v>76</v>
      </c>
      <c r="AU5" t="s" s="0">
        <v>85</v>
      </c>
      <c r="AV5" t="s" s="0">
        <v>125</v>
      </c>
      <c r="AW5" s="39">
        <f t="shared" si="13"/>
        <v>6.66666666666667</v>
      </c>
      <c r="AX5" s="46">
        <f t="shared" si="14"/>
        <v>246.3555</v>
      </c>
      <c r="AY5" s="39">
        <f t="shared" si="15"/>
        <v>6.66666666666667</v>
      </c>
      <c r="AZ5" s="50">
        <f>ROUND(((AU5*AV5)+(AW5*AX5))/(AU5+AW5),2)</f>
        <v>246.36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281</v>
      </c>
      <c r="BO5" s="39">
        <f>ROUND((((AW5*AZ5)+(BN5*BM5))/(AW5+BN5)),2)</f>
        <v>246.36</v>
      </c>
      <c r="BP5" s="48">
        <f t="shared" si="16"/>
        <v>21.667</v>
      </c>
      <c r="BQ5" s="49">
        <v>123562</v>
      </c>
    </row>
    <row r="6" ht="15.75" spans="1:69">
      <c r="A6" s="7">
        <v>1</v>
      </c>
      <c r="B6" s="7" t="s">
        <v>344</v>
      </c>
      <c r="C6" s="7" t="s">
        <v>344</v>
      </c>
      <c r="D6" s="7" t="s">
        <v>76</v>
      </c>
      <c r="E6" s="7" t="s">
        <v>95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IF(OR(PoToMRVWFPDUomRc!$C$2=1,PoToMRVWFPDUomRc!$C$2=4),ROUND((((S6*U6)/100)/2),2),0)</f>
        <v>0</v>
      </c>
      <c r="W6" s="8">
        <f>IF(PoToMRVWFPDUomRc!$C$2=1,ROUND((((S6*U6)/100)/2),2),0)</f>
        <v>0</v>
      </c>
      <c r="X6" s="8">
        <f>IF(PoToMRVWFPDUomRc!$C$2=2,ROUND(((S6*U6)/100),2),0)</f>
        <v>77.94</v>
      </c>
      <c r="Y6" s="8">
        <f>IF(PoToMRVWFPDUomRc!$C$2=4,ROUND((((S6*U6)/100)/2),2),0)</f>
        <v>0</v>
      </c>
      <c r="Z6" s="8">
        <v>0</v>
      </c>
      <c r="AA6" s="8">
        <f>IF(PoToMRVWFPDUomRc!$C4=3,0,(S6*Z6)/100)</f>
        <v>0</v>
      </c>
      <c r="AB6" s="8">
        <f t="shared" si="9"/>
        <v>77.94</v>
      </c>
      <c r="AC6" s="8">
        <f>IF(PoToMRVWFPDUomRc!$V4=1,S6+AB6,S6)</f>
        <v>433.01</v>
      </c>
      <c r="AD6" s="31">
        <v>120</v>
      </c>
      <c r="AE6" s="31">
        <f>IF(PoToMRVWFPDUomRc!$P$2=1,(S6/PoToMRVWFPDUomRc!$S$7)*PoToMRVWFPDUomRc!$E$18,AD6/PoToMRVWFPDUomRc!$AD$7*PoToMRVWFPDUomRc!$E$18)</f>
        <v>0</v>
      </c>
      <c r="AF6" s="31"/>
      <c r="AG6" s="31">
        <f>IF(PoToMRVWFPDUomRc!$P$2=1,(S6/PoToMRVWFPDUomRc!$S$7)*PoToMRVWFPDUomRc!$E$20,AD6/PoToMRVWFPDUomRc!$AD$7*PoToMRVWFPDUomRc!$E$20)</f>
        <v>0</v>
      </c>
      <c r="AH6" s="31">
        <f>IF(PoToMRVWFPDUomRc!$P$2=1,(S6/PoToMRVWFPDUomRc!$S$7)*PoToMRVWFPDUomRc!$E$21,AD6/PoToMRVWFPDUomRc!$AD$7*PoToMRVWFPDUomRc!$E$21)</f>
        <v>0</v>
      </c>
      <c r="AI6" s="31">
        <f>S6*PoToMRVWFPDUomRc!$M$2</f>
        <v>433.01</v>
      </c>
      <c r="AJ6" s="31">
        <f>IF(PoToMRVWFPDUomRc!$C$2=3,0,AG6+AH6)</f>
        <v>0</v>
      </c>
      <c r="AK6" s="31">
        <f>IF(PoToMRVWFPDUomRc!$C$2=3,AE6+AG6+AH6,0)</f>
        <v>0</v>
      </c>
      <c r="AL6" s="34">
        <v>3</v>
      </c>
      <c r="AM6" s="31">
        <f t="shared" si="10"/>
        <v>3.33333333333333</v>
      </c>
      <c r="AN6" s="31">
        <f>ROUND(AI6/AM6,5)</f>
        <v>129.903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129.903</v>
      </c>
      <c r="AS6" s="38" t="s">
        <v>120</v>
      </c>
      <c r="AT6" s="39" t="s">
        <v>76</v>
      </c>
      <c r="AU6" t="s" s="0">
        <v>85</v>
      </c>
      <c r="AV6" t="s" s="0">
        <v>320</v>
      </c>
      <c r="AW6" s="39">
        <f t="shared" si="13"/>
        <v>3.33333333333333</v>
      </c>
      <c r="AX6" s="39">
        <f t="shared" si="14"/>
        <v>129.903</v>
      </c>
      <c r="AY6" s="39">
        <f t="shared" si="15"/>
        <v>3.33333333333333</v>
      </c>
      <c r="AZ6" s="39">
        <f>ROUND(((AU6*AV6)+(AW6*AX6))/(AU6+AW6),2)</f>
        <v>129.9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123</v>
      </c>
      <c r="BO6" s="39">
        <f>ROUND((((AW6*AZ6)+(BN6*BM6))/(AW6+BN6)),5)</f>
        <v>129.9</v>
      </c>
      <c r="BP6" s="48">
        <f t="shared" si="16"/>
        <v>16.665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254.55</v>
      </c>
      <c r="S7" s="13">
        <f t="shared" si="17"/>
        <v>1245.45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224.18</v>
      </c>
      <c r="Y7" s="27"/>
      <c r="Z7" s="27"/>
      <c r="AA7" s="27"/>
      <c r="AB7" s="26">
        <f t="shared" ref="AB7:AE7" si="18">SUM(AB4:AB4)</f>
        <v>224.18</v>
      </c>
      <c r="AC7" s="32">
        <f t="shared" si="18"/>
        <v>1469.63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1245.45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"/>
    </sheetView>
  </sheetViews>
  <sheetFormatPr defaultColWidth="8.84761904761905" defaultRowHeight="15"/>
  <cols>
    <col min="2" max="2" customWidth="true" width="28.0"/>
    <col min="3" max="3" customWidth="true" width="30.0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342</v>
      </c>
      <c r="C4" s="7" t="s">
        <v>342</v>
      </c>
      <c r="D4" s="7" t="s">
        <v>76</v>
      </c>
      <c r="E4" s="7" t="s">
        <v>95</v>
      </c>
      <c r="F4" s="8">
        <v>10</v>
      </c>
      <c r="G4" t="s" s="0">
        <v>77</v>
      </c>
      <c r="H4" s="8">
        <f t="shared" ref="H4:H6" si="0">F4*G4</f>
        <v>1500</v>
      </c>
      <c r="I4" t="s" s="0">
        <v>78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373.635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85</v>
      </c>
      <c r="AV4" t="s" s="0">
        <v>121</v>
      </c>
      <c r="AW4" s="39">
        <f t="shared" ref="AW4:AW6" si="13">AM4</f>
        <v>3.33333333333333</v>
      </c>
      <c r="AX4" s="42">
        <f t="shared" ref="AX4:AX6" si="14">AR4</f>
        <v>373.635</v>
      </c>
      <c r="AY4" s="39">
        <f t="shared" ref="AY4:AY6" si="15">AU4+AW4</f>
        <v>3.33333333333333</v>
      </c>
      <c r="AZ4" s="42">
        <f>ROUND(((AU4*AV4)+(AW4*AX4))/(AU4+AW4),5)</f>
        <v>373.635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345</v>
      </c>
      <c r="BN4" t="s" s="0">
        <v>346</v>
      </c>
      <c r="BO4" s="39">
        <f>ROUND((((AW4*AZ4)+(BN4*BM4))/(AW4+BN4)),5)</f>
        <v>2461.30081</v>
      </c>
      <c r="BP4" s="48">
        <f t="shared" ref="BP4:BP6" si="16">ROUND(BN4+AW4,3)</f>
        <v>38.332</v>
      </c>
      <c r="BQ4" s="49">
        <v>123562</v>
      </c>
    </row>
    <row r="5" ht="15.75" spans="1:69">
      <c r="A5" s="7">
        <v>1</v>
      </c>
      <c r="B5" s="7" t="s">
        <v>343</v>
      </c>
      <c r="C5" s="7" t="s">
        <v>343</v>
      </c>
      <c r="D5" s="7" t="s">
        <v>76</v>
      </c>
      <c r="E5" s="7" t="s">
        <v>95</v>
      </c>
      <c r="F5" s="8">
        <v>20</v>
      </c>
      <c r="G5" t="s" s="0">
        <v>87</v>
      </c>
      <c r="H5" s="8">
        <f t="shared" si="0"/>
        <v>2000</v>
      </c>
      <c r="I5" t="s" s="0">
        <v>88</v>
      </c>
      <c r="J5" s="8">
        <v>9</v>
      </c>
      <c r="K5" s="8">
        <v>6</v>
      </c>
      <c r="L5" s="8">
        <f t="shared" si="1"/>
        <v>2000</v>
      </c>
      <c r="M5" s="8">
        <f t="shared" si="2"/>
        <v>80</v>
      </c>
      <c r="N5" s="8">
        <f t="shared" si="3"/>
        <v>1920</v>
      </c>
      <c r="O5" s="8">
        <f t="shared" si="4"/>
        <v>172.8</v>
      </c>
      <c r="P5" s="8">
        <f t="shared" si="5"/>
        <v>1747.2</v>
      </c>
      <c r="Q5" s="8">
        <f t="shared" si="6"/>
        <v>104.83</v>
      </c>
      <c r="R5" s="8">
        <f t="shared" si="7"/>
        <v>357.63</v>
      </c>
      <c r="S5" s="8">
        <f t="shared" si="8"/>
        <v>1642.37</v>
      </c>
      <c r="T5" s="8">
        <v>88363222</v>
      </c>
      <c r="U5" s="8">
        <v>18</v>
      </c>
      <c r="V5" s="8">
        <f>IF(OR(PoToMRVWoQDUomRc!$C$2=1,PoToMRVWoQDUomRc!$C$2=4),ROUND((((S5*U5)/100)/2),2),0)</f>
        <v>0</v>
      </c>
      <c r="W5" s="8">
        <f>IF(PoToMRVWoQDUomRc!$C$2=1,ROUND((((S5*U5)/100)/2),2),0)</f>
        <v>0</v>
      </c>
      <c r="X5" s="8">
        <f>IF(PoToMRVWoQDUomRc!$C$2=2,ROUND(((S5*U5)/100),2),0)</f>
        <v>295.63</v>
      </c>
      <c r="Y5" s="8">
        <f>IF(PoToMRVWoQDUomRc!$C$2=4,ROUND((((S5*U5)/100)/2),2),0)</f>
        <v>0</v>
      </c>
      <c r="Z5" s="8">
        <v>0</v>
      </c>
      <c r="AA5" s="8">
        <f>IF(PoToMRVWoQDUomRc!$C3=3,0,(S5*Z5)/100)</f>
        <v>0</v>
      </c>
      <c r="AB5" s="8">
        <f t="shared" si="9"/>
        <v>295.63</v>
      </c>
      <c r="AC5" s="8">
        <f>IF(PoToMRVWoQDUomRc!$V3=1,S5+AB5,S5)</f>
        <v>1642.37</v>
      </c>
      <c r="AD5" s="31">
        <v>120</v>
      </c>
      <c r="AE5" s="31">
        <f>IF(PoToMRVWoQDUomRc!$P$2=1,(S5/PoToMRVWoQDUomRc!$S$7)*PoToMRVWoQDUomRc!$E$18,AD5/PoToMRVWoQDUomRc!$AD$7*PoToMRVWoQDUomRc!$E$18)</f>
        <v>0</v>
      </c>
      <c r="AF5" s="31"/>
      <c r="AG5" s="31">
        <f>IF(PoToMRVWoQDUomRc!$P$2=1,(S5/PoToMRVWoQDUomRc!$S$7)*PoToMRVWoQDUomRc!$E$20,AD5/PoToMRVWoQDUomRc!$AD$7*PoToMRVWoQDUomRc!$E$20)</f>
        <v>0</v>
      </c>
      <c r="AH5" s="31">
        <f>IF(PoToMRVWoQDUomRc!$P$2=1,(S5/PoToMRVWoQDUomRc!$S$7)*PoToMRVWoQDUomRc!$E$21,AD5/PoToMRVWoQDUomRc!$AD$7*PoToMRVWoQDUomRc!$E$21)</f>
        <v>0</v>
      </c>
      <c r="AI5" s="31">
        <f>S5*PoToMRVWoQDUomRc!$M$2</f>
        <v>1642.37</v>
      </c>
      <c r="AJ5" s="31">
        <f>IF(PoToMRVWoQDUomRc!$C$2=3,0,AG5+AH5)</f>
        <v>0</v>
      </c>
      <c r="AK5" s="31">
        <f>IF(PoToMRVWoQDUomRc!$C$2=3,AE5+AG5+AH5,0)</f>
        <v>0</v>
      </c>
      <c r="AL5" s="34">
        <v>3</v>
      </c>
      <c r="AM5" s="31">
        <f t="shared" si="10"/>
        <v>6.66666666666667</v>
      </c>
      <c r="AN5" s="31">
        <f>ROUND(AI5/AM5,5)</f>
        <v>246.3555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246.3555</v>
      </c>
      <c r="AS5" s="38" t="s">
        <v>120</v>
      </c>
      <c r="AT5" s="39" t="s">
        <v>76</v>
      </c>
      <c r="AU5" t="s" s="0">
        <v>85</v>
      </c>
      <c r="AV5" t="s" s="0">
        <v>125</v>
      </c>
      <c r="AW5" s="39">
        <f t="shared" si="13"/>
        <v>6.66666666666667</v>
      </c>
      <c r="AX5" s="46">
        <f t="shared" si="14"/>
        <v>246.3555</v>
      </c>
      <c r="AY5" s="39">
        <f t="shared" si="15"/>
        <v>6.66666666666667</v>
      </c>
      <c r="AZ5" s="50">
        <f>ROUND(((AU5*AV5)+(AW5*AX5))/(AU5+AW5),2)</f>
        <v>246.36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347</v>
      </c>
      <c r="BO5" s="39">
        <f>ROUND((((AW5*AZ5)+(BN5*BM5))/(AW5+BN5)),2)</f>
        <v>246.36</v>
      </c>
      <c r="BP5" s="48">
        <f t="shared" si="16"/>
        <v>45.668</v>
      </c>
      <c r="BQ5" s="49">
        <v>123562</v>
      </c>
    </row>
    <row r="6" ht="15.75" spans="1:69">
      <c r="A6" s="7">
        <v>1</v>
      </c>
      <c r="B6" s="7" t="s">
        <v>344</v>
      </c>
      <c r="C6" s="7" t="s">
        <v>344</v>
      </c>
      <c r="D6" s="7" t="s">
        <v>76</v>
      </c>
      <c r="E6" s="7" t="s">
        <v>95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IF(OR(PoToMRVWoQDUomRc!$C$2=1,PoToMRVWoQDUomRc!$C$2=4),ROUND((((S6*U6)/100)/2),2),0)</f>
        <v>0</v>
      </c>
      <c r="W6" s="8">
        <f>IF(PoToMRVWoQDUomRc!$C$2=1,ROUND((((S6*U6)/100)/2),2),0)</f>
        <v>0</v>
      </c>
      <c r="X6" s="8">
        <f>IF(PoToMRVWoQDUomRc!$C$2=2,ROUND(((S6*U6)/100),2),0)</f>
        <v>77.94</v>
      </c>
      <c r="Y6" s="8">
        <f>IF(PoToMRVWoQDUomRc!$C$2=4,ROUND((((S6*U6)/100)/2),2),0)</f>
        <v>0</v>
      </c>
      <c r="Z6" s="8">
        <v>0</v>
      </c>
      <c r="AA6" s="8">
        <f>IF(PoToMRVWoQDUomRc!$C4=3,0,(S6*Z6)/100)</f>
        <v>0</v>
      </c>
      <c r="AB6" s="8">
        <f t="shared" si="9"/>
        <v>77.94</v>
      </c>
      <c r="AC6" s="8">
        <f>IF(PoToMRVWoQDUomRc!$V4=1,S6+AB6,S6)</f>
        <v>433.01</v>
      </c>
      <c r="AD6" s="31">
        <v>120</v>
      </c>
      <c r="AE6" s="31">
        <f>IF(PoToMRVWoQDUomRc!$P$2=1,(S6/PoToMRVWoQDUomRc!$S$7)*PoToMRVWoQDUomRc!$E$18,AD6/PoToMRVWoQDUomRc!$AD$7*PoToMRVWoQDUomRc!$E$18)</f>
        <v>0</v>
      </c>
      <c r="AF6" s="31"/>
      <c r="AG6" s="31">
        <f>IF(PoToMRVWoQDUomRc!$P$2=1,(S6/PoToMRVWoQDUomRc!$S$7)*PoToMRVWoQDUomRc!$E$20,AD6/PoToMRVWoQDUomRc!$AD$7*PoToMRVWoQDUomRc!$E$20)</f>
        <v>0</v>
      </c>
      <c r="AH6" s="31">
        <f>IF(PoToMRVWoQDUomRc!$P$2=1,(S6/PoToMRVWoQDUomRc!$S$7)*PoToMRVWoQDUomRc!$E$21,AD6/PoToMRVWoQDUomRc!$AD$7*PoToMRVWoQDUomRc!$E$21)</f>
        <v>0</v>
      </c>
      <c r="AI6" s="31">
        <f>S6*PoToMRVWoQDUomRc!$M$2</f>
        <v>433.01</v>
      </c>
      <c r="AJ6" s="31">
        <f>IF(PoToMRVWoQDUomRc!$C$2=3,0,AG6+AH6)</f>
        <v>0</v>
      </c>
      <c r="AK6" s="31">
        <f>IF(PoToMRVWoQDUomRc!$C$2=3,AE6+AG6+AH6,0)</f>
        <v>0</v>
      </c>
      <c r="AL6" s="34">
        <v>3</v>
      </c>
      <c r="AM6" s="31">
        <f t="shared" si="10"/>
        <v>3.33333333333333</v>
      </c>
      <c r="AN6" s="31">
        <f>ROUND(AI6/AM6,5)</f>
        <v>129.903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129.903</v>
      </c>
      <c r="AS6" s="38" t="s">
        <v>120</v>
      </c>
      <c r="AT6" s="39" t="s">
        <v>76</v>
      </c>
      <c r="AU6" t="s" s="0">
        <v>85</v>
      </c>
      <c r="AV6" t="s" s="0">
        <v>320</v>
      </c>
      <c r="AW6" s="39">
        <f t="shared" si="13"/>
        <v>3.33333333333333</v>
      </c>
      <c r="AX6" s="39">
        <f t="shared" si="14"/>
        <v>129.903</v>
      </c>
      <c r="AY6" s="39">
        <f t="shared" si="15"/>
        <v>3.33333333333333</v>
      </c>
      <c r="AZ6" s="39">
        <f>ROUND(((AU6*AV6)+(AW6*AX6))/(AU6+AW6),2)</f>
        <v>129.9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348</v>
      </c>
      <c r="BO6" s="39">
        <f>ROUND((((AW6*AZ6)+(BN6*BM6))/(AW6+BN6)),5)</f>
        <v>129.9</v>
      </c>
      <c r="BP6" s="48">
        <f t="shared" si="16"/>
        <v>29.664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254.55</v>
      </c>
      <c r="S7" s="13">
        <f t="shared" si="17"/>
        <v>1245.45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224.18</v>
      </c>
      <c r="Y7" s="27"/>
      <c r="Z7" s="27"/>
      <c r="AA7" s="27"/>
      <c r="AB7" s="26">
        <f t="shared" ref="AB7:AE7" si="18">SUM(AB4:AB4)</f>
        <v>224.18</v>
      </c>
      <c r="AC7" s="32">
        <f t="shared" si="18"/>
        <v>1245.45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1245.45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O1" workbookViewId="0">
      <selection activeCell="BB8" sqref="BB8"/>
    </sheetView>
  </sheetViews>
  <sheetFormatPr defaultColWidth="8.84761904761905" defaultRowHeight="15"/>
  <cols>
    <col min="2" max="2" customWidth="true" width="28.0"/>
    <col min="3" max="3" customWidth="true" width="30.0"/>
    <col min="12" max="12" customWidth="true" width="14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342</v>
      </c>
      <c r="C4" s="7" t="s">
        <v>342</v>
      </c>
      <c r="D4" s="7" t="s">
        <v>76</v>
      </c>
      <c r="E4" s="7" t="s">
        <v>95</v>
      </c>
      <c r="F4" s="8">
        <v>10</v>
      </c>
      <c r="G4" t="s" s="0">
        <v>199</v>
      </c>
      <c r="H4" s="8">
        <f t="shared" ref="H4:H6" si="0">F4*G4</f>
        <v>1500</v>
      </c>
      <c r="I4" t="s" s="0">
        <v>85</v>
      </c>
      <c r="J4" s="8">
        <v>8</v>
      </c>
      <c r="K4" s="8">
        <v>5</v>
      </c>
      <c r="L4" s="8">
        <v>0</v>
      </c>
      <c r="M4" s="8">
        <f t="shared" ref="M4:M6" si="1">ROUND(L4*I4%,2)</f>
        <v>0</v>
      </c>
      <c r="N4" s="8">
        <f t="shared" ref="N4:N6" si="2">H4-M4</f>
        <v>1500</v>
      </c>
      <c r="O4" s="8">
        <f t="shared" ref="O4:O6" si="3">ROUND(N4*J4%,2)</f>
        <v>120</v>
      </c>
      <c r="P4" s="8">
        <f t="shared" ref="P4:P6" si="4">ROUND(N4-O4,2)</f>
        <v>1380</v>
      </c>
      <c r="Q4" s="8">
        <f t="shared" ref="Q4:Q6" si="5">ROUND(P4*K4%,2)</f>
        <v>69</v>
      </c>
      <c r="R4" s="8">
        <f t="shared" ref="R4:R6" si="6">M4+O4+Q4</f>
        <v>189</v>
      </c>
      <c r="S4" s="8">
        <f t="shared" ref="S4:S6" si="7">(H4-R4)</f>
        <v>1311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8">V4+W4+X4+Y4+AA4</f>
        <v>0</v>
      </c>
      <c r="AC4" s="30">
        <f>IF($V2=1,S4+AB4,S4)</f>
        <v>1311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111435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9">F4/AL4</f>
        <v>3.33333333333333</v>
      </c>
      <c r="AN4" s="34">
        <f>ROUND(AI4/AM4,3)</f>
        <v>33430.5</v>
      </c>
      <c r="AO4" s="31">
        <f t="shared" ref="AO4:AO6" si="10">AJ4/AM4</f>
        <v>0</v>
      </c>
      <c r="AP4" s="31">
        <f t="shared" ref="AP4:AP6" si="11">AK4/AM4</f>
        <v>0</v>
      </c>
      <c r="AQ4" s="31" t="s">
        <v>76</v>
      </c>
      <c r="AR4" s="34">
        <f>ROUND(AN4+AO4+AP4,3)</f>
        <v>33430.5</v>
      </c>
      <c r="AS4" s="38" t="s">
        <v>120</v>
      </c>
      <c r="AT4" s="39" t="s">
        <v>76</v>
      </c>
      <c r="AU4" t="s" s="0">
        <v>85</v>
      </c>
      <c r="AV4" t="s" s="0">
        <v>349</v>
      </c>
      <c r="AW4" s="39">
        <f t="shared" ref="AW4:AW6" si="12">AM4</f>
        <v>3.33333333333333</v>
      </c>
      <c r="AX4" s="42">
        <f t="shared" ref="AX4:AX6" si="13">AR4</f>
        <v>33430.5</v>
      </c>
      <c r="AY4" s="39">
        <f t="shared" ref="AY4:AY6" si="14">AU4+AW4</f>
        <v>3.33333333333333</v>
      </c>
      <c r="AZ4" s="39">
        <f>ROUND(((AU4*AV4)+(AW4*AX4))/(AU4+AW4),5)</f>
        <v>33430.5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350</v>
      </c>
      <c r="BN4" t="s" s="0">
        <v>351</v>
      </c>
      <c r="BO4" s="39">
        <f>ROUND((((AW4*AZ4)+(BN4*BM4))/(AW4+BN4)),5)</f>
        <v>3537.7129</v>
      </c>
      <c r="BP4" s="48">
        <f t="shared" ref="BP4:BP6" si="15">ROUND(BN4+AW4,3)</f>
        <v>38.332</v>
      </c>
      <c r="BQ4" s="49">
        <v>123562</v>
      </c>
    </row>
    <row r="5" ht="15.75" spans="1:69">
      <c r="A5" s="7">
        <v>1</v>
      </c>
      <c r="B5" s="7" t="s">
        <v>343</v>
      </c>
      <c r="C5" s="7" t="s">
        <v>343</v>
      </c>
      <c r="D5" s="7" t="s">
        <v>76</v>
      </c>
      <c r="E5" s="7" t="s">
        <v>95</v>
      </c>
      <c r="F5" s="8">
        <v>20</v>
      </c>
      <c r="G5" t="s" s="0">
        <v>87</v>
      </c>
      <c r="H5" s="8">
        <f t="shared" si="0"/>
        <v>2000</v>
      </c>
      <c r="I5" t="s" s="0">
        <v>88</v>
      </c>
      <c r="J5" s="8">
        <v>9</v>
      </c>
      <c r="K5" s="8">
        <v>6</v>
      </c>
      <c r="L5" s="8">
        <f>H5</f>
        <v>2000</v>
      </c>
      <c r="M5" s="8">
        <f t="shared" si="1"/>
        <v>80</v>
      </c>
      <c r="N5" s="8">
        <f t="shared" si="2"/>
        <v>1920</v>
      </c>
      <c r="O5" s="8">
        <f t="shared" si="3"/>
        <v>172.8</v>
      </c>
      <c r="P5" s="8">
        <f t="shared" si="4"/>
        <v>1747.2</v>
      </c>
      <c r="Q5" s="8">
        <f t="shared" si="5"/>
        <v>104.83</v>
      </c>
      <c r="R5" s="8">
        <f t="shared" si="6"/>
        <v>357.63</v>
      </c>
      <c r="S5" s="8">
        <f t="shared" si="7"/>
        <v>1642.37</v>
      </c>
      <c r="T5" s="8">
        <v>88363222</v>
      </c>
      <c r="U5" s="8">
        <v>18</v>
      </c>
      <c r="V5" s="8">
        <f>IF(OR(PoToMRVWoQDUomRcImp!$C$2=1,PoToMRVWoQDUomRcImp!$C$2=4),ROUND((((S5*U5)/100)/2),2),0)</f>
        <v>0</v>
      </c>
      <c r="W5" s="8">
        <f>IF(PoToMRVWoQDUomRcImp!$C$2=1,ROUND((((S5*U5)/100)/2),2),0)</f>
        <v>0</v>
      </c>
      <c r="X5" s="8">
        <f>IF(PoToMRVWoQDUomRcImp!$C$2=2,ROUND(((S5*U5)/100),2),0)</f>
        <v>0</v>
      </c>
      <c r="Y5" s="8">
        <f>IF(PoToMRVWoQDUomRcImp!$C$2=4,ROUND((((S5*U5)/100)/2),2),0)</f>
        <v>0</v>
      </c>
      <c r="Z5" s="8">
        <v>0</v>
      </c>
      <c r="AA5" s="8">
        <f>IF(PoToMRVWoQDUomRcImp!$C3=3,0,(S5*Z5)/100)</f>
        <v>0</v>
      </c>
      <c r="AB5" s="8">
        <f t="shared" si="8"/>
        <v>0</v>
      </c>
      <c r="AC5" s="8">
        <f>IF(PoToMRVWoQDUomRcImp!$V3=1,S5+AB5,S5)</f>
        <v>1642.37</v>
      </c>
      <c r="AD5" s="31">
        <v>120</v>
      </c>
      <c r="AE5" s="31">
        <f>IF(PoToMRVWoQDUomRcImp!$P$2=1,(S5/PoToMRVWoQDUomRcImp!$S$7)*PoToMRVWoQDUomRcImp!$E$18,AD5/PoToMRVWoQDUomRcImp!$AD$7*PoToMRVWoQDUomRcImp!$E$18)</f>
        <v>0</v>
      </c>
      <c r="AF5" s="31"/>
      <c r="AG5" s="31">
        <f>IF(PoToMRVWoQDUomRcImp!$P$2=1,(S5/PoToMRVWoQDUomRcImp!$S$7)*PoToMRVWoQDUomRcImp!$E$20,AD5/PoToMRVWoQDUomRcImp!$AD$7*PoToMRVWoQDUomRcImp!$E$20)</f>
        <v>0</v>
      </c>
      <c r="AH5" s="31">
        <f>IF(PoToMRVWoQDUomRcImp!$P$2=1,(S5/PoToMRVWoQDUomRcImp!$S$7)*PoToMRVWoQDUomRcImp!$E$21,AD5/PoToMRVWoQDUomRcImp!$AD$7*PoToMRVWoQDUomRcImp!$E$21)</f>
        <v>0</v>
      </c>
      <c r="AI5" s="31">
        <f>S5*PoToMRVWoQDUomRcImp!$M$2</f>
        <v>139601.45</v>
      </c>
      <c r="AJ5" s="31">
        <f>IF(PoToMRVWoQDUomRcImp!$C$2=3,0,AG5+AH5)</f>
        <v>0</v>
      </c>
      <c r="AK5" s="31">
        <f>IF(PoToMRVWoQDUomRcImp!$C$2=3,AE5+AG5+AH5,0)</f>
        <v>0</v>
      </c>
      <c r="AL5" s="34">
        <v>3</v>
      </c>
      <c r="AM5" s="31">
        <f t="shared" si="9"/>
        <v>6.66666666666667</v>
      </c>
      <c r="AN5" s="31">
        <f>ROUND(AI5/AM5,5)</f>
        <v>20940.2175</v>
      </c>
      <c r="AO5" s="31">
        <f t="shared" si="10"/>
        <v>0</v>
      </c>
      <c r="AP5" s="31">
        <f t="shared" si="11"/>
        <v>0</v>
      </c>
      <c r="AQ5" s="31" t="s">
        <v>76</v>
      </c>
      <c r="AR5" s="31">
        <f>ROUND(AN5+AO5+AP5,5)</f>
        <v>20940.2175</v>
      </c>
      <c r="AS5" s="38" t="s">
        <v>120</v>
      </c>
      <c r="AT5" s="39" t="s">
        <v>76</v>
      </c>
      <c r="AU5" t="s" s="0">
        <v>85</v>
      </c>
      <c r="AV5" t="s" s="0">
        <v>133</v>
      </c>
      <c r="AW5" s="39">
        <f t="shared" si="12"/>
        <v>6.66666666666667</v>
      </c>
      <c r="AX5" s="46">
        <f t="shared" si="13"/>
        <v>20940.2175</v>
      </c>
      <c r="AY5" s="39">
        <f t="shared" si="14"/>
        <v>6.66666666666667</v>
      </c>
      <c r="AZ5" s="50">
        <f>ROUND(((AU5*AV5)+(AW5*AX5))/(AU5+AW5),2)</f>
        <v>20940.22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352</v>
      </c>
      <c r="BN5" t="s" s="0">
        <v>353</v>
      </c>
      <c r="BO5" s="39">
        <f>ROUND((((AW5*AZ5)+(BN5*BM5))/(AW5+BN5)),2)</f>
        <v>917.12</v>
      </c>
      <c r="BP5" s="48">
        <f t="shared" si="15"/>
        <v>45.668</v>
      </c>
      <c r="BQ5" s="49">
        <v>123562</v>
      </c>
    </row>
    <row r="6" ht="15.75" spans="1:69">
      <c r="A6" s="7">
        <v>1</v>
      </c>
      <c r="B6" s="7" t="s">
        <v>344</v>
      </c>
      <c r="C6" s="7" t="s">
        <v>344</v>
      </c>
      <c r="D6" s="7" t="s">
        <v>76</v>
      </c>
      <c r="E6" s="7" t="s">
        <v>95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ref="L4:L6" si="16">H6</f>
        <v>500</v>
      </c>
      <c r="M6" s="8">
        <f t="shared" si="1"/>
        <v>15</v>
      </c>
      <c r="N6" s="8">
        <f t="shared" si="2"/>
        <v>485</v>
      </c>
      <c r="O6" s="8">
        <f t="shared" si="3"/>
        <v>33.95</v>
      </c>
      <c r="P6" s="8">
        <f t="shared" si="4"/>
        <v>451.05</v>
      </c>
      <c r="Q6" s="8">
        <f t="shared" si="5"/>
        <v>18.04</v>
      </c>
      <c r="R6" s="8">
        <f t="shared" si="6"/>
        <v>66.99</v>
      </c>
      <c r="S6" s="8">
        <f t="shared" si="7"/>
        <v>433.01</v>
      </c>
      <c r="T6" s="8">
        <v>88363222</v>
      </c>
      <c r="U6" s="8">
        <v>18</v>
      </c>
      <c r="V6" s="8">
        <f>IF(OR(PoToMRVWoQDUomRcImp!$C$2=1,PoToMRVWoQDUomRcImp!$C$2=4),ROUND((((S6*U6)/100)/2),2),0)</f>
        <v>0</v>
      </c>
      <c r="W6" s="8">
        <f>IF(PoToMRVWoQDUomRcImp!$C$2=1,ROUND((((S6*U6)/100)/2),2),0)</f>
        <v>0</v>
      </c>
      <c r="X6" s="8">
        <f>IF(PoToMRVWoQDUomRcImp!$C$2=2,ROUND(((S6*U6)/100),2),0)</f>
        <v>0</v>
      </c>
      <c r="Y6" s="8">
        <f>IF(PoToMRVWoQDUomRcImp!$C$2=4,ROUND((((S6*U6)/100)/2),2),0)</f>
        <v>0</v>
      </c>
      <c r="Z6" s="8">
        <v>0</v>
      </c>
      <c r="AA6" s="8">
        <f>IF(PoToMRVWoQDUomRcImp!$C4=3,0,(S6*Z6)/100)</f>
        <v>0</v>
      </c>
      <c r="AB6" s="8">
        <f t="shared" si="8"/>
        <v>0</v>
      </c>
      <c r="AC6" s="8">
        <f>IF(PoToMRVWoQDUomRcImp!$V4=1,S6+AB6,S6)</f>
        <v>433.01</v>
      </c>
      <c r="AD6" s="31">
        <v>120</v>
      </c>
      <c r="AE6" s="31">
        <f>IF(PoToMRVWoQDUomRcImp!$P$2=1,(S6/PoToMRVWoQDUomRcImp!$S$7)*PoToMRVWoQDUomRcImp!$E$18,AD6/PoToMRVWoQDUomRcImp!$AD$7*PoToMRVWoQDUomRcImp!$E$18)</f>
        <v>0</v>
      </c>
      <c r="AF6" s="31"/>
      <c r="AG6" s="31">
        <f>IF(PoToMRVWoQDUomRcImp!$P$2=1,(S6/PoToMRVWoQDUomRcImp!$S$7)*PoToMRVWoQDUomRcImp!$E$20,AD6/PoToMRVWoQDUomRcImp!$AD$7*PoToMRVWoQDUomRcImp!$E$20)</f>
        <v>0</v>
      </c>
      <c r="AH6" s="31">
        <f>IF(PoToMRVWoQDUomRcImp!$P$2=1,(S6/PoToMRVWoQDUomRcImp!$S$7)*PoToMRVWoQDUomRcImp!$E$21,AD6/PoToMRVWoQDUomRcImp!$AD$7*PoToMRVWoQDUomRcImp!$E$21)</f>
        <v>0</v>
      </c>
      <c r="AI6" s="31">
        <f>S6*PoToMRVWoQDUomRcImp!$M$2</f>
        <v>36805.85</v>
      </c>
      <c r="AJ6" s="31">
        <f>IF(PoToMRVWoQDUomRcImp!$C$2=3,0,AG6+AH6)</f>
        <v>0</v>
      </c>
      <c r="AK6" s="31">
        <f>IF(PoToMRVWoQDUomRcImp!$C$2=3,AE6+AG6+AH6,0)</f>
        <v>0</v>
      </c>
      <c r="AL6" s="34">
        <v>3</v>
      </c>
      <c r="AM6" s="31">
        <f t="shared" si="9"/>
        <v>3.33333333333333</v>
      </c>
      <c r="AN6" s="31">
        <f>ROUND(AI6/AM6,5)</f>
        <v>11041.755</v>
      </c>
      <c r="AO6" s="31">
        <f t="shared" si="10"/>
        <v>0</v>
      </c>
      <c r="AP6" s="31">
        <f t="shared" si="11"/>
        <v>0</v>
      </c>
      <c r="AQ6" s="31" t="s">
        <v>76</v>
      </c>
      <c r="AR6" s="31">
        <f>ROUND(AN6+AO6+AP6,5)</f>
        <v>11041.755</v>
      </c>
      <c r="AS6" s="38" t="s">
        <v>120</v>
      </c>
      <c r="AT6" s="39" t="s">
        <v>76</v>
      </c>
      <c r="AU6" t="s" s="0">
        <v>85</v>
      </c>
      <c r="AV6" t="s" s="0">
        <v>354</v>
      </c>
      <c r="AW6" s="39">
        <f t="shared" si="12"/>
        <v>3.33333333333333</v>
      </c>
      <c r="AX6" s="39">
        <f t="shared" si="13"/>
        <v>11041.755</v>
      </c>
      <c r="AY6" s="39">
        <f t="shared" si="14"/>
        <v>3.33333333333333</v>
      </c>
      <c r="AZ6" s="39">
        <f>ROUND(((AU6*AV6)+(AW6*AX6))/(AU6+AW6),2)</f>
        <v>11041.76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355</v>
      </c>
      <c r="BN6" t="s" s="0">
        <v>356</v>
      </c>
      <c r="BO6" s="39">
        <f>ROUND((((AW6*AZ6)+(BN6*BM6))/(AW6+BN6)),5)</f>
        <v>461.59873</v>
      </c>
      <c r="BP6" s="48">
        <f t="shared" si="15"/>
        <v>29.664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189</v>
      </c>
      <c r="S7" s="13">
        <f t="shared" si="17"/>
        <v>1311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0</v>
      </c>
      <c r="Y7" s="27"/>
      <c r="Z7" s="27"/>
      <c r="AA7" s="27"/>
      <c r="AB7" s="26">
        <f t="shared" ref="AB7:AE7" si="18">SUM(AB4:AB4)</f>
        <v>0</v>
      </c>
      <c r="AC7" s="32">
        <f t="shared" si="18"/>
        <v>1311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111435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189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1311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1311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30.0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357</v>
      </c>
      <c r="C4" s="7" t="s">
        <v>357</v>
      </c>
      <c r="D4" s="7" t="s">
        <v>76</v>
      </c>
      <c r="E4" s="7" t="s">
        <v>95</v>
      </c>
      <c r="F4" s="8">
        <v>10</v>
      </c>
      <c r="G4" t="s" s="0">
        <v>77</v>
      </c>
      <c r="H4" s="8">
        <f t="shared" ref="H4:H6" si="0">F4*G4</f>
        <v>1500</v>
      </c>
      <c r="I4" t="s" s="0">
        <v>78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373.635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85</v>
      </c>
      <c r="AV4" t="s" s="0">
        <v>121</v>
      </c>
      <c r="AW4" s="39">
        <f t="shared" ref="AW4:AW6" si="13">AM4</f>
        <v>3.33333333333333</v>
      </c>
      <c r="AX4" s="42">
        <f t="shared" ref="AX4:AX6" si="14">AR4</f>
        <v>373.635</v>
      </c>
      <c r="AY4" s="39">
        <f t="shared" ref="AY4:AY6" si="15">AU4+AW4</f>
        <v>3.33333333333333</v>
      </c>
      <c r="AZ4" s="42">
        <f>ROUND(((AU4*AV4)+(AW4*AX4))/(AU4+AW4),5)</f>
        <v>373.635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121</v>
      </c>
      <c r="BN4" t="s" s="0">
        <v>337</v>
      </c>
      <c r="BO4" s="39">
        <f>ROUND((((AW4*AZ4)+(BN4*BM4))/(AW4+BN4)),5)</f>
        <v>373.635</v>
      </c>
      <c r="BP4" s="48">
        <f t="shared" ref="BP4:BP6" si="16">ROUND(BN4+AW4,3)</f>
        <v>6.666</v>
      </c>
      <c r="BQ4" s="49">
        <v>123562</v>
      </c>
    </row>
    <row r="5" ht="15.75" spans="1:69">
      <c r="A5" s="7">
        <v>1</v>
      </c>
      <c r="B5" s="7" t="s">
        <v>358</v>
      </c>
      <c r="C5" s="7" t="s">
        <v>358</v>
      </c>
      <c r="D5" s="7" t="s">
        <v>76</v>
      </c>
      <c r="E5" s="7" t="s">
        <v>95</v>
      </c>
      <c r="F5" s="8">
        <v>20</v>
      </c>
      <c r="G5" t="s" s="0">
        <v>87</v>
      </c>
      <c r="H5" s="8">
        <f t="shared" si="0"/>
        <v>2000</v>
      </c>
      <c r="I5" t="s" s="0">
        <v>88</v>
      </c>
      <c r="J5" s="8">
        <v>9</v>
      </c>
      <c r="K5" s="8">
        <v>6</v>
      </c>
      <c r="L5" s="8">
        <f t="shared" si="1"/>
        <v>2000</v>
      </c>
      <c r="M5" s="8">
        <f t="shared" si="2"/>
        <v>80</v>
      </c>
      <c r="N5" s="8">
        <f t="shared" si="3"/>
        <v>1920</v>
      </c>
      <c r="O5" s="8">
        <f t="shared" si="4"/>
        <v>172.8</v>
      </c>
      <c r="P5" s="8">
        <f t="shared" si="5"/>
        <v>1747.2</v>
      </c>
      <c r="Q5" s="8">
        <f t="shared" si="6"/>
        <v>104.83</v>
      </c>
      <c r="R5" s="8">
        <f t="shared" si="7"/>
        <v>357.63</v>
      </c>
      <c r="S5" s="8">
        <f t="shared" si="8"/>
        <v>1642.37</v>
      </c>
      <c r="T5" s="8">
        <v>88363222</v>
      </c>
      <c r="U5" s="8">
        <v>18</v>
      </c>
      <c r="V5" s="8">
        <f>IF(OR(PoToMRVWFPDUomPl!$C$2=1,PoToMRVWFPDUomPl!$C$2=4),ROUND((((S5*U5)/100)/2),2),0)</f>
        <v>0</v>
      </c>
      <c r="W5" s="8">
        <f>IF(PoToMRVWFPDUomPl!$C$2=1,ROUND((((S5*U5)/100)/2),2),0)</f>
        <v>0</v>
      </c>
      <c r="X5" s="8">
        <f>IF(PoToMRVWFPDUomPl!$C$2=2,ROUND(((S5*U5)/100),2),0)</f>
        <v>295.63</v>
      </c>
      <c r="Y5" s="8">
        <f>IF(PoToMRVWFPDUomPl!$C$2=4,ROUND((((S5*U5)/100)/2),2),0)</f>
        <v>0</v>
      </c>
      <c r="Z5" s="8">
        <v>0</v>
      </c>
      <c r="AA5" s="8">
        <f>IF(PoToMRVWFPDUomPl!$C3=3,0,(S5*Z5)/100)</f>
        <v>0</v>
      </c>
      <c r="AB5" s="8">
        <f t="shared" si="9"/>
        <v>295.63</v>
      </c>
      <c r="AC5" s="8">
        <f>IF(PoToMRVWFPDUomPl!$V3=1,S5+AB5,S5)</f>
        <v>1642.37</v>
      </c>
      <c r="AD5" s="31">
        <v>120</v>
      </c>
      <c r="AE5" s="31">
        <f>IF(PoToMRVWFPDUomPl!$P$2=1,(S5/PoToMRVWFPDUomPl!$S$7)*PoToMRVWFPDUomPl!$E$18,AD5/PoToMRVWFPDUomPl!$AD$7*PoToMRVWFPDUomPl!$E$18)</f>
        <v>0</v>
      </c>
      <c r="AF5" s="31"/>
      <c r="AG5" s="31">
        <f>IF(PoToMRVWFPDUomPl!$P$2=1,(S5/PoToMRVWFPDUomPl!$S$7)*PoToMRVWFPDUomPl!$E$20,AD5/PoToMRVWFPDUomPl!$AD$7*PoToMRVWFPDUomPl!$E$20)</f>
        <v>0</v>
      </c>
      <c r="AH5" s="31">
        <f>IF(PoToMRVWFPDUomPl!$P$2=1,(S5/PoToMRVWFPDUomPl!$S$7)*PoToMRVWFPDUomPl!$E$21,AD5/PoToMRVWFPDUomPl!$AD$7*PoToMRVWFPDUomPl!$E$21)</f>
        <v>0</v>
      </c>
      <c r="AI5" s="31">
        <f>S5*PoToMRVWFPDUomPl!$M$2</f>
        <v>1642.37</v>
      </c>
      <c r="AJ5" s="31">
        <f>IF(PoToMRVWFPDUomPl!$C$2=3,0,AG5+AH5)</f>
        <v>0</v>
      </c>
      <c r="AK5" s="31">
        <f>IF(PoToMRVWFPDUomPl!$C$2=3,AE5+AG5+AH5,0)</f>
        <v>0</v>
      </c>
      <c r="AL5" s="34">
        <v>3</v>
      </c>
      <c r="AM5" s="31">
        <f t="shared" si="10"/>
        <v>6.66666666666667</v>
      </c>
      <c r="AN5" s="31">
        <f>ROUND(AI5/AM5,5)</f>
        <v>246.3555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246.3555</v>
      </c>
      <c r="AS5" s="38" t="s">
        <v>120</v>
      </c>
      <c r="AT5" s="39" t="s">
        <v>76</v>
      </c>
      <c r="AU5" t="s" s="0">
        <v>85</v>
      </c>
      <c r="AV5" t="s" s="0">
        <v>125</v>
      </c>
      <c r="AW5" s="39">
        <f t="shared" si="13"/>
        <v>6.66666666666667</v>
      </c>
      <c r="AX5" s="46">
        <f t="shared" si="14"/>
        <v>246.3555</v>
      </c>
      <c r="AY5" s="39">
        <f t="shared" si="15"/>
        <v>6.66666666666667</v>
      </c>
      <c r="AZ5" s="50">
        <f>ROUND(((AU5*AV5)+(AW5*AX5))/(AU5+AW5),2)</f>
        <v>246.36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359</v>
      </c>
      <c r="BO5" s="39">
        <f>ROUND((((AW5*AZ5)+(BN5*BM5))/(AW5+BN5)),2)</f>
        <v>246.36</v>
      </c>
      <c r="BP5" s="48">
        <f t="shared" si="16"/>
        <v>13.334</v>
      </c>
      <c r="BQ5" s="49">
        <v>123562</v>
      </c>
    </row>
    <row r="6" ht="15.75" spans="1:69">
      <c r="A6" s="7">
        <v>1</v>
      </c>
      <c r="B6" s="7" t="s">
        <v>360</v>
      </c>
      <c r="C6" s="7" t="s">
        <v>360</v>
      </c>
      <c r="D6" s="7" t="s">
        <v>76</v>
      </c>
      <c r="E6" s="7" t="s">
        <v>95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IF(OR(PoToMRVWFPDUomPl!$C$2=1,PoToMRVWFPDUomPl!$C$2=4),ROUND((((S6*U6)/100)/2),2),0)</f>
        <v>0</v>
      </c>
      <c r="W6" s="8">
        <f>IF(PoToMRVWFPDUomPl!$C$2=1,ROUND((((S6*U6)/100)/2),2),0)</f>
        <v>0</v>
      </c>
      <c r="X6" s="8">
        <f>IF(PoToMRVWFPDUomPl!$C$2=2,ROUND(((S6*U6)/100),2),0)</f>
        <v>77.94</v>
      </c>
      <c r="Y6" s="8">
        <f>IF(PoToMRVWFPDUomPl!$C$2=4,ROUND((((S6*U6)/100)/2),2),0)</f>
        <v>0</v>
      </c>
      <c r="Z6" s="8">
        <v>0</v>
      </c>
      <c r="AA6" s="8">
        <f>IF(PoToMRVWFPDUomPl!$C4=3,0,(S6*Z6)/100)</f>
        <v>0</v>
      </c>
      <c r="AB6" s="8">
        <f t="shared" si="9"/>
        <v>77.94</v>
      </c>
      <c r="AC6" s="8">
        <f>IF(PoToMRVWFPDUomPl!$V4=1,S6+AB6,S6)</f>
        <v>433.01</v>
      </c>
      <c r="AD6" s="31">
        <v>120</v>
      </c>
      <c r="AE6" s="31">
        <f>IF(PoToMRVWFPDUomPl!$P$2=1,(S6/PoToMRVWFPDUomPl!$S$7)*PoToMRVWFPDUomPl!$E$18,AD6/PoToMRVWFPDUomPl!$AD$7*PoToMRVWFPDUomPl!$E$18)</f>
        <v>0</v>
      </c>
      <c r="AF6" s="31"/>
      <c r="AG6" s="31">
        <f>IF(PoToMRVWFPDUomPl!$P$2=1,(S6/PoToMRVWFPDUomPl!$S$7)*PoToMRVWFPDUomPl!$E$20,AD6/PoToMRVWFPDUomPl!$AD$7*PoToMRVWFPDUomPl!$E$20)</f>
        <v>0</v>
      </c>
      <c r="AH6" s="31">
        <f>IF(PoToMRVWFPDUomPl!$P$2=1,(S6/PoToMRVWFPDUomPl!$S$7)*PoToMRVWFPDUomPl!$E$21,AD6/PoToMRVWFPDUomPl!$AD$7*PoToMRVWFPDUomPl!$E$21)</f>
        <v>0</v>
      </c>
      <c r="AI6" s="31">
        <f>S6*PoToMRVWFPDUomPl!$M$2</f>
        <v>433.01</v>
      </c>
      <c r="AJ6" s="31">
        <f>IF(PoToMRVWFPDUomPl!$C$2=3,0,AG6+AH6)</f>
        <v>0</v>
      </c>
      <c r="AK6" s="31">
        <f>IF(PoToMRVWFPDUomPl!$C$2=3,AE6+AG6+AH6,0)</f>
        <v>0</v>
      </c>
      <c r="AL6" s="34">
        <v>3</v>
      </c>
      <c r="AM6" s="31">
        <f t="shared" si="10"/>
        <v>3.33333333333333</v>
      </c>
      <c r="AN6" s="31">
        <f>ROUND(AI6/AM6,5)</f>
        <v>129.903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129.903</v>
      </c>
      <c r="AS6" s="38" t="s">
        <v>120</v>
      </c>
      <c r="AT6" s="39" t="s">
        <v>76</v>
      </c>
      <c r="AU6" t="s" s="0">
        <v>85</v>
      </c>
      <c r="AV6" t="s" s="0">
        <v>320</v>
      </c>
      <c r="AW6" s="39">
        <f t="shared" si="13"/>
        <v>3.33333333333333</v>
      </c>
      <c r="AX6" s="39">
        <f t="shared" si="14"/>
        <v>129.903</v>
      </c>
      <c r="AY6" s="39">
        <f t="shared" si="15"/>
        <v>3.33333333333333</v>
      </c>
      <c r="AZ6" s="39">
        <f>ROUND(((AU6*AV6)+(AW6*AX6))/(AU6+AW6),2)</f>
        <v>129.9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337</v>
      </c>
      <c r="BO6" s="39">
        <f>ROUND((((AW6*AZ6)+(BN6*BM6))/(AW6+BN6)),5)</f>
        <v>129.9</v>
      </c>
      <c r="BP6" s="48">
        <f t="shared" si="16"/>
        <v>6.666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254.55</v>
      </c>
      <c r="S7" s="13">
        <f t="shared" si="17"/>
        <v>1245.45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224.18</v>
      </c>
      <c r="Y7" s="27"/>
      <c r="Z7" s="27"/>
      <c r="AA7" s="27"/>
      <c r="AB7" s="26">
        <f t="shared" ref="AB7:AE7" si="18">SUM(AB4:AB4)</f>
        <v>224.18</v>
      </c>
      <c r="AC7" s="32">
        <f t="shared" si="18"/>
        <v>1469.63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1245.45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V3" sqref="V3"/>
    </sheetView>
  </sheetViews>
  <sheetFormatPr defaultColWidth="8.84761904761905" defaultRowHeight="15"/>
  <cols>
    <col min="2" max="2" customWidth="true" width="28.0"/>
    <col min="3" max="3" customWidth="true" width="30.0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361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357</v>
      </c>
      <c r="C4" s="7" t="s">
        <v>357</v>
      </c>
      <c r="D4" s="7" t="s">
        <v>76</v>
      </c>
      <c r="E4" s="7" t="s">
        <v>95</v>
      </c>
      <c r="F4" s="8">
        <v>10</v>
      </c>
      <c r="G4" t="s" s="0">
        <v>77</v>
      </c>
      <c r="H4" s="8">
        <f t="shared" ref="H4:H6" si="0">F4*G4</f>
        <v>1500</v>
      </c>
      <c r="I4" t="s" s="0">
        <v>78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1245.45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373.635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85</v>
      </c>
      <c r="AV4" t="s" s="0">
        <v>121</v>
      </c>
      <c r="AW4" s="39">
        <f t="shared" ref="AW4:AW6" si="13">AM4</f>
        <v>3.33333333333333</v>
      </c>
      <c r="AX4" s="42">
        <f t="shared" ref="AX4:AX6" si="14">AR4</f>
        <v>373.635</v>
      </c>
      <c r="AY4" s="39">
        <f t="shared" ref="AY4:AY6" si="15">AU4+AW4</f>
        <v>3.33333333333333</v>
      </c>
      <c r="AZ4" s="42">
        <f>ROUND(((AU4*AV4)+(AW4*AX4))/(AU4+AW4),5)</f>
        <v>373.635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362</v>
      </c>
      <c r="BN4" t="s" s="0">
        <v>363</v>
      </c>
      <c r="BO4" s="39">
        <f>ROUND((((AW4*AZ4)+(BN4*BM4))/(AW4+BN4)),5)</f>
        <v>4014.97253</v>
      </c>
      <c r="BP4" s="48">
        <f t="shared" ref="BP4:BP6" si="16">ROUND(BN4+AW4,3)</f>
        <v>65</v>
      </c>
      <c r="BQ4" s="49">
        <v>123562</v>
      </c>
    </row>
    <row r="5" ht="15.75" spans="1:69">
      <c r="A5" s="7">
        <v>1</v>
      </c>
      <c r="B5" s="7" t="s">
        <v>358</v>
      </c>
      <c r="C5" s="7" t="s">
        <v>358</v>
      </c>
      <c r="D5" s="7" t="s">
        <v>76</v>
      </c>
      <c r="E5" s="7" t="s">
        <v>95</v>
      </c>
      <c r="F5" s="8">
        <v>20</v>
      </c>
      <c r="G5" t="s" s="0">
        <v>87</v>
      </c>
      <c r="H5" s="8">
        <f t="shared" si="0"/>
        <v>2000</v>
      </c>
      <c r="I5" t="s" s="0">
        <v>88</v>
      </c>
      <c r="J5" s="8">
        <v>9</v>
      </c>
      <c r="K5" s="8">
        <v>6</v>
      </c>
      <c r="L5" s="8">
        <f t="shared" si="1"/>
        <v>2000</v>
      </c>
      <c r="M5" s="8">
        <f t="shared" si="2"/>
        <v>80</v>
      </c>
      <c r="N5" s="8">
        <f t="shared" si="3"/>
        <v>1920</v>
      </c>
      <c r="O5" s="8">
        <f t="shared" si="4"/>
        <v>172.8</v>
      </c>
      <c r="P5" s="8">
        <f t="shared" si="5"/>
        <v>1747.2</v>
      </c>
      <c r="Q5" s="8">
        <f t="shared" si="6"/>
        <v>104.83</v>
      </c>
      <c r="R5" s="8">
        <f t="shared" si="7"/>
        <v>357.63</v>
      </c>
      <c r="S5" s="8">
        <f t="shared" si="8"/>
        <v>1642.37</v>
      </c>
      <c r="T5" s="8">
        <v>88363222</v>
      </c>
      <c r="U5" s="8">
        <v>18</v>
      </c>
      <c r="V5" s="8">
        <f>IF(OR(PoToMRVWoQDUomPl!$C$2=1,PoToMRVWoQDUomPl!$C$2=4),ROUND((((S5*U5)/100)/2),2),0)</f>
        <v>0</v>
      </c>
      <c r="W5" s="8">
        <f>IF(PoToMRVWoQDUomPl!$C$2=1,ROUND((((S5*U5)/100)/2),2),0)</f>
        <v>0</v>
      </c>
      <c r="X5" s="8">
        <f>IF(PoToMRVWoQDUomPl!$C$2=2,ROUND(((S5*U5)/100),2),0)</f>
        <v>295.63</v>
      </c>
      <c r="Y5" s="8">
        <f>IF(PoToMRVWoQDUomPl!$C$2=4,ROUND((((S5*U5)/100)/2),2),0)</f>
        <v>0</v>
      </c>
      <c r="Z5" s="8">
        <v>0</v>
      </c>
      <c r="AA5" s="8">
        <f>IF(PoToMRVWoQDUomPl!$C3=3,0,(S5*Z5)/100)</f>
        <v>0</v>
      </c>
      <c r="AB5" s="8">
        <f t="shared" si="9"/>
        <v>295.63</v>
      </c>
      <c r="AC5" s="8">
        <f>IF(PoToMRVWoQDUomPl!$V3=1,S5+AB5,S5)</f>
        <v>1642.37</v>
      </c>
      <c r="AD5" s="31">
        <v>120</v>
      </c>
      <c r="AE5" s="31">
        <f>IF(PoToMRVWoQDUomPl!$P$2=1,(S5/PoToMRVWoQDUomPl!$S$7)*PoToMRVWoQDUomPl!$E$18,AD5/PoToMRVWoQDUomPl!$AD$7*PoToMRVWoQDUomPl!$E$18)</f>
        <v>0</v>
      </c>
      <c r="AF5" s="31"/>
      <c r="AG5" s="31">
        <f>IF(PoToMRVWoQDUomPl!$P$2=1,(S5/PoToMRVWoQDUomPl!$S$7)*PoToMRVWoQDUomPl!$E$20,AD5/PoToMRVWoQDUomPl!$AD$7*PoToMRVWoQDUomPl!$E$20)</f>
        <v>0</v>
      </c>
      <c r="AH5" s="31">
        <f>IF(PoToMRVWoQDUomPl!$P$2=1,(S5/PoToMRVWoQDUomPl!$S$7)*PoToMRVWoQDUomPl!$E$21,AD5/PoToMRVWoQDUomPl!$AD$7*PoToMRVWoQDUomPl!$E$21)</f>
        <v>0</v>
      </c>
      <c r="AI5" s="31">
        <f>S5*PoToMRVWoQDUomPl!$M$2</f>
        <v>1642.37</v>
      </c>
      <c r="AJ5" s="31">
        <f>IF(PoToMRVWoQDUomPl!$C$2=3,0,AG5+AH5)</f>
        <v>0</v>
      </c>
      <c r="AK5" s="31">
        <f>IF(PoToMRVWoQDUomPl!$C$2=3,AE5+AG5+AH5,0)</f>
        <v>0</v>
      </c>
      <c r="AL5" s="34">
        <v>3</v>
      </c>
      <c r="AM5" s="31">
        <f t="shared" si="10"/>
        <v>6.66666666666667</v>
      </c>
      <c r="AN5" s="31">
        <f>ROUND(AI5/AM5,5)</f>
        <v>246.3555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246.3555</v>
      </c>
      <c r="AS5" s="38" t="s">
        <v>120</v>
      </c>
      <c r="AT5" s="39" t="s">
        <v>76</v>
      </c>
      <c r="AU5" t="s" s="0">
        <v>85</v>
      </c>
      <c r="AV5" t="s" s="0">
        <v>125</v>
      </c>
      <c r="AW5" s="39">
        <f t="shared" si="13"/>
        <v>6.66666666666667</v>
      </c>
      <c r="AX5" s="46">
        <f t="shared" si="14"/>
        <v>246.3555</v>
      </c>
      <c r="AY5" s="39">
        <f t="shared" si="15"/>
        <v>6.66666666666667</v>
      </c>
      <c r="AZ5" s="50">
        <f>ROUND(((AU5*AV5)+(AW5*AX5))/(AU5+AW5),2)</f>
        <v>246.36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364</v>
      </c>
      <c r="BO5" s="39">
        <f>ROUND((((AW5*AZ5)+(BN5*BM5))/(AW5+BN5)),2)</f>
        <v>246.36</v>
      </c>
      <c r="BP5" s="48">
        <f t="shared" si="16"/>
        <v>86.671</v>
      </c>
      <c r="BQ5" s="49">
        <v>123562</v>
      </c>
    </row>
    <row r="6" ht="15.75" spans="1:69">
      <c r="A6" s="7">
        <v>1</v>
      </c>
      <c r="B6" s="7" t="s">
        <v>360</v>
      </c>
      <c r="C6" s="7" t="s">
        <v>360</v>
      </c>
      <c r="D6" s="7" t="s">
        <v>76</v>
      </c>
      <c r="E6" s="7" t="s">
        <v>95</v>
      </c>
      <c r="F6" s="8">
        <v>10</v>
      </c>
      <c r="G6" t="s" s="0">
        <v>199</v>
      </c>
      <c r="H6" s="8">
        <f t="shared" si="0"/>
        <v>500</v>
      </c>
      <c r="I6" t="s" s="0">
        <v>205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IF(OR(PoToMRVWoQDUomPl!$C$2=1,PoToMRVWoQDUomPl!$C$2=4),ROUND((((S6*U6)/100)/2),2),0)</f>
        <v>0</v>
      </c>
      <c r="W6" s="8">
        <f>IF(PoToMRVWoQDUomPl!$C$2=1,ROUND((((S6*U6)/100)/2),2),0)</f>
        <v>0</v>
      </c>
      <c r="X6" s="8">
        <f>IF(PoToMRVWoQDUomPl!$C$2=2,ROUND(((S6*U6)/100),2),0)</f>
        <v>77.94</v>
      </c>
      <c r="Y6" s="8">
        <f>IF(PoToMRVWoQDUomPl!$C$2=4,ROUND((((S6*U6)/100)/2),2),0)</f>
        <v>0</v>
      </c>
      <c r="Z6" s="8">
        <v>0</v>
      </c>
      <c r="AA6" s="8">
        <f>IF(PoToMRVWoQDUomPl!$C4=3,0,(S6*Z6)/100)</f>
        <v>0</v>
      </c>
      <c r="AB6" s="8">
        <f t="shared" si="9"/>
        <v>77.94</v>
      </c>
      <c r="AC6" s="8">
        <f>IF(PoToMRVWoQDUomPl!$V4=1,S6+AB6,S6)</f>
        <v>433.01</v>
      </c>
      <c r="AD6" s="31">
        <v>120</v>
      </c>
      <c r="AE6" s="31">
        <f>IF(PoToMRVWoQDUomPl!$P$2=1,(S6/PoToMRVWoQDUomPl!$S$7)*PoToMRVWoQDUomPl!$E$18,AD6/PoToMRVWoQDUomPl!$AD$7*PoToMRVWoQDUomPl!$E$18)</f>
        <v>0</v>
      </c>
      <c r="AF6" s="31"/>
      <c r="AG6" s="31">
        <f>IF(PoToMRVWoQDUomPl!$P$2=1,(S6/PoToMRVWoQDUomPl!$S$7)*PoToMRVWoQDUomPl!$E$20,AD6/PoToMRVWoQDUomPl!$AD$7*PoToMRVWoQDUomPl!$E$20)</f>
        <v>0</v>
      </c>
      <c r="AH6" s="31">
        <f>IF(PoToMRVWoQDUomPl!$P$2=1,(S6/PoToMRVWoQDUomPl!$S$7)*PoToMRVWoQDUomPl!$E$21,AD6/PoToMRVWoQDUomPl!$AD$7*PoToMRVWoQDUomPl!$E$21)</f>
        <v>0</v>
      </c>
      <c r="AI6" s="31">
        <f>S6*PoToMRVWoQDUomPl!$M$2</f>
        <v>433.01</v>
      </c>
      <c r="AJ6" s="31">
        <f>IF(PoToMRVWoQDUomPl!$C$2=3,0,AG6+AH6)</f>
        <v>0</v>
      </c>
      <c r="AK6" s="31">
        <f>IF(PoToMRVWoQDUomPl!$C$2=3,AE6+AG6+AH6,0)</f>
        <v>0</v>
      </c>
      <c r="AL6" s="34">
        <v>3</v>
      </c>
      <c r="AM6" s="31">
        <f t="shared" si="10"/>
        <v>3.33333333333333</v>
      </c>
      <c r="AN6" s="31">
        <f>ROUND(AI6/AM6,5)</f>
        <v>129.903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129.903</v>
      </c>
      <c r="AS6" s="38" t="s">
        <v>120</v>
      </c>
      <c r="AT6" s="39" t="s">
        <v>76</v>
      </c>
      <c r="AU6" t="s" s="0">
        <v>85</v>
      </c>
      <c r="AV6" t="s" s="0">
        <v>320</v>
      </c>
      <c r="AW6" s="39">
        <f t="shared" si="13"/>
        <v>3.33333333333333</v>
      </c>
      <c r="AX6" s="39">
        <f t="shared" si="14"/>
        <v>129.903</v>
      </c>
      <c r="AY6" s="39">
        <f t="shared" si="15"/>
        <v>3.33333333333333</v>
      </c>
      <c r="AZ6" s="39">
        <f>ROUND(((AU6*AV6)+(AW6*AX6))/(AU6+AW6),2)</f>
        <v>129.9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365</v>
      </c>
      <c r="BO6" s="39">
        <f>ROUND((((AW6*AZ6)+(BN6*BM6))/(AW6+BN6)),5)</f>
        <v>129.9</v>
      </c>
      <c r="BP6" s="48">
        <f t="shared" si="16"/>
        <v>43.329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254.55</v>
      </c>
      <c r="S7" s="13">
        <f t="shared" si="17"/>
        <v>1245.45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224.18</v>
      </c>
      <c r="Y7" s="27"/>
      <c r="Z7" s="27"/>
      <c r="AA7" s="27"/>
      <c r="AB7" s="26">
        <f t="shared" ref="AB7:AE7" si="18">SUM(AB4:AB4)</f>
        <v>224.18</v>
      </c>
      <c r="AC7" s="32">
        <f t="shared" si="18"/>
        <v>1245.45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1245.45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C1" workbookViewId="0">
      <selection activeCell="L7" sqref="L7"/>
    </sheetView>
  </sheetViews>
  <sheetFormatPr defaultColWidth="8.84761904761905" defaultRowHeight="15"/>
  <cols>
    <col min="2" max="2" customWidth="true" width="28.0"/>
    <col min="3" max="3" customWidth="true" width="30.0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2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361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357</v>
      </c>
      <c r="C4" s="7" t="s">
        <v>357</v>
      </c>
      <c r="D4" s="7" t="s">
        <v>76</v>
      </c>
      <c r="E4" s="7" t="s">
        <v>95</v>
      </c>
      <c r="F4" s="8">
        <v>10</v>
      </c>
      <c r="G4" t="s" s="0">
        <v>199</v>
      </c>
      <c r="H4" s="8">
        <f t="shared" ref="H4:H6" si="0">F4*G4</f>
        <v>1500</v>
      </c>
      <c r="I4" t="s" s="0">
        <v>85</v>
      </c>
      <c r="J4" s="8">
        <v>8</v>
      </c>
      <c r="K4" s="8">
        <v>5</v>
      </c>
      <c r="L4" s="8">
        <v>0</v>
      </c>
      <c r="M4" s="8">
        <f t="shared" ref="M4:M6" si="1">ROUND(L4*I4%,2)</f>
        <v>0</v>
      </c>
      <c r="N4" s="8">
        <f t="shared" ref="N4:N6" si="2">H4-M4</f>
        <v>1500</v>
      </c>
      <c r="O4" s="8">
        <f t="shared" ref="O4:O6" si="3">ROUND(N4*J4%,2)</f>
        <v>120</v>
      </c>
      <c r="P4" s="8">
        <f t="shared" ref="P4:P6" si="4">ROUND(N4-O4,2)</f>
        <v>1380</v>
      </c>
      <c r="Q4" s="8">
        <f t="shared" ref="Q4:Q6" si="5">ROUND(P4*K4%,2)</f>
        <v>69</v>
      </c>
      <c r="R4" s="8">
        <f t="shared" ref="R4:R6" si="6">M4+O4+Q4</f>
        <v>189</v>
      </c>
      <c r="S4" s="8">
        <f t="shared" ref="S4:S6" si="7">(H4-R4)</f>
        <v>1311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8">V4+W4+X4+Y4+AA4</f>
        <v>0</v>
      </c>
      <c r="AC4" s="30">
        <f>IF($V2=1,S4+AB4,S4)</f>
        <v>1311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111435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9">F4/AL4</f>
        <v>3.33333333333333</v>
      </c>
      <c r="AN4" s="34">
        <f>ROUND(AI4/AM4,3)</f>
        <v>33430.5</v>
      </c>
      <c r="AO4" s="31">
        <f t="shared" ref="AO4:AO6" si="10">AJ4/AM4</f>
        <v>0</v>
      </c>
      <c r="AP4" s="31">
        <f t="shared" ref="AP4:AP6" si="11">AK4/AM4</f>
        <v>0</v>
      </c>
      <c r="AQ4" s="31" t="s">
        <v>76</v>
      </c>
      <c r="AR4" s="34">
        <f>ROUND(AN4+AO4+AP4,3)</f>
        <v>33430.5</v>
      </c>
      <c r="AS4" s="38" t="s">
        <v>120</v>
      </c>
      <c r="AT4" s="39" t="s">
        <v>76</v>
      </c>
      <c r="AU4" t="s" s="0">
        <v>85</v>
      </c>
      <c r="AV4" t="s" s="0">
        <v>349</v>
      </c>
      <c r="AW4" s="39">
        <f t="shared" ref="AW4:AW6" si="12">AM4</f>
        <v>3.33333333333333</v>
      </c>
      <c r="AX4" s="42">
        <f t="shared" ref="AX4:AX6" si="13">AR4</f>
        <v>33430.5</v>
      </c>
      <c r="AY4" s="39">
        <f t="shared" ref="AY4:AY6" si="14">AU4+AW4</f>
        <v>3.33333333333333</v>
      </c>
      <c r="AZ4" s="42">
        <f>ROUND(((AU4*AV4)+(AW4*AX4))/(AU4+AW4),5)</f>
        <v>33430.5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366</v>
      </c>
      <c r="BN4" t="s" s="0">
        <v>367</v>
      </c>
      <c r="BO4" s="39">
        <f>ROUND((((AW4*AZ4)+(BN4*BM4))/(AW4+BN4)),5)</f>
        <v>4533.59999</v>
      </c>
      <c r="BP4" s="48">
        <f t="shared" ref="BP4:BP6" si="15">ROUND(BN4+AW4,3)</f>
        <v>65</v>
      </c>
      <c r="BQ4" s="49">
        <v>123562</v>
      </c>
    </row>
    <row r="5" ht="15.75" spans="1:69">
      <c r="A5" s="7">
        <v>1</v>
      </c>
      <c r="B5" s="7" t="s">
        <v>358</v>
      </c>
      <c r="C5" s="7" t="s">
        <v>358</v>
      </c>
      <c r="D5" s="7" t="s">
        <v>76</v>
      </c>
      <c r="E5" s="7" t="s">
        <v>95</v>
      </c>
      <c r="F5" s="8">
        <v>20</v>
      </c>
      <c r="G5" t="s" s="0">
        <v>87</v>
      </c>
      <c r="H5" s="8">
        <f t="shared" si="0"/>
        <v>2000</v>
      </c>
      <c r="I5" t="s" s="0">
        <v>85</v>
      </c>
      <c r="J5" s="8">
        <v>9</v>
      </c>
      <c r="K5" s="8">
        <v>6</v>
      </c>
      <c r="L5" s="8">
        <v>0</v>
      </c>
      <c r="M5" s="8">
        <f t="shared" si="1"/>
        <v>0</v>
      </c>
      <c r="N5" s="8">
        <f t="shared" si="2"/>
        <v>2000</v>
      </c>
      <c r="O5" s="8">
        <f t="shared" si="3"/>
        <v>180</v>
      </c>
      <c r="P5" s="8">
        <f t="shared" si="4"/>
        <v>1820</v>
      </c>
      <c r="Q5" s="8">
        <f t="shared" si="5"/>
        <v>109.2</v>
      </c>
      <c r="R5" s="8">
        <f t="shared" si="6"/>
        <v>289.2</v>
      </c>
      <c r="S5" s="8">
        <f t="shared" si="7"/>
        <v>1710.8</v>
      </c>
      <c r="T5" s="8">
        <v>88363222</v>
      </c>
      <c r="U5" s="8">
        <v>18</v>
      </c>
      <c r="V5" s="8">
        <f>IF(OR(PoToMRVWoQDUomPlImp!$C$2=1,PoToMRVWoQDUomPlImp!$C$2=4),ROUND((((S5*U5)/100)/2),2),0)</f>
        <v>0</v>
      </c>
      <c r="W5" s="8">
        <f>IF(PoToMRVWoQDUomPlImp!$C$2=1,ROUND((((S5*U5)/100)/2),2),0)</f>
        <v>0</v>
      </c>
      <c r="X5" s="8">
        <f>IF(PoToMRVWoQDUomPlImp!$C$2=2,ROUND(((S5*U5)/100),2),0)</f>
        <v>0</v>
      </c>
      <c r="Y5" s="8">
        <f>IF(PoToMRVWoQDUomPlImp!$C$2=4,ROUND((((S5*U5)/100)/2),2),0)</f>
        <v>0</v>
      </c>
      <c r="Z5" s="8">
        <v>0</v>
      </c>
      <c r="AA5" s="8">
        <f>IF(PoToMRVWoQDUomPlImp!$C3=3,0,(S5*Z5)/100)</f>
        <v>0</v>
      </c>
      <c r="AB5" s="8">
        <f t="shared" si="8"/>
        <v>0</v>
      </c>
      <c r="AC5" s="8">
        <f>IF(PoToMRVWoQDUomPlImp!$V3=1,S5+AB5,S5)</f>
        <v>1710.8</v>
      </c>
      <c r="AD5" s="31">
        <v>120</v>
      </c>
      <c r="AE5" s="31">
        <f>IF(PoToMRVWoQDUomPlImp!$P$2=1,(S5/PoToMRVWoQDUomPlImp!$S$7)*PoToMRVWoQDUomPlImp!$E$18,AD5/PoToMRVWoQDUomPlImp!$AD$7*PoToMRVWoQDUomPlImp!$E$18)</f>
        <v>0</v>
      </c>
      <c r="AF5" s="31"/>
      <c r="AG5" s="31">
        <f>IF(PoToMRVWoQDUomPlImp!$P$2=1,(S5/PoToMRVWoQDUomPlImp!$S$7)*PoToMRVWoQDUomPlImp!$E$20,AD5/PoToMRVWoQDUomPlImp!$AD$7*PoToMRVWoQDUomPlImp!$E$20)</f>
        <v>0</v>
      </c>
      <c r="AH5" s="31">
        <f>IF(PoToMRVWoQDUomPlImp!$P$2=1,(S5/PoToMRVWoQDUomPlImp!$S$7)*PoToMRVWoQDUomPlImp!$E$21,AD5/PoToMRVWoQDUomPlImp!$AD$7*PoToMRVWoQDUomPlImp!$E$21)</f>
        <v>0</v>
      </c>
      <c r="AI5" s="31">
        <f>S5*PoToMRVWoQDUomPlImp!$M$2</f>
        <v>145418</v>
      </c>
      <c r="AJ5" s="31">
        <f>IF(PoToMRVWoQDUomPlImp!$C$2=3,0,AG5+AH5)</f>
        <v>0</v>
      </c>
      <c r="AK5" s="31">
        <f>IF(PoToMRVWoQDUomPlImp!$C$2=3,AE5+AG5+AH5,0)</f>
        <v>0</v>
      </c>
      <c r="AL5" s="34">
        <v>3</v>
      </c>
      <c r="AM5" s="31">
        <f t="shared" si="9"/>
        <v>6.66666666666667</v>
      </c>
      <c r="AN5" s="31">
        <f>ROUND(AI5/AM5,5)</f>
        <v>21812.7</v>
      </c>
      <c r="AO5" s="31">
        <f t="shared" si="10"/>
        <v>0</v>
      </c>
      <c r="AP5" s="31">
        <f t="shared" si="11"/>
        <v>0</v>
      </c>
      <c r="AQ5" s="31" t="s">
        <v>76</v>
      </c>
      <c r="AR5" s="31">
        <f>ROUND(AN5+AO5+AP5,5)</f>
        <v>21812.7</v>
      </c>
      <c r="AS5" s="38" t="s">
        <v>120</v>
      </c>
      <c r="AT5" s="39" t="s">
        <v>76</v>
      </c>
      <c r="AU5" t="s" s="0">
        <v>85</v>
      </c>
      <c r="AV5" t="s" s="0">
        <v>368</v>
      </c>
      <c r="AW5" s="39">
        <f t="shared" si="12"/>
        <v>6.66666666666667</v>
      </c>
      <c r="AX5" s="46">
        <f t="shared" si="13"/>
        <v>21812.7</v>
      </c>
      <c r="AY5" s="39">
        <f t="shared" si="14"/>
        <v>6.66666666666667</v>
      </c>
      <c r="AZ5" s="50">
        <f>ROUND(((AU5*AV5)+(AW5*AX5))/(AU5+AW5),2)</f>
        <v>21812.7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369</v>
      </c>
      <c r="BN5" t="s" s="0">
        <v>370</v>
      </c>
      <c r="BO5" s="39">
        <f>ROUND((((AW5*AZ5)+(BN5*BM5))/(AW5+BN5)),2)</f>
        <v>1144.91</v>
      </c>
      <c r="BP5" s="48">
        <f t="shared" si="15"/>
        <v>86.671</v>
      </c>
      <c r="BQ5" s="49">
        <v>123562</v>
      </c>
    </row>
    <row r="6" ht="15.75" spans="1:69">
      <c r="A6" s="7">
        <v>1</v>
      </c>
      <c r="B6" s="7" t="s">
        <v>360</v>
      </c>
      <c r="C6" s="7" t="s">
        <v>360</v>
      </c>
      <c r="D6" s="7" t="s">
        <v>76</v>
      </c>
      <c r="E6" s="7" t="s">
        <v>95</v>
      </c>
      <c r="F6" s="8">
        <v>10</v>
      </c>
      <c r="G6" t="s" s="0">
        <v>199</v>
      </c>
      <c r="H6" s="8">
        <f t="shared" si="0"/>
        <v>500</v>
      </c>
      <c r="I6" t="s" s="0">
        <v>85</v>
      </c>
      <c r="J6" s="8">
        <v>7</v>
      </c>
      <c r="K6" s="8">
        <v>4</v>
      </c>
      <c r="L6" s="8">
        <v>0</v>
      </c>
      <c r="M6" s="8">
        <f t="shared" si="1"/>
        <v>0</v>
      </c>
      <c r="N6" s="8">
        <f t="shared" si="2"/>
        <v>500</v>
      </c>
      <c r="O6" s="8">
        <f t="shared" si="3"/>
        <v>35</v>
      </c>
      <c r="P6" s="8">
        <f t="shared" si="4"/>
        <v>465</v>
      </c>
      <c r="Q6" s="8">
        <f t="shared" si="5"/>
        <v>18.6</v>
      </c>
      <c r="R6" s="8">
        <f t="shared" si="6"/>
        <v>53.6</v>
      </c>
      <c r="S6" s="8">
        <f t="shared" si="7"/>
        <v>446.4</v>
      </c>
      <c r="T6" s="8">
        <v>88363222</v>
      </c>
      <c r="U6" s="8">
        <v>18</v>
      </c>
      <c r="V6" s="8">
        <f>IF(OR(PoToMRVWoQDUomPlImp!$C$2=1,PoToMRVWoQDUomPlImp!$C$2=4),ROUND((((S6*U6)/100)/2),2),0)</f>
        <v>0</v>
      </c>
      <c r="W6" s="8">
        <f>IF(PoToMRVWoQDUomPlImp!$C$2=1,ROUND((((S6*U6)/100)/2),2),0)</f>
        <v>0</v>
      </c>
      <c r="X6" s="8">
        <f>IF(PoToMRVWoQDUomPlImp!$C$2=2,ROUND(((S6*U6)/100),2),0)</f>
        <v>0</v>
      </c>
      <c r="Y6" s="8">
        <f>IF(PoToMRVWoQDUomPlImp!$C$2=4,ROUND((((S6*U6)/100)/2),2),0)</f>
        <v>0</v>
      </c>
      <c r="Z6" s="8">
        <v>0</v>
      </c>
      <c r="AA6" s="8">
        <f>IF(PoToMRVWoQDUomPlImp!$C4=3,0,(S6*Z6)/100)</f>
        <v>0</v>
      </c>
      <c r="AB6" s="8">
        <f t="shared" si="8"/>
        <v>0</v>
      </c>
      <c r="AC6" s="8">
        <f>IF(PoToMRVWoQDUomPlImp!$V4=1,S6+AB6,S6)</f>
        <v>446.4</v>
      </c>
      <c r="AD6" s="31">
        <v>120</v>
      </c>
      <c r="AE6" s="31">
        <f>IF(PoToMRVWoQDUomPlImp!$P$2=1,(S6/PoToMRVWoQDUomPlImp!$S$7)*PoToMRVWoQDUomPlImp!$E$18,AD6/PoToMRVWoQDUomPlImp!$AD$7*PoToMRVWoQDUomPlImp!$E$18)</f>
        <v>0</v>
      </c>
      <c r="AF6" s="31"/>
      <c r="AG6" s="31">
        <f>IF(PoToMRVWoQDUomPlImp!$P$2=1,(S6/PoToMRVWoQDUomPlImp!$S$7)*PoToMRVWoQDUomPlImp!$E$20,AD6/PoToMRVWoQDUomPlImp!$AD$7*PoToMRVWoQDUomPlImp!$E$20)</f>
        <v>0</v>
      </c>
      <c r="AH6" s="31">
        <f>IF(PoToMRVWoQDUomPlImp!$P$2=1,(S6/PoToMRVWoQDUomPlImp!$S$7)*PoToMRVWoQDUomPlImp!$E$21,AD6/PoToMRVWoQDUomPlImp!$AD$7*PoToMRVWoQDUomPlImp!$E$21)</f>
        <v>0</v>
      </c>
      <c r="AI6" s="31">
        <f>S6*PoToMRVWoQDUomPlImp!$M$2</f>
        <v>37944</v>
      </c>
      <c r="AJ6" s="31">
        <f>IF(PoToMRVWoQDUomPlImp!$C$2=3,0,AG6+AH6)</f>
        <v>0</v>
      </c>
      <c r="AK6" s="31">
        <f>IF(PoToMRVWoQDUomPlImp!$C$2=3,AE6+AG6+AH6,0)</f>
        <v>0</v>
      </c>
      <c r="AL6" s="34">
        <v>3</v>
      </c>
      <c r="AM6" s="31">
        <f t="shared" si="9"/>
        <v>3.33333333333333</v>
      </c>
      <c r="AN6" s="31">
        <f>ROUND(AI6/AM6,5)</f>
        <v>11383.2</v>
      </c>
      <c r="AO6" s="31">
        <f t="shared" si="10"/>
        <v>0</v>
      </c>
      <c r="AP6" s="31">
        <f t="shared" si="11"/>
        <v>0</v>
      </c>
      <c r="AQ6" s="31" t="s">
        <v>76</v>
      </c>
      <c r="AR6" s="31">
        <f>ROUND(AN6+AO6+AP6,5)</f>
        <v>11383.2</v>
      </c>
      <c r="AS6" s="38" t="s">
        <v>120</v>
      </c>
      <c r="AT6" s="39" t="s">
        <v>76</v>
      </c>
      <c r="AU6" t="s" s="0">
        <v>85</v>
      </c>
      <c r="AV6" t="s" s="0">
        <v>371</v>
      </c>
      <c r="AW6" s="39">
        <f t="shared" si="12"/>
        <v>3.33333333333333</v>
      </c>
      <c r="AX6" s="39">
        <f t="shared" si="13"/>
        <v>11383.2</v>
      </c>
      <c r="AY6" s="39">
        <f t="shared" si="14"/>
        <v>3.33333333333333</v>
      </c>
      <c r="AZ6" s="39">
        <f>ROUND(((AU6*AV6)+(AW6*AX6))/(AU6+AW6),2)</f>
        <v>11383.2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372</v>
      </c>
      <c r="BN6" t="s" s="0">
        <v>373</v>
      </c>
      <c r="BO6" s="39">
        <f>ROUND((((AW6*AZ6)+(BN6*BM6))/(AW6+BN6)),5)</f>
        <v>598.83244</v>
      </c>
      <c r="BP6" s="48">
        <f t="shared" si="15"/>
        <v>43.329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6">SUM(R4:R4)</f>
        <v>189</v>
      </c>
      <c r="S7" s="13">
        <f t="shared" si="16"/>
        <v>1311</v>
      </c>
      <c r="T7" s="26"/>
      <c r="U7" s="26"/>
      <c r="V7" s="27">
        <f t="shared" si="16"/>
        <v>0</v>
      </c>
      <c r="W7" s="27">
        <f t="shared" si="16"/>
        <v>0</v>
      </c>
      <c r="X7" s="27">
        <f t="shared" si="16"/>
        <v>0</v>
      </c>
      <c r="Y7" s="27"/>
      <c r="Z7" s="27"/>
      <c r="AA7" s="27"/>
      <c r="AB7" s="26">
        <f t="shared" ref="AB7:AE7" si="17">SUM(AB4:AB4)</f>
        <v>0</v>
      </c>
      <c r="AC7" s="32">
        <f t="shared" si="17"/>
        <v>1311</v>
      </c>
      <c r="AD7" s="33">
        <f t="shared" si="17"/>
        <v>120</v>
      </c>
      <c r="AE7" s="33">
        <f t="shared" si="17"/>
        <v>0</v>
      </c>
      <c r="AF7" s="32"/>
      <c r="AG7" s="33">
        <f t="shared" ref="AG7:AK7" si="18">SUM(AG4:AG4)</f>
        <v>0</v>
      </c>
      <c r="AH7" s="33">
        <f>IF($P$2=1,(S7/$S$7)*$E$21,AD7/$AD$7*$E$21)</f>
        <v>0</v>
      </c>
      <c r="AI7" s="33">
        <f t="shared" si="18"/>
        <v>111435</v>
      </c>
      <c r="AJ7" s="33">
        <f t="shared" si="18"/>
        <v>0</v>
      </c>
      <c r="AK7" s="33">
        <f t="shared" si="18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189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1311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1311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75" spans="1:69">
      <c r="A2" s="3" t="s">
        <v>1</v>
      </c>
      <c r="B2" s="3"/>
      <c r="C2" s="4">
        <v>2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1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61.5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8" t="s">
        <v>33</v>
      </c>
      <c r="Z3" s="28" t="s">
        <v>34</v>
      </c>
      <c r="AA3" s="28" t="s">
        <v>35</v>
      </c>
      <c r="AB3" s="28" t="s">
        <v>36</v>
      </c>
      <c r="AC3" s="29" t="s">
        <v>37</v>
      </c>
      <c r="AD3" s="29" t="s">
        <v>38</v>
      </c>
      <c r="AE3" s="29" t="s">
        <v>39</v>
      </c>
      <c r="AF3" s="29" t="s">
        <v>40</v>
      </c>
      <c r="AG3" s="29" t="s">
        <v>41</v>
      </c>
      <c r="AH3" s="29" t="s">
        <v>42</v>
      </c>
      <c r="AI3" s="29" t="s">
        <v>43</v>
      </c>
      <c r="AJ3" s="29" t="s">
        <v>44</v>
      </c>
      <c r="AK3" s="29" t="s">
        <v>45</v>
      </c>
      <c r="AL3" s="29" t="s">
        <v>46</v>
      </c>
      <c r="AM3" s="29" t="s">
        <v>47</v>
      </c>
      <c r="AN3" s="29" t="s">
        <v>48</v>
      </c>
      <c r="AO3" s="29" t="s">
        <v>49</v>
      </c>
      <c r="AP3" s="29" t="s">
        <v>50</v>
      </c>
      <c r="AQ3" s="29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75" spans="1:69">
      <c r="A4" s="7">
        <v>1</v>
      </c>
      <c r="B4" s="7" t="s">
        <v>374</v>
      </c>
      <c r="C4" s="7" t="s">
        <v>374</v>
      </c>
      <c r="D4" s="7" t="s">
        <v>76</v>
      </c>
      <c r="E4" s="7" t="s">
        <v>95</v>
      </c>
      <c r="F4" s="8">
        <v>10</v>
      </c>
      <c r="G4" s="8">
        <v>150</v>
      </c>
      <c r="H4" s="8">
        <f t="shared" ref="H4:H6" si="0">F4*G4</f>
        <v>1500</v>
      </c>
      <c r="I4" s="8">
        <v>5</v>
      </c>
      <c r="J4" s="8">
        <v>8</v>
      </c>
      <c r="K4" s="8">
        <v>5</v>
      </c>
      <c r="L4" s="8">
        <f t="shared" ref="L4:L6" si="1">H4</f>
        <v>1500</v>
      </c>
      <c r="M4" s="8">
        <f t="shared" ref="M4:M6" si="2">ROUND(L4*I4%,2)</f>
        <v>75</v>
      </c>
      <c r="N4" s="8">
        <f t="shared" ref="N4:N6" si="3">H4-M4</f>
        <v>1425</v>
      </c>
      <c r="O4" s="8">
        <f t="shared" ref="O4:O6" si="4">ROUND(N4*J4%,2)</f>
        <v>114</v>
      </c>
      <c r="P4" s="8">
        <f t="shared" ref="P4:P6" si="5">ROUND(N4-O4,2)</f>
        <v>1311</v>
      </c>
      <c r="Q4" s="8">
        <f t="shared" ref="Q4:Q6" si="6">ROUND(P4*K4%,2)</f>
        <v>65.55</v>
      </c>
      <c r="R4" s="8">
        <f t="shared" ref="R4:R6" si="7">M4+O4+Q4</f>
        <v>254.55</v>
      </c>
      <c r="S4" s="8">
        <f t="shared" ref="S4:S6" si="8">(H4-R4)</f>
        <v>1245.45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224.18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9">V4+W4+X4+Y4+AA4</f>
        <v>224.18</v>
      </c>
      <c r="AC4" s="30">
        <f>IF($V2=1,S4+AB4,S4)</f>
        <v>1469.63</v>
      </c>
      <c r="AD4" s="31">
        <v>120</v>
      </c>
      <c r="AE4" s="31">
        <f>IF($P$2=1,(S4/$S$7)*$E$18,AD4/$AD$7*$E$18)</f>
        <v>0</v>
      </c>
      <c r="AF4" s="31"/>
      <c r="AG4" s="31">
        <f>IF($P$2=1,(S4/$S$7)*$E$20,AD4/$AD$7*$E$20)</f>
        <v>0</v>
      </c>
      <c r="AH4" s="31">
        <f>IF($P$2=1,(S4/$S$7)*$E$21,AD4/$AD$7*$E$21)</f>
        <v>0</v>
      </c>
      <c r="AI4" s="31">
        <f>S4*$M$2</f>
        <v>1245.45</v>
      </c>
      <c r="AJ4" s="31">
        <f>IF($C$2=3,0,AG4+AH4)</f>
        <v>0</v>
      </c>
      <c r="AK4" s="31">
        <f>IF($C$2=3,AE4+AG4+AH4,0)</f>
        <v>0</v>
      </c>
      <c r="AL4" s="34">
        <v>3</v>
      </c>
      <c r="AM4" s="31">
        <f t="shared" ref="AM4:AM6" si="10">F4/AL4</f>
        <v>3.33333333333333</v>
      </c>
      <c r="AN4" s="34">
        <f>ROUND(AI4/AM4,3)</f>
        <v>373.635</v>
      </c>
      <c r="AO4" s="31">
        <f t="shared" ref="AO4:AO6" si="11">AJ4/AM4</f>
        <v>0</v>
      </c>
      <c r="AP4" s="31">
        <f t="shared" ref="AP4:AP6" si="12">AK4/AM4</f>
        <v>0</v>
      </c>
      <c r="AQ4" s="31" t="s">
        <v>76</v>
      </c>
      <c r="AR4" s="34">
        <f>ROUND(AN4+AO4+AP4,3)</f>
        <v>373.635</v>
      </c>
      <c r="AS4" s="38" t="s">
        <v>120</v>
      </c>
      <c r="AT4" s="39" t="s">
        <v>76</v>
      </c>
      <c r="AU4" t="s" s="0">
        <v>337</v>
      </c>
      <c r="AV4" t="s" s="0">
        <v>121</v>
      </c>
      <c r="AW4" s="39">
        <f t="shared" ref="AW4:AW6" si="13">AM4</f>
        <v>3.33333333333333</v>
      </c>
      <c r="AX4" s="42">
        <f t="shared" ref="AX4:AX6" si="14">AR4</f>
        <v>373.635</v>
      </c>
      <c r="AY4" s="39">
        <f t="shared" ref="AY4:AY6" si="15">AU4+AW4</f>
        <v>13.3323333333333</v>
      </c>
      <c r="AZ4" s="42">
        <f>ROUND(((AU4*AV4)+(AW4*AX4))/(AU4+AW4),5)</f>
        <v>373.635</v>
      </c>
      <c r="BA4" s="43"/>
      <c r="BB4" s="43" t="s">
        <v>80</v>
      </c>
      <c r="BC4" s="44" t="s">
        <v>81</v>
      </c>
      <c r="BD4" s="45" t="s">
        <v>82</v>
      </c>
      <c r="BE4" s="45" t="s">
        <v>83</v>
      </c>
      <c r="BF4" s="43"/>
      <c r="BG4" s="43"/>
      <c r="BH4" s="43"/>
      <c r="BI4" s="39"/>
      <c r="BJ4" s="39"/>
      <c r="BK4" s="39"/>
      <c r="BL4" s="47" t="s">
        <v>122</v>
      </c>
      <c r="BM4" t="s" s="0">
        <v>121</v>
      </c>
      <c r="BN4" t="s" s="0">
        <v>373</v>
      </c>
      <c r="BO4" s="39">
        <f>ROUND((((AW4*AZ4)+(BN4*BM4))/(AW4+BN4)),5)</f>
        <v>373.635</v>
      </c>
      <c r="BP4" s="48">
        <f t="shared" ref="BP4:BP6" si="16">ROUND(BN4+AW4,3)</f>
        <v>6.666</v>
      </c>
      <c r="BQ4" s="49">
        <v>123562</v>
      </c>
    </row>
    <row r="5" ht="15.75" spans="1:69">
      <c r="A5" s="7">
        <v>1</v>
      </c>
      <c r="B5" s="7" t="s">
        <v>375</v>
      </c>
      <c r="C5" s="7" t="s">
        <v>375</v>
      </c>
      <c r="D5" s="7" t="s">
        <v>76</v>
      </c>
      <c r="E5" s="7" t="s">
        <v>95</v>
      </c>
      <c r="F5" s="8">
        <v>15</v>
      </c>
      <c r="G5" s="8">
        <v>100</v>
      </c>
      <c r="H5" s="8">
        <f t="shared" si="0"/>
        <v>1500</v>
      </c>
      <c r="I5" s="8">
        <v>4</v>
      </c>
      <c r="J5" s="8">
        <v>9</v>
      </c>
      <c r="K5" s="8">
        <v>6</v>
      </c>
      <c r="L5" s="8">
        <f t="shared" si="1"/>
        <v>1500</v>
      </c>
      <c r="M5" s="8">
        <f t="shared" si="2"/>
        <v>60</v>
      </c>
      <c r="N5" s="8">
        <f t="shared" si="3"/>
        <v>1440</v>
      </c>
      <c r="O5" s="8">
        <f t="shared" si="4"/>
        <v>129.6</v>
      </c>
      <c r="P5" s="8">
        <f t="shared" si="5"/>
        <v>1310.4</v>
      </c>
      <c r="Q5" s="8">
        <f t="shared" si="6"/>
        <v>78.62</v>
      </c>
      <c r="R5" s="8">
        <f t="shared" si="7"/>
        <v>268.22</v>
      </c>
      <c r="S5" s="8">
        <f t="shared" si="8"/>
        <v>1231.78</v>
      </c>
      <c r="T5" s="8">
        <v>88363222</v>
      </c>
      <c r="U5" s="8">
        <v>18</v>
      </c>
      <c r="V5" s="8">
        <f>IF(OR(PoToMRVWOIpDUomPl!$C$2=1,PoToMRVWOIpDUomPl!$C$2=4),ROUND((((S5*U5)/100)/2),2),0)</f>
        <v>0</v>
      </c>
      <c r="W5" s="8">
        <f>IF(PoToMRVWOIpDUomPl!$C$2=1,ROUND((((S5*U5)/100)/2),2),0)</f>
        <v>0</v>
      </c>
      <c r="X5" s="8">
        <f>IF(PoToMRVWOIpDUomPl!$C$2=2,ROUND(((S5*U5)/100),2),0)</f>
        <v>221.72</v>
      </c>
      <c r="Y5" s="8">
        <f>IF(PoToMRVWOIpDUomPl!$C$2=4,ROUND((((S5*U5)/100)/2),2),0)</f>
        <v>0</v>
      </c>
      <c r="Z5" s="8">
        <v>0</v>
      </c>
      <c r="AA5" s="8">
        <f>IF(PoToMRVWOIpDUomPl!$C3=3,0,(S5*Z5)/100)</f>
        <v>0</v>
      </c>
      <c r="AB5" s="8">
        <f t="shared" si="9"/>
        <v>221.72</v>
      </c>
      <c r="AC5" s="8">
        <f>IF(PoToMRVWOIpDUomPl!$V3=1,S5+AB5,S5)</f>
        <v>1231.78</v>
      </c>
      <c r="AD5" s="31">
        <v>120</v>
      </c>
      <c r="AE5" s="31">
        <f>IF(PoToMRVWOIpDUomPl!$P$2=1,(S5/PoToMRVWOIpDUomPl!$S$7)*PoToMRVWOIpDUomPl!$E$18,AD5/PoToMRVWOIpDUomPl!$AD$7*PoToMRVWOIpDUomPl!$E$18)</f>
        <v>0</v>
      </c>
      <c r="AF5" s="31"/>
      <c r="AG5" s="31">
        <f>IF(PoToMRVWOIpDUomPl!$P$2=1,(S5/PoToMRVWOIpDUomPl!$S$7)*PoToMRVWOIpDUomPl!$E$20,AD5/PoToMRVWOIpDUomPl!$AD$7*PoToMRVWOIpDUomPl!$E$20)</f>
        <v>0</v>
      </c>
      <c r="AH5" s="31">
        <f>IF(PoToMRVWOIpDUomPl!$P$2=1,(S5/PoToMRVWOIpDUomPl!$S$7)*PoToMRVWOIpDUomPl!$E$21,AD5/PoToMRVWOIpDUomPl!$AD$7*PoToMRVWOIpDUomPl!$E$21)</f>
        <v>0</v>
      </c>
      <c r="AI5" s="31">
        <f>S5*PoToMRVWOIpDUomPl!$M$2</f>
        <v>1231.78</v>
      </c>
      <c r="AJ5" s="31">
        <f>IF(PoToMRVWOIpDUomPl!$C$2=3,0,AG5+AH5)</f>
        <v>0</v>
      </c>
      <c r="AK5" s="31">
        <f>IF(PoToMRVWOIpDUomPl!$C$2=3,AE5+AG5+AH5,0)</f>
        <v>0</v>
      </c>
      <c r="AL5" s="34">
        <v>3</v>
      </c>
      <c r="AM5" s="31">
        <f t="shared" si="10"/>
        <v>5</v>
      </c>
      <c r="AN5" s="31">
        <f>ROUND(AI5/AM5,5)</f>
        <v>246.356</v>
      </c>
      <c r="AO5" s="31">
        <f t="shared" si="11"/>
        <v>0</v>
      </c>
      <c r="AP5" s="31">
        <f t="shared" si="12"/>
        <v>0</v>
      </c>
      <c r="AQ5" s="31" t="s">
        <v>76</v>
      </c>
      <c r="AR5" s="31">
        <f>ROUND(AN5+AO5+AP5,5)</f>
        <v>246.356</v>
      </c>
      <c r="AS5" s="38" t="s">
        <v>120</v>
      </c>
      <c r="AT5" s="39" t="s">
        <v>76</v>
      </c>
      <c r="AU5" t="s" s="0">
        <v>376</v>
      </c>
      <c r="AV5" t="s" s="0">
        <v>125</v>
      </c>
      <c r="AW5" s="39">
        <f t="shared" si="13"/>
        <v>5</v>
      </c>
      <c r="AX5" s="46">
        <f t="shared" si="14"/>
        <v>246.356</v>
      </c>
      <c r="AY5" s="39">
        <f t="shared" si="15"/>
        <v>8.999</v>
      </c>
      <c r="AZ5" s="46">
        <f>ROUND(((AU5*AV5)+(AW5*AX5))/(AU5+AW5),5)</f>
        <v>246.35778</v>
      </c>
      <c r="BA5" s="43"/>
      <c r="BB5" s="43" t="s">
        <v>80</v>
      </c>
      <c r="BC5" s="44" t="s">
        <v>81</v>
      </c>
      <c r="BD5" s="45" t="s">
        <v>82</v>
      </c>
      <c r="BE5" s="45" t="s">
        <v>83</v>
      </c>
      <c r="BF5" s="43"/>
      <c r="BG5" s="43"/>
      <c r="BH5" s="43"/>
      <c r="BI5" s="39"/>
      <c r="BJ5" s="39"/>
      <c r="BK5" s="39"/>
      <c r="BL5" s="47" t="s">
        <v>122</v>
      </c>
      <c r="BM5" t="s" s="0">
        <v>125</v>
      </c>
      <c r="BN5" t="s" s="0">
        <v>162</v>
      </c>
      <c r="BO5" s="39">
        <f>ROUND((((AW5*AZ5)+(BN5*BM5))/(AW5+BN5)),2)</f>
        <v>246.36</v>
      </c>
      <c r="BP5" s="48">
        <f t="shared" si="16"/>
        <v>6.333</v>
      </c>
      <c r="BQ5" s="49">
        <v>123562</v>
      </c>
    </row>
    <row r="6" ht="15.75" spans="1:69">
      <c r="A6" s="7">
        <v>1</v>
      </c>
      <c r="B6" s="7" t="s">
        <v>377</v>
      </c>
      <c r="C6" s="7" t="s">
        <v>377</v>
      </c>
      <c r="D6" s="7" t="s">
        <v>76</v>
      </c>
      <c r="E6" s="7" t="s">
        <v>95</v>
      </c>
      <c r="F6" s="8">
        <v>10</v>
      </c>
      <c r="G6" s="8">
        <v>50</v>
      </c>
      <c r="H6" s="8">
        <f t="shared" si="0"/>
        <v>500</v>
      </c>
      <c r="I6" s="8">
        <v>3</v>
      </c>
      <c r="J6" s="8">
        <v>7</v>
      </c>
      <c r="K6" s="8">
        <v>4</v>
      </c>
      <c r="L6" s="8">
        <f t="shared" si="1"/>
        <v>500</v>
      </c>
      <c r="M6" s="8">
        <f t="shared" si="2"/>
        <v>15</v>
      </c>
      <c r="N6" s="8">
        <f t="shared" si="3"/>
        <v>485</v>
      </c>
      <c r="O6" s="8">
        <f t="shared" si="4"/>
        <v>33.95</v>
      </c>
      <c r="P6" s="8">
        <f t="shared" si="5"/>
        <v>451.05</v>
      </c>
      <c r="Q6" s="8">
        <f t="shared" si="6"/>
        <v>18.04</v>
      </c>
      <c r="R6" s="8">
        <f t="shared" si="7"/>
        <v>66.99</v>
      </c>
      <c r="S6" s="8">
        <f t="shared" si="8"/>
        <v>433.01</v>
      </c>
      <c r="T6" s="8">
        <v>88363222</v>
      </c>
      <c r="U6" s="8">
        <v>18</v>
      </c>
      <c r="V6" s="8">
        <f>IF(OR(PoToMRVWOIpDUomPl!$C$2=1,PoToMRVWOIpDUomPl!$C$2=4),ROUND((((S6*U6)/100)/2),2),0)</f>
        <v>0</v>
      </c>
      <c r="W6" s="8">
        <f>IF(PoToMRVWOIpDUomPl!$C$2=1,ROUND((((S6*U6)/100)/2),2),0)</f>
        <v>0</v>
      </c>
      <c r="X6" s="8">
        <f>IF(PoToMRVWOIpDUomPl!$C$2=2,ROUND(((S6*U6)/100),2),0)</f>
        <v>77.94</v>
      </c>
      <c r="Y6" s="8">
        <f>IF(PoToMRVWOIpDUomPl!$C$2=4,ROUND((((S6*U6)/100)/2),2),0)</f>
        <v>0</v>
      </c>
      <c r="Z6" s="8">
        <v>0</v>
      </c>
      <c r="AA6" s="8">
        <f>IF(PoToMRVWOIpDUomPl!$C4=3,0,(S6*Z6)/100)</f>
        <v>0</v>
      </c>
      <c r="AB6" s="8">
        <f t="shared" si="9"/>
        <v>77.94</v>
      </c>
      <c r="AC6" s="8">
        <f>IF(PoToMRVWOIpDUomPl!$V4=1,S6+AB6,S6)</f>
        <v>433.01</v>
      </c>
      <c r="AD6" s="31">
        <v>120</v>
      </c>
      <c r="AE6" s="31">
        <f>IF(PoToMRVWOIpDUomPl!$P$2=1,(S6/PoToMRVWOIpDUomPl!$S$7)*PoToMRVWOIpDUomPl!$E$18,AD6/PoToMRVWOIpDUomPl!$AD$7*PoToMRVWOIpDUomPl!$E$18)</f>
        <v>0</v>
      </c>
      <c r="AF6" s="31"/>
      <c r="AG6" s="31">
        <f>IF(PoToMRVWOIpDUomPl!$P$2=1,(S6/PoToMRVWOIpDUomPl!$S$7)*PoToMRVWOIpDUomPl!$E$20,AD6/PoToMRVWOIpDUomPl!$AD$7*PoToMRVWOIpDUomPl!$E$20)</f>
        <v>0</v>
      </c>
      <c r="AH6" s="31">
        <f>IF(PoToMRVWOIpDUomPl!$P$2=1,(S6/PoToMRVWOIpDUomPl!$S$7)*PoToMRVWOIpDUomPl!$E$21,AD6/PoToMRVWOIpDUomPl!$AD$7*PoToMRVWOIpDUomPl!$E$21)</f>
        <v>0</v>
      </c>
      <c r="AI6" s="31">
        <f>S6*PoToMRVWOIpDUomPl!$M$2</f>
        <v>433.01</v>
      </c>
      <c r="AJ6" s="31">
        <f>IF(PoToMRVWOIpDUomPl!$C$2=3,0,AG6+AH6)</f>
        <v>0</v>
      </c>
      <c r="AK6" s="31">
        <f>IF(PoToMRVWOIpDUomPl!$C$2=3,AE6+AG6+AH6,0)</f>
        <v>0</v>
      </c>
      <c r="AL6" s="34">
        <v>3</v>
      </c>
      <c r="AM6" s="31">
        <f t="shared" si="10"/>
        <v>3.33333333333333</v>
      </c>
      <c r="AN6" s="31">
        <f>ROUND(AI6/AM6,5)</f>
        <v>129.903</v>
      </c>
      <c r="AO6" s="31">
        <f t="shared" si="11"/>
        <v>0</v>
      </c>
      <c r="AP6" s="31">
        <f t="shared" si="12"/>
        <v>0</v>
      </c>
      <c r="AQ6" s="31" t="s">
        <v>76</v>
      </c>
      <c r="AR6" s="31">
        <f>ROUND(AN6+AO6+AP6,5)</f>
        <v>129.903</v>
      </c>
      <c r="AS6" s="38" t="s">
        <v>120</v>
      </c>
      <c r="AT6" s="39" t="s">
        <v>76</v>
      </c>
      <c r="AU6" t="s" s="0">
        <v>329</v>
      </c>
      <c r="AV6" t="s" s="0">
        <v>320</v>
      </c>
      <c r="AW6" s="39">
        <f t="shared" si="13"/>
        <v>3.33333333333333</v>
      </c>
      <c r="AX6" s="39">
        <f t="shared" si="14"/>
        <v>129.903</v>
      </c>
      <c r="AY6" s="39">
        <f t="shared" si="15"/>
        <v>13.3323333333333</v>
      </c>
      <c r="AZ6" s="39">
        <f>ROUND(((AU6*AV6)+(AW6*AX6))/(AU6+AW6),2)</f>
        <v>129.9</v>
      </c>
      <c r="BA6" s="43"/>
      <c r="BB6" s="43" t="s">
        <v>80</v>
      </c>
      <c r="BC6" s="44" t="s">
        <v>81</v>
      </c>
      <c r="BD6" s="45" t="s">
        <v>82</v>
      </c>
      <c r="BE6" s="45" t="s">
        <v>83</v>
      </c>
      <c r="BF6" s="43"/>
      <c r="BG6" s="43"/>
      <c r="BH6" s="43"/>
      <c r="BI6" s="39"/>
      <c r="BJ6" s="39"/>
      <c r="BK6" s="39"/>
      <c r="BL6" s="47" t="s">
        <v>122</v>
      </c>
      <c r="BM6" t="s" s="0">
        <v>320</v>
      </c>
      <c r="BN6" t="s" s="0">
        <v>378</v>
      </c>
      <c r="BO6" s="39">
        <f>ROUND((((AW6*AZ6)+(BN6*BM6))/(AW6+BN6)),5)</f>
        <v>129.9</v>
      </c>
      <c r="BP6" s="48">
        <f t="shared" si="16"/>
        <v>6.666</v>
      </c>
      <c r="BQ6" s="49">
        <v>123562</v>
      </c>
    </row>
    <row r="7" ht="15.75" spans="1:69">
      <c r="A7" s="9"/>
      <c r="B7" s="10"/>
      <c r="C7" s="10"/>
      <c r="D7" s="11" t="s">
        <v>89</v>
      </c>
      <c r="E7" s="11"/>
      <c r="F7" s="11"/>
      <c r="G7" s="12"/>
      <c r="H7" s="13">
        <f>SUM(H4:H4)</f>
        <v>1500</v>
      </c>
      <c r="I7" s="7"/>
      <c r="J7" s="7"/>
      <c r="K7" s="7"/>
      <c r="L7" s="7"/>
      <c r="M7" s="7"/>
      <c r="N7" s="7"/>
      <c r="O7" s="7"/>
      <c r="P7" s="7"/>
      <c r="Q7" s="7"/>
      <c r="R7" s="26">
        <f t="shared" ref="R7:X7" si="17">SUM(R4:R4)</f>
        <v>254.55</v>
      </c>
      <c r="S7" s="13">
        <f t="shared" si="17"/>
        <v>1245.45</v>
      </c>
      <c r="T7" s="26"/>
      <c r="U7" s="26"/>
      <c r="V7" s="27">
        <f t="shared" si="17"/>
        <v>0</v>
      </c>
      <c r="W7" s="27">
        <f t="shared" si="17"/>
        <v>0</v>
      </c>
      <c r="X7" s="27">
        <f t="shared" si="17"/>
        <v>224.18</v>
      </c>
      <c r="Y7" s="27"/>
      <c r="Z7" s="27"/>
      <c r="AA7" s="27"/>
      <c r="AB7" s="26">
        <f t="shared" ref="AB7:AE7" si="18">SUM(AB4:AB4)</f>
        <v>224.18</v>
      </c>
      <c r="AC7" s="32">
        <f t="shared" si="18"/>
        <v>1469.63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1245.45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7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75" spans="1:69">
      <c r="A9" s="9"/>
      <c r="B9" s="9"/>
      <c r="C9" s="9"/>
      <c r="D9" s="9"/>
      <c r="E9" s="9"/>
      <c r="F9" s="9"/>
      <c r="G9" s="14" t="s">
        <v>90</v>
      </c>
      <c r="H9" s="15"/>
      <c r="I9" s="19">
        <f>H7</f>
        <v>1500</v>
      </c>
      <c r="J9" s="19"/>
      <c r="K9" s="9"/>
      <c r="L9" s="9"/>
      <c r="M9" s="20" t="s">
        <v>91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92</v>
      </c>
      <c r="BI9" s="119" t="s">
        <v>93</v>
      </c>
      <c r="BJ9" s="9"/>
      <c r="BK9" s="9"/>
      <c r="BL9" s="9"/>
      <c r="BM9" s="9"/>
      <c r="BN9" s="9"/>
      <c r="BO9" s="9"/>
      <c r="BP9" s="40"/>
      <c r="BQ9" s="40"/>
    </row>
    <row r="10" ht="15.75" spans="1:69">
      <c r="A10" s="9"/>
      <c r="B10" s="9"/>
      <c r="C10" s="9"/>
      <c r="D10" s="9"/>
      <c r="E10" s="9"/>
      <c r="F10" s="9"/>
      <c r="G10" s="14" t="s">
        <v>94</v>
      </c>
      <c r="H10" s="15"/>
      <c r="I10" s="19">
        <f>R7</f>
        <v>254.55</v>
      </c>
      <c r="J10" s="19"/>
      <c r="K10" s="9"/>
      <c r="L10" s="9"/>
      <c r="M10" s="23">
        <v>1</v>
      </c>
      <c r="N10" s="23" t="s">
        <v>76</v>
      </c>
      <c r="O10" s="23">
        <v>2</v>
      </c>
      <c r="P10" s="23" t="s">
        <v>95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96</v>
      </c>
      <c r="BI10" s="119" t="s">
        <v>97</v>
      </c>
      <c r="BJ10" s="9"/>
      <c r="BK10" s="9"/>
      <c r="BL10" s="9"/>
      <c r="BM10" s="9"/>
      <c r="BN10" s="9"/>
      <c r="BO10" s="9"/>
      <c r="BP10" s="40"/>
      <c r="BQ10" s="40"/>
    </row>
    <row r="11" ht="15.75" spans="1:69">
      <c r="A11" s="9"/>
      <c r="B11" s="9"/>
      <c r="C11" s="9"/>
      <c r="D11" s="9"/>
      <c r="E11" s="9"/>
      <c r="F11" s="9"/>
      <c r="G11" s="14" t="s">
        <v>98</v>
      </c>
      <c r="H11" s="15"/>
      <c r="I11" s="19">
        <f>S7</f>
        <v>1245.45</v>
      </c>
      <c r="J11" s="19"/>
      <c r="K11" s="9"/>
      <c r="L11" s="9"/>
      <c r="M11" s="7">
        <v>1</v>
      </c>
      <c r="N11" s="7" t="s">
        <v>76</v>
      </c>
      <c r="O11" s="7">
        <v>2.5</v>
      </c>
      <c r="P11" s="7" t="s">
        <v>99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75" spans="1:69">
      <c r="A12" s="9"/>
      <c r="B12" s="9"/>
      <c r="C12" s="9"/>
      <c r="D12" s="9"/>
      <c r="E12" s="9"/>
      <c r="F12" s="9"/>
      <c r="G12" s="14" t="s">
        <v>100</v>
      </c>
      <c r="H12" s="15"/>
      <c r="I12" s="19">
        <f>AB7</f>
        <v>224.18</v>
      </c>
      <c r="J12" s="19"/>
      <c r="K12" s="9"/>
      <c r="L12" s="9"/>
      <c r="M12" s="7">
        <v>1</v>
      </c>
      <c r="N12" s="7" t="s">
        <v>95</v>
      </c>
      <c r="O12" s="7">
        <v>0.001</v>
      </c>
      <c r="P12" s="7" t="s">
        <v>101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75" spans="1:69">
      <c r="A13" s="9"/>
      <c r="B13" s="9"/>
      <c r="C13" s="9"/>
      <c r="D13" s="9"/>
      <c r="E13" s="9"/>
      <c r="F13" s="9"/>
      <c r="G13" s="14" t="s">
        <v>102</v>
      </c>
      <c r="H13" s="15"/>
      <c r="I13" s="24">
        <f>I11+I12</f>
        <v>1469.63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103</v>
      </c>
      <c r="BN14" s="9" t="s">
        <v>104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105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106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107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108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StPoToMRVWFPl</vt:lpstr>
      <vt:lpstr>StPoToMRVWFDURc</vt:lpstr>
      <vt:lpstr>StPoToMRVWFRc</vt:lpstr>
      <vt:lpstr>StPoToMRVWF</vt:lpstr>
      <vt:lpstr>PoToMRVWFDUom</vt:lpstr>
      <vt:lpstr>PoToMRVWoQDUom</vt:lpstr>
      <vt:lpstr>PoToMRVWoQDUomImp</vt:lpstr>
      <vt:lpstr>PoToGrnUdSWoIpUom</vt:lpstr>
      <vt:lpstr>PoToMRVWOIpSer</vt:lpstr>
      <vt:lpstr>PoToMRVWOIpSerImp</vt:lpstr>
      <vt:lpstr>PoToMRVWOIpImp</vt:lpstr>
      <vt:lpstr>PoToMRVWOIp</vt:lpstr>
      <vt:lpstr>PoToMRVWoQSUomSSO</vt:lpstr>
      <vt:lpstr>PoToMRVWFSUom</vt:lpstr>
      <vt:lpstr>PoToMRVWFSUomserv</vt:lpstr>
      <vt:lpstr>PoToMRVWFSUomservImp</vt:lpstr>
      <vt:lpstr>PoToMRVWoQSUomRC</vt:lpstr>
      <vt:lpstr>PoToMRVWoQSUomRCImp</vt:lpstr>
      <vt:lpstr>PoToMRVWFSUomRC</vt:lpstr>
      <vt:lpstr>PoToMRVWFSUomPl</vt:lpstr>
      <vt:lpstr>PoToMRVWoQUomPl</vt:lpstr>
      <vt:lpstr>PoToMRVWoQUomPlImp</vt:lpstr>
      <vt:lpstr>PoToMRVWFSUomservRc</vt:lpstr>
      <vt:lpstr>PoToMRVWoQSUomservRc</vt:lpstr>
      <vt:lpstr>PoToMRVWoQSUomservRcImp</vt:lpstr>
      <vt:lpstr>PoToMRVWFSUomservPl</vt:lpstr>
      <vt:lpstr>PoToMRVWoQSUomservPl</vt:lpstr>
      <vt:lpstr>PoToMRVWoQSUomservPlImp</vt:lpstr>
      <vt:lpstr>PoToMRVWOIpRc</vt:lpstr>
      <vt:lpstr>PoToMRVWOIpRcImp</vt:lpstr>
      <vt:lpstr>StPoToMRVWOIpDU</vt:lpstr>
      <vt:lpstr>StPoToMRVWOIpDURc</vt:lpstr>
      <vt:lpstr>StPoToMRVWOIpDUPl</vt:lpstr>
      <vt:lpstr>StPoToMRVWOIpPl</vt:lpstr>
      <vt:lpstr>StPoToMRVWOIpRc</vt:lpstr>
      <vt:lpstr>StPoToMRVWOIp</vt:lpstr>
      <vt:lpstr>PoToMRVWOIpRcServ</vt:lpstr>
      <vt:lpstr>PoToMRVWOIpRcServImp</vt:lpstr>
      <vt:lpstr>PoToMRVWOIpPl</vt:lpstr>
      <vt:lpstr>PoToMRVWOIpPlImp</vt:lpstr>
      <vt:lpstr>PoToMRVWOIpPlServ</vt:lpstr>
      <vt:lpstr>PoToMRVWOIpPlServImp</vt:lpstr>
      <vt:lpstr>DifferentUOMUD</vt:lpstr>
      <vt:lpstr>PoToMRVWOIpDUom</vt:lpstr>
      <vt:lpstr>PoToMRVWoQSUom</vt:lpstr>
      <vt:lpstr>PoToMRVWoQSUomImp</vt:lpstr>
      <vt:lpstr>PoToMRVWOIpDUomImp</vt:lpstr>
      <vt:lpstr>PoToMRVWOIpDUomRc</vt:lpstr>
      <vt:lpstr>PoToMRVWOIpDUomRcImp</vt:lpstr>
      <vt:lpstr>PoToMRVWFPDUomRc</vt:lpstr>
      <vt:lpstr>PoToMRVWoQDUomRc</vt:lpstr>
      <vt:lpstr>PoToMRVWoQDUomRcImp</vt:lpstr>
      <vt:lpstr>PoToMRVWFPDUomPl</vt:lpstr>
      <vt:lpstr>PoToMRVWoQDUomPl</vt:lpstr>
      <vt:lpstr>PoToMRVWoQDUomPlImp</vt:lpstr>
      <vt:lpstr>PoToMRVWOIpDUomPl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2025-10-30T08:14:00Z</dcterms:created>
  <dc:creator>Galaxy</dc:creator>
  <cp:lastModifiedBy>Administrator</cp:lastModifiedBy>
  <dcterms:modified xsi:type="dcterms:W3CDTF">2026-02-18T10:57:35Z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FEE8BF966D104914809F8EEF0568325F_11</vt:lpwstr>
  </property>
  <property fmtid="{D5CDD505-2E9C-101B-9397-08002B2CF9AE}" pid="3" name="KSOProductBuildVer">
    <vt:lpwstr>2057-12.2.0.23196</vt:lpwstr>
  </property>
</Properties>
</file>