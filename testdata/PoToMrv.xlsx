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 tabRatio="703" firstSheet="25" activeTab="30"/>
  </bookViews>
  <sheets>
    <sheet name="StPoToMRVWFPl" sheetId="32" r:id="rId1"/>
    <sheet name="StPoToMRVWFRc" sheetId="31" r:id="rId2"/>
    <sheet name="StPoToMRVWF" sheetId="30" r:id="rId3"/>
    <sheet name="PoToMRVWFDUom" sheetId="29" r:id="rId4"/>
    <sheet name="PoToGrnUdSWoIpUom" sheetId="1" r:id="rId5"/>
    <sheet name="PoToMRVWOIpSer" sheetId="3" r:id="rId6"/>
    <sheet name="PoToMRVWOIp" sheetId="2" r:id="rId7"/>
    <sheet name="PoToMRVWoQSUom" sheetId="33" r:id="rId8"/>
    <sheet name="PoToMRVWFSUom" sheetId="14" r:id="rId9"/>
    <sheet name="PoToMRVWFSUomserv" sheetId="16" r:id="rId10"/>
    <sheet name="PoToMRVWoQSUomRC" sheetId="34" r:id="rId11"/>
    <sheet name="PoToMRVWFSUomRC" sheetId="18" r:id="rId12"/>
    <sheet name="PoToMRVWFSUomPl" sheetId="19" r:id="rId13"/>
    <sheet name="PoToMRVWoQUomPl" sheetId="36" r:id="rId14"/>
    <sheet name="PoToMRVWFSUomservRc" sheetId="17" r:id="rId15"/>
    <sheet name="PoToMRVWoQSUomservRc" sheetId="35" r:id="rId16"/>
    <sheet name="PoToMRVWFSUomservPl" sheetId="20" r:id="rId17"/>
    <sheet name="PoToMRVWoQSUomservPl" sheetId="37" r:id="rId18"/>
    <sheet name="PoToMRVWOIpRc" sheetId="4" r:id="rId19"/>
    <sheet name="StPoToMRVWOIpDU" sheetId="28" r:id="rId20"/>
    <sheet name="StPoToMRVWOIpPl" sheetId="27" r:id="rId21"/>
    <sheet name="StPoToMRVWOIpRc" sheetId="26" r:id="rId22"/>
    <sheet name="StPoToMRVWOIp" sheetId="24" r:id="rId23"/>
    <sheet name="PoToMRVWOIpRcServ" sheetId="5" r:id="rId24"/>
    <sheet name="PoToMRVWOIpPl" sheetId="6" r:id="rId25"/>
    <sheet name="PoToMRVWOIpPlServ" sheetId="7" r:id="rId26"/>
    <sheet name="DifferentUOMUD" sheetId="8" r:id="rId27"/>
    <sheet name="PoToMRVWOIpDUom" sheetId="9" r:id="rId28"/>
    <sheet name="PoToMRVWOIpDUomRc" sheetId="10" r:id="rId29"/>
    <sheet name="PoToMRVWFPDUomRc" sheetId="21" r:id="rId30"/>
    <sheet name="PoToMRVWoQDUomRc" sheetId="38" r:id="rId31"/>
    <sheet name="PoToMRVWFPDUomPl" sheetId="22" r:id="rId32"/>
    <sheet name="PoToMRVWOIpDUomPl" sheetId="11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<sst xmlns="http://schemas.openxmlformats.org/spreadsheetml/2006/main" count="4794" uniqueCount="252">
  <si>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</si>
  <si>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</si>
  <si>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</si>
  <si>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</si>
  <si>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</si>
  <si>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</si>
  <si>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</si>
  <si>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</si>
  <si>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</si>
  <si>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</si>
  <si>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</si>
  <si>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</si>
  <si>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</si>
  <si>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</si>
  <si>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</si>
  <si>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</si>
  <si>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</si>
  <si>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</si>
  <si>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</si>
  <si>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</si>
  <si>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</si>
  <si>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</si>
  <si>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</si>
  <si>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</si>
  <si>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</si>
  <si>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</si>
  <si>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</si>
  <si>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</si>
  <si>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</si>
  <si>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</si>
  <si>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</si>
  <si>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</si>
  <si>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</si>
  <si>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</si>
  <si>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</si>
  <si>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</si>
  <si>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</si>
  <si>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</si>
  <si>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</si>
  <si>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</si>
  <si>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</si>
  <si>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</si>
  <si>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</si>
  <si>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</si>
  <si>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</si>
  <si>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</si>
  <si>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</si>
  <si>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</si>
  <si>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</si>
  <si>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</si>
  <si>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</si>
  <si>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</si>
  <si>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</si>
  <si>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</si>
  <si>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</si>
  <si>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</si>
  <si>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</si>
  <si>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</si>
  <si>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</si>
  <si>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</si>
  <si>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</si>
  <si>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</si>
  <si>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</si>
  <si>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</si>
  <si>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</si>
  <si>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</si>
  <si>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</si>
  <si>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</si>
  <si>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</si>
  <si>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</si>
  <si>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</si>
  <si>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</si>
  <si>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</si>
  <si>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</si>
  <si>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</si>
  <si>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</si>
  <si>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</si>
  <si>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</si>
  <si>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</si>
  <si>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</si>
  <si>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</si>
  <si>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</si>
  <si>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</si>
  <si>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</si>
  <si>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</si>
  <si>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</si>
  <si>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</si>
  <si>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</si>
  <si>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</si>
  <si>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</si>
  <si>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</si>
  <si>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</si>
  <si>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</si>
  <si>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</si>
  <si>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</si>
  <si>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</si>
  <si>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</si>
  <si>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</si>
  <si>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</si>
  <si>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</si>
  <si>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</si>
  <si>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</si>
  <si>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</si>
  <si>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</si>
  <si>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</si>
  <si>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</si>
  <si>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</si>
  <si>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</si>
  <si>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</si>
  <si>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GWL_Similar_Wf_Rc_St_01</t>
  </si>
  <si>
    <t>GWL_Similar_Wf_Rc_St_02</t>
  </si>
  <si>
    <t>GWL_Similar_Wf_St_01</t>
  </si>
  <si>
    <t>GWL_Similar_Wf_St_02</t>
  </si>
  <si>
    <t>GWL_Dissimilar_01</t>
  </si>
  <si>
    <t>INS WH-1</t>
  </si>
  <si>
    <t>373.635</t>
  </si>
  <si>
    <t>RM WH-49</t>
  </si>
  <si>
    <t>13.332</t>
  </si>
  <si>
    <t>GWL_Dissimilar_02</t>
  </si>
  <si>
    <t>246.36</t>
  </si>
  <si>
    <t>12.666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</si>
  <si>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</si>
  <si>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</si>
  <si>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</si>
  <si>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</si>
  <si>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</si>
  <si>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</si>
  <si>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</si>
  <si>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</si>
  <si>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</si>
  <si>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</si>
  <si>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</si>
  <si>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</si>
  <si>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</si>
  <si>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</si>
  <si>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</si>
  <si>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</si>
  <si>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</si>
  <si>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</si>
  <si>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</si>
  <si>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</si>
  <si>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</si>
  <si>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</si>
  <si>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</si>
  <si>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</si>
  <si>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</si>
  <si>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</si>
  <si>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</si>
  <si>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</si>
  <si>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</si>
  <si>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</si>
  <si>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</si>
  <si>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</si>
  <si>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</si>
  <si>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</si>
  <si>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</si>
  <si>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30</t>
  </si>
  <si>
    <t>190</t>
  </si>
  <si>
    <t>GWL_Item_Similar_2</t>
  </si>
  <si>
    <t>48</t>
  </si>
  <si>
    <t>52</t>
  </si>
  <si>
    <t>130</t>
  </si>
  <si>
    <t>GWL_Item_WoQ_UD_Similar_01</t>
  </si>
  <si>
    <t>40</t>
  </si>
  <si>
    <t>GWL_Item_WoQ_UD_Similar_02</t>
  </si>
  <si>
    <t>16</t>
  </si>
  <si>
    <t>GWL_Item_WoQ_UD_Similar_03</t>
  </si>
  <si>
    <t>12</t>
  </si>
  <si>
    <t>GWL_Item_FP_service_01</t>
  </si>
  <si>
    <t>20</t>
  </si>
  <si>
    <t>GWL_Item_FP_service_02</t>
  </si>
  <si>
    <t>GWL_Item_FP_service_03</t>
  </si>
  <si>
    <t>GWL_Item_FP_Rc_01</t>
  </si>
  <si>
    <t>4125</t>
  </si>
  <si>
    <t>1724.727</t>
  </si>
  <si>
    <t>50</t>
  </si>
  <si>
    <t>GWL_Item_FP_Rc_02</t>
  </si>
  <si>
    <t>GWL_Item_FP_Rc_03</t>
  </si>
  <si>
    <t>3</t>
  </si>
  <si>
    <t>GWL_Item_FP_Pl_Similar_01</t>
  </si>
  <si>
    <t>GWL_Item_FP_Pl_Similar_02</t>
  </si>
  <si>
    <t>GWL_Item_FP_Pl_Similar_03</t>
  </si>
  <si>
    <t>GWL_Item_FP_Rc_Service_01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</si>
  <si>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</si>
  <si>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</si>
  <si>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</si>
  <si>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</si>
  <si>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</si>
  <si>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</si>
  <si>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15</t>
  </si>
  <si>
    <t>41.515</t>
  </si>
  <si>
    <t>GWL_Item_Similar_Rc_02</t>
  </si>
  <si>
    <t>6</t>
  </si>
  <si>
    <t>80.41</t>
  </si>
  <si>
    <t>GWL_Item_Similar_Rc_03</t>
  </si>
  <si>
    <t>7</t>
  </si>
  <si>
    <t>GWL_Dissimilar_St_01</t>
  </si>
  <si>
    <t>GWL_Dissimilar_St_02</t>
  </si>
  <si>
    <t>GWL_similar_Pl_St_01</t>
  </si>
  <si>
    <t>99000</t>
  </si>
  <si>
    <t>GWL_similar_Pl_St_02</t>
  </si>
  <si>
    <t>GWL_Item_Similar_Rc_St_01</t>
  </si>
  <si>
    <t>GWL_Item_Similar_Rc_St_02</t>
  </si>
  <si>
    <t>GWL_Item_Similar_St_08</t>
  </si>
  <si>
    <t>46</t>
  </si>
  <si>
    <t>63.67391</t>
  </si>
  <si>
    <t>GWL_Item_Similar_St_09</t>
  </si>
  <si>
    <t>64</t>
  </si>
  <si>
    <t>122.4375</t>
  </si>
  <si>
    <t>GWL_Item_Service_Rc_04</t>
  </si>
  <si>
    <t>GWL_Item_Service_Rc_05</t>
  </si>
  <si>
    <t>GWL_Item_Service_Rc_06</t>
  </si>
  <si>
    <t>GWL_Item_Similar_Pl_01</t>
  </si>
  <si>
    <t>GWL_Item_Similar_Pl_02</t>
  </si>
  <si>
    <t>8</t>
  </si>
  <si>
    <t>GWL_Item_Similar_Pl_03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</si>
  <si>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</si>
  <si>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</si>
  <si>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</si>
  <si>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</si>
  <si>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</si>
  <si>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</si>
  <si>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</si>
  <si>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</si>
  <si>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</si>
  <si>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</si>
  <si>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</si>
  <si>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</si>
  <si>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</si>
  <si>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</si>
  <si>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3.333</t>
  </si>
  <si>
    <t>GWL_Item_Dissimilar_04</t>
  </si>
  <si>
    <t>3.999</t>
  </si>
  <si>
    <t>2.666</t>
  </si>
  <si>
    <t>GWL_Item_Dissimilar_05</t>
  </si>
  <si>
    <t>9.999</t>
  </si>
  <si>
    <t>129.9</t>
  </si>
  <si>
    <t>6.666</t>
  </si>
  <si>
    <t>GWL_Item_Dissimilar_Rc_01</t>
  </si>
  <si>
    <t>GWL_Item_Dissimilar_Rc_02</t>
  </si>
  <si>
    <t>1.333</t>
  </si>
  <si>
    <t>GWL_Item_Dissimilar_Rc_03</t>
  </si>
  <si>
    <t>GWL_Item_FP_Rc_Dissimilar_01</t>
  </si>
  <si>
    <t>GWL_Item_FP_Rc_Dissimilar_02</t>
  </si>
  <si>
    <t>GWL_Item_FP_Rc_Dissimilar_03</t>
  </si>
  <si>
    <t>GWL_Item_FP_Pl_Dissimilar_01</t>
  </si>
  <si>
    <t>GWL_Item_FP_Pl_Dissimilar_02</t>
  </si>
  <si>
    <t>6.667</t>
  </si>
  <si>
    <t>GWL_Item_FP_Pl_Dissimilar_03</t>
  </si>
  <si>
    <t>GWL_Item_Dissimilar_Pl_01</t>
  </si>
  <si>
    <t>GWL_Item_Dissimilar_Pl_02</t>
  </si>
  <si>
    <t>GWL_Item_Dissimilar_Pl_03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</si>
</sst>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2909634693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85961485641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19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2" fontId="2" fillId="0" borderId="8" xfId="0" applyNumberFormat="1" applyFont="1" applyFill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tyles" Target="styles.xml"/><Relationship Id="rId35" Type="http://schemas.openxmlformats.org/officeDocument/2006/relationships/sharedStrings" Target="sharedString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5185185185185" defaultRowHeight="14.4"/>
  <cols>
    <col min="2" max="2" width="28" customWidth="1"/>
    <col min="3" max="3" width="24.1388888888889" customWidth="1"/>
    <col min="13" max="13" width="9.13888888888889" customWidth="1"/>
    <col min="14" max="14" width="13.851851851851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>
        <v>77</v>
      </c>
      <c r="H4" s="8">
        <f>F4*G4</f>
        <v>750</v>
      </c>
      <c r="I4" t="s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>
        <v>85</v>
      </c>
      <c r="BN4" t="s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1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>
        <v>87</v>
      </c>
      <c r="H5" s="8">
        <f>F5*G5</f>
        <v>400</v>
      </c>
      <c r="I5" t="s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>
        <v>85</v>
      </c>
      <c r="BN5" t="s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5185185185185" defaultRowHeight="14.4"/>
  <cols>
    <col min="2" max="2" width="28" customWidth="1"/>
    <col min="3" max="3" width="24.1388888888889" customWidth="1"/>
    <col min="13" max="13" width="9.13888888888889" customWidth="1"/>
    <col min="14" max="14" width="13.851851851851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>
        <v>150</v>
      </c>
      <c r="H4" s="8">
        <f>F4*G4</f>
        <v>750</v>
      </c>
      <c r="I4">
        <v>5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>
        <v>85</v>
      </c>
      <c r="BN4" t="s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15" spans="1:69">
      <c r="A5" s="7">
        <v>1</v>
      </c>
      <c r="B5" s="7" t="s">
        <v>110</v>
      </c>
      <c r="C5" s="7" t="s">
        <v>110</v>
      </c>
      <c r="D5" s="7" t="s">
        <v>76</v>
      </c>
      <c r="E5" s="7" t="s">
        <v>76</v>
      </c>
      <c r="F5" s="8">
        <v>4</v>
      </c>
      <c r="G5">
        <v>100</v>
      </c>
      <c r="H5" s="8">
        <f>F5*G5</f>
        <v>400</v>
      </c>
      <c r="I5">
        <v>4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>
        <v>85</v>
      </c>
      <c r="BN5" t="s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5185185185185" defaultRowHeight="14.4"/>
  <cols>
    <col min="2" max="2" width="28" customWidth="1"/>
    <col min="3" max="3" width="24.1388888888889" customWidth="1"/>
    <col min="13" max="13" width="9.13888888888889" customWidth="1"/>
    <col min="14" max="14" width="13.851851851851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111</v>
      </c>
      <c r="C4" s="7" t="s">
        <v>111</v>
      </c>
      <c r="D4" s="7" t="s">
        <v>76</v>
      </c>
      <c r="E4" s="7" t="s">
        <v>76</v>
      </c>
      <c r="F4" s="8">
        <v>5</v>
      </c>
      <c r="G4">
        <v>50</v>
      </c>
      <c r="H4" s="8">
        <f>F4*G4</f>
        <v>250</v>
      </c>
      <c r="I4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W4" s="39">
        <f>AM4</f>
        <v>5</v>
      </c>
      <c r="AX4" s="103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>
        <v>85</v>
      </c>
      <c r="BN4" t="s">
        <v>85</v>
      </c>
      <c r="BO4" s="39">
        <f>ROUND((((AW4*AZ4)+(BN4*BM4))/(AW4+BN4)),5)</f>
        <v>47.5</v>
      </c>
      <c r="BP4" s="48">
        <f>ROUND(BN4+AW4,3)</f>
        <v>5</v>
      </c>
      <c r="BQ4" s="49">
        <v>123562</v>
      </c>
    </row>
    <row r="5" ht="15.15" spans="1:69">
      <c r="A5" s="7">
        <v>1</v>
      </c>
      <c r="B5" s="7" t="s">
        <v>112</v>
      </c>
      <c r="C5" s="7" t="s">
        <v>112</v>
      </c>
      <c r="D5" s="7" t="s">
        <v>76</v>
      </c>
      <c r="E5" s="7" t="s">
        <v>76</v>
      </c>
      <c r="F5" s="8">
        <v>4</v>
      </c>
      <c r="G5">
        <v>100</v>
      </c>
      <c r="H5" s="8">
        <f>F5*G5</f>
        <v>400</v>
      </c>
      <c r="I5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W5" s="39">
        <f>AM5</f>
        <v>4</v>
      </c>
      <c r="AX5" s="103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>
        <v>85</v>
      </c>
      <c r="BN5" t="s">
        <v>85</v>
      </c>
      <c r="BO5" s="39">
        <f>ROUND((((AW5*AZ5)+(BN5*BM5))/(AW5+BN5)),5)</f>
        <v>94</v>
      </c>
      <c r="BP5" s="48">
        <f>ROUND(BN5+AW5,3)</f>
        <v>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D1" workbookViewId="0">
      <selection activeCell="F6" sqref="F6"/>
    </sheetView>
  </sheetViews>
  <sheetFormatPr defaultColWidth="8.85185185185185" defaultRowHeight="14.4"/>
  <cols>
    <col min="2" max="2" width="28" customWidth="1"/>
    <col min="3" max="3" width="30.425925925925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113</v>
      </c>
      <c r="C4" s="7" t="s">
        <v>113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5" si="0">F4*G4</f>
        <v>1500</v>
      </c>
      <c r="I4" s="8">
        <v>5</v>
      </c>
      <c r="J4" s="8">
        <v>8</v>
      </c>
      <c r="K4" s="8">
        <v>5</v>
      </c>
      <c r="L4" s="8">
        <f t="shared" ref="L4:L5" si="1">H4</f>
        <v>1500</v>
      </c>
      <c r="M4" s="8">
        <f t="shared" ref="M4:M5" si="2">ROUND(L4*I4%,2)</f>
        <v>75</v>
      </c>
      <c r="N4" s="8">
        <f t="shared" ref="N4:N5" si="3">H4-M4</f>
        <v>1425</v>
      </c>
      <c r="O4" s="8">
        <f t="shared" ref="O4:O5" si="4">ROUND(N4*J4%,2)</f>
        <v>114</v>
      </c>
      <c r="P4" s="8">
        <f t="shared" ref="P4:P5" si="5">ROUND(N4-O4,2)</f>
        <v>1311</v>
      </c>
      <c r="Q4" s="8">
        <f t="shared" ref="Q4:Q5" si="6">ROUND(P4*K4%,2)</f>
        <v>65.55</v>
      </c>
      <c r="R4" s="8">
        <f t="shared" ref="R4:R5" si="7">M4+O4+Q4</f>
        <v>254.55</v>
      </c>
      <c r="S4" s="8">
        <f t="shared" ref="S4:S5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3.33333333333333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>
        <v>85</v>
      </c>
      <c r="AV4" t="s">
        <v>115</v>
      </c>
      <c r="AW4" s="39">
        <f t="shared" ref="AW4:AW5" si="13">AM4</f>
        <v>3.33333333333333</v>
      </c>
      <c r="AX4" s="42">
        <f t="shared" ref="AX4:AX5" si="14">AR4</f>
        <v>373.635</v>
      </c>
      <c r="AY4" s="39">
        <f t="shared" ref="AY4:AY5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115</v>
      </c>
      <c r="BN4" t="s">
        <v>117</v>
      </c>
      <c r="BO4" s="39">
        <f t="shared" ref="BO4:BO5" si="16">ROUND((((AW4*AZ4)+(BN4*BM4))/(AW4+BN4)),5)</f>
        <v>373.635</v>
      </c>
      <c r="BP4" s="48">
        <f t="shared" ref="BP4:BP5" si="17">ROUND(BN4+AW4,3)</f>
        <v>16.665</v>
      </c>
      <c r="BQ4" s="49">
        <v>123562</v>
      </c>
    </row>
    <row r="5" ht="15.15" spans="1:69">
      <c r="A5" s="7">
        <v>1</v>
      </c>
      <c r="B5" s="7" t="s">
        <v>118</v>
      </c>
      <c r="C5" s="7" t="s">
        <v>118</v>
      </c>
      <c r="D5" s="7" t="s">
        <v>76</v>
      </c>
      <c r="E5" s="7" t="s">
        <v>76</v>
      </c>
      <c r="F5" s="8">
        <v>20</v>
      </c>
      <c r="G5" s="8">
        <v>100</v>
      </c>
      <c r="H5" s="8">
        <f t="shared" si="0"/>
        <v>2000</v>
      </c>
      <c r="I5" s="8">
        <v>4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IF(OR(PoToMRVWFDUom!$C$2=1,PoToMRVWFDUom!$C$2=4),ROUND((((S5*U5)/100)/2),2),0)</f>
        <v>0</v>
      </c>
      <c r="W5" s="8">
        <f>IF(PoToMRVWFDUom!$C$2=1,ROUND((((S5*U5)/100)/2),2),0)</f>
        <v>0</v>
      </c>
      <c r="X5" s="8">
        <f>IF(PoToMRVWFDUom!$C$2=2,ROUND(((S5*U5)/100),2),0)</f>
        <v>295.63</v>
      </c>
      <c r="Y5" s="8">
        <f>IF(PoToMRVWFDUom!$C$2=4,ROUND((((S5*U5)/100)/2),2),0)</f>
        <v>0</v>
      </c>
      <c r="Z5" s="8">
        <v>0</v>
      </c>
      <c r="AA5" s="8">
        <f>IF(PoToMRVWFDUom!$C3=3,0,(S5*Z5)/100)</f>
        <v>0</v>
      </c>
      <c r="AB5" s="8">
        <f t="shared" si="9"/>
        <v>295.63</v>
      </c>
      <c r="AC5" s="8">
        <f>IF(PoToMRVWFDUom!$V3=1,S5+AB5,S5)</f>
        <v>1642.37</v>
      </c>
      <c r="AD5" s="31">
        <v>120</v>
      </c>
      <c r="AE5" s="31">
        <f>IF(PoToMRVWFDUom!$P$2=1,(S5/PoToMRVWFDUom!$S$6)*PoToMRVWFDUom!$E$17,AD5/PoToMRVWFDUom!$AD$6*PoToMRVWFDUom!$E$17)</f>
        <v>0</v>
      </c>
      <c r="AF5" s="31"/>
      <c r="AG5" s="31">
        <f>IF(PoToMRVWFDUom!$P$2=1,(S5/PoToMRVWFDUom!$S$6)*PoToMRVWFDUom!$E$19,AD5/PoToMRVWFDUom!$AD$6*PoToMRVWFDUom!$E$19)</f>
        <v>0</v>
      </c>
      <c r="AH5" s="31">
        <f>IF(PoToMRVWFDUom!$P$2=1,(S5/PoToMRVWFDUom!$S$6)*PoToMRVWFDUom!$E$20,AD5/PoToMRVWFDUom!$AD$6*PoToMRVWFDUom!$E$20)</f>
        <v>0</v>
      </c>
      <c r="AI5" s="31">
        <f>S5*PoToMRVWFDUom!$M$2</f>
        <v>1642.37</v>
      </c>
      <c r="AJ5" s="31">
        <f>IF(PoToMRVWFDUom!$C$2=3,0,AG5+AH5)</f>
        <v>0</v>
      </c>
      <c r="AK5" s="31">
        <f>IF(PoToMRVWFDUom!$C$2=3,AE5+AG5+AH5,0)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114</v>
      </c>
      <c r="AT5" s="39" t="s">
        <v>76</v>
      </c>
      <c r="AU5" t="s">
        <v>85</v>
      </c>
      <c r="AV5" t="s">
        <v>119</v>
      </c>
      <c r="AW5" s="39">
        <f t="shared" si="13"/>
        <v>6.66666666666667</v>
      </c>
      <c r="AX5" s="39">
        <f t="shared" si="14"/>
        <v>246.3555</v>
      </c>
      <c r="AY5" s="39">
        <f t="shared" si="15"/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119</v>
      </c>
      <c r="BN5" t="s">
        <v>120</v>
      </c>
      <c r="BO5" s="39">
        <f t="shared" si="16"/>
        <v>246.36</v>
      </c>
      <c r="BP5" s="48">
        <f t="shared" si="17"/>
        <v>19.333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254.55</v>
      </c>
      <c r="S6" s="13">
        <f t="shared" si="18"/>
        <v>1245.45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224.18</v>
      </c>
      <c r="Y6" s="27"/>
      <c r="Z6" s="27"/>
      <c r="AA6" s="27"/>
      <c r="AB6" s="26">
        <f t="shared" ref="AB6:AE6" si="19">SUM(AB4:AB4)</f>
        <v>224.18</v>
      </c>
      <c r="AC6" s="32">
        <f t="shared" si="19"/>
        <v>1469.63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1245.45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5185185185185" defaultRowHeight="14.4" outlineLevelRow="6"/>
  <cols>
    <col min="2" max="2" width="20.712962962963" customWidth="1"/>
    <col min="3" max="3" width="26.287037037037" customWidth="1"/>
    <col min="20" max="20" width="10.1388888888889" customWidth="1"/>
    <col min="52" max="52" width="10.712962962963"/>
    <col min="67" max="67" width="10.71296296296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1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59.1" spans="1:69">
      <c r="A3" s="110" t="s">
        <v>121</v>
      </c>
      <c r="B3" s="110" t="s">
        <v>10</v>
      </c>
      <c r="C3" s="111" t="s">
        <v>122</v>
      </c>
      <c r="D3" s="110" t="s">
        <v>12</v>
      </c>
      <c r="E3" s="110" t="s">
        <v>13</v>
      </c>
      <c r="F3" s="112" t="s">
        <v>123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124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125</v>
      </c>
      <c r="T3" s="110" t="s">
        <v>28</v>
      </c>
      <c r="U3" s="28" t="s">
        <v>126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127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128</v>
      </c>
      <c r="C4" s="7" t="s">
        <v>129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130</v>
      </c>
      <c r="AT4" s="39" t="s">
        <v>76</v>
      </c>
      <c r="AU4" s="40" t="s">
        <v>131</v>
      </c>
      <c r="AV4" s="40" t="s">
        <v>132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18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133</v>
      </c>
      <c r="BM4" s="40" t="s">
        <v>134</v>
      </c>
      <c r="BN4" s="40" t="s">
        <v>135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15" spans="1:69">
      <c r="A5" s="7">
        <v>1</v>
      </c>
      <c r="B5" s="7" t="s">
        <v>136</v>
      </c>
      <c r="C5" s="7" t="s">
        <v>136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 t="shared" si="9"/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114</v>
      </c>
      <c r="AT5" s="39" t="s">
        <v>76</v>
      </c>
      <c r="AU5" t="s">
        <v>137</v>
      </c>
      <c r="AV5" t="s">
        <v>138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139</v>
      </c>
      <c r="BN5" t="s">
        <v>140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15" spans="1:69">
      <c r="A6" s="7">
        <v>1</v>
      </c>
      <c r="B6" s="7" t="s">
        <v>141</v>
      </c>
      <c r="C6" s="7" t="s">
        <v>142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 t="shared" si="9"/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114</v>
      </c>
      <c r="AT6" s="39" t="s">
        <v>76</v>
      </c>
      <c r="AU6" t="s">
        <v>143</v>
      </c>
      <c r="AV6" t="s">
        <v>144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145</v>
      </c>
      <c r="BM6" t="s">
        <v>85</v>
      </c>
      <c r="BN6" t="s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F1" workbookViewId="0">
      <selection activeCell="AC16" sqref="AC16"/>
    </sheetView>
  </sheetViews>
  <sheetFormatPr defaultColWidth="8.85185185185185" defaultRowHeight="14.4"/>
  <cols>
    <col min="2" max="2" width="28" customWidth="1"/>
    <col min="3" max="3" width="25.5740740740741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146</v>
      </c>
      <c r="C4" s="7" t="s">
        <v>146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114</v>
      </c>
      <c r="AT4" s="39" t="s">
        <v>76</v>
      </c>
      <c r="AU4" t="s">
        <v>147</v>
      </c>
      <c r="AV4" t="s">
        <v>148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15" spans="1:69">
      <c r="A5" s="7">
        <v>1</v>
      </c>
      <c r="B5" s="7" t="s">
        <v>149</v>
      </c>
      <c r="C5" s="7" t="s">
        <v>149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150</v>
      </c>
      <c r="AV5" t="s">
        <v>138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151</v>
      </c>
      <c r="BN5" t="s">
        <v>152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15" spans="1:69">
      <c r="A6" s="7">
        <v>1</v>
      </c>
      <c r="B6" s="7" t="s">
        <v>153</v>
      </c>
      <c r="C6" s="7" t="s">
        <v>153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154</v>
      </c>
      <c r="AV6" t="s">
        <v>144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155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width="28" customWidth="1"/>
    <col min="3" max="3" width="23.287037037037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128</v>
      </c>
      <c r="C4" s="7" t="s">
        <v>129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156</v>
      </c>
      <c r="AV4" t="s">
        <v>148</v>
      </c>
      <c r="AW4" s="39">
        <f>AM4</f>
        <v>10</v>
      </c>
      <c r="AX4" s="42">
        <f>AR4</f>
        <v>124.545</v>
      </c>
      <c r="AY4" s="39">
        <f>AU4+AW4</f>
        <v>40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157</v>
      </c>
      <c r="BO4" s="39">
        <f>ROUND((((AW4*AZ4)+(BN4*BM4))/(AW4+BN4)),5)</f>
        <v>124.545</v>
      </c>
      <c r="BP4" s="48">
        <f>ROUND(BN4+AW4,3)</f>
        <v>200</v>
      </c>
      <c r="BQ4" s="49">
        <v>123562</v>
      </c>
    </row>
    <row r="5" ht="15.15" spans="1:69">
      <c r="A5" s="7">
        <v>1</v>
      </c>
      <c r="B5" s="7" t="s">
        <v>158</v>
      </c>
      <c r="C5" s="7" t="s">
        <v>136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159</v>
      </c>
      <c r="AV5" t="s">
        <v>138</v>
      </c>
      <c r="AW5" s="39">
        <f>AM5</f>
        <v>4</v>
      </c>
      <c r="AX5" s="39">
        <f>AR5</f>
        <v>82.1175</v>
      </c>
      <c r="AY5" s="39">
        <f>AU5+AW5</f>
        <v>52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160</v>
      </c>
      <c r="BO5" s="39">
        <f>ROUND((((AW5*AZ5)+(BN5*BM5))/(AW5+BN5)),5)</f>
        <v>82.12</v>
      </c>
      <c r="BP5" s="48">
        <f>ROUND(BN5+AW5,3)</f>
        <v>56</v>
      </c>
      <c r="BQ5" s="49">
        <v>123562</v>
      </c>
    </row>
    <row r="6" ht="15.15" spans="1:69">
      <c r="A6" s="7">
        <v>1</v>
      </c>
      <c r="B6" s="7" t="s">
        <v>141</v>
      </c>
      <c r="C6" s="7" t="s">
        <v>142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143</v>
      </c>
      <c r="AV6" t="s">
        <v>144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161</v>
      </c>
      <c r="BO6" s="39">
        <f>ROUND((((AW6*AZ6)+(BN6*BM6))/(AW6+BN6)),5)</f>
        <v>43.3</v>
      </c>
      <c r="BP6" s="48">
        <f>ROUND(BN6+AW6,3)</f>
        <v>140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U12" sqref="U12"/>
    </sheetView>
  </sheetViews>
  <sheetFormatPr defaultColWidth="8.85185185185185" defaultRowHeight="14.4"/>
  <cols>
    <col min="2" max="2" width="28" customWidth="1"/>
    <col min="3" max="3" width="30.425925925925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162</v>
      </c>
      <c r="C4" s="7" t="s">
        <v>162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85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163</v>
      </c>
      <c r="BO4" s="39">
        <f t="shared" ref="BO4:BO6" si="16">ROUND((((AW4*AZ4)+(BN4*BM4))/(AW4+BN4)),5)</f>
        <v>124.545</v>
      </c>
      <c r="BP4" s="48">
        <f t="shared" ref="BP4:BP6" si="17">ROUND(BN4+AW4,3)</f>
        <v>50</v>
      </c>
      <c r="BQ4" s="49">
        <v>123562</v>
      </c>
    </row>
    <row r="5" ht="15.1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IF(OR(PoToMRVWoQSUom!$C$2=1,PoToMRVWoQSUom!$C$2=4),ROUND((((S5*U5)/100)/2),2),0)</f>
        <v>0</v>
      </c>
      <c r="W5" s="8">
        <f>IF(PoToMRVWoQSUom!$C$2=1,ROUND((((S5*U5)/100)/2),2),0)</f>
        <v>0</v>
      </c>
      <c r="X5" s="8">
        <f>IF(PoToMRVWoQSUom!$C$2=2,ROUND(((S5*U5)/100),2),0)</f>
        <v>59.12</v>
      </c>
      <c r="Y5" s="8">
        <f>IF(PoToMRVWoQSUom!$C$2=4,ROUND((((S5*U5)/100)/2),2),0)</f>
        <v>0</v>
      </c>
      <c r="Z5" s="8">
        <v>0</v>
      </c>
      <c r="AA5" s="8">
        <f>IF(PoToMRVWoQSUom!$C3=3,0,(S5*Z5)/100)</f>
        <v>0</v>
      </c>
      <c r="AB5" s="8">
        <f t="shared" si="9"/>
        <v>59.12</v>
      </c>
      <c r="AC5" s="8">
        <f>IF(PoToMRVWoQSUom!$V3=1,S5+AB5,S5)</f>
        <v>328.47</v>
      </c>
      <c r="AD5" s="31">
        <v>120</v>
      </c>
      <c r="AE5" s="31">
        <f>IF(PoToMRVWoQSUom!$P$2=1,(S5/PoToMRVWoQSUom!$S$7)*PoToMRVWoQSUom!$E$18,AD5/PoToMRVWoQSUom!$AD$7*PoToMRVWoQSUom!$E$18)</f>
        <v>0</v>
      </c>
      <c r="AF5" s="31"/>
      <c r="AG5" s="31">
        <f>IF(PoToMRVWoQSUom!$P$2=1,(S5/PoToMRVWoQSUom!$S$7)*PoToMRVWoQSUom!$E$20,AD5/PoToMRVWoQSUom!$AD$7*PoToMRVWoQSUom!$E$20)</f>
        <v>0</v>
      </c>
      <c r="AH5" s="31">
        <f>IF(PoToMRVWoQSUom!$P$2=1,(S5/PoToMRVWoQSUom!$S$7)*PoToMRVWoQSUom!$E$21,AD5/PoToMRVWoQSUom!$AD$7*PoToMRVWoQSUom!$E$21)</f>
        <v>0</v>
      </c>
      <c r="AI5" s="31">
        <f>S5*PoToMRVWoQSUom!$M$2</f>
        <v>328.47</v>
      </c>
      <c r="AJ5" s="31">
        <f>IF(PoToMRVWoQSUom!$C$2=3,0,AG5+AH5)</f>
        <v>0</v>
      </c>
      <c r="AK5" s="31">
        <f>IF(PoToMRVWoQSUom!$C$2=3,AE5+AG5+AH5,0)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85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165</v>
      </c>
      <c r="BO5" s="39">
        <f t="shared" si="16"/>
        <v>82.12</v>
      </c>
      <c r="BP5" s="48">
        <f t="shared" si="17"/>
        <v>20</v>
      </c>
      <c r="BQ5" s="49">
        <v>123562</v>
      </c>
    </row>
    <row r="6" ht="15.15" spans="1:69">
      <c r="A6" s="7">
        <v>1</v>
      </c>
      <c r="B6" s="7" t="s">
        <v>166</v>
      </c>
      <c r="C6" s="7" t="s">
        <v>166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IF(OR(PoToMRVWoQSUom!$C$2=1,PoToMRVWoQSUom!$C$2=4),ROUND((((S6*U6)/100)/2),2),0)</f>
        <v>0</v>
      </c>
      <c r="W6" s="8">
        <f>IF(PoToMRVWoQSUom!$C$2=1,ROUND((((S6*U6)/100)/2),2),0)</f>
        <v>0</v>
      </c>
      <c r="X6" s="8">
        <f>IF(PoToMRVWoQSUom!$C$2=2,ROUND(((S6*U6)/100),2),0)</f>
        <v>77.94</v>
      </c>
      <c r="Y6" s="8">
        <f>IF(PoToMRVWoQSUom!$C$2=4,ROUND((((S6*U6)/100)/2),2),0)</f>
        <v>0</v>
      </c>
      <c r="Z6" s="8">
        <v>0</v>
      </c>
      <c r="AA6" s="8">
        <f>IF(PoToMRVWoQSUom!$C4=3,0,(S6*Z6)/100)</f>
        <v>0</v>
      </c>
      <c r="AB6" s="8">
        <f t="shared" si="9"/>
        <v>77.94</v>
      </c>
      <c r="AC6" s="8">
        <f>IF(PoToMRVWoQSUom!$V4=1,S6+AB6,S6)</f>
        <v>433.01</v>
      </c>
      <c r="AD6" s="31">
        <v>120</v>
      </c>
      <c r="AE6" s="31">
        <f>IF(PoToMRVWoQSUom!$P$2=1,(S6/PoToMRVWoQSUom!$S$7)*PoToMRVWoQSUom!$E$18,AD6/PoToMRVWoQSUom!$AD$7*PoToMRVWoQSUom!$E$18)</f>
        <v>0</v>
      </c>
      <c r="AF6" s="31"/>
      <c r="AG6" s="31">
        <f>IF(PoToMRVWoQSUom!$P$2=1,(S6/PoToMRVWoQSUom!$S$7)*PoToMRVWoQSUom!$E$20,AD6/PoToMRVWoQSUom!$AD$7*PoToMRVWoQSUom!$E$20)</f>
        <v>0</v>
      </c>
      <c r="AH6" s="31">
        <f>IF(PoToMRVWoQSUom!$P$2=1,(S6/PoToMRVWoQSUom!$S$7)*PoToMRVWoQSUom!$E$21,AD6/PoToMRVWoQSUom!$AD$7*PoToMRVWoQSUom!$E$21)</f>
        <v>0</v>
      </c>
      <c r="AI6" s="31">
        <f>S6*PoToMRVWoQSUom!$M$2</f>
        <v>433.01</v>
      </c>
      <c r="AJ6" s="31">
        <f>IF(PoToMRVWoQSUom!$C$2=3,0,AG6+AH6)</f>
        <v>0</v>
      </c>
      <c r="AK6" s="31">
        <f>IF(PoToMRVWoQSUom!$C$2=3,AE6+AG6+AH6,0)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85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163</v>
      </c>
      <c r="BO6" s="39">
        <f t="shared" si="16"/>
        <v>43.3</v>
      </c>
      <c r="BP6" s="48">
        <f t="shared" si="17"/>
        <v>50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width="28" customWidth="1"/>
    <col min="3" max="3" width="30.4259259259259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162</v>
      </c>
      <c r="C4" s="7" t="s">
        <v>162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85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156</v>
      </c>
      <c r="BO4" s="39">
        <f t="shared" ref="BO4:BO6" si="16">ROUND((((AW4*AZ4)+(BN4*BM4))/(AW4+BN4)),5)</f>
        <v>124.545</v>
      </c>
      <c r="BP4" s="48">
        <f t="shared" ref="BP4:BP6" si="17">ROUND(BN4+AW4,3)</f>
        <v>40</v>
      </c>
      <c r="BQ4" s="49">
        <v>123562</v>
      </c>
    </row>
    <row r="5" ht="15.1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IF(OR(PoToMRVWFSUom!$C$2=1,PoToMRVWFSUom!$C$2=4),ROUND((((S5*U5)/100)/2),2),0)</f>
        <v>0</v>
      </c>
      <c r="W5" s="8">
        <f>IF(PoToMRVWFSUom!$C$2=1,ROUND((((S5*U5)/100)/2),2),0)</f>
        <v>0</v>
      </c>
      <c r="X5" s="8">
        <f>IF(PoToMRVWFSUom!$C$2=2,ROUND(((S5*U5)/100),2),0)</f>
        <v>59.12</v>
      </c>
      <c r="Y5" s="8">
        <f>IF(PoToMRVWFSUom!$C$2=4,ROUND((((S5*U5)/100)/2),2),0)</f>
        <v>0</v>
      </c>
      <c r="Z5" s="8">
        <v>0</v>
      </c>
      <c r="AA5" s="8">
        <f>IF(PoToMRVWFSUom!$C3=3,0,(S5*Z5)/100)</f>
        <v>0</v>
      </c>
      <c r="AB5" s="8">
        <f t="shared" si="9"/>
        <v>59.12</v>
      </c>
      <c r="AC5" s="8">
        <f>IF(PoToMRVWFSUom!$V3=1,S5+AB5,S5)</f>
        <v>328.47</v>
      </c>
      <c r="AD5" s="31">
        <v>120</v>
      </c>
      <c r="AE5" s="31">
        <f>IF(PoToMRVWFSUom!$P$2=1,(S5/PoToMRVWFSUom!$S$7)*PoToMRVWFSUom!$E$18,AD5/PoToMRVWFSUom!$AD$7*PoToMRVWFSUom!$E$18)</f>
        <v>0</v>
      </c>
      <c r="AF5" s="31"/>
      <c r="AG5" s="31">
        <f>IF(PoToMRVWFSUom!$P$2=1,(S5/PoToMRVWFSUom!$S$7)*PoToMRVWFSUom!$E$20,AD5/PoToMRVWFSUom!$AD$7*PoToMRVWFSUom!$E$20)</f>
        <v>0</v>
      </c>
      <c r="AH5" s="31">
        <f>IF(PoToMRVWFSUom!$P$2=1,(S5/PoToMRVWFSUom!$S$7)*PoToMRVWFSUom!$E$21,AD5/PoToMRVWFSUom!$AD$7*PoToMRVWFSUom!$E$21)</f>
        <v>0</v>
      </c>
      <c r="AI5" s="31">
        <f>S5*PoToMRVWFSUom!$M$2</f>
        <v>328.47</v>
      </c>
      <c r="AJ5" s="31">
        <f>IF(PoToMRVWFSUom!$C$2=3,0,AG5+AH5)</f>
        <v>0</v>
      </c>
      <c r="AK5" s="31">
        <f>IF(PoToMRVWFSUom!$C$2=3,AE5+AG5+AH5,0)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85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167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15" spans="1:69">
      <c r="A6" s="7">
        <v>1</v>
      </c>
      <c r="B6" s="7" t="s">
        <v>166</v>
      </c>
      <c r="C6" s="7" t="s">
        <v>166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IF(OR(PoToMRVWFSUom!$C$2=1,PoToMRVWFSUom!$C$2=4),ROUND((((S6*U6)/100)/2),2),0)</f>
        <v>0</v>
      </c>
      <c r="W6" s="8">
        <f>IF(PoToMRVWFSUom!$C$2=1,ROUND((((S6*U6)/100)/2),2),0)</f>
        <v>0</v>
      </c>
      <c r="X6" s="8">
        <f>IF(PoToMRVWFSUom!$C$2=2,ROUND(((S6*U6)/100),2),0)</f>
        <v>77.94</v>
      </c>
      <c r="Y6" s="8">
        <f>IF(PoToMRVWFSUom!$C$2=4,ROUND((((S6*U6)/100)/2),2),0)</f>
        <v>0</v>
      </c>
      <c r="Z6" s="8">
        <v>0</v>
      </c>
      <c r="AA6" s="8">
        <f>IF(PoToMRVWFSUom!$C4=3,0,(S6*Z6)/100)</f>
        <v>0</v>
      </c>
      <c r="AB6" s="8">
        <f t="shared" si="9"/>
        <v>77.94</v>
      </c>
      <c r="AC6" s="8">
        <f>IF(PoToMRVWFSUom!$V4=1,S6+AB6,S6)</f>
        <v>433.01</v>
      </c>
      <c r="AD6" s="31">
        <v>120</v>
      </c>
      <c r="AE6" s="31">
        <f>IF(PoToMRVWFSUom!$P$2=1,(S6/PoToMRVWFSUom!$S$7)*PoToMRVWFSUom!$E$18,AD6/PoToMRVWFSUom!$AD$7*PoToMRVWFSUom!$E$18)</f>
        <v>0</v>
      </c>
      <c r="AF6" s="31"/>
      <c r="AG6" s="31">
        <f>IF(PoToMRVWFSUom!$P$2=1,(S6/PoToMRVWFSUom!$S$7)*PoToMRVWFSUom!$E$20,AD6/PoToMRVWFSUom!$AD$7*PoToMRVWFSUom!$E$20)</f>
        <v>0</v>
      </c>
      <c r="AH6" s="31">
        <f>IF(PoToMRVWFSUom!$P$2=1,(S6/PoToMRVWFSUom!$S$7)*PoToMRVWFSUom!$E$21,AD6/PoToMRVWFSUom!$AD$7*PoToMRVWFSUom!$E$21)</f>
        <v>0</v>
      </c>
      <c r="AI6" s="31">
        <f>S6*PoToMRVWFSUom!$M$2</f>
        <v>433.01</v>
      </c>
      <c r="AJ6" s="31">
        <f>IF(PoToMRVWFSUom!$C$2=3,0,AG6+AH6)</f>
        <v>0</v>
      </c>
      <c r="AK6" s="31">
        <f>IF(PoToMRVWFSUom!$C$2=3,AE6+AG6+AH6,0)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85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156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5185185185185" defaultRowHeight="14.4"/>
  <cols>
    <col min="2" max="2" width="28" customWidth="1"/>
    <col min="3" max="3" width="30.4259259259259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168</v>
      </c>
      <c r="C4" s="106" t="s">
        <v>168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169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170</v>
      </c>
      <c r="C5" s="108" t="s">
        <v>170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163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105">
        <v>1</v>
      </c>
      <c r="B6" s="108" t="s">
        <v>171</v>
      </c>
      <c r="C6" s="108" t="s">
        <v>171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87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V12" sqref="V12"/>
    </sheetView>
  </sheetViews>
  <sheetFormatPr defaultColWidth="8.85185185185185" defaultRowHeight="14.4"/>
  <cols>
    <col min="2" max="2" width="28" customWidth="1"/>
    <col min="3" max="3" width="30.425925925925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172</v>
      </c>
      <c r="C4" s="7" t="s">
        <v>172</v>
      </c>
      <c r="D4" s="7" t="s">
        <v>76</v>
      </c>
      <c r="E4" s="7" t="s">
        <v>76</v>
      </c>
      <c r="F4" s="8">
        <v>10</v>
      </c>
      <c r="G4" t="s">
        <v>77</v>
      </c>
      <c r="H4" s="8">
        <f t="shared" ref="H4:H6" si="0">F4*G4</f>
        <v>1500</v>
      </c>
      <c r="I4" t="s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85</v>
      </c>
      <c r="AV4" t="s">
        <v>173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174</v>
      </c>
      <c r="BN4" t="s">
        <v>175</v>
      </c>
      <c r="BO4" s="39">
        <f t="shared" ref="BO4:BO6" si="16">ROUND((((AW4*AZ4)+(BN4*BM4))/(AW4+BN4)),5)</f>
        <v>1458.03</v>
      </c>
      <c r="BP4" s="48">
        <f t="shared" ref="BP4:BP6" si="17">ROUND(BN4+AW4,3)</f>
        <v>60</v>
      </c>
      <c r="BQ4" s="49">
        <v>123562</v>
      </c>
    </row>
    <row r="5" ht="15.15" spans="1:69">
      <c r="A5" s="7">
        <v>1</v>
      </c>
      <c r="B5" s="7" t="s">
        <v>176</v>
      </c>
      <c r="C5" s="7" t="s">
        <v>176</v>
      </c>
      <c r="D5" s="7" t="s">
        <v>76</v>
      </c>
      <c r="E5" s="7" t="s">
        <v>76</v>
      </c>
      <c r="F5" s="8">
        <v>4</v>
      </c>
      <c r="G5" t="s">
        <v>87</v>
      </c>
      <c r="H5" s="8">
        <f t="shared" si="0"/>
        <v>400</v>
      </c>
      <c r="I5" t="s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IF(OR(PoToMRVWoQSUomRC!$C$2=1,PoToMRVWoQSUomRC!$C$2=4),ROUND((((S5*U5)/100)/2),2),0)</f>
        <v>0</v>
      </c>
      <c r="W5" s="8">
        <f>IF(PoToMRVWoQSUomRC!$C$2=1,ROUND((((S5*U5)/100)/2),2),0)</f>
        <v>0</v>
      </c>
      <c r="X5" s="8">
        <f>IF(PoToMRVWoQSUomRC!$C$2=2,ROUND(((S5*U5)/100),2),0)</f>
        <v>59.12</v>
      </c>
      <c r="Y5" s="8">
        <f>IF(PoToMRVWoQSUomRC!$C$2=4,ROUND((((S5*U5)/100)/2),2),0)</f>
        <v>0</v>
      </c>
      <c r="Z5" s="8">
        <v>0</v>
      </c>
      <c r="AA5" s="8">
        <f>IF(PoToMRVWoQSUomRC!$C3=3,0,(S5*Z5)/100)</f>
        <v>0</v>
      </c>
      <c r="AB5" s="8">
        <f t="shared" si="9"/>
        <v>59.12</v>
      </c>
      <c r="AC5" s="8">
        <f>IF(PoToMRVWoQSUomRC!$V3=1,S5+AB5,S5)</f>
        <v>328.47</v>
      </c>
      <c r="AD5" s="31">
        <v>120</v>
      </c>
      <c r="AE5" s="31">
        <f>IF(PoToMRVWoQSUomRC!$P$2=1,(S5/PoToMRVWoQSUomRC!$S$7)*PoToMRVWoQSUomRC!$E$18,AD5/PoToMRVWoQSUomRC!$AD$7*PoToMRVWoQSUomRC!$E$18)</f>
        <v>0</v>
      </c>
      <c r="AF5" s="31"/>
      <c r="AG5" s="31">
        <f>IF(PoToMRVWoQSUomRC!$P$2=1,(S5/PoToMRVWoQSUomRC!$S$7)*PoToMRVWoQSUomRC!$E$20,AD5/PoToMRVWoQSUomRC!$AD$7*PoToMRVWoQSUomRC!$E$20)</f>
        <v>0</v>
      </c>
      <c r="AH5" s="31">
        <f>IF(PoToMRVWoQSUomRC!$P$2=1,(S5/PoToMRVWoQSUomRC!$S$7)*PoToMRVWoQSUomRC!$E$21,AD5/PoToMRVWoQSUomRC!$AD$7*PoToMRVWoQSUomRC!$E$21)</f>
        <v>0</v>
      </c>
      <c r="AI5" s="31">
        <f>S5*PoToMRVWoQSUomRC!$M$2</f>
        <v>328.47</v>
      </c>
      <c r="AJ5" s="31">
        <f>IF(PoToMRVWoQSUomRC!$C$2=3,0,AG5+AH5)</f>
        <v>0</v>
      </c>
      <c r="AK5" s="31">
        <f>IF(PoToMRVWoQSUomRC!$C$2=3,AE5+AG5+AH5,0)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85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167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15" spans="1:69">
      <c r="A6" s="7">
        <v>1</v>
      </c>
      <c r="B6" s="7" t="s">
        <v>177</v>
      </c>
      <c r="C6" s="7" t="s">
        <v>177</v>
      </c>
      <c r="D6" s="7" t="s">
        <v>76</v>
      </c>
      <c r="E6" s="7" t="s">
        <v>76</v>
      </c>
      <c r="F6" s="8">
        <v>10</v>
      </c>
      <c r="G6" t="s">
        <v>175</v>
      </c>
      <c r="H6" s="8">
        <f t="shared" si="0"/>
        <v>500</v>
      </c>
      <c r="I6" t="s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IF(OR(PoToMRVWoQSUomRC!$C$2=1,PoToMRVWoQSUomRC!$C$2=4),ROUND((((S6*U6)/100)/2),2),0)</f>
        <v>0</v>
      </c>
      <c r="W6" s="8">
        <f>IF(PoToMRVWoQSUomRC!$C$2=1,ROUND((((S6*U6)/100)/2),2),0)</f>
        <v>0</v>
      </c>
      <c r="X6" s="8">
        <f>IF(PoToMRVWoQSUomRC!$C$2=2,ROUND(((S6*U6)/100),2),0)</f>
        <v>77.94</v>
      </c>
      <c r="Y6" s="8">
        <f>IF(PoToMRVWoQSUomRC!$C$2=4,ROUND((((S6*U6)/100)/2),2),0)</f>
        <v>0</v>
      </c>
      <c r="Z6" s="8">
        <v>0</v>
      </c>
      <c r="AA6" s="8">
        <f>IF(PoToMRVWoQSUomRC!$C4=3,0,(S6*Z6)/100)</f>
        <v>0</v>
      </c>
      <c r="AB6" s="8">
        <f t="shared" si="9"/>
        <v>77.94</v>
      </c>
      <c r="AC6" s="8">
        <f>IF(PoToMRVWoQSUomRC!$V4=1,S6+AB6,S6)</f>
        <v>433.01</v>
      </c>
      <c r="AD6" s="31">
        <v>120</v>
      </c>
      <c r="AE6" s="31">
        <f>IF(PoToMRVWoQSUomRC!$P$2=1,(S6/PoToMRVWoQSUomRC!$S$7)*PoToMRVWoQSUomRC!$E$18,AD6/PoToMRVWoQSUomRC!$AD$7*PoToMRVWoQSUomRC!$E$18)</f>
        <v>0</v>
      </c>
      <c r="AF6" s="31"/>
      <c r="AG6" s="31">
        <f>IF(PoToMRVWoQSUomRC!$P$2=1,(S6/PoToMRVWoQSUomRC!$S$7)*PoToMRVWoQSUomRC!$E$20,AD6/PoToMRVWoQSUomRC!$AD$7*PoToMRVWoQSUomRC!$E$20)</f>
        <v>0</v>
      </c>
      <c r="AH6" s="31">
        <f>IF(PoToMRVWoQSUomRC!$P$2=1,(S6/PoToMRVWoQSUomRC!$S$7)*PoToMRVWoQSUomRC!$E$21,AD6/PoToMRVWoQSUomRC!$AD$7*PoToMRVWoQSUomRC!$E$21)</f>
        <v>0</v>
      </c>
      <c r="AI6" s="31">
        <f>S6*PoToMRVWoQSUomRC!$M$2</f>
        <v>433.01</v>
      </c>
      <c r="AJ6" s="31">
        <f>IF(PoToMRVWoQSUomRC!$C$2=3,0,AG6+AH6)</f>
        <v>0</v>
      </c>
      <c r="AK6" s="31">
        <f>IF(PoToMRVWoQSUomRC!$C$2=3,AE6+AG6+AH6,0)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85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156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width="28" customWidth="1"/>
    <col min="3" max="3" width="30.4259259259259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172</v>
      </c>
      <c r="C4" s="7" t="s">
        <v>172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169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7">
        <v>1</v>
      </c>
      <c r="B5" s="7" t="s">
        <v>176</v>
      </c>
      <c r="C5" s="7" t="s">
        <v>176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IF(OR(PoToMRVWFSUomRC!$C$2=1,PoToMRVWFSUomRC!$C$2=4),ROUND((((S5*U5)/100)/2),2),0)</f>
        <v>0</v>
      </c>
      <c r="W5" s="8">
        <f>IF(PoToMRVWFSUomRC!$C$2=1,ROUND((((S5*U5)/100)/2),2),0)</f>
        <v>0</v>
      </c>
      <c r="X5" s="8">
        <f>IF(PoToMRVWFSUomRC!$C$2=2,ROUND(((S5*U5)/100),2),0)</f>
        <v>59.12</v>
      </c>
      <c r="Y5" s="8">
        <f>IF(PoToMRVWFSUomRC!$C$2=4,ROUND((((S5*U5)/100)/2),2),0)</f>
        <v>0</v>
      </c>
      <c r="Z5" s="8">
        <v>0</v>
      </c>
      <c r="AA5" s="8">
        <f>IF(PoToMRVWFSUomRC!$C3=3,0,(S5*Z5)/100)</f>
        <v>0</v>
      </c>
      <c r="AB5" s="8">
        <f t="shared" si="9"/>
        <v>59.12</v>
      </c>
      <c r="AC5" s="8">
        <f>IF(PoToMRVWFSUomRC!$V3=1,S5+AB5,S5)</f>
        <v>328.47</v>
      </c>
      <c r="AD5" s="31">
        <v>120</v>
      </c>
      <c r="AE5" s="31">
        <f>IF(PoToMRVWFSUomRC!$P$2=1,(S5/PoToMRVWFSUomRC!$S$7)*PoToMRVWFSUomRC!$E$18,AD5/PoToMRVWFSUomRC!$AD$7*PoToMRVWFSUomRC!$E$18)</f>
        <v>0</v>
      </c>
      <c r="AF5" s="31"/>
      <c r="AG5" s="31">
        <f>IF(PoToMRVWFSUomRC!$P$2=1,(S5/PoToMRVWFSUomRC!$S$7)*PoToMRVWFSUomRC!$E$20,AD5/PoToMRVWFSUomRC!$AD$7*PoToMRVWFSUomRC!$E$20)</f>
        <v>0</v>
      </c>
      <c r="AH5" s="31">
        <f>IF(PoToMRVWFSUomRC!$P$2=1,(S5/PoToMRVWFSUomRC!$S$7)*PoToMRVWFSUomRC!$E$21,AD5/PoToMRVWFSUomRC!$AD$7*PoToMRVWFSUomRC!$E$21)</f>
        <v>0</v>
      </c>
      <c r="AI5" s="31">
        <f>S5*PoToMRVWFSUomRC!$M$2</f>
        <v>328.47</v>
      </c>
      <c r="AJ5" s="31">
        <f>IF(PoToMRVWFSUomRC!$C$2=3,0,AG5+AH5)</f>
        <v>0</v>
      </c>
      <c r="AK5" s="31">
        <f>IF(PoToMRVWFSUomRC!$C$2=3,AE5+AG5+AH5,0)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163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7">
        <v>1</v>
      </c>
      <c r="B6" s="7" t="s">
        <v>177</v>
      </c>
      <c r="C6" s="7" t="s">
        <v>177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IF(OR(PoToMRVWFSUomRC!$C$2=1,PoToMRVWFSUomRC!$C$2=4),ROUND((((S6*U6)/100)/2),2),0)</f>
        <v>0</v>
      </c>
      <c r="W6" s="8">
        <f>IF(PoToMRVWFSUomRC!$C$2=1,ROUND((((S6*U6)/100)/2),2),0)</f>
        <v>0</v>
      </c>
      <c r="X6" s="8">
        <f>IF(PoToMRVWFSUomRC!$C$2=2,ROUND(((S6*U6)/100),2),0)</f>
        <v>77.94</v>
      </c>
      <c r="Y6" s="8">
        <f>IF(PoToMRVWFSUomRC!$C$2=4,ROUND((((S6*U6)/100)/2),2),0)</f>
        <v>0</v>
      </c>
      <c r="Z6" s="8">
        <v>0</v>
      </c>
      <c r="AA6" s="8">
        <f>IF(PoToMRVWFSUomRC!$C4=3,0,(S6*Z6)/100)</f>
        <v>0</v>
      </c>
      <c r="AB6" s="8">
        <f t="shared" si="9"/>
        <v>77.94</v>
      </c>
      <c r="AC6" s="8">
        <f>IF(PoToMRVWFSUomRC!$V4=1,S6+AB6,S6)</f>
        <v>433.01</v>
      </c>
      <c r="AD6" s="31">
        <v>120</v>
      </c>
      <c r="AE6" s="31">
        <f>IF(PoToMRVWFSUomRC!$P$2=1,(S6/PoToMRVWFSUomRC!$S$7)*PoToMRVWFSUomRC!$E$18,AD6/PoToMRVWFSUomRC!$AD$7*PoToMRVWFSUomRC!$E$18)</f>
        <v>0</v>
      </c>
      <c r="AF6" s="31"/>
      <c r="AG6" s="31">
        <f>IF(PoToMRVWFSUomRC!$P$2=1,(S6/PoToMRVWFSUomRC!$S$7)*PoToMRVWFSUomRC!$E$20,AD6/PoToMRVWFSUomRC!$AD$7*PoToMRVWFSUomRC!$E$20)</f>
        <v>0</v>
      </c>
      <c r="AH6" s="31">
        <f>IF(PoToMRVWFSUomRC!$P$2=1,(S6/PoToMRVWFSUomRC!$S$7)*PoToMRVWFSUomRC!$E$21,AD6/PoToMRVWFSUomRC!$AD$7*PoToMRVWFSUomRC!$E$21)</f>
        <v>0</v>
      </c>
      <c r="AI6" s="31">
        <f>S6*PoToMRVWFSUomRC!$M$2</f>
        <v>433.01</v>
      </c>
      <c r="AJ6" s="31">
        <f>IF(PoToMRVWFSUomRC!$C$2=3,0,AG6+AH6)</f>
        <v>0</v>
      </c>
      <c r="AK6" s="31">
        <f>IF(PoToMRVWFSUomRC!$C$2=3,AE6+AG6+AH6,0)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87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5185185185185" defaultRowHeight="14.4"/>
  <cols>
    <col min="2" max="2" width="28" customWidth="1"/>
    <col min="3" max="3" width="30.4259259259259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179</v>
      </c>
      <c r="C4" s="7" t="s">
        <v>179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169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7">
        <v>1</v>
      </c>
      <c r="B5" s="7" t="s">
        <v>180</v>
      </c>
      <c r="C5" s="7" t="s">
        <v>180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IF(OR(PoToMRVWFSUomPl!$C$2=1,PoToMRVWFSUomPl!$C$2=4),ROUND((((S5*U5)/100)/2),2),0)</f>
        <v>0</v>
      </c>
      <c r="W5" s="8">
        <f>IF(PoToMRVWFSUomPl!$C$2=1,ROUND((((S5*U5)/100)/2),2),0)</f>
        <v>0</v>
      </c>
      <c r="X5" s="8">
        <f>IF(PoToMRVWFSUomPl!$C$2=2,ROUND(((S5*U5)/100),2),0)</f>
        <v>59.12</v>
      </c>
      <c r="Y5" s="8">
        <f>IF(PoToMRVWFSUomPl!$C$2=4,ROUND((((S5*U5)/100)/2),2),0)</f>
        <v>0</v>
      </c>
      <c r="Z5" s="8">
        <v>0</v>
      </c>
      <c r="AA5" s="8">
        <f>IF(PoToMRVWFSUomPl!$C3=3,0,(S5*Z5)/100)</f>
        <v>0</v>
      </c>
      <c r="AB5" s="8">
        <f t="shared" si="9"/>
        <v>59.12</v>
      </c>
      <c r="AC5" s="8">
        <f>IF(PoToMRVWFSUomPl!$V3=1,S5+AB5,S5)</f>
        <v>328.47</v>
      </c>
      <c r="AD5" s="31">
        <v>120</v>
      </c>
      <c r="AE5" s="31">
        <f>IF(PoToMRVWFSUomPl!$P$2=1,(S5/PoToMRVWFSUomPl!$S$7)*PoToMRVWFSUomPl!$E$18,AD5/PoToMRVWFSUomPl!$AD$7*PoToMRVWFSUomPl!$E$18)</f>
        <v>0</v>
      </c>
      <c r="AF5" s="31"/>
      <c r="AG5" s="31">
        <f>IF(PoToMRVWFSUomPl!$P$2=1,(S5/PoToMRVWFSUomPl!$S$7)*PoToMRVWFSUomPl!$E$20,AD5/PoToMRVWFSUomPl!$AD$7*PoToMRVWFSUomPl!$E$20)</f>
        <v>0</v>
      </c>
      <c r="AH5" s="31">
        <f>IF(PoToMRVWFSUomPl!$P$2=1,(S5/PoToMRVWFSUomPl!$S$7)*PoToMRVWFSUomPl!$E$21,AD5/PoToMRVWFSUomPl!$AD$7*PoToMRVWFSUomPl!$E$21)</f>
        <v>0</v>
      </c>
      <c r="AI5" s="31">
        <f>S5*PoToMRVWFSUomPl!$M$2</f>
        <v>328.47</v>
      </c>
      <c r="AJ5" s="31">
        <f>IF(PoToMRVWFSUomPl!$C$2=3,0,AG5+AH5)</f>
        <v>0</v>
      </c>
      <c r="AK5" s="31">
        <f>IF(PoToMRVWFSUomPl!$C$2=3,AE5+AG5+AH5,0)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163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7">
        <v>1</v>
      </c>
      <c r="B6" s="7" t="s">
        <v>181</v>
      </c>
      <c r="C6" s="7" t="s">
        <v>181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IF(OR(PoToMRVWFSUomPl!$C$2=1,PoToMRVWFSUomPl!$C$2=4),ROUND((((S6*U6)/100)/2),2),0)</f>
        <v>0</v>
      </c>
      <c r="W6" s="8">
        <f>IF(PoToMRVWFSUomPl!$C$2=1,ROUND((((S6*U6)/100)/2),2),0)</f>
        <v>0</v>
      </c>
      <c r="X6" s="8">
        <f>IF(PoToMRVWFSUomPl!$C$2=2,ROUND(((S6*U6)/100),2),0)</f>
        <v>77.94</v>
      </c>
      <c r="Y6" s="8">
        <f>IF(PoToMRVWFSUomPl!$C$2=4,ROUND((((S6*U6)/100)/2),2),0)</f>
        <v>0</v>
      </c>
      <c r="Z6" s="8">
        <v>0</v>
      </c>
      <c r="AA6" s="8">
        <f>IF(PoToMRVWFSUomPl!$C4=3,0,(S6*Z6)/100)</f>
        <v>0</v>
      </c>
      <c r="AB6" s="8">
        <f t="shared" si="9"/>
        <v>77.94</v>
      </c>
      <c r="AC6" s="8">
        <f>IF(PoToMRVWFSUomPl!$V4=1,S6+AB6,S6)</f>
        <v>433.01</v>
      </c>
      <c r="AD6" s="31">
        <v>120</v>
      </c>
      <c r="AE6" s="31">
        <f>IF(PoToMRVWFSUomPl!$P$2=1,(S6/PoToMRVWFSUomPl!$S$7)*PoToMRVWFSUomPl!$E$18,AD6/PoToMRVWFSUomPl!$AD$7*PoToMRVWFSUomPl!$E$18)</f>
        <v>0</v>
      </c>
      <c r="AF6" s="31"/>
      <c r="AG6" s="31">
        <f>IF(PoToMRVWFSUomPl!$P$2=1,(S6/PoToMRVWFSUomPl!$S$7)*PoToMRVWFSUomPl!$E$20,AD6/PoToMRVWFSUomPl!$AD$7*PoToMRVWFSUomPl!$E$20)</f>
        <v>0</v>
      </c>
      <c r="AH6" s="31">
        <f>IF(PoToMRVWFSUomPl!$P$2=1,(S6/PoToMRVWFSUomPl!$S$7)*PoToMRVWFSUomPl!$E$21,AD6/PoToMRVWFSUomPl!$AD$7*PoToMRVWFSUomPl!$E$21)</f>
        <v>0</v>
      </c>
      <c r="AI6" s="31">
        <f>S6*PoToMRVWFSUomPl!$M$2</f>
        <v>433.01</v>
      </c>
      <c r="AJ6" s="31">
        <f>IF(PoToMRVWFSUomPl!$C$2=3,0,AG6+AH6)</f>
        <v>0</v>
      </c>
      <c r="AK6" s="31">
        <f>IF(PoToMRVWFSUomPl!$C$2=3,AE6+AG6+AH6,0)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87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9" sqref="V9"/>
    </sheetView>
  </sheetViews>
  <sheetFormatPr defaultColWidth="8.85185185185185" defaultRowHeight="14.4"/>
  <cols>
    <col min="2" max="2" width="28" customWidth="1"/>
    <col min="3" max="3" width="30.4259259259259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179</v>
      </c>
      <c r="C4" s="7" t="s">
        <v>179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169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7">
        <v>1</v>
      </c>
      <c r="B5" s="7" t="s">
        <v>180</v>
      </c>
      <c r="C5" s="7" t="s">
        <v>180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IF(OR(PoToMRVWoQUomPl!$C$2=1,PoToMRVWoQUomPl!$C$2=4),ROUND((((S5*U5)/100)/2),2),0)</f>
        <v>0</v>
      </c>
      <c r="W5" s="8">
        <f>IF(PoToMRVWoQUomPl!$C$2=1,ROUND((((S5*U5)/100)/2),2),0)</f>
        <v>0</v>
      </c>
      <c r="X5" s="8">
        <f>IF(PoToMRVWoQUomPl!$C$2=2,ROUND(((S5*U5)/100),2),0)</f>
        <v>59.12</v>
      </c>
      <c r="Y5" s="8">
        <f>IF(PoToMRVWoQUomPl!$C$2=4,ROUND((((S5*U5)/100)/2),2),0)</f>
        <v>0</v>
      </c>
      <c r="Z5" s="8">
        <v>0</v>
      </c>
      <c r="AA5" s="8">
        <f>IF(PoToMRVWoQUomPl!$C3=3,0,(S5*Z5)/100)</f>
        <v>0</v>
      </c>
      <c r="AB5" s="8">
        <f t="shared" si="9"/>
        <v>59.12</v>
      </c>
      <c r="AC5" s="8">
        <f>IF(PoToMRVWoQUomPl!$V3=1,S5+AB5,S5)</f>
        <v>328.47</v>
      </c>
      <c r="AD5" s="31">
        <v>120</v>
      </c>
      <c r="AE5" s="31">
        <f>IF(PoToMRVWoQUomPl!$P$2=1,(S5/PoToMRVWoQUomPl!$S$7)*PoToMRVWoQUomPl!$E$18,AD5/PoToMRVWoQUomPl!$AD$7*PoToMRVWoQUomPl!$E$18)</f>
        <v>0</v>
      </c>
      <c r="AF5" s="31"/>
      <c r="AG5" s="31">
        <f>IF(PoToMRVWoQUomPl!$P$2=1,(S5/PoToMRVWoQUomPl!$S$7)*PoToMRVWoQUomPl!$E$20,AD5/PoToMRVWoQUomPl!$AD$7*PoToMRVWoQUomPl!$E$20)</f>
        <v>0</v>
      </c>
      <c r="AH5" s="31">
        <f>IF(PoToMRVWoQUomPl!$P$2=1,(S5/PoToMRVWoQUomPl!$S$7)*PoToMRVWoQUomPl!$E$21,AD5/PoToMRVWoQUomPl!$AD$7*PoToMRVWoQUomPl!$E$21)</f>
        <v>0</v>
      </c>
      <c r="AI5" s="31">
        <f>S5*PoToMRVWoQUomPl!$M$2</f>
        <v>328.47</v>
      </c>
      <c r="AJ5" s="31">
        <f>IF(PoToMRVWoQUomPl!$C$2=3,0,AG5+AH5)</f>
        <v>0</v>
      </c>
      <c r="AK5" s="31">
        <f>IF(PoToMRVWoQUomPl!$C$2=3,AE5+AG5+AH5,0)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163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7">
        <v>1</v>
      </c>
      <c r="B6" s="7" t="s">
        <v>181</v>
      </c>
      <c r="C6" s="7" t="s">
        <v>181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IF(OR(PoToMRVWoQUomPl!$C$2=1,PoToMRVWoQUomPl!$C$2=4),ROUND((((S6*U6)/100)/2),2),0)</f>
        <v>0</v>
      </c>
      <c r="W6" s="8">
        <f>IF(PoToMRVWoQUomPl!$C$2=1,ROUND((((S6*U6)/100)/2),2),0)</f>
        <v>0</v>
      </c>
      <c r="X6" s="8">
        <f>IF(PoToMRVWoQUomPl!$C$2=2,ROUND(((S6*U6)/100),2),0)</f>
        <v>77.94</v>
      </c>
      <c r="Y6" s="8">
        <f>IF(PoToMRVWoQUomPl!$C$2=4,ROUND((((S6*U6)/100)/2),2),0)</f>
        <v>0</v>
      </c>
      <c r="Z6" s="8">
        <v>0</v>
      </c>
      <c r="AA6" s="8">
        <f>IF(PoToMRVWoQUomPl!$C4=3,0,(S6*Z6)/100)</f>
        <v>0</v>
      </c>
      <c r="AB6" s="8">
        <f t="shared" si="9"/>
        <v>77.94</v>
      </c>
      <c r="AC6" s="8">
        <f>IF(PoToMRVWoQUomPl!$V4=1,S6+AB6,S6)</f>
        <v>433.01</v>
      </c>
      <c r="AD6" s="31">
        <v>120</v>
      </c>
      <c r="AE6" s="31">
        <f>IF(PoToMRVWoQUomPl!$P$2=1,(S6/PoToMRVWoQUomPl!$S$7)*PoToMRVWoQUomPl!$E$18,AD6/PoToMRVWoQUomPl!$AD$7*PoToMRVWoQUomPl!$E$18)</f>
        <v>0</v>
      </c>
      <c r="AF6" s="31"/>
      <c r="AG6" s="31">
        <f>IF(PoToMRVWoQUomPl!$P$2=1,(S6/PoToMRVWoQUomPl!$S$7)*PoToMRVWoQUomPl!$E$20,AD6/PoToMRVWoQUomPl!$AD$7*PoToMRVWoQUomPl!$E$20)</f>
        <v>0</v>
      </c>
      <c r="AH6" s="31">
        <f>IF(PoToMRVWoQUomPl!$P$2=1,(S6/PoToMRVWoQUomPl!$S$7)*PoToMRVWoQUomPl!$E$21,AD6/PoToMRVWoQUomPl!$AD$7*PoToMRVWoQUomPl!$E$21)</f>
        <v>0</v>
      </c>
      <c r="AI6" s="31">
        <f>S6*PoToMRVWoQUomPl!$M$2</f>
        <v>433.01</v>
      </c>
      <c r="AJ6" s="31">
        <f>IF(PoToMRVWoQUomPl!$C$2=3,0,AG6+AH6)</f>
        <v>0</v>
      </c>
      <c r="AK6" s="31">
        <f>IF(PoToMRVWoQUomPl!$C$2=3,AE6+AG6+AH6,0)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87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width="28" customWidth="1"/>
    <col min="3" max="3" width="30.4259259259259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182</v>
      </c>
      <c r="C4" s="106" t="s">
        <v>182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169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183</v>
      </c>
      <c r="C5" s="108" t="s">
        <v>183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163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105">
        <v>1</v>
      </c>
      <c r="B6" s="108" t="s">
        <v>184</v>
      </c>
      <c r="C6" s="108" t="s">
        <v>184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87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V9" sqref="V9"/>
    </sheetView>
  </sheetViews>
  <sheetFormatPr defaultColWidth="8.85185185185185" defaultRowHeight="14.4"/>
  <cols>
    <col min="2" max="2" width="28" customWidth="1"/>
    <col min="3" max="3" width="30.4259259259259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182</v>
      </c>
      <c r="C4" s="106" t="s">
        <v>182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169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183</v>
      </c>
      <c r="C5" s="108" t="s">
        <v>183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IF(PoToMRVWoQSUomservRc!$C$2=2,ROUND(((S5*U5)/100),2),0)</f>
        <v>59.12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59.12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163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105">
        <v>1</v>
      </c>
      <c r="B6" s="108" t="s">
        <v>184</v>
      </c>
      <c r="C6" s="108" t="s">
        <v>184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IF(PoToMRVWoQSUomservRc!$C$2=2,ROUND(((S6*U6)/100),2),0)</f>
        <v>77.94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77.94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87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5185185185185" defaultRowHeight="14.4"/>
  <cols>
    <col min="2" max="2" width="28" customWidth="1"/>
    <col min="3" max="3" width="30.4259259259259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185</v>
      </c>
      <c r="C4" s="106" t="s">
        <v>185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169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186</v>
      </c>
      <c r="C5" s="106" t="s">
        <v>186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163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" customHeight="1" spans="1:69">
      <c r="A6" s="105">
        <v>1</v>
      </c>
      <c r="B6" s="108" t="s">
        <v>187</v>
      </c>
      <c r="C6" s="109" t="s">
        <v>187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87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P16" sqref="P16"/>
    </sheetView>
  </sheetViews>
  <sheetFormatPr defaultColWidth="8.85185185185185" defaultRowHeight="14.4"/>
  <cols>
    <col min="2" max="2" width="28" customWidth="1"/>
    <col min="3" max="3" width="30.4259259259259" customWidth="1"/>
    <col min="20" max="20" width="9.71296296296296"/>
    <col min="49" max="49" width="12.8518518518519"/>
    <col min="51" max="51" width="12.8518518518519"/>
    <col min="52" max="52" width="10.712962962963" customWidth="1"/>
    <col min="64" max="64" width="11" customWidth="1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185</v>
      </c>
      <c r="C4" s="106" t="s">
        <v>185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>
        <v>169</v>
      </c>
      <c r="AV4" t="s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148</v>
      </c>
      <c r="BN4" t="s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186</v>
      </c>
      <c r="C5" s="106" t="s">
        <v>186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163</v>
      </c>
      <c r="AV5" t="s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138</v>
      </c>
      <c r="BN5" t="s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" customHeight="1" spans="1:69">
      <c r="A6" s="105">
        <v>1</v>
      </c>
      <c r="B6" s="108" t="s">
        <v>187</v>
      </c>
      <c r="C6" s="109" t="s">
        <v>187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87</v>
      </c>
      <c r="AV6" t="s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144</v>
      </c>
      <c r="BN6" t="s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AR4" sqref="AR4"/>
    </sheetView>
  </sheetViews>
  <sheetFormatPr defaultColWidth="8.85185185185185" defaultRowHeight="14.4"/>
  <cols>
    <col min="2" max="2" width="28" customWidth="1"/>
    <col min="3" max="3" width="24.1388888888889" customWidth="1"/>
    <col min="13" max="13" width="9.13888888888889" customWidth="1"/>
    <col min="14" max="14" width="13.85185185185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188</v>
      </c>
      <c r="C4" s="7" t="s">
        <v>188</v>
      </c>
      <c r="D4" s="7" t="s">
        <v>76</v>
      </c>
      <c r="E4" s="7" t="s">
        <v>76</v>
      </c>
      <c r="F4" s="8">
        <v>5</v>
      </c>
      <c r="G4" t="s">
        <v>175</v>
      </c>
      <c r="H4" s="8">
        <f>F4*G4</f>
        <v>250</v>
      </c>
      <c r="I4" t="s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114</v>
      </c>
      <c r="AT4" s="39" t="s">
        <v>76</v>
      </c>
      <c r="AU4" t="s">
        <v>189</v>
      </c>
      <c r="AV4" t="s">
        <v>190</v>
      </c>
      <c r="AW4" s="39">
        <f>AM4</f>
        <v>5</v>
      </c>
      <c r="AX4" s="103">
        <f>AR4</f>
        <v>41.514</v>
      </c>
      <c r="AY4" s="39">
        <f>AU4+AW4</f>
        <v>20</v>
      </c>
      <c r="AZ4" s="39">
        <f>ROUND(((AU4*AV4)+(AW4*AX4))/(AU4+AW4),3)</f>
        <v>41.515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190</v>
      </c>
      <c r="BN4" t="s">
        <v>78</v>
      </c>
      <c r="BO4" s="39">
        <f>ROUND((((AW4*AZ4)+(BN4*BM4))/(AW4+BN4)),5)</f>
        <v>41.515</v>
      </c>
      <c r="BP4" s="48">
        <f>ROUND(BN4+AW4,3)</f>
        <v>10</v>
      </c>
      <c r="BQ4" s="49">
        <v>123562</v>
      </c>
    </row>
    <row r="5" ht="15.15" spans="1:69">
      <c r="A5" s="7">
        <v>1</v>
      </c>
      <c r="B5" s="7" t="s">
        <v>191</v>
      </c>
      <c r="C5" s="7" t="s">
        <v>191</v>
      </c>
      <c r="D5" s="7" t="s">
        <v>76</v>
      </c>
      <c r="E5" s="7" t="s">
        <v>76</v>
      </c>
      <c r="F5" s="8">
        <v>4</v>
      </c>
      <c r="G5" t="s">
        <v>87</v>
      </c>
      <c r="H5" s="8">
        <f>F5*G5</f>
        <v>400</v>
      </c>
      <c r="I5" t="s">
        <v>192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IF(OR(PoToMRVWOIpRc!$C$2=1,PoToMRVWOIpRc!$C$2=4),ROUND((((S5*U5)/100)/2),2),0)</f>
        <v>0</v>
      </c>
      <c r="W5" s="8">
        <f>IF(PoToMRVWOIpRc!$C$2=1,ROUND((((S5*U5)/100)/2),2),0)</f>
        <v>0</v>
      </c>
      <c r="X5" s="8">
        <f>IF(PoToMRVWOIpRc!$C$2=2,ROUND(((S5*U5)/100),2),0)</f>
        <v>57.89</v>
      </c>
      <c r="Y5" s="8">
        <f>IF(PoToMRVWOIpRc!$C$2=4,ROUND((((S5*U5)/100)/2),2),0)</f>
        <v>0</v>
      </c>
      <c r="Z5" s="8">
        <v>0</v>
      </c>
      <c r="AA5" s="8">
        <f>IF(PoToMRVWOIpRc!$C3=3,0,(S5*Z5)/100)</f>
        <v>0</v>
      </c>
      <c r="AB5" s="8">
        <f>V5+W5+X5+Y5+AA5</f>
        <v>57.89</v>
      </c>
      <c r="AC5" s="8">
        <f>IF(PoToMRVWOIpRc!$V3=1,S5+AB5,S5)</f>
        <v>321.63</v>
      </c>
      <c r="AD5" s="31">
        <v>120</v>
      </c>
      <c r="AE5" s="31">
        <f>IF(PoToMRVWOIpRc!$P$2=1,(S5/PoToMRVWOIpRc!$S$7)*PoToMRVWOIpRc!$E$18,AD5/PoToMRVWOIpRc!$AD$7*PoToMRVWOIpRc!$E$18)</f>
        <v>0</v>
      </c>
      <c r="AF5" s="31"/>
      <c r="AG5" s="31">
        <f>IF(PoToMRVWOIpRc!$P$2=1,(S5/PoToMRVWOIpRc!$S$7)*PoToMRVWOIpRc!$E$20,AD5/PoToMRVWOIpRc!$AD$7*PoToMRVWOIpRc!$E$20)</f>
        <v>0</v>
      </c>
      <c r="AH5" s="31">
        <f>IF(PoToMRVWOIpRc!$P$2=1,(S5/PoToMRVWOIpRc!$S$7)*PoToMRVWOIpRc!$E$21,AD5/PoToMRVWOIpRc!$AD$7*PoToMRVWOIpRc!$E$21)</f>
        <v>0</v>
      </c>
      <c r="AI5" s="31">
        <f>S5*PoToMRVWOIpRc!$M$2</f>
        <v>321.63</v>
      </c>
      <c r="AJ5" s="31">
        <f>IF(PoToMRVWOIpRc!$C$2=3,0,AG5+AH5)</f>
        <v>0</v>
      </c>
      <c r="AK5" s="31">
        <f>IF(PoToMRVWOIpRc!$C$2=3,AE5+AG5+AH5,0)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114</v>
      </c>
      <c r="AT5" s="39" t="s">
        <v>76</v>
      </c>
      <c r="AU5" t="s">
        <v>167</v>
      </c>
      <c r="AV5" t="s">
        <v>193</v>
      </c>
      <c r="AW5" s="39">
        <f>AM5</f>
        <v>4</v>
      </c>
      <c r="AX5" s="103">
        <f>AR5</f>
        <v>80.4075</v>
      </c>
      <c r="AY5" s="39">
        <f>AU5+AW5</f>
        <v>16</v>
      </c>
      <c r="AZ5" s="103">
        <f>ROUND(((AU5*AV5)+(AW5*AX5))/(AU5+AW5),2)</f>
        <v>80.41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193</v>
      </c>
      <c r="BN5" t="s">
        <v>88</v>
      </c>
      <c r="BO5" s="39">
        <f>ROUND((((AW5*AZ5)+(BN5*BM5))/(AW5+BN5)),5)</f>
        <v>80.41</v>
      </c>
      <c r="BP5" s="48">
        <f>ROUND(BN5+AW5,3)</f>
        <v>8</v>
      </c>
      <c r="BQ5" s="49">
        <v>123562</v>
      </c>
    </row>
    <row r="6" ht="15.15" spans="1:69">
      <c r="A6" s="7">
        <v>1</v>
      </c>
      <c r="B6" s="7" t="s">
        <v>194</v>
      </c>
      <c r="C6" s="7" t="s">
        <v>194</v>
      </c>
      <c r="D6" s="7" t="s">
        <v>76</v>
      </c>
      <c r="E6" s="7" t="s">
        <v>76</v>
      </c>
      <c r="F6" s="8">
        <v>10</v>
      </c>
      <c r="G6" t="s">
        <v>77</v>
      </c>
      <c r="H6" s="8">
        <f>F6*G6</f>
        <v>1500</v>
      </c>
      <c r="I6" t="s">
        <v>195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IF(OR(PoToMRVWOIpRc!$C$2=1,PoToMRVWOIpRc!$C$2=4),ROUND((((S6*U6)/100)/2),2),0)</f>
        <v>0</v>
      </c>
      <c r="W6" s="8">
        <f>IF(PoToMRVWOIpRc!$C$2=1,ROUND((((S6*U6)/100)/2),2),0)</f>
        <v>0</v>
      </c>
      <c r="X6" s="8">
        <f>IF(PoToMRVWOIpRc!$C$2=2,ROUND(((S6*U6)/100),2),0)</f>
        <v>224.18</v>
      </c>
      <c r="Y6" s="8">
        <f>IF(PoToMRVWOIpRc!$C$2=4,ROUND((((S6*U6)/100)/2),2),0)</f>
        <v>0</v>
      </c>
      <c r="Z6" s="8">
        <v>0</v>
      </c>
      <c r="AA6" s="8">
        <f>IF(PoToMRVWOIpRc!$C4=3,0,(S6*Z6)/100)</f>
        <v>0</v>
      </c>
      <c r="AB6" s="8">
        <f>V6+W6+X6+Y6+AA6</f>
        <v>224.18</v>
      </c>
      <c r="AC6" s="8">
        <f>IF(PoToMRVWOIpRc!$V4=1,S6+AB6,S6)</f>
        <v>1245.46</v>
      </c>
      <c r="AD6" s="31">
        <v>120</v>
      </c>
      <c r="AE6" s="31">
        <f>IF(PoToMRVWOIpRc!$P$2=1,(S6/PoToMRVWOIpRc!$S$7)*PoToMRVWOIpRc!$E$18,AD6/PoToMRVWOIpRc!$AD$7*PoToMRVWOIpRc!$E$18)</f>
        <v>0</v>
      </c>
      <c r="AF6" s="31"/>
      <c r="AG6" s="31">
        <f>IF(PoToMRVWOIpRc!$P$2=1,(S6/PoToMRVWOIpRc!$S$7)*PoToMRVWOIpRc!$E$20,AD6/PoToMRVWOIpRc!$AD$7*PoToMRVWOIpRc!$E$20)</f>
        <v>0</v>
      </c>
      <c r="AH6" s="31">
        <f>IF(PoToMRVWOIpRc!$P$2=1,(S6/PoToMRVWOIpRc!$S$7)*PoToMRVWOIpRc!$E$21,AD6/PoToMRVWOIpRc!$AD$7*PoToMRVWOIpRc!$E$21)</f>
        <v>0</v>
      </c>
      <c r="AI6" s="31">
        <f>S6*PoToMRVWOIpRc!$M$2</f>
        <v>1245.46</v>
      </c>
      <c r="AJ6" s="31">
        <f>IF(PoToMRVWOIpRc!$C$2=3,0,AG6+AH6)</f>
        <v>0</v>
      </c>
      <c r="AK6" s="31">
        <f>IF(PoToMRVWOIpRc!$C$2=3,AE6+AG6+AH6,0)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114</v>
      </c>
      <c r="AT6" s="39" t="s">
        <v>76</v>
      </c>
      <c r="AU6" t="s">
        <v>156</v>
      </c>
      <c r="AV6" t="s">
        <v>148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ROUND(((AU6*AV6)+(AW6*AX6))/(AU6+AW6),3)</f>
        <v>124.545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148</v>
      </c>
      <c r="BN6" t="s">
        <v>155</v>
      </c>
      <c r="BO6" s="39">
        <f>ROUND((((AW6*AZ6)+(BN6*BM6))/(AW6+BN6)),5)</f>
        <v>124.545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U1" workbookViewId="0">
      <selection activeCell="AH13" sqref="AH13"/>
    </sheetView>
  </sheetViews>
  <sheetFormatPr defaultColWidth="8.85185185185185" defaultRowHeight="14.4"/>
  <cols>
    <col min="2" max="2" width="28" customWidth="1"/>
    <col min="3" max="3" width="24.1388888888889" customWidth="1"/>
    <col min="13" max="13" width="9.13888888888889" customWidth="1"/>
    <col min="14" max="14" width="13.851851851851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196</v>
      </c>
      <c r="C4" s="7" t="s">
        <v>196</v>
      </c>
      <c r="D4" s="7" t="s">
        <v>76</v>
      </c>
      <c r="E4" s="7" t="s">
        <v>76</v>
      </c>
      <c r="F4" s="8">
        <v>5</v>
      </c>
      <c r="G4">
        <v>50</v>
      </c>
      <c r="H4" s="8">
        <f>F4*G4</f>
        <v>250</v>
      </c>
      <c r="I4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31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1.66666666666667</v>
      </c>
      <c r="AX4" s="103">
        <f>AR4</f>
        <v>142.5</v>
      </c>
      <c r="AY4" s="39">
        <f>AU4+AW4</f>
        <v>1.66666666666667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>
        <v>85</v>
      </c>
      <c r="BN4" t="s">
        <v>85</v>
      </c>
      <c r="BO4" s="39">
        <f>ROUND((((AW4*AZ4)+(BN4*BM4))/(AW4+BN4)),5)</f>
        <v>142.5</v>
      </c>
      <c r="BP4" s="48">
        <f>ROUND(BN4+AW4,3)</f>
        <v>1.667</v>
      </c>
      <c r="BQ4" s="49">
        <v>123562</v>
      </c>
    </row>
    <row r="5" ht="15.15" spans="1:69">
      <c r="A5" s="7">
        <v>1</v>
      </c>
      <c r="B5" s="7" t="s">
        <v>197</v>
      </c>
      <c r="C5" s="7" t="s">
        <v>197</v>
      </c>
      <c r="D5" s="7" t="s">
        <v>76</v>
      </c>
      <c r="E5" s="7" t="s">
        <v>76</v>
      </c>
      <c r="F5" s="8">
        <v>4</v>
      </c>
      <c r="G5">
        <v>100</v>
      </c>
      <c r="H5" s="8">
        <f>F5*G5</f>
        <v>400</v>
      </c>
      <c r="I5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67.68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67.68</v>
      </c>
      <c r="AC5" s="8">
        <f>IF(StPoToMRVWOIpDU!$V3=1,S5+AB5,S5)</f>
        <v>376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376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1.33333333333333</v>
      </c>
      <c r="AN5" s="31">
        <f>ROUND(AI5/AM5,5)</f>
        <v>282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282</v>
      </c>
      <c r="AS5" s="38" t="s">
        <v>79</v>
      </c>
      <c r="AT5" s="39" t="s">
        <v>76</v>
      </c>
      <c r="AW5" s="39">
        <f>AM5</f>
        <v>1.33333333333333</v>
      </c>
      <c r="AX5" s="103">
        <f>AR5</f>
        <v>282</v>
      </c>
      <c r="AY5" s="39">
        <f>AU5+AW5</f>
        <v>1.33333333333333</v>
      </c>
      <c r="AZ5" s="39">
        <f>ROUND(((AU5*AV5)+(AW5*AX5))/(AU5+AW5),5)</f>
        <v>282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>
        <v>85</v>
      </c>
      <c r="BN5" t="s">
        <v>85</v>
      </c>
      <c r="BO5" s="39">
        <f>ROUND((((AW5*AZ5)+(BN5*BM5))/(AW5+BN5)),5)</f>
        <v>282</v>
      </c>
      <c r="BP5" s="48">
        <f>ROUND(BN5+AW5,3)</f>
        <v>1.333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5185185185185" defaultRowHeight="14.4"/>
  <cols>
    <col min="2" max="2" width="28" customWidth="1"/>
    <col min="3" max="3" width="24.1388888888889" customWidth="1"/>
    <col min="13" max="13" width="9.13888888888889" customWidth="1"/>
    <col min="14" max="14" width="13.851851851851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198</v>
      </c>
      <c r="C4" s="7" t="s">
        <v>198</v>
      </c>
      <c r="D4" s="7" t="s">
        <v>76</v>
      </c>
      <c r="E4" s="7" t="s">
        <v>76</v>
      </c>
      <c r="F4" s="8">
        <v>5</v>
      </c>
      <c r="G4" t="s">
        <v>77</v>
      </c>
      <c r="H4" s="8">
        <f>F4*G4</f>
        <v>750</v>
      </c>
      <c r="I4" t="s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>
        <v>87</v>
      </c>
      <c r="BN4" t="s">
        <v>199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15" spans="1:69">
      <c r="A5" s="7">
        <v>1</v>
      </c>
      <c r="B5" s="7" t="s">
        <v>200</v>
      </c>
      <c r="C5" s="7" t="s">
        <v>200</v>
      </c>
      <c r="D5" s="7" t="s">
        <v>76</v>
      </c>
      <c r="E5" s="7" t="s">
        <v>76</v>
      </c>
      <c r="F5" s="8">
        <v>4</v>
      </c>
      <c r="G5" t="s">
        <v>87</v>
      </c>
      <c r="H5" s="8">
        <f>F5*G5</f>
        <v>400</v>
      </c>
      <c r="I5" t="s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>
        <v>87</v>
      </c>
      <c r="BN5" t="s">
        <v>199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5185185185185" defaultRowHeight="14.4"/>
  <cols>
    <col min="2" max="2" width="28" customWidth="1"/>
    <col min="3" max="3" width="24.1388888888889" customWidth="1"/>
    <col min="13" max="13" width="9.13888888888889" customWidth="1"/>
    <col min="14" max="14" width="13.851851851851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201</v>
      </c>
      <c r="C4" s="7" t="s">
        <v>201</v>
      </c>
      <c r="D4" s="7" t="s">
        <v>76</v>
      </c>
      <c r="E4" s="7" t="s">
        <v>76</v>
      </c>
      <c r="F4" s="8">
        <v>5</v>
      </c>
      <c r="G4" t="s">
        <v>77</v>
      </c>
      <c r="H4" s="8">
        <f>F4*G4</f>
        <v>750</v>
      </c>
      <c r="I4" t="s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>
        <v>87</v>
      </c>
      <c r="BN4" t="s">
        <v>199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15" spans="1:69">
      <c r="A5" s="7">
        <v>1</v>
      </c>
      <c r="B5" s="7" t="s">
        <v>202</v>
      </c>
      <c r="C5" s="7" t="s">
        <v>202</v>
      </c>
      <c r="D5" s="7" t="s">
        <v>76</v>
      </c>
      <c r="E5" s="7" t="s">
        <v>76</v>
      </c>
      <c r="F5" s="8">
        <v>4</v>
      </c>
      <c r="G5" t="s">
        <v>87</v>
      </c>
      <c r="H5" s="8">
        <f>F5*G5</f>
        <v>400</v>
      </c>
      <c r="I5" t="s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IF(OR(StPoToMRVWOIpRc!$C$2=1,StPoToMRVWOIpRc!$C$2=4),ROUND((((S5*U5)/100)/2),2),0)</f>
        <v>0</v>
      </c>
      <c r="W5" s="8">
        <f>IF(StPoToMRVWOIpRc!$C$2=1,ROUND((((S5*U5)/100)/2),2),0)</f>
        <v>0</v>
      </c>
      <c r="X5" s="8">
        <f>IF(StPoToMRVWOIpRc!$C$2=2,ROUND(((S5*U5)/100),2),0)</f>
        <v>69.12</v>
      </c>
      <c r="Y5" s="8">
        <f>IF(StPoToMRVWOIpRc!$C$2=4,ROUND((((S5*U5)/100)/2),2),0)</f>
        <v>0</v>
      </c>
      <c r="Z5" s="8">
        <v>0</v>
      </c>
      <c r="AA5" s="8">
        <f>IF(StPoToMRVWOIpRc!$C3=3,0,(S5*Z5)/100)</f>
        <v>0</v>
      </c>
      <c r="AB5" s="8">
        <f>V5+W5+X5+Y5+AA5</f>
        <v>69.12</v>
      </c>
      <c r="AC5" s="8">
        <f>IF(StPoToMRVWOIpRc!$V3=1,S5+AB5,S5)</f>
        <v>384</v>
      </c>
      <c r="AD5" s="31">
        <v>120</v>
      </c>
      <c r="AE5" s="31">
        <f>IF(StPoToMRVWOIpRc!$P$2=1,(S5/StPoToMRVWOIpRc!$S$6)*StPoToMRVWOIpRc!$E$17,AD5/StPoToMRVWOIpRc!$AD$6*StPoToMRVWOIpRc!$E$17)</f>
        <v>0</v>
      </c>
      <c r="AF5" s="31"/>
      <c r="AG5" s="31">
        <f>IF(StPoToMRVWOIpRc!$P$2=1,(S5/StPoToMRVWOIpRc!$S$6)*StPoToMRVWOIpRc!$E$19,AD5/StPoToMRVWOIpRc!$AD$6*StPoToMRVWOIpRc!$E$19)</f>
        <v>0</v>
      </c>
      <c r="AH5" s="31">
        <f>IF(StPoToMRVWOIpRc!$P$2=1,(S5/StPoToMRVWOIpRc!$S$6)*StPoToMRVWOIpRc!$E$20,AD5/StPoToMRVWOIpRc!$AD$6*StPoToMRVWOIpRc!$E$20)</f>
        <v>0</v>
      </c>
      <c r="AI5" s="31">
        <f>S5*StPoToMRVWOIpRc!$M$2</f>
        <v>384</v>
      </c>
      <c r="AJ5" s="31">
        <f>IF(StPoToMRVWOIpRc!$C$2=3,0,AG5+AH5)</f>
        <v>0</v>
      </c>
      <c r="AK5" s="31">
        <f>IF(StPoToMRVWOIpRc!$C$2=3,AE5+AG5+AH5,0)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>
        <v>87</v>
      </c>
      <c r="BN5" t="s">
        <v>199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0" sqref="R10"/>
    </sheetView>
  </sheetViews>
  <sheetFormatPr defaultColWidth="8.85185185185185" defaultRowHeight="14.4"/>
  <cols>
    <col min="2" max="2" width="28" customWidth="1"/>
    <col min="3" max="3" width="24.1388888888889" customWidth="1"/>
    <col min="13" max="13" width="9.13888888888889" customWidth="1"/>
    <col min="14" max="14" width="13.8518518518519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203</v>
      </c>
      <c r="C4" s="7" t="s">
        <v>203</v>
      </c>
      <c r="D4" s="7" t="s">
        <v>76</v>
      </c>
      <c r="E4" s="7" t="s">
        <v>76</v>
      </c>
      <c r="F4" s="8">
        <v>5</v>
      </c>
      <c r="G4">
        <v>50</v>
      </c>
      <c r="H4" s="8">
        <f>F4*G4</f>
        <v>250</v>
      </c>
      <c r="I4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>
        <v>204</v>
      </c>
      <c r="AV4" t="s">
        <v>205</v>
      </c>
      <c r="AW4" s="39">
        <f>AM4</f>
        <v>5</v>
      </c>
      <c r="AX4" s="103">
        <f>AR4</f>
        <v>47.5</v>
      </c>
      <c r="AY4" s="39">
        <f>AU4+AW4</f>
        <v>51</v>
      </c>
      <c r="AZ4" s="39">
        <f>ROUND(((AU4*AV4)+(AW4*AX4))/(AU4+AW4),5)</f>
        <v>62.08823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>
        <v>193</v>
      </c>
      <c r="BN4" t="s">
        <v>88</v>
      </c>
      <c r="BO4" s="39">
        <f>ROUND((((AW4*AZ4)+(BN4*BM4))/(AW4+BN4)),5)</f>
        <v>70.23124</v>
      </c>
      <c r="BP4" s="48">
        <f>ROUND(BN4+AW4,3)</f>
        <v>9</v>
      </c>
      <c r="BQ4" s="49">
        <v>123562</v>
      </c>
    </row>
    <row r="5" ht="15.15" spans="1:69">
      <c r="A5" s="7">
        <v>1</v>
      </c>
      <c r="B5" s="7" t="s">
        <v>206</v>
      </c>
      <c r="C5" s="7" t="s">
        <v>206</v>
      </c>
      <c r="D5" s="7" t="s">
        <v>76</v>
      </c>
      <c r="E5" s="7" t="s">
        <v>76</v>
      </c>
      <c r="F5" s="8">
        <v>4</v>
      </c>
      <c r="G5">
        <v>100</v>
      </c>
      <c r="H5" s="8">
        <f>F5*G5</f>
        <v>400</v>
      </c>
      <c r="I5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IF(OR(StPoToMRVWOIp!$C$2=1,StPoToMRVWOIp!$C$2=4),ROUND((((S5*U5)/100)/2),2),0)</f>
        <v>0</v>
      </c>
      <c r="W5" s="8">
        <f>IF(StPoToMRVWOIp!$C$2=1,ROUND((((S5*U5)/100)/2),2),0)</f>
        <v>0</v>
      </c>
      <c r="X5" s="8">
        <f>IF(StPoToMRVWOIp!$C$2=2,ROUND(((S5*U5)/100),2),0)</f>
        <v>67.68</v>
      </c>
      <c r="Y5" s="8">
        <f>IF(StPoToMRVWOIp!$C$2=4,ROUND((((S5*U5)/100)/2),2),0)</f>
        <v>0</v>
      </c>
      <c r="Z5" s="8">
        <v>0</v>
      </c>
      <c r="AA5" s="8">
        <f>IF(StPoToMRVWOIp!$C3=3,0,(S5*Z5)/100)</f>
        <v>0</v>
      </c>
      <c r="AB5" s="8">
        <f>V5+W5+X5+Y5+AA5</f>
        <v>67.68</v>
      </c>
      <c r="AC5" s="8">
        <f>IF(StPoToMRVWOIp!$V3=1,S5+AB5,S5)</f>
        <v>376</v>
      </c>
      <c r="AD5" s="31">
        <v>120</v>
      </c>
      <c r="AE5" s="31">
        <f>IF(StPoToMRVWOIp!$P$2=1,(S5/StPoToMRVWOIp!$S$6)*StPoToMRVWOIp!$E$17,AD5/StPoToMRVWOIp!$AD$6*StPoToMRVWOIp!$E$17)</f>
        <v>0</v>
      </c>
      <c r="AF5" s="31"/>
      <c r="AG5" s="31">
        <f>IF(StPoToMRVWOIp!$P$2=1,(S5/StPoToMRVWOIp!$S$6)*StPoToMRVWOIp!$E$19,AD5/StPoToMRVWOIp!$AD$6*StPoToMRVWOIp!$E$19)</f>
        <v>0</v>
      </c>
      <c r="AH5" s="31">
        <f>IF(StPoToMRVWOIp!$P$2=1,(S5/StPoToMRVWOIp!$S$6)*StPoToMRVWOIp!$E$20,AD5/StPoToMRVWOIp!$AD$6*StPoToMRVWOIp!$E$20)</f>
        <v>0</v>
      </c>
      <c r="AI5" s="31">
        <f>S5*StPoToMRVWOIp!$M$2</f>
        <v>376</v>
      </c>
      <c r="AJ5" s="31">
        <f>IF(StPoToMRVWOIp!$C$2=3,0,AG5+AH5)</f>
        <v>0</v>
      </c>
      <c r="AK5" s="31">
        <f>IF(StPoToMRVWOIp!$C$2=3,AE5+AG5+AH5,0)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>
        <v>207</v>
      </c>
      <c r="AV5" t="s">
        <v>208</v>
      </c>
      <c r="AW5" s="39">
        <f>AM5</f>
        <v>4</v>
      </c>
      <c r="AX5" s="103">
        <f>AR5</f>
        <v>94</v>
      </c>
      <c r="AY5" s="39">
        <f>AU5+AW5</f>
        <v>68</v>
      </c>
      <c r="AZ5" s="39">
        <f>ROUND(((AU5*AV5)+(AW5*AX5))/(AU5+AW5),5)</f>
        <v>120.76471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>
        <v>148</v>
      </c>
      <c r="BN5" t="s">
        <v>155</v>
      </c>
      <c r="BO5" s="39">
        <f>ROUND((((AW5*AZ5)+(BN5*BM5))/(AW5+BN5)),5)</f>
        <v>123.46492</v>
      </c>
      <c r="BP5" s="48">
        <f>ROUND(BN5+AW5,3)</f>
        <v>14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M16" sqref="M16"/>
    </sheetView>
  </sheetViews>
  <sheetFormatPr defaultColWidth="8.85185185185185" defaultRowHeight="14.4"/>
  <cols>
    <col min="2" max="2" width="28" customWidth="1"/>
    <col min="3" max="3" width="23.712962962963" customWidth="1"/>
    <col min="13" max="13" width="9.13888888888889" customWidth="1"/>
    <col min="14" max="14" width="13.85185185185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209</v>
      </c>
      <c r="C4" s="7" t="s">
        <v>209</v>
      </c>
      <c r="D4" s="7" t="s">
        <v>76</v>
      </c>
      <c r="E4" s="7" t="s">
        <v>76</v>
      </c>
      <c r="F4" s="8">
        <v>5</v>
      </c>
      <c r="G4" t="s">
        <v>77</v>
      </c>
      <c r="H4" s="8">
        <f>F4*G4</f>
        <v>750</v>
      </c>
      <c r="I4" t="s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114</v>
      </c>
      <c r="AT4" s="39" t="s">
        <v>76</v>
      </c>
      <c r="AU4" t="s">
        <v>189</v>
      </c>
      <c r="AV4" t="s">
        <v>190</v>
      </c>
      <c r="AW4" s="39">
        <f>AM4</f>
        <v>5</v>
      </c>
      <c r="AX4" s="103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190</v>
      </c>
      <c r="BN4" t="s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1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t="s">
        <v>87</v>
      </c>
      <c r="H5" s="8">
        <f>F5*G5</f>
        <v>400</v>
      </c>
      <c r="I5" t="s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167</v>
      </c>
      <c r="AV5" t="s">
        <v>193</v>
      </c>
      <c r="AW5" s="39">
        <f>AM5</f>
        <v>4</v>
      </c>
      <c r="AX5" s="103">
        <f>AR5</f>
        <v>82.1175</v>
      </c>
      <c r="AY5" s="39">
        <f>AU5+AW5</f>
        <v>16</v>
      </c>
      <c r="AZ5" s="103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193</v>
      </c>
      <c r="BN5" t="s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15" spans="1:69">
      <c r="A6" s="7">
        <v>1</v>
      </c>
      <c r="B6" s="102" t="s">
        <v>211</v>
      </c>
      <c r="C6" s="102" t="s">
        <v>211</v>
      </c>
      <c r="D6" s="7" t="s">
        <v>76</v>
      </c>
      <c r="E6" s="7" t="s">
        <v>76</v>
      </c>
      <c r="F6" s="8">
        <v>10</v>
      </c>
      <c r="G6" t="s">
        <v>175</v>
      </c>
      <c r="H6" s="8">
        <f>F6*G6</f>
        <v>500</v>
      </c>
      <c r="I6" t="s">
        <v>178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156</v>
      </c>
      <c r="AV6" t="s">
        <v>148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148</v>
      </c>
      <c r="BN6" t="s">
        <v>155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5185185185185" defaultRowHeight="14.4"/>
  <cols>
    <col min="2" max="2" width="28" customWidth="1"/>
    <col min="3" max="3" width="23" customWidth="1"/>
    <col min="13" max="13" width="9.13888888888889" customWidth="1"/>
    <col min="14" max="14" width="13.85185185185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212</v>
      </c>
      <c r="C4" s="7" t="s">
        <v>212</v>
      </c>
      <c r="D4" s="7" t="s">
        <v>76</v>
      </c>
      <c r="E4" s="7" t="s">
        <v>76</v>
      </c>
      <c r="F4" s="8">
        <v>5</v>
      </c>
      <c r="G4" t="s">
        <v>77</v>
      </c>
      <c r="H4" s="8">
        <f>F4*G4</f>
        <v>750</v>
      </c>
      <c r="I4" t="s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114</v>
      </c>
      <c r="AT4" s="39" t="s">
        <v>76</v>
      </c>
      <c r="AU4" t="s">
        <v>155</v>
      </c>
      <c r="AV4" t="s">
        <v>148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85</v>
      </c>
      <c r="BN4" t="s">
        <v>85</v>
      </c>
      <c r="BO4" s="39">
        <f>ROUND((((AW4*AZ4)+(BN4*BM4))/(AW4+BN4)),5)</f>
        <v>124.545</v>
      </c>
      <c r="BP4" s="48">
        <f>ROUND(BN4+AW4,3)</f>
        <v>5</v>
      </c>
      <c r="BQ4" s="49">
        <v>123562</v>
      </c>
    </row>
    <row r="5" ht="15.15" spans="1:69">
      <c r="A5" s="7">
        <v>1</v>
      </c>
      <c r="B5" s="7" t="s">
        <v>213</v>
      </c>
      <c r="C5" s="7" t="s">
        <v>213</v>
      </c>
      <c r="D5" s="7" t="s">
        <v>76</v>
      </c>
      <c r="E5" s="7" t="s">
        <v>76</v>
      </c>
      <c r="F5" s="8">
        <v>4</v>
      </c>
      <c r="G5" t="s">
        <v>87</v>
      </c>
      <c r="H5" s="8">
        <f>F5*G5</f>
        <v>400</v>
      </c>
      <c r="I5" t="s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IF(OR(PoToMRVWOIpPl!$C$2=1,PoToMRVWOIpPl!$C$2=4),ROUND((((S5*U5)/100)/2),2),0)</f>
        <v>0</v>
      </c>
      <c r="W5" s="8">
        <f>IF(PoToMRVWOIpPl!$C$2=1,ROUND((((S5*U5)/100)/2),2),0)</f>
        <v>0</v>
      </c>
      <c r="X5" s="8">
        <f>IF(PoToMRVWOIpPl!$C$2=2,ROUND(((S5*U5)/100),2),0)</f>
        <v>59.12</v>
      </c>
      <c r="Y5" s="8">
        <f>IF(PoToMRVWOIpPl!$C$2=4,ROUND((((S5*U5)/100)/2),2),0)</f>
        <v>0</v>
      </c>
      <c r="Z5" s="8">
        <v>0</v>
      </c>
      <c r="AA5" s="8">
        <f>IF(PoToMRVWOIpPl!$C3=3,0,(S5*Z5)/100)</f>
        <v>0</v>
      </c>
      <c r="AB5" s="8">
        <f>V5+W5+X5+Y5+AA5</f>
        <v>59.12</v>
      </c>
      <c r="AC5" s="8">
        <f>IF(PoToMRVWOIpPl!$V3=1,S5+AB5,S5)</f>
        <v>328.47</v>
      </c>
      <c r="AD5" s="31">
        <v>120</v>
      </c>
      <c r="AE5" s="31">
        <f>IF(PoToMRVWOIpPl!$P$2=1,(S5/PoToMRVWOIpPl!$S$7)*PoToMRVWOIpPl!$E$18,AD5/PoToMRVWOIpPl!$AD$7*PoToMRVWOIpPl!$E$18)</f>
        <v>0</v>
      </c>
      <c r="AF5" s="31"/>
      <c r="AG5" s="31">
        <f>IF(PoToMRVWOIpPl!$P$2=1,(S5/PoToMRVWOIpPl!$S$7)*PoToMRVWOIpPl!$E$20,AD5/PoToMRVWOIpPl!$AD$7*PoToMRVWOIpPl!$E$20)</f>
        <v>0</v>
      </c>
      <c r="AH5" s="31">
        <f>IF(PoToMRVWOIpPl!$P$2=1,(S5/PoToMRVWOIpPl!$S$7)*PoToMRVWOIpPl!$E$21,AD5/PoToMRVWOIpPl!$AD$7*PoToMRVWOIpPl!$E$21)</f>
        <v>0</v>
      </c>
      <c r="AI5" s="31">
        <f>S5*PoToMRVWOIpPl!$M$2</f>
        <v>328.47</v>
      </c>
      <c r="AJ5" s="31">
        <f>IF(PoToMRVWOIpPl!$C$2=3,0,AG5+AH5)</f>
        <v>0</v>
      </c>
      <c r="AK5" s="31">
        <f>IF(PoToMRVWOIpPl!$C$2=3,AE5+AG5+AH5,0)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214</v>
      </c>
      <c r="AV5" t="s">
        <v>138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85</v>
      </c>
      <c r="BN5" t="s">
        <v>85</v>
      </c>
      <c r="BO5" s="39">
        <f>ROUND((((AW5*AZ5)+(BN5*BM5))/(AW5+BN5)),5)</f>
        <v>82.12</v>
      </c>
      <c r="BP5" s="48">
        <f>ROUND(BN5+AW5,3)</f>
        <v>4</v>
      </c>
      <c r="BQ5" s="49">
        <v>123562</v>
      </c>
    </row>
    <row r="6" ht="15.15" spans="1:69">
      <c r="A6" s="7">
        <v>1</v>
      </c>
      <c r="B6" s="101" t="s">
        <v>215</v>
      </c>
      <c r="C6" s="102" t="s">
        <v>215</v>
      </c>
      <c r="D6" s="7" t="s">
        <v>76</v>
      </c>
      <c r="E6" s="7" t="s">
        <v>76</v>
      </c>
      <c r="F6" s="8">
        <v>20</v>
      </c>
      <c r="G6" t="s">
        <v>175</v>
      </c>
      <c r="H6" s="8">
        <f>F6*G6</f>
        <v>1000</v>
      </c>
      <c r="I6" t="s">
        <v>178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IF(OR(PoToMRVWOIpPl!$C$2=1,PoToMRVWOIpPl!$C$2=4),ROUND((((S6*U6)/100)/2),2),0)</f>
        <v>0</v>
      </c>
      <c r="W6" s="8">
        <f>IF(PoToMRVWOIpPl!$C$2=1,ROUND((((S6*U6)/100)/2),2),0)</f>
        <v>0</v>
      </c>
      <c r="X6" s="8">
        <f>IF(PoToMRVWOIpPl!$C$2=2,ROUND(((S6*U6)/100),2),0)</f>
        <v>155.88</v>
      </c>
      <c r="Y6" s="8">
        <f>IF(PoToMRVWOIpPl!$C$2=4,ROUND((((S6*U6)/100)/2),2),0)</f>
        <v>0</v>
      </c>
      <c r="Z6" s="8">
        <v>0</v>
      </c>
      <c r="AA6" s="8">
        <f>IF(PoToMRVWOIpPl!$C4=3,0,(S6*Z6)/100)</f>
        <v>0</v>
      </c>
      <c r="AB6" s="8">
        <f>V6+W6+X6+Y6+AA6</f>
        <v>155.88</v>
      </c>
      <c r="AC6" s="8">
        <f>IF(PoToMRVWOIpPl!$V4=1,S6+AB6,S6)</f>
        <v>866.02</v>
      </c>
      <c r="AD6" s="31">
        <v>120</v>
      </c>
      <c r="AE6" s="31">
        <f>IF(PoToMRVWOIpPl!$P$2=1,(S6/PoToMRVWOIpPl!$S$7)*PoToMRVWOIpPl!$E$18,AD6/PoToMRVWOIpPl!$AD$7*PoToMRVWOIpPl!$E$18)</f>
        <v>0</v>
      </c>
      <c r="AF6" s="31"/>
      <c r="AG6" s="31">
        <f>IF(PoToMRVWOIpPl!$P$2=1,(S6/PoToMRVWOIpPl!$S$7)*PoToMRVWOIpPl!$E$20,AD6/PoToMRVWOIpPl!$AD$7*PoToMRVWOIpPl!$E$20)</f>
        <v>0</v>
      </c>
      <c r="AH6" s="31">
        <f>IF(PoToMRVWOIpPl!$P$2=1,(S6/PoToMRVWOIpPl!$S$7)*PoToMRVWOIpPl!$E$21,AD6/PoToMRVWOIpPl!$AD$7*PoToMRVWOIpPl!$E$21)</f>
        <v>0</v>
      </c>
      <c r="AI6" s="31">
        <f>S6*PoToMRVWOIpPl!$M$2</f>
        <v>866.02</v>
      </c>
      <c r="AJ6" s="31">
        <f>IF(PoToMRVWOIpPl!$C$2=3,0,AG6+AH6)</f>
        <v>0</v>
      </c>
      <c r="AK6" s="31">
        <f>IF(PoToMRVWOIpPl!$C$2=3,AE6+AG6+AH6,0)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156</v>
      </c>
      <c r="AV6" t="s">
        <v>144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ROUND(((AU6*AV6)+(AW6*AX6))/(AU6+AW6),1)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85</v>
      </c>
      <c r="BN6" t="s">
        <v>85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5185185185185" defaultRowHeight="14.4"/>
  <cols>
    <col min="2" max="2" width="28" customWidth="1"/>
    <col min="3" max="3" width="23" customWidth="1"/>
    <col min="13" max="13" width="9.13888888888889" customWidth="1"/>
    <col min="14" max="14" width="13.85185185185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216</v>
      </c>
      <c r="C4" s="7" t="s">
        <v>216</v>
      </c>
      <c r="D4" s="7" t="s">
        <v>76</v>
      </c>
      <c r="E4" s="7" t="s">
        <v>76</v>
      </c>
      <c r="F4" s="8">
        <v>5</v>
      </c>
      <c r="G4" t="s">
        <v>77</v>
      </c>
      <c r="H4" s="8">
        <f>F4*G4</f>
        <v>750</v>
      </c>
      <c r="I4" t="s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114</v>
      </c>
      <c r="AT4" s="39" t="s">
        <v>76</v>
      </c>
      <c r="AU4" t="s">
        <v>155</v>
      </c>
      <c r="AV4" t="s">
        <v>190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190</v>
      </c>
      <c r="BN4" t="s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15" spans="1:69">
      <c r="A5" s="7">
        <v>1</v>
      </c>
      <c r="B5" s="7" t="s">
        <v>217</v>
      </c>
      <c r="C5" s="7" t="s">
        <v>217</v>
      </c>
      <c r="D5" s="7" t="s">
        <v>76</v>
      </c>
      <c r="E5" s="7" t="s">
        <v>76</v>
      </c>
      <c r="F5" s="8">
        <v>4</v>
      </c>
      <c r="G5" t="s">
        <v>87</v>
      </c>
      <c r="H5" s="8">
        <f>F5*G5</f>
        <v>400</v>
      </c>
      <c r="I5" t="s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>
        <v>214</v>
      </c>
      <c r="AV5" t="s">
        <v>193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193</v>
      </c>
      <c r="BN5" t="s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15" spans="1:69">
      <c r="A6" s="7">
        <v>1</v>
      </c>
      <c r="B6" s="101" t="s">
        <v>218</v>
      </c>
      <c r="C6" s="102" t="s">
        <v>218</v>
      </c>
      <c r="D6" s="7" t="s">
        <v>76</v>
      </c>
      <c r="E6" s="7" t="s">
        <v>76</v>
      </c>
      <c r="F6" s="8">
        <v>10</v>
      </c>
      <c r="G6" t="s">
        <v>175</v>
      </c>
      <c r="H6" s="8">
        <f>F6*G6</f>
        <v>500</v>
      </c>
      <c r="I6" t="s">
        <v>178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>
        <v>169</v>
      </c>
      <c r="AV6" t="s">
        <v>148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148</v>
      </c>
      <c r="BN6" t="s">
        <v>155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4.4"/>
  <cols>
    <col min="1" max="1" width="9" style="51"/>
    <col min="2" max="2" width="23.5740740740741" style="51" customWidth="1"/>
    <col min="3" max="3" width="18.5740740740741" style="51" customWidth="1"/>
    <col min="4" max="4" width="72.4259259259259" style="51" customWidth="1"/>
    <col min="5" max="10" width="9" style="51"/>
    <col min="11" max="11" width="6.13888888888889" style="51" customWidth="1"/>
    <col min="12" max="28" width="9" style="51"/>
    <col min="29" max="29" width="11.5740740740741" style="51" customWidth="1"/>
    <col min="30" max="34" width="9" style="51"/>
    <col min="35" max="35" width="14.287037037037" style="51" customWidth="1"/>
    <col min="36" max="36" width="17.5740740740741" style="51" customWidth="1"/>
    <col min="37" max="37" width="13.4259259259259" style="51" customWidth="1"/>
    <col min="38" max="38" width="13.5740740740741" style="51" customWidth="1"/>
    <col min="39" max="44" width="9" style="51"/>
    <col min="45" max="45" width="9.42592592592593" style="51" customWidth="1"/>
    <col min="46" max="46" width="9" style="51"/>
    <col min="47" max="47" width="15.287037037037" style="51" customWidth="1"/>
    <col min="48" max="48" width="20.287037037037" style="51" customWidth="1"/>
    <col min="49" max="49" width="9" style="51"/>
    <col min="50" max="50" width="16.287037037037" style="51" customWidth="1"/>
    <col min="51" max="51" width="13.8518518518519" style="51" customWidth="1"/>
    <col min="52" max="52" width="18.8518518518519" style="51" customWidth="1"/>
    <col min="53" max="53" width="9" style="51"/>
    <col min="54" max="57" width="21.712962962963" style="51" customWidth="1"/>
    <col min="58" max="58" width="16.5740740740741" style="51" customWidth="1"/>
    <col min="59" max="59" width="13.712962962963" style="51" customWidth="1"/>
    <col min="60" max="60" width="12.4259259259259" style="51" customWidth="1"/>
    <col min="61" max="62" width="9" style="51"/>
    <col min="63" max="63" width="30.5740740740741" style="51" customWidth="1"/>
    <col min="64" max="64" width="9" style="51"/>
    <col min="65" max="65" width="41.1388888888889" style="51" customWidth="1"/>
    <col min="66" max="66" width="37" style="51" customWidth="1"/>
    <col min="67" max="67" width="18.8518518518519" style="51" customWidth="1"/>
    <col min="68" max="68" width="34.4259259259259" style="51" customWidth="1"/>
    <col min="69" max="16384" width="9" style="51"/>
  </cols>
  <sheetData>
    <row r="1" spans="1:67">
      <c r="A1" s="52" t="s">
        <v>0</v>
      </c>
      <c r="B1" s="53"/>
      <c r="C1" s="53"/>
      <c r="D1" s="53"/>
      <c r="E1" s="53"/>
      <c r="F1" s="53"/>
      <c r="G1" s="53"/>
      <c r="H1" s="52"/>
      <c r="I1" s="67"/>
      <c r="J1" s="67"/>
      <c r="K1" s="67"/>
      <c r="L1" s="67"/>
      <c r="M1" s="67"/>
      <c r="N1" s="67"/>
      <c r="O1" s="67"/>
      <c r="P1" s="67"/>
      <c r="Q1" s="67"/>
      <c r="R1" s="52"/>
      <c r="S1" s="52"/>
      <c r="T1" s="52"/>
      <c r="U1" s="52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</row>
    <row r="2" ht="15.15" spans="1:67">
      <c r="A2" s="54" t="s">
        <v>1</v>
      </c>
      <c r="B2" s="54"/>
      <c r="C2" s="55">
        <v>1</v>
      </c>
      <c r="D2" s="56" t="s">
        <v>2</v>
      </c>
      <c r="E2" s="53"/>
      <c r="F2" s="53"/>
      <c r="G2" s="53"/>
      <c r="H2" s="52"/>
      <c r="I2" s="67" t="s">
        <v>3</v>
      </c>
      <c r="J2" s="67" t="s">
        <v>4</v>
      </c>
      <c r="K2" s="67"/>
      <c r="L2" s="67" t="s">
        <v>5</v>
      </c>
      <c r="M2" s="67">
        <v>1</v>
      </c>
      <c r="N2" s="67"/>
      <c r="O2" s="67" t="s">
        <v>6</v>
      </c>
      <c r="P2" s="67">
        <v>2</v>
      </c>
      <c r="Q2" s="67" t="s">
        <v>7</v>
      </c>
      <c r="R2" s="52"/>
      <c r="S2" s="52"/>
      <c r="T2" s="52"/>
      <c r="U2" s="52"/>
      <c r="V2" s="52">
        <v>1</v>
      </c>
      <c r="W2" s="52" t="s">
        <v>8</v>
      </c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</row>
    <row r="3" ht="44.7" spans="1:69">
      <c r="A3" s="57" t="s">
        <v>9</v>
      </c>
      <c r="B3" s="57" t="s">
        <v>10</v>
      </c>
      <c r="C3" s="57" t="s">
        <v>11</v>
      </c>
      <c r="D3" s="57" t="s">
        <v>12</v>
      </c>
      <c r="E3" s="57" t="s">
        <v>13</v>
      </c>
      <c r="F3" s="57" t="s">
        <v>14</v>
      </c>
      <c r="G3" s="57" t="s">
        <v>15</v>
      </c>
      <c r="H3" s="57" t="s">
        <v>16</v>
      </c>
      <c r="I3" s="68" t="s">
        <v>17</v>
      </c>
      <c r="J3" s="68" t="s">
        <v>18</v>
      </c>
      <c r="K3" s="68" t="s">
        <v>19</v>
      </c>
      <c r="L3" s="69" t="s">
        <v>20</v>
      </c>
      <c r="M3" s="69" t="s">
        <v>21</v>
      </c>
      <c r="N3" s="69" t="s">
        <v>22</v>
      </c>
      <c r="O3" s="69" t="s">
        <v>23</v>
      </c>
      <c r="P3" s="69" t="s">
        <v>24</v>
      </c>
      <c r="Q3" s="69" t="s">
        <v>25</v>
      </c>
      <c r="R3" s="68" t="s">
        <v>26</v>
      </c>
      <c r="S3" s="57" t="s">
        <v>27</v>
      </c>
      <c r="T3" s="57" t="s">
        <v>28</v>
      </c>
      <c r="U3" s="77" t="s">
        <v>29</v>
      </c>
      <c r="V3" s="77" t="s">
        <v>30</v>
      </c>
      <c r="W3" s="77" t="s">
        <v>31</v>
      </c>
      <c r="X3" s="77" t="s">
        <v>32</v>
      </c>
      <c r="Y3" s="81" t="s">
        <v>33</v>
      </c>
      <c r="Z3" s="81" t="s">
        <v>34</v>
      </c>
      <c r="AA3" s="81" t="s">
        <v>35</v>
      </c>
      <c r="AB3" s="81" t="s">
        <v>36</v>
      </c>
      <c r="AC3" s="82" t="s">
        <v>37</v>
      </c>
      <c r="AD3" s="82" t="s">
        <v>38</v>
      </c>
      <c r="AE3" s="82" t="s">
        <v>39</v>
      </c>
      <c r="AF3" s="82" t="s">
        <v>40</v>
      </c>
      <c r="AG3" s="82" t="s">
        <v>41</v>
      </c>
      <c r="AH3" s="82" t="s">
        <v>42</v>
      </c>
      <c r="AI3" s="82" t="s">
        <v>43</v>
      </c>
      <c r="AJ3" s="82" t="s">
        <v>44</v>
      </c>
      <c r="AK3" s="82" t="s">
        <v>45</v>
      </c>
      <c r="AL3" s="82" t="s">
        <v>46</v>
      </c>
      <c r="AM3" s="82" t="s">
        <v>47</v>
      </c>
      <c r="AN3" s="82" t="s">
        <v>48</v>
      </c>
      <c r="AO3" s="82" t="s">
        <v>49</v>
      </c>
      <c r="AP3" s="82" t="s">
        <v>50</v>
      </c>
      <c r="AQ3" s="82" t="s">
        <v>51</v>
      </c>
      <c r="AR3" s="88" t="s">
        <v>52</v>
      </c>
      <c r="AS3" s="89" t="s">
        <v>53</v>
      </c>
      <c r="AT3" s="89" t="s">
        <v>51</v>
      </c>
      <c r="AU3" s="90" t="s">
        <v>54</v>
      </c>
      <c r="AV3" s="90" t="s">
        <v>55</v>
      </c>
      <c r="AW3" s="90" t="s">
        <v>56</v>
      </c>
      <c r="AX3" s="90" t="s">
        <v>57</v>
      </c>
      <c r="AY3" s="90" t="s">
        <v>58</v>
      </c>
      <c r="AZ3" s="90" t="s">
        <v>59</v>
      </c>
      <c r="BA3" s="90" t="s">
        <v>60</v>
      </c>
      <c r="BB3" s="90" t="s">
        <v>61</v>
      </c>
      <c r="BC3" s="93" t="s">
        <v>62</v>
      </c>
      <c r="BD3" s="93" t="s">
        <v>63</v>
      </c>
      <c r="BE3" s="93" t="s">
        <v>64</v>
      </c>
      <c r="BF3" s="90" t="s">
        <v>65</v>
      </c>
      <c r="BG3" s="90" t="s">
        <v>66</v>
      </c>
      <c r="BH3" s="90" t="s">
        <v>67</v>
      </c>
      <c r="BI3" s="90" t="s">
        <v>68</v>
      </c>
      <c r="BJ3" s="90" t="s">
        <v>69</v>
      </c>
      <c r="BK3" s="90" t="s">
        <v>70</v>
      </c>
      <c r="BL3" s="90" t="s">
        <v>71</v>
      </c>
      <c r="BM3" s="98" t="s">
        <v>72</v>
      </c>
      <c r="BN3" s="90" t="s">
        <v>73</v>
      </c>
      <c r="BO3" s="90" t="s">
        <v>59</v>
      </c>
      <c r="BP3" s="90" t="s">
        <v>74</v>
      </c>
      <c r="BQ3" s="90" t="s">
        <v>28</v>
      </c>
    </row>
    <row r="4" ht="15.15" spans="1:69">
      <c r="A4" s="58">
        <v>1</v>
      </c>
      <c r="B4" s="58"/>
      <c r="C4" s="58"/>
      <c r="D4" s="58" t="s">
        <v>76</v>
      </c>
      <c r="E4" s="58" t="s">
        <v>95</v>
      </c>
      <c r="F4" s="59">
        <v>25</v>
      </c>
      <c r="G4" s="59">
        <v>257.63</v>
      </c>
      <c r="H4" s="59">
        <f>F4*G4</f>
        <v>6440.75</v>
      </c>
      <c r="I4" s="59">
        <v>1</v>
      </c>
      <c r="J4" s="59">
        <v>2</v>
      </c>
      <c r="K4" s="59">
        <v>2.5</v>
      </c>
      <c r="L4" s="59">
        <f>H4</f>
        <v>6440.75</v>
      </c>
      <c r="M4" s="59">
        <f>ROUND(L4*I4%,2)</f>
        <v>64.41</v>
      </c>
      <c r="N4" s="59">
        <f>H4-M4</f>
        <v>6376.34</v>
      </c>
      <c r="O4" s="59">
        <f>ROUND(N4*J4%,2)</f>
        <v>127.53</v>
      </c>
      <c r="P4" s="59">
        <f>ROUND(N4-O4,2)</f>
        <v>6248.81</v>
      </c>
      <c r="Q4" s="59">
        <f>ROUND(P4*K4%,2)</f>
        <v>156.22</v>
      </c>
      <c r="R4" s="59">
        <f>ROUND((M4+O4+Q4),2)</f>
        <v>348.16</v>
      </c>
      <c r="S4" s="59">
        <f>ROUND((H4-R4),2)</f>
        <v>6092.59</v>
      </c>
      <c r="T4" s="78" t="s">
        <v>219</v>
      </c>
      <c r="U4" s="79">
        <v>0.18</v>
      </c>
      <c r="V4" s="59">
        <f>IF(OR($C$2=1,$C$2=4),ROUND(((S4*U4)/2),2),0)</f>
        <v>548.33</v>
      </c>
      <c r="W4" s="59">
        <f>IF($C$2=1,ROUND(((S4*U4)/2),2),0)</f>
        <v>548.33</v>
      </c>
      <c r="X4" s="59">
        <f>IF($C$2=2,ROUND(((S4*U4)),2),0)</f>
        <v>0</v>
      </c>
      <c r="Y4" s="59">
        <f>IF($C$2=4,ROUND(((S4*U4)/2),2),0)</f>
        <v>0</v>
      </c>
      <c r="Z4" s="83">
        <v>0</v>
      </c>
      <c r="AA4" s="59">
        <f>IF($C2=3,0,ROUND(S4*Z4,2))</f>
        <v>0</v>
      </c>
      <c r="AB4" s="58">
        <f>V4+W4+X4+Y4+AA4</f>
        <v>1096.66</v>
      </c>
      <c r="AC4" s="58">
        <f>IF($V2=1,S4+AB4,S4)</f>
        <v>7189.25</v>
      </c>
      <c r="AD4" s="78">
        <v>120</v>
      </c>
      <c r="AE4" s="78">
        <f>IF($P$2=1,(S4/$S$7)*$E$18,AD4/$AD$7*$E$18)</f>
        <v>0</v>
      </c>
      <c r="AF4" s="78"/>
      <c r="AG4" s="78">
        <f>IF($P$2=1,(S4/$S$7)*$E$20,AD4/$AD$7*$E$20)</f>
        <v>0</v>
      </c>
      <c r="AH4" s="78">
        <f>IF($P$2=1,(S4/$S$7)*$E$21,AD4/$AD$7*$E$21)</f>
        <v>0</v>
      </c>
      <c r="AI4" s="78">
        <f t="shared" ref="AI4:AI6" si="0">S4*$M$2</f>
        <v>6092.59</v>
      </c>
      <c r="AJ4" s="78">
        <f>IF($C$2=3,0,AG4+AH4)</f>
        <v>0</v>
      </c>
      <c r="AK4" s="78">
        <f t="shared" ref="AK4:AK6" si="1">IF($C$2=3,AE4+AG4+AH4,0)</f>
        <v>0</v>
      </c>
      <c r="AL4" s="87">
        <v>2</v>
      </c>
      <c r="AM4" s="78">
        <f>F4/AL4</f>
        <v>12.5</v>
      </c>
      <c r="AN4" s="78">
        <f>ROUND(AI4/AM4,5)</f>
        <v>487.4072</v>
      </c>
      <c r="AO4" s="78">
        <f>AJ4/AM4</f>
        <v>0</v>
      </c>
      <c r="AP4" s="78">
        <f>AK4/AM4</f>
        <v>0</v>
      </c>
      <c r="AQ4" s="78" t="s">
        <v>76</v>
      </c>
      <c r="AR4" s="78">
        <f>ROUND(AN4+AO4+AP4,5)</f>
        <v>487.4072</v>
      </c>
      <c r="AS4" s="91" t="s">
        <v>130</v>
      </c>
      <c r="AT4" s="91" t="s">
        <v>76</v>
      </c>
      <c r="AU4" s="51" t="s">
        <v>85</v>
      </c>
      <c r="AV4" s="51" t="s">
        <v>220</v>
      </c>
      <c r="AW4" s="91">
        <f>AM4</f>
        <v>12.5</v>
      </c>
      <c r="AX4" s="91">
        <f>AR4</f>
        <v>487.4072</v>
      </c>
      <c r="AY4" s="91">
        <f>AU4+AW4</f>
        <v>12.5</v>
      </c>
      <c r="AZ4" s="91">
        <f>ROUND(((AU4*AV4)+(AW4*AX4))/(AU4+AW4),5)</f>
        <v>487.4072</v>
      </c>
      <c r="BA4" s="94"/>
      <c r="BB4" s="94" t="s">
        <v>80</v>
      </c>
      <c r="BC4" s="95" t="s">
        <v>81</v>
      </c>
      <c r="BD4" s="96" t="s">
        <v>82</v>
      </c>
      <c r="BE4" s="96" t="s">
        <v>83</v>
      </c>
      <c r="BF4" s="94"/>
      <c r="BG4" s="94"/>
      <c r="BH4" s="94"/>
      <c r="BI4" s="91"/>
      <c r="BJ4" s="91"/>
      <c r="BK4" s="91"/>
      <c r="BL4" s="92" t="s">
        <v>133</v>
      </c>
      <c r="BM4" s="51" t="s">
        <v>220</v>
      </c>
      <c r="BN4" s="51" t="s">
        <v>221</v>
      </c>
      <c r="BO4" s="91">
        <f>ROUND((((AW4*AZ4)+(BN4*BM4))/(AW4+BN4)),5)</f>
        <v>487.4072</v>
      </c>
      <c r="BP4" s="99">
        <f>BN4+AW4</f>
        <v>350</v>
      </c>
      <c r="BQ4" s="100">
        <v>123562</v>
      </c>
    </row>
    <row r="5" ht="15.15" spans="1:69">
      <c r="A5" s="58">
        <v>2</v>
      </c>
      <c r="B5" s="58"/>
      <c r="C5" s="58"/>
      <c r="D5" s="58" t="s">
        <v>76</v>
      </c>
      <c r="E5" s="58" t="s">
        <v>99</v>
      </c>
      <c r="F5" s="59">
        <v>28</v>
      </c>
      <c r="G5" s="59">
        <v>150.5</v>
      </c>
      <c r="H5" s="59">
        <f t="shared" ref="H5:H6" si="2">F5*G5</f>
        <v>4214</v>
      </c>
      <c r="I5" s="59">
        <v>1</v>
      </c>
      <c r="J5" s="59">
        <v>2</v>
      </c>
      <c r="K5" s="59">
        <v>2.5</v>
      </c>
      <c r="L5" s="59">
        <f t="shared" ref="L5:L6" si="3">H5</f>
        <v>4214</v>
      </c>
      <c r="M5" s="59">
        <f t="shared" ref="M5:M6" si="4">ROUND(L5*I5%,2)</f>
        <v>42.14</v>
      </c>
      <c r="N5" s="59">
        <f t="shared" ref="N5:N6" si="5">H5-M5</f>
        <v>4171.86</v>
      </c>
      <c r="O5" s="59">
        <f t="shared" ref="O5:O6" si="6">ROUND(N5*J5%,2)</f>
        <v>83.44</v>
      </c>
      <c r="P5" s="59">
        <f t="shared" ref="P5:P6" si="7">ROUND(N5-O5,2)</f>
        <v>4088.42</v>
      </c>
      <c r="Q5" s="59">
        <f t="shared" ref="Q5:Q6" si="8">ROUND(P5*K5%,2)</f>
        <v>102.21</v>
      </c>
      <c r="R5" s="59">
        <f t="shared" ref="R5:R6" si="9">ROUND((M5+O5+Q5),2)</f>
        <v>227.79</v>
      </c>
      <c r="S5" s="59">
        <f t="shared" ref="S5:S6" si="10">ROUND((H5-R5),2)</f>
        <v>3986.21</v>
      </c>
      <c r="T5" s="78" t="s">
        <v>222</v>
      </c>
      <c r="U5" s="79">
        <v>0.18</v>
      </c>
      <c r="V5" s="59">
        <f t="shared" ref="V5:V6" si="11">IF(OR($C$2=1,$C$2=4),ROUND(((S5*U5)/2),2),0)</f>
        <v>358.76</v>
      </c>
      <c r="W5" s="59">
        <f t="shared" ref="W5:W6" si="12">IF($C$2=1,ROUND(((S5*U5)/2),2),0)</f>
        <v>358.76</v>
      </c>
      <c r="X5" s="59">
        <f t="shared" ref="X5:X6" si="13">IF($C$2=2,ROUND(((S5*U5)),2),0)</f>
        <v>0</v>
      </c>
      <c r="Y5" s="59">
        <f t="shared" ref="Y5:Y6" si="14">IF($C$2=4,ROUND(((S5*U5)/2),2),0)</f>
        <v>0</v>
      </c>
      <c r="Z5" s="83">
        <v>0</v>
      </c>
      <c r="AA5" s="59">
        <f t="shared" ref="AA5:AA6" si="15">IF($C3=3,0,ROUND(S5*Z5,2))</f>
        <v>0</v>
      </c>
      <c r="AB5" s="58">
        <f t="shared" ref="AB5:AB6" si="16">V5+W5+X5+Y5+AA5</f>
        <v>717.52</v>
      </c>
      <c r="AC5" s="58">
        <f t="shared" ref="AC5:AC6" si="17">IF($V3=1,S5+AB5,S5)</f>
        <v>3986.21</v>
      </c>
      <c r="AD5" s="78">
        <v>350</v>
      </c>
      <c r="AE5" s="78">
        <f>IF($P$2=1,(S5/$S$7)*$E$18,AD5/$AD$7*$E$18)</f>
        <v>0</v>
      </c>
      <c r="AF5" s="78"/>
      <c r="AG5" s="78">
        <f>IF($P$2=1,(S5/$S$7)*$E$20,AD5/$AD$7*$E$20)</f>
        <v>0</v>
      </c>
      <c r="AH5" s="78">
        <f>IF($P$2=1,(S5/$S$7)*$E$21,AD5/$AD$7*$E$21)</f>
        <v>0</v>
      </c>
      <c r="AI5" s="78">
        <f t="shared" si="0"/>
        <v>3986.21</v>
      </c>
      <c r="AJ5" s="78">
        <f t="shared" ref="AJ5:AJ6" si="18">IF($C$2=3,0,AG5+AH5)</f>
        <v>0</v>
      </c>
      <c r="AK5" s="78">
        <f t="shared" si="1"/>
        <v>0</v>
      </c>
      <c r="AL5" s="87">
        <v>2.5</v>
      </c>
      <c r="AM5" s="78">
        <f>F5/AL5</f>
        <v>11.2</v>
      </c>
      <c r="AN5" s="78">
        <f t="shared" ref="AN5:AN6" si="19">ROUND(AI5/AM5,5)</f>
        <v>355.91161</v>
      </c>
      <c r="AO5" s="78">
        <f t="shared" ref="AO5:AO6" si="20">AJ5/AM5</f>
        <v>0</v>
      </c>
      <c r="AP5" s="78">
        <f t="shared" ref="AP5:AP6" si="21">AK5/AM5</f>
        <v>0</v>
      </c>
      <c r="AQ5" s="78" t="s">
        <v>76</v>
      </c>
      <c r="AR5" s="78">
        <f t="shared" ref="AR5:AR6" si="22">ROUND(AN5+AO5+AP5,5)</f>
        <v>355.91161</v>
      </c>
      <c r="AS5" s="91" t="s">
        <v>130</v>
      </c>
      <c r="AT5" s="91" t="s">
        <v>76</v>
      </c>
      <c r="AU5" s="51" t="s">
        <v>85</v>
      </c>
      <c r="AV5" s="51" t="s">
        <v>223</v>
      </c>
      <c r="AW5" s="91">
        <f>AM5</f>
        <v>11.2</v>
      </c>
      <c r="AX5" s="91">
        <f>AR5</f>
        <v>355.91161</v>
      </c>
      <c r="AY5" s="91">
        <f>AU5+AW5</f>
        <v>11.2</v>
      </c>
      <c r="AZ5" s="91">
        <f>ROUND(((AU5*AV5)+(AW5*AX5))/(AU5+AW5),5)</f>
        <v>355.91161</v>
      </c>
      <c r="BA5" s="94"/>
      <c r="BB5" s="94" t="s">
        <v>80</v>
      </c>
      <c r="BC5" s="95" t="s">
        <v>81</v>
      </c>
      <c r="BD5" s="96" t="s">
        <v>82</v>
      </c>
      <c r="BE5" s="96" t="s">
        <v>83</v>
      </c>
      <c r="BF5" s="94"/>
      <c r="BG5" s="94"/>
      <c r="BH5" s="94"/>
      <c r="BI5" s="91"/>
      <c r="BJ5" s="91"/>
      <c r="BK5" s="91"/>
      <c r="BL5" s="92" t="s">
        <v>133</v>
      </c>
      <c r="BM5" s="51" t="s">
        <v>223</v>
      </c>
      <c r="BN5" s="51" t="s">
        <v>224</v>
      </c>
      <c r="BO5" s="91">
        <f>ROUND((((AW5*AZ5)+(BN5*BM5))/(AW5+BN5)),5)</f>
        <v>355.91161</v>
      </c>
      <c r="BP5" s="99">
        <f>BN5+AW5</f>
        <v>313.6</v>
      </c>
      <c r="BQ5" s="100">
        <v>123562</v>
      </c>
    </row>
    <row r="6" ht="15.15" spans="1:69">
      <c r="A6" s="58">
        <v>3</v>
      </c>
      <c r="B6" s="58"/>
      <c r="C6" s="58"/>
      <c r="D6" s="58" t="s">
        <v>95</v>
      </c>
      <c r="E6" s="58" t="s">
        <v>101</v>
      </c>
      <c r="F6" s="59">
        <v>37</v>
      </c>
      <c r="G6" s="59">
        <v>89.54</v>
      </c>
      <c r="H6" s="59">
        <f t="shared" si="2"/>
        <v>3312.98</v>
      </c>
      <c r="I6" s="59">
        <v>1</v>
      </c>
      <c r="J6" s="59">
        <v>2</v>
      </c>
      <c r="K6" s="59">
        <v>2.5</v>
      </c>
      <c r="L6" s="59">
        <f t="shared" si="3"/>
        <v>3312.98</v>
      </c>
      <c r="M6" s="59">
        <f t="shared" si="4"/>
        <v>33.13</v>
      </c>
      <c r="N6" s="59">
        <f t="shared" si="5"/>
        <v>3279.85</v>
      </c>
      <c r="O6" s="59">
        <f t="shared" si="6"/>
        <v>65.6</v>
      </c>
      <c r="P6" s="59">
        <f t="shared" si="7"/>
        <v>3214.25</v>
      </c>
      <c r="Q6" s="59">
        <f t="shared" si="8"/>
        <v>80.36</v>
      </c>
      <c r="R6" s="59">
        <f t="shared" si="9"/>
        <v>179.09</v>
      </c>
      <c r="S6" s="59">
        <f t="shared" si="10"/>
        <v>3133.89</v>
      </c>
      <c r="T6" s="78" t="s">
        <v>225</v>
      </c>
      <c r="U6" s="79">
        <v>0.18</v>
      </c>
      <c r="V6" s="59">
        <f t="shared" si="11"/>
        <v>282.05</v>
      </c>
      <c r="W6" s="59">
        <f t="shared" si="12"/>
        <v>282.05</v>
      </c>
      <c r="X6" s="59">
        <f t="shared" si="13"/>
        <v>0</v>
      </c>
      <c r="Y6" s="59">
        <f t="shared" si="14"/>
        <v>0</v>
      </c>
      <c r="Z6" s="83">
        <v>0</v>
      </c>
      <c r="AA6" s="59">
        <f t="shared" si="15"/>
        <v>0</v>
      </c>
      <c r="AB6" s="58">
        <f t="shared" si="16"/>
        <v>564.1</v>
      </c>
      <c r="AC6" s="58">
        <f t="shared" si="17"/>
        <v>3133.89</v>
      </c>
      <c r="AD6" s="78">
        <v>220</v>
      </c>
      <c r="AE6" s="78">
        <f>IF($P$2=1,(S6/$S$7)*$E$18,AD6/$AD$7*$E$18)</f>
        <v>0</v>
      </c>
      <c r="AF6" s="78"/>
      <c r="AG6" s="78">
        <f>IF($P$2=1,(S6/$S$7)*$E$20,AD6/$AD$7*$E$20)</f>
        <v>0</v>
      </c>
      <c r="AH6" s="78">
        <f>IF($P$2=1,(S6/$S$7)*$E$21,AD6/$AD$7*$E$21)</f>
        <v>0</v>
      </c>
      <c r="AI6" s="78">
        <f t="shared" si="0"/>
        <v>3133.89</v>
      </c>
      <c r="AJ6" s="78">
        <f t="shared" si="18"/>
        <v>0</v>
      </c>
      <c r="AK6" s="78">
        <f t="shared" si="1"/>
        <v>0</v>
      </c>
      <c r="AL6" s="58">
        <v>0.001</v>
      </c>
      <c r="AM6" s="78">
        <f>F6/AL6</f>
        <v>37000</v>
      </c>
      <c r="AN6" s="78">
        <f t="shared" si="19"/>
        <v>0.0847</v>
      </c>
      <c r="AO6" s="78">
        <f t="shared" si="20"/>
        <v>0</v>
      </c>
      <c r="AP6" s="78">
        <f t="shared" si="21"/>
        <v>0</v>
      </c>
      <c r="AQ6" s="78" t="s">
        <v>76</v>
      </c>
      <c r="AR6" s="78">
        <f t="shared" si="22"/>
        <v>0.0847</v>
      </c>
      <c r="AS6" s="92" t="s">
        <v>130</v>
      </c>
      <c r="AT6" s="92" t="s">
        <v>76</v>
      </c>
      <c r="AU6" s="51" t="s">
        <v>85</v>
      </c>
      <c r="AV6" s="51" t="s">
        <v>226</v>
      </c>
      <c r="AW6" s="91">
        <f>AM6</f>
        <v>37000</v>
      </c>
      <c r="AX6" s="91">
        <f>AR6</f>
        <v>0.0847</v>
      </c>
      <c r="AY6" s="91">
        <f>AU6+AW6</f>
        <v>37000</v>
      </c>
      <c r="AZ6" s="91">
        <f>ROUND(((AU6*AV6)+(AW6*AX6))/(AU6+AW6),5)</f>
        <v>0.0847</v>
      </c>
      <c r="BA6" s="92"/>
      <c r="BB6" s="92"/>
      <c r="BC6" s="97" t="s">
        <v>81</v>
      </c>
      <c r="BD6" s="97" t="s">
        <v>227</v>
      </c>
      <c r="BE6" s="92"/>
      <c r="BF6" s="92"/>
      <c r="BG6" s="92"/>
      <c r="BH6" s="92"/>
      <c r="BI6" s="92"/>
      <c r="BJ6" s="92"/>
      <c r="BK6" s="92"/>
      <c r="BL6" s="92" t="s">
        <v>133</v>
      </c>
      <c r="BM6" s="51" t="s">
        <v>226</v>
      </c>
      <c r="BN6" s="51" t="s">
        <v>228</v>
      </c>
      <c r="BO6" s="91">
        <f>ROUND((((AW6*AZ6)+(BN6*BM6))/(AW6+BN6)),5)</f>
        <v>0.0847</v>
      </c>
      <c r="BP6" s="99">
        <f>BN6+AW6</f>
        <v>1036000</v>
      </c>
      <c r="BQ6" s="100">
        <v>123562</v>
      </c>
    </row>
    <row r="7" ht="15.15" spans="1:67">
      <c r="A7" s="60"/>
      <c r="C7" s="61" t="s">
        <v>89</v>
      </c>
      <c r="D7" s="62"/>
      <c r="E7" s="62"/>
      <c r="F7" s="62"/>
      <c r="G7" s="63"/>
      <c r="H7" s="64">
        <f>SUM(H4:H6)</f>
        <v>13967.73</v>
      </c>
      <c r="I7" s="58"/>
      <c r="J7" s="58"/>
      <c r="K7" s="58"/>
      <c r="L7" s="58"/>
      <c r="M7" s="58"/>
      <c r="N7" s="58"/>
      <c r="O7" s="58"/>
      <c r="P7" s="58"/>
      <c r="Q7" s="58"/>
      <c r="R7" s="64">
        <f>SUM(R4:R6)</f>
        <v>755.04</v>
      </c>
      <c r="S7" s="64">
        <f>SUM(S4:S6)</f>
        <v>13212.69</v>
      </c>
      <c r="T7" s="64"/>
      <c r="U7" s="64"/>
      <c r="V7" s="80">
        <f t="shared" ref="V7:AE7" si="23">SUM(V4:V6)</f>
        <v>1189.14</v>
      </c>
      <c r="W7" s="80">
        <f t="shared" si="23"/>
        <v>1189.14</v>
      </c>
      <c r="X7" s="80">
        <f t="shared" si="23"/>
        <v>0</v>
      </c>
      <c r="Y7" s="80">
        <f t="shared" si="23"/>
        <v>0</v>
      </c>
      <c r="Z7" s="84">
        <f t="shared" si="23"/>
        <v>0</v>
      </c>
      <c r="AA7" s="80">
        <f t="shared" si="23"/>
        <v>0</v>
      </c>
      <c r="AB7" s="64">
        <f t="shared" si="23"/>
        <v>2378.28</v>
      </c>
      <c r="AC7" s="85">
        <f t="shared" si="23"/>
        <v>14309.35</v>
      </c>
      <c r="AD7" s="86">
        <f t="shared" si="23"/>
        <v>690</v>
      </c>
      <c r="AE7" s="86">
        <f t="shared" si="23"/>
        <v>0</v>
      </c>
      <c r="AF7" s="85"/>
      <c r="AG7" s="86">
        <f>SUM(AG4:AG6)</f>
        <v>0</v>
      </c>
      <c r="AH7" s="86">
        <f>IF($P$2=1,(S7/$S$7)*$E$21,AD7/$AD$7*$E$21)</f>
        <v>0</v>
      </c>
      <c r="AI7" s="86">
        <f>SUM(AI4:AI6)</f>
        <v>13212.69</v>
      </c>
      <c r="AJ7" s="86">
        <f>SUM(AJ4:AJ6)</f>
        <v>0</v>
      </c>
      <c r="AK7" s="86">
        <f>SUM(AK4:AK6)</f>
        <v>0</v>
      </c>
      <c r="AL7" s="85"/>
      <c r="AM7" s="85"/>
      <c r="AN7" s="85"/>
      <c r="AO7" s="85"/>
      <c r="AP7" s="85"/>
      <c r="AQ7" s="85"/>
      <c r="AR7" s="85"/>
      <c r="AS7" s="60"/>
      <c r="AT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</row>
    <row r="8" ht="15.15" spans="1:67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</row>
    <row r="9" ht="15.15" spans="1:67">
      <c r="A9" s="60"/>
      <c r="B9" s="60"/>
      <c r="C9" s="60"/>
      <c r="D9" s="60"/>
      <c r="E9" s="60"/>
      <c r="F9" s="60"/>
      <c r="G9" s="65" t="s">
        <v>90</v>
      </c>
      <c r="H9" s="66"/>
      <c r="I9" s="70">
        <f>H7</f>
        <v>13967.73</v>
      </c>
      <c r="J9" s="70"/>
      <c r="K9" s="71"/>
      <c r="L9" s="60"/>
      <c r="M9" s="72" t="s">
        <v>91</v>
      </c>
      <c r="N9" s="73"/>
      <c r="O9" s="73"/>
      <c r="P9" s="74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 t="s">
        <v>92</v>
      </c>
      <c r="BI9" s="120" t="s">
        <v>93</v>
      </c>
      <c r="BJ9" s="60"/>
      <c r="BK9" s="60"/>
      <c r="BL9" s="60"/>
      <c r="BM9" s="60"/>
      <c r="BN9" s="60"/>
      <c r="BO9" s="60"/>
    </row>
    <row r="10" ht="15.15" spans="1:67">
      <c r="A10" s="60"/>
      <c r="B10" s="60"/>
      <c r="C10" s="60"/>
      <c r="D10" s="60"/>
      <c r="E10" s="60"/>
      <c r="F10" s="60"/>
      <c r="G10" s="65" t="s">
        <v>94</v>
      </c>
      <c r="H10" s="66"/>
      <c r="I10" s="70">
        <f>R7</f>
        <v>755.04</v>
      </c>
      <c r="J10" s="70"/>
      <c r="K10" s="60"/>
      <c r="L10" s="60"/>
      <c r="M10" s="75">
        <v>1</v>
      </c>
      <c r="N10" s="75" t="s">
        <v>76</v>
      </c>
      <c r="O10" s="75">
        <v>2</v>
      </c>
      <c r="P10" s="75" t="s">
        <v>95</v>
      </c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 t="s">
        <v>96</v>
      </c>
      <c r="BI10" s="120" t="s">
        <v>97</v>
      </c>
      <c r="BJ10" s="60"/>
      <c r="BK10" s="60"/>
      <c r="BL10" s="60"/>
      <c r="BM10" s="60"/>
      <c r="BN10" s="60"/>
      <c r="BO10" s="60"/>
    </row>
    <row r="11" ht="15.15" spans="1:67">
      <c r="A11" s="60"/>
      <c r="B11" s="60"/>
      <c r="C11" s="60"/>
      <c r="D11" s="60"/>
      <c r="E11" s="60"/>
      <c r="F11" s="60"/>
      <c r="G11" s="65" t="s">
        <v>98</v>
      </c>
      <c r="H11" s="66"/>
      <c r="I11" s="70">
        <f>S7</f>
        <v>13212.69</v>
      </c>
      <c r="J11" s="70"/>
      <c r="K11" s="60"/>
      <c r="L11" s="60"/>
      <c r="M11" s="58">
        <v>1</v>
      </c>
      <c r="N11" s="58" t="s">
        <v>76</v>
      </c>
      <c r="O11" s="58">
        <v>2.5</v>
      </c>
      <c r="P11" s="58" t="s">
        <v>99</v>
      </c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</row>
    <row r="12" ht="15.15" spans="1:67">
      <c r="A12" s="60"/>
      <c r="B12" s="60"/>
      <c r="C12" s="60"/>
      <c r="D12" s="60"/>
      <c r="E12" s="60"/>
      <c r="F12" s="60"/>
      <c r="G12" s="65" t="s">
        <v>100</v>
      </c>
      <c r="H12" s="66"/>
      <c r="I12" s="70">
        <f>AB7</f>
        <v>2378.28</v>
      </c>
      <c r="J12" s="70"/>
      <c r="K12" s="60"/>
      <c r="L12" s="60"/>
      <c r="M12" s="58">
        <v>1</v>
      </c>
      <c r="N12" s="58" t="s">
        <v>95</v>
      </c>
      <c r="O12" s="58">
        <v>0.001</v>
      </c>
      <c r="P12" s="58" t="s">
        <v>101</v>
      </c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</row>
    <row r="13" ht="15.15" spans="1:67">
      <c r="A13" s="60"/>
      <c r="B13" s="60"/>
      <c r="C13" s="60"/>
      <c r="D13" s="60"/>
      <c r="E13" s="60"/>
      <c r="F13" s="60"/>
      <c r="G13" s="65" t="s">
        <v>102</v>
      </c>
      <c r="H13" s="66"/>
      <c r="I13" s="76">
        <f>I11+I12</f>
        <v>15590.97</v>
      </c>
      <c r="J13" s="7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</row>
    <row r="14" spans="1:67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0"/>
      <c r="BJ14" s="60"/>
      <c r="BK14" s="60"/>
      <c r="BL14" s="60"/>
      <c r="BM14" s="60" t="s">
        <v>103</v>
      </c>
      <c r="BN14" s="60" t="s">
        <v>104</v>
      </c>
      <c r="BO14" s="60"/>
    </row>
    <row r="15" spans="1:67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0"/>
      <c r="BJ15" s="60"/>
      <c r="BK15" s="60" t="s">
        <v>105</v>
      </c>
      <c r="BL15" s="60">
        <v>12.5</v>
      </c>
      <c r="BM15" s="60">
        <f>BL17*BL18</f>
        <v>18277.77</v>
      </c>
      <c r="BN15" s="60">
        <f>BL15*BL16</f>
        <v>6092.59</v>
      </c>
      <c r="BO15" s="60"/>
    </row>
    <row r="16" spans="1:67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 t="s">
        <v>106</v>
      </c>
      <c r="BL16" s="60">
        <v>487.4072</v>
      </c>
      <c r="BM16" s="60">
        <f>BL15+BL17</f>
        <v>50</v>
      </c>
      <c r="BN16" s="60"/>
      <c r="BO16" s="60"/>
    </row>
    <row r="17" spans="1:6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 t="s">
        <v>107</v>
      </c>
      <c r="BL17" s="60">
        <v>37.5</v>
      </c>
      <c r="BM17" s="60"/>
      <c r="BN17" s="60"/>
      <c r="BO17" s="60"/>
    </row>
    <row r="18" spans="1:67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 t="s">
        <v>108</v>
      </c>
      <c r="BL18" s="60">
        <v>487.4072</v>
      </c>
      <c r="BM18" s="60"/>
      <c r="BN18" s="60"/>
      <c r="BO18" s="60"/>
    </row>
    <row r="19" spans="1:67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>
        <f>BM15+BN15</f>
        <v>24370.36</v>
      </c>
      <c r="BN19" s="60">
        <f>BM19/BM16</f>
        <v>487.4072</v>
      </c>
      <c r="BO19" s="60"/>
    </row>
    <row r="20" spans="1:67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</row>
    <row r="21" spans="1:67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width="28" customWidth="1"/>
    <col min="3" max="3" width="23.287037037037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229</v>
      </c>
      <c r="C4" s="7" t="s">
        <v>229</v>
      </c>
      <c r="D4" s="7" t="s">
        <v>76</v>
      </c>
      <c r="E4" s="7" t="s">
        <v>95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>
        <v>230</v>
      </c>
      <c r="AV4" t="s">
        <v>115</v>
      </c>
      <c r="AW4" s="39">
        <f>AM4</f>
        <v>3.33333333333333</v>
      </c>
      <c r="AX4" s="42">
        <f>AR4</f>
        <v>373.635</v>
      </c>
      <c r="AY4" s="39">
        <f>AU4+AW4</f>
        <v>6.66633333333333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115</v>
      </c>
      <c r="BN4" t="s">
        <v>117</v>
      </c>
      <c r="BO4" s="39">
        <f>ROUND((((AW4*AZ4)+(BN4*BM4))/(AW4+BN4)),5)</f>
        <v>373.635</v>
      </c>
      <c r="BP4" s="48">
        <f>ROUND(BN4+AW4,3)</f>
        <v>16.665</v>
      </c>
      <c r="BQ4" s="49">
        <v>123562</v>
      </c>
    </row>
    <row r="5" ht="15.15" spans="1:69">
      <c r="A5" s="7">
        <v>1</v>
      </c>
      <c r="B5" s="7" t="s">
        <v>231</v>
      </c>
      <c r="C5" s="7" t="s">
        <v>231</v>
      </c>
      <c r="D5" s="7" t="s">
        <v>76</v>
      </c>
      <c r="E5" s="7" t="s">
        <v>95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IF(OR(PoToMRVWOIpDUom!$C$2=1,PoToMRVWOIpDUom!$C$2=4),ROUND((((S5*U5)/100)/2),2),0)</f>
        <v>0</v>
      </c>
      <c r="W5" s="8">
        <f>IF(PoToMRVWOIpDUom!$C$2=1,ROUND((((S5*U5)/100)/2),2),0)</f>
        <v>0</v>
      </c>
      <c r="X5" s="8">
        <f>IF(PoToMRVWOIpDUom!$C$2=2,ROUND(((S5*U5)/100),2),0)</f>
        <v>59.12</v>
      </c>
      <c r="Y5" s="8">
        <f>IF(PoToMRVWOIpDUom!$C$2=4,ROUND((((S5*U5)/100)/2),2),0)</f>
        <v>0</v>
      </c>
      <c r="Z5" s="8">
        <v>0</v>
      </c>
      <c r="AA5" s="8">
        <f>IF(PoToMRVWOIpDUom!$C3=3,0,(S5*Z5)/100)</f>
        <v>0</v>
      </c>
      <c r="AB5" s="8">
        <f>V5+W5+X5+Y5+AA5</f>
        <v>59.12</v>
      </c>
      <c r="AC5" s="8">
        <f>IF(PoToMRVWOIpDUom!$V3=1,S5+AB5,S5)</f>
        <v>328.47</v>
      </c>
      <c r="AD5" s="31">
        <v>120</v>
      </c>
      <c r="AE5" s="31">
        <f>IF(PoToMRVWOIpDUom!$P$2=1,(S5/PoToMRVWOIpDUom!$S$7)*PoToMRVWOIpDUom!$E$18,AD5/PoToMRVWOIpDUom!$AD$7*PoToMRVWOIpDUom!$E$18)</f>
        <v>0</v>
      </c>
      <c r="AF5" s="31"/>
      <c r="AG5" s="31">
        <f>IF(PoToMRVWOIpDUom!$P$2=1,(S5/PoToMRVWOIpDUom!$S$7)*PoToMRVWOIpDUom!$E$20,AD5/PoToMRVWOIpDUom!$AD$7*PoToMRVWOIpDUom!$E$20)</f>
        <v>0</v>
      </c>
      <c r="AH5" s="31">
        <f>IF(PoToMRVWOIpDUom!$P$2=1,(S5/PoToMRVWOIpDUom!$S$7)*PoToMRVWOIpDUom!$E$21,AD5/PoToMRVWOIpDUom!$AD$7*PoToMRVWOIpDUom!$E$21)</f>
        <v>0</v>
      </c>
      <c r="AI5" s="31">
        <f>S5*PoToMRVWOIpDUom!$M$2</f>
        <v>328.47</v>
      </c>
      <c r="AJ5" s="31">
        <f>IF(PoToMRVWOIpDUom!$C$2=3,0,AG5+AH5)</f>
        <v>0</v>
      </c>
      <c r="AK5" s="31">
        <f>IF(PoToMRVWOIpDUom!$C$2=3,AE5+AG5+AH5,0)</f>
        <v>0</v>
      </c>
      <c r="AL5" s="34">
        <v>3</v>
      </c>
      <c r="AM5" s="31">
        <f>F5/AL5</f>
        <v>1.33333333333333</v>
      </c>
      <c r="AN5" s="31">
        <f>ROUND(AI5/AM5,5)</f>
        <v>246.3525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246.3525</v>
      </c>
      <c r="AS5" s="38" t="s">
        <v>114</v>
      </c>
      <c r="AT5" s="39" t="s">
        <v>76</v>
      </c>
      <c r="AU5" t="s">
        <v>232</v>
      </c>
      <c r="AV5" t="s">
        <v>119</v>
      </c>
      <c r="AW5" s="39">
        <f>AM5</f>
        <v>1.33333333333333</v>
      </c>
      <c r="AX5" s="39">
        <f>AR5</f>
        <v>246.3525</v>
      </c>
      <c r="AY5" s="39">
        <f>AU5+AW5</f>
        <v>5.33233333333333</v>
      </c>
      <c r="AZ5" s="39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119</v>
      </c>
      <c r="BN5" t="s">
        <v>233</v>
      </c>
      <c r="BO5" s="39">
        <f>ROUND((((AW5*AZ5)+(BN5*BM5))/(AW5+BN5)),5)</f>
        <v>246.36</v>
      </c>
      <c r="BP5" s="48">
        <f>ROUND(BN5+AW5,3)</f>
        <v>3.999</v>
      </c>
      <c r="BQ5" s="49">
        <v>123562</v>
      </c>
    </row>
    <row r="6" ht="15.15" spans="1:69">
      <c r="A6" s="7">
        <v>1</v>
      </c>
      <c r="B6" s="7" t="s">
        <v>234</v>
      </c>
      <c r="C6" s="7" t="s">
        <v>234</v>
      </c>
      <c r="D6" s="7" t="s">
        <v>76</v>
      </c>
      <c r="E6" s="7" t="s">
        <v>95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IF(OR(PoToMRVWOIpDUom!$C$2=1,PoToMRVWOIpDUom!$C$2=4),ROUND((((S6*U6)/100)/2),2),0)</f>
        <v>0</v>
      </c>
      <c r="W6" s="8">
        <f>IF(PoToMRVWOIpDUom!$C$2=1,ROUND((((S6*U6)/100)/2),2),0)</f>
        <v>0</v>
      </c>
      <c r="X6" s="8">
        <f>IF(PoToMRVWOIpDUom!$C$2=2,ROUND(((S6*U6)/100),2),0)</f>
        <v>77.94</v>
      </c>
      <c r="Y6" s="8">
        <f>IF(PoToMRVWOIpDUom!$C$2=4,ROUND((((S6*U6)/100)/2),2),0)</f>
        <v>0</v>
      </c>
      <c r="Z6" s="8">
        <v>0</v>
      </c>
      <c r="AA6" s="8">
        <f>IF(PoToMRVWOIpDUom!$C4=3,0,(S6*Z6)/100)</f>
        <v>0</v>
      </c>
      <c r="AB6" s="8">
        <f>V6+W6+X6+Y6+AA6</f>
        <v>77.94</v>
      </c>
      <c r="AC6" s="8">
        <f>IF(PoToMRVWOIpDUom!$V4=1,S6+AB6,S6)</f>
        <v>433.01</v>
      </c>
      <c r="AD6" s="31">
        <v>120</v>
      </c>
      <c r="AE6" s="31">
        <f>IF(PoToMRVWOIpDUom!$P$2=1,(S6/PoToMRVWOIpDUom!$S$7)*PoToMRVWOIpDUom!$E$18,AD6/PoToMRVWOIpDUom!$AD$7*PoToMRVWOIpDUom!$E$18)</f>
        <v>0</v>
      </c>
      <c r="AF6" s="31"/>
      <c r="AG6" s="31">
        <f>IF(PoToMRVWOIpDUom!$P$2=1,(S6/PoToMRVWOIpDUom!$S$7)*PoToMRVWOIpDUom!$E$20,AD6/PoToMRVWOIpDUom!$AD$7*PoToMRVWOIpDUom!$E$20)</f>
        <v>0</v>
      </c>
      <c r="AH6" s="31">
        <f>IF(PoToMRVWOIpDUom!$P$2=1,(S6/PoToMRVWOIpDUom!$S$7)*PoToMRVWOIpDUom!$E$21,AD6/PoToMRVWOIpDUom!$AD$7*PoToMRVWOIpDUom!$E$21)</f>
        <v>0</v>
      </c>
      <c r="AI6" s="31">
        <f>S6*PoToMRVWOIpDUom!$M$2</f>
        <v>433.01</v>
      </c>
      <c r="AJ6" s="31">
        <f>IF(PoToMRVWOIpDUom!$C$2=3,0,AG6+AH6)</f>
        <v>0</v>
      </c>
      <c r="AK6" s="31">
        <f>IF(PoToMRVWOIpDUom!$C$2=3,AE6+AG6+AH6,0)</f>
        <v>0</v>
      </c>
      <c r="AL6" s="34">
        <v>3</v>
      </c>
      <c r="AM6" s="31">
        <f>F6/AL6</f>
        <v>3.33333333333333</v>
      </c>
      <c r="AN6" s="31">
        <f>ROUND(AI6/AM6,5)</f>
        <v>129.903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>
        <v>235</v>
      </c>
      <c r="AV6" t="s">
        <v>236</v>
      </c>
      <c r="AW6" s="39">
        <f>AM6</f>
        <v>3.33333333333333</v>
      </c>
      <c r="AX6" s="39">
        <f>AR6</f>
        <v>129.903</v>
      </c>
      <c r="AY6" s="39">
        <f>AU6+AW6</f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236</v>
      </c>
      <c r="BN6" t="s">
        <v>237</v>
      </c>
      <c r="BO6" s="39">
        <f>ROUND((((AW6*AZ6)+(BN6*BM6))/(AW6+BN6)),5)</f>
        <v>129.9</v>
      </c>
      <c r="BP6" s="48">
        <f>ROUND(BN6+AW6,3)</f>
        <v>9.999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width="28" customWidth="1"/>
    <col min="3" max="3" width="23.287037037037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238</v>
      </c>
      <c r="C4" s="7" t="s">
        <v>238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>
        <v>235</v>
      </c>
      <c r="AV4" t="s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115</v>
      </c>
      <c r="BN4" t="s">
        <v>230</v>
      </c>
      <c r="BO4" s="39">
        <f t="shared" ref="BO4:BO6" si="16">ROUND((((AW4*AZ4)+(BN4*BM4))/(AW4+BN4)),5)</f>
        <v>373.635</v>
      </c>
      <c r="BP4" s="48">
        <f t="shared" ref="BP4:BP6" si="17">ROUND(BN4+AW4,3)</f>
        <v>6.666</v>
      </c>
      <c r="BQ4" s="49">
        <v>123562</v>
      </c>
    </row>
    <row r="5" ht="15.15" spans="1:69">
      <c r="A5" s="7">
        <v>1</v>
      </c>
      <c r="B5" s="7" t="s">
        <v>239</v>
      </c>
      <c r="C5" s="7" t="s">
        <v>239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IF(OR(PoToMRVWOIpDUomRc!$C$2=1,PoToMRVWOIpDUomRc!$C$2=4),ROUND((((S5*U5)/100)/2),2),0)</f>
        <v>0</v>
      </c>
      <c r="W5" s="8">
        <f>IF(PoToMRVWOIpDUomRc!$C$2=1,ROUND((((S5*U5)/100)/2),2),0)</f>
        <v>0</v>
      </c>
      <c r="X5" s="8">
        <f>IF(PoToMRVWOIpDUomRc!$C$2=2,ROUND(((S5*U5)/100),2),0)</f>
        <v>147.81</v>
      </c>
      <c r="Y5" s="8">
        <f>IF(PoToMRVWOIpDUomRc!$C$2=4,ROUND((((S5*U5)/100)/2),2),0)</f>
        <v>0</v>
      </c>
      <c r="Z5" s="8">
        <v>0</v>
      </c>
      <c r="AA5" s="8">
        <f>IF(PoToMRVWOIpDUomRc!$C3=3,0,(S5*Z5)/100)</f>
        <v>0</v>
      </c>
      <c r="AB5" s="8">
        <f t="shared" si="9"/>
        <v>147.81</v>
      </c>
      <c r="AC5" s="8">
        <f>IF(PoToMRVWOIpDUomRc!$V3=1,S5+AB5,S5)</f>
        <v>821.18</v>
      </c>
      <c r="AD5" s="31">
        <v>120</v>
      </c>
      <c r="AE5" s="31">
        <f>IF(PoToMRVWOIpDUomRc!$P$2=1,(S5/PoToMRVWOIpDUomRc!$S$7)*PoToMRVWOIpDUomRc!$E$18,AD5/PoToMRVWOIpDUomRc!$AD$7*PoToMRVWOIpDUomRc!$E$18)</f>
        <v>0</v>
      </c>
      <c r="AF5" s="31"/>
      <c r="AG5" s="31">
        <f>IF(PoToMRVWOIpDUomRc!$P$2=1,(S5/PoToMRVWOIpDUomRc!$S$7)*PoToMRVWOIpDUomRc!$E$20,AD5/PoToMRVWOIpDUomRc!$AD$7*PoToMRVWOIpDUomRc!$E$20)</f>
        <v>0</v>
      </c>
      <c r="AH5" s="31">
        <f>IF(PoToMRVWOIpDUomRc!$P$2=1,(S5/PoToMRVWOIpDUomRc!$S$7)*PoToMRVWOIpDUomRc!$E$21,AD5/PoToMRVWOIpDUomRc!$AD$7*PoToMRVWOIpDUomRc!$E$21)</f>
        <v>0</v>
      </c>
      <c r="AI5" s="31">
        <f>S5*PoToMRVWOIpDUomRc!$M$2</f>
        <v>821.18</v>
      </c>
      <c r="AJ5" s="31">
        <f>IF(PoToMRVWOIpDUomRc!$C$2=3,0,AG5+AH5)</f>
        <v>0</v>
      </c>
      <c r="AK5" s="31">
        <f>IF(PoToMRVWOIpDUomRc!$C$2=3,AE5+AG5+AH5,0)</f>
        <v>0</v>
      </c>
      <c r="AL5" s="34">
        <v>3</v>
      </c>
      <c r="AM5" s="31">
        <f t="shared" si="10"/>
        <v>3.33333333333333</v>
      </c>
      <c r="AN5" s="31">
        <f>ROUND(AI5/AM5,5)</f>
        <v>246.354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246.354</v>
      </c>
      <c r="AS5" s="38" t="s">
        <v>114</v>
      </c>
      <c r="AT5" s="39" t="s">
        <v>76</v>
      </c>
      <c r="AU5">
        <v>3.999</v>
      </c>
      <c r="AV5">
        <v>246.36</v>
      </c>
      <c r="AW5" s="39">
        <f t="shared" si="13"/>
        <v>3.33333333333333</v>
      </c>
      <c r="AX5" s="46">
        <f t="shared" si="14"/>
        <v>246.354</v>
      </c>
      <c r="AY5" s="39">
        <f t="shared" si="15"/>
        <v>7.33233333333333</v>
      </c>
      <c r="AZ5" s="46">
        <f>ROUND(((AU5*AV5)+(AW5*AX5))/(AU5+AW5),5)</f>
        <v>246.35727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119</v>
      </c>
      <c r="BN5" t="s">
        <v>240</v>
      </c>
      <c r="BO5" s="39">
        <f>ROUND((((AW5*AZ5)+(BN5*BM5))/(AW5+BN5)),2)</f>
        <v>246.36</v>
      </c>
      <c r="BP5" s="48">
        <f t="shared" si="17"/>
        <v>4.666</v>
      </c>
      <c r="BQ5" s="49">
        <v>123562</v>
      </c>
    </row>
    <row r="6" ht="15.15" spans="1:69">
      <c r="A6" s="7">
        <v>1</v>
      </c>
      <c r="B6" s="7" t="s">
        <v>241</v>
      </c>
      <c r="C6" s="7" t="s">
        <v>241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IF(OR(PoToMRVWOIpDUomRc!$C$2=1,PoToMRVWOIpDUomRc!$C$2=4),ROUND((((S6*U6)/100)/2),2),0)</f>
        <v>0</v>
      </c>
      <c r="W6" s="8">
        <f>IF(PoToMRVWOIpDUomRc!$C$2=1,ROUND((((S6*U6)/100)/2),2),0)</f>
        <v>0</v>
      </c>
      <c r="X6" s="8">
        <f>IF(PoToMRVWOIpDUomRc!$C$2=2,ROUND(((S6*U6)/100),2),0)</f>
        <v>77.94</v>
      </c>
      <c r="Y6" s="8">
        <f>IF(PoToMRVWOIpDUomRc!$C$2=4,ROUND((((S6*U6)/100)/2),2),0)</f>
        <v>0</v>
      </c>
      <c r="Z6" s="8">
        <v>0</v>
      </c>
      <c r="AA6" s="8">
        <f>IF(PoToMRVWOIpDUomRc!$C4=3,0,(S6*Z6)/100)</f>
        <v>0</v>
      </c>
      <c r="AB6" s="8">
        <f t="shared" si="9"/>
        <v>77.94</v>
      </c>
      <c r="AC6" s="8">
        <f>IF(PoToMRVWOIpDUomRc!$V4=1,S6+AB6,S6)</f>
        <v>433.01</v>
      </c>
      <c r="AD6" s="31">
        <v>120</v>
      </c>
      <c r="AE6" s="31">
        <f>IF(PoToMRVWOIpDUomRc!$P$2=1,(S6/PoToMRVWOIpDUomRc!$S$7)*PoToMRVWOIpDUomRc!$E$18,AD6/PoToMRVWOIpDUomRc!$AD$7*PoToMRVWOIpDUomRc!$E$18)</f>
        <v>0</v>
      </c>
      <c r="AF6" s="31"/>
      <c r="AG6" s="31">
        <f>IF(PoToMRVWOIpDUomRc!$P$2=1,(S6/PoToMRVWOIpDUomRc!$S$7)*PoToMRVWOIpDUomRc!$E$20,AD6/PoToMRVWOIpDUomRc!$AD$7*PoToMRVWOIpDUomRc!$E$20)</f>
        <v>0</v>
      </c>
      <c r="AH6" s="31">
        <f>IF(PoToMRVWOIpDUomRc!$P$2=1,(S6/PoToMRVWOIpDUomRc!$S$7)*PoToMRVWOIpDUomRc!$E$21,AD6/PoToMRVWOIpDUomRc!$AD$7*PoToMRVWOIpDUomRc!$E$21)</f>
        <v>0</v>
      </c>
      <c r="AI6" s="31">
        <f>S6*PoToMRVWOIpDUomRc!$M$2</f>
        <v>433.01</v>
      </c>
      <c r="AJ6" s="31">
        <f>IF(PoToMRVWOIpDUomRc!$C$2=3,0,AG6+AH6)</f>
        <v>0</v>
      </c>
      <c r="AK6" s="31">
        <f>IF(PoToMRVWOIpDUomRc!$C$2=3,AE6+AG6+AH6,0)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>
        <v>235</v>
      </c>
      <c r="AV6" t="s">
        <v>236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236</v>
      </c>
      <c r="BN6" t="s">
        <v>230</v>
      </c>
      <c r="BO6" s="39">
        <f t="shared" si="16"/>
        <v>129.9</v>
      </c>
      <c r="BP6" s="48">
        <f t="shared" si="17"/>
        <v>6.666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C4" sqref="C4"/>
    </sheetView>
  </sheetViews>
  <sheetFormatPr defaultColWidth="8.85185185185185" defaultRowHeight="14.4"/>
  <cols>
    <col min="2" max="2" width="28" customWidth="1"/>
    <col min="3" max="3" width="30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242</v>
      </c>
      <c r="C4" s="7" t="s">
        <v>242</v>
      </c>
      <c r="D4" s="7" t="s">
        <v>76</v>
      </c>
      <c r="E4" s="7" t="s">
        <v>95</v>
      </c>
      <c r="F4" s="8">
        <v>10</v>
      </c>
      <c r="G4" t="s">
        <v>77</v>
      </c>
      <c r="H4" s="8">
        <f t="shared" ref="H4:H6" si="0">F4*G4</f>
        <v>1500</v>
      </c>
      <c r="I4" t="s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>
        <v>85</v>
      </c>
      <c r="AV4" t="s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115</v>
      </c>
      <c r="BN4" t="s">
        <v>117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15" spans="1:69">
      <c r="A5" s="7">
        <v>1</v>
      </c>
      <c r="B5" s="7" t="s">
        <v>243</v>
      </c>
      <c r="C5" s="7" t="s">
        <v>243</v>
      </c>
      <c r="D5" s="7" t="s">
        <v>76</v>
      </c>
      <c r="E5" s="7" t="s">
        <v>95</v>
      </c>
      <c r="F5" s="8">
        <v>20</v>
      </c>
      <c r="G5" t="s">
        <v>87</v>
      </c>
      <c r="H5" s="8">
        <f t="shared" si="0"/>
        <v>2000</v>
      </c>
      <c r="I5" t="s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IF(OR(PoToMRVWFPDUomRc!$C$2=1,PoToMRVWFPDUomRc!$C$2=4),ROUND((((S5*U5)/100)/2),2),0)</f>
        <v>0</v>
      </c>
      <c r="W5" s="8">
        <f>IF(PoToMRVWFPDUomRc!$C$2=1,ROUND((((S5*U5)/100)/2),2),0)</f>
        <v>0</v>
      </c>
      <c r="X5" s="8">
        <f>IF(PoToMRVWFPDUomRc!$C$2=2,ROUND(((S5*U5)/100),2),0)</f>
        <v>295.63</v>
      </c>
      <c r="Y5" s="8">
        <f>IF(PoToMRVWFPDUomRc!$C$2=4,ROUND((((S5*U5)/100)/2),2),0)</f>
        <v>0</v>
      </c>
      <c r="Z5" s="8">
        <v>0</v>
      </c>
      <c r="AA5" s="8">
        <f>IF(PoToMRVWFPDUomRc!$C3=3,0,(S5*Z5)/100)</f>
        <v>0</v>
      </c>
      <c r="AB5" s="8">
        <f t="shared" si="9"/>
        <v>295.63</v>
      </c>
      <c r="AC5" s="8">
        <f>IF(PoToMRVWFPDUomRc!$V3=1,S5+AB5,S5)</f>
        <v>1642.37</v>
      </c>
      <c r="AD5" s="31">
        <v>120</v>
      </c>
      <c r="AE5" s="31">
        <f>IF(PoToMRVWFPDUomRc!$P$2=1,(S5/PoToMRVWFPDUomRc!$S$7)*PoToMRVWFPDUomRc!$E$18,AD5/PoToMRVWFPDUomRc!$AD$7*PoToMRVWFPDUomRc!$E$18)</f>
        <v>0</v>
      </c>
      <c r="AF5" s="31"/>
      <c r="AG5" s="31">
        <f>IF(PoToMRVWFPDUomRc!$P$2=1,(S5/PoToMRVWFPDUomRc!$S$7)*PoToMRVWFPDUomRc!$E$20,AD5/PoToMRVWFPDUomRc!$AD$7*PoToMRVWFPDUomRc!$E$20)</f>
        <v>0</v>
      </c>
      <c r="AH5" s="31">
        <f>IF(PoToMRVWFPDUomRc!$P$2=1,(S5/PoToMRVWFPDUomRc!$S$7)*PoToMRVWFPDUomRc!$E$21,AD5/PoToMRVWFPDUomRc!$AD$7*PoToMRVWFPDUomRc!$E$21)</f>
        <v>0</v>
      </c>
      <c r="AI5" s="31">
        <f>S5*PoToMRVWFPDUomRc!$M$2</f>
        <v>1642.37</v>
      </c>
      <c r="AJ5" s="31">
        <f>IF(PoToMRVWFPDUomRc!$C$2=3,0,AG5+AH5)</f>
        <v>0</v>
      </c>
      <c r="AK5" s="31">
        <f>IF(PoToMRVWFPDUomRc!$C$2=3,AE5+AG5+AH5,0)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114</v>
      </c>
      <c r="AT5" s="39" t="s">
        <v>76</v>
      </c>
      <c r="AU5" t="s">
        <v>85</v>
      </c>
      <c r="AV5" t="s">
        <v>119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119</v>
      </c>
      <c r="BN5" t="s">
        <v>189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15" spans="1:69">
      <c r="A6" s="7">
        <v>1</v>
      </c>
      <c r="B6" s="7" t="s">
        <v>244</v>
      </c>
      <c r="C6" s="7" t="s">
        <v>244</v>
      </c>
      <c r="D6" s="7" t="s">
        <v>76</v>
      </c>
      <c r="E6" s="7" t="s">
        <v>95</v>
      </c>
      <c r="F6" s="8">
        <v>10</v>
      </c>
      <c r="G6" t="s">
        <v>175</v>
      </c>
      <c r="H6" s="8">
        <f t="shared" si="0"/>
        <v>500</v>
      </c>
      <c r="I6" t="s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IF(OR(PoToMRVWFPDUomRc!$C$2=1,PoToMRVWFPDUomRc!$C$2=4),ROUND((((S6*U6)/100)/2),2),0)</f>
        <v>0</v>
      </c>
      <c r="W6" s="8">
        <f>IF(PoToMRVWFPDUomRc!$C$2=1,ROUND((((S6*U6)/100)/2),2),0)</f>
        <v>0</v>
      </c>
      <c r="X6" s="8">
        <f>IF(PoToMRVWFPDUomRc!$C$2=2,ROUND(((S6*U6)/100),2),0)</f>
        <v>77.94</v>
      </c>
      <c r="Y6" s="8">
        <f>IF(PoToMRVWFPDUomRc!$C$2=4,ROUND((((S6*U6)/100)/2),2),0)</f>
        <v>0</v>
      </c>
      <c r="Z6" s="8">
        <v>0</v>
      </c>
      <c r="AA6" s="8">
        <f>IF(PoToMRVWFPDUomRc!$C4=3,0,(S6*Z6)/100)</f>
        <v>0</v>
      </c>
      <c r="AB6" s="8">
        <f t="shared" si="9"/>
        <v>77.94</v>
      </c>
      <c r="AC6" s="8">
        <f>IF(PoToMRVWFPDUomRc!$V4=1,S6+AB6,S6)</f>
        <v>433.01</v>
      </c>
      <c r="AD6" s="31">
        <v>120</v>
      </c>
      <c r="AE6" s="31">
        <f>IF(PoToMRVWFPDUomRc!$P$2=1,(S6/PoToMRVWFPDUomRc!$S$7)*PoToMRVWFPDUomRc!$E$18,AD6/PoToMRVWFPDUomRc!$AD$7*PoToMRVWFPDUomRc!$E$18)</f>
        <v>0</v>
      </c>
      <c r="AF6" s="31"/>
      <c r="AG6" s="31">
        <f>IF(PoToMRVWFPDUomRc!$P$2=1,(S6/PoToMRVWFPDUomRc!$S$7)*PoToMRVWFPDUomRc!$E$20,AD6/PoToMRVWFPDUomRc!$AD$7*PoToMRVWFPDUomRc!$E$20)</f>
        <v>0</v>
      </c>
      <c r="AH6" s="31">
        <f>IF(PoToMRVWFPDUomRc!$P$2=1,(S6/PoToMRVWFPDUomRc!$S$7)*PoToMRVWFPDUomRc!$E$21,AD6/PoToMRVWFPDUomRc!$AD$7*PoToMRVWFPDUomRc!$E$21)</f>
        <v>0</v>
      </c>
      <c r="AI6" s="31">
        <f>S6*PoToMRVWFPDUomRc!$M$2</f>
        <v>433.01</v>
      </c>
      <c r="AJ6" s="31">
        <f>IF(PoToMRVWFPDUomRc!$C$2=3,0,AG6+AH6)</f>
        <v>0</v>
      </c>
      <c r="AK6" s="31">
        <f>IF(PoToMRVWFPDUomRc!$C$2=3,AE6+AG6+AH6,0)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>
        <v>85</v>
      </c>
      <c r="AV6" t="s">
        <v>236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236</v>
      </c>
      <c r="BN6" t="s">
        <v>117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workbookViewId="0">
      <selection activeCell="K12" sqref="K12"/>
    </sheetView>
  </sheetViews>
  <sheetFormatPr defaultColWidth="8.85185185185185" defaultRowHeight="14.4"/>
  <cols>
    <col min="2" max="2" width="28" customWidth="1"/>
    <col min="3" max="3" width="30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242</v>
      </c>
      <c r="C4" s="7" t="s">
        <v>242</v>
      </c>
      <c r="D4" s="7" t="s">
        <v>76</v>
      </c>
      <c r="E4" s="7" t="s">
        <v>95</v>
      </c>
      <c r="F4" s="8">
        <v>10</v>
      </c>
      <c r="G4" t="s">
        <v>77</v>
      </c>
      <c r="H4" s="8">
        <f t="shared" ref="H4:H6" si="0">F4*G4</f>
        <v>1500</v>
      </c>
      <c r="I4" t="s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>
        <v>85</v>
      </c>
      <c r="AV4" t="s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115</v>
      </c>
      <c r="BN4" t="s">
        <v>117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15" spans="1:69">
      <c r="A5" s="7">
        <v>1</v>
      </c>
      <c r="B5" s="7" t="s">
        <v>243</v>
      </c>
      <c r="C5" s="7" t="s">
        <v>243</v>
      </c>
      <c r="D5" s="7" t="s">
        <v>76</v>
      </c>
      <c r="E5" s="7" t="s">
        <v>95</v>
      </c>
      <c r="F5" s="8">
        <v>20</v>
      </c>
      <c r="G5" t="s">
        <v>87</v>
      </c>
      <c r="H5" s="8">
        <f t="shared" si="0"/>
        <v>2000</v>
      </c>
      <c r="I5" t="s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IF(OR(PoToMRVWoQDUomRc!$C$2=1,PoToMRVWoQDUomRc!$C$2=4),ROUND((((S5*U5)/100)/2),2),0)</f>
        <v>0</v>
      </c>
      <c r="W5" s="8">
        <f>IF(PoToMRVWoQDUomRc!$C$2=1,ROUND((((S5*U5)/100)/2),2),0)</f>
        <v>0</v>
      </c>
      <c r="X5" s="8">
        <f>IF(PoToMRVWoQDUomRc!$C$2=2,ROUND(((S5*U5)/100),2),0)</f>
        <v>295.63</v>
      </c>
      <c r="Y5" s="8">
        <f>IF(PoToMRVWoQDUomRc!$C$2=4,ROUND((((S5*U5)/100)/2),2),0)</f>
        <v>0</v>
      </c>
      <c r="Z5" s="8">
        <v>0</v>
      </c>
      <c r="AA5" s="8">
        <f>IF(PoToMRVWoQDUomRc!$C3=3,0,(S5*Z5)/100)</f>
        <v>0</v>
      </c>
      <c r="AB5" s="8">
        <f t="shared" si="9"/>
        <v>295.63</v>
      </c>
      <c r="AC5" s="8">
        <f>IF(PoToMRVWoQDUomRc!$V3=1,S5+AB5,S5)</f>
        <v>1642.37</v>
      </c>
      <c r="AD5" s="31">
        <v>120</v>
      </c>
      <c r="AE5" s="31">
        <f>IF(PoToMRVWoQDUomRc!$P$2=1,(S5/PoToMRVWoQDUomRc!$S$7)*PoToMRVWoQDUomRc!$E$18,AD5/PoToMRVWoQDUomRc!$AD$7*PoToMRVWoQDUomRc!$E$18)</f>
        <v>0</v>
      </c>
      <c r="AF5" s="31"/>
      <c r="AG5" s="31">
        <f>IF(PoToMRVWoQDUomRc!$P$2=1,(S5/PoToMRVWoQDUomRc!$S$7)*PoToMRVWoQDUomRc!$E$20,AD5/PoToMRVWoQDUomRc!$AD$7*PoToMRVWoQDUomRc!$E$20)</f>
        <v>0</v>
      </c>
      <c r="AH5" s="31">
        <f>IF(PoToMRVWoQDUomRc!$P$2=1,(S5/PoToMRVWoQDUomRc!$S$7)*PoToMRVWoQDUomRc!$E$21,AD5/PoToMRVWoQDUomRc!$AD$7*PoToMRVWoQDUomRc!$E$21)</f>
        <v>0</v>
      </c>
      <c r="AI5" s="31">
        <f>S5*PoToMRVWoQDUomRc!$M$2</f>
        <v>1642.37</v>
      </c>
      <c r="AJ5" s="31">
        <f>IF(PoToMRVWoQDUomRc!$C$2=3,0,AG5+AH5)</f>
        <v>0</v>
      </c>
      <c r="AK5" s="31">
        <f>IF(PoToMRVWoQDUomRc!$C$2=3,AE5+AG5+AH5,0)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114</v>
      </c>
      <c r="AT5" s="39" t="s">
        <v>76</v>
      </c>
      <c r="AU5" t="s">
        <v>85</v>
      </c>
      <c r="AV5" t="s">
        <v>119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119</v>
      </c>
      <c r="BN5" t="s">
        <v>189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15" spans="1:69">
      <c r="A6" s="7">
        <v>1</v>
      </c>
      <c r="B6" s="7" t="s">
        <v>244</v>
      </c>
      <c r="C6" s="7" t="s">
        <v>244</v>
      </c>
      <c r="D6" s="7" t="s">
        <v>76</v>
      </c>
      <c r="E6" s="7" t="s">
        <v>95</v>
      </c>
      <c r="F6" s="8">
        <v>10</v>
      </c>
      <c r="G6" t="s">
        <v>175</v>
      </c>
      <c r="H6" s="8">
        <f t="shared" si="0"/>
        <v>500</v>
      </c>
      <c r="I6" t="s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IF(OR(PoToMRVWoQDUomRc!$C$2=1,PoToMRVWoQDUomRc!$C$2=4),ROUND((((S6*U6)/100)/2),2),0)</f>
        <v>0</v>
      </c>
      <c r="W6" s="8">
        <f>IF(PoToMRVWoQDUomRc!$C$2=1,ROUND((((S6*U6)/100)/2),2),0)</f>
        <v>0</v>
      </c>
      <c r="X6" s="8">
        <f>IF(PoToMRVWoQDUomRc!$C$2=2,ROUND(((S6*U6)/100),2),0)</f>
        <v>77.94</v>
      </c>
      <c r="Y6" s="8">
        <f>IF(PoToMRVWoQDUomRc!$C$2=4,ROUND((((S6*U6)/100)/2),2),0)</f>
        <v>0</v>
      </c>
      <c r="Z6" s="8">
        <v>0</v>
      </c>
      <c r="AA6" s="8">
        <f>IF(PoToMRVWoQDUomRc!$C4=3,0,(S6*Z6)/100)</f>
        <v>0</v>
      </c>
      <c r="AB6" s="8">
        <f t="shared" si="9"/>
        <v>77.94</v>
      </c>
      <c r="AC6" s="8">
        <f>IF(PoToMRVWoQDUomRc!$V4=1,S6+AB6,S6)</f>
        <v>433.01</v>
      </c>
      <c r="AD6" s="31">
        <v>120</v>
      </c>
      <c r="AE6" s="31">
        <f>IF(PoToMRVWoQDUomRc!$P$2=1,(S6/PoToMRVWoQDUomRc!$S$7)*PoToMRVWoQDUomRc!$E$18,AD6/PoToMRVWoQDUomRc!$AD$7*PoToMRVWoQDUomRc!$E$18)</f>
        <v>0</v>
      </c>
      <c r="AF6" s="31"/>
      <c r="AG6" s="31">
        <f>IF(PoToMRVWoQDUomRc!$P$2=1,(S6/PoToMRVWoQDUomRc!$S$7)*PoToMRVWoQDUomRc!$E$20,AD6/PoToMRVWoQDUomRc!$AD$7*PoToMRVWoQDUomRc!$E$20)</f>
        <v>0</v>
      </c>
      <c r="AH6" s="31">
        <f>IF(PoToMRVWoQDUomRc!$P$2=1,(S6/PoToMRVWoQDUomRc!$S$7)*PoToMRVWoQDUomRc!$E$21,AD6/PoToMRVWoQDUomRc!$AD$7*PoToMRVWoQDUomRc!$E$21)</f>
        <v>0</v>
      </c>
      <c r="AI6" s="31">
        <f>S6*PoToMRVWoQDUomRc!$M$2</f>
        <v>433.01</v>
      </c>
      <c r="AJ6" s="31">
        <f>IF(PoToMRVWoQDUomRc!$C$2=3,0,AG6+AH6)</f>
        <v>0</v>
      </c>
      <c r="AK6" s="31">
        <f>IF(PoToMRVWoQDUomRc!$C$2=3,AE6+AG6+AH6,0)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>
        <v>85</v>
      </c>
      <c r="AV6" t="s">
        <v>236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236</v>
      </c>
      <c r="BN6" t="s">
        <v>117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width="28" customWidth="1"/>
    <col min="3" max="3" width="30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245</v>
      </c>
      <c r="C4" s="7" t="s">
        <v>245</v>
      </c>
      <c r="D4" s="7" t="s">
        <v>76</v>
      </c>
      <c r="E4" s="7" t="s">
        <v>95</v>
      </c>
      <c r="F4" s="8">
        <v>10</v>
      </c>
      <c r="G4" t="s">
        <v>77</v>
      </c>
      <c r="H4" s="8">
        <f t="shared" ref="H4:H6" si="0">F4*G4</f>
        <v>1500</v>
      </c>
      <c r="I4" t="s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>
        <v>85</v>
      </c>
      <c r="AV4" t="s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115</v>
      </c>
      <c r="BN4" t="s">
        <v>230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15" spans="1:69">
      <c r="A5" s="7">
        <v>1</v>
      </c>
      <c r="B5" s="7" t="s">
        <v>246</v>
      </c>
      <c r="C5" s="7" t="s">
        <v>246</v>
      </c>
      <c r="D5" s="7" t="s">
        <v>76</v>
      </c>
      <c r="E5" s="7" t="s">
        <v>95</v>
      </c>
      <c r="F5" s="8">
        <v>20</v>
      </c>
      <c r="G5" t="s">
        <v>87</v>
      </c>
      <c r="H5" s="8">
        <f t="shared" si="0"/>
        <v>2000</v>
      </c>
      <c r="I5" t="s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IF(OR(PoToMRVWFPDUomPl!$C$2=1,PoToMRVWFPDUomPl!$C$2=4),ROUND((((S5*U5)/100)/2),2),0)</f>
        <v>0</v>
      </c>
      <c r="W5" s="8">
        <f>IF(PoToMRVWFPDUomPl!$C$2=1,ROUND((((S5*U5)/100)/2),2),0)</f>
        <v>0</v>
      </c>
      <c r="X5" s="8">
        <f>IF(PoToMRVWFPDUomPl!$C$2=2,ROUND(((S5*U5)/100),2),0)</f>
        <v>295.63</v>
      </c>
      <c r="Y5" s="8">
        <f>IF(PoToMRVWFPDUomPl!$C$2=4,ROUND((((S5*U5)/100)/2),2),0)</f>
        <v>0</v>
      </c>
      <c r="Z5" s="8">
        <v>0</v>
      </c>
      <c r="AA5" s="8">
        <f>IF(PoToMRVWFPDUomPl!$C3=3,0,(S5*Z5)/100)</f>
        <v>0</v>
      </c>
      <c r="AB5" s="8">
        <f t="shared" si="9"/>
        <v>295.63</v>
      </c>
      <c r="AC5" s="8">
        <f>IF(PoToMRVWFPDUomPl!$V3=1,S5+AB5,S5)</f>
        <v>1642.37</v>
      </c>
      <c r="AD5" s="31">
        <v>120</v>
      </c>
      <c r="AE5" s="31">
        <f>IF(PoToMRVWFPDUomPl!$P$2=1,(S5/PoToMRVWFPDUomPl!$S$7)*PoToMRVWFPDUomPl!$E$18,AD5/PoToMRVWFPDUomPl!$AD$7*PoToMRVWFPDUomPl!$E$18)</f>
        <v>0</v>
      </c>
      <c r="AF5" s="31"/>
      <c r="AG5" s="31">
        <f>IF(PoToMRVWFPDUomPl!$P$2=1,(S5/PoToMRVWFPDUomPl!$S$7)*PoToMRVWFPDUomPl!$E$20,AD5/PoToMRVWFPDUomPl!$AD$7*PoToMRVWFPDUomPl!$E$20)</f>
        <v>0</v>
      </c>
      <c r="AH5" s="31">
        <f>IF(PoToMRVWFPDUomPl!$P$2=1,(S5/PoToMRVWFPDUomPl!$S$7)*PoToMRVWFPDUomPl!$E$21,AD5/PoToMRVWFPDUomPl!$AD$7*PoToMRVWFPDUomPl!$E$21)</f>
        <v>0</v>
      </c>
      <c r="AI5" s="31">
        <f>S5*PoToMRVWFPDUomPl!$M$2</f>
        <v>1642.37</v>
      </c>
      <c r="AJ5" s="31">
        <f>IF(PoToMRVWFPDUomPl!$C$2=3,0,AG5+AH5)</f>
        <v>0</v>
      </c>
      <c r="AK5" s="31">
        <f>IF(PoToMRVWFPDUomPl!$C$2=3,AE5+AG5+AH5,0)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114</v>
      </c>
      <c r="AT5" s="39" t="s">
        <v>76</v>
      </c>
      <c r="AU5" t="s">
        <v>85</v>
      </c>
      <c r="AV5" t="s">
        <v>119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119</v>
      </c>
      <c r="BN5" t="s">
        <v>247</v>
      </c>
      <c r="BO5" s="39">
        <f>ROUND((((AW5*AZ5)+(BN5*BM5))/(AW5+BN5)),2)</f>
        <v>246.36</v>
      </c>
      <c r="BP5" s="48">
        <f t="shared" si="16"/>
        <v>13.334</v>
      </c>
      <c r="BQ5" s="49">
        <v>123562</v>
      </c>
    </row>
    <row r="6" ht="15.15" spans="1:69">
      <c r="A6" s="7">
        <v>1</v>
      </c>
      <c r="B6" s="7" t="s">
        <v>248</v>
      </c>
      <c r="C6" s="7" t="s">
        <v>248</v>
      </c>
      <c r="D6" s="7" t="s">
        <v>76</v>
      </c>
      <c r="E6" s="7" t="s">
        <v>95</v>
      </c>
      <c r="F6" s="8">
        <v>10</v>
      </c>
      <c r="G6" t="s">
        <v>175</v>
      </c>
      <c r="H6" s="8">
        <f t="shared" si="0"/>
        <v>500</v>
      </c>
      <c r="I6" t="s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IF(OR(PoToMRVWFPDUomPl!$C$2=1,PoToMRVWFPDUomPl!$C$2=4),ROUND((((S6*U6)/100)/2),2),0)</f>
        <v>0</v>
      </c>
      <c r="W6" s="8">
        <f>IF(PoToMRVWFPDUomPl!$C$2=1,ROUND((((S6*U6)/100)/2),2),0)</f>
        <v>0</v>
      </c>
      <c r="X6" s="8">
        <f>IF(PoToMRVWFPDUomPl!$C$2=2,ROUND(((S6*U6)/100),2),0)</f>
        <v>77.94</v>
      </c>
      <c r="Y6" s="8">
        <f>IF(PoToMRVWFPDUomPl!$C$2=4,ROUND((((S6*U6)/100)/2),2),0)</f>
        <v>0</v>
      </c>
      <c r="Z6" s="8">
        <v>0</v>
      </c>
      <c r="AA6" s="8">
        <f>IF(PoToMRVWFPDUomPl!$C4=3,0,(S6*Z6)/100)</f>
        <v>0</v>
      </c>
      <c r="AB6" s="8">
        <f t="shared" si="9"/>
        <v>77.94</v>
      </c>
      <c r="AC6" s="8">
        <f>IF(PoToMRVWFPDUomPl!$V4=1,S6+AB6,S6)</f>
        <v>433.01</v>
      </c>
      <c r="AD6" s="31">
        <v>120</v>
      </c>
      <c r="AE6" s="31">
        <f>IF(PoToMRVWFPDUomPl!$P$2=1,(S6/PoToMRVWFPDUomPl!$S$7)*PoToMRVWFPDUomPl!$E$18,AD6/PoToMRVWFPDUomPl!$AD$7*PoToMRVWFPDUomPl!$E$18)</f>
        <v>0</v>
      </c>
      <c r="AF6" s="31"/>
      <c r="AG6" s="31">
        <f>IF(PoToMRVWFPDUomPl!$P$2=1,(S6/PoToMRVWFPDUomPl!$S$7)*PoToMRVWFPDUomPl!$E$20,AD6/PoToMRVWFPDUomPl!$AD$7*PoToMRVWFPDUomPl!$E$20)</f>
        <v>0</v>
      </c>
      <c r="AH6" s="31">
        <f>IF(PoToMRVWFPDUomPl!$P$2=1,(S6/PoToMRVWFPDUomPl!$S$7)*PoToMRVWFPDUomPl!$E$21,AD6/PoToMRVWFPDUomPl!$AD$7*PoToMRVWFPDUomPl!$E$21)</f>
        <v>0</v>
      </c>
      <c r="AI6" s="31">
        <f>S6*PoToMRVWFPDUomPl!$M$2</f>
        <v>433.01</v>
      </c>
      <c r="AJ6" s="31">
        <f>IF(PoToMRVWFPDUomPl!$C$2=3,0,AG6+AH6)</f>
        <v>0</v>
      </c>
      <c r="AK6" s="31">
        <f>IF(PoToMRVWFPDUomPl!$C$2=3,AE6+AG6+AH6,0)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>
        <v>85</v>
      </c>
      <c r="AV6" t="s">
        <v>236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236</v>
      </c>
      <c r="BN6" t="s">
        <v>230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width="28" customWidth="1"/>
    <col min="3" max="3" width="23.287037037037" customWidth="1"/>
    <col min="52" max="52" width="10.712962962963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249</v>
      </c>
      <c r="C4" s="7" t="s">
        <v>249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>
        <v>235</v>
      </c>
      <c r="AV4" t="s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>
        <v>115</v>
      </c>
      <c r="BN4" t="s">
        <v>230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15" spans="1:69">
      <c r="A5" s="7">
        <v>1</v>
      </c>
      <c r="B5" s="7" t="s">
        <v>250</v>
      </c>
      <c r="C5" s="7" t="s">
        <v>250</v>
      </c>
      <c r="D5" s="7" t="s">
        <v>76</v>
      </c>
      <c r="E5" s="7" t="s">
        <v>95</v>
      </c>
      <c r="F5" s="8">
        <v>15</v>
      </c>
      <c r="G5" s="8">
        <v>100</v>
      </c>
      <c r="H5" s="8">
        <f t="shared" si="0"/>
        <v>1500</v>
      </c>
      <c r="I5" s="8">
        <v>4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IF(OR(PoToMRVWOIpDUomPl!$C$2=1,PoToMRVWOIpDUomPl!$C$2=4),ROUND((((S5*U5)/100)/2),2),0)</f>
        <v>0</v>
      </c>
      <c r="W5" s="8">
        <f>IF(PoToMRVWOIpDUomPl!$C$2=1,ROUND((((S5*U5)/100)/2),2),0)</f>
        <v>0</v>
      </c>
      <c r="X5" s="8">
        <f>IF(PoToMRVWOIpDUomPl!$C$2=2,ROUND(((S5*U5)/100),2),0)</f>
        <v>221.72</v>
      </c>
      <c r="Y5" s="8">
        <f>IF(PoToMRVWOIpDUomPl!$C$2=4,ROUND((((S5*U5)/100)/2),2),0)</f>
        <v>0</v>
      </c>
      <c r="Z5" s="8">
        <v>0</v>
      </c>
      <c r="AA5" s="8">
        <f>IF(PoToMRVWOIpDUomPl!$C3=3,0,(S5*Z5)/100)</f>
        <v>0</v>
      </c>
      <c r="AB5" s="8">
        <f t="shared" si="9"/>
        <v>221.72</v>
      </c>
      <c r="AC5" s="8">
        <f>IF(PoToMRVWOIpDUomPl!$V3=1,S5+AB5,S5)</f>
        <v>1231.78</v>
      </c>
      <c r="AD5" s="31">
        <v>120</v>
      </c>
      <c r="AE5" s="31">
        <f>IF(PoToMRVWOIpDUomPl!$P$2=1,(S5/PoToMRVWOIpDUomPl!$S$7)*PoToMRVWOIpDUomPl!$E$18,AD5/PoToMRVWOIpDUomPl!$AD$7*PoToMRVWOIpDUomPl!$E$18)</f>
        <v>0</v>
      </c>
      <c r="AF5" s="31"/>
      <c r="AG5" s="31">
        <f>IF(PoToMRVWOIpDUomPl!$P$2=1,(S5/PoToMRVWOIpDUomPl!$S$7)*PoToMRVWOIpDUomPl!$E$20,AD5/PoToMRVWOIpDUomPl!$AD$7*PoToMRVWOIpDUomPl!$E$20)</f>
        <v>0</v>
      </c>
      <c r="AH5" s="31">
        <f>IF(PoToMRVWOIpDUomPl!$P$2=1,(S5/PoToMRVWOIpDUomPl!$S$7)*PoToMRVWOIpDUomPl!$E$21,AD5/PoToMRVWOIpDUomPl!$AD$7*PoToMRVWOIpDUomPl!$E$21)</f>
        <v>0</v>
      </c>
      <c r="AI5" s="31">
        <f>S5*PoToMRVWOIpDUomPl!$M$2</f>
        <v>1231.78</v>
      </c>
      <c r="AJ5" s="31">
        <f>IF(PoToMRVWOIpDUomPl!$C$2=3,0,AG5+AH5)</f>
        <v>0</v>
      </c>
      <c r="AK5" s="31">
        <f>IF(PoToMRVWOIpDUomPl!$C$2=3,AE5+AG5+AH5,0)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114</v>
      </c>
      <c r="AT5" s="39" t="s">
        <v>76</v>
      </c>
      <c r="AU5">
        <v>3.999</v>
      </c>
      <c r="AV5">
        <v>246.36</v>
      </c>
      <c r="AW5" s="39">
        <f t="shared" si="13"/>
        <v>5</v>
      </c>
      <c r="AX5" s="46">
        <f t="shared" si="14"/>
        <v>246.356</v>
      </c>
      <c r="AY5" s="39">
        <f t="shared" si="15"/>
        <v>8.999</v>
      </c>
      <c r="AZ5" s="46">
        <f>ROUND(((AU5*AV5)+(AW5*AX5))/(AU5+AW5),5)</f>
        <v>246.35778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>
        <v>119</v>
      </c>
      <c r="BN5" t="s">
        <v>240</v>
      </c>
      <c r="BO5" s="39">
        <f>ROUND((((AW5*AZ5)+(BN5*BM5))/(AW5+BN5)),2)</f>
        <v>246.36</v>
      </c>
      <c r="BP5" s="48">
        <f t="shared" si="16"/>
        <v>6.333</v>
      </c>
      <c r="BQ5" s="49">
        <v>123562</v>
      </c>
    </row>
    <row r="6" ht="15.15" spans="1:69">
      <c r="A6" s="7">
        <v>1</v>
      </c>
      <c r="B6" s="7" t="s">
        <v>251</v>
      </c>
      <c r="C6" s="7" t="s">
        <v>251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IF(OR(PoToMRVWOIpDUomPl!$C$2=1,PoToMRVWOIpDUomPl!$C$2=4),ROUND((((S6*U6)/100)/2),2),0)</f>
        <v>0</v>
      </c>
      <c r="W6" s="8">
        <f>IF(PoToMRVWOIpDUomPl!$C$2=1,ROUND((((S6*U6)/100)/2),2),0)</f>
        <v>0</v>
      </c>
      <c r="X6" s="8">
        <f>IF(PoToMRVWOIpDUomPl!$C$2=2,ROUND(((S6*U6)/100),2),0)</f>
        <v>77.94</v>
      </c>
      <c r="Y6" s="8">
        <f>IF(PoToMRVWOIpDUomPl!$C$2=4,ROUND((((S6*U6)/100)/2),2),0)</f>
        <v>0</v>
      </c>
      <c r="Z6" s="8">
        <v>0</v>
      </c>
      <c r="AA6" s="8">
        <f>IF(PoToMRVWOIpDUomPl!$C4=3,0,(S6*Z6)/100)</f>
        <v>0</v>
      </c>
      <c r="AB6" s="8">
        <f t="shared" si="9"/>
        <v>77.94</v>
      </c>
      <c r="AC6" s="8">
        <f>IF(PoToMRVWOIpDUomPl!$V4=1,S6+AB6,S6)</f>
        <v>433.01</v>
      </c>
      <c r="AD6" s="31">
        <v>120</v>
      </c>
      <c r="AE6" s="31">
        <f>IF(PoToMRVWOIpDUomPl!$P$2=1,(S6/PoToMRVWOIpDUomPl!$S$7)*PoToMRVWOIpDUomPl!$E$18,AD6/PoToMRVWOIpDUomPl!$AD$7*PoToMRVWOIpDUomPl!$E$18)</f>
        <v>0</v>
      </c>
      <c r="AF6" s="31"/>
      <c r="AG6" s="31">
        <f>IF(PoToMRVWOIpDUomPl!$P$2=1,(S6/PoToMRVWOIpDUomPl!$S$7)*PoToMRVWOIpDUomPl!$E$20,AD6/PoToMRVWOIpDUomPl!$AD$7*PoToMRVWOIpDUomPl!$E$20)</f>
        <v>0</v>
      </c>
      <c r="AH6" s="31">
        <f>IF(PoToMRVWOIpDUomPl!$P$2=1,(S6/PoToMRVWOIpDUomPl!$S$7)*PoToMRVWOIpDUomPl!$E$21,AD6/PoToMRVWOIpDUomPl!$AD$7*PoToMRVWOIpDUomPl!$E$21)</f>
        <v>0</v>
      </c>
      <c r="AI6" s="31">
        <f>S6*PoToMRVWOIpDUomPl!$M$2</f>
        <v>433.01</v>
      </c>
      <c r="AJ6" s="31">
        <f>IF(PoToMRVWOIpDUomPl!$C$2=3,0,AG6+AH6)</f>
        <v>0</v>
      </c>
      <c r="AK6" s="31">
        <f>IF(PoToMRVWOIpDUomPl!$C$2=3,AE6+AG6+AH6,0)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>
        <v>235</v>
      </c>
      <c r="AV6" t="s">
        <v>236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>
        <v>236</v>
      </c>
      <c r="BN6" t="s">
        <v>230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StPoToMRVWFPl</vt:lpstr>
      <vt:lpstr>StPoToMRVWFRc</vt:lpstr>
      <vt:lpstr>StPoToMRVWF</vt:lpstr>
      <vt:lpstr>PoToMRVWFDUom</vt:lpstr>
      <vt:lpstr>PoToGrnUdSWoIpUom</vt:lpstr>
      <vt:lpstr>PoToMRVWOIpSer</vt:lpstr>
      <vt:lpstr>PoToMRVWOIp</vt:lpstr>
      <vt:lpstr>PoToMRVWoQSUom</vt:lpstr>
      <vt:lpstr>PoToMRVWFSUom</vt:lpstr>
      <vt:lpstr>PoToMRVWFSUomserv</vt:lpstr>
      <vt:lpstr>PoToMRVWoQSUomRC</vt:lpstr>
      <vt:lpstr>PoToMRVWFSUomRC</vt:lpstr>
      <vt:lpstr>PoToMRVWFSUomPl</vt:lpstr>
      <vt:lpstr>PoToMRVWoQUomPl</vt:lpstr>
      <vt:lpstr>PoToMRVWFSUomservRc</vt:lpstr>
      <vt:lpstr>PoToMRVWoQSUomservRc</vt:lpstr>
      <vt:lpstr>PoToMRVWFSUomservPl</vt:lpstr>
      <vt:lpstr>PoToMRVWoQSUomservPl</vt:lpstr>
      <vt:lpstr>PoToMRVWOIpRc</vt:lpstr>
      <vt:lpstr>StPoToMRVWOIpDU</vt:lpstr>
      <vt:lpstr>StPoToMRVWOIpPl</vt:lpstr>
      <vt:lpstr>StPoToMRVWOIpRc</vt:lpstr>
      <vt:lpstr>StPoToMRVWOIp</vt:lpstr>
      <vt:lpstr>PoToMRVWOIpRcServ</vt:lpstr>
      <vt:lpstr>PoToMRVWOIpPl</vt:lpstr>
      <vt:lpstr>PoToMRVWOIpPlServ</vt:lpstr>
      <vt:lpstr>DifferentUOMUD</vt:lpstr>
      <vt:lpstr>PoToMRVWOIpDUom</vt:lpstr>
      <vt:lpstr>PoToMRVWOIpDUomRc</vt:lpstr>
      <vt:lpstr>PoToMRVWFPDUomRc</vt:lpstr>
      <vt:lpstr>PoToMRVWoQDUomRc</vt:lpstr>
      <vt:lpstr>PoToMRVWFPDUomPl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Galaxy</cp:lastModifiedBy>
  <dcterms:created xsi:type="dcterms:W3CDTF">2025-10-30T08:14:00Z</dcterms:created>
  <dcterms:modified xsi:type="dcterms:W3CDTF">2025-12-19T11:09:17Z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1033-12.2.0.23155</vt:lpwstr>
  </property>
</Properties>
</file>