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38.xml"/>
  <Override ContentType="application/vnd.openxmlformats-officedocument.spreadsheetml.worksheet+xml" PartName="/xl/worksheets/sheet139.xml"/>
  <Override ContentType="application/vnd.openxmlformats-officedocument.spreadsheetml.worksheet+xml" PartName="/xl/worksheets/sheet140.xml"/>
  <Override ContentType="application/vnd.openxmlformats-officedocument.spreadsheetml.worksheet+xml" PartName="/xl/worksheets/sheet14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143.xml"/>
  <Override ContentType="application/vnd.openxmlformats-officedocument.spreadsheetml.worksheet+xml" PartName="/xl/worksheets/sheet144.xml"/>
  <Override ContentType="application/vnd.openxmlformats-officedocument.spreadsheetml.worksheet+xml" PartName="/xl/worksheets/sheet145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48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51.xml"/>
  <Override ContentType="application/vnd.openxmlformats-officedocument.spreadsheetml.worksheet+xml" PartName="/xl/worksheets/sheet152.xml"/>
  <Override ContentType="application/vnd.openxmlformats-officedocument.spreadsheetml.worksheet+xml" PartName="/xl/worksheets/sheet153.xml"/>
  <Override ContentType="application/vnd.openxmlformats-officedocument.spreadsheetml.worksheet+xml" PartName="/xl/worksheets/sheet154.xml"/>
  <Override ContentType="application/vnd.openxmlformats-officedocument.spreadsheetml.worksheet+xml" PartName="/xl/worksheets/sheet1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23" activeTab="123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" sheetId="37" r:id="rId125"/>
    <sheet name="BRAdvUSDNR" sheetId="142" r:id="rId126"/>
    <sheet name="BRAdvJournalUSDNR" sheetId="143" r:id="rId127"/>
    <sheet name="BankReceiptUSD" sheetId="39" r:id="rId128"/>
    <sheet name="BankReceiptMultiUSD" sheetId="40" r:id="rId129"/>
    <sheet name="BankReceiptMulti (2)" sheetId="43" r:id="rId130"/>
    <sheet name="BankReceiptMultiNewRef (2)" sheetId="44" r:id="rId131"/>
    <sheet name="BankReceiptPDC" sheetId="56" r:id="rId132"/>
    <sheet name="BankReceiptChargesUSD" sheetId="60" r:id="rId133"/>
    <sheet name="BankReceiptCharges" sheetId="57" r:id="rId134"/>
    <sheet name="BankPaymentChargesINR" sheetId="112" r:id="rId135"/>
    <sheet name="BankPaymentCharges" sheetId="65" r:id="rId136"/>
    <sheet name="BankPaymentExpGST" sheetId="63" r:id="rId137"/>
    <sheet name="BankPaymentExpUSD" sheetId="103" r:id="rId138"/>
    <sheet name="BankPaymentExp" sheetId="62" r:id="rId139"/>
    <sheet name="BankReceiptRevExp" sheetId="58" r:id="rId140"/>
    <sheet name="BankPaymentExpTDS" sheetId="66" r:id="rId141"/>
    <sheet name="BankPaymentExpGSTTDS" sheetId="67" r:id="rId142"/>
    <sheet name="BankPaymentPDC" sheetId="61" r:id="rId143"/>
    <sheet name="BPAdvanceUSD" sheetId="161" r:id="rId144"/>
    <sheet name="BPAdvance" sheetId="154" r:id="rId145"/>
    <sheet name="BPJournalADV" sheetId="153" r:id="rId146"/>
    <sheet name="TDS BPAdvance" sheetId="155" r:id="rId147"/>
    <sheet name="TDS BPJournalADV" sheetId="156" r:id="rId148"/>
    <sheet name="TDS BPAdvanceMulti" sheetId="157" r:id="rId149"/>
    <sheet name="TDS BPJournalADVMulti" sheetId="158" r:id="rId150"/>
    <sheet name="BPJournalADVINR" sheetId="159" r:id="rId151"/>
    <sheet name="BPJournalADVUSD" sheetId="160" r:id="rId152"/>
    <sheet name="BPMPMBADVNR" sheetId="162" r:id="rId153"/>
    <sheet name="BPMPMBADVNRUSD" sheetId="163" r:id="rId154"/>
    <sheet name="Sheet2" sheetId="146" r:id="rId1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G4" i="167" l="1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M3" i="124" l="1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<sst xmlns="http://schemas.openxmlformats.org/spreadsheetml/2006/main" count="5496" uniqueCount="429">
  <si>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</si>
  <si>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</si>
  <si>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</si>
  <si>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</si>
  <si>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</si>
  <si>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</si>
  <si>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</si>
  <si>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</si>
  <si>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</si>
  <si>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</si>
  <si>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</si>
  <si>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</si>
  <si>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</si>
  <si>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</si>
  <si>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</si>
  <si>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</si>
  <si>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</si>
  <si>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</si>
  <si>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</si>
  <si>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</si>
  <si>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</si>
  <si>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</si>
  <si>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</si>
  <si>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</si>
  <si>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</si>
  <si>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</si>
  <si>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</si>
  <si>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</si>
  <si>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</si>
  <si>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</si>
  <si>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</si>
  <si>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</si>
  <si>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</si>
  <si>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</si>
  <si>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</si>
  <si>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</si>
  <si>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</si>
  <si>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</si>
  <si>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</si>
  <si>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</si>
  <si>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</si>
  <si>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</si>
  <si>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</si>
  <si>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</si>
  <si>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</si>
  <si>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</si>
  <si>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</si>
  <si>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</si>
  <si>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</si>
  <si>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</si>
  <si>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</si>
  <si>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</si>
  <si>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</si>
  <si>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</si>
  <si>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</si>
  <si>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</si>
  <si>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</si>
  <si>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</si>
  <si>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</si>
  <si>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</si>
  <si>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</si>
  <si>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</si>
  <si>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</si>
  <si>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</si>
  <si>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</si>
  <si>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</si>
  <si>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</si>
  <si>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</si>
  <si>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</si>
  <si>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</si>
  <si>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</si>
  <si>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</si>
  <si>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</si>
  <si>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</si>
  <si>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</si>
  <si>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</si>
  <si>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</si>
  <si>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</si>
  <si>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</si>
  <si>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</si>
  <si>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</si>
  <si>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</si>
  <si>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</si>
  <si>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</si>
  <si>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</si>
  <si>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</si>
  <si>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</si>
  <si>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</si>
  <si>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</si>
  <si>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</si>
  <si>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</si>
  <si>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</si>
  <si>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</si>
  <si>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</si>
  <si>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</si>
  <si>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</si>
  <si>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</si>
  <si>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</si>
  <si>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</si>
  <si>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</si>
  <si>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</si>
  <si>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</si>
  <si>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</si>
  <si>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</si>
  <si>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</si>
  <si>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</si>
  <si>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</si>
  <si>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</si>
  <si>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</si>
  <si>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</si>
  <si>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</si>
  <si>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</si>
  <si>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</si>
  <si>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</si>
  <si>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</si>
  <si>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</si>
  <si>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</si>
  <si>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</si>
  <si>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</si>
  <si>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</si>
  <si>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</si>
  <si>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</si>
  <si>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</si>
  <si>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</si>
  <si>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</si>
  <si>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</si>
  <si>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</si>
  <si>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</si>
  <si>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</si>
  <si>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</si>
  <si>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</si>
  <si>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</si>
  <si>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</si>
  <si>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</si>
  <si>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</si>
  <si>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</si>
  <si>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</si>
  <si>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</si>
  <si>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</si>
  <si>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</si>
  <si>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</si>
  <si>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</si>
  <si>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</si>
  <si>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</si>
  <si>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</si>
  <si>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</si>
  <si>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</si>
  <si>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</si>
  <si>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</si>
  <si>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</si>
  <si>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</si>
  <si>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</si>
  <si>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</si>
  <si>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</si>
  <si>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</si>
  <si>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</si>
  <si>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</si>
  <si>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</si>
  <si>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</si>
  <si>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</si>
  <si>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</si>
  <si>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</si>
  <si>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</si>
  <si>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</si>
  <si>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</si>
  <si>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</si>
  <si>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</si>
  <si>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</si>
  <si>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</si>
  <si>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</si>
  <si>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</si>
  <si>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</si>
  <si>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</si>
  <si>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</si>
  <si>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</si>
  <si>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</si>
  <si>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</si>
  <si>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</si>
  <si>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</si>
  <si>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</si>
  <si>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</si>
  <si>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</si>
  <si>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</si>
  <si>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</si>
  <si>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</si>
  <si>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</si>
  <si>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</si>
  <si>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</si>
  <si>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</si>
  <si>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</si>
  <si>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</si>
  <si>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</si>
  <si>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</si>
  <si>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</si>
  <si>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</si>
  <si>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</si>
  <si>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</si>
  <si>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</si>
  <si>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</si>
  <si>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</si>
  <si>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</si>
  <si>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</si>
  <si>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</si>
  <si>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</si>
  <si>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</si>
  <si>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</si>
  <si>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</si>
  <si>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</si>
  <si>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</si>
  <si>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</si>
  <si>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</si>
  <si>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</si>
  <si>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</si>
  <si>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</si>
  <si>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</si>
  <si>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</si>
  <si>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</si>
  <si>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</si>
  <si>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</si>
  <si>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</si>
  <si>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</si>
  <si>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</si>
  <si>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</si>
  <si>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</si>
  <si>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</si>
  <si>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</si>
  <si>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</si>
  <si>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</si>
  <si>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</si>
  <si>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</si>
  <si>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</si>
  <si>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</si>
  <si>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</si>
  <si>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</si>
  <si>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</si>
  <si>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</si>
  <si>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</si>
  <si>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</si>
  <si>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</si>
  <si>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</si>
  <si>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</si>
  <si>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</si>
  <si>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</si>
  <si>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</si>
  <si>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</si>
  <si>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</si>
  <si>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</si>
  <si>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</si>
  <si>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</si>
  <si>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</si>
  <si>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</si>
  <si>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</si>
  <si>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</si>
  <si>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</si>
  <si>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</si>
  <si>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</si>
  <si>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</si>
  <si>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</si>
  <si>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</si>
  <si>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</si>
  <si>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</si>
  <si>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</si>
  <si>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</si>
  <si>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</si>
  <si>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</si>
  <si>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</si>
  <si>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</si>
  <si>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</si>
  <si>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</si>
  <si>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</si>
  <si>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</si>
  <si>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</si>
  <si>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</si>
  <si>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</si>
  <si>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</si>
  <si>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</si>
  <si>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</si>
  <si>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</si>
  <si>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</si>
  <si>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</si>
  <si>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</si>
  <si>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</si>
  <si>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</si>
  <si>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</si>
  <si>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</si>
  <si>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</si>
  <si>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</si>
  <si>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</si>
  <si>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</si>
  <si>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</si>
  <si>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</si>
  <si>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</si>
  <si>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</si>
  <si>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</si>
  <si>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</si>
  <si>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</si>
  <si>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</si>
  <si>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</si>
  <si>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</si>
  <si>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</si>
  <si>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</si>
  <si>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</si>
  <si>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</si>
  <si>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</si>
  <si>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</si>
  <si>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</si>
  <si>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</si>
  <si>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</si>
  <si>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</si>
  <si>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</si>
  <si>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</si>
  <si>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</si>
  <si>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</si>
  <si>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</si>
  <si>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</si>
  <si>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</si>
  <si>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</si>
  <si>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</si>
  <si>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</si>
  <si>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</si>
  <si>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</si>
  <si>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</si>
  <si>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</si>
  <si>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</si>
  <si>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</si>
  <si>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</si>
  <si>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</si>
  <si>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</si>
  <si>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</si>
  <si>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</si>
  <si>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</si>
  <si>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</si>
  <si>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</si>
  <si>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</si>
  <si>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</si>
  <si>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</si>
  <si>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</si>
  <si>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</si>
  <si>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</si>
  <si>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</si>
  <si>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</si>
  <si>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</si>
  <si>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</si>
  <si>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</si>
  <si>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</si>
  <si>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</si>
  <si>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</si>
  <si>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</si>
  <si>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</si>
  <si>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</si>
  <si>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</si>
  <si>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</si>
  <si>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</si>
  <si>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</si>
  <si>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</si>
  <si>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</si>
  <si>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</si>
  <si>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</si>
  <si>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</si>
  <si>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</si>
  <si>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</si>
  <si>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</si>
  <si>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</si>
  <si>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</si>
  <si>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</si>
  <si>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</si>
  <si>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</si>
  <si>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</si>
  <si>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</si>
  <si>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</si>
  <si>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</si>
  <si>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</si>
  <si>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</si>
  <si>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</si>
  <si>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</si>
  <si>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</si>
  <si>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</si>
  <si>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</si>
  <si>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</si>
  <si>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</si>
  <si>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</si>
  <si>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</si>
  <si>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</si>
  <si>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</si>
  <si>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</si>
  <si>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</si>
  <si>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</si>
  <si>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</si>
  <si>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</si>
  <si>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</si>
  <si>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</si>
  <si>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</si>
  <si>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</si>
  <si>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</si>
  <si>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</si>
  <si>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</si>
  <si>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</si>
  <si>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</si>
  <si>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</si>
  <si>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</si>
  <si>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</si>
  <si>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</si>
  <si>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</si>
  <si>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</si>
  <si>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</si>
  <si>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</si>
  <si>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</si>
  <si>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</si>
  <si>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</si>
  <si>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</si>
  <si>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</si>
  <si>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</si>
  <si>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</si>
  <si>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</si>
  <si>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</si>
  <si>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</si>
  <si>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</si>
  <si>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</si>
  <si>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</si>
  <si>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</si>
  <si>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</si>
  <si>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</si>
  <si>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</si>
  <si>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</si>
  <si>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</si>
  <si>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</si>
  <si>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</si>
  <si>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</si>
  <si>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26550</t>
  </si>
</sst>
</file>

<file path=xl/styles.xml><?xml version="1.0" encoding="utf-8"?>
<styleSheet xmlns="http://schemas.openxmlformats.org/spreadsheetml/2006/main">
  <numFmts count="0"/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worksheets/sheet135.xml" Type="http://schemas.openxmlformats.org/officeDocument/2006/relationships/worksheet"/><Relationship Id="rId136" Target="worksheets/sheet136.xml" Type="http://schemas.openxmlformats.org/officeDocument/2006/relationships/worksheet"/><Relationship Id="rId137" Target="worksheets/sheet137.xml" Type="http://schemas.openxmlformats.org/officeDocument/2006/relationships/worksheet"/><Relationship Id="rId138" Target="worksheets/sheet138.xml" Type="http://schemas.openxmlformats.org/officeDocument/2006/relationships/worksheet"/><Relationship Id="rId139" Target="worksheets/sheet139.xml" Type="http://schemas.openxmlformats.org/officeDocument/2006/relationships/worksheet"/><Relationship Id="rId14" Target="worksheets/sheet14.xml" Type="http://schemas.openxmlformats.org/officeDocument/2006/relationships/worksheet"/><Relationship Id="rId140" Target="worksheets/sheet140.xml" Type="http://schemas.openxmlformats.org/officeDocument/2006/relationships/worksheet"/><Relationship Id="rId141" Target="worksheets/sheet141.xml" Type="http://schemas.openxmlformats.org/officeDocument/2006/relationships/worksheet"/><Relationship Id="rId142" Target="worksheets/sheet142.xml" Type="http://schemas.openxmlformats.org/officeDocument/2006/relationships/worksheet"/><Relationship Id="rId143" Target="worksheets/sheet143.xml" Type="http://schemas.openxmlformats.org/officeDocument/2006/relationships/worksheet"/><Relationship Id="rId144" Target="worksheets/sheet144.xml" Type="http://schemas.openxmlformats.org/officeDocument/2006/relationships/worksheet"/><Relationship Id="rId145" Target="worksheets/sheet145.xml" Type="http://schemas.openxmlformats.org/officeDocument/2006/relationships/worksheet"/><Relationship Id="rId146" Target="worksheets/sheet146.xml" Type="http://schemas.openxmlformats.org/officeDocument/2006/relationships/worksheet"/><Relationship Id="rId147" Target="worksheets/sheet147.xml" Type="http://schemas.openxmlformats.org/officeDocument/2006/relationships/worksheet"/><Relationship Id="rId148" Target="worksheets/sheet148.xml" Type="http://schemas.openxmlformats.org/officeDocument/2006/relationships/worksheet"/><Relationship Id="rId149" Target="worksheets/sheet149.xml" Type="http://schemas.openxmlformats.org/officeDocument/2006/relationships/worksheet"/><Relationship Id="rId15" Target="worksheets/sheet15.xml" Type="http://schemas.openxmlformats.org/officeDocument/2006/relationships/worksheet"/><Relationship Id="rId150" Target="worksheets/sheet150.xml" Type="http://schemas.openxmlformats.org/officeDocument/2006/relationships/worksheet"/><Relationship Id="rId151" Target="worksheets/sheet151.xml" Type="http://schemas.openxmlformats.org/officeDocument/2006/relationships/worksheet"/><Relationship Id="rId152" Target="worksheets/sheet152.xml" Type="http://schemas.openxmlformats.org/officeDocument/2006/relationships/worksheet"/><Relationship Id="rId153" Target="worksheets/sheet153.xml" Type="http://schemas.openxmlformats.org/officeDocument/2006/relationships/worksheet"/><Relationship Id="rId154" Target="worksheets/sheet154.xml" Type="http://schemas.openxmlformats.org/officeDocument/2006/relationships/worksheet"/><Relationship Id="rId155" Target="worksheets/sheet155.xml" Type="http://schemas.openxmlformats.org/officeDocument/2006/relationships/worksheet"/><Relationship Id="rId156" Target="theme/theme1.xml" Type="http://schemas.openxmlformats.org/officeDocument/2006/relationships/theme"/><Relationship Id="rId157" Target="styles.xml" Type="http://schemas.openxmlformats.org/officeDocument/2006/relationships/styles"/><Relationship Id="rId158" Target="sharedStrings.xml" Type="http://schemas.openxmlformats.org/officeDocument/2006/relationships/sharedStrings"/><Relationship Id="rId159" Target="calcChain.xml" Type="http://schemas.openxmlformats.org/officeDocument/2006/relationships/calcChain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83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84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85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86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88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93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77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78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79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80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81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82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83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84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85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86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87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88.bin" Type="http://schemas.openxmlformats.org/officeDocument/2006/relationships/printerSettings"/></Relationships>
</file>

<file path=xl/worksheets/_rels/sheet109.xml.rels><?xml version="1.0" encoding="UTF-8" standalone="yes"?><Relationships xmlns="http://schemas.openxmlformats.org/package/2006/relationships"><Relationship Id="rId1" Target="../printerSettings/printerSettings89.bin" Type="http://schemas.openxmlformats.org/officeDocument/2006/relationships/printerSettings"/></Relationships>
</file>

<file path=xl/worksheets/_rels/sheet110.xml.rels><?xml version="1.0" encoding="UTF-8" standalone="yes"?><Relationships xmlns="http://schemas.openxmlformats.org/package/2006/relationships"><Relationship Id="rId1" Target="../printerSettings/printerSettings90.bin" Type="http://schemas.openxmlformats.org/officeDocument/2006/relationships/printerSettings"/></Relationships>
</file>

<file path=xl/worksheets/_rels/sheet111.xml.rels><?xml version="1.0" encoding="UTF-8" standalone="yes"?><Relationships xmlns="http://schemas.openxmlformats.org/package/2006/relationships"><Relationship Id="rId1" Target="../printerSettings/printerSettings91.bin" Type="http://schemas.openxmlformats.org/officeDocument/2006/relationships/printerSettings"/></Relationships>
</file>

<file path=xl/worksheets/_rels/sheet112.xml.rels><?xml version="1.0" encoding="UTF-8" standalone="yes"?><Relationships xmlns="http://schemas.openxmlformats.org/package/2006/relationships"><Relationship Id="rId1" Target="../printerSettings/printerSettings92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../printerSettings/printerSettings93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94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95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96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97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98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99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100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101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102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103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104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../printerSettings/printerSettings105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106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107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108.bin" Type="http://schemas.openxmlformats.org/officeDocument/2006/relationships/printerSettings"/></Relationships>
</file>

<file path=xl/worksheets/_rels/sheet129.xml.rels><?xml version="1.0" encoding="UTF-8" standalone="yes"?><Relationships xmlns="http://schemas.openxmlformats.org/package/2006/relationships"><Relationship Id="rId1" Target="../printerSettings/printerSettings10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11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11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112.bin" Type="http://schemas.openxmlformats.org/officeDocument/2006/relationships/printerSettings"/></Relationships>
</file>

<file path=xl/worksheets/_rels/sheet133.xml.rels><?xml version="1.0" encoding="UTF-8" standalone="yes"?><Relationships xmlns="http://schemas.openxmlformats.org/package/2006/relationships"><Relationship Id="rId1" Target="../printerSettings/printerSettings113.bin" Type="http://schemas.openxmlformats.org/officeDocument/2006/relationships/printerSettings"/></Relationships>
</file>

<file path=xl/worksheets/_rels/sheet134.xml.rels><?xml version="1.0" encoding="UTF-8" standalone="yes"?><Relationships xmlns="http://schemas.openxmlformats.org/package/2006/relationships"><Relationship Id="rId1" Target="../printerSettings/printerSettings114.bin" Type="http://schemas.openxmlformats.org/officeDocument/2006/relationships/printerSettings"/></Relationships>
</file>

<file path=xl/worksheets/_rels/sheet135.xml.rels><?xml version="1.0" encoding="UTF-8" standalone="yes"?><Relationships xmlns="http://schemas.openxmlformats.org/package/2006/relationships"><Relationship Id="rId1" Target="../printerSettings/printerSettings115.bin" Type="http://schemas.openxmlformats.org/officeDocument/2006/relationships/printerSettings"/></Relationships>
</file>

<file path=xl/worksheets/_rels/sheet136.xml.rels><?xml version="1.0" encoding="UTF-8" standalone="yes"?><Relationships xmlns="http://schemas.openxmlformats.org/package/2006/relationships"><Relationship Id="rId1" Target="../printerSettings/printerSettings116.bin" Type="http://schemas.openxmlformats.org/officeDocument/2006/relationships/printerSettings"/></Relationships>
</file>

<file path=xl/worksheets/_rels/sheet137.xml.rels><?xml version="1.0" encoding="UTF-8" standalone="yes"?><Relationships xmlns="http://schemas.openxmlformats.org/package/2006/relationships"><Relationship Id="rId1" Target="../printerSettings/printerSettings117.bin" Type="http://schemas.openxmlformats.org/officeDocument/2006/relationships/printerSettings"/></Relationships>
</file>

<file path=xl/worksheets/_rels/sheet138.xml.rels><?xml version="1.0" encoding="UTF-8" standalone="yes"?><Relationships xmlns="http://schemas.openxmlformats.org/package/2006/relationships"><Relationship Id="rId1" Target="../printerSettings/printerSettings118.bin" Type="http://schemas.openxmlformats.org/officeDocument/2006/relationships/printerSettings"/></Relationships>
</file>

<file path=xl/worksheets/_rels/sheet139.xml.rels><?xml version="1.0" encoding="UTF-8" standalone="yes"?><Relationships xmlns="http://schemas.openxmlformats.org/package/2006/relationships"><Relationship Id="rId1" Target="../printerSettings/printerSettings119.bin" Type="http://schemas.openxmlformats.org/officeDocument/2006/relationships/printerSettings"/></Relationships>
</file>

<file path=xl/worksheets/_rels/sheet140.xml.rels><?xml version="1.0" encoding="UTF-8" standalone="yes"?><Relationships xmlns="http://schemas.openxmlformats.org/package/2006/relationships"><Relationship Id="rId1" Target="../printerSettings/printerSettings120.bin" Type="http://schemas.openxmlformats.org/officeDocument/2006/relationships/printerSettings"/></Relationships>
</file>

<file path=xl/worksheets/_rels/sheet141.xml.rels><?xml version="1.0" encoding="UTF-8" standalone="yes"?><Relationships xmlns="http://schemas.openxmlformats.org/package/2006/relationships"><Relationship Id="rId1" Target="../printerSettings/printerSettings121.bin" Type="http://schemas.openxmlformats.org/officeDocument/2006/relationships/printerSettings"/></Relationships>
</file>

<file path=xl/worksheets/_rels/sheet142.xml.rels><?xml version="1.0" encoding="UTF-8" standalone="yes"?><Relationships xmlns="http://schemas.openxmlformats.org/package/2006/relationships"><Relationship Id="rId1" Target="../printerSettings/printerSettings122.bin" Type="http://schemas.openxmlformats.org/officeDocument/2006/relationships/printerSettings"/></Relationships>
</file>

<file path=xl/worksheets/_rels/sheet143.xml.rels><?xml version="1.0" encoding="UTF-8" standalone="yes"?><Relationships xmlns="http://schemas.openxmlformats.org/package/2006/relationships"><Relationship Id="rId1" Target="../printerSettings/printerSettings123.bin" Type="http://schemas.openxmlformats.org/officeDocument/2006/relationships/printerSettings"/></Relationships>
</file>

<file path=xl/worksheets/_rels/sheet144.xml.rels><?xml version="1.0" encoding="UTF-8" standalone="yes"?><Relationships xmlns="http://schemas.openxmlformats.org/package/2006/relationships"><Relationship Id="rId1" Target="../printerSettings/printerSettings124.bin" Type="http://schemas.openxmlformats.org/officeDocument/2006/relationships/printerSettings"/></Relationships>
</file>

<file path=xl/worksheets/_rels/sheet145.xml.rels><?xml version="1.0" encoding="UTF-8" standalone="yes"?><Relationships xmlns="http://schemas.openxmlformats.org/package/2006/relationships"><Relationship Id="rId1" Target="../printerSettings/printerSettings125.bin" Type="http://schemas.openxmlformats.org/officeDocument/2006/relationships/printerSettings"/></Relationships>
</file>

<file path=xl/worksheets/_rels/sheet146.xml.rels><?xml version="1.0" encoding="UTF-8" standalone="yes"?><Relationships xmlns="http://schemas.openxmlformats.org/package/2006/relationships"><Relationship Id="rId1" Target="../printerSettings/printerSettings126.bin" Type="http://schemas.openxmlformats.org/officeDocument/2006/relationships/printerSettings"/></Relationships>
</file>

<file path=xl/worksheets/_rels/sheet147.xml.rels><?xml version="1.0" encoding="UTF-8" standalone="yes"?><Relationships xmlns="http://schemas.openxmlformats.org/package/2006/relationships"><Relationship Id="rId1" Target="../printerSettings/printerSettings127.bin" Type="http://schemas.openxmlformats.org/officeDocument/2006/relationships/printerSettings"/></Relationships>
</file>

<file path=xl/worksheets/_rels/sheet148.xml.rels><?xml version="1.0" encoding="UTF-8" standalone="yes"?><Relationships xmlns="http://schemas.openxmlformats.org/package/2006/relationships"><Relationship Id="rId1" Target="../printerSettings/printerSettings128.bin" Type="http://schemas.openxmlformats.org/officeDocument/2006/relationships/printerSettings"/></Relationships>
</file>

<file path=xl/worksheets/_rels/sheet149.xml.rels><?xml version="1.0" encoding="UTF-8" standalone="yes"?><Relationships xmlns="http://schemas.openxmlformats.org/package/2006/relationships"><Relationship Id="rId1" Target="../printerSettings/printerSettings129.bin" Type="http://schemas.openxmlformats.org/officeDocument/2006/relationships/printerSettings"/></Relationships>
</file>

<file path=xl/worksheets/_rels/sheet150.xml.rels><?xml version="1.0" encoding="UTF-8" standalone="yes"?><Relationships xmlns="http://schemas.openxmlformats.org/package/2006/relationships"><Relationship Id="rId1" Target="../printerSettings/printerSettings130.bin" Type="http://schemas.openxmlformats.org/officeDocument/2006/relationships/printerSettings"/></Relationships>
</file>

<file path=xl/worksheets/_rels/sheet151.xml.rels><?xml version="1.0" encoding="UTF-8" standalone="yes"?><Relationships xmlns="http://schemas.openxmlformats.org/package/2006/relationships"><Relationship Id="rId1" Target="../printerSettings/printerSettings131.bin" Type="http://schemas.openxmlformats.org/officeDocument/2006/relationships/printerSettings"/></Relationships>
</file>

<file path=xl/worksheets/_rels/sheet152.xml.rels><?xml version="1.0" encoding="UTF-8" standalone="yes"?><Relationships xmlns="http://schemas.openxmlformats.org/package/2006/relationships"><Relationship Id="rId1" Target="../printerSettings/printerSettings132.bin" Type="http://schemas.openxmlformats.org/officeDocument/2006/relationships/printerSettings"/></Relationships>
</file>

<file path=xl/worksheets/_rels/sheet153.xml.rels><?xml version="1.0" encoding="UTF-8" standalone="yes"?><Relationships xmlns="http://schemas.openxmlformats.org/package/2006/relationships"><Relationship Id="rId1" Target="../printerSettings/printerSettings133.bin" Type="http://schemas.openxmlformats.org/officeDocument/2006/relationships/printerSettings"/></Relationships>
</file>

<file path=xl/worksheets/_rels/sheet154.xml.rels><?xml version="1.0" encoding="UTF-8" standalone="yes"?><Relationships xmlns="http://schemas.openxmlformats.org/package/2006/relationships"><Relationship Id="rId1" Target="../printerSettings/printerSettings13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customWidth="true" width="2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426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426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0</v>
      </c>
      <c r="J2" s="0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ROUND(SUM(G2+H2+K2)*L1,2)</f>
        <v>8500</v>
      </c>
      <c r="J2" s="0">
        <v>0</v>
      </c>
      <c r="K2" s="1">
        <f>BankPaymentUSDMPMBNR!I2</f>
        <v>100</v>
      </c>
      <c r="L2" t="s" s="0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ROUND(SUM(G3+H3+K3)*L1,2)</f>
        <v>8500</v>
      </c>
      <c r="J3" s="0">
        <v>0</v>
      </c>
      <c r="K3" s="1">
        <f>BankPaymentUSDMPMBNR!I3</f>
        <v>100</v>
      </c>
      <c r="L3" t="s" s="0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17000</v>
      </c>
      <c r="L4" t="s" s="0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bestFit="true" customWidth="true" width="4.85546875"/>
    <col min="2" max="2" bestFit="true" customWidth="true" width="23.8554687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4799.1000000000004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338</v>
      </c>
    </row>
    <row r="4" spans="1:30">
      <c r="I4" s="0">
        <f>SUM(I2:I3)</f>
        <v>10</v>
      </c>
      <c r="M4" s="0">
        <f>ROUND(M2-M3,2)</f>
        <v>46.46</v>
      </c>
      <c r="N4" s="0">
        <f>ROUND(N2-N3,2)</f>
        <v>4789.1000000000004</v>
      </c>
      <c r="Q4" s="0">
        <f>SUM(Q2:Q3)</f>
        <v>66.460000000000008</v>
      </c>
      <c r="AC4" s="0">
        <f>ROUND(AC2-AC3,2)</f>
        <v>4789.1000000000004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4799.1000000000004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BankPaymentChargesUSD!I3</f>
        <v>10</v>
      </c>
      <c r="H3" t="s" s="0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 s="0">
        <v>5050606001</v>
      </c>
      <c r="D4" t="s" s="0">
        <v>427</v>
      </c>
      <c r="E4" s="1"/>
      <c r="F4" s="1"/>
      <c r="G4" s="0">
        <f>G3</f>
        <v>10</v>
      </c>
      <c r="H4" s="0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 s="0">
        <v>0</v>
      </c>
      <c r="H5" t="s" s="0">
        <v>310</v>
      </c>
      <c r="I5" s="0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 s="0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 s="0">
        <f>BankPaymentPDC!I2</f>
        <v>10000</v>
      </c>
      <c r="H2" t="s" s="0">
        <v>310</v>
      </c>
      <c r="I2" s="59">
        <f>ROUND(SUM(G2+H2),2)</f>
        <v>10000</v>
      </c>
      <c r="J2" s="0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BankPaymentPDC!I2</f>
        <v>10000</v>
      </c>
      <c r="H3" t="s" s="0">
        <v>310</v>
      </c>
      <c r="I3" s="0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BankReceiptPDC!I2</f>
        <v>10000</v>
      </c>
      <c r="H2" t="s" s="0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BankReceiptPDC!I2</f>
        <v>10000</v>
      </c>
      <c r="H3" t="s" s="0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BankReceiptChargesUSD!I3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426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364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customWidth="true" width="16.28515625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ROUND(AA2*1%,2)</f>
        <v>2.21</v>
      </c>
      <c r="AF3" s="1">
        <v>0</v>
      </c>
      <c r="AG3" s="1">
        <v>0</v>
      </c>
      <c r="AH3" s="1">
        <v>0</v>
      </c>
    </row>
    <row r="4" spans="1:34">
      <c r="M4" s="0">
        <f>SUM(M2)</f>
        <v>221.25</v>
      </c>
      <c r="N4" s="0">
        <f>SUM(N2)</f>
        <v>221.25</v>
      </c>
      <c r="Q4" s="0">
        <f>SUM(Q2)</f>
        <v>221.25</v>
      </c>
      <c r="AA4" t="s" s="0">
        <v>310</v>
      </c>
      <c r="AB4" s="0">
        <v>0</v>
      </c>
      <c r="AC4" s="0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  <c r="AE2" s="0">
        <v>1000000029</v>
      </c>
      <c r="AF2" s="0">
        <v>1</v>
      </c>
      <c r="AG2" s="0">
        <f>AC2</f>
        <v>1000</v>
      </c>
      <c r="AH2" s="0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ROUND(AC2*AF2%,2)</f>
        <v>10</v>
      </c>
      <c r="AF3" s="1">
        <v>0</v>
      </c>
      <c r="AG3" s="1">
        <v>0</v>
      </c>
      <c r="AH3" s="1">
        <v>0</v>
      </c>
    </row>
    <row r="4" spans="1:34">
      <c r="M4" s="0">
        <f>M2-M3</f>
        <v>990</v>
      </c>
      <c r="N4" s="0">
        <f>N2-N3</f>
        <v>990</v>
      </c>
      <c r="Q4" s="0">
        <f>SUM(Q2)</f>
        <v>1000</v>
      </c>
      <c r="AA4" t="s" s="0">
        <v>310</v>
      </c>
      <c r="AB4" s="0">
        <v>0</v>
      </c>
      <c r="AC4" s="0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379</v>
      </c>
      <c r="AE2" s="0">
        <v>1000000029</v>
      </c>
      <c r="AF2" s="0">
        <v>1</v>
      </c>
      <c r="AG2" s="0">
        <f>AC2</f>
        <v>10000</v>
      </c>
      <c r="AH2" s="0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 s="0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10000</v>
      </c>
      <c r="AD3" t="s" s="0">
        <v>386</v>
      </c>
      <c r="AE3" s="0">
        <v>1000000047</v>
      </c>
      <c r="AF3" s="0">
        <v>0.1</v>
      </c>
      <c r="AG3" s="0">
        <f>AC3</f>
        <v>10000</v>
      </c>
      <c r="AH3" s="0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20000</v>
      </c>
      <c r="L6" t="s" s="0">
        <v>319</v>
      </c>
      <c r="M6" s="0">
        <f>ROUND((M2+M3)-M4-M5,2)</f>
        <v>19890</v>
      </c>
      <c r="N6" s="0">
        <f>ROUND((N2+N3)-N4-N5,2)</f>
        <v>19890</v>
      </c>
      <c r="Q6" s="0">
        <f>SUM(Q2:Q3)</f>
        <v>20000</v>
      </c>
      <c r="AC6" s="0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T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0</v>
      </c>
      <c r="AD3" t="s" s="0">
        <v>386</v>
      </c>
      <c r="AE3" s="0">
        <v>1000000047</v>
      </c>
      <c r="AF3" s="0">
        <v>0.1</v>
      </c>
      <c r="AG3" s="0">
        <f>AC3</f>
        <v>0</v>
      </c>
      <c r="AH3" s="0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SUM(M2:M3)</f>
        <v>0</v>
      </c>
      <c r="N6" s="0">
        <f>SUM(N2:N3)</f>
        <v>0</v>
      </c>
      <c r="Q6" s="0">
        <f>SUM(Q2:Q3)</f>
        <v>0</v>
      </c>
      <c r="AC6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380</v>
      </c>
      <c r="AB2" t="s" s="0">
        <v>310</v>
      </c>
      <c r="AC2" s="0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380</v>
      </c>
      <c r="AB3" s="0">
        <v>0</v>
      </c>
      <c r="AC3" s="0">
        <f>ROUND(SUM((AA3*L3)+(AB3*L3)+(I3*L3)),2)</f>
        <v>221.25</v>
      </c>
    </row>
    <row r="4" spans="1:29">
      <c r="I4" s="0">
        <f>SUM(I2:I3)</f>
        <v>0</v>
      </c>
      <c r="M4" s="0">
        <f>SUM(M2:M3)</f>
        <v>442.5</v>
      </c>
      <c r="N4" s="0">
        <f>SUM(N2:N3)</f>
        <v>442.5</v>
      </c>
      <c r="Q4" s="0">
        <f>SUM(Q2:Q3)</f>
        <v>442.5</v>
      </c>
      <c r="AC4" s="0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s="0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2000</v>
      </c>
      <c r="H2" s="0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2000</v>
      </c>
      <c r="H3" s="0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370</v>
      </c>
      <c r="H2" t="s" s="0">
        <v>370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370</v>
      </c>
      <c r="H3" t="s" s="0">
        <v>370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f>ROUND(SUM(G3+H3),2)</f>
        <v>0</v>
      </c>
      <c r="I4" s="0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1000</v>
      </c>
      <c r="AB2" t="s" s="0">
        <v>310</v>
      </c>
      <c r="AC2" s="0">
        <f>ROUND(SUM((AA2*L2)+(AB2*L2)+(I2*L2)),2)</f>
        <v>2000</v>
      </c>
    </row>
    <row r="3" spans="1:29">
      <c r="M3" s="0">
        <f>SUM(M2)</f>
        <v>2000</v>
      </c>
      <c r="N3" s="0">
        <f>SUM(N2)</f>
        <v>2000</v>
      </c>
      <c r="Q3" s="0">
        <f>SUM(Q2)</f>
        <v>2000</v>
      </c>
      <c r="AA3" t="s" s="0">
        <v>310</v>
      </c>
      <c r="AB3" t="s" s="0">
        <v>310</v>
      </c>
      <c r="AC3" s="0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337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t="s" s="0">
        <v>310</v>
      </c>
      <c r="AC3" s="0">
        <f>SUM(AC2)</f>
        <v>1000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M3" s="0">
        <f>SUM(M2)</f>
        <v>100</v>
      </c>
      <c r="N3" s="0">
        <f>SUM(N2)</f>
        <v>100</v>
      </c>
      <c r="Q3" s="0">
        <f>SUM(Q2)</f>
        <v>100</v>
      </c>
      <c r="AA3" t="s" s="0">
        <v>310</v>
      </c>
      <c r="AB3" t="s" s="0">
        <v>310</v>
      </c>
      <c r="AC3" s="0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abSelected="1" topLeftCell="P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428</v>
      </c>
      <c r="AB2" t="s" s="0">
        <v>428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428</v>
      </c>
      <c r="AB3" t="s" s="0">
        <v>428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 s="0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11000</v>
      </c>
    </row>
    <row r="3" spans="1:29">
      <c r="M3" s="0">
        <f>SUM(M2)</f>
        <v>100</v>
      </c>
      <c r="N3" s="0">
        <f>SUM(N2)</f>
        <v>11000</v>
      </c>
      <c r="Q3" s="0">
        <f>SUM(Q2)</f>
        <v>100</v>
      </c>
      <c r="AA3" t="s" s="0">
        <v>310</v>
      </c>
      <c r="AB3" t="s" s="0">
        <v>310</v>
      </c>
      <c r="AC3" s="0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364</v>
      </c>
      <c r="AB2" t="s" s="0">
        <v>310</v>
      </c>
      <c r="AC2" s="0">
        <f>ROUND(SUM((AA2*L2)+(AB2*L2)+(I2*L2)),2)</f>
        <v>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 s="0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ROUND(SUM((AA3)+(AB3)+(I3)),2)</f>
        <v>1000</v>
      </c>
      <c r="AD3" t="s" s="0">
        <v>338</v>
      </c>
    </row>
    <row r="4" spans="1:30">
      <c r="I4" s="0">
        <f>SUM(I2:I3)</f>
        <v>1000</v>
      </c>
      <c r="M4" s="0">
        <f>M2</f>
        <v>0</v>
      </c>
      <c r="N4" s="0">
        <f>N2</f>
        <v>0</v>
      </c>
      <c r="Q4" s="0">
        <f>SUM(Q2:Q3)</f>
        <v>1000</v>
      </c>
      <c r="AC4" s="0">
        <f>AC2</f>
        <v>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26550</v>
      </c>
      <c r="AB2" t="s" s="0">
        <v>310</v>
      </c>
      <c r="AC2" s="0">
        <f>ROUND(SUM((AA2*L2)+(AB2*L2)+(I2*L2)),2)</f>
        <v>26550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338</v>
      </c>
    </row>
    <row r="4" spans="1:30">
      <c r="I4" s="0">
        <f>SUM(I2:I3)</f>
        <v>1000</v>
      </c>
      <c r="M4" s="0">
        <f>ROUND(M2-M3,2)</f>
        <v>25550</v>
      </c>
      <c r="N4" s="0">
        <f>ROUND(N2-N3,2)</f>
        <v>25550</v>
      </c>
      <c r="Q4" s="0">
        <f>SUM(Q2:Q3)</f>
        <v>27550</v>
      </c>
      <c r="AC4" s="0">
        <f>ROUND(AC2-AC3,2)</f>
        <v>25550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 s="0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85000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85000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85000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8"/>
  <dimension ref="A1:AI4"/>
  <sheetViews>
    <sheetView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6.140625"/>
    <col min="29" max="29" bestFit="true" customWidth="true" width="25.0"/>
    <col min="31" max="31" bestFit="true" customWidth="true" width="16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ROUND(AA2*AF2%,2)</f>
        <v>0</v>
      </c>
    </row>
    <row r="4" spans="1:34">
      <c r="M4" s="0">
        <f>ROUND(M2-M3,2)</f>
        <v>0</v>
      </c>
      <c r="N4" s="0">
        <f>ROUND(N2-N3,2)</f>
        <v>0</v>
      </c>
      <c r="Q4" s="0">
        <f>SUM(Q2)</f>
        <v>0</v>
      </c>
      <c r="AA4" t="s" s="0">
        <v>310</v>
      </c>
      <c r="AB4" s="0">
        <v>0</v>
      </c>
      <c r="AC4" s="0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customWidth="true" width="17.7109375"/>
    <col min="32" max="32" customWidth="true" width="14.85546875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221.25</v>
      </c>
      <c r="AD3" t="s" s="0">
        <v>386</v>
      </c>
      <c r="AE3" s="0">
        <v>1000000047</v>
      </c>
      <c r="AF3" s="0">
        <v>0.1</v>
      </c>
      <c r="AG3" s="0">
        <f>AC3</f>
        <v>221.25</v>
      </c>
      <c r="AH3" s="0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ROUND((M2+M3)-(M4+M5),2)</f>
        <v>440.07</v>
      </c>
      <c r="N6" s="0">
        <f>ROUND((N2+N3)-(N4+N5),2)</f>
        <v>440.07</v>
      </c>
      <c r="Q6" s="0">
        <f>SUM(Q2:Q3)</f>
        <v>442.5</v>
      </c>
      <c r="AC6" s="0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 s="0">
        <v>310</v>
      </c>
      <c r="H2" t="s" s="0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 s="0">
        <v>207</v>
      </c>
      <c r="M2" t="s" s="0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380</v>
      </c>
      <c r="AC2" t="s" s="0">
        <v>380</v>
      </c>
      <c r="AD2" t="s" s="0">
        <v>416</v>
      </c>
      <c r="AE2" t="s" s="0">
        <v>416</v>
      </c>
      <c r="AF2" s="0">
        <f>ROUND(AD2-AB2,2)</f>
        <v>663.75</v>
      </c>
      <c r="AG2" s="0">
        <f>ROUND(AE2-AC2,2)</f>
        <v>663.75</v>
      </c>
      <c r="AH2" s="0">
        <f>ROUND(SUM((AB2*M2)+(AC2*M2)+(J2*M2)),2)</f>
        <v>1442.5</v>
      </c>
      <c r="AI2" s="0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 s="0">
        <v>207</v>
      </c>
      <c r="M3" t="s" s="0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380</v>
      </c>
      <c r="AC3" t="s" s="0">
        <v>380</v>
      </c>
      <c r="AD3" t="s" s="0">
        <v>416</v>
      </c>
      <c r="AE3" t="s" s="0">
        <v>416</v>
      </c>
      <c r="AF3" s="0">
        <f>ROUND(AD3-AB3,2)</f>
        <v>663.75</v>
      </c>
      <c r="AG3" s="0">
        <f>ROUND(AE3-AC3,2)</f>
        <v>663.75</v>
      </c>
      <c r="AH3" s="0">
        <f>ROUND(SUM((AB3*M3)+(AC3*M3)+(J3*M3)),2)</f>
        <v>1442.5</v>
      </c>
      <c r="AI3" s="0">
        <f>ROUND((AE3+AD3+J3)-(AB3+AC3),2)</f>
        <v>2327.5</v>
      </c>
    </row>
    <row r="4" spans="1:35">
      <c r="J4" s="0">
        <f>SUM(J2:J3)</f>
        <v>2000</v>
      </c>
      <c r="N4" s="0">
        <f>SUM(N2:N3)</f>
        <v>2885</v>
      </c>
      <c r="O4" s="0">
        <f>SUM(O2:O3)</f>
        <v>2885</v>
      </c>
      <c r="R4" s="0">
        <f>SUM(R2:R3)</f>
        <v>2885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0</v>
      </c>
      <c r="AG4" s="0">
        <f t="shared" si="0"/>
        <v>0</v>
      </c>
      <c r="AH4" s="0">
        <f t="shared" si="0"/>
        <v>2885</v>
      </c>
      <c r="AI4" s="0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37.140625"/>
    <col min="3" max="3" bestFit="true" customWidth="true" width="12.28515625"/>
    <col min="4" max="4" bestFit="true" customWidth="true" width="33.140625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 s="0">
        <v>209</v>
      </c>
      <c r="M2" t="s" s="0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421</v>
      </c>
      <c r="AC2" t="s" s="0">
        <v>421</v>
      </c>
      <c r="AD2" t="s" s="0">
        <v>422</v>
      </c>
      <c r="AE2" t="s" s="0">
        <v>422</v>
      </c>
      <c r="AF2" s="0">
        <f>ROUND(AD2-AB2,2)</f>
        <v>562.5</v>
      </c>
      <c r="AG2" s="0">
        <f>ROUND(AE2-AC2,2)</f>
        <v>562.5</v>
      </c>
      <c r="AH2" s="0">
        <f>ROUND(SUM((AB2*M2)+(AC2*M2)+(J2*M2)),2)</f>
        <v>40375</v>
      </c>
      <c r="AI2" s="0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 s="0">
        <v>209</v>
      </c>
      <c r="M3" t="s" s="0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421</v>
      </c>
      <c r="AC3" t="s" s="0">
        <v>421</v>
      </c>
      <c r="AD3" t="s" s="0">
        <v>422</v>
      </c>
      <c r="AE3" t="s" s="0">
        <v>422</v>
      </c>
      <c r="AF3" s="0">
        <f>ROUND(AD3-AB3,2)</f>
        <v>562.5</v>
      </c>
      <c r="AG3" s="0">
        <f>ROUND(AE3-AC3,2)</f>
        <v>562.5</v>
      </c>
      <c r="AH3" s="0">
        <f>ROUND(SUM((AB3*M3)+(AC3*M3)+(J3*M3)),2)</f>
        <v>40375</v>
      </c>
      <c r="AI3" s="0">
        <f>ROUND((AE3+AD3+J3)-(AB3+AC3),2)</f>
        <v>1225</v>
      </c>
    </row>
    <row r="4" spans="1:35">
      <c r="J4" s="0">
        <f>SUM(J2:J3)</f>
        <v>200</v>
      </c>
      <c r="N4" s="0">
        <f>SUM(N2:N3)</f>
        <v>950</v>
      </c>
      <c r="O4" s="0">
        <f>SUM(O2:O3)</f>
        <v>80750</v>
      </c>
      <c r="R4" s="0">
        <f>SUM(R2:R3)</f>
        <v>1017.5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1125</v>
      </c>
      <c r="AG4" s="0">
        <f t="shared" si="0"/>
        <v>1125</v>
      </c>
      <c r="AH4" s="0">
        <f t="shared" si="0"/>
        <v>80750</v>
      </c>
      <c r="AI4" s="0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BankPaymentExpUSD</vt:lpstr>
      <vt:lpstr>BankPaymentExp</vt:lpstr>
      <vt:lpstr>BankReceiptRevExp</vt:lpstr>
      <vt:lpstr>BankPaymentExpTDS</vt:lpstr>
      <vt:lpstr>BankPaymentExpGSTTDS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2026-04-27T12:09:45Z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