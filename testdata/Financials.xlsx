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2520" windowWidth="15150" windowHeight="6540" firstSheet="45" activeTab="47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INR" sheetId="41" r:id="rId27"/>
    <sheet name="BankPaymentINRMulti" sheetId="46" r:id="rId28"/>
    <sheet name="BankPaymentINRMPMBNR" sheetId="50" r:id="rId29"/>
    <sheet name="BankPaymentINRMPMB" sheetId="49" r:id="rId30"/>
    <sheet name="BankPaymentINRMPSB" sheetId="48" r:id="rId31"/>
    <sheet name="BankPaymentUSD" sheetId="51" r:id="rId32"/>
    <sheet name="BankPaymentChargesUSD" sheetId="68" r:id="rId33"/>
    <sheet name="BankPaymentCharges" sheetId="65" r:id="rId34"/>
    <sheet name="BankPaymentUSDMulti" sheetId="52" r:id="rId35"/>
    <sheet name="BankPaymentUSDMPSB" sheetId="53" r:id="rId36"/>
    <sheet name="BankPaymentUSDMPMB" sheetId="54" r:id="rId37"/>
    <sheet name="BankPaymentUSDMPMBNR" sheetId="55" r:id="rId38"/>
    <sheet name="MultiGRN" sheetId="30" r:id="rId39"/>
    <sheet name="BankReceipt (2)" sheetId="42" r:id="rId40"/>
    <sheet name="BankReceiptAdv" sheetId="69" r:id="rId41"/>
    <sheet name="BankReceiptMultiNewRef" sheetId="38" r:id="rId42"/>
    <sheet name="JournalMPMI" sheetId="72" r:id="rId43"/>
    <sheet name="JournalMulti" sheetId="71" r:id="rId44"/>
    <sheet name="JournalUSD" sheetId="74" r:id="rId45"/>
    <sheet name="JournalMultiUSD" sheetId="75" r:id="rId46"/>
    <sheet name="JournalMPMIUSD" sheetId="76" r:id="rId47"/>
    <sheet name="JournalNRUSD" sheetId="77" r:id="rId48"/>
    <sheet name="BankReceiptMultiNewRefUSD" sheetId="45" r:id="rId49"/>
    <sheet name="JournalNR" sheetId="73" r:id="rId50"/>
    <sheet name="Journal" sheetId="70" r:id="rId51"/>
    <sheet name="BankReceipt" sheetId="35" r:id="rId52"/>
    <sheet name="BankReceiptMulti" sheetId="37" r:id="rId53"/>
    <sheet name="BankReceiptUSD" sheetId="39" r:id="rId54"/>
    <sheet name="BankReceiptMultiUSD" sheetId="40" r:id="rId55"/>
    <sheet name="BankReceiptMulti (2)" sheetId="43" r:id="rId56"/>
    <sheet name="BankReceiptMultiNewRef (2)" sheetId="44" r:id="rId57"/>
    <sheet name="BankReceiptPDC" sheetId="56" r:id="rId58"/>
    <sheet name="BankReceiptChargesUSD" sheetId="60" r:id="rId59"/>
    <sheet name="BankReceiptCharges" sheetId="57" r:id="rId60"/>
    <sheet name="BankPaymentExpGST" sheetId="63" r:id="rId61"/>
    <sheet name="BankReceiptRevExpGST" sheetId="59" r:id="rId62"/>
    <sheet name="BankPaymentExp" sheetId="62" r:id="rId63"/>
    <sheet name="BankReceiptRevExp" sheetId="58" r:id="rId64"/>
    <sheet name="BankPaymentExpTDS" sheetId="66" r:id="rId65"/>
    <sheet name="BankPaymentExpGSTTDS" sheetId="67" r:id="rId66"/>
    <sheet name="BankPaymentPDC" sheetId="61" r:id="rId67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77"/>
  <c r="J4" s="1"/>
  <c r="K3"/>
  <c r="AC4" i="45"/>
  <c r="AC3"/>
  <c r="N3" s="1"/>
  <c r="AC2"/>
  <c r="Q3"/>
  <c r="Q2"/>
  <c r="N2"/>
  <c r="M3"/>
  <c r="M2"/>
  <c r="J4" i="76"/>
  <c r="J3"/>
  <c r="H2"/>
  <c r="G2"/>
  <c r="I2" i="75"/>
  <c r="J4"/>
  <c r="J3"/>
  <c r="J3" i="74"/>
  <c r="I2"/>
  <c r="AC2" i="39"/>
  <c r="J4" i="73"/>
  <c r="J3"/>
  <c r="K4"/>
  <c r="K3"/>
  <c r="M2" i="38"/>
  <c r="J4" i="72"/>
  <c r="J3"/>
  <c r="H2"/>
  <c r="G2"/>
  <c r="I2" s="1"/>
  <c r="J4" i="71"/>
  <c r="J3"/>
  <c r="I2"/>
  <c r="M3" i="37"/>
  <c r="M2"/>
  <c r="J3" i="70"/>
  <c r="I2"/>
  <c r="AC2" i="35"/>
  <c r="AC2" i="69"/>
  <c r="N2" s="1"/>
  <c r="N3" s="1"/>
  <c r="M2"/>
  <c r="M3" s="1"/>
  <c r="M2" i="57"/>
  <c r="N4" i="60"/>
  <c r="M4"/>
  <c r="N2"/>
  <c r="M2"/>
  <c r="AC4"/>
  <c r="AC3"/>
  <c r="AC2"/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AC2" i="65"/>
  <c r="N2" s="1"/>
  <c r="M2"/>
  <c r="Q2" s="1"/>
  <c r="I4"/>
  <c r="AC3"/>
  <c r="N3" s="1"/>
  <c r="M3"/>
  <c r="Q3" s="1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N3"/>
  <c r="M3"/>
  <c r="Q3" s="1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I2" i="73" l="1"/>
  <c r="J3" i="77"/>
  <c r="I2" s="1"/>
  <c r="I2" i="76"/>
  <c r="AC3" i="69"/>
  <c r="Q2"/>
  <c r="Q3" s="1"/>
  <c r="Q4" i="68"/>
  <c r="M4"/>
  <c r="N4"/>
  <c r="AC4"/>
  <c r="AC3" i="67"/>
  <c r="Q2"/>
  <c r="N2" i="66"/>
  <c r="M3" i="62"/>
  <c r="S2" i="63"/>
  <c r="R2"/>
  <c r="AC2" s="1"/>
  <c r="M4" i="65"/>
  <c r="N4"/>
  <c r="Q4"/>
  <c r="AC4"/>
  <c r="AC3" i="62"/>
  <c r="R3"/>
  <c r="Q3"/>
  <c r="AC3" i="61"/>
  <c r="Q2"/>
  <c r="Q3" s="1"/>
  <c r="Q2" i="60"/>
  <c r="Q4" s="1"/>
  <c r="R3" i="58"/>
  <c r="AC3" s="1"/>
  <c r="N3" s="1"/>
  <c r="S3"/>
  <c r="Q2"/>
  <c r="R4" i="59"/>
  <c r="I4"/>
  <c r="N3"/>
  <c r="M3"/>
  <c r="Q3" s="1"/>
  <c r="N2"/>
  <c r="M2"/>
  <c r="M4" s="1"/>
  <c r="I4" i="57"/>
  <c r="Q2"/>
  <c r="Q4" s="1"/>
  <c r="AC2"/>
  <c r="N2" s="1"/>
  <c r="N4" s="1"/>
  <c r="AC3"/>
  <c r="N3" s="1"/>
  <c r="M3"/>
  <c r="Q3" s="1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N4" l="1"/>
  <c r="M4"/>
  <c r="M4" i="55"/>
  <c r="Q4" i="67"/>
  <c r="R2"/>
  <c r="S2"/>
  <c r="S4" s="1"/>
  <c r="M4" i="57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M3" s="1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9" l="1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/>
  <c r="Q3" s="1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<sst xmlns="http://schemas.openxmlformats.org/spreadsheetml/2006/main" count="2932" uniqueCount="370">
  <si>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</si>
  <si>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</si>
  <si>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</si>
  <si>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</si>
  <si>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</si>
  <si>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</si>
  <si>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</si>
  <si>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</si>
  <si>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</si>
  <si>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</si>
  <si>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</si>
  <si>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</si>
  <si>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</si>
  <si>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</si>
  <si>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</si>
  <si>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</si>
  <si>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</si>
  <si>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</si>
  <si>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</si>
  <si>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</si>
  <si>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</si>
  <si>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</si>
  <si>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</si>
  <si>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</si>
  <si>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</si>
  <si>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</si>
  <si>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</si>
  <si>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</si>
  <si>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</si>
  <si>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</si>
  <si>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</si>
  <si>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</si>
  <si>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</si>
  <si>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</si>
  <si>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</si>
  <si>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</si>
  <si>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</si>
  <si>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</si>
  <si>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</si>
  <si>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</si>
  <si>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</si>
  <si>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</si>
  <si>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</si>
  <si>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</si>
  <si>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</si>
  <si>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</si>
  <si>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</si>
  <si>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</si>
  <si>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</si>
  <si>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</si>
  <si>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</si>
  <si>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</si>
  <si>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</si>
  <si>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</si>
  <si>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</si>
  <si>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</si>
  <si>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</si>
  <si>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</si>
  <si>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</si>
  <si>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</si>
  <si>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</si>
  <si>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</si>
  <si>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</si>
  <si>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</si>
  <si>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</si>
  <si>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</si>
  <si>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</si>
  <si>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</si>
  <si>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</si>
  <si>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</si>
  <si>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</si>
  <si>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</si>
  <si>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</si>
  <si>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</si>
  <si>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</si>
  <si>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</si>
  <si>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</si>
  <si>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</si>
  <si>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</si>
  <si>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</si>
  <si>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</si>
  <si>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</si>
  <si>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</si>
  <si>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</si>
  <si>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</si>
  <si>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</si>
  <si>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</si>
  <si>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</si>
  <si>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</si>
  <si>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</si>
  <si>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</si>
  <si>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</si>
  <si>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</si>
  <si>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</si>
  <si>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</si>
  <si>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</si>
  <si>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</si>
  <si>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</si>
  <si>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</si>
  <si>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</si>
  <si>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</si>
  <si>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</si>
  <si>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</si>
  <si>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</si>
  <si>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</si>
  <si>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</si>
  <si>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</si>
  <si>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</si>
  <si>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</si>
  <si>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</si>
  <si>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</si>
  <si>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</si>
  <si>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</si>
  <si>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</si>
  <si>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</si>
  <si>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</si>
  <si>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</si>
  <si>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</si>
  <si>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</si>
  <si>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</si>
  <si>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</si>
  <si>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</si>
  <si>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</si>
  <si>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</si>
  <si>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</si>
  <si>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</si>
  <si>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</si>
  <si>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</si>
  <si>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</si>
  <si>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</si>
  <si>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</si>
  <si>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</si>
  <si>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</si>
  <si>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</si>
  <si>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</si>
  <si>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</si>
  <si>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</si>
  <si>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</si>
  <si>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</si>
  <si>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</si>
  <si>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</si>
  <si>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</si>
  <si>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</si>
  <si>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</si>
  <si>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</si>
  <si>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</si>
  <si>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</si>
  <si>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</si>
  <si>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</si>
  <si>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</si>
  <si>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</si>
  <si>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</si>
  <si>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</si>
  <si>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</si>
  <si>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</si>
  <si>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</si>
  <si>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</si>
  <si>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</si>
  <si>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</si>
  <si>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</si>
  <si>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</si>
  <si>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</si>
  <si>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</si>
  <si>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</si>
  <si>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</si>
  <si>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</si>
  <si>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</si>
  <si>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</si>
  <si>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</si>
  <si>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</si>
  <si>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</si>
  <si>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</si>
  <si>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</si>
  <si>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</si>
  <si>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</si>
  <si>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</si>
  <si>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</si>
  <si>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</si>
  <si>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</si>
  <si>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</si>
  <si>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</si>
  <si>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</si>
  <si>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</si>
  <si>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</si>
  <si>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</si>
  <si>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</si>
  <si>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</si>
  <si>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</si>
  <si>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</si>
  <si>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</si>
  <si>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</si>
  <si>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</si>
  <si>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</si>
  <si>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</si>
  <si>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</si>
  <si>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</si>
  <si>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</si>
  <si>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</si>
  <si>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</si>
  <si>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</si>
  <si>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</si>
  <si>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</si>
  <si>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</si>
  <si>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</si>
  <si>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</si>
  <si>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</si>
  <si>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</si>
  <si>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</si>
  <si>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</si>
  <si>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</si>
  <si>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</si>
  <si>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</si>
  <si>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</si>
  <si>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</si>
  <si>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</si>
  <si>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</si>
  <si>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</si>
  <si>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</si>
  <si>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</si>
  <si>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</si>
  <si>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</si>
  <si>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</si>
  <si>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</si>
  <si>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</si>
  <si>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</si>
  <si>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</si>
  <si>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</si>
  <si>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</si>
  <si>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</si>
  <si>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</si>
  <si>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</si>
  <si>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</si>
  <si>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</si>
  <si>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</si>
  <si>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</si>
  <si>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</si>
  <si>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</si>
  <si>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</si>
  <si>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</si>
  <si>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</si>
  <si>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</si>
  <si>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</si>
  <si>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</si>
  <si>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</si>
  <si>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</si>
  <si>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</si>
  <si>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</si>
  <si>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</si>
  <si>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</si>
  <si>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</si>
  <si>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</si>
  <si>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</si>
  <si>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</si>
  <si>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</si>
  <si>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</si>
  <si>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</si>
  <si>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</si>
  <si>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</si>
  <si>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</si>
  <si>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</si>
  <si>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</si>
  <si>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</si>
  <si>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</si>
  <si>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</si>
  <si>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</si>
  <si>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</si>
  <si>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</si>
  <si>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</si>
  <si>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</si>
  <si>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</si>
  <si>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</si>
  <si>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</si>
  <si>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</si>
  <si>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</si>
  <si>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</si>
  <si>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</si>
  <si>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</si>
  <si>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</si>
  <si>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</si>
  <si>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</si>
  <si>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</si>
  <si>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</si>
  <si>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</si>
  <si>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</si>
  <si>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</si>
  <si>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</si>
  <si>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</si>
  <si>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</si>
  <si>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</si>
  <si>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</si>
  <si>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</si>
  <si>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</si>
  <si>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</si>
  <si>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</si>
  <si>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</si>
  <si>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</si>
  <si>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</si>
  <si>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</si>
  <si>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</si>
  <si>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</si>
  <si>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</si>
  <si>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</si>
  <si>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</si>
  <si>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</si>
  <si>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</si>
  <si>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</si>
  <si>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</si>
  <si>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</si>
  <si>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</si>
  <si>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</si>
  <si>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</si>
  <si>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</si>
  <si>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</si>
  <si>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</si>
  <si>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</si>
  <si>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</si>
  <si>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</si>
  <si>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</si>
  <si>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</si>
  <si>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</si>
  <si>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</si>
  <si>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</si>
  <si>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</si>
  <si>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</si>
  <si>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</si>
  <si>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</si>
  <si>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</si>
  <si>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</si>
  <si>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</si>
  <si>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</si>
  <si>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</si>
  <si>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</si>
  <si>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</si>
  <si>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</si>
  <si>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</si>
  <si>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</si>
  <si>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</si>
  <si>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</si>
  <si>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</si>
  <si>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</si>
  <si>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</si>
  <si>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</si>
  <si>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</si>
  <si>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</si>
  <si>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</si>
  <si>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</si>
  <si>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</si>
  <si>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</si>
  <si>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</si>
  <si>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</si>
  <si>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</si>
  <si>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</si>
  <si>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</si>
  <si>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</si>
  <si>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</si>
  <si>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</si>
  <si>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</si>
  <si>
    <t>1650</t>
  </si>
  <si>
    <t>26550</t>
  </si>
  <si>
    <t>666.3</t>
  </si>
  <si>
    <t>666.66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</si>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</sst>
</file>

<file path=xl/styles.xml><?xml version="1.0" encoding="utf-8"?>
<styleSheet xmlns="http://schemas.openxmlformats.org/spreadsheetml/2006/main">
  <numFmts count="0"/>
  <fonts count="2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</cellStyleXfs>
  <cellXfs count="62">
    <xf numFmtId="0" fontId="0" fillId="0" borderId="0" xfId="0">
      <alignment vertical="center"/>
    </xf>
    <xf numFmtId="0" fontId="0" fillId="0" borderId="1" xfId="0" applyBorder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14" fillId="0" borderId="1" xfId="2" applyFont="1" applyBorder="1" applyAlignment="1">
      <alignment vertical="center"/>
    </xf>
    <xf numFmtId="0" fontId="14" fillId="0" borderId="1" xfId="1" applyFont="1" applyFill="1" applyBorder="1" applyAlignment="1">
      <alignment vertical="center"/>
    </xf>
    <xf numFmtId="0" fontId="15" fillId="0" borderId="0" xfId="0" applyFont="1">
      <alignment vertical="center"/>
    </xf>
    <xf numFmtId="0" fontId="0" fillId="0" borderId="1" xfId="2" applyFont="1" applyBorder="1">
      <alignment vertical="center"/>
    </xf>
    <xf numFmtId="0" fontId="16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5" fillId="0" borderId="1" xfId="0" applyFont="1" applyFill="1" applyBorder="1">
      <alignment vertical="center"/>
    </xf>
    <xf numFmtId="0" fontId="15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16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17" fillId="0" borderId="1" xfId="0" applyFont="1" applyBorder="1">
      <alignment vertical="center"/>
    </xf>
    <xf numFmtId="0" fontId="0" fillId="0" borderId="0" xfId="0" applyBorder="1">
      <alignment vertical="center"/>
    </xf>
    <xf numFmtId="0" fontId="18" fillId="0" borderId="1" xfId="0" applyFont="1" applyBorder="1" applyAlignment="1">
      <alignment vertical="center"/>
    </xf>
    <xf numFmtId="49" fontId="14" fillId="0" borderId="1" xfId="0" applyNumberFormat="1" applyFont="1" applyBorder="1" applyAlignment="1">
      <alignment vertical="center"/>
    </xf>
    <xf numFmtId="0" fontId="17" fillId="0" borderId="0" xfId="0" applyFont="1">
      <alignment vertical="center"/>
    </xf>
    <xf numFmtId="0" fontId="14" fillId="0" borderId="1" xfId="1" applyFont="1" applyBorder="1" applyAlignment="1">
      <alignment vertical="center"/>
    </xf>
    <xf numFmtId="0" fontId="18" fillId="0" borderId="1" xfId="1" applyFont="1" applyBorder="1" applyAlignment="1">
      <alignment vertical="center"/>
    </xf>
    <xf numFmtId="0" fontId="19" fillId="0" borderId="0" xfId="0" applyFont="1" applyAlignment="1">
      <alignment horizontal="justify" vertical="center"/>
    </xf>
    <xf numFmtId="0" fontId="20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 wrapText="1"/>
    </xf>
    <xf numFmtId="0" fontId="22" fillId="0" borderId="0" xfId="0" applyFont="1">
      <alignment vertical="center"/>
    </xf>
    <xf numFmtId="0" fontId="12" fillId="0" borderId="1" xfId="0" applyFont="1" applyBorder="1">
      <alignment vertical="center"/>
    </xf>
    <xf numFmtId="0" fontId="13" fillId="0" borderId="2" xfId="0" applyFont="1" applyFill="1" applyBorder="1" applyAlignment="1">
      <alignment horizontal="center" vertical="center"/>
    </xf>
    <xf numFmtId="0" fontId="23" fillId="5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10" fillId="0" borderId="1" xfId="0" applyFont="1" applyBorder="1">
      <alignment vertical="center"/>
    </xf>
    <xf numFmtId="0" fontId="23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9" fillId="0" borderId="3" xfId="0" applyFont="1" applyBorder="1">
      <alignment vertical="center"/>
    </xf>
    <xf numFmtId="0" fontId="10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11" fillId="0" borderId="3" xfId="0" applyFont="1" applyBorder="1">
      <alignment vertical="center"/>
    </xf>
    <xf numFmtId="0" fontId="23" fillId="5" borderId="3" xfId="0" applyFont="1" applyFill="1" applyBorder="1">
      <alignment vertical="center"/>
    </xf>
    <xf numFmtId="0" fontId="8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3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23" fillId="5" borderId="0" xfId="0" applyFont="1" applyFill="1" applyBorder="1">
      <alignment vertical="center"/>
    </xf>
    <xf numFmtId="0" fontId="23" fillId="5" borderId="4" xfId="0" applyFont="1" applyFill="1" applyBorder="1">
      <alignment vertical="center"/>
    </xf>
    <xf numFmtId="0" fontId="13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theme/theme1.xml" Type="http://schemas.openxmlformats.org/officeDocument/2006/relationships/theme"/><Relationship Id="rId69" Target="styles.xml" Type="http://schemas.openxmlformats.org/officeDocument/2006/relationships/styles"/><Relationship Id="rId7" Target="worksheets/sheet7.xml" Type="http://schemas.openxmlformats.org/officeDocument/2006/relationships/worksheet"/><Relationship Id="rId70" Target="sharedStrings.xml" Type="http://schemas.openxmlformats.org/officeDocument/2006/relationships/sharedStrings"/><Relationship Id="rId71" Target="calcChain.xml" Type="http://schemas.openxmlformats.org/officeDocument/2006/relationships/calcChain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5"/>
  <sheetViews>
    <sheetView topLeftCell="M1" workbookViewId="0">
      <selection activeCell="Y4" sqref="Y4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D2"/>
  <sheetViews>
    <sheetView topLeftCell="R1" workbookViewId="0">
      <selection activeCell="Z14" sqref="Z14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359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C3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359</v>
      </c>
      <c r="AB2" t="s" s="0">
        <v>359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359</v>
      </c>
      <c r="AB2" t="s" s="0">
        <v>359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360</v>
      </c>
      <c r="AB3" t="s" s="0">
        <v>360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359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360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topLeftCell="Q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353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342</v>
      </c>
    </row>
    <row r="4" spans="1:30">
      <c r="I4" s="0">
        <f>SUM(I2:I3)</f>
        <v>10</v>
      </c>
      <c r="M4" s="0">
        <f>ROUND(M2-M3,2)</f>
        <v>-10</v>
      </c>
      <c r="N4" s="0">
        <f>ROUND(N2-N3,2)</f>
        <v>-10</v>
      </c>
      <c r="Q4" s="0">
        <f>SUM(Q2:Q3)</f>
        <v>10</v>
      </c>
      <c r="AC4" s="0">
        <f>ROUND(AC2-AC3,2)</f>
        <v>-10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D4"/>
  <sheetViews>
    <sheetView topLeftCell="Q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342</v>
      </c>
    </row>
    <row r="4" spans="1:30">
      <c r="I4" s="0">
        <f>SUM(I2:I3)</f>
        <v>100</v>
      </c>
      <c r="M4" s="0">
        <f>ROUND(M2-M3,2)</f>
        <v>-100</v>
      </c>
      <c r="N4" s="0">
        <f>ROUND(N2-N3,2)</f>
        <v>-100</v>
      </c>
      <c r="Q4" s="0">
        <f>SUM(Q2:Q3)</f>
        <v>100</v>
      </c>
      <c r="AC4" s="0">
        <f>ROUND(AC2-AC3,2)</f>
        <v>-100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J2" sqref="AJ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334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C4"/>
  <sheetViews>
    <sheetView topLeftCell="W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319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100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343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ROUND(SUM(G3+H3)*K1,2)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60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60">
        <v>0</v>
      </c>
      <c r="J3" s="60">
        <f>ROUND(SUM(G3+H3)*K1,2)</f>
        <v>0</v>
      </c>
    </row>
    <row r="4" spans="1:31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60">
        <v>0</v>
      </c>
      <c r="J4" s="60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60">
        <v>0</v>
      </c>
      <c r="J3" s="60">
        <f>ROUND(SUM(G3+H3)*K1,2)</f>
        <v>220000</v>
      </c>
    </row>
    <row r="4" spans="1:30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60">
        <v>0</v>
      </c>
      <c r="J4" s="60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D4"/>
  <sheetViews>
    <sheetView tabSelected="1"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s="57" t="s">
        <v>368</v>
      </c>
      <c r="L1" t="s" s="0">
        <v>369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ROUND(SUM(G3+H3+K4)*L1,2)</f>
        <v>0</v>
      </c>
      <c r="K3" s="1">
        <f>BankReceiptMultiNewRefUSD!I2</f>
        <v>200</v>
      </c>
    </row>
    <row r="4" spans="1:30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ROUND(SUM(G4+H4+K4)*L1,2)</f>
        <v>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369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369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D4"/>
  <sheetViews>
    <sheetView topLeftCell="E1" workbookViewId="0">
      <selection activeCell="J4" sqref="J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s="57" t="s">
        <v>368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361</v>
      </c>
      <c r="D1" s="57" t="s">
        <v>254</v>
      </c>
      <c r="E1" s="57" t="s">
        <v>362</v>
      </c>
      <c r="F1" s="57" t="s">
        <v>257</v>
      </c>
      <c r="G1" s="57" t="s">
        <v>366</v>
      </c>
      <c r="H1" s="57" t="s">
        <v>367</v>
      </c>
      <c r="I1" s="57" t="s">
        <v>363</v>
      </c>
      <c r="J1" s="57" t="s">
        <v>364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AD2" sqref="A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A6" sqref="A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358</v>
      </c>
      <c r="AB2" t="s" s="0">
        <v>358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358</v>
      </c>
      <c r="AB3" t="s" s="0">
        <v>358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C3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312</v>
      </c>
      <c r="M2" s="38">
        <f>ROUND(SUM(AA2+AB2+I2),2)</f>
        <v>3300</v>
      </c>
      <c r="N2" s="38">
        <f>AC2</f>
        <v>267300</v>
      </c>
      <c r="O2" s="1"/>
      <c r="P2" s="1"/>
      <c r="Q2" s="1">
        <f>M2</f>
        <v>3300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267300</v>
      </c>
    </row>
    <row r="3" spans="1:29">
      <c r="M3" s="0">
        <f>SUM(M2)</f>
        <v>3300</v>
      </c>
      <c r="N3" s="0">
        <f>SUM(N2)</f>
        <v>267300</v>
      </c>
      <c r="Q3" s="0">
        <f>SUM(Q2)</f>
        <v>3300</v>
      </c>
      <c r="AA3" t="s" s="0">
        <v>310</v>
      </c>
      <c r="AB3" t="s" s="0">
        <v>310</v>
      </c>
      <c r="AC3" s="0">
        <f>SUM(AC2)</f>
        <v>267300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A2" sqref="A2:XF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369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341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D4"/>
  <sheetViews>
    <sheetView topLeftCell="J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312</v>
      </c>
      <c r="M2" s="38">
        <f>ROUND(SUM(AA2+AB2+I2),2)</f>
        <v>1650</v>
      </c>
      <c r="N2" s="38">
        <f>AC2</f>
        <v>133650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357</v>
      </c>
      <c r="AB2" t="s" s="0">
        <v>310</v>
      </c>
      <c r="AC2" s="0">
        <f>ROUND(SUM((AA2*L2)+(AB2*L2)+(I2*L2)),2)</f>
        <v>133650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209</v>
      </c>
      <c r="L3" t="s" s="0">
        <v>312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81000</v>
      </c>
      <c r="AD3" t="s" s="0">
        <v>342</v>
      </c>
    </row>
    <row r="4" spans="1:30">
      <c r="I4" s="0">
        <f>SUM(I2:I3)</f>
        <v>1000</v>
      </c>
      <c r="M4" s="0">
        <f>ROUND(M2-M3,2)</f>
        <v>650</v>
      </c>
      <c r="N4" s="0">
        <f>ROUND(N2-N3,2)</f>
        <v>132650</v>
      </c>
      <c r="Q4" s="0">
        <f>SUM(Q2:Q3)</f>
        <v>1000</v>
      </c>
      <c r="AC4" s="0">
        <f>ROUND(AC2-AC3,2)</f>
        <v>52650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D4"/>
  <sheetViews>
    <sheetView topLeftCell="Q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358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342</v>
      </c>
    </row>
    <row r="4" spans="1:30">
      <c r="I4" s="0">
        <f>SUM(I2:I3)</f>
        <v>1000</v>
      </c>
      <c r="M4" s="0">
        <f>ROUND(M2-M3,2)</f>
        <v>-1000</v>
      </c>
      <c r="N4" s="0">
        <f>ROUND(N2-N3,2)</f>
        <v>-1000</v>
      </c>
      <c r="Q4" s="0">
        <f>SUM(Q2:Q3)</f>
        <v>1000</v>
      </c>
      <c r="AC4" s="0">
        <f>ROUND(AC2-AC3,2)</f>
        <v>-1000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G4"/>
  <sheetViews>
    <sheetView topLeftCell="U1" workbookViewId="0">
      <selection activeCell="B19" sqref="B19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341</v>
      </c>
      <c r="AE2" s="0">
        <v>34</v>
      </c>
      <c r="AF2" t="s" s="0">
        <v>180</v>
      </c>
      <c r="AG2" t="s" s="0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341</v>
      </c>
      <c r="AE3" s="0">
        <v>34</v>
      </c>
      <c r="AF3" t="s" s="0">
        <v>349</v>
      </c>
      <c r="AG3" t="s" s="0">
        <v>350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G3"/>
  <sheetViews>
    <sheetView topLeftCell="U1" workbookViewId="0">
      <selection activeCell="B7" sqref="B7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G4"/>
  <sheetViews>
    <sheetView topLeftCell="U1"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341</v>
      </c>
      <c r="AE2" s="0">
        <v>34</v>
      </c>
      <c r="AF2" t="s" s="0">
        <v>180</v>
      </c>
      <c r="AG2" t="s" s="0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341</v>
      </c>
      <c r="AE3" s="0">
        <v>34</v>
      </c>
      <c r="AF3" t="s" s="0">
        <v>349</v>
      </c>
      <c r="AG3" t="s" s="0">
        <v>350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340</v>
      </c>
      <c r="AE1" s="1">
        <v>1</v>
      </c>
      <c r="AF1" s="37" t="s">
        <v>352</v>
      </c>
      <c r="AG1" s="37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341</v>
      </c>
      <c r="AE2" s="1">
        <v>34</v>
      </c>
      <c r="AF2" s="1" t="s">
        <v>349</v>
      </c>
      <c r="AG2" s="1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341</v>
      </c>
      <c r="AE2" s="0">
        <v>34</v>
      </c>
      <c r="AF2" t="s" s="0">
        <v>349</v>
      </c>
      <c r="AG2" t="s" s="0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1170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D3"/>
  <sheetViews>
    <sheetView topLeftCell="P1"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341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BankPaymentINR</vt:lpstr>
      <vt:lpstr>BankPaymentINRMulti</vt:lpstr>
      <vt:lpstr>BankPaymentINRMPMBNR</vt:lpstr>
      <vt:lpstr>BankPaymentINRMPMB</vt:lpstr>
      <vt:lpstr>BankPaymentINRMPSB</vt:lpstr>
      <vt:lpstr>BankPaymentUSD</vt:lpstr>
      <vt:lpstr>BankPaymentChargesUSD</vt:lpstr>
      <vt:lpstr>BankPaymentCharges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BankReceiptAdv</vt:lpstr>
      <vt:lpstr>BankReceiptMultiNewRef</vt:lpstr>
      <vt:lpstr>JournalMPMI</vt:lpstr>
      <vt:lpstr>JournalMulti</vt:lpstr>
      <vt:lpstr>JournalUSD</vt:lpstr>
      <vt:lpstr>JournalMultiUSD</vt:lpstr>
      <vt:lpstr>JournalMPMIUSD</vt:lpstr>
      <vt:lpstr>JournalNRUSD</vt:lpstr>
      <vt:lpstr>BankReceiptMultiNewRefUSD</vt:lpstr>
      <vt:lpstr>JournalNR</vt:lpstr>
      <vt:lpstr>Journal</vt:lpstr>
      <vt:lpstr>BankReceipt</vt:lpstr>
      <vt:lpstr>BankReceiptMulti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BankPaymentExpGST</vt:lpstr>
      <vt:lpstr>BankReceiptRevExpGST</vt:lpstr>
      <vt:lpstr>BankPaymentExp</vt:lpstr>
      <vt:lpstr>BankReceiptRevExp</vt:lpstr>
      <vt:lpstr>BankPaymentExpTDS</vt:lpstr>
      <vt:lpstr>BankPaymentExpGSTTDS</vt:lpstr>
      <vt:lpstr>BankPaymentPDC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2026-02-13T07:24:37Z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