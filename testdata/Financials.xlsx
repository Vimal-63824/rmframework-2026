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  <Override ContentType="application/vnd.openxmlformats-officedocument.spreadsheetml.worksheet+xml" PartName="/xl/worksheets/sheet152.xml"/>
  <Override ContentType="application/vnd.openxmlformats-officedocument.spreadsheetml.worksheet+xml" PartName="/xl/worksheets/sheet153.xml"/>
  <Override ContentType="application/vnd.openxmlformats-officedocument.spreadsheetml.worksheet+xml" PartName="/xl/worksheets/sheet154.xml"/>
  <Override ContentType="application/vnd.openxmlformats-officedocument.spreadsheetml.worksheet+xml" PartName="/xl/worksheets/sheet1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36" activeTab="13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" sheetId="37" r:id="rId125"/>
    <sheet name="BRAdvUSDNR" sheetId="142" r:id="rId126"/>
    <sheet name="BRAdvJournalUSDNR" sheetId="143" r:id="rId127"/>
    <sheet name="BankReceiptUSD" sheetId="39" r:id="rId128"/>
    <sheet name="BankReceiptMultiUSD" sheetId="40" r:id="rId129"/>
    <sheet name="BankReceiptMulti (2)" sheetId="43" r:id="rId130"/>
    <sheet name="BankReceiptMultiNewRef (2)" sheetId="44" r:id="rId131"/>
    <sheet name="BankReceiptPDC" sheetId="56" r:id="rId132"/>
    <sheet name="BankReceiptChargesUSD" sheetId="60" r:id="rId133"/>
    <sheet name="BankReceiptCharges" sheetId="57" r:id="rId134"/>
    <sheet name="BankPaymentChargesINR" sheetId="112" r:id="rId135"/>
    <sheet name="BankPaymentCharges" sheetId="65" r:id="rId136"/>
    <sheet name="BankPaymentExpGST" sheetId="63" r:id="rId137"/>
    <sheet name="BankPaymentExpGSTTDS" sheetId="67" r:id="rId138"/>
    <sheet name="BankPaymentExpUSD" sheetId="103" r:id="rId139"/>
    <sheet name="BankPaymentExp" sheetId="62" r:id="rId140"/>
    <sheet name="BankReceiptRevExp" sheetId="58" r:id="rId141"/>
    <sheet name="BankPaymentExpTDS" sheetId="66" r:id="rId142"/>
    <sheet name="BankPaymentPDC" sheetId="61" r:id="rId143"/>
    <sheet name="BPAdvanceUSD" sheetId="161" r:id="rId144"/>
    <sheet name="BPAdvance" sheetId="154" r:id="rId145"/>
    <sheet name="BPJournalADV" sheetId="153" r:id="rId146"/>
    <sheet name="TDS BPAdvance" sheetId="155" r:id="rId147"/>
    <sheet name="TDS BPJournalADV" sheetId="156" r:id="rId148"/>
    <sheet name="TDS BPAdvanceMulti" sheetId="157" r:id="rId149"/>
    <sheet name="TDS BPJournalADVMulti" sheetId="158" r:id="rId150"/>
    <sheet name="BPJournalADVINR" sheetId="159" r:id="rId151"/>
    <sheet name="BPJournalADVUSD" sheetId="160" r:id="rId152"/>
    <sheet name="BPMPMBADVNR" sheetId="162" r:id="rId153"/>
    <sheet name="BPMPMBADVNRUSD" sheetId="163" r:id="rId154"/>
    <sheet name="Sheet2" sheetId="146" r:id="rId1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G4" i="167" l="1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N3" i="67" l="1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<sst xmlns="http://schemas.openxmlformats.org/spreadsheetml/2006/main" count="5626" uniqueCount="429">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</sst>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worksheets/sheet152.xml" Type="http://schemas.openxmlformats.org/officeDocument/2006/relationships/worksheet"/><Relationship Id="rId153" Target="worksheets/sheet153.xml" Type="http://schemas.openxmlformats.org/officeDocument/2006/relationships/worksheet"/><Relationship Id="rId154" Target="worksheets/sheet154.xml" Type="http://schemas.openxmlformats.org/officeDocument/2006/relationships/worksheet"/><Relationship Id="rId155" Target="worksheets/sheet155.xml" Type="http://schemas.openxmlformats.org/officeDocument/2006/relationships/worksheet"/><Relationship Id="rId156" Target="theme/theme1.xml" Type="http://schemas.openxmlformats.org/officeDocument/2006/relationships/theme"/><Relationship Id="rId157" Target="styles.xml" Type="http://schemas.openxmlformats.org/officeDocument/2006/relationships/styles"/><Relationship Id="rId158" Target="sharedStrings.xml" Type="http://schemas.openxmlformats.org/officeDocument/2006/relationships/sharedStrings"/><Relationship Id="rId159" Target="calcChain.xml" Type="http://schemas.openxmlformats.org/officeDocument/2006/relationships/calcChain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_rels/sheet151.xml.rels><?xml version="1.0" encoding="UTF-8" standalone="yes"?><Relationships xmlns="http://schemas.openxmlformats.org/package/2006/relationships"><Relationship Id="rId1" Target="../printerSettings/printerSettings131.bin" Type="http://schemas.openxmlformats.org/officeDocument/2006/relationships/printerSettings"/></Relationships>
</file>

<file path=xl/worksheets/_rels/sheet152.xml.rels><?xml version="1.0" encoding="UTF-8" standalone="yes"?><Relationships xmlns="http://schemas.openxmlformats.org/package/2006/relationships"><Relationship Id="rId1" Target="../printerSettings/printerSettings132.bin" Type="http://schemas.openxmlformats.org/officeDocument/2006/relationships/printerSettings"/></Relationships>
</file>

<file path=xl/worksheets/_rels/sheet153.xml.rels><?xml version="1.0" encoding="UTF-8" standalone="yes"?><Relationships xmlns="http://schemas.openxmlformats.org/package/2006/relationships"><Relationship Id="rId1" Target="../printerSettings/printerSettings133.bin" Type="http://schemas.openxmlformats.org/officeDocument/2006/relationships/printerSettings"/></Relationships>
</file>

<file path=xl/worksheets/_rels/sheet154.xml.rels><?xml version="1.0" encoding="UTF-8" standalone="yes"?><Relationships xmlns="http://schemas.openxmlformats.org/package/2006/relationships"><Relationship Id="rId1" Target="../printerSettings/printerSettings13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customWidth="true" width="2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426</v>
      </c>
      <c r="AB2" t="s" s="0">
        <v>426</v>
      </c>
      <c r="AC2" s="0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426</v>
      </c>
      <c r="AB3" t="s" s="0">
        <v>426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0</v>
      </c>
      <c r="J2" s="0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ROUND(SUM(G3+H3)*K1,2)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ROUND(SUM(G2+H2+K2)*L1,2)</f>
        <v>8500</v>
      </c>
      <c r="J2" s="0">
        <v>0</v>
      </c>
      <c r="K2" s="1">
        <f>BankPaymentUSDMPMBNR!I2</f>
        <v>100</v>
      </c>
      <c r="L2" t="s" s="0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 s="0">
        <v>310</v>
      </c>
      <c r="H3" t="s" s="0">
        <v>310</v>
      </c>
      <c r="I3" s="59">
        <f>ROUND(SUM(G3+H3+K3)*L1,2)</f>
        <v>8500</v>
      </c>
      <c r="J3" s="0">
        <v>0</v>
      </c>
      <c r="K3" s="1">
        <f>BankPaymentUSDMPMBNR!I3</f>
        <v>100</v>
      </c>
      <c r="L3" t="s" s="0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17000</v>
      </c>
      <c r="L4" t="s" s="0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4799.1000000000004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338</v>
      </c>
    </row>
    <row r="4" spans="1:30">
      <c r="I4" s="0">
        <f>SUM(I2:I3)</f>
        <v>10</v>
      </c>
      <c r="M4" s="0">
        <f>ROUND(M2-M3,2)</f>
        <v>46.46</v>
      </c>
      <c r="N4" s="0">
        <f>ROUND(N2-N3,2)</f>
        <v>4789.1000000000004</v>
      </c>
      <c r="Q4" s="0">
        <f>SUM(Q2:Q3)</f>
        <v>66.460000000000008</v>
      </c>
      <c r="AC4" s="0">
        <f>ROUND(AC2-AC3,2)</f>
        <v>4789.1000000000004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59">
        <f>ROUND(SUM(G2+H2)*K1,2)</f>
        <v>4799.1000000000004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BankPaymentChargesUSD!I3</f>
        <v>10</v>
      </c>
      <c r="H3" t="s" s="0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 s="0">
        <v>5050606001</v>
      </c>
      <c r="D4" t="s" s="0">
        <v>427</v>
      </c>
      <c r="E4" s="1"/>
      <c r="F4" s="1"/>
      <c r="G4" s="0">
        <f>G3</f>
        <v>10</v>
      </c>
      <c r="H4" s="0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 s="0">
        <v>0</v>
      </c>
      <c r="H5" t="s" s="0">
        <v>310</v>
      </c>
      <c r="I5" s="0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370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370</v>
      </c>
      <c r="AB3" t="s" s="0">
        <v>370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 s="0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59">
        <f>ROUND(SUM(G2+H2),2)</f>
        <v>10000</v>
      </c>
      <c r="J2" s="0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0">
        <f>BankReceiptRevExp!I2</f>
        <v>10000</v>
      </c>
      <c r="H3" t="s" s="0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0">
        <v>5050100000</v>
      </c>
      <c r="D4" t="s" s="0">
        <v>340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426</v>
      </c>
      <c r="H2" t="s" s="0">
        <v>310</v>
      </c>
      <c r="I2" s="59">
        <f>ROUND(SUM(G2+H2),2)</f>
        <v>0</v>
      </c>
      <c r="J2" s="0">
        <v>0</v>
      </c>
    </row>
    <row r="3" spans="1:31">
      <c r="A3" s="1">
        <v>2</v>
      </c>
      <c r="B3" s="58" t="s">
        <v>191</v>
      </c>
      <c r="C3" s="0">
        <v>5060101000</v>
      </c>
      <c r="D3" t="s" s="0">
        <v>335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364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 s="0">
        <v>5060101000</v>
      </c>
      <c r="D4" t="s" s="0">
        <v>335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customWidth="true" width="16.28515625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2.21</v>
      </c>
      <c r="AF3" s="1">
        <v>0</v>
      </c>
      <c r="AG3" s="1">
        <v>0</v>
      </c>
      <c r="AH3" s="1">
        <v>0</v>
      </c>
    </row>
    <row r="4" spans="1:34">
      <c r="M4" s="0">
        <f>SUM(M2)</f>
        <v>221.25</v>
      </c>
      <c r="N4" s="0">
        <f>SUM(N2)</f>
        <v>221.25</v>
      </c>
      <c r="Q4" s="0">
        <f>SUM(Q2)</f>
        <v>221.25</v>
      </c>
      <c r="AA4" t="s" s="0">
        <v>310</v>
      </c>
      <c r="AB4" s="0">
        <v>0</v>
      </c>
      <c r="AC4" s="0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379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386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386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380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380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379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2000</v>
      </c>
      <c r="H2" s="0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1000</v>
      </c>
      <c r="H2" s="0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0">
        <v>5050100000</v>
      </c>
      <c r="D2" t="s" s="0">
        <v>340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370</v>
      </c>
      <c r="H2" t="s" s="0">
        <v>370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370</v>
      </c>
      <c r="H3" t="s" s="0">
        <v>370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ROUND(SUM(G2+H2),2)</f>
        <v>0</v>
      </c>
      <c r="J2" s="0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ROUND(SUM(G3+H3),2)</f>
        <v>0</v>
      </c>
      <c r="J3" s="0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 s="0">
        <v>310</v>
      </c>
      <c r="H2" t="s" s="0">
        <v>310</v>
      </c>
      <c r="I2" s="59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59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v>0</v>
      </c>
      <c r="H2" s="0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337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428</v>
      </c>
      <c r="AB2" t="s" s="0">
        <v>428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428</v>
      </c>
      <c r="AB3" t="s" s="0">
        <v>428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364</v>
      </c>
      <c r="AB2" t="s" s="0">
        <v>310</v>
      </c>
      <c r="AC2" s="0">
        <f>ROUND(SUM((AA2*L2)+(AB2*L2)+(I2*L2)),2)</f>
        <v>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 s="0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338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338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666.3</v>
      </c>
      <c r="AD2" t="s" s="0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338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tabSelected="1"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9.0"/>
    <col min="4" max="4" bestFit="true" customWidth="true" width="12.7109375"/>
    <col min="5" max="5" bestFit="true" customWidth="true" width="11.85546875"/>
    <col min="6" max="6" bestFit="true" customWidth="true" width="7.140625"/>
    <col min="7" max="7" bestFit="true" customWidth="true" width="9.285156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4.85546875"/>
    <col min="26" max="26" bestFit="true" customWidth="true" width="15.0"/>
    <col min="27" max="28" bestFit="true" customWidth="true" width="8.85546875"/>
    <col min="29" max="29" bestFit="true" customWidth="true" width="20.0"/>
    <col min="30" max="30" bestFit="true" customWidth="true" width="12.0"/>
    <col min="31" max="31" bestFit="true" customWidth="true" width="3.0"/>
    <col min="32" max="32" bestFit="true" customWidth="true" width="19.42578125"/>
    <col min="33" max="33" bestFit="true" customWidth="true" width="17.7109375"/>
    <col min="34" max="34" bestFit="true" customWidth="true" width="5.140625"/>
    <col min="35" max="35" bestFit="true" customWidth="true" width="16.0"/>
    <col min="36" max="36" bestFit="true" customWidth="true" width="14.0"/>
    <col min="37" max="37" bestFit="true" customWidth="true" width="23.140625"/>
    <col min="38" max="38" bestFit="true" customWidth="true" width="16.5703125"/>
    <col min="39" max="39" bestFit="true" customWidth="true" width="19.42578125"/>
    <col min="40" max="40" bestFit="true" customWidth="true" width="17.7109375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337</v>
      </c>
      <c r="AE2" s="0">
        <v>34</v>
      </c>
      <c r="AF2" t="s" s="0">
        <v>345</v>
      </c>
      <c r="AG2" t="s" s="0">
        <v>346</v>
      </c>
      <c r="AH2" t="s" s="0">
        <v>379</v>
      </c>
      <c r="AI2" s="0">
        <v>1000000029</v>
      </c>
      <c r="AJ2" s="0">
        <v>1</v>
      </c>
      <c r="AK2" s="0">
        <f>I2</f>
        <v>1000</v>
      </c>
      <c r="AL2" s="0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180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 s="0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337</v>
      </c>
      <c r="AE2" s="0">
        <v>34</v>
      </c>
      <c r="AF2" t="s" s="0">
        <v>345</v>
      </c>
      <c r="AG2" t="s" s="0">
        <v>346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 s="0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337</v>
      </c>
      <c r="AE2" s="0">
        <v>34</v>
      </c>
      <c r="AF2" t="s" s="0">
        <v>180</v>
      </c>
      <c r="AG2" t="s" s="0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337</v>
      </c>
      <c r="AE3" s="0">
        <v>34</v>
      </c>
      <c r="AF3" t="s" s="0">
        <v>345</v>
      </c>
      <c r="AG3" t="s" s="0">
        <v>346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337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379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 s="0">
        <v>310</v>
      </c>
      <c r="H3" s="0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 s="0">
        <v>310</v>
      </c>
      <c r="H4" t="s" s="0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379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386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 s="0">
        <v>310</v>
      </c>
      <c r="H4" s="0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 s="0">
        <v>310</v>
      </c>
      <c r="H5" s="0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 s="0">
        <v>310</v>
      </c>
      <c r="H6" t="s" s="0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 s="0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 s="0">
        <v>310</v>
      </c>
      <c r="H3" t="s" s="0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380</v>
      </c>
      <c r="AC2" t="s" s="0">
        <v>380</v>
      </c>
      <c r="AD2" t="s" s="0">
        <v>416</v>
      </c>
      <c r="AE2" t="s" s="0">
        <v>416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380</v>
      </c>
      <c r="AC3" t="s" s="0">
        <v>380</v>
      </c>
      <c r="AD3" t="s" s="0">
        <v>416</v>
      </c>
      <c r="AE3" t="s" s="0">
        <v>416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421</v>
      </c>
      <c r="AC2" t="s" s="0">
        <v>421</v>
      </c>
      <c r="AD2" t="s" s="0">
        <v>422</v>
      </c>
      <c r="AE2" t="s" s="0">
        <v>422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421</v>
      </c>
      <c r="AC3" t="s" s="0">
        <v>421</v>
      </c>
      <c r="AD3" t="s" s="0">
        <v>422</v>
      </c>
      <c r="AE3" t="s" s="0">
        <v>422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2026-05-05T09:11:41Z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