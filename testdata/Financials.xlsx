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2520" windowWidth="15150" windowHeight="6540" firstSheet="54" activeTab="54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INR" sheetId="41" r:id="rId27"/>
    <sheet name="BankPaymentINRMulti" sheetId="46" r:id="rId28"/>
    <sheet name="BankPaymentINRMPMBNR" sheetId="50" r:id="rId29"/>
    <sheet name="BankPaymentINRMPMB" sheetId="49" r:id="rId30"/>
    <sheet name="BankPaymentINRMPSB" sheetId="48" r:id="rId31"/>
    <sheet name="BankPaymentUSD" sheetId="51" r:id="rId32"/>
    <sheet name="BankPaymentChargesUSD" sheetId="68" r:id="rId33"/>
    <sheet name="BankPaymentCharges" sheetId="65" r:id="rId34"/>
    <sheet name="BankPaymentUSDMulti" sheetId="52" r:id="rId35"/>
    <sheet name="BankPaymentUSDMPSB" sheetId="53" r:id="rId36"/>
    <sheet name="BankPaymentUSDMPMB" sheetId="54" r:id="rId37"/>
    <sheet name="BankPaymentUSDMPMBNR" sheetId="55" r:id="rId38"/>
    <sheet name="MultiGRN" sheetId="30" r:id="rId39"/>
    <sheet name="BankReceipt (2)" sheetId="42" r:id="rId40"/>
    <sheet name="BankReceipt" sheetId="35" r:id="rId41"/>
    <sheet name="BankReceiptMulti" sheetId="37" r:id="rId42"/>
    <sheet name="BankReceiptUSD" sheetId="39" r:id="rId43"/>
    <sheet name="BankReceiptMultiNewRefUSD" sheetId="45" r:id="rId44"/>
    <sheet name="BankReceiptMultiUSD" sheetId="40" r:id="rId45"/>
    <sheet name="BankReceiptMultiNewRef" sheetId="38" r:id="rId46"/>
    <sheet name="BankReceiptMulti (2)" sheetId="43" r:id="rId47"/>
    <sheet name="BankReceiptMultiNewRef (2)" sheetId="44" r:id="rId48"/>
    <sheet name="BankReceiptPDC" sheetId="56" r:id="rId49"/>
    <sheet name="BankReceiptChargesUSD" sheetId="60" r:id="rId50"/>
    <sheet name="BankReceiptCharges" sheetId="57" r:id="rId51"/>
    <sheet name="BankPaymentExpGST" sheetId="63" r:id="rId52"/>
    <sheet name="BankReceiptRevExpGST" sheetId="59" r:id="rId53"/>
    <sheet name="BankPaymentExp" sheetId="62" r:id="rId54"/>
    <sheet name="BankReceiptRevExp" sheetId="58" r:id="rId55"/>
    <sheet name="BankPaymentExpTDS" sheetId="66" r:id="rId56"/>
    <sheet name="BankPaymentExpGSTTDS" sheetId="67" r:id="rId57"/>
    <sheet name="BankPaymentPDC" sheetId="61" r:id="rId58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AC2" i="65"/>
  <c r="N2" s="1"/>
  <c r="M2"/>
  <c r="Q2" s="1"/>
  <c r="I4"/>
  <c r="AC3"/>
  <c r="N3" s="1"/>
  <c r="M3"/>
  <c r="Q3" s="1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M2" i="60"/>
  <c r="M4" s="1"/>
  <c r="I4"/>
  <c r="AC3"/>
  <c r="N3" s="1"/>
  <c r="M3"/>
  <c r="Q3" s="1"/>
  <c r="AC2"/>
  <c r="N2" s="1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Q4" i="68" l="1"/>
  <c r="M4"/>
  <c r="N4"/>
  <c r="AC4"/>
  <c r="AC3" i="67"/>
  <c r="Q2"/>
  <c r="N2" i="66"/>
  <c r="M3" i="62"/>
  <c r="S2" i="63"/>
  <c r="R2"/>
  <c r="AC2" s="1"/>
  <c r="M4" i="65"/>
  <c r="N4"/>
  <c r="Q4"/>
  <c r="AC4"/>
  <c r="AC3" i="62"/>
  <c r="R3"/>
  <c r="Q3"/>
  <c r="AC3" i="61"/>
  <c r="Q2"/>
  <c r="Q3" s="1"/>
  <c r="Q2" i="60"/>
  <c r="Q4" s="1"/>
  <c r="AC4"/>
  <c r="N4"/>
  <c r="R3" i="58"/>
  <c r="AC3" s="1"/>
  <c r="N3" s="1"/>
  <c r="S3"/>
  <c r="Q2"/>
  <c r="R4" i="59"/>
  <c r="I4"/>
  <c r="N3"/>
  <c r="M3"/>
  <c r="Q3" s="1"/>
  <c r="N2"/>
  <c r="M2"/>
  <c r="M4" s="1"/>
  <c r="I4" i="57"/>
  <c r="M2"/>
  <c r="Q2" s="1"/>
  <c r="Q4" s="1"/>
  <c r="AC2"/>
  <c r="N2" s="1"/>
  <c r="N4" s="1"/>
  <c r="AC3"/>
  <c r="N3" s="1"/>
  <c r="M3"/>
  <c r="Q3" s="1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N4" l="1"/>
  <c r="M4"/>
  <c r="M4" i="55"/>
  <c r="Q4" i="67"/>
  <c r="R2"/>
  <c r="S2"/>
  <c r="S4" s="1"/>
  <c r="M4" i="57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AC4" i="53"/>
  <c r="I4"/>
  <c r="AC3"/>
  <c r="N3" s="1"/>
  <c r="M3"/>
  <c r="Q3" s="1"/>
  <c r="AC2"/>
  <c r="N2" s="1"/>
  <c r="N4" s="1"/>
  <c r="M2"/>
  <c r="M4" s="1"/>
  <c r="N2" i="58" l="1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Q2" i="39"/>
  <c r="N2"/>
  <c r="M2" i="46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AC4" i="45" l="1"/>
  <c r="I4"/>
  <c r="M4"/>
  <c r="N4"/>
  <c r="Q4"/>
  <c r="Q3"/>
  <c r="M2"/>
  <c r="M3"/>
  <c r="N3"/>
  <c r="AC3"/>
  <c r="AC2"/>
  <c r="N2" s="1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M2"/>
  <c r="M2" i="37"/>
  <c r="Q2" s="1"/>
  <c r="AC3" i="44"/>
  <c r="AC2"/>
  <c r="N2"/>
  <c r="M2"/>
  <c r="Q2" s="1"/>
  <c r="I4" i="37"/>
  <c r="AC3"/>
  <c r="N3" s="1"/>
  <c r="AC2"/>
  <c r="N2" s="1"/>
  <c r="M3"/>
  <c r="Q3" s="1"/>
  <c r="AC3" i="43"/>
  <c r="AC2"/>
  <c r="N2"/>
  <c r="M2"/>
  <c r="Q2" s="1"/>
  <c r="AC2" i="35"/>
  <c r="N2" s="1"/>
  <c r="N3" s="1"/>
  <c r="M2"/>
  <c r="M3" s="1"/>
  <c r="AC2" i="42"/>
  <c r="AC3" s="1"/>
  <c r="N2"/>
  <c r="M2"/>
  <c r="Q2" s="1"/>
  <c r="M2" i="39"/>
  <c r="M3" s="1"/>
  <c r="M2" i="41"/>
  <c r="M3" s="1"/>
  <c r="I4" i="40"/>
  <c r="AB4"/>
  <c r="AA4"/>
  <c r="N3" i="39"/>
  <c r="AC2"/>
  <c r="AC3" s="1"/>
  <c r="N2" i="36"/>
  <c r="M2"/>
  <c r="Q2" s="1"/>
  <c r="N2" i="29"/>
  <c r="M2"/>
  <c r="Q2" s="1"/>
  <c r="O3" i="34"/>
  <c r="L3"/>
  <c r="K3"/>
  <c r="L2"/>
  <c r="K2"/>
  <c r="O2" s="1"/>
  <c r="N3" i="33"/>
  <c r="M3"/>
  <c r="Q3" s="1"/>
  <c r="AC4" i="38" l="1"/>
  <c r="AC4" i="43"/>
  <c r="AC4" i="44"/>
  <c r="N4" i="37"/>
  <c r="AC4"/>
  <c r="N2" i="41"/>
  <c r="N3" s="1"/>
  <c r="AC3"/>
  <c r="Q2" i="45"/>
  <c r="Q4" i="40"/>
  <c r="N4"/>
  <c r="M4"/>
  <c r="AC4"/>
  <c r="M4" i="38"/>
  <c r="N4"/>
  <c r="Q2"/>
  <c r="M4" i="37"/>
  <c r="AC3" i="35"/>
  <c r="Q2"/>
  <c r="Q3" s="1"/>
  <c r="Q3" i="39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<sst xmlns="http://schemas.openxmlformats.org/spreadsheetml/2006/main" count="2650" uniqueCount="358">
  <si>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</si>
  <si>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</si>
  <si>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</si>
  <si>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</si>
  <si>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</si>
  <si>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</si>
  <si>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</si>
  <si>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</si>
  <si>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</si>
  <si>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</si>
  <si>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</si>
  <si>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</si>
  <si>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</si>
  <si>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</si>
  <si>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</si>
  <si>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</si>
  <si>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</si>
  <si>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</si>
  <si>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</si>
  <si>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</si>
  <si>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</si>
  <si>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</si>
  <si>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</si>
  <si>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</si>
  <si>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</si>
  <si>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</si>
  <si>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</si>
  <si>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</si>
  <si>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</si>
  <si>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</si>
  <si>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</si>
  <si>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</si>
  <si>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</si>
  <si>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</si>
  <si>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</si>
  <si>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</si>
  <si>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</si>
  <si>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</si>
  <si>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</si>
  <si>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</si>
  <si>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</si>
  <si>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</si>
  <si>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</si>
  <si>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</si>
  <si>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</si>
  <si>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</si>
  <si>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</si>
  <si>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</si>
  <si>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</si>
  <si>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</si>
  <si>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</si>
  <si>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</si>
  <si>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</si>
  <si>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</si>
  <si>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</si>
  <si>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</si>
  <si>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</si>
  <si>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</si>
  <si>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</si>
  <si>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</si>
  <si>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</si>
  <si>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</si>
  <si>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</si>
  <si>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</si>
  <si>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</si>
  <si>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</si>
  <si>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</si>
  <si>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</si>
  <si>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</si>
  <si>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</si>
  <si>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</si>
  <si>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</si>
  <si>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</si>
  <si>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</si>
  <si>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</si>
  <si>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</si>
  <si>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</si>
  <si>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</si>
  <si>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</si>
  <si>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</si>
  <si>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</si>
  <si>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</si>
  <si>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</si>
  <si>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</si>
  <si>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</si>
  <si>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</si>
  <si>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</si>
  <si>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</si>
  <si>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</si>
  <si>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</si>
  <si>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</si>
  <si>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</si>
  <si>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</si>
  <si>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</si>
  <si>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</si>
  <si>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</si>
  <si>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</si>
  <si>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</si>
  <si>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</si>
  <si>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</si>
  <si>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</si>
  <si>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</si>
  <si>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</si>
  <si>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</si>
  <si>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</si>
  <si>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</si>
  <si>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</si>
  <si>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</si>
  <si>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</si>
  <si>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</si>
  <si>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</si>
  <si>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</si>
  <si>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</si>
  <si>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</si>
  <si>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</si>
  <si>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</si>
  <si>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</si>
  <si>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</si>
  <si>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</si>
  <si>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</si>
  <si>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</si>
  <si>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</si>
  <si>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</si>
  <si>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</si>
  <si>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</si>
  <si>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</si>
  <si>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</si>
  <si>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</si>
  <si>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</si>
  <si>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</si>
  <si>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</si>
  <si>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</si>
  <si>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</si>
  <si>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</si>
  <si>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</si>
  <si>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</si>
  <si>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</si>
  <si>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</si>
  <si>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</si>
  <si>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</si>
  <si>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</si>
  <si>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</si>
  <si>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</si>
  <si>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</si>
  <si>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</si>
  <si>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</si>
  <si>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</si>
  <si>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</si>
  <si>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</si>
  <si>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</si>
  <si>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</si>
  <si>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</si>
  <si>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</si>
  <si>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</si>
  <si>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</si>
  <si>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</si>
  <si>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</si>
  <si>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</si>
  <si>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</si>
  <si>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</si>
  <si>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</si>
  <si>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</si>
  <si>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</si>
  <si>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</si>
  <si>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</si>
  <si>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</si>
  <si>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</si>
  <si>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</si>
  <si>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</si>
  <si>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</si>
  <si>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</si>
  <si>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</si>
  <si>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</si>
  <si>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</si>
  <si>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</si>
  <si>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</si>
  <si>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</si>
  <si>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</si>
  <si>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</si>
  <si>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</si>
  <si>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</si>
  <si>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</si>
  <si>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</si>
  <si>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</si>
  <si>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</si>
  <si>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</si>
  <si>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</si>
  <si>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</si>
  <si>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</si>
  <si>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</si>
  <si>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</si>
  <si>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</si>
  <si>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</si>
  <si>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</si>
  <si>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</si>
  <si>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</si>
  <si>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</si>
  <si>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</si>
  <si>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</si>
  <si>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</si>
  <si>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</si>
  <si>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</si>
  <si>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</si>
  <si>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</si>
  <si>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</si>
  <si>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</si>
  <si>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</si>
  <si>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</si>
  <si>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</si>
  <si>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</si>
  <si>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</si>
  <si>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</si>
  <si>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</si>
  <si>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</si>
  <si>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</si>
  <si>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</si>
  <si>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</si>
  <si>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</si>
  <si>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</si>
  <si>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</si>
  <si>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</si>
  <si>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</si>
  <si>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</si>
  <si>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</si>
  <si>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</si>
  <si>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</si>
  <si>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</si>
  <si>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</si>
  <si>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</si>
  <si>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</si>
  <si>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</si>
  <si>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</si>
  <si>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</si>
  <si>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</si>
  <si>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</si>
  <si>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</si>
  <si>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</si>
  <si>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</si>
  <si>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</si>
  <si>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</si>
  <si>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</si>
  <si>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</si>
  <si>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</si>
  <si>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</si>
  <si>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</si>
  <si>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</si>
  <si>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</si>
  <si>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</si>
  <si>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</si>
  <si>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</si>
  <si>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</si>
  <si>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</si>
  <si>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</si>
  <si>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</si>
  <si>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</si>
  <si>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</si>
  <si>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</si>
  <si>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</si>
  <si>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</si>
  <si>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</si>
  <si>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</si>
  <si>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</si>
  <si>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</si>
  <si>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</si>
  <si>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</si>
  <si>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</si>
  <si>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</si>
  <si>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</si>
  <si>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</si>
  <si>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</si>
  <si>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</si>
  <si>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</si>
  <si>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</si>
  <si>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</si>
  <si>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</si>
  <si>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</si>
  <si>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</si>
  <si>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</si>
  <si>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</si>
  <si>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</si>
  <si>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</si>
  <si>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</si>
  <si>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</si>
  <si>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</si>
  <si>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</si>
  <si>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</si>
  <si>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</si>
  <si>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</si>
  <si>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</si>
  <si>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</si>
  <si>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</si>
  <si>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</si>
  <si>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</si>
  <si>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</si>
  <si>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</si>
  <si>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</si>
  <si>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</si>
  <si>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</si>
  <si>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</si>
  <si>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</si>
  <si>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</si>
  <si>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</si>
  <si>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</si>
  <si>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</si>
  <si>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</si>
  <si>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</si>
  <si>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</si>
  <si>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</si>
  <si>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</si>
  <si>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</si>
  <si>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</si>
  <si>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</si>
  <si>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</si>
  <si>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</si>
  <si>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</si>
  <si>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</si>
  <si>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</si>
  <si>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</si>
  <si>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</si>
  <si>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</si>
  <si>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</si>
  <si>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</si>
  <si>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</si>
  <si>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</si>
  <si>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</si>
  <si>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</si>
  <si>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</si>
  <si>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</si>
  <si>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</si>
  <si>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</si>
  <si>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</si>
  <si>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</si>
  <si>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</si>
  <si>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</si>
  <si>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</si>
  <si>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DirectGrnGenUDMultiIMP</t>
  </si>
  <si>
    <t>WALMART(AP)</t>
  </si>
  <si>
    <t>SUP00375</t>
  </si>
  <si>
    <t>WALMART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</si>
  <si>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</si>
  <si>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</si>
  <si>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</si>
  <si>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</si>
  <si>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</si>
  <si>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</si>
  <si>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</si>
  <si>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</si>
  <si>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</si>
  <si>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</si>
  <si>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</si>
  <si>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</si>
  <si>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</si>
  <si>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</si>
  <si>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82.5</t>
  </si>
  <si>
    <t>194C(TDS)</t>
  </si>
  <si>
    <t>TDS %</t>
  </si>
  <si>
    <t>TDS AMT</t>
  </si>
  <si>
    <t>666.3</t>
  </si>
</sst>
</file>

<file path=xl/styles.xml><?xml version="1.0" encoding="utf-8"?>
<styleSheet xmlns="http://schemas.openxmlformats.org/spreadsheetml/2006/main">
  <numFmts count="0"/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</cellStyleXfs>
  <cellXfs count="59">
    <xf numFmtId="0" fontId="0" fillId="0" borderId="0" xfId="0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13" fillId="0" borderId="1" xfId="2" applyFont="1" applyBorder="1" applyAlignment="1">
      <alignment vertical="center"/>
    </xf>
    <xf numFmtId="0" fontId="13" fillId="0" borderId="1" xfId="1" applyFont="1" applyFill="1" applyBorder="1" applyAlignment="1">
      <alignment vertical="center"/>
    </xf>
    <xf numFmtId="0" fontId="14" fillId="0" borderId="0" xfId="0" applyFont="1">
      <alignment vertical="center"/>
    </xf>
    <xf numFmtId="0" fontId="0" fillId="0" borderId="1" xfId="2" applyFont="1" applyBorder="1">
      <alignment vertical="center"/>
    </xf>
    <xf numFmtId="0" fontId="1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14" fillId="0" borderId="1" xfId="0" applyFont="1" applyFill="1" applyBorder="1">
      <alignment vertical="center"/>
    </xf>
    <xf numFmtId="0" fontId="1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1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16" fillId="0" borderId="1" xfId="0" applyFont="1" applyBorder="1">
      <alignment vertical="center"/>
    </xf>
    <xf numFmtId="0" fontId="0" fillId="0" borderId="0" xfId="0" applyBorder="1">
      <alignment vertical="center"/>
    </xf>
    <xf numFmtId="0" fontId="17" fillId="0" borderId="1" xfId="0" applyFont="1" applyBorder="1" applyAlignment="1">
      <alignment vertical="center"/>
    </xf>
    <xf numFmtId="49" fontId="13" fillId="0" borderId="1" xfId="0" applyNumberFormat="1" applyFont="1" applyBorder="1" applyAlignment="1">
      <alignment vertical="center"/>
    </xf>
    <xf numFmtId="0" fontId="16" fillId="0" borderId="0" xfId="0" applyFont="1">
      <alignment vertical="center"/>
    </xf>
    <xf numFmtId="0" fontId="13" fillId="0" borderId="1" xfId="1" applyFont="1" applyBorder="1" applyAlignment="1">
      <alignment vertical="center"/>
    </xf>
    <xf numFmtId="0" fontId="17" fillId="0" borderId="1" xfId="1" applyFont="1" applyBorder="1" applyAlignment="1">
      <alignment vertical="center"/>
    </xf>
    <xf numFmtId="0" fontId="18" fillId="0" borderId="0" xfId="0" applyFont="1" applyAlignment="1">
      <alignment horizontal="justify" vertical="center"/>
    </xf>
    <xf numFmtId="0" fontId="19" fillId="4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0" fontId="21" fillId="0" borderId="0" xfId="0" applyFont="1">
      <alignment vertical="center"/>
    </xf>
    <xf numFmtId="0" fontId="11" fillId="0" borderId="1" xfId="0" applyFont="1" applyBorder="1">
      <alignment vertical="center"/>
    </xf>
    <xf numFmtId="0" fontId="12" fillId="0" borderId="2" xfId="0" applyFont="1" applyFill="1" applyBorder="1" applyAlignment="1">
      <alignment horizontal="center" vertical="center"/>
    </xf>
    <xf numFmtId="0" fontId="22" fillId="5" borderId="1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8" fillId="0" borderId="3" xfId="0" applyFont="1" applyBorder="1">
      <alignment vertical="center"/>
    </xf>
    <xf numFmtId="0" fontId="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10" fillId="0" borderId="3" xfId="0" applyFont="1" applyBorder="1">
      <alignment vertical="center"/>
    </xf>
    <xf numFmtId="0" fontId="22" fillId="5" borderId="3" xfId="0" applyFont="1" applyFill="1" applyBorder="1">
      <alignment vertical="center"/>
    </xf>
    <xf numFmtId="0" fontId="7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5" fillId="0" borderId="3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22" fillId="5" borderId="0" xfId="0" applyFont="1" applyFill="1" applyBorder="1">
      <alignment vertical="center"/>
    </xf>
    <xf numFmtId="0" fontId="22" fillId="5" borderId="4" xfId="0" applyFont="1" applyFill="1" applyBorder="1">
      <alignment vertical="center"/>
    </xf>
    <xf numFmtId="0" fontId="12" fillId="5" borderId="1" xfId="0" applyFont="1" applyFill="1" applyBorder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theme/theme1.xml" Type="http://schemas.openxmlformats.org/officeDocument/2006/relationships/theme"/><Relationship Id="rId6" Target="worksheets/sheet6.xml" Type="http://schemas.openxmlformats.org/officeDocument/2006/relationships/worksheet"/><Relationship Id="rId60" Target="styles.xml" Type="http://schemas.openxmlformats.org/officeDocument/2006/relationships/styles"/><Relationship Id="rId61" Target="sharedStrings.xml" Type="http://schemas.openxmlformats.org/officeDocument/2006/relationships/sharedStrings"/><Relationship Id="rId62" Target="calcChain.xml" Type="http://schemas.openxmlformats.org/officeDocument/2006/relationships/calcChain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5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customWidth="true" width="20.7109375"/>
    <col min="2" max="3" customWidth="true" width="12.7109375"/>
    <col min="4" max="4" customWidth="true" width="14.7109375"/>
    <col min="5" max="5" customWidth="true" width="9.85546875"/>
    <col min="6" max="6" customWidth="true" width="14.140625"/>
    <col min="7" max="7" customWidth="true" width="14.85546875"/>
    <col min="8" max="8" customWidth="true" width="22.28515625"/>
    <col min="9" max="9" customWidth="true" width="14.42578125"/>
    <col min="10" max="10" customWidth="true" width="13.0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customWidth="true" width="30.0"/>
    <col min="2" max="2" customWidth="true" width="36.42578125"/>
    <col min="3" max="3" customWidth="true" width="6.0"/>
    <col min="4" max="4" customWidth="true" width="13.7109375"/>
    <col min="5" max="5" customWidth="true" width="5.28515625"/>
    <col min="6" max="6" customWidth="true" width="17.28515625"/>
    <col min="7" max="7" customWidth="true" width="30.28515625"/>
    <col min="8" max="8" customWidth="true" width="26.85546875"/>
    <col min="9" max="9" customWidth="true" width="17.28515625"/>
    <col min="10" max="10" customWidth="true" width="13.28515625"/>
    <col min="11" max="11" customWidth="true" width="22.7109375"/>
    <col min="12" max="12" customWidth="true" width="12.7109375"/>
    <col min="13" max="13" customWidth="true" width="29.5703125"/>
    <col min="14" max="14" customWidth="true" width="18.28515625"/>
    <col min="15" max="15" customWidth="true" width="16.28515625"/>
    <col min="16" max="16" customWidth="true" width="15.5703125"/>
    <col min="17" max="17" customWidth="true" width="17.7109375"/>
    <col min="18" max="18" customWidth="true" width="24.140625"/>
    <col min="19" max="19" customWidth="true" width="13.42578125"/>
    <col min="20" max="20" customWidth="true" width="13.5703125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 s="0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customWidth="true" width="21.0"/>
    <col min="3" max="3" customWidth="true" width="6.0"/>
    <col min="4" max="4" customWidth="true" width="12.7109375"/>
    <col min="5" max="5" customWidth="true" width="19.42578125"/>
    <col min="6" max="6" customWidth="true" width="15.140625"/>
    <col min="7" max="7" customWidth="true" width="15.42578125"/>
    <col min="8" max="8" customWidth="true" width="19.5703125"/>
    <col min="9" max="9" customWidth="true" width="10.85546875"/>
    <col min="10" max="10" customWidth="true" width="17.5703125"/>
    <col min="11" max="11" customWidth="true" width="11.28515625"/>
    <col min="12" max="12" customWidth="true" width="21.7109375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customWidth="true" width="28.7109375"/>
  </cols>
  <sheetData>
    <row r="1" spans="1:3">
      <c r="A1" t="s" s="0">
        <v>78</v>
      </c>
      <c r="B1" t="s" s="0">
        <v>79</v>
      </c>
      <c r="C1" t="s" s="0">
        <v>80</v>
      </c>
    </row>
    <row r="2" spans="1:3">
      <c r="A2" t="s" s="0">
        <v>81</v>
      </c>
      <c r="B2" s="0">
        <v>100</v>
      </c>
      <c r="C2" s="0">
        <v>34</v>
      </c>
    </row>
    <row r="3" spans="1:3">
      <c r="A3" t="s" s="0">
        <v>82</v>
      </c>
      <c r="B3" s="0">
        <v>50</v>
      </c>
      <c r="C3" s="0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D25" sqref="D25"/>
    </sheetView>
  </sheetViews>
  <sheetFormatPr defaultColWidth="8.85546875" defaultRowHeight="15"/>
  <cols>
    <col min="1" max="1" customWidth="true" width="39.7109375"/>
    <col min="2" max="2" customWidth="true" width="10.140625"/>
    <col min="3" max="3" customWidth="true" width="39.7109375"/>
    <col min="4" max="4" customWidth="true" width="11.0"/>
    <col min="5" max="5" customWidth="true" width="13.28515625"/>
    <col min="6" max="6" customWidth="true" width="8.85546875"/>
    <col min="7" max="7" customWidth="true" width="17.85546875"/>
    <col min="8" max="8" customWidth="true" width="19.5703125"/>
    <col min="9" max="9" customWidth="true" width="23.7109375"/>
    <col min="10" max="10" customWidth="true" width="12.7109375"/>
    <col min="11" max="11" customWidth="true" width="11.85546875"/>
    <col min="12" max="12" customWidth="true" width="17.42578125"/>
    <col min="13" max="14" customWidth="true" width="39.7109375"/>
    <col min="15" max="15" customWidth="true" width="25.7109375"/>
    <col min="16" max="17" customWidth="true" width="16.5703125"/>
    <col min="18" max="18" customWidth="true" width="11.5703125"/>
    <col min="19" max="19" customWidth="true" width="14.85546875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customWidth="true" width="9.0"/>
    <col min="2" max="2" customWidth="true" width="25.7109375"/>
    <col min="3" max="3" customWidth="true" width="12.42578125"/>
    <col min="4" max="4" customWidth="true" width="16.28515625"/>
    <col min="5" max="5" customWidth="true" width="20.28515625"/>
    <col min="6" max="6" customWidth="true" width="25.7109375"/>
    <col min="7" max="7" customWidth="true" width="12.28515625"/>
    <col min="8" max="8" customWidth="true" width="14.5703125"/>
    <col min="9" max="9" customWidth="true" width="28.5703125"/>
    <col min="10" max="10" customWidth="true" width="23.0"/>
    <col min="11" max="11" customWidth="true" width="14.7109375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customWidth="true" width="13.5703125"/>
    <col min="2" max="2" customWidth="true" width="6.0"/>
    <col min="3" max="3" customWidth="true" width="14.42578125"/>
    <col min="4" max="4" customWidth="true" width="18.140625"/>
    <col min="5" max="5" customWidth="true" width="19.5703125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A16" sqref="A16"/>
    </sheetView>
  </sheetViews>
  <sheetFormatPr defaultColWidth="8.85546875" defaultRowHeight="15"/>
  <cols>
    <col min="1" max="1" customWidth="true" width="25.7109375"/>
    <col min="2" max="2" customWidth="true" width="8.85546875"/>
    <col min="3" max="3" customWidth="true" width="12.28515625"/>
    <col min="4" max="4" customWidth="true" width="7.140625"/>
    <col min="5" max="5" customWidth="true" width="5.28515625"/>
    <col min="6" max="6" customWidth="true" width="17.42578125"/>
    <col min="7" max="7" customWidth="true" width="12.42578125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customWidth="true" width="25.5703125"/>
    <col min="2" max="2" customWidth="true" width="15.140625"/>
    <col min="3" max="3" customWidth="true" width="16.42578125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bestFit="true" customWidth="true" width="24.85546875"/>
    <col min="2" max="2" customWidth="true" width="11.5703125"/>
    <col min="3" max="3" customWidth="true" width="9.0"/>
    <col min="4" max="4" bestFit="true" customWidth="true" width="19.28515625"/>
    <col min="5" max="5" customWidth="true" width="19.28515625"/>
    <col min="6" max="6" bestFit="true" customWidth="true" width="12.28515625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 s="0">
        <v>249</v>
      </c>
      <c r="E2" t="s" s="0">
        <v>251</v>
      </c>
      <c r="F2" s="0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 s="0">
        <v>252</v>
      </c>
      <c r="E3" t="s" s="0">
        <v>248</v>
      </c>
      <c r="F3" s="0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customWidth="true" width="21.42578125"/>
    <col min="2" max="2" customWidth="true" width="11.5703125"/>
    <col min="3" max="3" customWidth="true" width="9.0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customWidth="true" width="20.42578125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 s="0">
        <v>234</v>
      </c>
      <c r="B1" s="7" t="s">
        <v>84</v>
      </c>
      <c r="C1" s="7" t="s">
        <v>80</v>
      </c>
    </row>
    <row r="2" spans="1:3">
      <c r="A2" t="s" s="0">
        <v>241</v>
      </c>
      <c r="B2" s="0">
        <v>23</v>
      </c>
    </row>
    <row r="3" spans="1:3">
      <c r="A3" t="s" s="0">
        <v>242</v>
      </c>
      <c r="B3" s="0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W5"/>
  <sheetViews>
    <sheetView topLeftCell="M1" workbookViewId="0">
      <selection activeCell="Y4" sqref="Y4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t="s" s="0">
        <v>285</v>
      </c>
      <c r="C3" s="1" t="s">
        <v>283</v>
      </c>
      <c r="D3" t="s" s="0">
        <v>284</v>
      </c>
      <c r="E3" s="1" t="s">
        <v>282</v>
      </c>
      <c r="F3" t="s" s="0">
        <v>274</v>
      </c>
      <c r="G3" s="39" t="s">
        <v>17</v>
      </c>
      <c r="H3" s="22" t="s">
        <v>286</v>
      </c>
      <c r="I3" s="0">
        <v>2000</v>
      </c>
      <c r="J3" t="s" s="0">
        <v>276</v>
      </c>
      <c r="K3" t="s" s="0">
        <v>207</v>
      </c>
      <c r="L3" s="0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W3"/>
  <sheetViews>
    <sheetView topLeftCell="M1" workbookViewId="0">
      <selection activeCell="Y2" sqref="Y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289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W3"/>
  <sheetViews>
    <sheetView topLeftCell="O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"/>
  <sheetViews>
    <sheetView topLeftCell="O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2.140625"/>
    <col min="3" max="3" bestFit="true" customWidth="true" width="28.7109375"/>
    <col min="4" max="4" bestFit="true" customWidth="true" width="9.28515625"/>
    <col min="5" max="5" bestFit="true" customWidth="true" width="28.7109375"/>
    <col min="6" max="6" bestFit="true" customWidth="true" width="18.42578125"/>
    <col min="7" max="7" bestFit="true" customWidth="true" width="13.5703125"/>
    <col min="8" max="8" bestFit="true" customWidth="true" width="13.140625"/>
    <col min="9" max="9" bestFit="true" customWidth="true" width="8.285156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 s="0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D2"/>
  <sheetViews>
    <sheetView topLeftCell="P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D2"/>
  <sheetViews>
    <sheetView topLeftCell="R1" workbookViewId="0">
      <selection activeCell="AH2" sqref="AH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357</v>
      </c>
      <c r="AB2" s="0">
        <v>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C3"/>
  <sheetViews>
    <sheetView topLeftCell="N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357</v>
      </c>
      <c r="AB2" t="s" s="0">
        <v>357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C4"/>
  <sheetViews>
    <sheetView topLeftCell="Q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s="0">
        <v>0</v>
      </c>
      <c r="AC2" s="0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289</v>
      </c>
      <c r="F3" s="1" t="s">
        <v>316</v>
      </c>
      <c r="G3" s="47" t="s">
        <v>343</v>
      </c>
      <c r="H3" s="22" t="s">
        <v>326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s="0">
        <v>0</v>
      </c>
      <c r="AB3" s="0">
        <v>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Q4" s="0">
        <f>SUM(Q2:Q3)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s="0">
        <v>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289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s="0">
        <v>0</v>
      </c>
      <c r="AB3" s="0">
        <v>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C4"/>
  <sheetViews>
    <sheetView topLeftCell="Q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s="0">
        <v>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topLeftCell="P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353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t="s" s="0">
        <v>310</v>
      </c>
      <c r="AC2" s="0">
        <f>ROUND(SUM((AA2*L2)+(AB2*L2)+(I2*L2)),2)</f>
        <v>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</v>
      </c>
      <c r="J3" s="1" t="s">
        <v>276</v>
      </c>
      <c r="K3" s="1" t="s">
        <v>207</v>
      </c>
      <c r="L3" t="s" s="0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</v>
      </c>
      <c r="AD3" t="s" s="0">
        <v>342</v>
      </c>
    </row>
    <row r="4" spans="1:30">
      <c r="I4" s="0">
        <f>SUM(I2:I3)</f>
        <v>10</v>
      </c>
      <c r="M4" s="0">
        <f>ROUND(M2-M3,2)</f>
        <v>-10</v>
      </c>
      <c r="N4" s="0">
        <f>ROUND(N2-N3,2)</f>
        <v>-10</v>
      </c>
      <c r="Q4" s="0">
        <f>SUM(Q2:Q3)</f>
        <v>10</v>
      </c>
      <c r="AC4" s="0">
        <f>ROUND(AC2-AC3,2)</f>
        <v>-10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D4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t="s" s="0">
        <v>310</v>
      </c>
      <c r="AC2" s="0">
        <f>ROUND(SUM((AA2*L2)+(AB2*L2)+(I2*L2)),2)</f>
        <v>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342</v>
      </c>
    </row>
    <row r="4" spans="1:30">
      <c r="I4" s="0">
        <f>SUM(I2:I3)</f>
        <v>100</v>
      </c>
      <c r="M4" s="0">
        <f>ROUND(M2-M3,2)</f>
        <v>-100</v>
      </c>
      <c r="N4" s="0">
        <f>ROUND(N2-N3,2)</f>
        <v>-100</v>
      </c>
      <c r="Q4" s="0">
        <f>SUM(Q2:Q3)</f>
        <v>100</v>
      </c>
      <c r="AC4" s="0">
        <f>ROUND(AC2-AC3,2)</f>
        <v>-100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J2" sqref="AJ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D2" sqref="AD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334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209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s="0">
        <v>0</v>
      </c>
      <c r="AC2" s="0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209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s="0">
        <v>0</v>
      </c>
      <c r="AB3" s="0">
        <v>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C4"/>
  <sheetViews>
    <sheetView topLeftCell="W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319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s="0">
        <v>0</v>
      </c>
      <c r="AC2" s="0">
        <f>ROUND(SUM((AA2*L2)+(AB2*L2)+(I2*L2)),2)</f>
        <v>100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326</v>
      </c>
      <c r="I3" s="1">
        <v>100</v>
      </c>
      <c r="J3" s="1" t="s">
        <v>276</v>
      </c>
      <c r="K3" s="1" t="s">
        <v>209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s="0">
        <v>0</v>
      </c>
      <c r="AB3" s="0">
        <v>0</v>
      </c>
      <c r="AC3" s="0">
        <f>ROUND(SUM((AA3*L3)+(AB3*L3)+(I3*L3)),2)</f>
        <v>100</v>
      </c>
    </row>
    <row r="4" spans="1:29">
      <c r="I4" s="0">
        <f>SUM(I2:I3)</f>
        <v>200</v>
      </c>
      <c r="M4" s="0">
        <f>SUM(M2:M3)</f>
        <v>200</v>
      </c>
      <c r="N4" s="0">
        <f>SUM(N2:N3)</f>
        <v>200</v>
      </c>
      <c r="Q4" s="0">
        <f>SUM(Q2:Q3)</f>
        <v>200</v>
      </c>
      <c r="AC4" s="0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E3" sqref="E3"/>
    </sheetView>
  </sheetViews>
  <sheetFormatPr defaultRowHeight="15"/>
  <cols>
    <col min="2" max="2" bestFit="true" customWidth="true" width="12.28515625"/>
    <col min="3" max="3" bestFit="true" customWidth="true" width="24.28515625"/>
    <col min="4" max="4" bestFit="true" customWidth="true" width="19.7109375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C3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s="0">
        <v>0</v>
      </c>
      <c r="AB3" s="0">
        <v>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C3"/>
  <sheetViews>
    <sheetView topLeftCell="L1" workbookViewId="0">
      <selection activeCell="G2" sqref="G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312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C4"/>
  <sheetViews>
    <sheetView topLeftCell="R1" workbookViewId="0">
      <selection activeCell="AI2" sqref="AI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200</v>
      </c>
      <c r="J2" s="41" t="s">
        <v>303</v>
      </c>
      <c r="K2" s="41" t="s">
        <v>209</v>
      </c>
      <c r="L2" t="s" s="0">
        <v>312</v>
      </c>
      <c r="M2" s="45">
        <f>ROUND(SUM(AA2+AB2+I2),2)</f>
        <v>3500</v>
      </c>
      <c r="N2" s="45">
        <f>AC2</f>
        <v>283500</v>
      </c>
      <c r="O2" s="41"/>
      <c r="P2" s="41"/>
      <c r="Q2" s="41">
        <f>M2</f>
        <v>3500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283500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200</v>
      </c>
      <c r="J3" s="1" t="s">
        <v>303</v>
      </c>
      <c r="K3" s="1" t="s">
        <v>209</v>
      </c>
      <c r="L3" t="s" s="0">
        <v>312</v>
      </c>
      <c r="M3" s="38">
        <f>ROUND(SUM(AA3+AB3+I3),2)</f>
        <v>3500</v>
      </c>
      <c r="N3" s="38">
        <f>AC3</f>
        <v>283500</v>
      </c>
      <c r="O3" s="1"/>
      <c r="P3" s="1"/>
      <c r="Q3" s="1">
        <f>M3</f>
        <v>3500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283500</v>
      </c>
    </row>
    <row r="4" spans="1:29">
      <c r="I4" s="0">
        <f>SUM(I2:I3)</f>
        <v>400</v>
      </c>
      <c r="M4" s="0">
        <f>SUM(M2:M3)</f>
        <v>7000</v>
      </c>
      <c r="N4" s="0">
        <f>SUM(N2:N3)</f>
        <v>567000</v>
      </c>
      <c r="Q4" s="0">
        <f>SUM(Q2:Q3)</f>
        <v>7000</v>
      </c>
      <c r="AA4" s="0">
        <f>SUM(AA2:AA3)</f>
        <v>0</v>
      </c>
      <c r="AB4" s="0">
        <f>SUM(AB2:AB3)</f>
        <v>0</v>
      </c>
      <c r="AC4" s="0">
        <f>SUM(AC2:AC3)</f>
        <v>567000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I2" sqref="I2:X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0</v>
      </c>
      <c r="J2" s="41" t="s">
        <v>303</v>
      </c>
      <c r="K2" s="41" t="s">
        <v>209</v>
      </c>
      <c r="L2" t="s" s="0">
        <v>312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209</v>
      </c>
      <c r="L3" t="s" s="0">
        <v>312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A4" s="0">
        <f>SUM(AA2:AA3)</f>
        <v>0</v>
      </c>
      <c r="AB4" s="0">
        <f>SUM(AB2:AB3)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A3" sqref="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343</v>
      </c>
      <c r="H2" s="44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1000</v>
      </c>
      <c r="J3" s="1" t="s">
        <v>303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s="0">
        <v>0</v>
      </c>
      <c r="AB3" s="0">
        <v>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ROUND(SUM(AA3+AB3),2)</f>
        <v>0</v>
      </c>
    </row>
    <row r="4" spans="1:29"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ROUND(SUM(AA3+AB3+I3),2)</f>
        <v>1000</v>
      </c>
    </row>
    <row r="4" spans="1:29"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G2" sqref="G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10000</v>
      </c>
    </row>
    <row r="3" spans="1:29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D4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312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t="s" s="0">
        <v>310</v>
      </c>
      <c r="AC2" s="0">
        <f>ROUND(SUM((AA2*L2)+(AB2*L2)+(I2*L2)),2)</f>
        <v>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209</v>
      </c>
      <c r="L3" s="0">
        <v>1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  <c r="AD3" t="s" s="0">
        <v>342</v>
      </c>
    </row>
    <row r="4" spans="1:30">
      <c r="I4" s="0">
        <f>SUM(I2:I3)</f>
        <v>1000</v>
      </c>
      <c r="M4" s="0">
        <f>ROUND(M2-M3,2)</f>
        <v>-1000</v>
      </c>
      <c r="N4" s="0">
        <f>ROUND(N2-N3,2)</f>
        <v>-1000</v>
      </c>
      <c r="Q4" s="0">
        <f>SUM(Q2:Q3)</f>
        <v>1000</v>
      </c>
      <c r="AC4" s="0">
        <f>ROUND(AC2-AC3,2)</f>
        <v>-1000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t="s" s="0">
        <v>310</v>
      </c>
      <c r="AC2" s="0">
        <f>ROUND(SUM((AA2*L2)+(AB2*L2)+(I2*L2)),2)</f>
        <v>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  <c r="AD3" t="s" s="0">
        <v>342</v>
      </c>
    </row>
    <row r="4" spans="1:30">
      <c r="I4" s="0">
        <f>SUM(I2:I3)</f>
        <v>1000</v>
      </c>
      <c r="M4" s="0">
        <f>ROUND(M2-M3,2)</f>
        <v>-1000</v>
      </c>
      <c r="N4" s="0">
        <f>ROUND(N2-N3,2)</f>
        <v>-1000</v>
      </c>
      <c r="Q4" s="0">
        <f>SUM(Q2:Q3)</f>
        <v>1000</v>
      </c>
      <c r="AC4" s="0">
        <f>ROUND(AC2-AC3,2)</f>
        <v>-1000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G3"/>
  <sheetViews>
    <sheetView workbookViewId="0">
      <selection activeCell="E13" sqref="E13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341</v>
      </c>
      <c r="AE2" s="0">
        <v>34</v>
      </c>
      <c r="AF2" t="s" s="0">
        <v>349</v>
      </c>
      <c r="AG2" t="s" s="0">
        <v>350</v>
      </c>
    </row>
    <row r="3" spans="1:33">
      <c r="I3" s="0">
        <f>SUM(I2:I2)</f>
        <v>1000</v>
      </c>
      <c r="M3" s="0">
        <f>SUM(M2+R2+S2+T2+U2+W2)</f>
        <v>1180</v>
      </c>
      <c r="N3" s="0">
        <f>SUM(N2+R2+S2+T2+U2+W2)</f>
        <v>1180</v>
      </c>
      <c r="Q3" s="0">
        <f>SUM(Q2:Q2)</f>
        <v>1000</v>
      </c>
      <c r="R3" s="0">
        <f>SUM(R2:R2)</f>
        <v>90</v>
      </c>
      <c r="S3" s="0">
        <f>SUM(S2:S2)</f>
        <v>90</v>
      </c>
      <c r="T3" s="0">
        <f>SUM(T2:T2)</f>
        <v>0</v>
      </c>
      <c r="U3" s="0">
        <f>SUM(U2:U2)</f>
        <v>0</v>
      </c>
      <c r="AC3" s="0">
        <f>SUM(AC2)</f>
        <v>1180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G4"/>
  <sheetViews>
    <sheetView workbookViewId="0">
      <selection activeCell="AG3" sqref="B3:AG3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 s="0">
        <v>310</v>
      </c>
      <c r="AB2" t="s" s="0">
        <v>310</v>
      </c>
      <c r="AC2" s="0">
        <f>ROUND(SUM((AA2*L2)+(AB2*L2)+(I2*L2)+R2+S2+T2+U2+W2),2)</f>
        <v>11800</v>
      </c>
      <c r="AD2" t="s" s="0">
        <v>341</v>
      </c>
      <c r="AE2" s="0">
        <v>34</v>
      </c>
      <c r="AF2" t="s" s="0">
        <v>180</v>
      </c>
      <c r="AG2" t="s" s="0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 s="0">
        <v>310</v>
      </c>
      <c r="AB3" t="s" s="0">
        <v>310</v>
      </c>
      <c r="AC3" s="0">
        <f>ROUND(SUM((AA3*L3)+(AB3*L3)+(I3*L3)+R3+S3+T3+U3+W3),2)</f>
        <v>1180</v>
      </c>
      <c r="AD3" t="s" s="0">
        <v>341</v>
      </c>
      <c r="AE3" s="0">
        <v>34</v>
      </c>
      <c r="AF3" t="s" s="0">
        <v>349</v>
      </c>
      <c r="AG3" t="s" s="0">
        <v>350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10620</v>
      </c>
      <c r="Q4" s="0">
        <f>SUM(Q2:Q3)</f>
        <v>11000</v>
      </c>
      <c r="R4" s="0">
        <f>SUM(R2:R3)</f>
        <v>990</v>
      </c>
      <c r="S4" s="0">
        <f>SUM(S2:S3)</f>
        <v>990</v>
      </c>
      <c r="T4" s="0">
        <f>SUM(T2:T3)</f>
        <v>0</v>
      </c>
      <c r="U4" s="0">
        <f>SUM(U2:U3)</f>
        <v>0</v>
      </c>
      <c r="AC4" s="0">
        <f>ROUND(AC2-AC3,2)</f>
        <v>10620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G3"/>
  <sheetViews>
    <sheetView workbookViewId="0">
      <selection activeCell="B7" sqref="B7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82500</v>
      </c>
      <c r="AD2" t="s" s="0">
        <v>341</v>
      </c>
      <c r="AE2" s="0">
        <v>34</v>
      </c>
      <c r="AF2" t="s" s="0">
        <v>349</v>
      </c>
      <c r="AG2" t="s" s="0">
        <v>350</v>
      </c>
    </row>
    <row r="3" spans="1:33">
      <c r="I3" s="0">
        <f>SUM(I2:I2)</f>
        <v>1000</v>
      </c>
      <c r="M3" s="0">
        <f>SUM(M2)</f>
        <v>1000</v>
      </c>
      <c r="N3" s="0">
        <f>SUM(N2)</f>
        <v>82500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82500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G4"/>
  <sheetViews>
    <sheetView tabSelected="1" topLeftCell="U1"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 s="0">
        <v>310</v>
      </c>
      <c r="AB2" t="s" s="0">
        <v>310</v>
      </c>
      <c r="AC2" s="0">
        <f>ROUND(SUM((AA2*L2)+(AB2*L2)+(I2*L2)+R2+S2+T2+U2+W2),2)</f>
        <v>10000</v>
      </c>
      <c r="AD2" t="s" s="0">
        <v>341</v>
      </c>
      <c r="AE2" s="0">
        <v>34</v>
      </c>
      <c r="AF2" t="s" s="0">
        <v>180</v>
      </c>
      <c r="AG2" t="s" s="0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 s="0">
        <v>310</v>
      </c>
      <c r="AB3" t="s" s="0">
        <v>310</v>
      </c>
      <c r="AC3" s="0">
        <f>ROUND(SUM((AA3*L3)+(AB3*L3)+(I3*L3)+R3+S3+T3+U3+W3),2)</f>
        <v>1000</v>
      </c>
      <c r="AD3" t="s" s="0">
        <v>341</v>
      </c>
      <c r="AE3" s="0">
        <v>34</v>
      </c>
      <c r="AF3" t="s" s="0">
        <v>349</v>
      </c>
      <c r="AG3" t="s" s="0">
        <v>350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9000</v>
      </c>
      <c r="Q4" s="0">
        <f>SUM(Q2:Q3)</f>
        <v>11000</v>
      </c>
      <c r="R4" s="0">
        <f>SUM(R2:R3)</f>
        <v>0</v>
      </c>
      <c r="S4" s="0">
        <f>SUM(S2:S3)</f>
        <v>0</v>
      </c>
      <c r="T4" s="0">
        <f>SUM(T2:T3)</f>
        <v>0</v>
      </c>
      <c r="U4" s="0">
        <f>SUM(U2:U3)</f>
        <v>0</v>
      </c>
      <c r="AC4" s="0">
        <f>ROUND(AC2-AC3,2)</f>
        <v>9000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I4"/>
  <sheetViews>
    <sheetView topLeftCell="L1"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340</v>
      </c>
      <c r="AE1" s="1">
        <v>1</v>
      </c>
      <c r="AF1" s="37" t="s">
        <v>352</v>
      </c>
      <c r="AG1" s="37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341</v>
      </c>
      <c r="AE2" s="1">
        <v>34</v>
      </c>
      <c r="AF2" s="1" t="s">
        <v>349</v>
      </c>
      <c r="AG2" s="1" t="s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SUM(M2)</f>
        <v>1000</v>
      </c>
      <c r="N4" s="0">
        <f>SUM(N2)</f>
        <v>1180</v>
      </c>
      <c r="Q4" s="0">
        <f>SUM(Q2:Q3)</f>
        <v>1000</v>
      </c>
      <c r="R4" s="0">
        <f>SUM(R2:R3)</f>
        <v>90</v>
      </c>
      <c r="S4" s="0">
        <f>SUM(S2:S3)</f>
        <v>90</v>
      </c>
      <c r="T4" s="0">
        <f>SUM(T2:T3)</f>
        <v>0</v>
      </c>
      <c r="U4" s="0">
        <f>SUM(U2:U3)</f>
        <v>0</v>
      </c>
      <c r="AC4" s="0">
        <f>AC2-AC3</f>
        <v>1170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I4"/>
  <sheetViews>
    <sheetView topLeftCell="V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1</v>
      </c>
      <c r="AF1" s="56" t="s">
        <v>352</v>
      </c>
      <c r="AG1" s="55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341</v>
      </c>
      <c r="AE2" s="0">
        <v>34</v>
      </c>
      <c r="AF2" t="s" s="0">
        <v>349</v>
      </c>
      <c r="AG2" t="s" s="0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 s="0">
        <v>310</v>
      </c>
      <c r="AB3" t="s" s="0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SUM(M2+R2+S2+T2+U2+W2)-M3</f>
        <v>1170</v>
      </c>
      <c r="N4" s="0">
        <f>SUM(N2+R2+S2+T2+U2+W2)-N3</f>
        <v>1170</v>
      </c>
      <c r="Q4" s="0">
        <f>SUM(Q2:Q2)</f>
        <v>1000</v>
      </c>
      <c r="R4" s="0">
        <f>SUM(R2:R2)</f>
        <v>90</v>
      </c>
      <c r="S4" s="0">
        <f>SUM(S2:S2)</f>
        <v>90</v>
      </c>
      <c r="T4" s="0">
        <f>SUM(T2:T2)</f>
        <v>0</v>
      </c>
      <c r="U4" s="0">
        <f>SUM(U2:U2)</f>
        <v>0</v>
      </c>
      <c r="AC4" s="0">
        <f>AC2-AC3</f>
        <v>1170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D3"/>
  <sheetViews>
    <sheetView topLeftCell="P1" workbookViewId="0">
      <selection activeCell="AA2" sqref="AA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341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s="1" t="s">
        <v>341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BankPaymentINR</vt:lpstr>
      <vt:lpstr>BankPaymentINRMulti</vt:lpstr>
      <vt:lpstr>BankPaymentINRMPMBNR</vt:lpstr>
      <vt:lpstr>BankPaymentINRMPMB</vt:lpstr>
      <vt:lpstr>BankPaymentINRMPSB</vt:lpstr>
      <vt:lpstr>BankPaymentUSD</vt:lpstr>
      <vt:lpstr>BankPaymentChargesUSD</vt:lpstr>
      <vt:lpstr>BankPaymentCharges</vt:lpstr>
      <vt:lpstr>BankPaymentUSDMulti</vt:lpstr>
      <vt:lpstr>BankPaymentUSDMPSB</vt:lpstr>
      <vt:lpstr>BankPaymentUSDMPMB</vt:lpstr>
      <vt:lpstr>BankPaymentUSDMPMBNR</vt:lpstr>
      <vt:lpstr>MultiGRN</vt:lpstr>
      <vt:lpstr>BankReceipt (2)</vt:lpstr>
      <vt:lpstr>BankReceipt</vt:lpstr>
      <vt:lpstr>BankReceiptMulti</vt:lpstr>
      <vt:lpstr>BankReceiptUSD</vt:lpstr>
      <vt:lpstr>BankReceiptMultiNewRefUSD</vt:lpstr>
      <vt:lpstr>BankReceiptMultiUSD</vt:lpstr>
      <vt:lpstr>BankReceiptMultiNewRef</vt:lpstr>
      <vt:lpstr>BankReceiptMulti (2)</vt:lpstr>
      <vt:lpstr>BankReceiptMultiNewRef (2)</vt:lpstr>
      <vt:lpstr>BankReceiptPDC</vt:lpstr>
      <vt:lpstr>BankReceiptChargesUSD</vt:lpstr>
      <vt:lpstr>BankReceiptCharges</vt:lpstr>
      <vt:lpstr>BankPaymentExpGST</vt:lpstr>
      <vt:lpstr>BankReceiptRevExpGST</vt:lpstr>
      <vt:lpstr>BankPaymentExp</vt:lpstr>
      <vt:lpstr>BankReceiptRevExp</vt:lpstr>
      <vt:lpstr>BankPaymentExpTDS</vt:lpstr>
      <vt:lpstr>BankPaymentExpGSTTDS</vt:lpstr>
      <vt:lpstr>BankPaymentPDC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2025-01-30T07:28:00Z</dcterms:created>
  <dc:creator>galaxy</dc:creator>
  <cp:lastModifiedBy>Harikrishna</cp:lastModifiedBy>
  <dcterms:modified xsi:type="dcterms:W3CDTF">2025-12-22T11:05:11Z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