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0" yWindow="2520" windowWidth="15150" windowHeight="6540" firstSheet="29" activeTab="29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BankPaymentMultiPartyMultiBills" sheetId="32" r:id="rId21"/>
    <sheet name="BankPaymentMPMB" sheetId="33" r:id="rId22"/>
    <sheet name="BankPaymentMultiParty" sheetId="31" r:id="rId23"/>
    <sheet name="BankPaymentMultiNewRef" sheetId="34" r:id="rId24"/>
    <sheet name="BPSPMB" sheetId="36" r:id="rId25"/>
    <sheet name="BankPayment" sheetId="29" r:id="rId26"/>
    <sheet name="BankPaymentINR" sheetId="41" r:id="rId27"/>
    <sheet name="BankPaymentINRMulti" sheetId="46" r:id="rId28"/>
    <sheet name="BankPaymentINRMPMBNR" sheetId="50" r:id="rId29"/>
    <sheet name="BankPaymentINRMPMB" sheetId="49" r:id="rId30"/>
    <sheet name="BankPaymentINRMPSB" sheetId="48" r:id="rId31"/>
    <sheet name="BankPaymentUSD" sheetId="51" r:id="rId32"/>
    <sheet name="BankPaymentChargesUSD" sheetId="68" r:id="rId33"/>
    <sheet name="BankPaymentCharges" sheetId="65" r:id="rId34"/>
    <sheet name="BankPaymentUSDMulti" sheetId="52" r:id="rId35"/>
    <sheet name="BankPaymentUSDMPSB" sheetId="53" r:id="rId36"/>
    <sheet name="BankPaymentUSDMPMB" sheetId="54" r:id="rId37"/>
    <sheet name="BankPaymentUSDMPMBNR" sheetId="55" r:id="rId38"/>
    <sheet name="MultiGRN" sheetId="30" r:id="rId39"/>
    <sheet name="BankReceipt (2)" sheetId="42" r:id="rId40"/>
    <sheet name="BankReceipt" sheetId="35" r:id="rId41"/>
    <sheet name="BankReceiptMulti" sheetId="37" r:id="rId42"/>
    <sheet name="BankReceiptUSD" sheetId="39" r:id="rId43"/>
    <sheet name="BankReceiptMultiNewRefUSD" sheetId="45" r:id="rId44"/>
    <sheet name="BankReceiptMultiUSD" sheetId="40" r:id="rId45"/>
    <sheet name="BankReceiptMultiNewRef" sheetId="38" r:id="rId46"/>
    <sheet name="BankReceiptMulti (2)" sheetId="43" r:id="rId47"/>
    <sheet name="BankReceiptMultiNewRef (2)" sheetId="44" r:id="rId48"/>
    <sheet name="BankReceiptPDC" sheetId="56" r:id="rId49"/>
    <sheet name="BankReceiptChargesUSD" sheetId="60" r:id="rId50"/>
    <sheet name="BankReceiptCharges" sheetId="57" r:id="rId51"/>
    <sheet name="BankPaymentExpGST" sheetId="63" r:id="rId52"/>
    <sheet name="BankReceiptRevExpGST" sheetId="59" r:id="rId53"/>
    <sheet name="BankPaymentExp" sheetId="62" r:id="rId54"/>
    <sheet name="BankReceiptRevExp" sheetId="58" r:id="rId55"/>
    <sheet name="BankPaymentExpTDS" sheetId="66" r:id="rId56"/>
    <sheet name="BankPaymentExpGSTTDS" sheetId="67" r:id="rId57"/>
    <sheet name="BankPaymentPDC" sheetId="61" r:id="rId58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46"/>
  <c r="AC3" i="68"/>
  <c r="N3" s="1"/>
  <c r="M2"/>
  <c r="Q2" s="1"/>
  <c r="AC2"/>
  <c r="N2" s="1"/>
  <c r="I4"/>
  <c r="M3"/>
  <c r="Q3" s="1"/>
  <c r="N4" i="67"/>
  <c r="M4"/>
  <c r="N4" i="66"/>
  <c r="M4"/>
  <c r="AC4" i="67"/>
  <c r="AI2"/>
  <c r="I3" s="1"/>
  <c r="U3"/>
  <c r="T3"/>
  <c r="S3"/>
  <c r="R3"/>
  <c r="N3"/>
  <c r="M3"/>
  <c r="I4"/>
  <c r="U2"/>
  <c r="U4" s="1"/>
  <c r="T2"/>
  <c r="T4" s="1"/>
  <c r="N2"/>
  <c r="M2"/>
  <c r="U4" i="66"/>
  <c r="T4"/>
  <c r="S4"/>
  <c r="R4"/>
  <c r="Q4"/>
  <c r="AC4"/>
  <c r="I3"/>
  <c r="AC3"/>
  <c r="AC2"/>
  <c r="U3"/>
  <c r="T3"/>
  <c r="S3"/>
  <c r="R3"/>
  <c r="Q2"/>
  <c r="AI2"/>
  <c r="N3"/>
  <c r="M3"/>
  <c r="I4"/>
  <c r="U2"/>
  <c r="T2"/>
  <c r="S2"/>
  <c r="R2"/>
  <c r="M2"/>
  <c r="N3" i="63"/>
  <c r="M3"/>
  <c r="N2"/>
  <c r="M2"/>
  <c r="Q2" s="1"/>
  <c r="U2"/>
  <c r="U3" s="1"/>
  <c r="T2"/>
  <c r="T3" s="1"/>
  <c r="AC2" i="65"/>
  <c r="N2" s="1"/>
  <c r="M2"/>
  <c r="Q2" s="1"/>
  <c r="I4"/>
  <c r="AC3"/>
  <c r="N3" s="1"/>
  <c r="M3"/>
  <c r="Q3" s="1"/>
  <c r="I3" i="63"/>
  <c r="I3" i="62"/>
  <c r="U2"/>
  <c r="U3" s="1"/>
  <c r="T2"/>
  <c r="T3" s="1"/>
  <c r="S2"/>
  <c r="R2"/>
  <c r="AC2" s="1"/>
  <c r="N2" s="1"/>
  <c r="N3" s="1"/>
  <c r="M2"/>
  <c r="Q2" s="1"/>
  <c r="S3"/>
  <c r="AC2" i="61"/>
  <c r="N2" s="1"/>
  <c r="N3" s="1"/>
  <c r="M2"/>
  <c r="M3" s="1"/>
  <c r="N2" i="60"/>
  <c r="M2"/>
  <c r="M4" s="1"/>
  <c r="I4"/>
  <c r="AC3"/>
  <c r="N3" s="1"/>
  <c r="M3"/>
  <c r="Q3" s="1"/>
  <c r="AC2"/>
  <c r="AC4" i="59"/>
  <c r="I4" i="58"/>
  <c r="U3"/>
  <c r="T3"/>
  <c r="M3"/>
  <c r="Q3" s="1"/>
  <c r="U2"/>
  <c r="U4" s="1"/>
  <c r="T2"/>
  <c r="T4" s="1"/>
  <c r="M2"/>
  <c r="M4" s="1"/>
  <c r="U3" i="59"/>
  <c r="T3"/>
  <c r="S3"/>
  <c r="AC3" s="1"/>
  <c r="R3"/>
  <c r="U2"/>
  <c r="U4" s="1"/>
  <c r="T2"/>
  <c r="T4" s="1"/>
  <c r="S2"/>
  <c r="S4" s="1"/>
  <c r="R2"/>
  <c r="AC2" s="1"/>
  <c r="Q4" i="68" l="1"/>
  <c r="M4"/>
  <c r="N4"/>
  <c r="AC4"/>
  <c r="AC3" i="67"/>
  <c r="Q2"/>
  <c r="N2" i="66"/>
  <c r="M3" i="62"/>
  <c r="S2" i="63"/>
  <c r="R2"/>
  <c r="AC2" s="1"/>
  <c r="M4" i="65"/>
  <c r="N4"/>
  <c r="Q4"/>
  <c r="AC4"/>
  <c r="AC3" i="62"/>
  <c r="R3"/>
  <c r="Q3"/>
  <c r="AC3" i="61"/>
  <c r="Q2"/>
  <c r="Q3" s="1"/>
  <c r="Q2" i="60"/>
  <c r="Q4" s="1"/>
  <c r="AC4"/>
  <c r="N4"/>
  <c r="R3" i="58"/>
  <c r="AC3" s="1"/>
  <c r="N3" s="1"/>
  <c r="S3"/>
  <c r="Q2"/>
  <c r="R4" i="59"/>
  <c r="I4"/>
  <c r="N3"/>
  <c r="M3"/>
  <c r="Q3" s="1"/>
  <c r="N2"/>
  <c r="M2"/>
  <c r="M4" s="1"/>
  <c r="I4" i="57"/>
  <c r="M2"/>
  <c r="Q2" s="1"/>
  <c r="Q4" s="1"/>
  <c r="AC2"/>
  <c r="N2" s="1"/>
  <c r="N4" s="1"/>
  <c r="AC3"/>
  <c r="N3" s="1"/>
  <c r="M3"/>
  <c r="Q3" s="1"/>
  <c r="AC2" i="56"/>
  <c r="N2" s="1"/>
  <c r="N3" s="1"/>
  <c r="M2"/>
  <c r="Q2" s="1"/>
  <c r="Q3" s="1"/>
  <c r="I4" i="55"/>
  <c r="AC3"/>
  <c r="N3" s="1"/>
  <c r="M3"/>
  <c r="Q3" s="1"/>
  <c r="AC2"/>
  <c r="N2" s="1"/>
  <c r="M2"/>
  <c r="M4" s="1"/>
  <c r="I4" i="54"/>
  <c r="AC3"/>
  <c r="N3" s="1"/>
  <c r="M3"/>
  <c r="Q3" s="1"/>
  <c r="AC2"/>
  <c r="N2" s="1"/>
  <c r="N4" s="1"/>
  <c r="M2"/>
  <c r="M4" s="1"/>
  <c r="Q4" i="67" l="1"/>
  <c r="R2"/>
  <c r="S2"/>
  <c r="S4" s="1"/>
  <c r="M4" i="57"/>
  <c r="R2" i="58"/>
  <c r="S2"/>
  <c r="S4" s="1"/>
  <c r="Q4"/>
  <c r="N4" i="59"/>
  <c r="Q2"/>
  <c r="Q4" s="1"/>
  <c r="AC4" i="57"/>
  <c r="AC3" i="56"/>
  <c r="M3"/>
  <c r="N4" i="55"/>
  <c r="AC4"/>
  <c r="Q2"/>
  <c r="Q4" s="1"/>
  <c r="AC4" i="54"/>
  <c r="Q2"/>
  <c r="Q4" s="1"/>
  <c r="AC2" i="67" l="1"/>
  <c r="R4"/>
  <c r="AC2" i="58"/>
  <c r="R4"/>
  <c r="AC4" i="53"/>
  <c r="I4"/>
  <c r="AC3"/>
  <c r="N3" s="1"/>
  <c r="M3"/>
  <c r="Q3" s="1"/>
  <c r="AC2"/>
  <c r="N2" s="1"/>
  <c r="N4" s="1"/>
  <c r="M2"/>
  <c r="M4" s="1"/>
  <c r="N2" i="58" l="1"/>
  <c r="N4" s="1"/>
  <c r="AC4"/>
  <c r="Q2" i="53"/>
  <c r="Q4" s="1"/>
  <c r="AC2" i="52" l="1"/>
  <c r="N2" s="1"/>
  <c r="N3" s="1"/>
  <c r="M2"/>
  <c r="M3" s="1"/>
  <c r="AC2" i="51"/>
  <c r="N2" s="1"/>
  <c r="N3" s="1"/>
  <c r="Q2"/>
  <c r="M2"/>
  <c r="Q3" s="1"/>
  <c r="AC2" i="41"/>
  <c r="I4" i="50"/>
  <c r="M4"/>
  <c r="N4"/>
  <c r="Q4"/>
  <c r="AC4"/>
  <c r="M3" i="49"/>
  <c r="Q3" s="1"/>
  <c r="M2"/>
  <c r="Q2" s="1"/>
  <c r="AC3"/>
  <c r="N3" s="1"/>
  <c r="AC2"/>
  <c r="N2" s="1"/>
  <c r="I4"/>
  <c r="I4" i="48"/>
  <c r="M4"/>
  <c r="N4"/>
  <c r="Q4"/>
  <c r="AC4"/>
  <c r="AC3" i="46"/>
  <c r="Q2" i="39"/>
  <c r="N2"/>
  <c r="M2" i="46"/>
  <c r="Q2" s="1"/>
  <c r="Q3" s="1"/>
  <c r="AC3" i="50"/>
  <c r="N3" s="1"/>
  <c r="M3"/>
  <c r="Q3" s="1"/>
  <c r="AC2"/>
  <c r="N2" s="1"/>
  <c r="M2"/>
  <c r="Q2" s="1"/>
  <c r="AC3" i="48"/>
  <c r="N3" s="1"/>
  <c r="M3"/>
  <c r="Q3" s="1"/>
  <c r="AC2"/>
  <c r="N2" s="1"/>
  <c r="M2"/>
  <c r="AC3" i="52" l="1"/>
  <c r="Q2"/>
  <c r="Q3" s="1"/>
  <c r="AC3" i="51"/>
  <c r="M3"/>
  <c r="N4" i="49"/>
  <c r="AC4"/>
  <c r="Q4"/>
  <c r="M4"/>
  <c r="N2" i="46"/>
  <c r="N3" s="1"/>
  <c r="Q2" i="48"/>
  <c r="M3" i="46"/>
  <c r="AC4" i="45" l="1"/>
  <c r="I4"/>
  <c r="M4"/>
  <c r="N4"/>
  <c r="Q4"/>
  <c r="Q3"/>
  <c r="M2"/>
  <c r="M3"/>
  <c r="N3"/>
  <c r="AC3"/>
  <c r="AC2"/>
  <c r="N2" s="1"/>
  <c r="AB4"/>
  <c r="AA4"/>
  <c r="AC3" i="40"/>
  <c r="N3" s="1"/>
  <c r="M3"/>
  <c r="Q3" s="1"/>
  <c r="AC2"/>
  <c r="N2" s="1"/>
  <c r="M2"/>
  <c r="Q2" s="1"/>
  <c r="AC4" i="38"/>
  <c r="AC3"/>
  <c r="AC2"/>
  <c r="N2" s="1"/>
  <c r="I4"/>
  <c r="N3"/>
  <c r="M3"/>
  <c r="Q3" s="1"/>
  <c r="M2"/>
  <c r="M2" i="37"/>
  <c r="Q2" s="1"/>
  <c r="AC3" i="44"/>
  <c r="AC2"/>
  <c r="AC4" s="1"/>
  <c r="N2"/>
  <c r="M2"/>
  <c r="Q2" s="1"/>
  <c r="I4" i="37"/>
  <c r="AC3"/>
  <c r="N3" s="1"/>
  <c r="AC2"/>
  <c r="N2" s="1"/>
  <c r="M3"/>
  <c r="Q3" s="1"/>
  <c r="AC3" i="43"/>
  <c r="AC2"/>
  <c r="AC4" s="1"/>
  <c r="N2"/>
  <c r="M2"/>
  <c r="Q2" s="1"/>
  <c r="AC2" i="35"/>
  <c r="N2" s="1"/>
  <c r="N3" s="1"/>
  <c r="M2"/>
  <c r="M3" s="1"/>
  <c r="AC2" i="42"/>
  <c r="AC3" s="1"/>
  <c r="N2"/>
  <c r="M2"/>
  <c r="Q2" s="1"/>
  <c r="M2" i="39"/>
  <c r="M3" s="1"/>
  <c r="M2" i="41"/>
  <c r="M3" s="1"/>
  <c r="I4" i="40"/>
  <c r="AB4"/>
  <c r="AA4"/>
  <c r="N3" i="39"/>
  <c r="AC2"/>
  <c r="AC3" s="1"/>
  <c r="N2" i="36"/>
  <c r="M2"/>
  <c r="Q2" s="1"/>
  <c r="N2" i="29"/>
  <c r="M2"/>
  <c r="Q2" s="1"/>
  <c r="O3" i="34"/>
  <c r="L3"/>
  <c r="K3"/>
  <c r="L2"/>
  <c r="K2"/>
  <c r="O2" s="1"/>
  <c r="N3" i="33"/>
  <c r="M3"/>
  <c r="Q3" s="1"/>
  <c r="N4" i="37" l="1"/>
  <c r="AC4"/>
  <c r="N2" i="41"/>
  <c r="N3" s="1"/>
  <c r="AC3"/>
  <c r="Q2" i="45"/>
  <c r="Q4" i="40"/>
  <c r="N4"/>
  <c r="M4"/>
  <c r="AC4"/>
  <c r="M4" i="38"/>
  <c r="N4"/>
  <c r="Q2"/>
  <c r="M4" i="37"/>
  <c r="AC3" i="35"/>
  <c r="Q2"/>
  <c r="Q3" s="1"/>
  <c r="Q3" i="39"/>
  <c r="Q2" i="41"/>
  <c r="Q3" s="1"/>
  <c r="Q5" i="32"/>
  <c r="N5"/>
  <c r="M5"/>
  <c r="N4"/>
  <c r="M4"/>
  <c r="Q4" s="1"/>
  <c r="N3" i="31"/>
  <c r="M3"/>
  <c r="Q3" s="1"/>
  <c r="F3" i="28"/>
  <c r="F2"/>
  <c r="Q3" i="63"/>
  <c r="S3" l="1"/>
  <c r="R3" l="1"/>
  <c r="AC3" l="1"/>
</calcChain>
</file>

<file path=xl/sharedStrings.xml><?xml version="1.0" encoding="utf-8"?>
<sst xmlns="http://schemas.openxmlformats.org/spreadsheetml/2006/main" count="2686" uniqueCount="362">
  <si>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</si>
  <si>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</si>
  <si>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</si>
  <si>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</si>
  <si>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</si>
  <si>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</si>
  <si>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</si>
  <si>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</si>
  <si>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</si>
  <si>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</si>
  <si>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</si>
  <si>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</si>
  <si>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</si>
  <si>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</si>
  <si>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</si>
  <si>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</si>
  <si>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</si>
  <si>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</si>
  <si>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</si>
  <si>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</si>
  <si>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</si>
  <si>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</si>
  <si>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</si>
  <si>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</si>
  <si>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</si>
  <si>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</si>
  <si>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</si>
  <si>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</si>
  <si>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</si>
  <si>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</si>
  <si>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</si>
  <si>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</si>
  <si>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</si>
  <si>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</si>
  <si>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</si>
  <si>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</si>
  <si>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</si>
  <si>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</si>
  <si>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</si>
  <si>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</si>
  <si>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</si>
  <si>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</si>
  <si>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</si>
  <si>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</si>
  <si>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</si>
  <si>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</si>
  <si>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</si>
  <si>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</si>
  <si>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</si>
  <si>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</si>
  <si>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</si>
  <si>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</si>
  <si>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</si>
  <si>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</si>
  <si>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</si>
  <si>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</si>
  <si>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</si>
  <si>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</si>
  <si>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</si>
  <si>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</si>
  <si>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</si>
  <si>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</si>
  <si>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</si>
  <si>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</si>
  <si>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</si>
  <si>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</si>
  <si>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</si>
  <si>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</si>
  <si>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</si>
  <si>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</si>
  <si>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</si>
  <si>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</si>
  <si>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</si>
  <si>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</si>
  <si>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</si>
  <si>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</si>
  <si>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</si>
  <si>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</si>
  <si>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</si>
  <si>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</si>
  <si>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</si>
  <si>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</si>
  <si>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</si>
  <si>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</si>
  <si>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</si>
  <si>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</si>
  <si>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</si>
  <si>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</si>
  <si>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</si>
  <si>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</si>
  <si>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</si>
  <si>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</si>
  <si>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</si>
  <si>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</si>
  <si>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</si>
  <si>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</si>
  <si>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</si>
  <si>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</si>
  <si>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</si>
  <si>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</si>
  <si>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</si>
  <si>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</si>
  <si>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</si>
  <si>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</si>
  <si>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</si>
  <si>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</si>
  <si>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</si>
  <si>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</si>
  <si>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</si>
  <si>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</si>
  <si>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</si>
  <si>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</si>
  <si>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</si>
  <si>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</si>
  <si>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</si>
  <si>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</si>
  <si>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</si>
  <si>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</si>
  <si>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</si>
  <si>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</si>
  <si>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(2022)5%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</si>
  <si>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</si>
  <si>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</si>
  <si>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</si>
  <si>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</si>
  <si>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</si>
  <si>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</si>
  <si>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</si>
  <si>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</si>
  <si>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SERVICE ITEM 10001</t>
  </si>
  <si>
    <t>PRO-10001</t>
  </si>
  <si>
    <t>PROMOTIONAL ITEM - 10001</t>
  </si>
  <si>
    <t>Promotional</t>
  </si>
  <si>
    <t>HK-USRDFN-10001</t>
  </si>
  <si>
    <t>HK-USERDEFINED-10001</t>
  </si>
  <si>
    <t>0074</t>
  </si>
  <si>
    <t>HK-TVS-FG-10001</t>
  </si>
  <si>
    <t>MTON</t>
  </si>
  <si>
    <t>.0001</t>
  </si>
  <si>
    <t>HK-TVS-FG-10002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</si>
  <si>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</si>
  <si>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</si>
  <si>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</si>
  <si>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</si>
  <si>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</si>
  <si>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</si>
  <si>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</si>
  <si>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</si>
  <si>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</si>
  <si>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</si>
  <si>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</si>
  <si>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</si>
  <si>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</si>
  <si>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</si>
  <si>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</si>
  <si>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</si>
  <si>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</si>
  <si>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</si>
  <si>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</si>
  <si>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</si>
  <si>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</si>
  <si>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</si>
  <si>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</si>
  <si>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</si>
  <si>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</si>
  <si>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</si>
  <si>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</si>
  <si>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</si>
  <si>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</si>
  <si>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</si>
  <si>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</si>
  <si>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</si>
  <si>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</si>
  <si>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</si>
  <si>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</si>
  <si>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</si>
  <si>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</si>
  <si>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</si>
  <si>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</si>
  <si>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</si>
  <si>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</si>
  <si>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</si>
  <si>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</si>
  <si>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</si>
  <si>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</si>
  <si>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</si>
  <si>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</si>
  <si>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</si>
  <si>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</si>
  <si>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</si>
  <si>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</si>
  <si>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</si>
  <si>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</si>
  <si>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</si>
  <si>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</si>
  <si>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</si>
  <si>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</si>
  <si>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</si>
  <si>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</si>
  <si>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</si>
  <si>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</si>
  <si>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</si>
  <si>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</si>
  <si>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</si>
  <si>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</si>
  <si>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</si>
  <si>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</si>
  <si>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</si>
  <si>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</si>
  <si>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</si>
  <si>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</si>
  <si>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</si>
  <si>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</si>
  <si>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</si>
  <si>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</si>
  <si>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</si>
  <si>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</si>
  <si>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</si>
  <si>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</si>
  <si>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</si>
  <si>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</si>
  <si>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</si>
  <si>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LOC49</t>
  </si>
  <si>
    <t>L3</t>
  </si>
  <si>
    <t>WEGA ASSOCIATES</t>
  </si>
  <si>
    <t>Item</t>
  </si>
  <si>
    <t>WareHouse</t>
  </si>
  <si>
    <t>GWL_ITEM_STOCK_01</t>
  </si>
  <si>
    <t>RM KD</t>
  </si>
  <si>
    <t>GWL_ITEM_STOCK_04</t>
  </si>
  <si>
    <t>GWL_ITEM_STOCK_06</t>
  </si>
  <si>
    <t>GWL_ITEM_STOCK_07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</si>
  <si>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</si>
  <si>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</si>
  <si>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</si>
  <si>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</si>
  <si>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</si>
  <si>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</si>
  <si>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</si>
  <si>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</si>
  <si>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</si>
  <si>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</si>
  <si>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</si>
  <si>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JJ AUTOMOBILES</t>
  </si>
  <si>
    <t>HK-LOT-MAC-10001</t>
  </si>
  <si>
    <t>F100</t>
  </si>
  <si>
    <t>Stock Cost</t>
  </si>
  <si>
    <t>Line Amount</t>
  </si>
  <si>
    <t>13.27173</t>
  </si>
  <si>
    <t>84.75</t>
  </si>
  <si>
    <t>Unit Cost</t>
  </si>
  <si>
    <t>84.74822</t>
  </si>
  <si>
    <t>13.27</t>
  </si>
  <si>
    <t>SNO</t>
  </si>
  <si>
    <t>GL ACCOUNT DESC</t>
  </si>
  <si>
    <t>PARTY NAME</t>
  </si>
  <si>
    <t>ENTITY</t>
  </si>
  <si>
    <t>CPC DESC</t>
  </si>
  <si>
    <t>PAY AMOUNT</t>
  </si>
  <si>
    <t>BILL DOC NUMBER</t>
  </si>
  <si>
    <t>DR./CR</t>
  </si>
  <si>
    <t>CURCY</t>
  </si>
  <si>
    <t>EX.RATE</t>
  </si>
  <si>
    <t>BASE CURRENCY</t>
  </si>
  <si>
    <t>HSN CODE</t>
  </si>
  <si>
    <t>TAX PERCENTAGE</t>
  </si>
  <si>
    <t>ASSESABLE VALUE</t>
  </si>
  <si>
    <t>CGST</t>
  </si>
  <si>
    <t>SGST</t>
  </si>
  <si>
    <t>IGST</t>
  </si>
  <si>
    <t>UTGST</t>
  </si>
  <si>
    <t>CESS PERCENTAGE</t>
  </si>
  <si>
    <t>CESS AMOUNT</t>
  </si>
  <si>
    <t>TRANS CURRENCY</t>
  </si>
  <si>
    <t>TVSA</t>
  </si>
  <si>
    <t>00123</t>
  </si>
  <si>
    <t>DR</t>
  </si>
  <si>
    <t>SUPPLIER ID</t>
  </si>
  <si>
    <t>SUPPLIER NAME</t>
  </si>
  <si>
    <t>SHEETNAME</t>
  </si>
  <si>
    <t>SUP00124</t>
  </si>
  <si>
    <t>DirectGrnGenUD</t>
  </si>
  <si>
    <t>DirectGrnGenUDLocal</t>
  </si>
  <si>
    <t>TAX-FJH</t>
  </si>
  <si>
    <t>HARIKRISH PVT LTD</t>
  </si>
  <si>
    <t>HARIKRISH PVT LTD(AP)</t>
  </si>
  <si>
    <t>00256</t>
  </si>
  <si>
    <t>PARTY ID</t>
  </si>
  <si>
    <t>DirectGrnGenUDLocalMulti</t>
  </si>
  <si>
    <t>DirectGrnGenUDMulti</t>
  </si>
  <si>
    <t>00768</t>
  </si>
  <si>
    <t>MURUGAN TRADERS(AR)</t>
  </si>
  <si>
    <t>DOC TYPE</t>
  </si>
  <si>
    <t>BILL NUMBER</t>
  </si>
  <si>
    <t>BILL DATE</t>
  </si>
  <si>
    <t>BILL AMOUNT</t>
  </si>
  <si>
    <t>TAX AMT</t>
  </si>
  <si>
    <t>PB DOC NUMBER</t>
  </si>
  <si>
    <t>Supplier Bill</t>
  </si>
  <si>
    <t>BRSPSI</t>
  </si>
  <si>
    <t>HARI TRADERS(AR)</t>
  </si>
  <si>
    <t>00689</t>
  </si>
  <si>
    <t>BRSPMI</t>
  </si>
  <si>
    <t>CR</t>
  </si>
  <si>
    <t>Location</t>
  </si>
  <si>
    <t>Lines DR./CR</t>
  </si>
  <si>
    <t>Pending DR./CR</t>
  </si>
  <si>
    <t>Invoice 1</t>
  </si>
  <si>
    <t>Invoice 2</t>
  </si>
  <si>
    <t>Sum Of Both Invoices</t>
  </si>
  <si>
    <t>0</t>
  </si>
  <si>
    <t>26550</t>
  </si>
  <si>
    <t>BRSPSIE</t>
  </si>
  <si>
    <t>81</t>
  </si>
  <si>
    <t>Amt In TC</t>
  </si>
  <si>
    <t>Amt In BC</t>
  </si>
  <si>
    <t>CUS200112</t>
  </si>
  <si>
    <t>ROAU</t>
  </si>
  <si>
    <t>JJ AUTOMOBILES (AP)</t>
  </si>
  <si>
    <t>MURUGAN TRADERS (AR)</t>
  </si>
  <si>
    <t>1</t>
  </si>
  <si>
    <t>HARI TRADERS (AR)</t>
  </si>
  <si>
    <t>FRANCE FOREIGN TRADERS (AR)</t>
  </si>
  <si>
    <t>WEGA ASSOCIATES (AR)</t>
  </si>
  <si>
    <t>TAX-FKI</t>
  </si>
  <si>
    <t>DEVA PRIVATE LTD</t>
  </si>
  <si>
    <t>DEVA PRIVATE LTD(AP)</t>
  </si>
  <si>
    <t>00467</t>
  </si>
  <si>
    <t>Purchase Bills 1</t>
  </si>
  <si>
    <t>Purchase Bills 2</t>
  </si>
  <si>
    <t>Sum Of Both Purchase Bills</t>
  </si>
  <si>
    <t>00469</t>
  </si>
  <si>
    <t>666.3</t>
  </si>
  <si>
    <t>666.66</t>
  </si>
  <si>
    <t>SUP10388</t>
  </si>
  <si>
    <t>AFT PRIVATE LIMITED</t>
  </si>
  <si>
    <t>AFT PRIVATE LIMITED(AP)</t>
  </si>
  <si>
    <t>DirectGrnGenUDIMP</t>
  </si>
  <si>
    <t>DirectGrnGenUDMultiIMP</t>
  </si>
  <si>
    <t>WALMART(AP)</t>
  </si>
  <si>
    <t>SUP00375</t>
  </si>
  <si>
    <t>WALMART</t>
  </si>
  <si>
    <t>BANK CHARGES</t>
  </si>
  <si>
    <t>Charges Flag</t>
  </si>
  <si>
    <t>N</t>
  </si>
  <si>
    <t>Y</t>
  </si>
  <si>
    <t>GERERAL</t>
  </si>
  <si>
    <t>ADMINISTRATION EXPENSES</t>
  </si>
  <si>
    <t>INTEREST INCOME ON LOAN</t>
  </si>
  <si>
    <t>00856</t>
  </si>
  <si>
    <t>Cr.</t>
  </si>
  <si>
    <t>Dr.</t>
  </si>
  <si>
    <t>HARITRADERS</t>
  </si>
  <si>
    <t>34AWPPH5612QIJY</t>
  </si>
  <si>
    <t>GSTIN</t>
  </si>
  <si>
    <t>GST SUPPLIER NAME</t>
  </si>
  <si>
    <t>1650</t>
  </si>
  <si>
    <t>82.5</t>
  </si>
  <si>
    <t>194C(TDS)</t>
  </si>
  <si>
    <t>TDS %</t>
  </si>
  <si>
    <t>TDS AMT</t>
  </si>
  <si>
    <t>56.46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</si>
</sst>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sz val="9"/>
      <color rgb="FF262626"/>
      <name val="Arial"/>
      <family val="2"/>
    </font>
    <font>
      <sz val="10"/>
      <color rgb="FF262626"/>
      <name val="Times New Roman"/>
      <family val="1"/>
    </font>
    <font>
      <sz val="8"/>
      <color theme="1"/>
      <name val="Times New Roman"/>
      <family val="1"/>
    </font>
    <font>
      <b/>
      <i/>
      <sz val="9"/>
      <color theme="1"/>
      <name val="Consolas"/>
      <family val="3"/>
    </font>
    <font>
      <sz val="8"/>
      <color rgb="FF262626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</cellStyleXfs>
  <cellXfs count="59">
    <xf numFmtId="0" fontId="0" fillId="0" borderId="0" xfId="0">
      <alignment vertical="center"/>
    </xf>
    <xf numFmtId="0" fontId="0" fillId="0" borderId="1" xfId="0" applyBorder="1">
      <alignment vertical="center"/>
    </xf>
    <xf numFmtId="0" fontId="1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0" fillId="0" borderId="1" xfId="0" applyFont="1" applyBorder="1">
      <alignment vertical="center"/>
    </xf>
    <xf numFmtId="0" fontId="13" fillId="0" borderId="1" xfId="2" applyFont="1" applyBorder="1" applyAlignment="1">
      <alignment vertical="center"/>
    </xf>
    <xf numFmtId="0" fontId="13" fillId="0" borderId="1" xfId="1" applyFont="1" applyFill="1" applyBorder="1" applyAlignment="1">
      <alignment vertical="center"/>
    </xf>
    <xf numFmtId="0" fontId="14" fillId="0" borderId="0" xfId="0" applyFont="1">
      <alignment vertical="center"/>
    </xf>
    <xf numFmtId="0" fontId="0" fillId="0" borderId="1" xfId="2" applyFont="1" applyBorder="1">
      <alignment vertical="center"/>
    </xf>
    <xf numFmtId="0" fontId="15" fillId="0" borderId="1" xfId="2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14" fillId="0" borderId="1" xfId="0" applyFont="1" applyFill="1" applyBorder="1">
      <alignment vertical="center"/>
    </xf>
    <xf numFmtId="0" fontId="14" fillId="3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0" fontId="15" fillId="0" borderId="1" xfId="0" applyFont="1" applyBorder="1">
      <alignment vertical="center"/>
    </xf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16" fillId="0" borderId="1" xfId="0" applyFont="1" applyBorder="1">
      <alignment vertical="center"/>
    </xf>
    <xf numFmtId="0" fontId="0" fillId="0" borderId="0" xfId="0" applyBorder="1">
      <alignment vertical="center"/>
    </xf>
    <xf numFmtId="0" fontId="17" fillId="0" borderId="1" xfId="0" applyFont="1" applyBorder="1" applyAlignment="1">
      <alignment vertical="center"/>
    </xf>
    <xf numFmtId="49" fontId="13" fillId="0" borderId="1" xfId="0" applyNumberFormat="1" applyFont="1" applyBorder="1" applyAlignment="1">
      <alignment vertical="center"/>
    </xf>
    <xf numFmtId="0" fontId="16" fillId="0" borderId="0" xfId="0" applyFont="1">
      <alignment vertical="center"/>
    </xf>
    <xf numFmtId="0" fontId="13" fillId="0" borderId="1" xfId="1" applyFont="1" applyBorder="1" applyAlignment="1">
      <alignment vertical="center"/>
    </xf>
    <xf numFmtId="0" fontId="17" fillId="0" borderId="1" xfId="1" applyFont="1" applyBorder="1" applyAlignment="1">
      <alignment vertical="center"/>
    </xf>
    <xf numFmtId="0" fontId="18" fillId="0" borderId="0" xfId="0" applyFont="1" applyAlignment="1">
      <alignment horizontal="justify" vertical="center"/>
    </xf>
    <xf numFmtId="0" fontId="19" fillId="4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 vertical="center" wrapText="1"/>
    </xf>
    <xf numFmtId="0" fontId="20" fillId="0" borderId="1" xfId="0" applyFont="1" applyBorder="1" applyAlignment="1">
      <alignment horizontal="left" vertical="center" wrapText="1"/>
    </xf>
    <xf numFmtId="0" fontId="21" fillId="0" borderId="0" xfId="0" applyFont="1">
      <alignment vertical="center"/>
    </xf>
    <xf numFmtId="0" fontId="11" fillId="0" borderId="1" xfId="0" applyFont="1" applyBorder="1">
      <alignment vertical="center"/>
    </xf>
    <xf numFmtId="0" fontId="12" fillId="0" borderId="2" xfId="0" applyFont="1" applyFill="1" applyBorder="1" applyAlignment="1">
      <alignment horizontal="center" vertical="center"/>
    </xf>
    <xf numFmtId="0" fontId="22" fillId="5" borderId="1" xfId="0" applyFont="1" applyFill="1" applyBorder="1">
      <alignment vertical="center"/>
    </xf>
    <xf numFmtId="0" fontId="10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22" fillId="5" borderId="2" xfId="0" applyFont="1" applyFill="1" applyBorder="1">
      <alignment vertical="center"/>
    </xf>
    <xf numFmtId="0" fontId="0" fillId="0" borderId="3" xfId="0" applyBorder="1">
      <alignment vertical="center"/>
    </xf>
    <xf numFmtId="0" fontId="8" fillId="0" borderId="3" xfId="0" applyFont="1" applyBorder="1">
      <alignment vertical="center"/>
    </xf>
    <xf numFmtId="0" fontId="9" fillId="0" borderId="3" xfId="0" applyFont="1" applyBorder="1">
      <alignment vertical="center"/>
    </xf>
    <xf numFmtId="49" fontId="0" fillId="0" borderId="3" xfId="0" applyNumberFormat="1" applyBorder="1">
      <alignment vertical="center"/>
    </xf>
    <xf numFmtId="0" fontId="10" fillId="0" borderId="3" xfId="0" applyFont="1" applyBorder="1">
      <alignment vertical="center"/>
    </xf>
    <xf numFmtId="0" fontId="22" fillId="5" borderId="3" xfId="0" applyFont="1" applyFill="1" applyBorder="1">
      <alignment vertical="center"/>
    </xf>
    <xf numFmtId="0" fontId="7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5" fillId="0" borderId="3" xfId="0" applyFont="1" applyBorder="1">
      <alignment vertical="center"/>
    </xf>
    <xf numFmtId="0" fontId="4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>
      <alignment vertical="center"/>
    </xf>
    <xf numFmtId="9" fontId="0" fillId="0" borderId="1" xfId="0" applyNumberFormat="1" applyBorder="1">
      <alignment vertical="center"/>
    </xf>
    <xf numFmtId="0" fontId="22" fillId="5" borderId="0" xfId="0" applyFont="1" applyFill="1" applyBorder="1">
      <alignment vertical="center"/>
    </xf>
    <xf numFmtId="0" fontId="22" fillId="5" borderId="4" xfId="0" applyFont="1" applyFill="1" applyBorder="1">
      <alignment vertical="center"/>
    </xf>
    <xf numFmtId="0" fontId="12" fillId="5" borderId="1" xfId="0" applyFont="1" applyFill="1" applyBorder="1">
      <alignment vertical="center"/>
    </xf>
    <xf numFmtId="0" fontId="1" fillId="0" borderId="1" xfId="0" applyFont="1" applyBorder="1">
      <alignment vertic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0"/>
  <sheetViews>
    <sheetView workbookViewId="0">
      <selection activeCell="H8" sqref="H8"/>
    </sheetView>
  </sheetViews>
  <sheetFormatPr defaultColWidth="8.7109375" defaultRowHeight="15"/>
  <cols>
    <col min="1" max="1" width="20.7109375" customWidth="1"/>
    <col min="2" max="3" width="12.7109375" customWidth="1"/>
    <col min="4" max="4" width="14.7109375" customWidth="1"/>
    <col min="5" max="5" width="9.85546875" customWidth="1"/>
    <col min="6" max="6" width="14.140625" customWidth="1"/>
    <col min="7" max="7" width="14.85546875" customWidth="1"/>
    <col min="8" max="8" width="22.28515625" customWidth="1"/>
    <col min="9" max="9" width="14.42578125" customWidth="1"/>
    <col min="10" max="10" width="13" customWidth="1"/>
  </cols>
  <sheetData>
    <row r="1" spans="1:10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</row>
    <row r="2" spans="1:10" s="30" customFormat="1" ht="22.5">
      <c r="A2" s="32" t="s">
        <v>10</v>
      </c>
      <c r="B2" s="33" t="s">
        <v>11</v>
      </c>
      <c r="C2" s="33" t="s">
        <v>12</v>
      </c>
      <c r="D2" s="32" t="s">
        <v>13</v>
      </c>
      <c r="E2" s="32">
        <v>1</v>
      </c>
      <c r="F2" s="32" t="s">
        <v>14</v>
      </c>
      <c r="G2" s="32">
        <v>1010301033</v>
      </c>
      <c r="H2" s="32" t="s">
        <v>15</v>
      </c>
      <c r="I2" s="32" t="s">
        <v>16</v>
      </c>
      <c r="J2" s="32" t="s">
        <v>17</v>
      </c>
    </row>
    <row r="3" spans="1:10" ht="15" customHeight="1">
      <c r="A3" s="32" t="s">
        <v>18</v>
      </c>
      <c r="B3" s="33" t="s">
        <v>11</v>
      </c>
      <c r="C3" s="33" t="s">
        <v>12</v>
      </c>
      <c r="D3" s="32" t="s">
        <v>19</v>
      </c>
      <c r="E3" s="32">
        <v>6</v>
      </c>
      <c r="F3" s="33" t="s">
        <v>20</v>
      </c>
      <c r="G3" s="32">
        <v>1010301033</v>
      </c>
      <c r="H3" s="32" t="s">
        <v>15</v>
      </c>
      <c r="I3" s="32" t="s">
        <v>16</v>
      </c>
      <c r="J3" s="32" t="s">
        <v>17</v>
      </c>
    </row>
    <row r="4" spans="1:10" ht="22.5">
      <c r="A4" s="32" t="s">
        <v>21</v>
      </c>
      <c r="B4" s="33" t="s">
        <v>22</v>
      </c>
      <c r="C4" s="33" t="s">
        <v>22</v>
      </c>
      <c r="D4" s="32" t="s">
        <v>23</v>
      </c>
      <c r="E4" s="32">
        <v>1</v>
      </c>
      <c r="F4" s="33" t="s">
        <v>14</v>
      </c>
      <c r="G4" s="32">
        <v>5010100004</v>
      </c>
      <c r="H4" s="32" t="s">
        <v>24</v>
      </c>
      <c r="I4" s="32" t="s">
        <v>16</v>
      </c>
      <c r="J4" s="32" t="s">
        <v>17</v>
      </c>
    </row>
    <row r="5" spans="1:10">
      <c r="A5" s="34"/>
      <c r="B5" s="34"/>
      <c r="C5" s="34"/>
      <c r="D5" s="34"/>
      <c r="E5" s="34"/>
      <c r="F5" s="34"/>
      <c r="G5" s="34"/>
      <c r="H5" s="34"/>
      <c r="I5" s="34"/>
      <c r="J5" s="34"/>
    </row>
    <row r="6" spans="1:10">
      <c r="A6" s="34"/>
      <c r="B6" s="34"/>
      <c r="C6" s="34"/>
      <c r="D6" s="34"/>
      <c r="E6" s="34"/>
      <c r="F6" s="34"/>
      <c r="G6" s="34"/>
      <c r="H6" s="34"/>
      <c r="I6" s="34"/>
      <c r="J6" s="34"/>
    </row>
    <row r="7" spans="1:10">
      <c r="A7" s="34"/>
      <c r="B7" s="34"/>
      <c r="C7" s="34"/>
      <c r="D7" s="34"/>
      <c r="E7" s="34"/>
      <c r="F7" s="34"/>
      <c r="G7" s="34"/>
      <c r="H7" s="34"/>
      <c r="I7" s="34"/>
      <c r="J7" s="34"/>
    </row>
    <row r="8" spans="1:10">
      <c r="A8" s="34"/>
      <c r="B8" s="34"/>
      <c r="C8" s="34"/>
      <c r="D8" s="34"/>
      <c r="E8" s="34"/>
      <c r="F8" s="34"/>
      <c r="G8" s="34"/>
      <c r="H8" s="34"/>
      <c r="I8" s="34"/>
      <c r="J8" s="34"/>
    </row>
    <row r="9" spans="1:10">
      <c r="A9" s="34"/>
      <c r="B9" s="34"/>
      <c r="C9" s="34"/>
      <c r="D9" s="34"/>
      <c r="E9" s="34"/>
      <c r="F9" s="34"/>
      <c r="G9" s="34"/>
      <c r="H9" s="34"/>
      <c r="I9" s="34"/>
      <c r="J9" s="34"/>
    </row>
    <row r="10" spans="1:10">
      <c r="A10" s="34"/>
      <c r="B10" s="34"/>
      <c r="C10" s="34"/>
      <c r="D10" s="34"/>
      <c r="E10" s="34"/>
      <c r="F10" s="34"/>
      <c r="G10" s="34"/>
      <c r="H10" s="34"/>
      <c r="I10" s="34"/>
      <c r="J10" s="34"/>
    </row>
    <row r="11" spans="1:10">
      <c r="A11" s="34"/>
      <c r="B11" s="34"/>
      <c r="C11" s="34"/>
      <c r="D11" s="34"/>
      <c r="E11" s="34"/>
      <c r="F11" s="34"/>
      <c r="G11" s="34"/>
      <c r="H11" s="34"/>
      <c r="I11" s="34"/>
      <c r="J11" s="34"/>
    </row>
    <row r="12" spans="1:10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3" spans="1:10">
      <c r="A13" s="34"/>
      <c r="B13" s="34"/>
      <c r="C13" s="34"/>
      <c r="D13" s="34"/>
      <c r="E13" s="34"/>
      <c r="F13" s="34"/>
      <c r="G13" s="34"/>
      <c r="H13" s="34"/>
      <c r="I13" s="34"/>
      <c r="J13" s="34"/>
    </row>
    <row r="14" spans="1:10">
      <c r="A14" s="34"/>
      <c r="B14" s="34"/>
      <c r="C14" s="34"/>
      <c r="D14" s="34"/>
      <c r="E14" s="34"/>
      <c r="F14" s="34"/>
      <c r="G14" s="34"/>
      <c r="H14" s="34"/>
      <c r="I14" s="34"/>
      <c r="J14" s="34"/>
    </row>
    <row r="15" spans="1:10">
      <c r="A15" s="34"/>
      <c r="B15" s="34"/>
      <c r="C15" s="34"/>
      <c r="D15" s="34"/>
      <c r="E15" s="34"/>
      <c r="F15" s="34"/>
      <c r="G15" s="34"/>
      <c r="H15" s="34"/>
      <c r="I15" s="34"/>
      <c r="J15" s="34"/>
    </row>
    <row r="16" spans="1:10">
      <c r="A16" s="34"/>
      <c r="B16" s="34"/>
      <c r="C16" s="34"/>
      <c r="D16" s="34"/>
      <c r="E16" s="34"/>
      <c r="F16" s="34"/>
      <c r="G16" s="34"/>
      <c r="H16" s="34"/>
      <c r="I16" s="34"/>
      <c r="J16" s="34"/>
    </row>
    <row r="17" spans="1:10">
      <c r="A17" s="34"/>
      <c r="B17" s="34"/>
      <c r="C17" s="34"/>
      <c r="D17" s="34"/>
      <c r="E17" s="34"/>
      <c r="F17" s="34"/>
      <c r="G17" s="34"/>
      <c r="H17" s="34"/>
      <c r="I17" s="34"/>
      <c r="J17" s="34"/>
    </row>
    <row r="18" spans="1:10">
      <c r="A18" s="34"/>
      <c r="B18" s="34"/>
      <c r="C18" s="34"/>
      <c r="D18" s="34"/>
      <c r="E18" s="34"/>
      <c r="F18" s="34"/>
      <c r="G18" s="34"/>
      <c r="H18" s="34"/>
      <c r="I18" s="34"/>
      <c r="J18" s="34"/>
    </row>
    <row r="19" spans="1:10">
      <c r="A19" s="34"/>
      <c r="B19" s="34"/>
      <c r="C19" s="34"/>
      <c r="D19" s="34"/>
      <c r="E19" s="34"/>
      <c r="F19" s="34"/>
      <c r="G19" s="34"/>
      <c r="H19" s="34"/>
      <c r="I19" s="34"/>
      <c r="J19" s="34"/>
    </row>
    <row r="20" spans="1:10">
      <c r="A20" s="34"/>
      <c r="B20" s="34"/>
      <c r="C20" s="34"/>
      <c r="D20" s="34"/>
      <c r="E20" s="34"/>
      <c r="F20" s="34"/>
      <c r="G20" s="34"/>
      <c r="H20" s="34"/>
      <c r="I20" s="34"/>
      <c r="J20" s="3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T10"/>
  <sheetViews>
    <sheetView topLeftCell="G1" workbookViewId="0">
      <selection activeCell="M4" sqref="M4"/>
    </sheetView>
  </sheetViews>
  <sheetFormatPr defaultColWidth="8.7109375" defaultRowHeight="15"/>
  <cols>
    <col min="1" max="1" width="30" customWidth="1"/>
    <col min="2" max="2" width="36.42578125" customWidth="1"/>
    <col min="3" max="3" width="6" customWidth="1"/>
    <col min="4" max="4" width="13.7109375" customWidth="1"/>
    <col min="5" max="5" width="5.28515625" customWidth="1"/>
    <col min="6" max="6" width="17.28515625" customWidth="1"/>
    <col min="7" max="7" width="30.28515625" customWidth="1"/>
    <col min="8" max="8" width="26.85546875" customWidth="1"/>
    <col min="9" max="9" width="17.28515625" customWidth="1"/>
    <col min="10" max="10" width="13.28515625" customWidth="1"/>
    <col min="11" max="11" width="22.7109375" customWidth="1"/>
    <col min="12" max="12" width="12.7109375" customWidth="1"/>
    <col min="13" max="13" width="29.5703125" customWidth="1"/>
    <col min="14" max="14" width="18.28515625" customWidth="1"/>
    <col min="15" max="15" width="16.28515625" customWidth="1"/>
    <col min="16" max="16" width="15.5703125" customWidth="1"/>
    <col min="17" max="17" width="17.7109375" customWidth="1"/>
    <col min="18" max="18" width="24.140625" customWidth="1"/>
    <col min="19" max="19" width="13.42578125" customWidth="1"/>
    <col min="20" max="20" width="13.5703125" customWidth="1"/>
  </cols>
  <sheetData>
    <row r="1" spans="1:20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2</v>
      </c>
      <c r="G1" s="5" t="s">
        <v>1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6</v>
      </c>
      <c r="M1" s="5" t="s">
        <v>7</v>
      </c>
      <c r="N1" s="5" t="s">
        <v>8</v>
      </c>
      <c r="O1" s="5" t="s">
        <v>9</v>
      </c>
      <c r="P1" s="5" t="s">
        <v>34</v>
      </c>
      <c r="Q1" s="5" t="s">
        <v>35</v>
      </c>
      <c r="R1" s="5" t="s">
        <v>36</v>
      </c>
      <c r="S1" s="5" t="s">
        <v>37</v>
      </c>
      <c r="T1" s="5" t="s">
        <v>38</v>
      </c>
    </row>
    <row r="2" spans="1:20">
      <c r="A2" s="5" t="s">
        <v>18</v>
      </c>
      <c r="B2" s="5" t="s">
        <v>39</v>
      </c>
      <c r="C2" s="5" t="s">
        <v>20</v>
      </c>
      <c r="D2" s="5" t="s">
        <v>40</v>
      </c>
      <c r="E2" s="5">
        <v>12</v>
      </c>
      <c r="F2" s="25" t="s">
        <v>12</v>
      </c>
      <c r="G2" s="5" t="s">
        <v>11</v>
      </c>
      <c r="H2" s="5" t="s">
        <v>19</v>
      </c>
      <c r="I2" s="5" t="s">
        <v>41</v>
      </c>
      <c r="J2" s="5" t="s">
        <v>14</v>
      </c>
      <c r="K2" s="5">
        <v>6</v>
      </c>
      <c r="L2" s="5">
        <v>1010301033</v>
      </c>
      <c r="M2" s="5" t="s">
        <v>15</v>
      </c>
      <c r="N2" s="5" t="s">
        <v>16</v>
      </c>
      <c r="O2" s="5" t="s">
        <v>17</v>
      </c>
      <c r="P2" s="5"/>
      <c r="Q2" s="5"/>
      <c r="R2" s="5"/>
      <c r="S2" s="5">
        <v>0</v>
      </c>
      <c r="T2" s="5"/>
    </row>
    <row r="3" spans="1:20">
      <c r="A3" s="5" t="s">
        <v>10</v>
      </c>
      <c r="B3" s="5" t="s">
        <v>42</v>
      </c>
      <c r="C3" s="5" t="s">
        <v>14</v>
      </c>
      <c r="D3" s="26" t="s">
        <v>43</v>
      </c>
      <c r="E3" s="5">
        <v>5</v>
      </c>
      <c r="F3" s="5" t="s">
        <v>12</v>
      </c>
      <c r="G3" s="5" t="s">
        <v>11</v>
      </c>
      <c r="H3" s="5" t="s">
        <v>13</v>
      </c>
      <c r="I3" s="5" t="s">
        <v>44</v>
      </c>
      <c r="J3" s="5" t="s">
        <v>14</v>
      </c>
      <c r="K3" s="5">
        <v>1</v>
      </c>
      <c r="L3" s="5">
        <v>1010301033</v>
      </c>
      <c r="M3" s="5" t="s">
        <v>15</v>
      </c>
      <c r="N3" s="5" t="s">
        <v>16</v>
      </c>
      <c r="O3" s="5" t="s">
        <v>17</v>
      </c>
      <c r="P3" s="5"/>
      <c r="Q3" s="5"/>
      <c r="R3" s="5"/>
      <c r="S3" s="5">
        <v>0</v>
      </c>
      <c r="T3" s="5"/>
    </row>
    <row r="4" spans="1:20">
      <c r="A4" s="5" t="s">
        <v>21</v>
      </c>
      <c r="B4" s="5" t="s">
        <v>45</v>
      </c>
      <c r="C4" s="5" t="s">
        <v>14</v>
      </c>
      <c r="D4" s="5">
        <v>123562</v>
      </c>
      <c r="E4" s="5">
        <v>18</v>
      </c>
      <c r="F4" s="5" t="s">
        <v>22</v>
      </c>
      <c r="G4" s="5" t="s">
        <v>22</v>
      </c>
      <c r="H4" s="5" t="s">
        <v>23</v>
      </c>
      <c r="I4" s="5" t="s">
        <v>44</v>
      </c>
      <c r="J4" s="5" t="s">
        <v>14</v>
      </c>
      <c r="K4" s="5">
        <v>1</v>
      </c>
      <c r="L4" s="5">
        <v>1011134888</v>
      </c>
      <c r="M4" s="5" t="s">
        <v>46</v>
      </c>
      <c r="N4" s="5" t="s">
        <v>16</v>
      </c>
      <c r="O4" s="5" t="s">
        <v>17</v>
      </c>
      <c r="P4" s="5"/>
      <c r="Q4" s="5"/>
      <c r="R4" s="5"/>
      <c r="S4" s="5">
        <v>0</v>
      </c>
      <c r="T4" s="5"/>
    </row>
    <row r="5" spans="1:20">
      <c r="A5" s="1" t="s">
        <v>47</v>
      </c>
      <c r="B5" s="1" t="s">
        <v>47</v>
      </c>
      <c r="C5" s="5" t="s">
        <v>14</v>
      </c>
      <c r="D5" s="1" t="s">
        <v>40</v>
      </c>
      <c r="E5" s="1">
        <v>12</v>
      </c>
      <c r="F5" s="1" t="s">
        <v>48</v>
      </c>
      <c r="G5" s="1" t="s">
        <v>49</v>
      </c>
      <c r="H5" s="1" t="s">
        <v>50</v>
      </c>
      <c r="I5" s="1" t="s">
        <v>44</v>
      </c>
      <c r="J5" s="1" t="s">
        <v>14</v>
      </c>
      <c r="K5" s="1">
        <v>1</v>
      </c>
      <c r="L5" s="1">
        <v>1010301001</v>
      </c>
      <c r="M5" s="1" t="s">
        <v>51</v>
      </c>
      <c r="N5" s="1" t="s">
        <v>52</v>
      </c>
      <c r="O5" s="1" t="s">
        <v>53</v>
      </c>
      <c r="P5" s="1"/>
      <c r="Q5" s="1"/>
      <c r="R5" s="1"/>
      <c r="S5" s="5">
        <v>0</v>
      </c>
      <c r="T5" s="1"/>
    </row>
    <row r="6" spans="1:20">
      <c r="A6" s="1" t="s">
        <v>54</v>
      </c>
      <c r="B6" s="1" t="s">
        <v>54</v>
      </c>
      <c r="C6" s="1" t="s">
        <v>14</v>
      </c>
      <c r="D6" s="22" t="s">
        <v>43</v>
      </c>
      <c r="E6">
        <v>5</v>
      </c>
      <c r="F6" s="27" t="s">
        <v>12</v>
      </c>
      <c r="G6" s="27" t="s">
        <v>11</v>
      </c>
      <c r="H6" s="1" t="s">
        <v>19</v>
      </c>
      <c r="I6" s="1" t="s">
        <v>44</v>
      </c>
      <c r="J6" s="1" t="s">
        <v>14</v>
      </c>
      <c r="K6" s="1">
        <v>1</v>
      </c>
      <c r="L6" s="1">
        <v>1010301033</v>
      </c>
      <c r="M6" s="1" t="s">
        <v>15</v>
      </c>
      <c r="N6" s="1" t="s">
        <v>16</v>
      </c>
      <c r="O6" s="1" t="s">
        <v>17</v>
      </c>
      <c r="P6" s="1"/>
      <c r="Q6" s="1"/>
      <c r="R6" s="1"/>
      <c r="S6" s="5">
        <v>0</v>
      </c>
      <c r="T6" s="1"/>
    </row>
    <row r="7" spans="1:20">
      <c r="A7" s="28" t="s">
        <v>55</v>
      </c>
      <c r="B7" s="28" t="s">
        <v>56</v>
      </c>
      <c r="C7" s="28" t="s">
        <v>20</v>
      </c>
      <c r="D7" s="28" t="s">
        <v>40</v>
      </c>
      <c r="E7" s="28">
        <v>12</v>
      </c>
      <c r="F7" s="29" t="s">
        <v>12</v>
      </c>
      <c r="G7" s="28" t="s">
        <v>11</v>
      </c>
      <c r="H7" s="28" t="s">
        <v>57</v>
      </c>
      <c r="I7" s="28" t="s">
        <v>41</v>
      </c>
      <c r="J7" s="28" t="s">
        <v>14</v>
      </c>
      <c r="K7" s="28">
        <v>3</v>
      </c>
      <c r="L7" s="28">
        <v>1010301003</v>
      </c>
      <c r="M7" s="28" t="s">
        <v>58</v>
      </c>
      <c r="N7" s="28" t="s">
        <v>16</v>
      </c>
      <c r="O7" s="28" t="s">
        <v>17</v>
      </c>
      <c r="P7" s="28"/>
      <c r="Q7" s="28"/>
      <c r="R7" s="28"/>
      <c r="S7" s="28">
        <v>0</v>
      </c>
      <c r="T7" s="28"/>
    </row>
    <row r="8" spans="1:20">
      <c r="A8" s="28" t="s">
        <v>59</v>
      </c>
      <c r="B8" s="28" t="s">
        <v>60</v>
      </c>
      <c r="C8" s="28" t="s">
        <v>14</v>
      </c>
      <c r="D8" s="28" t="s">
        <v>43</v>
      </c>
      <c r="E8" s="28">
        <v>5</v>
      </c>
      <c r="F8" s="29" t="s">
        <v>12</v>
      </c>
      <c r="G8" s="28" t="s">
        <v>11</v>
      </c>
      <c r="H8" s="28" t="s">
        <v>57</v>
      </c>
      <c r="I8" s="28" t="s">
        <v>41</v>
      </c>
      <c r="J8" s="28" t="s">
        <v>14</v>
      </c>
      <c r="K8" s="28">
        <v>0</v>
      </c>
      <c r="L8" s="28">
        <v>1010301003</v>
      </c>
      <c r="M8" s="28" t="s">
        <v>58</v>
      </c>
      <c r="N8" s="28" t="s">
        <v>16</v>
      </c>
      <c r="O8" s="28" t="s">
        <v>17</v>
      </c>
      <c r="P8" s="28"/>
      <c r="Q8" s="28"/>
      <c r="R8" s="28"/>
      <c r="S8" s="28">
        <v>0</v>
      </c>
      <c r="T8" s="28"/>
    </row>
    <row r="9" spans="1:20">
      <c r="A9" s="28" t="s">
        <v>61</v>
      </c>
      <c r="B9" s="28" t="s">
        <v>61</v>
      </c>
      <c r="C9" s="28" t="s">
        <v>14</v>
      </c>
      <c r="D9" s="28" t="s">
        <v>43</v>
      </c>
      <c r="E9" s="28">
        <v>5</v>
      </c>
      <c r="F9" s="29" t="s">
        <v>12</v>
      </c>
      <c r="G9" s="28" t="s">
        <v>11</v>
      </c>
      <c r="H9" s="28" t="s">
        <v>57</v>
      </c>
      <c r="I9" s="28" t="s">
        <v>41</v>
      </c>
      <c r="J9" s="28" t="s">
        <v>14</v>
      </c>
      <c r="K9" s="28">
        <v>0</v>
      </c>
      <c r="L9" s="28">
        <v>1010301003</v>
      </c>
      <c r="M9" s="28" t="s">
        <v>58</v>
      </c>
      <c r="N9" s="28" t="s">
        <v>16</v>
      </c>
      <c r="O9" s="28" t="s">
        <v>17</v>
      </c>
      <c r="P9" s="28"/>
      <c r="Q9" s="28"/>
      <c r="R9" s="28"/>
      <c r="S9" s="28">
        <v>0</v>
      </c>
      <c r="T9" s="28"/>
    </row>
    <row r="10" spans="1:20">
      <c r="A10" s="1" t="s">
        <v>62</v>
      </c>
      <c r="B10" s="1" t="s">
        <v>62</v>
      </c>
      <c r="C10" s="1" t="s">
        <v>14</v>
      </c>
      <c r="D10" s="28" t="s">
        <v>43</v>
      </c>
      <c r="E10" s="28">
        <v>5</v>
      </c>
      <c r="F10" s="5" t="s">
        <v>22</v>
      </c>
      <c r="G10" s="5" t="s">
        <v>22</v>
      </c>
      <c r="H10" s="5" t="s">
        <v>63</v>
      </c>
      <c r="I10" s="5" t="s">
        <v>44</v>
      </c>
      <c r="J10" s="5" t="s">
        <v>14</v>
      </c>
      <c r="K10" s="5">
        <v>1</v>
      </c>
      <c r="L10" s="23">
        <v>1000000001</v>
      </c>
      <c r="M10" s="1" t="s">
        <v>64</v>
      </c>
      <c r="N10" s="1" t="s">
        <v>16</v>
      </c>
      <c r="O10" s="1" t="s">
        <v>17</v>
      </c>
      <c r="P10" s="28"/>
      <c r="Q10" s="28"/>
      <c r="R10" s="28"/>
      <c r="S10" s="28">
        <v>0</v>
      </c>
      <c r="T10" s="28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"/>
  <sheetViews>
    <sheetView workbookViewId="0">
      <selection activeCell="D3" sqref="D3:G3"/>
    </sheetView>
  </sheetViews>
  <sheetFormatPr defaultColWidth="8.85546875" defaultRowHeight="15"/>
  <cols>
    <col min="1" max="2" width="21" customWidth="1"/>
    <col min="3" max="3" width="6" customWidth="1"/>
    <col min="4" max="4" width="12.7109375" customWidth="1"/>
    <col min="5" max="5" width="19.42578125" customWidth="1"/>
    <col min="6" max="6" width="15.140625" customWidth="1"/>
    <col min="7" max="7" width="15.42578125" customWidth="1"/>
    <col min="8" max="8" width="19.5703125" customWidth="1"/>
    <col min="9" max="9" width="10.85546875" customWidth="1"/>
    <col min="10" max="10" width="17.5703125" customWidth="1"/>
    <col min="11" max="11" width="11.28515625" customWidth="1"/>
    <col min="12" max="12" width="21.7109375" customWidth="1"/>
  </cols>
  <sheetData>
    <row r="1" spans="1:18">
      <c r="A1" s="1" t="s">
        <v>25</v>
      </c>
      <c r="B1" s="1" t="s">
        <v>26</v>
      </c>
      <c r="C1" s="1" t="s">
        <v>27</v>
      </c>
      <c r="D1" s="5" t="s">
        <v>6</v>
      </c>
      <c r="E1" s="5" t="s">
        <v>7</v>
      </c>
      <c r="F1" s="5" t="s">
        <v>8</v>
      </c>
      <c r="G1" s="5" t="s">
        <v>9</v>
      </c>
      <c r="H1" s="1" t="s">
        <v>30</v>
      </c>
      <c r="I1" s="1" t="s">
        <v>28</v>
      </c>
      <c r="J1" s="1" t="s">
        <v>31</v>
      </c>
      <c r="K1" s="1" t="s">
        <v>65</v>
      </c>
      <c r="L1" s="1" t="s">
        <v>33</v>
      </c>
      <c r="M1" s="24"/>
      <c r="N1" s="24"/>
      <c r="O1" s="24"/>
      <c r="P1" s="24"/>
      <c r="Q1" s="24"/>
      <c r="R1" s="24"/>
    </row>
    <row r="2" spans="1:18">
      <c r="A2" s="1" t="s">
        <v>54</v>
      </c>
      <c r="B2" s="1" t="s">
        <v>54</v>
      </c>
      <c r="C2" s="1" t="s">
        <v>14</v>
      </c>
      <c r="D2" s="1">
        <v>1010301033</v>
      </c>
      <c r="E2" s="1" t="s">
        <v>15</v>
      </c>
      <c r="F2" s="1" t="s">
        <v>16</v>
      </c>
      <c r="G2" s="1" t="s">
        <v>17</v>
      </c>
      <c r="H2" s="1" t="s">
        <v>19</v>
      </c>
      <c r="I2" s="22" t="s">
        <v>43</v>
      </c>
      <c r="J2" s="1" t="s">
        <v>44</v>
      </c>
      <c r="K2" s="1" t="s">
        <v>14</v>
      </c>
      <c r="L2" s="1">
        <v>1</v>
      </c>
      <c r="M2" s="24"/>
      <c r="N2" s="24"/>
      <c r="O2" s="24"/>
      <c r="P2" s="24"/>
      <c r="Q2" s="24"/>
      <c r="R2" s="24"/>
    </row>
    <row r="3" spans="1:18">
      <c r="A3" s="1" t="s">
        <v>62</v>
      </c>
      <c r="B3" s="1" t="s">
        <v>62</v>
      </c>
      <c r="C3" s="1" t="s">
        <v>14</v>
      </c>
      <c r="D3" s="23">
        <v>1000000001</v>
      </c>
      <c r="E3" s="1" t="s">
        <v>64</v>
      </c>
      <c r="F3" s="1" t="s">
        <v>16</v>
      </c>
      <c r="G3" s="1" t="s">
        <v>17</v>
      </c>
      <c r="H3" s="1" t="s">
        <v>23</v>
      </c>
      <c r="I3" s="22" t="s">
        <v>43</v>
      </c>
      <c r="J3" s="1" t="s">
        <v>44</v>
      </c>
      <c r="K3" s="1" t="s">
        <v>14</v>
      </c>
      <c r="L3" s="1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1" t="s">
        <v>59</v>
      </c>
      <c r="B2" s="1">
        <v>2</v>
      </c>
      <c r="C2" s="1">
        <v>70</v>
      </c>
      <c r="D2" s="1" t="s">
        <v>71</v>
      </c>
      <c r="E2" s="1"/>
      <c r="F2" s="6" t="s">
        <v>72</v>
      </c>
    </row>
    <row r="3" spans="1:6">
      <c r="A3" s="1" t="s">
        <v>61</v>
      </c>
      <c r="B3" s="1">
        <v>40</v>
      </c>
      <c r="C3" s="1">
        <v>26</v>
      </c>
      <c r="D3" s="1" t="s">
        <v>73</v>
      </c>
      <c r="E3" s="6" t="s">
        <v>74</v>
      </c>
      <c r="F3" s="6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dimension ref="A1:F4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5" t="s">
        <v>59</v>
      </c>
      <c r="B2" s="1">
        <v>2</v>
      </c>
      <c r="C2" s="1">
        <v>45</v>
      </c>
      <c r="D2" s="1" t="s">
        <v>71</v>
      </c>
      <c r="E2" s="1"/>
      <c r="F2" s="6" t="s">
        <v>75</v>
      </c>
    </row>
    <row r="3" spans="1:6">
      <c r="A3" s="5" t="s">
        <v>76</v>
      </c>
      <c r="B3" s="1">
        <v>40</v>
      </c>
      <c r="C3" s="1">
        <v>26</v>
      </c>
      <c r="D3" s="1" t="s">
        <v>77</v>
      </c>
      <c r="E3" s="6" t="s">
        <v>74</v>
      </c>
      <c r="F3" s="6">
        <v>2</v>
      </c>
    </row>
    <row r="4" spans="1:6">
      <c r="A4" s="5" t="s">
        <v>61</v>
      </c>
      <c r="B4" s="1">
        <v>50</v>
      </c>
      <c r="C4" s="1">
        <v>70</v>
      </c>
      <c r="D4" s="1" t="s">
        <v>73</v>
      </c>
      <c r="E4" s="1" t="s">
        <v>75</v>
      </c>
      <c r="F4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F15" sqref="F15"/>
    </sheetView>
  </sheetViews>
  <sheetFormatPr defaultColWidth="8.85546875" defaultRowHeight="15"/>
  <cols>
    <col min="1" max="1" width="28.7109375" customWidth="1"/>
  </cols>
  <sheetData>
    <row r="1" spans="1:3">
      <c r="A1" t="s">
        <v>78</v>
      </c>
      <c r="B1" t="s">
        <v>79</v>
      </c>
      <c r="C1" t="s">
        <v>80</v>
      </c>
    </row>
    <row r="2" spans="1:3">
      <c r="A2" t="s">
        <v>81</v>
      </c>
      <c r="B2">
        <v>100</v>
      </c>
      <c r="C2">
        <v>34</v>
      </c>
    </row>
    <row r="3" spans="1:3">
      <c r="A3" t="s">
        <v>82</v>
      </c>
      <c r="B3">
        <v>50</v>
      </c>
      <c r="C3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B2" sqref="B2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232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232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E5" sqref="E5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34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67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dimension ref="A1:S17"/>
  <sheetViews>
    <sheetView workbookViewId="0">
      <selection activeCell="D25" sqref="D25"/>
    </sheetView>
  </sheetViews>
  <sheetFormatPr defaultColWidth="8.85546875" defaultRowHeight="15"/>
  <cols>
    <col min="1" max="1" width="39.7109375" customWidth="1"/>
    <col min="2" max="2" width="10.140625" customWidth="1"/>
    <col min="3" max="3" width="39.7109375" customWidth="1"/>
    <col min="4" max="4" width="11" customWidth="1"/>
    <col min="5" max="5" width="13.28515625" customWidth="1"/>
    <col min="6" max="6" width="8.85546875" customWidth="1"/>
    <col min="7" max="7" width="17.85546875" customWidth="1"/>
    <col min="8" max="8" width="19.5703125" customWidth="1"/>
    <col min="9" max="9" width="23.7109375" customWidth="1"/>
    <col min="10" max="10" width="12.7109375" customWidth="1"/>
    <col min="11" max="11" width="11.85546875" customWidth="1"/>
    <col min="12" max="12" width="17.42578125" customWidth="1"/>
    <col min="13" max="14" width="39.7109375" customWidth="1"/>
    <col min="15" max="15" width="25.7109375" customWidth="1"/>
    <col min="16" max="17" width="16.5703125" customWidth="1"/>
    <col min="18" max="18" width="11.5703125" customWidth="1"/>
    <col min="19" max="19" width="14.85546875" customWidth="1"/>
  </cols>
  <sheetData>
    <row r="1" spans="1:19">
      <c r="A1" s="1" t="s">
        <v>91</v>
      </c>
      <c r="B1" s="1" t="s">
        <v>92</v>
      </c>
      <c r="C1" s="1" t="s">
        <v>93</v>
      </c>
      <c r="D1" s="1" t="s">
        <v>94</v>
      </c>
      <c r="E1" s="1" t="s">
        <v>28</v>
      </c>
      <c r="F1" s="1" t="s">
        <v>95</v>
      </c>
      <c r="G1" s="1" t="s">
        <v>96</v>
      </c>
      <c r="H1" s="1" t="s">
        <v>34</v>
      </c>
      <c r="I1" s="1" t="s">
        <v>97</v>
      </c>
      <c r="J1" s="1" t="s">
        <v>32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102</v>
      </c>
      <c r="P1" s="1" t="s">
        <v>103</v>
      </c>
      <c r="Q1" s="1" t="s">
        <v>1</v>
      </c>
      <c r="R1" s="1" t="s">
        <v>104</v>
      </c>
      <c r="S1" s="14" t="s">
        <v>105</v>
      </c>
    </row>
    <row r="2" spans="1:19">
      <c r="A2" s="19" t="s">
        <v>106</v>
      </c>
      <c r="B2" s="1">
        <v>0</v>
      </c>
      <c r="C2" s="19" t="s">
        <v>106</v>
      </c>
      <c r="D2" s="1" t="s">
        <v>14</v>
      </c>
      <c r="E2" s="1" t="s">
        <v>40</v>
      </c>
      <c r="F2" s="1">
        <v>12</v>
      </c>
      <c r="G2" s="1" t="s">
        <v>41</v>
      </c>
      <c r="H2" s="1"/>
      <c r="I2" s="1"/>
      <c r="J2" s="1" t="s">
        <v>14</v>
      </c>
      <c r="K2" s="1">
        <v>1</v>
      </c>
      <c r="L2" s="1" t="s">
        <v>107</v>
      </c>
      <c r="M2" s="1"/>
      <c r="N2" s="1"/>
      <c r="O2" s="6" t="s">
        <v>13</v>
      </c>
      <c r="P2" s="6" t="s">
        <v>15</v>
      </c>
      <c r="Q2" s="6" t="s">
        <v>15</v>
      </c>
      <c r="R2" s="1" t="s">
        <v>108</v>
      </c>
      <c r="S2" s="18" t="s">
        <v>109</v>
      </c>
    </row>
    <row r="3" spans="1:19">
      <c r="A3" s="19" t="s">
        <v>110</v>
      </c>
      <c r="B3" s="1">
        <v>0</v>
      </c>
      <c r="C3" s="19" t="s">
        <v>110</v>
      </c>
      <c r="D3" s="1" t="s">
        <v>14</v>
      </c>
      <c r="E3" s="19">
        <v>772213</v>
      </c>
      <c r="F3" s="1">
        <v>5</v>
      </c>
      <c r="G3" s="1" t="s">
        <v>41</v>
      </c>
      <c r="H3" s="1"/>
      <c r="I3" s="1"/>
      <c r="J3" s="1" t="s">
        <v>20</v>
      </c>
      <c r="K3" s="1">
        <v>3</v>
      </c>
      <c r="L3" s="1" t="s">
        <v>107</v>
      </c>
      <c r="M3" s="1"/>
      <c r="N3" s="1"/>
      <c r="O3" s="6" t="s">
        <v>13</v>
      </c>
      <c r="P3" s="6" t="s">
        <v>15</v>
      </c>
      <c r="Q3" s="6" t="s">
        <v>15</v>
      </c>
      <c r="R3" s="1" t="s">
        <v>108</v>
      </c>
      <c r="S3" s="18" t="s">
        <v>109</v>
      </c>
    </row>
    <row r="4" spans="1:19">
      <c r="A4" s="1" t="s">
        <v>111</v>
      </c>
      <c r="B4" s="1">
        <v>0</v>
      </c>
      <c r="C4" s="1" t="s">
        <v>111</v>
      </c>
      <c r="D4" s="14" t="s">
        <v>14</v>
      </c>
      <c r="E4" s="1" t="s">
        <v>40</v>
      </c>
      <c r="F4" s="1">
        <v>12</v>
      </c>
      <c r="G4" s="14" t="s">
        <v>112</v>
      </c>
      <c r="H4" s="1"/>
      <c r="I4" s="1"/>
      <c r="J4" s="1" t="s">
        <v>14</v>
      </c>
      <c r="K4" s="1">
        <v>1</v>
      </c>
      <c r="L4" s="1" t="s">
        <v>107</v>
      </c>
      <c r="M4" s="1" t="s">
        <v>111</v>
      </c>
      <c r="N4" s="1" t="s">
        <v>111</v>
      </c>
      <c r="O4" s="6" t="s">
        <v>13</v>
      </c>
      <c r="P4" s="6" t="s">
        <v>15</v>
      </c>
      <c r="Q4" s="6" t="s">
        <v>15</v>
      </c>
      <c r="R4" s="1" t="s">
        <v>108</v>
      </c>
      <c r="S4" s="18" t="s">
        <v>109</v>
      </c>
    </row>
    <row r="5" spans="1:19">
      <c r="A5" s="1" t="s">
        <v>113</v>
      </c>
      <c r="B5" s="14">
        <v>0</v>
      </c>
      <c r="C5" s="1" t="s">
        <v>113</v>
      </c>
      <c r="D5" s="14" t="s">
        <v>14</v>
      </c>
      <c r="E5" s="1" t="s">
        <v>40</v>
      </c>
      <c r="F5" s="1">
        <v>12</v>
      </c>
      <c r="G5" s="14" t="s">
        <v>112</v>
      </c>
      <c r="H5" s="1"/>
      <c r="I5" s="1"/>
      <c r="J5" s="14" t="s">
        <v>20</v>
      </c>
      <c r="K5" s="14">
        <v>2</v>
      </c>
      <c r="L5" s="1" t="s">
        <v>107</v>
      </c>
      <c r="M5" s="1" t="s">
        <v>113</v>
      </c>
      <c r="N5" s="1" t="s">
        <v>113</v>
      </c>
      <c r="O5" s="6" t="s">
        <v>13</v>
      </c>
      <c r="P5" s="6" t="s">
        <v>15</v>
      </c>
      <c r="Q5" s="6" t="s">
        <v>15</v>
      </c>
      <c r="R5" s="1" t="s">
        <v>108</v>
      </c>
      <c r="S5" s="18" t="s">
        <v>109</v>
      </c>
    </row>
    <row r="6" spans="1:19">
      <c r="A6" s="14" t="s">
        <v>114</v>
      </c>
      <c r="B6" s="14">
        <v>0</v>
      </c>
      <c r="C6" s="1" t="s">
        <v>114</v>
      </c>
      <c r="D6" s="14" t="s">
        <v>14</v>
      </c>
      <c r="E6" s="14" t="s">
        <v>40</v>
      </c>
      <c r="F6" s="14">
        <v>12</v>
      </c>
      <c r="G6" s="14" t="s">
        <v>115</v>
      </c>
      <c r="H6" s="14" t="s">
        <v>116</v>
      </c>
      <c r="I6" s="1"/>
      <c r="J6" s="14" t="s">
        <v>14</v>
      </c>
      <c r="K6" s="14">
        <v>1</v>
      </c>
      <c r="L6" s="1" t="s">
        <v>107</v>
      </c>
      <c r="M6" s="14" t="s">
        <v>114</v>
      </c>
      <c r="N6" s="14" t="s">
        <v>114</v>
      </c>
      <c r="O6" s="6" t="s">
        <v>13</v>
      </c>
      <c r="P6" s="6" t="s">
        <v>15</v>
      </c>
      <c r="Q6" s="6" t="s">
        <v>15</v>
      </c>
      <c r="R6" s="1" t="s">
        <v>108</v>
      </c>
      <c r="S6" s="18" t="s">
        <v>109</v>
      </c>
    </row>
    <row r="7" spans="1:19">
      <c r="A7" s="14" t="s">
        <v>117</v>
      </c>
      <c r="B7" s="14">
        <v>0</v>
      </c>
      <c r="C7" s="1" t="s">
        <v>117</v>
      </c>
      <c r="D7" s="14" t="s">
        <v>14</v>
      </c>
      <c r="E7" s="14" t="s">
        <v>40</v>
      </c>
      <c r="F7" s="14">
        <v>12</v>
      </c>
      <c r="G7" s="14" t="s">
        <v>115</v>
      </c>
      <c r="H7" s="14" t="s">
        <v>118</v>
      </c>
      <c r="I7" s="1"/>
      <c r="J7" s="14" t="s">
        <v>20</v>
      </c>
      <c r="K7" s="14">
        <v>4</v>
      </c>
      <c r="L7" s="1" t="s">
        <v>107</v>
      </c>
      <c r="M7" s="14" t="s">
        <v>117</v>
      </c>
      <c r="N7" s="14" t="s">
        <v>117</v>
      </c>
      <c r="O7" s="6" t="s">
        <v>13</v>
      </c>
      <c r="P7" s="6" t="s">
        <v>15</v>
      </c>
      <c r="Q7" s="6" t="s">
        <v>15</v>
      </c>
      <c r="R7" s="1" t="s">
        <v>108</v>
      </c>
      <c r="S7" s="18" t="s">
        <v>109</v>
      </c>
    </row>
    <row r="8" spans="1:19">
      <c r="A8" s="1" t="s">
        <v>119</v>
      </c>
      <c r="B8" s="14">
        <v>0</v>
      </c>
      <c r="C8" s="1" t="s">
        <v>119</v>
      </c>
      <c r="D8" s="14" t="s">
        <v>14</v>
      </c>
      <c r="E8" s="1" t="s">
        <v>120</v>
      </c>
      <c r="F8" s="14">
        <v>5</v>
      </c>
      <c r="G8" s="14" t="s">
        <v>121</v>
      </c>
      <c r="H8" s="1"/>
      <c r="I8" s="1">
        <v>95</v>
      </c>
      <c r="J8" s="14" t="s">
        <v>14</v>
      </c>
      <c r="K8" s="14">
        <v>1</v>
      </c>
      <c r="L8" s="1" t="s">
        <v>107</v>
      </c>
      <c r="M8" s="1" t="s">
        <v>119</v>
      </c>
      <c r="N8" s="1" t="s">
        <v>119</v>
      </c>
      <c r="O8" s="6" t="s">
        <v>13</v>
      </c>
      <c r="P8" s="6" t="s">
        <v>15</v>
      </c>
      <c r="Q8" s="6" t="s">
        <v>15</v>
      </c>
      <c r="R8" s="1" t="s">
        <v>108</v>
      </c>
      <c r="S8" s="18" t="s">
        <v>109</v>
      </c>
    </row>
    <row r="9" spans="1:19">
      <c r="A9" s="14" t="s">
        <v>122</v>
      </c>
      <c r="B9" s="14">
        <v>0</v>
      </c>
      <c r="C9" s="1" t="s">
        <v>122</v>
      </c>
      <c r="D9" s="14" t="s">
        <v>14</v>
      </c>
      <c r="E9" s="14" t="s">
        <v>40</v>
      </c>
      <c r="F9" s="14">
        <v>12</v>
      </c>
      <c r="G9" s="14" t="s">
        <v>121</v>
      </c>
      <c r="H9" s="1"/>
      <c r="I9" s="1">
        <v>97</v>
      </c>
      <c r="J9" s="14" t="s">
        <v>20</v>
      </c>
      <c r="K9" s="14">
        <v>4</v>
      </c>
      <c r="L9" s="1" t="s">
        <v>107</v>
      </c>
      <c r="M9" s="14" t="s">
        <v>122</v>
      </c>
      <c r="N9" s="14" t="s">
        <v>122</v>
      </c>
      <c r="O9" s="6" t="s">
        <v>13</v>
      </c>
      <c r="P9" s="6" t="s">
        <v>15</v>
      </c>
      <c r="Q9" s="6" t="s">
        <v>15</v>
      </c>
      <c r="R9" s="1" t="s">
        <v>108</v>
      </c>
      <c r="S9" s="18" t="s">
        <v>109</v>
      </c>
    </row>
    <row r="10" spans="1:19">
      <c r="A10" s="1" t="s">
        <v>123</v>
      </c>
      <c r="B10" s="1">
        <v>0</v>
      </c>
      <c r="C10" s="1" t="s">
        <v>123</v>
      </c>
      <c r="D10" s="1" t="s">
        <v>14</v>
      </c>
      <c r="E10" s="1" t="s">
        <v>40</v>
      </c>
      <c r="F10" s="1">
        <v>12</v>
      </c>
      <c r="G10" s="1" t="s">
        <v>124</v>
      </c>
      <c r="H10" s="1"/>
      <c r="I10" s="1"/>
      <c r="J10" s="1" t="s">
        <v>14</v>
      </c>
      <c r="K10" s="1">
        <v>1</v>
      </c>
      <c r="L10" s="1" t="s">
        <v>107</v>
      </c>
      <c r="M10" s="1" t="s">
        <v>123</v>
      </c>
      <c r="N10" s="1" t="s">
        <v>123</v>
      </c>
      <c r="O10" s="1" t="s">
        <v>13</v>
      </c>
      <c r="P10" s="1" t="s">
        <v>15</v>
      </c>
      <c r="Q10" s="1" t="s">
        <v>15</v>
      </c>
      <c r="R10" s="1" t="s">
        <v>108</v>
      </c>
      <c r="S10" s="1" t="s">
        <v>109</v>
      </c>
    </row>
    <row r="11" spans="1:19">
      <c r="A11" s="1" t="s">
        <v>125</v>
      </c>
      <c r="B11" s="1">
        <v>0</v>
      </c>
      <c r="C11" s="1" t="s">
        <v>125</v>
      </c>
      <c r="D11" s="1" t="s">
        <v>14</v>
      </c>
      <c r="E11" s="1" t="s">
        <v>40</v>
      </c>
      <c r="F11" s="1">
        <v>12</v>
      </c>
      <c r="G11" s="1" t="s">
        <v>124</v>
      </c>
      <c r="H11" s="1"/>
      <c r="I11" s="1"/>
      <c r="J11" s="1" t="s">
        <v>20</v>
      </c>
      <c r="K11" s="1">
        <v>4</v>
      </c>
      <c r="L11" s="1" t="s">
        <v>107</v>
      </c>
      <c r="M11" s="1" t="s">
        <v>125</v>
      </c>
      <c r="N11" s="1" t="s">
        <v>125</v>
      </c>
      <c r="O11" s="1" t="s">
        <v>13</v>
      </c>
      <c r="P11" s="1" t="s">
        <v>15</v>
      </c>
      <c r="Q11" s="1" t="s">
        <v>15</v>
      </c>
      <c r="R11" s="1" t="s">
        <v>108</v>
      </c>
      <c r="S11" s="1" t="s">
        <v>109</v>
      </c>
    </row>
    <row r="12" spans="1:19">
      <c r="A12" s="1" t="s">
        <v>126</v>
      </c>
      <c r="B12" s="14">
        <v>0</v>
      </c>
      <c r="C12" s="1" t="s">
        <v>126</v>
      </c>
      <c r="D12" s="1" t="s">
        <v>14</v>
      </c>
      <c r="E12" s="19">
        <v>772213</v>
      </c>
      <c r="F12" s="1">
        <v>5</v>
      </c>
      <c r="G12" s="1" t="s">
        <v>41</v>
      </c>
      <c r="H12" s="1"/>
      <c r="I12" s="1"/>
      <c r="J12" s="1" t="s">
        <v>14</v>
      </c>
      <c r="K12" s="14">
        <v>1</v>
      </c>
      <c r="L12" s="1" t="s">
        <v>107</v>
      </c>
      <c r="M12" s="1"/>
      <c r="N12" s="1"/>
      <c r="O12" s="1" t="s">
        <v>57</v>
      </c>
      <c r="P12" s="1" t="s">
        <v>127</v>
      </c>
      <c r="Q12" s="1" t="s">
        <v>127</v>
      </c>
      <c r="R12" s="1" t="s">
        <v>108</v>
      </c>
      <c r="S12" s="1" t="s">
        <v>109</v>
      </c>
    </row>
    <row r="13" spans="1:19">
      <c r="A13" s="1" t="s">
        <v>128</v>
      </c>
      <c r="B13" s="14">
        <v>0</v>
      </c>
      <c r="C13" s="1" t="s">
        <v>129</v>
      </c>
      <c r="D13" s="14" t="s">
        <v>14</v>
      </c>
      <c r="E13" s="19">
        <v>772213</v>
      </c>
      <c r="F13" s="14">
        <v>5</v>
      </c>
      <c r="G13" s="1" t="s">
        <v>41</v>
      </c>
      <c r="H13" s="1"/>
      <c r="I13" s="1"/>
      <c r="J13" s="1" t="s">
        <v>14</v>
      </c>
      <c r="K13" s="1">
        <v>1</v>
      </c>
      <c r="L13" s="1" t="s">
        <v>107</v>
      </c>
      <c r="M13" s="1"/>
      <c r="N13" s="1"/>
      <c r="O13" s="1"/>
      <c r="P13" s="1" t="s">
        <v>22</v>
      </c>
      <c r="Q13" s="1" t="s">
        <v>22</v>
      </c>
      <c r="R13" s="1" t="s">
        <v>108</v>
      </c>
      <c r="S13" s="1" t="s">
        <v>109</v>
      </c>
    </row>
    <row r="14" spans="1:19">
      <c r="A14" s="1" t="s">
        <v>130</v>
      </c>
      <c r="B14" s="14">
        <v>0</v>
      </c>
      <c r="C14" s="14" t="s">
        <v>131</v>
      </c>
      <c r="D14" s="14" t="s">
        <v>14</v>
      </c>
      <c r="E14" s="19">
        <v>772213</v>
      </c>
      <c r="F14" s="14">
        <v>5</v>
      </c>
      <c r="G14" s="1" t="s">
        <v>41</v>
      </c>
      <c r="H14" s="1"/>
      <c r="I14" s="1"/>
      <c r="J14" s="14" t="s">
        <v>14</v>
      </c>
      <c r="K14" s="14">
        <v>1</v>
      </c>
      <c r="L14" s="14" t="s">
        <v>107</v>
      </c>
      <c r="M14" s="1"/>
      <c r="N14" s="1"/>
      <c r="O14" s="1" t="s">
        <v>57</v>
      </c>
      <c r="P14" s="1" t="s">
        <v>12</v>
      </c>
      <c r="Q14" s="1" t="s">
        <v>11</v>
      </c>
      <c r="R14" s="1" t="s">
        <v>108</v>
      </c>
      <c r="S14" s="1" t="s">
        <v>132</v>
      </c>
    </row>
    <row r="15" spans="1:19">
      <c r="A15" s="1" t="s">
        <v>133</v>
      </c>
      <c r="B15" s="14">
        <v>0</v>
      </c>
      <c r="C15" s="1" t="s">
        <v>134</v>
      </c>
      <c r="D15" s="6" t="s">
        <v>14</v>
      </c>
      <c r="E15" s="21" t="s">
        <v>135</v>
      </c>
      <c r="F15" s="14">
        <v>12</v>
      </c>
      <c r="G15" s="1" t="s">
        <v>41</v>
      </c>
      <c r="H15" s="1"/>
      <c r="I15" s="1"/>
      <c r="J15" s="14" t="s">
        <v>14</v>
      </c>
      <c r="K15" s="14">
        <v>1</v>
      </c>
      <c r="L15" s="14" t="s">
        <v>107</v>
      </c>
      <c r="M15" s="1"/>
      <c r="N15" s="1"/>
      <c r="O15" s="6" t="s">
        <v>13</v>
      </c>
      <c r="P15" s="1" t="s">
        <v>12</v>
      </c>
      <c r="Q15" s="1" t="s">
        <v>11</v>
      </c>
      <c r="R15" s="1" t="s">
        <v>108</v>
      </c>
      <c r="S15" s="1" t="s">
        <v>109</v>
      </c>
    </row>
    <row r="16" spans="1:19">
      <c r="A16" s="1" t="s">
        <v>136</v>
      </c>
      <c r="B16" s="14">
        <v>0</v>
      </c>
      <c r="C16" s="1" t="s">
        <v>136</v>
      </c>
      <c r="D16" s="35" t="s">
        <v>137</v>
      </c>
      <c r="E16" s="1">
        <v>88363222</v>
      </c>
      <c r="F16" s="1">
        <v>18</v>
      </c>
      <c r="G16" s="1" t="s">
        <v>41</v>
      </c>
      <c r="H16" s="1"/>
      <c r="I16" s="1"/>
      <c r="J16" s="35" t="s">
        <v>14</v>
      </c>
      <c r="K16" s="22" t="s">
        <v>138</v>
      </c>
      <c r="L16" s="35" t="s">
        <v>107</v>
      </c>
      <c r="M16" s="1"/>
      <c r="N16" s="1"/>
      <c r="O16" s="1" t="s">
        <v>13</v>
      </c>
      <c r="P16" s="1" t="s">
        <v>15</v>
      </c>
      <c r="Q16" s="1" t="s">
        <v>15</v>
      </c>
      <c r="R16" s="1" t="s">
        <v>108</v>
      </c>
      <c r="S16" s="1" t="s">
        <v>109</v>
      </c>
    </row>
    <row r="17" spans="1:19">
      <c r="A17" s="35" t="s">
        <v>139</v>
      </c>
      <c r="B17" s="1">
        <v>0</v>
      </c>
      <c r="C17" s="35" t="s">
        <v>139</v>
      </c>
      <c r="D17" s="35" t="s">
        <v>137</v>
      </c>
      <c r="E17" s="1">
        <v>88363222</v>
      </c>
      <c r="F17" s="1">
        <v>18</v>
      </c>
      <c r="G17" s="1" t="s">
        <v>41</v>
      </c>
      <c r="H17" s="1"/>
      <c r="I17" s="1"/>
      <c r="J17" s="35" t="s">
        <v>14</v>
      </c>
      <c r="K17" s="22" t="s">
        <v>138</v>
      </c>
      <c r="L17" s="35" t="s">
        <v>107</v>
      </c>
      <c r="M17" s="1"/>
      <c r="N17" s="1"/>
      <c r="O17" s="1" t="s">
        <v>13</v>
      </c>
      <c r="P17" s="1" t="s">
        <v>15</v>
      </c>
      <c r="Q17" s="1" t="s">
        <v>15</v>
      </c>
      <c r="R17" s="1" t="s">
        <v>108</v>
      </c>
      <c r="S17" s="1" t="s">
        <v>109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selection activeCell="A6" sqref="A6:K6"/>
    </sheetView>
  </sheetViews>
  <sheetFormatPr defaultColWidth="8.85546875" defaultRowHeight="15"/>
  <cols>
    <col min="1" max="1" width="9" customWidth="1"/>
    <col min="2" max="2" width="25.7109375" customWidth="1"/>
    <col min="3" max="3" width="12.42578125" customWidth="1"/>
    <col min="4" max="4" width="16.28515625" customWidth="1"/>
    <col min="5" max="5" width="20.28515625" customWidth="1"/>
    <col min="6" max="6" width="25.7109375" customWidth="1"/>
    <col min="7" max="7" width="12.28515625" customWidth="1"/>
    <col min="8" max="8" width="14.5703125" customWidth="1"/>
    <col min="9" max="9" width="28.5703125" customWidth="1"/>
    <col min="10" max="10" width="23" customWidth="1"/>
    <col min="11" max="11" width="14.7109375" customWidth="1"/>
  </cols>
  <sheetData>
    <row r="1" spans="1:11">
      <c r="A1" s="6" t="s">
        <v>140</v>
      </c>
      <c r="B1" s="6" t="s">
        <v>141</v>
      </c>
      <c r="C1" s="6" t="s">
        <v>142</v>
      </c>
      <c r="D1" s="6" t="s">
        <v>143</v>
      </c>
      <c r="E1" s="6" t="s">
        <v>144</v>
      </c>
      <c r="F1" s="18" t="s">
        <v>145</v>
      </c>
      <c r="G1" s="18" t="s">
        <v>146</v>
      </c>
      <c r="H1" s="18" t="s">
        <v>147</v>
      </c>
      <c r="I1" s="18" t="s">
        <v>148</v>
      </c>
      <c r="J1" s="18" t="s">
        <v>149</v>
      </c>
      <c r="K1" s="18" t="s">
        <v>150</v>
      </c>
    </row>
    <row r="2" spans="1:11">
      <c r="A2" s="6" t="s">
        <v>151</v>
      </c>
      <c r="B2" s="6" t="s">
        <v>152</v>
      </c>
      <c r="C2" s="6" t="s">
        <v>153</v>
      </c>
      <c r="D2" s="6" t="s">
        <v>154</v>
      </c>
      <c r="E2" s="6" t="s">
        <v>155</v>
      </c>
      <c r="F2" s="1" t="s">
        <v>152</v>
      </c>
      <c r="G2" s="1" t="s">
        <v>156</v>
      </c>
      <c r="H2" s="1" t="s">
        <v>157</v>
      </c>
      <c r="I2" s="1" t="s">
        <v>158</v>
      </c>
      <c r="J2" s="1" t="s">
        <v>159</v>
      </c>
      <c r="K2" s="1" t="s">
        <v>160</v>
      </c>
    </row>
    <row r="3" spans="1:11">
      <c r="A3" s="19" t="s">
        <v>161</v>
      </c>
      <c r="B3" s="1" t="s">
        <v>162</v>
      </c>
      <c r="C3" s="6" t="s">
        <v>153</v>
      </c>
      <c r="D3" s="1" t="s">
        <v>163</v>
      </c>
      <c r="E3" s="1" t="s">
        <v>163</v>
      </c>
      <c r="F3" s="1" t="s">
        <v>162</v>
      </c>
      <c r="G3" s="1" t="s">
        <v>164</v>
      </c>
      <c r="H3" s="1" t="s">
        <v>164</v>
      </c>
      <c r="I3" s="1" t="s">
        <v>165</v>
      </c>
      <c r="J3" s="1" t="s">
        <v>159</v>
      </c>
      <c r="K3" s="1" t="s">
        <v>160</v>
      </c>
    </row>
    <row r="4" spans="1:11">
      <c r="A4" s="1" t="s">
        <v>166</v>
      </c>
      <c r="B4" s="1" t="s">
        <v>167</v>
      </c>
      <c r="C4" s="6" t="s">
        <v>168</v>
      </c>
      <c r="D4" s="6" t="s">
        <v>169</v>
      </c>
      <c r="E4" s="6" t="s">
        <v>169</v>
      </c>
      <c r="F4" s="1" t="s">
        <v>167</v>
      </c>
      <c r="G4" s="1" t="s">
        <v>170</v>
      </c>
      <c r="H4" s="1" t="s">
        <v>171</v>
      </c>
      <c r="I4" s="1" t="s">
        <v>172</v>
      </c>
      <c r="J4" s="1" t="s">
        <v>159</v>
      </c>
      <c r="K4" s="1" t="s">
        <v>173</v>
      </c>
    </row>
    <row r="5" spans="1:11">
      <c r="A5" s="1" t="s">
        <v>174</v>
      </c>
      <c r="B5" s="1" t="s">
        <v>175</v>
      </c>
      <c r="C5" s="6" t="s">
        <v>168</v>
      </c>
      <c r="D5" s="1" t="s">
        <v>176</v>
      </c>
      <c r="E5" s="1" t="s">
        <v>176</v>
      </c>
      <c r="F5" s="1" t="s">
        <v>175</v>
      </c>
      <c r="G5" s="1" t="s">
        <v>177</v>
      </c>
      <c r="H5" s="1" t="s">
        <v>178</v>
      </c>
      <c r="I5" s="1" t="s">
        <v>172</v>
      </c>
      <c r="J5" s="1" t="s">
        <v>159</v>
      </c>
      <c r="K5" s="1" t="s">
        <v>173</v>
      </c>
    </row>
    <row r="6" spans="1:11">
      <c r="A6" s="14" t="s">
        <v>179</v>
      </c>
      <c r="B6" s="14" t="s">
        <v>180</v>
      </c>
      <c r="C6" s="20" t="s">
        <v>168</v>
      </c>
      <c r="D6" s="20" t="s">
        <v>169</v>
      </c>
      <c r="E6" s="20" t="s">
        <v>169</v>
      </c>
      <c r="F6" s="14" t="s">
        <v>180</v>
      </c>
      <c r="G6" s="1" t="s">
        <v>181</v>
      </c>
      <c r="H6" s="1" t="s">
        <v>171</v>
      </c>
      <c r="I6" s="1" t="s">
        <v>165</v>
      </c>
      <c r="J6" s="1" t="s">
        <v>159</v>
      </c>
      <c r="K6" s="1" t="s">
        <v>160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D6" sqref="D6"/>
    </sheetView>
  </sheetViews>
  <sheetFormatPr defaultColWidth="8.85546875" defaultRowHeight="15"/>
  <cols>
    <col min="1" max="1" width="13.5703125" customWidth="1"/>
    <col min="2" max="2" width="6" customWidth="1"/>
    <col min="3" max="3" width="14.42578125" customWidth="1"/>
    <col min="4" max="4" width="18.140625" customWidth="1"/>
    <col min="5" max="5" width="19.5703125" customWidth="1"/>
  </cols>
  <sheetData>
    <row r="1" spans="1:5">
      <c r="A1" s="6" t="s">
        <v>182</v>
      </c>
      <c r="B1" s="1" t="s">
        <v>183</v>
      </c>
      <c r="C1" s="1" t="s">
        <v>184</v>
      </c>
      <c r="D1" s="1" t="s">
        <v>185</v>
      </c>
      <c r="E1" s="1" t="s">
        <v>186</v>
      </c>
    </row>
    <row r="2" spans="1:5" ht="30">
      <c r="A2" s="6" t="s">
        <v>187</v>
      </c>
      <c r="B2" s="6" t="s">
        <v>188</v>
      </c>
      <c r="C2" s="16" t="s">
        <v>151</v>
      </c>
      <c r="D2" s="17" t="s">
        <v>152</v>
      </c>
      <c r="E2" s="6" t="s">
        <v>189</v>
      </c>
    </row>
    <row r="3" spans="1:5">
      <c r="A3" s="1" t="s">
        <v>190</v>
      </c>
      <c r="B3" s="1" t="s">
        <v>191</v>
      </c>
      <c r="C3" s="1" t="s">
        <v>192</v>
      </c>
      <c r="D3" s="1" t="s">
        <v>193</v>
      </c>
      <c r="E3" s="1" t="s">
        <v>194</v>
      </c>
    </row>
    <row r="4" spans="1:5">
      <c r="A4" s="1" t="s">
        <v>195</v>
      </c>
      <c r="B4" s="1" t="s">
        <v>196</v>
      </c>
      <c r="C4" s="1" t="s">
        <v>197</v>
      </c>
      <c r="D4" s="1" t="s">
        <v>198</v>
      </c>
      <c r="E4" s="1" t="s">
        <v>199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14"/>
  <sheetViews>
    <sheetView workbookViewId="0">
      <selection activeCell="A16" sqref="A16"/>
    </sheetView>
  </sheetViews>
  <sheetFormatPr defaultColWidth="8.85546875" defaultRowHeight="15"/>
  <cols>
    <col min="1" max="1" width="25.7109375" customWidth="1"/>
    <col min="2" max="2" width="8.85546875" customWidth="1"/>
    <col min="3" max="3" width="12.28515625" customWidth="1"/>
    <col min="4" max="4" width="7.140625" customWidth="1"/>
    <col min="5" max="5" width="5.28515625" customWidth="1"/>
    <col min="6" max="6" width="17.42578125" customWidth="1"/>
    <col min="7" max="7" width="12.42578125" customWidth="1"/>
  </cols>
  <sheetData>
    <row r="1" spans="1:7">
      <c r="A1" s="12" t="s">
        <v>200</v>
      </c>
      <c r="B1" s="12" t="s">
        <v>201</v>
      </c>
      <c r="C1" s="13" t="s">
        <v>202</v>
      </c>
      <c r="D1" s="13" t="s">
        <v>203</v>
      </c>
      <c r="E1" s="13" t="s">
        <v>204</v>
      </c>
      <c r="F1" s="12" t="s">
        <v>205</v>
      </c>
      <c r="G1" s="12" t="s">
        <v>206</v>
      </c>
    </row>
    <row r="2" spans="1:7">
      <c r="A2" s="14" t="s">
        <v>167</v>
      </c>
      <c r="B2" s="14" t="s">
        <v>207</v>
      </c>
      <c r="C2" s="15" t="s">
        <v>208</v>
      </c>
      <c r="D2" s="15" t="s">
        <v>187</v>
      </c>
      <c r="E2" s="15" t="s">
        <v>188</v>
      </c>
      <c r="F2" s="14" t="s">
        <v>169</v>
      </c>
      <c r="G2" s="14" t="s">
        <v>168</v>
      </c>
    </row>
    <row r="3" spans="1:7">
      <c r="A3" s="14" t="s">
        <v>162</v>
      </c>
      <c r="B3" s="14" t="s">
        <v>209</v>
      </c>
      <c r="C3" s="15" t="s">
        <v>208</v>
      </c>
      <c r="D3" s="15" t="s">
        <v>187</v>
      </c>
      <c r="E3" s="15" t="s">
        <v>188</v>
      </c>
      <c r="F3" s="14" t="s">
        <v>163</v>
      </c>
      <c r="G3" s="14" t="s">
        <v>153</v>
      </c>
    </row>
    <row r="4" spans="1:7">
      <c r="A4" s="14" t="s">
        <v>210</v>
      </c>
      <c r="B4" s="14" t="s">
        <v>207</v>
      </c>
      <c r="C4" s="15" t="s">
        <v>208</v>
      </c>
      <c r="D4" s="15" t="s">
        <v>187</v>
      </c>
      <c r="E4" s="15" t="s">
        <v>188</v>
      </c>
      <c r="F4" s="14" t="s">
        <v>169</v>
      </c>
      <c r="G4" s="14" t="s">
        <v>168</v>
      </c>
    </row>
    <row r="5" spans="1:7">
      <c r="A5" s="14" t="s">
        <v>152</v>
      </c>
      <c r="B5" s="14" t="s">
        <v>207</v>
      </c>
      <c r="C5" s="15" t="s">
        <v>208</v>
      </c>
      <c r="D5" s="15" t="s">
        <v>187</v>
      </c>
      <c r="E5" s="15" t="s">
        <v>188</v>
      </c>
      <c r="F5" s="14" t="s">
        <v>154</v>
      </c>
      <c r="G5" s="14" t="s">
        <v>153</v>
      </c>
    </row>
    <row r="6" spans="1:7">
      <c r="A6" s="14" t="s">
        <v>211</v>
      </c>
      <c r="B6" s="14" t="s">
        <v>207</v>
      </c>
      <c r="C6" s="15" t="s">
        <v>208</v>
      </c>
      <c r="D6" s="15" t="s">
        <v>187</v>
      </c>
      <c r="E6" s="15" t="s">
        <v>188</v>
      </c>
      <c r="F6" s="14" t="s">
        <v>154</v>
      </c>
      <c r="G6" s="14" t="s">
        <v>168</v>
      </c>
    </row>
    <row r="7" spans="1:7">
      <c r="A7" s="14" t="s">
        <v>212</v>
      </c>
      <c r="B7" s="14" t="s">
        <v>207</v>
      </c>
      <c r="C7" s="15" t="s">
        <v>208</v>
      </c>
      <c r="D7" s="15" t="s">
        <v>187</v>
      </c>
      <c r="E7" s="15" t="s">
        <v>188</v>
      </c>
      <c r="F7" s="14" t="s">
        <v>154</v>
      </c>
      <c r="G7" s="14" t="s">
        <v>168</v>
      </c>
    </row>
    <row r="8" spans="1:7">
      <c r="A8" s="14" t="s">
        <v>175</v>
      </c>
      <c r="B8" s="14" t="s">
        <v>207</v>
      </c>
      <c r="C8" s="15" t="s">
        <v>208</v>
      </c>
      <c r="D8" s="15" t="s">
        <v>187</v>
      </c>
      <c r="E8" s="15" t="s">
        <v>188</v>
      </c>
      <c r="F8" s="14" t="s">
        <v>176</v>
      </c>
      <c r="G8" s="14" t="s">
        <v>168</v>
      </c>
    </row>
    <row r="9" spans="1:7">
      <c r="A9" s="14" t="s">
        <v>213</v>
      </c>
      <c r="B9" s="14" t="s">
        <v>207</v>
      </c>
      <c r="C9" s="15" t="s">
        <v>214</v>
      </c>
      <c r="D9" s="15" t="s">
        <v>187</v>
      </c>
      <c r="E9" s="15" t="s">
        <v>188</v>
      </c>
      <c r="F9" s="14" t="s">
        <v>169</v>
      </c>
      <c r="G9" s="14" t="s">
        <v>168</v>
      </c>
    </row>
    <row r="10" spans="1:7">
      <c r="A10" s="14" t="s">
        <v>215</v>
      </c>
      <c r="B10" s="14" t="s">
        <v>207</v>
      </c>
      <c r="C10" s="15" t="s">
        <v>216</v>
      </c>
      <c r="D10" s="15" t="s">
        <v>187</v>
      </c>
      <c r="E10" s="15" t="s">
        <v>188</v>
      </c>
      <c r="F10" s="14" t="s">
        <v>169</v>
      </c>
      <c r="G10" s="14" t="s">
        <v>168</v>
      </c>
    </row>
    <row r="11" spans="1:7">
      <c r="A11" s="14" t="s">
        <v>217</v>
      </c>
      <c r="B11" s="14" t="s">
        <v>207</v>
      </c>
      <c r="C11" s="15" t="s">
        <v>218</v>
      </c>
      <c r="D11" s="15" t="s">
        <v>187</v>
      </c>
      <c r="E11" s="15" t="s">
        <v>188</v>
      </c>
      <c r="F11" s="14" t="s">
        <v>169</v>
      </c>
      <c r="G11" s="14" t="s">
        <v>168</v>
      </c>
    </row>
    <row r="12" spans="1:7">
      <c r="A12" s="1" t="s">
        <v>219</v>
      </c>
      <c r="B12" s="1" t="s">
        <v>207</v>
      </c>
      <c r="C12" s="1" t="s">
        <v>220</v>
      </c>
      <c r="D12" s="1" t="s">
        <v>187</v>
      </c>
      <c r="E12" s="1" t="s">
        <v>188</v>
      </c>
      <c r="F12" s="1" t="s">
        <v>169</v>
      </c>
      <c r="G12" s="1" t="s">
        <v>168</v>
      </c>
    </row>
    <row r="13" spans="1:7">
      <c r="A13" s="1" t="s">
        <v>221</v>
      </c>
      <c r="B13" s="1" t="s">
        <v>207</v>
      </c>
      <c r="C13" s="1" t="s">
        <v>208</v>
      </c>
      <c r="D13" s="1" t="s">
        <v>222</v>
      </c>
      <c r="E13" s="1" t="s">
        <v>223</v>
      </c>
      <c r="F13" s="1" t="s">
        <v>169</v>
      </c>
      <c r="G13" s="1" t="s">
        <v>168</v>
      </c>
    </row>
    <row r="14" spans="1:7">
      <c r="A14" s="1" t="s">
        <v>224</v>
      </c>
      <c r="B14" s="1" t="s">
        <v>209</v>
      </c>
      <c r="C14" s="1" t="s">
        <v>208</v>
      </c>
      <c r="D14" s="1" t="s">
        <v>222</v>
      </c>
      <c r="E14" s="1" t="s">
        <v>223</v>
      </c>
      <c r="F14" s="1" t="s">
        <v>163</v>
      </c>
      <c r="G14" s="1" t="s">
        <v>153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A8" sqref="A8"/>
    </sheetView>
  </sheetViews>
  <sheetFormatPr defaultColWidth="8.85546875" defaultRowHeight="15"/>
  <cols>
    <col min="1" max="1" width="25.5703125" customWidth="1"/>
    <col min="2" max="2" width="15.140625" customWidth="1"/>
    <col min="3" max="3" width="16.42578125" customWidth="1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227</v>
      </c>
      <c r="B2" s="1" t="s">
        <v>228</v>
      </c>
      <c r="C2" s="1">
        <v>2</v>
      </c>
    </row>
    <row r="3" spans="1:3">
      <c r="A3" s="1" t="s">
        <v>229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E9" sqref="E9"/>
    </sheetView>
  </sheetViews>
  <sheetFormatPr defaultColWidth="8.85546875" defaultRowHeight="15"/>
  <cols>
    <col min="1" max="1" width="24.85546875" bestFit="1" customWidth="1"/>
    <col min="2" max="2" width="11.5703125" customWidth="1"/>
    <col min="3" max="3" width="9" customWidth="1"/>
    <col min="4" max="4" width="19.28515625" bestFit="1" customWidth="1"/>
    <col min="5" max="5" width="19.28515625" customWidth="1"/>
    <col min="6" max="6" width="12.28515625" bestFit="1" customWidth="1"/>
  </cols>
  <sheetData>
    <row r="1" spans="1:6">
      <c r="A1" s="2" t="s">
        <v>225</v>
      </c>
      <c r="B1" s="2" t="s">
        <v>226</v>
      </c>
      <c r="C1" s="2" t="s">
        <v>84</v>
      </c>
      <c r="D1" s="36" t="s">
        <v>250</v>
      </c>
      <c r="E1" s="36" t="s">
        <v>246</v>
      </c>
      <c r="F1" s="36" t="s">
        <v>247</v>
      </c>
    </row>
    <row r="2" spans="1:6">
      <c r="A2" s="1" t="s">
        <v>244</v>
      </c>
      <c r="B2" s="1" t="s">
        <v>228</v>
      </c>
      <c r="C2" s="1">
        <v>10</v>
      </c>
      <c r="D2" t="s">
        <v>249</v>
      </c>
      <c r="E2" t="s">
        <v>251</v>
      </c>
      <c r="F2">
        <f>ROUND(C2*E2,2)</f>
        <v>847.48</v>
      </c>
    </row>
    <row r="3" spans="1:6">
      <c r="A3" s="1" t="s">
        <v>114</v>
      </c>
      <c r="B3" s="1" t="s">
        <v>245</v>
      </c>
      <c r="C3" s="1">
        <v>12</v>
      </c>
      <c r="D3" t="s">
        <v>252</v>
      </c>
      <c r="E3" t="s">
        <v>248</v>
      </c>
      <c r="F3">
        <f>ROUND(C3*E3,2)</f>
        <v>159.26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B16" sqref="B16"/>
    </sheetView>
  </sheetViews>
  <sheetFormatPr defaultColWidth="8.85546875" defaultRowHeight="15"/>
  <cols>
    <col min="1" max="1" width="21.42578125" customWidth="1"/>
    <col min="2" max="2" width="11.5703125" customWidth="1"/>
    <col min="3" max="3" width="9" customWidth="1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230</v>
      </c>
      <c r="B2" s="1" t="s">
        <v>228</v>
      </c>
      <c r="C2" s="1">
        <v>2</v>
      </c>
    </row>
    <row r="3" spans="1:3">
      <c r="A3" s="1" t="s">
        <v>231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J18" sqref="J18"/>
    </sheetView>
  </sheetViews>
  <sheetFormatPr defaultColWidth="8.7109375" defaultRowHeight="15"/>
  <cols>
    <col min="1" max="1" width="20.42578125" customWidth="1"/>
  </cols>
  <sheetData>
    <row r="1" spans="1:2">
      <c r="A1" s="8" t="s">
        <v>232</v>
      </c>
      <c r="B1" s="8" t="s">
        <v>84</v>
      </c>
    </row>
    <row r="2" spans="1:2">
      <c r="A2" s="8" t="s">
        <v>233</v>
      </c>
      <c r="B2" s="8">
        <v>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3"/>
  <sheetViews>
    <sheetView workbookViewId="0">
      <selection activeCell="F12" sqref="F12"/>
    </sheetView>
  </sheetViews>
  <sheetFormatPr defaultColWidth="8.7109375" defaultRowHeight="15"/>
  <sheetData>
    <row r="1" spans="1:7">
      <c r="A1" s="7" t="s">
        <v>234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10" t="s">
        <v>235</v>
      </c>
      <c r="B2" s="7">
        <v>22</v>
      </c>
      <c r="C2" s="7">
        <v>524</v>
      </c>
      <c r="D2" s="7">
        <v>2</v>
      </c>
      <c r="E2" s="10" t="s">
        <v>73</v>
      </c>
      <c r="F2" s="10" t="s">
        <v>74</v>
      </c>
      <c r="G2" s="10" t="s">
        <v>87</v>
      </c>
    </row>
    <row r="3" spans="1:7">
      <c r="A3" s="10" t="s">
        <v>236</v>
      </c>
      <c r="B3" s="7">
        <v>34</v>
      </c>
      <c r="C3" s="7">
        <v>232</v>
      </c>
      <c r="D3" s="7">
        <v>7.9</v>
      </c>
      <c r="E3" s="10" t="s">
        <v>73</v>
      </c>
      <c r="F3" s="10" t="s">
        <v>89</v>
      </c>
      <c r="G3" s="11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G9" sqref="G9"/>
    </sheetView>
  </sheetViews>
  <sheetFormatPr defaultColWidth="8.7109375" defaultRowHeight="15"/>
  <sheetData>
    <row r="1" spans="1:3">
      <c r="A1" s="7" t="s">
        <v>234</v>
      </c>
      <c r="B1" s="7" t="s">
        <v>84</v>
      </c>
      <c r="C1" s="7" t="s">
        <v>80</v>
      </c>
    </row>
    <row r="2" spans="1:3">
      <c r="A2" s="9" t="s">
        <v>237</v>
      </c>
      <c r="B2" s="7">
        <v>22</v>
      </c>
      <c r="C2" s="7">
        <v>524</v>
      </c>
    </row>
    <row r="3" spans="1:3">
      <c r="A3" s="9" t="s">
        <v>238</v>
      </c>
      <c r="B3" s="7">
        <v>40</v>
      </c>
      <c r="C3" s="7">
        <v>450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E6" sqref="E6"/>
    </sheetView>
  </sheetViews>
  <sheetFormatPr defaultColWidth="8.7109375" defaultRowHeight="15"/>
  <sheetData>
    <row r="1" spans="1:2">
      <c r="A1" s="8" t="s">
        <v>239</v>
      </c>
      <c r="B1" s="8" t="s">
        <v>84</v>
      </c>
    </row>
    <row r="2" spans="1:2">
      <c r="A2" s="8" t="s">
        <v>240</v>
      </c>
      <c r="B2" s="8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E10" sqref="E10"/>
    </sheetView>
  </sheetViews>
  <sheetFormatPr defaultColWidth="8.7109375" defaultRowHeight="15"/>
  <sheetData>
    <row r="1" spans="1:3">
      <c r="A1" t="s">
        <v>234</v>
      </c>
      <c r="B1" s="7" t="s">
        <v>84</v>
      </c>
      <c r="C1" s="7" t="s">
        <v>80</v>
      </c>
    </row>
    <row r="2" spans="1:3">
      <c r="A2" t="s">
        <v>241</v>
      </c>
      <c r="B2">
        <v>23</v>
      </c>
    </row>
    <row r="3" spans="1:3">
      <c r="A3" t="s">
        <v>242</v>
      </c>
      <c r="B3">
        <v>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>
  <dimension ref="A1:W5"/>
  <sheetViews>
    <sheetView workbookViewId="0">
      <selection activeCell="D16" sqref="D16"/>
    </sheetView>
  </sheetViews>
  <sheetFormatPr defaultRowHeight="15"/>
  <cols>
    <col min="1" max="1" width="4.85546875" bestFit="1" customWidth="1"/>
    <col min="2" max="2" width="22.140625" bestFit="1" customWidth="1"/>
    <col min="3" max="3" width="22.140625" customWidth="1"/>
    <col min="4" max="4" width="28.7109375" bestFit="1" customWidth="1"/>
    <col min="5" max="5" width="28.7109375" customWidth="1"/>
    <col min="6" max="6" width="9.28515625" bestFit="1" customWidth="1"/>
    <col min="7" max="7" width="28.7109375" bestFit="1" customWidth="1"/>
    <col min="8" max="8" width="18.42578125" bestFit="1" customWidth="1"/>
    <col min="9" max="9" width="13.5703125" bestFit="1" customWidth="1"/>
    <col min="10" max="10" width="13.140625" bestFit="1" customWidth="1"/>
    <col min="11" max="11" width="8.285156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22" max="22" width="17.42578125" bestFit="1" customWidth="1"/>
    <col min="23" max="23" width="14.140625" bestFit="1" customWidth="1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>
        <v>285</v>
      </c>
      <c r="C2" s="1" t="s">
        <v>283</v>
      </c>
      <c r="D2" t="s">
        <v>284</v>
      </c>
      <c r="E2" s="1" t="s">
        <v>282</v>
      </c>
      <c r="F2" t="s">
        <v>274</v>
      </c>
      <c r="G2" s="39" t="s">
        <v>17</v>
      </c>
      <c r="H2" s="22" t="s">
        <v>286</v>
      </c>
      <c r="I2">
        <v>2000</v>
      </c>
      <c r="J2" t="s">
        <v>276</v>
      </c>
      <c r="K2" t="s">
        <v>207</v>
      </c>
      <c r="L2">
        <v>1</v>
      </c>
    </row>
    <row r="3" spans="1:23">
      <c r="A3" s="1">
        <v>2</v>
      </c>
      <c r="B3" t="s">
        <v>285</v>
      </c>
      <c r="C3" s="1" t="s">
        <v>283</v>
      </c>
      <c r="D3" t="s">
        <v>284</v>
      </c>
      <c r="E3" s="1" t="s">
        <v>282</v>
      </c>
      <c r="F3" t="s">
        <v>274</v>
      </c>
      <c r="G3" s="39" t="s">
        <v>17</v>
      </c>
      <c r="H3" s="22" t="s">
        <v>286</v>
      </c>
      <c r="I3">
        <v>2000</v>
      </c>
      <c r="J3" t="s">
        <v>276</v>
      </c>
      <c r="K3" t="s">
        <v>207</v>
      </c>
      <c r="L3">
        <v>1</v>
      </c>
    </row>
    <row r="4" spans="1:23">
      <c r="A4" s="1">
        <v>3</v>
      </c>
      <c r="B4" s="39" t="s">
        <v>243</v>
      </c>
      <c r="C4" s="1" t="s">
        <v>280</v>
      </c>
      <c r="D4" s="1" t="s">
        <v>243</v>
      </c>
      <c r="E4" s="1" t="s">
        <v>281</v>
      </c>
      <c r="F4" s="1" t="s">
        <v>274</v>
      </c>
      <c r="G4" s="39" t="s">
        <v>17</v>
      </c>
      <c r="H4" s="22" t="s">
        <v>275</v>
      </c>
      <c r="I4" s="1">
        <v>1000</v>
      </c>
      <c r="J4" s="1" t="s">
        <v>276</v>
      </c>
      <c r="K4" s="1" t="s">
        <v>207</v>
      </c>
      <c r="L4" s="38">
        <v>1</v>
      </c>
      <c r="M4" s="38">
        <f>I4*L4</f>
        <v>1000</v>
      </c>
      <c r="N4" s="38">
        <f>I4</f>
        <v>1000</v>
      </c>
      <c r="O4" s="1"/>
      <c r="P4" s="1"/>
      <c r="Q4" s="1">
        <f>M4</f>
        <v>1000</v>
      </c>
      <c r="R4" s="1"/>
      <c r="S4" s="1"/>
      <c r="T4" s="1"/>
      <c r="U4" s="1"/>
      <c r="V4" s="1"/>
      <c r="W4" s="1"/>
    </row>
    <row r="5" spans="1:23">
      <c r="A5" s="1">
        <v>4</v>
      </c>
      <c r="B5" s="39" t="s">
        <v>243</v>
      </c>
      <c r="C5" s="1" t="s">
        <v>280</v>
      </c>
      <c r="D5" s="1" t="s">
        <v>243</v>
      </c>
      <c r="E5" s="1" t="s">
        <v>281</v>
      </c>
      <c r="F5" s="1" t="s">
        <v>274</v>
      </c>
      <c r="G5" s="39" t="s">
        <v>17</v>
      </c>
      <c r="H5" s="22" t="s">
        <v>275</v>
      </c>
      <c r="I5" s="1">
        <v>1000</v>
      </c>
      <c r="J5" s="1" t="s">
        <v>276</v>
      </c>
      <c r="K5" s="1" t="s">
        <v>207</v>
      </c>
      <c r="L5" s="38">
        <v>1</v>
      </c>
      <c r="M5" s="38">
        <f>I5*L5</f>
        <v>1000</v>
      </c>
      <c r="N5" s="38">
        <f>I5</f>
        <v>1000</v>
      </c>
      <c r="O5" s="1"/>
      <c r="P5" s="1"/>
      <c r="Q5" s="1">
        <f>M5</f>
        <v>1000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W3"/>
  <sheetViews>
    <sheetView workbookViewId="0">
      <selection activeCell="E3" sqref="E3"/>
    </sheetView>
  </sheetViews>
  <sheetFormatPr defaultRowHeight="15"/>
  <cols>
    <col min="1" max="1" width="4.85546875" bestFit="1" customWidth="1"/>
    <col min="2" max="2" width="22.140625" bestFit="1" customWidth="1"/>
    <col min="3" max="3" width="22.140625" customWidth="1"/>
    <col min="4" max="4" width="28.7109375" bestFit="1" customWidth="1"/>
    <col min="5" max="5" width="28.7109375" customWidth="1"/>
    <col min="6" max="6" width="9.28515625" bestFit="1" customWidth="1"/>
    <col min="7" max="7" width="28.7109375" bestFit="1" customWidth="1"/>
    <col min="8" max="8" width="18.42578125" bestFit="1" customWidth="1"/>
    <col min="9" max="9" width="13.5703125" bestFit="1" customWidth="1"/>
    <col min="10" max="10" width="13.140625" bestFit="1" customWidth="1"/>
    <col min="11" max="11" width="8.285156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22" max="22" width="17.42578125" bestFit="1" customWidth="1"/>
    <col min="23" max="23" width="14.140625" bestFit="1" customWidth="1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>
        <v>285</v>
      </c>
      <c r="C2" s="1" t="s">
        <v>283</v>
      </c>
      <c r="D2" t="s">
        <v>284</v>
      </c>
      <c r="E2" s="1" t="s">
        <v>289</v>
      </c>
      <c r="F2" t="s">
        <v>274</v>
      </c>
      <c r="G2" s="39" t="s">
        <v>17</v>
      </c>
      <c r="H2" s="22" t="s">
        <v>286</v>
      </c>
      <c r="I2">
        <v>2000</v>
      </c>
      <c r="J2" t="s">
        <v>276</v>
      </c>
      <c r="K2" t="s">
        <v>207</v>
      </c>
      <c r="L2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288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W3"/>
  <sheetViews>
    <sheetView workbookViewId="0">
      <selection activeCell="E11" sqref="E11"/>
    </sheetView>
  </sheetViews>
  <sheetFormatPr defaultRowHeight="15"/>
  <cols>
    <col min="1" max="1" width="4.85546875" bestFit="1" customWidth="1"/>
    <col min="2" max="2" width="22.140625" bestFit="1" customWidth="1"/>
    <col min="3" max="3" width="22.140625" customWidth="1"/>
    <col min="4" max="4" width="28.7109375" bestFit="1" customWidth="1"/>
    <col min="5" max="5" width="28.7109375" customWidth="1"/>
    <col min="6" max="6" width="9.28515625" bestFit="1" customWidth="1"/>
    <col min="7" max="7" width="28.7109375" bestFit="1" customWidth="1"/>
    <col min="8" max="8" width="18.42578125" bestFit="1" customWidth="1"/>
    <col min="9" max="9" width="13.5703125" bestFit="1" customWidth="1"/>
    <col min="10" max="10" width="13.140625" bestFit="1" customWidth="1"/>
    <col min="11" max="11" width="8.285156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22" max="22" width="17.42578125" bestFit="1" customWidth="1"/>
    <col min="23" max="23" width="14.140625" bestFit="1" customWidth="1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>
        <v>285</v>
      </c>
      <c r="C2" s="1" t="s">
        <v>283</v>
      </c>
      <c r="D2" t="s">
        <v>284</v>
      </c>
      <c r="E2" s="1" t="s">
        <v>282</v>
      </c>
      <c r="F2" t="s">
        <v>274</v>
      </c>
      <c r="G2" s="39" t="s">
        <v>17</v>
      </c>
      <c r="H2" s="22" t="s">
        <v>286</v>
      </c>
      <c r="I2">
        <v>2000</v>
      </c>
      <c r="J2" t="s">
        <v>276</v>
      </c>
      <c r="K2" t="s">
        <v>207</v>
      </c>
      <c r="L2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281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U3"/>
  <sheetViews>
    <sheetView workbookViewId="0">
      <selection activeCell="E9" sqref="E9"/>
    </sheetView>
  </sheetViews>
  <sheetFormatPr defaultRowHeight="15"/>
  <cols>
    <col min="1" max="1" width="4.85546875" bestFit="1" customWidth="1"/>
    <col min="2" max="2" width="22.140625" bestFit="1" customWidth="1"/>
    <col min="3" max="3" width="28.7109375" bestFit="1" customWidth="1"/>
    <col min="4" max="4" width="9.28515625" bestFit="1" customWidth="1"/>
    <col min="5" max="5" width="28.7109375" bestFit="1" customWidth="1"/>
    <col min="6" max="6" width="18.42578125" bestFit="1" customWidth="1"/>
    <col min="7" max="7" width="13.5703125" bestFit="1" customWidth="1"/>
    <col min="8" max="8" width="13.140625" bestFit="1" customWidth="1"/>
    <col min="9" max="9" width="8.285156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</cols>
  <sheetData>
    <row r="1" spans="1:21">
      <c r="A1" s="37" t="s">
        <v>253</v>
      </c>
      <c r="B1" s="37" t="s">
        <v>254</v>
      </c>
      <c r="C1" s="37" t="s">
        <v>255</v>
      </c>
      <c r="D1" s="37" t="s">
        <v>256</v>
      </c>
      <c r="E1" s="37" t="s">
        <v>257</v>
      </c>
      <c r="F1" s="37" t="s">
        <v>259</v>
      </c>
      <c r="G1" s="37" t="s">
        <v>258</v>
      </c>
      <c r="H1" s="37" t="s">
        <v>260</v>
      </c>
      <c r="I1" s="37" t="s">
        <v>261</v>
      </c>
      <c r="J1" s="37" t="s">
        <v>262</v>
      </c>
      <c r="K1" s="37" t="s">
        <v>273</v>
      </c>
      <c r="L1" s="37" t="s">
        <v>263</v>
      </c>
      <c r="M1" s="37" t="s">
        <v>264</v>
      </c>
      <c r="N1" s="37" t="s">
        <v>265</v>
      </c>
      <c r="O1" s="37" t="s">
        <v>266</v>
      </c>
      <c r="P1" s="37" t="s">
        <v>267</v>
      </c>
      <c r="Q1" s="37" t="s">
        <v>268</v>
      </c>
      <c r="R1" s="37" t="s">
        <v>269</v>
      </c>
      <c r="S1" s="37" t="s">
        <v>270</v>
      </c>
      <c r="T1" s="37" t="s">
        <v>271</v>
      </c>
      <c r="U1" s="37" t="s">
        <v>272</v>
      </c>
    </row>
    <row r="2" spans="1:21">
      <c r="A2" s="1">
        <v>1</v>
      </c>
      <c r="B2" s="39" t="s">
        <v>243</v>
      </c>
      <c r="C2" s="1" t="s">
        <v>243</v>
      </c>
      <c r="D2" s="1" t="s">
        <v>274</v>
      </c>
      <c r="E2" s="39" t="s">
        <v>17</v>
      </c>
      <c r="F2" s="22" t="s">
        <v>275</v>
      </c>
      <c r="G2" s="1">
        <v>1000</v>
      </c>
      <c r="H2" s="1" t="s">
        <v>276</v>
      </c>
      <c r="I2" s="1" t="s">
        <v>207</v>
      </c>
      <c r="J2" s="38">
        <v>1</v>
      </c>
      <c r="K2" s="38">
        <f>G2*J2</f>
        <v>1000</v>
      </c>
      <c r="L2" s="38">
        <f>G2</f>
        <v>1000</v>
      </c>
      <c r="M2" s="1"/>
      <c r="N2" s="1"/>
      <c r="O2" s="1">
        <f>K2</f>
        <v>1000</v>
      </c>
      <c r="P2" s="1"/>
      <c r="Q2" s="1"/>
      <c r="R2" s="1"/>
      <c r="S2" s="1"/>
      <c r="T2" s="1"/>
      <c r="U2" s="1"/>
    </row>
    <row r="3" spans="1:21">
      <c r="A3" s="1">
        <v>2</v>
      </c>
      <c r="B3" t="s">
        <v>285</v>
      </c>
      <c r="C3" s="1" t="s">
        <v>284</v>
      </c>
      <c r="D3" s="1" t="s">
        <v>274</v>
      </c>
      <c r="E3" s="39" t="s">
        <v>17</v>
      </c>
      <c r="F3" s="22" t="s">
        <v>290</v>
      </c>
      <c r="G3" s="1">
        <v>1000</v>
      </c>
      <c r="H3" s="1" t="s">
        <v>276</v>
      </c>
      <c r="I3" s="1" t="s">
        <v>207</v>
      </c>
      <c r="J3" s="38">
        <v>1</v>
      </c>
      <c r="K3" s="38">
        <f>G3*J3</f>
        <v>1000</v>
      </c>
      <c r="L3" s="38">
        <f>G3</f>
        <v>1000</v>
      </c>
      <c r="M3" s="1"/>
      <c r="N3" s="1"/>
      <c r="O3" s="1">
        <f>K3</f>
        <v>1000</v>
      </c>
      <c r="P3" s="1"/>
      <c r="Q3" s="1"/>
      <c r="R3" s="1"/>
      <c r="S3" s="1"/>
      <c r="T3" s="1"/>
      <c r="U3" s="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D2"/>
  <sheetViews>
    <sheetView workbookViewId="0">
      <selection activeCell="E2" sqref="E2"/>
    </sheetView>
  </sheetViews>
  <sheetFormatPr defaultRowHeight="15"/>
  <cols>
    <col min="1" max="1" width="4.85546875" bestFit="1" customWidth="1"/>
    <col min="2" max="2" width="17.7109375" bestFit="1" customWidth="1"/>
    <col min="3" max="3" width="28.7109375" bestFit="1" customWidth="1"/>
    <col min="4" max="4" width="15.7109375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3.140625" bestFit="1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  <col min="25" max="25" width="11.7109375" bestFit="1" customWidth="1"/>
    <col min="26" max="26" width="12.85546875" bestFit="1" customWidth="1"/>
    <col min="28" max="28" width="13.42578125" bestFit="1" customWidth="1"/>
    <col min="30" max="30" width="16.140625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289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>
        <v>188</v>
      </c>
      <c r="Y2" t="s">
        <v>298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D2"/>
  <sheetViews>
    <sheetView workbookViewId="0">
      <selection activeCell="D2" sqref="D2"/>
    </sheetView>
  </sheetViews>
  <sheetFormatPr defaultRowHeight="15"/>
  <cols>
    <col min="1" max="1" width="4.85546875" bestFit="1" customWidth="1"/>
    <col min="2" max="2" width="17.7109375" bestFit="1" customWidth="1"/>
    <col min="3" max="3" width="28.7109375" bestFit="1" customWidth="1"/>
    <col min="4" max="4" width="15.7109375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3.140625" bestFit="1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  <col min="25" max="25" width="11.7109375" bestFit="1" customWidth="1"/>
    <col min="26" max="26" width="12.85546875" bestFit="1" customWidth="1"/>
    <col min="28" max="28" width="13.42578125" bestFit="1" customWidth="1"/>
    <col min="30" max="30" width="16.140625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281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>
        <v>188</v>
      </c>
      <c r="Y2" t="s">
        <v>298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C3"/>
  <sheetViews>
    <sheetView topLeftCell="R1" workbookViewId="0">
      <selection activeCell="AC2" sqref="AC2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314</v>
      </c>
      <c r="N1" s="37" t="s">
        <v>315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328</v>
      </c>
      <c r="AB1" s="40" t="s">
        <v>329</v>
      </c>
      <c r="AC1" s="40" t="s">
        <v>330</v>
      </c>
    </row>
    <row r="2" spans="1:29">
      <c r="A2" s="1">
        <v>1</v>
      </c>
      <c r="B2" s="47" t="s">
        <v>318</v>
      </c>
      <c r="C2" s="1" t="s">
        <v>280</v>
      </c>
      <c r="D2" s="1" t="s">
        <v>243</v>
      </c>
      <c r="E2" s="1" t="s">
        <v>281</v>
      </c>
      <c r="F2" s="1" t="s">
        <v>317</v>
      </c>
      <c r="G2" s="47" t="s">
        <v>346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320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332</v>
      </c>
      <c r="AB2" t="s">
        <v>332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2" sqref="E2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314</v>
      </c>
      <c r="N1" s="37" t="s">
        <v>315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7" t="s">
        <v>318</v>
      </c>
      <c r="C2" s="1" t="s">
        <v>280</v>
      </c>
      <c r="D2" s="1" t="s">
        <v>243</v>
      </c>
      <c r="E2" s="1" t="s">
        <v>289</v>
      </c>
      <c r="F2" s="1" t="s">
        <v>317</v>
      </c>
      <c r="G2" s="47" t="s">
        <v>346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320</v>
      </c>
      <c r="M2" s="38">
        <f>ROUND(SUM(AA2+AB2+I2),2)</f>
        <v>0</v>
      </c>
      <c r="N2" s="38">
        <f>AC2</f>
        <v>1332.6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332</v>
      </c>
      <c r="AB2" t="s">
        <v>332</v>
      </c>
      <c r="AC2">
        <f>ROUND(SUM((AA2*L2)+(AB2*L2)+(I2*L2)),2)</f>
        <v>1332.6</v>
      </c>
    </row>
    <row r="3" spans="1:29">
      <c r="M3">
        <f>SUM(M2)</f>
        <v>0</v>
      </c>
      <c r="N3">
        <f>SUM(N2)</f>
        <v>1332.6</v>
      </c>
      <c r="Q3">
        <f>SUM(Q2)</f>
        <v>0</v>
      </c>
      <c r="AC3">
        <f>SUM(AC2)</f>
        <v>1332.6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G2" sqref="G2:G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314</v>
      </c>
      <c r="N1" s="37" t="s">
        <v>315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7" t="s">
        <v>318</v>
      </c>
      <c r="C2" s="1" t="s">
        <v>280</v>
      </c>
      <c r="D2" s="1" t="s">
        <v>243</v>
      </c>
      <c r="E2" s="1" t="s">
        <v>289</v>
      </c>
      <c r="F2" s="1" t="s">
        <v>317</v>
      </c>
      <c r="G2" s="47" t="s">
        <v>346</v>
      </c>
      <c r="H2" s="22" t="s">
        <v>275</v>
      </c>
      <c r="I2" s="1">
        <v>1000</v>
      </c>
      <c r="J2" s="1" t="s">
        <v>276</v>
      </c>
      <c r="K2" s="1" t="s">
        <v>207</v>
      </c>
      <c r="L2" t="s">
        <v>320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332</v>
      </c>
      <c r="AB2" t="s">
        <v>332</v>
      </c>
      <c r="AC2">
        <f>ROUND(SUM((AA2*L2)+(AB2*L2)+(I2*L2)),2)</f>
        <v>1000</v>
      </c>
    </row>
    <row r="3" spans="1:29">
      <c r="A3" s="1">
        <v>2</v>
      </c>
      <c r="B3" s="51" t="s">
        <v>326</v>
      </c>
      <c r="C3" s="1" t="s">
        <v>324</v>
      </c>
      <c r="D3" s="1" t="s">
        <v>325</v>
      </c>
      <c r="E3" s="1" t="s">
        <v>289</v>
      </c>
      <c r="F3" s="1" t="s">
        <v>317</v>
      </c>
      <c r="G3" s="47" t="s">
        <v>346</v>
      </c>
      <c r="H3" s="22" t="s">
        <v>327</v>
      </c>
      <c r="I3" s="1">
        <v>1000</v>
      </c>
      <c r="J3" s="1" t="s">
        <v>276</v>
      </c>
      <c r="K3" s="1" t="s">
        <v>207</v>
      </c>
      <c r="L3" t="s">
        <v>320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333</v>
      </c>
      <c r="AB3" t="s">
        <v>333</v>
      </c>
      <c r="AC3">
        <f>ROUND(SUM((AA3*L3)+(AB3*L3)+(I3*L3)),2)</f>
        <v>1000</v>
      </c>
    </row>
    <row r="4" spans="1:29">
      <c r="I4">
        <f>SUM(I2:I3)</f>
        <v>2000</v>
      </c>
      <c r="M4">
        <f>SUM(M2:M3)</f>
        <v>2000</v>
      </c>
      <c r="N4">
        <f>SUM(N2:N3)</f>
        <v>2000</v>
      </c>
      <c r="Q4">
        <f>SUM(Q2:Q3)</f>
        <v>2000</v>
      </c>
      <c r="AC4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C4"/>
  <sheetViews>
    <sheetView tabSelected="1" workbookViewId="0">
      <selection activeCell="F3" sqref="F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314</v>
      </c>
      <c r="N1" s="37" t="s">
        <v>315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7" t="s">
        <v>318</v>
      </c>
      <c r="C2" s="1" t="s">
        <v>280</v>
      </c>
      <c r="D2" s="1" t="s">
        <v>243</v>
      </c>
      <c r="E2" s="1" t="s">
        <v>289</v>
      </c>
      <c r="F2" s="1" t="s">
        <v>317</v>
      </c>
      <c r="G2" s="47" t="s">
        <v>346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320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332</v>
      </c>
      <c r="AB2" t="s">
        <v>332</v>
      </c>
      <c r="AC2">
        <f>ROUND(SUM((AA2*L2)+(AB2*L2)+(I2*L2)),2)</f>
        <v>0</v>
      </c>
    </row>
    <row r="3" spans="1:29">
      <c r="A3" s="1">
        <v>2</v>
      </c>
      <c r="B3" s="51" t="s">
        <v>326</v>
      </c>
      <c r="C3" s="1" t="s">
        <v>324</v>
      </c>
      <c r="D3" s="1" t="s">
        <v>325</v>
      </c>
      <c r="E3" s="1" t="s">
        <v>289</v>
      </c>
      <c r="F3" s="1" t="s">
        <v>317</v>
      </c>
      <c r="G3" s="47" t="s">
        <v>346</v>
      </c>
      <c r="H3" s="22" t="s">
        <v>331</v>
      </c>
      <c r="I3" s="1">
        <v>0</v>
      </c>
      <c r="J3" s="1" t="s">
        <v>276</v>
      </c>
      <c r="K3" s="1" t="s">
        <v>207</v>
      </c>
      <c r="L3" t="s">
        <v>320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333</v>
      </c>
      <c r="AB3" t="s">
        <v>333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G2" sqref="G2:G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314</v>
      </c>
      <c r="N1" s="37" t="s">
        <v>315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7" t="s">
        <v>318</v>
      </c>
      <c r="C2" s="1" t="s">
        <v>280</v>
      </c>
      <c r="D2" s="1" t="s">
        <v>243</v>
      </c>
      <c r="E2" s="1" t="s">
        <v>281</v>
      </c>
      <c r="F2" s="1" t="s">
        <v>317</v>
      </c>
      <c r="G2" s="47" t="s">
        <v>346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320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332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51" t="s">
        <v>326</v>
      </c>
      <c r="C3" s="1" t="s">
        <v>324</v>
      </c>
      <c r="D3" s="1" t="s">
        <v>325</v>
      </c>
      <c r="E3" s="1" t="s">
        <v>281</v>
      </c>
      <c r="F3" s="1" t="s">
        <v>317</v>
      </c>
      <c r="G3" s="47" t="s">
        <v>346</v>
      </c>
      <c r="H3" s="22" t="s">
        <v>275</v>
      </c>
      <c r="I3" s="1">
        <v>0</v>
      </c>
      <c r="J3" s="1" t="s">
        <v>276</v>
      </c>
      <c r="K3" s="1" t="s">
        <v>207</v>
      </c>
      <c r="L3" t="s">
        <v>320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333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AC2" sqref="A2:AC2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19.28515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314</v>
      </c>
      <c r="N1" s="37" t="s">
        <v>315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328</v>
      </c>
      <c r="AB1" s="40" t="s">
        <v>329</v>
      </c>
      <c r="AC1" s="40" t="s">
        <v>330</v>
      </c>
    </row>
    <row r="2" spans="1:29">
      <c r="A2" s="1">
        <v>1</v>
      </c>
      <c r="B2" s="52" t="s">
        <v>336</v>
      </c>
      <c r="C2" s="1" t="s">
        <v>334</v>
      </c>
      <c r="D2" s="1" t="s">
        <v>335</v>
      </c>
      <c r="E2" s="1" t="s">
        <v>337</v>
      </c>
      <c r="F2" s="1" t="s">
        <v>317</v>
      </c>
      <c r="G2" s="47" t="s">
        <v>346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320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361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D4"/>
  <sheetViews>
    <sheetView topLeftCell="F1" workbookViewId="0">
      <selection activeCell="M3" sqref="M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343</v>
      </c>
    </row>
    <row r="2" spans="1:30">
      <c r="A2" s="1">
        <v>1</v>
      </c>
      <c r="B2" s="52" t="s">
        <v>336</v>
      </c>
      <c r="C2" s="1" t="s">
        <v>334</v>
      </c>
      <c r="D2" s="1" t="s">
        <v>335</v>
      </c>
      <c r="E2" s="1" t="s">
        <v>337</v>
      </c>
      <c r="F2" s="1" t="s">
        <v>317</v>
      </c>
      <c r="G2" s="47" t="s">
        <v>346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357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361</v>
      </c>
      <c r="AB2" t="s">
        <v>310</v>
      </c>
      <c r="AC2">
        <f>ROUND(SUM((AA2*L2)+(AB2*L2)+(I2*L2)),2)</f>
        <v>0</v>
      </c>
      <c r="AD2" t="s">
        <v>344</v>
      </c>
    </row>
    <row r="3" spans="1:30">
      <c r="A3" s="1">
        <v>2</v>
      </c>
      <c r="B3" s="48" t="s">
        <v>342</v>
      </c>
      <c r="C3" s="1"/>
      <c r="D3" s="1"/>
      <c r="E3" s="1"/>
      <c r="F3" s="1" t="s">
        <v>317</v>
      </c>
      <c r="G3" s="47" t="s">
        <v>346</v>
      </c>
      <c r="H3" s="22"/>
      <c r="I3" s="1">
        <v>10</v>
      </c>
      <c r="J3" s="1" t="s">
        <v>276</v>
      </c>
      <c r="K3" s="1" t="s">
        <v>207</v>
      </c>
      <c r="L3" t="s">
        <v>320</v>
      </c>
      <c r="M3" s="38">
        <f>ROUND(SUM(AA3+AB3+I3),2)</f>
        <v>10</v>
      </c>
      <c r="N3" s="38">
        <f>AC3</f>
        <v>10</v>
      </c>
      <c r="O3" s="1"/>
      <c r="P3" s="1"/>
      <c r="Q3" s="1">
        <f>M3</f>
        <v>10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</v>
      </c>
      <c r="AD3" t="s">
        <v>345</v>
      </c>
    </row>
    <row r="4" spans="1:30">
      <c r="I4">
        <f>SUM(I2:I3)</f>
        <v>10</v>
      </c>
      <c r="M4">
        <f>ROUND(M2-M3,2)</f>
        <v>-10</v>
      </c>
      <c r="N4">
        <f>ROUND(N2-N3,2)</f>
        <v>-10</v>
      </c>
      <c r="Q4">
        <f>SUM(Q2:Q3)</f>
        <v>10</v>
      </c>
      <c r="AC4">
        <f>ROUND(AC2-AC3,2)</f>
        <v>-10</v>
      </c>
      <c r="AD4" t="s">
        <v>345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D4"/>
  <sheetViews>
    <sheetView topLeftCell="F1" workbookViewId="0">
      <selection activeCell="N4" sqref="N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343</v>
      </c>
    </row>
    <row r="2" spans="1:30">
      <c r="A2" s="1">
        <v>1</v>
      </c>
      <c r="B2" s="47" t="s">
        <v>318</v>
      </c>
      <c r="C2" s="1" t="s">
        <v>280</v>
      </c>
      <c r="D2" s="1" t="s">
        <v>243</v>
      </c>
      <c r="E2" s="1" t="s">
        <v>281</v>
      </c>
      <c r="F2" s="1" t="s">
        <v>317</v>
      </c>
      <c r="G2" s="47" t="s">
        <v>346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320</v>
      </c>
      <c r="M2" s="38">
        <f>ROUND(SUM(AA2+AB2+I2),2)</f>
        <v>666.3</v>
      </c>
      <c r="N2" s="38">
        <f>AC2</f>
        <v>666.3</v>
      </c>
      <c r="O2" s="1"/>
      <c r="P2" s="1"/>
      <c r="Q2" s="1">
        <f>M2</f>
        <v>666.3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332</v>
      </c>
      <c r="AB2" t="s">
        <v>310</v>
      </c>
      <c r="AC2">
        <f>ROUND(SUM((AA2*L2)+(AB2*L2)+(I2*L2)),2)</f>
        <v>666.3</v>
      </c>
      <c r="AD2" t="s">
        <v>344</v>
      </c>
    </row>
    <row r="3" spans="1:30">
      <c r="A3" s="1">
        <v>2</v>
      </c>
      <c r="B3" s="48" t="s">
        <v>342</v>
      </c>
      <c r="C3" s="1"/>
      <c r="D3" s="1"/>
      <c r="E3" s="1"/>
      <c r="F3" s="1" t="s">
        <v>317</v>
      </c>
      <c r="G3" s="47" t="s">
        <v>346</v>
      </c>
      <c r="H3" s="22"/>
      <c r="I3" s="1">
        <v>100</v>
      </c>
      <c r="J3" s="1" t="s">
        <v>276</v>
      </c>
      <c r="K3" s="1" t="s">
        <v>207</v>
      </c>
      <c r="L3" t="s">
        <v>320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</v>
      </c>
      <c r="AD3" t="s">
        <v>345</v>
      </c>
    </row>
    <row r="4" spans="1:30">
      <c r="I4">
        <f>SUM(I2:I3)</f>
        <v>100</v>
      </c>
      <c r="M4">
        <f>ROUND(M2-M3,2)</f>
        <v>566.29999999999995</v>
      </c>
      <c r="N4">
        <f>ROUND(N2-N3,2)</f>
        <v>566.29999999999995</v>
      </c>
      <c r="Q4">
        <f>SUM(Q2:Q3)</f>
        <v>766.3</v>
      </c>
      <c r="AC4">
        <f>ROUND(AC2-AC3,2)</f>
        <v>566.29999999999995</v>
      </c>
      <c r="AD4" t="s">
        <v>345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G2" sqref="G2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314</v>
      </c>
      <c r="N1" s="37" t="s">
        <v>315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336</v>
      </c>
      <c r="C2" s="1" t="s">
        <v>334</v>
      </c>
      <c r="D2" s="1" t="s">
        <v>335</v>
      </c>
      <c r="E2" s="1" t="s">
        <v>338</v>
      </c>
      <c r="F2" s="1" t="s">
        <v>317</v>
      </c>
      <c r="G2" s="47" t="s">
        <v>346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320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G2" sqref="G2:G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9.28515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314</v>
      </c>
      <c r="N1" s="37" t="s">
        <v>315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336</v>
      </c>
      <c r="C2" s="1" t="s">
        <v>334</v>
      </c>
      <c r="D2" s="1" t="s">
        <v>335</v>
      </c>
      <c r="E2" s="1" t="s">
        <v>337</v>
      </c>
      <c r="F2" s="1" t="s">
        <v>317</v>
      </c>
      <c r="G2" s="47" t="s">
        <v>346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320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53" t="s">
        <v>339</v>
      </c>
      <c r="C3" s="1" t="s">
        <v>340</v>
      </c>
      <c r="D3" s="1" t="s">
        <v>341</v>
      </c>
      <c r="E3" s="1" t="s">
        <v>337</v>
      </c>
      <c r="F3" s="1" t="s">
        <v>317</v>
      </c>
      <c r="G3" s="47" t="s">
        <v>346</v>
      </c>
      <c r="H3" s="22" t="s">
        <v>275</v>
      </c>
      <c r="I3" s="1">
        <v>0</v>
      </c>
      <c r="J3" s="1" t="s">
        <v>276</v>
      </c>
      <c r="K3" s="1" t="s">
        <v>209</v>
      </c>
      <c r="L3" t="s">
        <v>320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G2" sqref="G2:G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4.140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314</v>
      </c>
      <c r="N1" s="37" t="s">
        <v>315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336</v>
      </c>
      <c r="C2" s="1" t="s">
        <v>334</v>
      </c>
      <c r="D2" s="1" t="s">
        <v>335</v>
      </c>
      <c r="E2" s="1" t="s">
        <v>338</v>
      </c>
      <c r="F2" s="1" t="s">
        <v>317</v>
      </c>
      <c r="G2" s="47" t="s">
        <v>346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320</v>
      </c>
      <c r="M2" s="38">
        <f>ROUND(SUM(AA2+AB2+I2),2)</f>
        <v>1332.6</v>
      </c>
      <c r="N2" s="38">
        <f>AC2</f>
        <v>1332.6</v>
      </c>
      <c r="O2" s="1"/>
      <c r="P2" s="1"/>
      <c r="Q2" s="1">
        <f>M2</f>
        <v>1332.6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332</v>
      </c>
      <c r="AB2" t="s">
        <v>332</v>
      </c>
      <c r="AC2">
        <f>ROUND(SUM((AA2*L2)+(AB2*L2)+(I2*L2)),2)</f>
        <v>1332.6</v>
      </c>
    </row>
    <row r="3" spans="1:29">
      <c r="A3" s="1">
        <v>2</v>
      </c>
      <c r="B3" s="53" t="s">
        <v>339</v>
      </c>
      <c r="C3" s="1" t="s">
        <v>340</v>
      </c>
      <c r="D3" s="1" t="s">
        <v>341</v>
      </c>
      <c r="E3" s="1" t="s">
        <v>338</v>
      </c>
      <c r="F3" s="1" t="s">
        <v>317</v>
      </c>
      <c r="G3" s="47" t="s">
        <v>346</v>
      </c>
      <c r="H3" s="22" t="s">
        <v>331</v>
      </c>
      <c r="I3" s="1">
        <v>0</v>
      </c>
      <c r="J3" s="1" t="s">
        <v>276</v>
      </c>
      <c r="K3" s="1" t="s">
        <v>209</v>
      </c>
      <c r="L3" t="s">
        <v>320</v>
      </c>
      <c r="M3" s="38">
        <f>ROUND(SUM(AA3+AB3+I3),2)</f>
        <v>1333.32</v>
      </c>
      <c r="N3" s="38">
        <f>AC3</f>
        <v>1333.32</v>
      </c>
      <c r="O3" s="1"/>
      <c r="P3" s="1"/>
      <c r="Q3" s="1">
        <f>M3</f>
        <v>1333.32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333</v>
      </c>
      <c r="AB3" t="s">
        <v>333</v>
      </c>
      <c r="AC3">
        <f>ROUND(SUM((AA3*L3)+(AB3*L3)+(I3*L3)),2)</f>
        <v>1333.32</v>
      </c>
    </row>
    <row r="4" spans="1:29">
      <c r="I4">
        <f>SUM(I2:I3)</f>
        <v>0</v>
      </c>
      <c r="M4">
        <f>SUM(M2:M3)</f>
        <v>2665.92</v>
      </c>
      <c r="N4">
        <f>SUM(N2:N3)</f>
        <v>2665.92</v>
      </c>
      <c r="Q4">
        <f>SUM(Q2:Q3)</f>
        <v>2665.92</v>
      </c>
      <c r="AC4">
        <f>SUM(AC2:AC3)</f>
        <v>2665.92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G2" sqref="G2:G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4.140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314</v>
      </c>
      <c r="N1" s="37" t="s">
        <v>315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336</v>
      </c>
      <c r="C2" s="1" t="s">
        <v>334</v>
      </c>
      <c r="D2" s="1" t="s">
        <v>335</v>
      </c>
      <c r="E2" s="1" t="s">
        <v>338</v>
      </c>
      <c r="F2" s="1" t="s">
        <v>317</v>
      </c>
      <c r="G2" s="47" t="s">
        <v>346</v>
      </c>
      <c r="H2" s="22" t="s">
        <v>275</v>
      </c>
      <c r="I2" s="1">
        <v>100</v>
      </c>
      <c r="J2" s="1" t="s">
        <v>276</v>
      </c>
      <c r="K2" s="1" t="s">
        <v>209</v>
      </c>
      <c r="L2" t="s">
        <v>320</v>
      </c>
      <c r="M2" s="38">
        <f>ROUND(SUM(AA2+AB2+I2),2)</f>
        <v>1432.6</v>
      </c>
      <c r="N2" s="38">
        <f>AC2</f>
        <v>1432.6</v>
      </c>
      <c r="O2" s="1"/>
      <c r="P2" s="1"/>
      <c r="Q2" s="1">
        <f>M2</f>
        <v>1432.6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332</v>
      </c>
      <c r="AB2" t="s">
        <v>332</v>
      </c>
      <c r="AC2">
        <f>ROUND(SUM((AA2*L2)+(AB2*L2)+(I2*L2)),2)</f>
        <v>1432.6</v>
      </c>
    </row>
    <row r="3" spans="1:29">
      <c r="A3" s="1">
        <v>2</v>
      </c>
      <c r="B3" s="53" t="s">
        <v>339</v>
      </c>
      <c r="C3" s="1" t="s">
        <v>340</v>
      </c>
      <c r="D3" s="1" t="s">
        <v>341</v>
      </c>
      <c r="E3" s="1" t="s">
        <v>338</v>
      </c>
      <c r="F3" s="1" t="s">
        <v>317</v>
      </c>
      <c r="G3" s="47" t="s">
        <v>346</v>
      </c>
      <c r="H3" s="22" t="s">
        <v>327</v>
      </c>
      <c r="I3" s="1">
        <v>100</v>
      </c>
      <c r="J3" s="1" t="s">
        <v>276</v>
      </c>
      <c r="K3" s="1" t="s">
        <v>209</v>
      </c>
      <c r="L3" t="s">
        <v>320</v>
      </c>
      <c r="M3" s="38">
        <f>ROUND(SUM(AA3+AB3+I3),2)</f>
        <v>1433.32</v>
      </c>
      <c r="N3" s="38">
        <f>AC3</f>
        <v>1433.32</v>
      </c>
      <c r="O3" s="1"/>
      <c r="P3" s="1"/>
      <c r="Q3" s="1">
        <f>M3</f>
        <v>1433.32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333</v>
      </c>
      <c r="AB3" t="s">
        <v>333</v>
      </c>
      <c r="AC3">
        <f>ROUND(SUM((AA3*L3)+(AB3*L3)+(I3*L3)),2)</f>
        <v>1433.32</v>
      </c>
    </row>
    <row r="4" spans="1:29">
      <c r="I4">
        <f>SUM(I2:I3)</f>
        <v>200</v>
      </c>
      <c r="M4">
        <f>SUM(M2:M3)</f>
        <v>2865.92</v>
      </c>
      <c r="N4">
        <f>SUM(N2:N3)</f>
        <v>2865.92</v>
      </c>
      <c r="Q4">
        <f>SUM(Q2:Q3)</f>
        <v>2865.92</v>
      </c>
      <c r="AC4">
        <f>SUM(AC2:AC3)</f>
        <v>2865.92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D3"/>
  <sheetViews>
    <sheetView workbookViewId="0">
      <selection activeCell="E3" sqref="E3"/>
    </sheetView>
  </sheetViews>
  <sheetFormatPr defaultRowHeight="15"/>
  <cols>
    <col min="2" max="2" width="12.28515625" bestFit="1" customWidth="1"/>
    <col min="3" max="3" width="24.28515625" bestFit="1" customWidth="1"/>
    <col min="4" max="4" width="19.7109375" bestFit="1" customWidth="1"/>
  </cols>
  <sheetData>
    <row r="1" spans="1:4">
      <c r="A1" s="37" t="s">
        <v>253</v>
      </c>
      <c r="B1" s="37" t="s">
        <v>277</v>
      </c>
      <c r="C1" s="37" t="s">
        <v>278</v>
      </c>
      <c r="D1" s="37" t="s">
        <v>279</v>
      </c>
    </row>
    <row r="2" spans="1:4">
      <c r="A2" s="1">
        <v>1</v>
      </c>
      <c r="B2" s="1" t="s">
        <v>283</v>
      </c>
      <c r="C2" s="1" t="s">
        <v>284</v>
      </c>
      <c r="D2" s="1" t="s">
        <v>282</v>
      </c>
    </row>
    <row r="3" spans="1:4">
      <c r="A3" s="1">
        <v>2</v>
      </c>
      <c r="B3" s="1" t="s">
        <v>280</v>
      </c>
      <c r="C3" s="1" t="s">
        <v>243</v>
      </c>
      <c r="D3" s="1" t="s">
        <v>281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C3"/>
  <sheetViews>
    <sheetView topLeftCell="C1" workbookViewId="0">
      <selection activeCell="G2" sqref="G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319</v>
      </c>
      <c r="C2" s="1" t="s">
        <v>151</v>
      </c>
      <c r="D2" s="1" t="s">
        <v>152</v>
      </c>
      <c r="E2" s="1" t="s">
        <v>299</v>
      </c>
      <c r="F2" s="1" t="s">
        <v>317</v>
      </c>
      <c r="G2" s="47" t="s">
        <v>346</v>
      </c>
      <c r="H2" s="22" t="s">
        <v>275</v>
      </c>
      <c r="I2" s="1">
        <v>1000</v>
      </c>
      <c r="J2" s="1" t="s">
        <v>303</v>
      </c>
      <c r="K2" s="1" t="s">
        <v>207</v>
      </c>
      <c r="L2" t="s">
        <v>320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311</v>
      </c>
      <c r="AB2">
        <v>0</v>
      </c>
      <c r="AC2">
        <f>ROUND(SUM(AA2+AB2),2)</f>
        <v>26550</v>
      </c>
    </row>
    <row r="3" spans="1:29">
      <c r="AA3" t="s">
        <v>310</v>
      </c>
      <c r="AB3" t="s">
        <v>310</v>
      </c>
      <c r="AC3">
        <f>SUM(AC2)</f>
        <v>26550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G2" sqref="G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319</v>
      </c>
      <c r="C2" s="1" t="s">
        <v>151</v>
      </c>
      <c r="D2" s="1" t="s">
        <v>152</v>
      </c>
      <c r="E2" s="1" t="s">
        <v>299</v>
      </c>
      <c r="F2" s="1" t="s">
        <v>317</v>
      </c>
      <c r="G2" s="47" t="s">
        <v>346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320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311</v>
      </c>
      <c r="AB2" t="s">
        <v>311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E3" sqref="E3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319</v>
      </c>
      <c r="C2" s="1" t="s">
        <v>151</v>
      </c>
      <c r="D2" s="1" t="s">
        <v>152</v>
      </c>
      <c r="E2" s="1" t="s">
        <v>299</v>
      </c>
      <c r="F2" s="1" t="s">
        <v>317</v>
      </c>
      <c r="G2" s="47" t="s">
        <v>346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320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311</v>
      </c>
      <c r="AB2" t="s">
        <v>311</v>
      </c>
      <c r="AC2">
        <f>ROUND(SUM((AA2*L2)+(AB2*L2)+(I2*L2)),2)</f>
        <v>0</v>
      </c>
    </row>
    <row r="3" spans="1:29" s="1" customFormat="1">
      <c r="A3" s="1">
        <v>2</v>
      </c>
      <c r="B3" s="1" t="s">
        <v>321</v>
      </c>
      <c r="C3" s="1" t="s">
        <v>179</v>
      </c>
      <c r="D3" s="1" t="s">
        <v>180</v>
      </c>
      <c r="E3" s="1" t="s">
        <v>302</v>
      </c>
      <c r="F3" s="1" t="s">
        <v>317</v>
      </c>
      <c r="G3" s="47" t="s">
        <v>346</v>
      </c>
      <c r="H3" s="22" t="s">
        <v>301</v>
      </c>
      <c r="I3" s="1">
        <v>0</v>
      </c>
      <c r="J3" s="1" t="s">
        <v>303</v>
      </c>
      <c r="K3" s="1" t="s">
        <v>207</v>
      </c>
      <c r="L3" t="s">
        <v>320</v>
      </c>
      <c r="M3" s="38">
        <f>ROUND(SUM(AA3+AB3+I3),2)</f>
        <v>0</v>
      </c>
      <c r="N3" s="38">
        <f>AC3</f>
        <v>0</v>
      </c>
      <c r="Q3" s="1">
        <f>M3</f>
        <v>0</v>
      </c>
      <c r="X3" s="1" t="s">
        <v>190</v>
      </c>
      <c r="Y3" s="1" t="s">
        <v>191</v>
      </c>
      <c r="Z3" s="1" t="s">
        <v>276</v>
      </c>
      <c r="AA3" t="s">
        <v>311</v>
      </c>
      <c r="AB3" t="s">
        <v>311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C3"/>
  <sheetViews>
    <sheetView topLeftCell="E1" workbookViewId="0">
      <selection activeCell="G2" sqref="G2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314</v>
      </c>
      <c r="N1" s="37" t="s">
        <v>315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322</v>
      </c>
      <c r="C2" s="1" t="s">
        <v>161</v>
      </c>
      <c r="D2" s="1" t="s">
        <v>162</v>
      </c>
      <c r="E2" s="1" t="s">
        <v>312</v>
      </c>
      <c r="F2" s="1" t="s">
        <v>317</v>
      </c>
      <c r="G2" s="47" t="s">
        <v>346</v>
      </c>
      <c r="H2" s="22" t="s">
        <v>275</v>
      </c>
      <c r="I2" s="1">
        <v>0</v>
      </c>
      <c r="J2" s="1" t="s">
        <v>303</v>
      </c>
      <c r="K2" s="1" t="s">
        <v>209</v>
      </c>
      <c r="L2" t="s">
        <v>313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G2" sqref="G2:G3"/>
    </sheetView>
  </sheetViews>
  <sheetFormatPr defaultRowHeight="15"/>
  <cols>
    <col min="1" max="1" width="4.85546875" bestFit="1" customWidth="1"/>
    <col min="2" max="2" width="29" bestFit="1" customWidth="1"/>
    <col min="3" max="3" width="10.42578125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314</v>
      </c>
      <c r="N1" s="37" t="s">
        <v>315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322</v>
      </c>
      <c r="C2" s="41" t="s">
        <v>161</v>
      </c>
      <c r="D2" s="41" t="s">
        <v>162</v>
      </c>
      <c r="E2" s="41" t="s">
        <v>312</v>
      </c>
      <c r="F2" s="41" t="s">
        <v>317</v>
      </c>
      <c r="G2" s="47" t="s">
        <v>346</v>
      </c>
      <c r="H2" s="44" t="s">
        <v>275</v>
      </c>
      <c r="I2" s="41">
        <v>200</v>
      </c>
      <c r="J2" s="41" t="s">
        <v>303</v>
      </c>
      <c r="K2" s="41" t="s">
        <v>209</v>
      </c>
      <c r="L2" t="s">
        <v>313</v>
      </c>
      <c r="M2" s="45">
        <f>ROUND(SUM(AA2+AB2+I2),2)</f>
        <v>3500</v>
      </c>
      <c r="N2" s="45">
        <f>AC2</f>
        <v>283500</v>
      </c>
      <c r="O2" s="41"/>
      <c r="P2" s="41"/>
      <c r="Q2" s="41">
        <f>M2</f>
        <v>3500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>
        <v>310</v>
      </c>
      <c r="AB2" t="s">
        <v>310</v>
      </c>
      <c r="AC2">
        <f>ROUND(SUM((AA2*L2)+(AB2*L2)+(I2*L2)),2)</f>
        <v>283500</v>
      </c>
    </row>
    <row r="3" spans="1:29">
      <c r="A3" s="1">
        <v>2</v>
      </c>
      <c r="B3" s="1" t="s">
        <v>323</v>
      </c>
      <c r="C3" s="1" t="s">
        <v>316</v>
      </c>
      <c r="D3" s="1" t="s">
        <v>224</v>
      </c>
      <c r="E3" s="1" t="s">
        <v>312</v>
      </c>
      <c r="F3" s="1" t="s">
        <v>317</v>
      </c>
      <c r="G3" s="47" t="s">
        <v>346</v>
      </c>
      <c r="H3" s="22" t="s">
        <v>301</v>
      </c>
      <c r="I3" s="1">
        <v>200</v>
      </c>
      <c r="J3" s="1" t="s">
        <v>303</v>
      </c>
      <c r="K3" s="1" t="s">
        <v>209</v>
      </c>
      <c r="L3" t="s">
        <v>313</v>
      </c>
      <c r="M3" s="38">
        <f>ROUND(SUM(AA3+AB3+I3),2)</f>
        <v>3500</v>
      </c>
      <c r="N3" s="38">
        <f>AC3</f>
        <v>283500</v>
      </c>
      <c r="O3" s="1"/>
      <c r="P3" s="1"/>
      <c r="Q3" s="1">
        <f>M3</f>
        <v>3500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 s="1">
        <f>ROUND(SUM((AA3*L3)+(AB3*L3)+(I3*L3)),2)</f>
        <v>283500</v>
      </c>
    </row>
    <row r="4" spans="1:29">
      <c r="I4">
        <f>SUM(I2:I3)</f>
        <v>400</v>
      </c>
      <c r="M4">
        <f>SUM(M2:M3)</f>
        <v>7000</v>
      </c>
      <c r="N4">
        <f>SUM(N2:N3)</f>
        <v>567000</v>
      </c>
      <c r="Q4">
        <f>SUM(Q2:Q3)</f>
        <v>7000</v>
      </c>
      <c r="AA4">
        <f>SUM(AA2:AA3)</f>
        <v>0</v>
      </c>
      <c r="AB4">
        <f>SUM(AB2:AB3)</f>
        <v>0</v>
      </c>
      <c r="AC4">
        <f>SUM(AC2:AC3)</f>
        <v>567000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G2" sqref="G2:G3"/>
    </sheetView>
  </sheetViews>
  <sheetFormatPr defaultRowHeight="15"/>
  <cols>
    <col min="1" max="1" width="4.85546875" bestFit="1" customWidth="1"/>
    <col min="2" max="2" width="29" bestFit="1" customWidth="1"/>
    <col min="3" max="3" width="10.42578125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314</v>
      </c>
      <c r="N1" s="37" t="s">
        <v>315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322</v>
      </c>
      <c r="C2" s="41" t="s">
        <v>161</v>
      </c>
      <c r="D2" s="41" t="s">
        <v>162</v>
      </c>
      <c r="E2" s="41" t="s">
        <v>312</v>
      </c>
      <c r="F2" s="41" t="s">
        <v>317</v>
      </c>
      <c r="G2" s="47" t="s">
        <v>346</v>
      </c>
      <c r="H2" s="44" t="s">
        <v>275</v>
      </c>
      <c r="I2" s="41">
        <v>0</v>
      </c>
      <c r="J2" s="41" t="s">
        <v>303</v>
      </c>
      <c r="K2" s="41" t="s">
        <v>209</v>
      </c>
      <c r="L2" t="s">
        <v>313</v>
      </c>
      <c r="M2" s="45">
        <f>ROUND(SUM(AA2+AB2+I2),2)</f>
        <v>0</v>
      </c>
      <c r="N2" s="45">
        <f>AC2</f>
        <v>0</v>
      </c>
      <c r="O2" s="41"/>
      <c r="P2" s="41"/>
      <c r="Q2" s="41">
        <f>M2</f>
        <v>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>
        <v>310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1" t="s">
        <v>323</v>
      </c>
      <c r="C3" s="1" t="s">
        <v>316</v>
      </c>
      <c r="D3" s="1" t="s">
        <v>224</v>
      </c>
      <c r="E3" s="1" t="s">
        <v>312</v>
      </c>
      <c r="F3" s="1" t="s">
        <v>317</v>
      </c>
      <c r="G3" s="47" t="s">
        <v>346</v>
      </c>
      <c r="H3" s="22" t="s">
        <v>301</v>
      </c>
      <c r="I3" s="1">
        <v>0</v>
      </c>
      <c r="J3" s="1" t="s">
        <v>303</v>
      </c>
      <c r="K3" s="1" t="s">
        <v>209</v>
      </c>
      <c r="L3" t="s">
        <v>313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 s="1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A4">
        <f>SUM(AA2:AA3)</f>
        <v>0</v>
      </c>
      <c r="AB4">
        <f>SUM(AB2:AB3)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G2" sqref="G2:G3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319</v>
      </c>
      <c r="C2" s="1" t="s">
        <v>151</v>
      </c>
      <c r="D2" s="1" t="s">
        <v>152</v>
      </c>
      <c r="E2" s="41" t="s">
        <v>299</v>
      </c>
      <c r="F2" s="41" t="s">
        <v>317</v>
      </c>
      <c r="G2" s="47" t="s">
        <v>346</v>
      </c>
      <c r="H2" s="44" t="s">
        <v>275</v>
      </c>
      <c r="I2" s="1">
        <v>1000</v>
      </c>
      <c r="J2" s="1" t="s">
        <v>303</v>
      </c>
      <c r="K2" s="1" t="s">
        <v>207</v>
      </c>
      <c r="L2" t="s">
        <v>320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311</v>
      </c>
      <c r="AB2" t="s">
        <v>311</v>
      </c>
      <c r="AC2">
        <f>ROUND(SUM((AA2*L2)+(AB2*L2)+(I2*L2)),2)</f>
        <v>1000</v>
      </c>
    </row>
    <row r="3" spans="1:29" s="1" customFormat="1">
      <c r="A3" s="1">
        <v>2</v>
      </c>
      <c r="B3" s="1" t="s">
        <v>321</v>
      </c>
      <c r="C3" s="1" t="s">
        <v>179</v>
      </c>
      <c r="D3" s="1" t="s">
        <v>180</v>
      </c>
      <c r="E3" s="1" t="s">
        <v>302</v>
      </c>
      <c r="F3" s="1" t="s">
        <v>317</v>
      </c>
      <c r="G3" s="47" t="s">
        <v>346</v>
      </c>
      <c r="H3" s="22" t="s">
        <v>301</v>
      </c>
      <c r="I3" s="1">
        <v>1000</v>
      </c>
      <c r="J3" s="1" t="s">
        <v>303</v>
      </c>
      <c r="K3" s="1" t="s">
        <v>207</v>
      </c>
      <c r="L3" t="s">
        <v>320</v>
      </c>
      <c r="M3" s="38">
        <f>ROUND(SUM(AA3+AB3+I3),2)</f>
        <v>1000</v>
      </c>
      <c r="N3" s="38">
        <f>AC3</f>
        <v>1000</v>
      </c>
      <c r="Q3" s="1">
        <f>M3</f>
        <v>1000</v>
      </c>
      <c r="X3" s="1" t="s">
        <v>190</v>
      </c>
      <c r="Y3" s="1" t="s">
        <v>191</v>
      </c>
      <c r="Z3" s="1" t="s">
        <v>276</v>
      </c>
      <c r="AA3" t="s">
        <v>311</v>
      </c>
      <c r="AB3" t="s">
        <v>311</v>
      </c>
      <c r="AC3">
        <f>ROUND(SUM((AA3*L3)+(AB3*L3)+(I3*L3)),2)</f>
        <v>1000</v>
      </c>
    </row>
    <row r="4" spans="1:29">
      <c r="I4">
        <f>SUM(I2:I3)</f>
        <v>2000</v>
      </c>
      <c r="M4">
        <f>SUM(M2:M3)</f>
        <v>2000</v>
      </c>
      <c r="N4">
        <f>SUM(N2:N3)</f>
        <v>2000</v>
      </c>
      <c r="AC4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G2" sqref="G2:G3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 t="s">
        <v>311</v>
      </c>
      <c r="AB2" t="s">
        <v>311</v>
      </c>
      <c r="AC2">
        <f>ROUND(SUM(AA2+AB2),2)</f>
        <v>53100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 t="s">
        <v>311</v>
      </c>
      <c r="AB3" t="s">
        <v>311</v>
      </c>
      <c r="AC3">
        <f>ROUND(SUM(AA3+AB3),2)</f>
        <v>53100</v>
      </c>
    </row>
    <row r="4" spans="1:29">
      <c r="AC4">
        <f>SUM(AC2:AC3)</f>
        <v>106200</v>
      </c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Q21" sqref="Q21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 t="s">
        <v>311</v>
      </c>
      <c r="AB2" t="s">
        <v>311</v>
      </c>
      <c r="AC2">
        <f>ROUND(SUM(AA2+AB2+I2),2)</f>
        <v>54100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 t="s">
        <v>311</v>
      </c>
      <c r="AB3" t="s">
        <v>311</v>
      </c>
      <c r="AC3">
        <f>ROUND(SUM(AA3+AB3+I3),2)</f>
        <v>54100</v>
      </c>
    </row>
    <row r="4" spans="1:29">
      <c r="AC4">
        <f>SUM(AC2:AC3)</f>
        <v>108200</v>
      </c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G2" sqref="G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319</v>
      </c>
      <c r="C2" s="1" t="s">
        <v>151</v>
      </c>
      <c r="D2" s="1" t="s">
        <v>152</v>
      </c>
      <c r="E2" s="1" t="s">
        <v>299</v>
      </c>
      <c r="F2" s="1" t="s">
        <v>317</v>
      </c>
      <c r="G2" s="47" t="s">
        <v>346</v>
      </c>
      <c r="H2" s="22" t="s">
        <v>275</v>
      </c>
      <c r="I2" s="1">
        <v>10000</v>
      </c>
      <c r="J2" s="1" t="s">
        <v>303</v>
      </c>
      <c r="K2" s="1" t="s">
        <v>207</v>
      </c>
      <c r="L2" t="s">
        <v>320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10000</v>
      </c>
    </row>
    <row r="3" spans="1:29">
      <c r="M3">
        <f>SUM(M2)</f>
        <v>10000</v>
      </c>
      <c r="N3">
        <f>SUM(N2)</f>
        <v>10000</v>
      </c>
      <c r="Q3">
        <f>SUM(Q2)</f>
        <v>10000</v>
      </c>
      <c r="AA3" t="s">
        <v>310</v>
      </c>
      <c r="AB3" t="s">
        <v>310</v>
      </c>
      <c r="AC3">
        <f>SUM(AC2)</f>
        <v>10000</v>
      </c>
    </row>
  </sheetData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D4"/>
  <sheetViews>
    <sheetView workbookViewId="0">
      <selection activeCell="AC4" sqref="AC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343</v>
      </c>
    </row>
    <row r="2" spans="1:30">
      <c r="A2" s="41">
        <v>1</v>
      </c>
      <c r="B2" s="50" t="s">
        <v>322</v>
      </c>
      <c r="C2" s="41" t="s">
        <v>161</v>
      </c>
      <c r="D2" s="41" t="s">
        <v>162</v>
      </c>
      <c r="E2" s="41" t="s">
        <v>312</v>
      </c>
      <c r="F2" s="1" t="s">
        <v>317</v>
      </c>
      <c r="G2" s="47" t="s">
        <v>346</v>
      </c>
      <c r="H2" s="22" t="s">
        <v>275</v>
      </c>
      <c r="I2" s="1">
        <v>0</v>
      </c>
      <c r="J2" s="1" t="s">
        <v>303</v>
      </c>
      <c r="K2" s="1" t="s">
        <v>209</v>
      </c>
      <c r="L2" t="s">
        <v>313</v>
      </c>
      <c r="M2" s="38">
        <f>ROUND(SUM(AA2+AB2+I2),2)</f>
        <v>1650</v>
      </c>
      <c r="N2" s="38">
        <f>AC2</f>
        <v>133650</v>
      </c>
      <c r="O2" s="1"/>
      <c r="P2" s="1"/>
      <c r="Q2" s="1">
        <f>M2</f>
        <v>1650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356</v>
      </c>
      <c r="AB2" t="s">
        <v>310</v>
      </c>
      <c r="AC2">
        <f>ROUND(SUM((AA2*L2)+(AB2*L2)+(I2*L2)),2)</f>
        <v>133650</v>
      </c>
      <c r="AD2" t="s">
        <v>344</v>
      </c>
    </row>
    <row r="3" spans="1:30">
      <c r="A3" s="1">
        <v>2</v>
      </c>
      <c r="B3" s="48" t="s">
        <v>342</v>
      </c>
      <c r="C3" s="1"/>
      <c r="D3" s="1"/>
      <c r="E3" s="1"/>
      <c r="F3" s="1" t="s">
        <v>317</v>
      </c>
      <c r="G3" s="47" t="s">
        <v>346</v>
      </c>
      <c r="H3" s="22"/>
      <c r="I3" s="1">
        <v>1000</v>
      </c>
      <c r="J3" s="1" t="s">
        <v>276</v>
      </c>
      <c r="K3" s="1" t="s">
        <v>209</v>
      </c>
      <c r="L3">
        <v>1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1000</v>
      </c>
      <c r="AD3" t="s">
        <v>345</v>
      </c>
    </row>
    <row r="4" spans="1:30">
      <c r="I4">
        <f>SUM(I2:I3)</f>
        <v>1000</v>
      </c>
      <c r="M4">
        <f>ROUND(M2-M3,2)</f>
        <v>650</v>
      </c>
      <c r="N4">
        <f>ROUND(N2-N3,2)</f>
        <v>132650</v>
      </c>
      <c r="Q4">
        <f>SUM(Q2:Q3)</f>
        <v>2650</v>
      </c>
      <c r="AC4">
        <f>ROUND(AC2-AC3,2)</f>
        <v>132650</v>
      </c>
      <c r="AD4" t="s">
        <v>345</v>
      </c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D4"/>
  <sheetViews>
    <sheetView workbookViewId="0">
      <selection activeCell="E3" sqref="E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343</v>
      </c>
    </row>
    <row r="2" spans="1:30">
      <c r="A2" s="1">
        <v>1</v>
      </c>
      <c r="B2" s="48" t="s">
        <v>319</v>
      </c>
      <c r="C2" s="1" t="s">
        <v>151</v>
      </c>
      <c r="D2" s="1" t="s">
        <v>152</v>
      </c>
      <c r="E2" s="1" t="s">
        <v>299</v>
      </c>
      <c r="F2" s="1" t="s">
        <v>317</v>
      </c>
      <c r="G2" s="47" t="s">
        <v>346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320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311</v>
      </c>
      <c r="AB2" t="s">
        <v>310</v>
      </c>
      <c r="AC2">
        <f>ROUND(SUM((AA2*L2)+(AB2*L2)+(I2*L2)),2)</f>
        <v>0</v>
      </c>
      <c r="AD2" t="s">
        <v>344</v>
      </c>
    </row>
    <row r="3" spans="1:30">
      <c r="A3" s="1">
        <v>2</v>
      </c>
      <c r="B3" s="48" t="s">
        <v>342</v>
      </c>
      <c r="C3" s="1"/>
      <c r="D3" s="1"/>
      <c r="E3" s="1"/>
      <c r="F3" s="1" t="s">
        <v>317</v>
      </c>
      <c r="G3" s="47" t="s">
        <v>346</v>
      </c>
      <c r="H3" s="22"/>
      <c r="I3" s="1">
        <v>1000</v>
      </c>
      <c r="J3" s="1" t="s">
        <v>276</v>
      </c>
      <c r="K3" s="1" t="s">
        <v>207</v>
      </c>
      <c r="L3" t="s">
        <v>320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1000</v>
      </c>
      <c r="AD3" t="s">
        <v>345</v>
      </c>
    </row>
    <row r="4" spans="1:30">
      <c r="I4">
        <f>SUM(I2:I3)</f>
        <v>1000</v>
      </c>
      <c r="M4">
        <f>ROUND(M2-M3,2)</f>
        <v>-1000</v>
      </c>
      <c r="N4">
        <f>ROUND(N2-N3,2)</f>
        <v>-1000</v>
      </c>
      <c r="Q4">
        <f>SUM(Q2:Q3)</f>
        <v>1000</v>
      </c>
      <c r="AC4">
        <f>ROUND(AC2-AC3,2)</f>
        <v>-1000</v>
      </c>
      <c r="AD4" t="s">
        <v>345</v>
      </c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AG3"/>
  <sheetViews>
    <sheetView workbookViewId="0">
      <selection activeCell="E13" sqref="E13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343</v>
      </c>
      <c r="AE1">
        <v>1</v>
      </c>
      <c r="AF1" s="56" t="s">
        <v>355</v>
      </c>
      <c r="AG1" s="55" t="s">
        <v>354</v>
      </c>
    </row>
    <row r="2" spans="1:33">
      <c r="A2" s="1">
        <v>1</v>
      </c>
      <c r="B2" s="48" t="s">
        <v>347</v>
      </c>
      <c r="C2" s="1"/>
      <c r="D2" s="1"/>
      <c r="E2" s="1"/>
      <c r="F2" s="1" t="s">
        <v>317</v>
      </c>
      <c r="G2" s="47" t="s">
        <v>346</v>
      </c>
      <c r="H2" s="22" t="s">
        <v>349</v>
      </c>
      <c r="I2" s="1">
        <v>1000</v>
      </c>
      <c r="J2" s="1" t="s">
        <v>276</v>
      </c>
      <c r="K2" s="1" t="s">
        <v>207</v>
      </c>
      <c r="L2" t="s">
        <v>320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351</v>
      </c>
      <c r="AA2" t="s">
        <v>310</v>
      </c>
      <c r="AB2" t="s">
        <v>310</v>
      </c>
      <c r="AC2">
        <f>ROUND(SUM((AA2*L2)+(AB2*L2)+(I2*L2)+R2+S2+T2+U2+W2),2)</f>
        <v>1180</v>
      </c>
      <c r="AD2" t="s">
        <v>344</v>
      </c>
      <c r="AE2">
        <v>34</v>
      </c>
      <c r="AF2" t="s">
        <v>352</v>
      </c>
      <c r="AG2" t="s">
        <v>353</v>
      </c>
    </row>
    <row r="3" spans="1:33">
      <c r="I3">
        <f>SUM(I2:I2)</f>
        <v>1000</v>
      </c>
      <c r="M3">
        <f>SUM(M2+R2+S2+T2+U2+W2)</f>
        <v>1180</v>
      </c>
      <c r="N3">
        <f>SUM(N2+R2+S2+T2+U2+W2)</f>
        <v>1180</v>
      </c>
      <c r="Q3">
        <f>SUM(Q2:Q2)</f>
        <v>1000</v>
      </c>
      <c r="R3">
        <f>SUM(R2:R2)</f>
        <v>90</v>
      </c>
      <c r="S3">
        <f>SUM(S2:S2)</f>
        <v>90</v>
      </c>
      <c r="T3">
        <f>SUM(T2:T2)</f>
        <v>0</v>
      </c>
      <c r="U3">
        <f>SUM(U2:U2)</f>
        <v>0</v>
      </c>
      <c r="AC3">
        <f>SUM(AC2)</f>
        <v>1180</v>
      </c>
      <c r="AD3" t="s">
        <v>344</v>
      </c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G4"/>
  <sheetViews>
    <sheetView workbookViewId="0">
      <selection activeCell="AG3" sqref="B3:AG3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343</v>
      </c>
      <c r="AE1">
        <v>1</v>
      </c>
      <c r="AF1" s="56" t="s">
        <v>355</v>
      </c>
      <c r="AG1" s="55" t="s">
        <v>354</v>
      </c>
    </row>
    <row r="2" spans="1:33">
      <c r="A2" s="1">
        <v>1</v>
      </c>
      <c r="B2" s="48" t="s">
        <v>348</v>
      </c>
      <c r="C2" s="1"/>
      <c r="D2" s="1"/>
      <c r="E2" s="1"/>
      <c r="F2" s="1" t="s">
        <v>317</v>
      </c>
      <c r="G2" s="47" t="s">
        <v>346</v>
      </c>
      <c r="H2" s="22" t="s">
        <v>275</v>
      </c>
      <c r="I2" s="1">
        <v>10000</v>
      </c>
      <c r="J2" s="1" t="s">
        <v>303</v>
      </c>
      <c r="K2" s="1" t="s">
        <v>207</v>
      </c>
      <c r="L2" t="s">
        <v>320</v>
      </c>
      <c r="M2" s="38">
        <f>ROUND(SUM(AA2+AB2+I2),2)</f>
        <v>10000</v>
      </c>
      <c r="N2" s="38">
        <f>AC2</f>
        <v>11800</v>
      </c>
      <c r="O2" s="1">
        <v>88363222</v>
      </c>
      <c r="P2" s="54">
        <v>0.18</v>
      </c>
      <c r="Q2" s="1">
        <f>M2</f>
        <v>10000</v>
      </c>
      <c r="R2" s="1">
        <f>IF(OR($AE$1=1,$AE$1=4),ROUND((Q2*P2)/2,2),0)</f>
        <v>900</v>
      </c>
      <c r="S2" s="1">
        <f>IF($AE$1=1,ROUND(((Q2*P2)/2),2),0)</f>
        <v>900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350</v>
      </c>
      <c r="AA2" t="s">
        <v>310</v>
      </c>
      <c r="AB2" t="s">
        <v>310</v>
      </c>
      <c r="AC2">
        <f>ROUND(SUM((AA2*L2)+(AB2*L2)+(I2*L2)+R2+S2+T2+U2+W2),2)</f>
        <v>11800</v>
      </c>
      <c r="AD2" t="s">
        <v>344</v>
      </c>
      <c r="AE2">
        <v>34</v>
      </c>
      <c r="AF2" t="s">
        <v>180</v>
      </c>
      <c r="AG2" t="s">
        <v>353</v>
      </c>
    </row>
    <row r="3" spans="1:33">
      <c r="A3" s="1">
        <v>2</v>
      </c>
      <c r="B3" s="48" t="s">
        <v>347</v>
      </c>
      <c r="C3" s="1"/>
      <c r="D3" s="1"/>
      <c r="E3" s="1"/>
      <c r="F3" s="1" t="s">
        <v>317</v>
      </c>
      <c r="G3" s="47" t="s">
        <v>346</v>
      </c>
      <c r="H3" s="22" t="s">
        <v>349</v>
      </c>
      <c r="I3" s="1">
        <v>1000</v>
      </c>
      <c r="J3" s="1" t="s">
        <v>276</v>
      </c>
      <c r="K3" s="1" t="s">
        <v>207</v>
      </c>
      <c r="L3" t="s">
        <v>320</v>
      </c>
      <c r="M3" s="38">
        <f>ROUND(SUM(AA3+AB3+I3),2)</f>
        <v>1000</v>
      </c>
      <c r="N3" s="38">
        <f>AC3</f>
        <v>1180</v>
      </c>
      <c r="O3" s="1">
        <v>88363222</v>
      </c>
      <c r="P3" s="54">
        <v>0.18</v>
      </c>
      <c r="Q3" s="1">
        <f>M3</f>
        <v>1000</v>
      </c>
      <c r="R3" s="1">
        <f>IF(OR($AE$1=1,$AE$1=4),ROUND((Q3*P3)/2,2),0)</f>
        <v>90</v>
      </c>
      <c r="S3" s="1">
        <f>IF($AE$1=1,ROUND(((Q3*P3)/2),2),0)</f>
        <v>90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351</v>
      </c>
      <c r="AA3" t="s">
        <v>310</v>
      </c>
      <c r="AB3" t="s">
        <v>310</v>
      </c>
      <c r="AC3">
        <f>ROUND(SUM((AA3*L3)+(AB3*L3)+(I3*L3)+R3+S3+T3+U3+W3),2)</f>
        <v>1180</v>
      </c>
      <c r="AD3" t="s">
        <v>344</v>
      </c>
      <c r="AE3">
        <v>34</v>
      </c>
      <c r="AF3" t="s">
        <v>352</v>
      </c>
      <c r="AG3" t="s">
        <v>353</v>
      </c>
    </row>
    <row r="4" spans="1:33">
      <c r="I4">
        <f>SUM(I2:I3)</f>
        <v>11000</v>
      </c>
      <c r="M4">
        <f>ROUND(M2-M3,2)</f>
        <v>9000</v>
      </c>
      <c r="N4">
        <f>ROUND(N2-N3,2)</f>
        <v>10620</v>
      </c>
      <c r="Q4">
        <f>SUM(Q2:Q3)</f>
        <v>11000</v>
      </c>
      <c r="R4">
        <f>SUM(R2:R3)</f>
        <v>990</v>
      </c>
      <c r="S4">
        <f>SUM(S2:S3)</f>
        <v>990</v>
      </c>
      <c r="T4">
        <f>SUM(T2:T3)</f>
        <v>0</v>
      </c>
      <c r="U4">
        <f>SUM(U2:U3)</f>
        <v>0</v>
      </c>
      <c r="AC4">
        <f>ROUND(AC2-AC3,2)</f>
        <v>10620</v>
      </c>
      <c r="AD4" t="s">
        <v>344</v>
      </c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G3"/>
  <sheetViews>
    <sheetView workbookViewId="0">
      <selection activeCell="B7" sqref="B7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343</v>
      </c>
      <c r="AE1">
        <v>3</v>
      </c>
      <c r="AF1" s="56" t="s">
        <v>355</v>
      </c>
      <c r="AG1" s="55" t="s">
        <v>354</v>
      </c>
    </row>
    <row r="2" spans="1:33">
      <c r="A2" s="1">
        <v>1</v>
      </c>
      <c r="B2" s="48" t="s">
        <v>347</v>
      </c>
      <c r="C2" s="1"/>
      <c r="D2" s="1"/>
      <c r="E2" s="1"/>
      <c r="F2" s="1" t="s">
        <v>317</v>
      </c>
      <c r="G2" s="47" t="s">
        <v>346</v>
      </c>
      <c r="H2" s="22" t="s">
        <v>349</v>
      </c>
      <c r="I2" s="1">
        <v>1000</v>
      </c>
      <c r="J2" s="1" t="s">
        <v>276</v>
      </c>
      <c r="K2" s="1" t="s">
        <v>207</v>
      </c>
      <c r="L2" t="s">
        <v>320</v>
      </c>
      <c r="M2" s="38">
        <f>ROUND(SUM(AA2+AB2+I2),2)</f>
        <v>1000</v>
      </c>
      <c r="N2" s="38">
        <f>AC2</f>
        <v>82500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351</v>
      </c>
      <c r="AA2" t="s">
        <v>310</v>
      </c>
      <c r="AB2" t="s">
        <v>310</v>
      </c>
      <c r="AC2">
        <f>ROUND(SUM((AA2*L2)+(AB2*L2)+(I2*L2)+R2+S2+T2+U2+W2),2)</f>
        <v>82500</v>
      </c>
      <c r="AD2" t="s">
        <v>344</v>
      </c>
      <c r="AE2">
        <v>34</v>
      </c>
      <c r="AF2" t="s">
        <v>352</v>
      </c>
      <c r="AG2" t="s">
        <v>353</v>
      </c>
    </row>
    <row r="3" spans="1:33">
      <c r="I3">
        <f>SUM(I2:I2)</f>
        <v>1000</v>
      </c>
      <c r="M3">
        <f>SUM(M2)</f>
        <v>1000</v>
      </c>
      <c r="N3">
        <f>SUM(N2)</f>
        <v>82500</v>
      </c>
      <c r="Q3">
        <f>SUM(Q2:Q2)</f>
        <v>1000</v>
      </c>
      <c r="R3">
        <f>SUM(R2:R2)</f>
        <v>0</v>
      </c>
      <c r="S3">
        <f>SUM(S2:S2)</f>
        <v>0</v>
      </c>
      <c r="T3">
        <f>SUM(T2:T2)</f>
        <v>0</v>
      </c>
      <c r="U3">
        <f>SUM(U2:U2)</f>
        <v>0</v>
      </c>
      <c r="AC3">
        <f>SUM(AC2)</f>
        <v>82500</v>
      </c>
      <c r="AD3" t="s">
        <v>344</v>
      </c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G4"/>
  <sheetViews>
    <sheetView workbookViewId="0">
      <selection activeCell="E2" sqref="E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343</v>
      </c>
      <c r="AE1">
        <v>3</v>
      </c>
      <c r="AF1" s="56" t="s">
        <v>355</v>
      </c>
      <c r="AG1" s="55" t="s">
        <v>354</v>
      </c>
    </row>
    <row r="2" spans="1:33">
      <c r="A2" s="1">
        <v>1</v>
      </c>
      <c r="B2" s="48" t="s">
        <v>348</v>
      </c>
      <c r="C2" s="1"/>
      <c r="D2" s="1"/>
      <c r="E2" s="1"/>
      <c r="F2" s="1" t="s">
        <v>317</v>
      </c>
      <c r="G2" s="47" t="s">
        <v>346</v>
      </c>
      <c r="H2" s="22" t="s">
        <v>275</v>
      </c>
      <c r="I2" s="1">
        <v>10000</v>
      </c>
      <c r="J2" s="1" t="s">
        <v>303</v>
      </c>
      <c r="K2" s="1" t="s">
        <v>207</v>
      </c>
      <c r="L2" t="s">
        <v>320</v>
      </c>
      <c r="M2" s="38">
        <f>ROUND(SUM(AA2+AB2+I2),2)</f>
        <v>10000</v>
      </c>
      <c r="N2" s="38">
        <f>AC2</f>
        <v>10000</v>
      </c>
      <c r="O2" s="1">
        <v>88363222</v>
      </c>
      <c r="P2" s="54">
        <v>0.18</v>
      </c>
      <c r="Q2" s="1">
        <f>M2</f>
        <v>10000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350</v>
      </c>
      <c r="AA2" t="s">
        <v>310</v>
      </c>
      <c r="AB2" t="s">
        <v>310</v>
      </c>
      <c r="AC2">
        <f>ROUND(SUM((AA2*L2)+(AB2*L2)+(I2*L2)+R2+S2+T2+U2+W2),2)</f>
        <v>10000</v>
      </c>
      <c r="AD2" t="s">
        <v>344</v>
      </c>
      <c r="AE2">
        <v>34</v>
      </c>
      <c r="AF2" t="s">
        <v>180</v>
      </c>
      <c r="AG2" t="s">
        <v>353</v>
      </c>
    </row>
    <row r="3" spans="1:33">
      <c r="A3" s="1">
        <v>2</v>
      </c>
      <c r="B3" s="48" t="s">
        <v>347</v>
      </c>
      <c r="C3" s="1"/>
      <c r="D3" s="1"/>
      <c r="E3" s="1"/>
      <c r="F3" s="1" t="s">
        <v>317</v>
      </c>
      <c r="G3" s="47" t="s">
        <v>346</v>
      </c>
      <c r="H3" s="22" t="s">
        <v>349</v>
      </c>
      <c r="I3" s="1">
        <v>1000</v>
      </c>
      <c r="J3" s="1" t="s">
        <v>276</v>
      </c>
      <c r="K3" s="1" t="s">
        <v>207</v>
      </c>
      <c r="L3" t="s">
        <v>320</v>
      </c>
      <c r="M3" s="38">
        <f>ROUND(SUM(AA3+AB3+I3),2)</f>
        <v>1000</v>
      </c>
      <c r="N3" s="38">
        <f>AC3</f>
        <v>1000</v>
      </c>
      <c r="O3" s="1">
        <v>88363222</v>
      </c>
      <c r="P3" s="54">
        <v>0.18</v>
      </c>
      <c r="Q3" s="1">
        <f>M3</f>
        <v>1000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351</v>
      </c>
      <c r="AA3" t="s">
        <v>310</v>
      </c>
      <c r="AB3" t="s">
        <v>310</v>
      </c>
      <c r="AC3">
        <f>ROUND(SUM((AA3*L3)+(AB3*L3)+(I3*L3)+R3+S3+T3+U3+W3),2)</f>
        <v>1000</v>
      </c>
      <c r="AD3" t="s">
        <v>344</v>
      </c>
      <c r="AE3">
        <v>34</v>
      </c>
      <c r="AF3" t="s">
        <v>352</v>
      </c>
      <c r="AG3" t="s">
        <v>353</v>
      </c>
    </row>
    <row r="4" spans="1:33">
      <c r="I4">
        <f>SUM(I2:I3)</f>
        <v>11000</v>
      </c>
      <c r="M4">
        <f>ROUND(M2-M3,2)</f>
        <v>9000</v>
      </c>
      <c r="N4">
        <f>ROUND(N2-N3,2)</f>
        <v>9000</v>
      </c>
      <c r="Q4">
        <f>SUM(Q2:Q3)</f>
        <v>11000</v>
      </c>
      <c r="R4">
        <f>SUM(R2:R3)</f>
        <v>0</v>
      </c>
      <c r="S4">
        <f>SUM(S2:S3)</f>
        <v>0</v>
      </c>
      <c r="T4">
        <f>SUM(T2:T3)</f>
        <v>0</v>
      </c>
      <c r="U4">
        <f>SUM(U2:U3)</f>
        <v>0</v>
      </c>
      <c r="AC4">
        <f>ROUND(AC2-AC3,2)</f>
        <v>9000</v>
      </c>
      <c r="AD4" t="s">
        <v>344</v>
      </c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I4"/>
  <sheetViews>
    <sheetView workbookViewId="0">
      <selection activeCell="A2" sqref="A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37" t="s">
        <v>304</v>
      </c>
      <c r="Y1" s="37" t="s">
        <v>204</v>
      </c>
      <c r="Z1" s="37" t="s">
        <v>306</v>
      </c>
      <c r="AA1" s="37" t="s">
        <v>307</v>
      </c>
      <c r="AB1" s="37" t="s">
        <v>308</v>
      </c>
      <c r="AC1" s="37" t="s">
        <v>309</v>
      </c>
      <c r="AD1" s="37" t="s">
        <v>343</v>
      </c>
      <c r="AE1" s="1">
        <v>1</v>
      </c>
      <c r="AF1" s="37" t="s">
        <v>355</v>
      </c>
      <c r="AG1" s="37" t="s">
        <v>354</v>
      </c>
      <c r="AH1" s="57" t="s">
        <v>359</v>
      </c>
      <c r="AI1" s="57" t="s">
        <v>360</v>
      </c>
    </row>
    <row r="2" spans="1:35">
      <c r="A2" s="1">
        <v>1</v>
      </c>
      <c r="B2" s="48" t="s">
        <v>347</v>
      </c>
      <c r="C2" s="1"/>
      <c r="D2" s="1"/>
      <c r="E2" s="1"/>
      <c r="F2" s="1" t="s">
        <v>317</v>
      </c>
      <c r="G2" s="47" t="s">
        <v>346</v>
      </c>
      <c r="H2" s="22" t="s">
        <v>349</v>
      </c>
      <c r="I2" s="1">
        <v>1000</v>
      </c>
      <c r="J2" s="1" t="s">
        <v>276</v>
      </c>
      <c r="K2" s="1" t="s">
        <v>207</v>
      </c>
      <c r="L2" s="1">
        <v>1</v>
      </c>
      <c r="M2" s="38">
        <f>ROUND(SUM(AA2+AB2+I2),2)</f>
        <v>1000</v>
      </c>
      <c r="N2" s="38">
        <f>AC2</f>
        <v>1180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351</v>
      </c>
      <c r="AA2" s="1" t="s">
        <v>310</v>
      </c>
      <c r="AB2" s="1" t="s">
        <v>310</v>
      </c>
      <c r="AC2" s="1">
        <f>ROUND(SUM((AA2*L2)+(AB2*L2)+(I2*L2)+R2+S2+T2+U2+W2),2)</f>
        <v>1180</v>
      </c>
      <c r="AD2" s="1" t="s">
        <v>344</v>
      </c>
      <c r="AE2" s="1">
        <v>34</v>
      </c>
      <c r="AF2" s="1" t="s">
        <v>352</v>
      </c>
      <c r="AG2" s="1" t="s">
        <v>353</v>
      </c>
      <c r="AH2" s="54">
        <v>0.01</v>
      </c>
      <c r="AI2" s="1">
        <f>Q2*AH2</f>
        <v>10</v>
      </c>
    </row>
    <row r="3" spans="1:35">
      <c r="A3" s="1">
        <v>2</v>
      </c>
      <c r="B3" s="58" t="s">
        <v>358</v>
      </c>
      <c r="C3" s="1"/>
      <c r="D3" s="1"/>
      <c r="E3" s="1"/>
      <c r="F3" s="1" t="s">
        <v>317</v>
      </c>
      <c r="G3" s="47" t="s">
        <v>346</v>
      </c>
      <c r="H3" s="22" t="s">
        <v>349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4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351</v>
      </c>
      <c r="AA3" s="1" t="s">
        <v>310</v>
      </c>
      <c r="AB3" s="1" t="s">
        <v>310</v>
      </c>
      <c r="AC3" s="1">
        <f>ROUND(SUM((AA3*L3)+(AB3*L3)+(I3*L3)+R3+S3+T3+U3+W3),2)</f>
        <v>10</v>
      </c>
      <c r="AD3" s="1" t="s">
        <v>344</v>
      </c>
      <c r="AE3" s="1"/>
      <c r="AF3" s="1"/>
      <c r="AG3" s="1"/>
      <c r="AH3" s="1"/>
      <c r="AI3" s="1"/>
    </row>
    <row r="4" spans="1:35">
      <c r="I4">
        <f>SUM(I2:I2)</f>
        <v>1000</v>
      </c>
      <c r="M4">
        <f>SUM(M2)</f>
        <v>1000</v>
      </c>
      <c r="N4">
        <f>SUM(N2)</f>
        <v>1180</v>
      </c>
      <c r="Q4">
        <f>SUM(Q2:Q3)</f>
        <v>1000</v>
      </c>
      <c r="R4">
        <f>SUM(R2:R3)</f>
        <v>90</v>
      </c>
      <c r="S4">
        <f>SUM(S2:S3)</f>
        <v>90</v>
      </c>
      <c r="T4">
        <f>SUM(T2:T3)</f>
        <v>0</v>
      </c>
      <c r="U4">
        <f>SUM(U2:U3)</f>
        <v>0</v>
      </c>
      <c r="AC4">
        <f>AC2-AC3</f>
        <v>1170</v>
      </c>
      <c r="AD4" t="s">
        <v>344</v>
      </c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I4"/>
  <sheetViews>
    <sheetView topLeftCell="V1" workbookViewId="0">
      <selection activeCell="AD1" sqref="AD1:AD3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343</v>
      </c>
      <c r="AE1">
        <v>1</v>
      </c>
      <c r="AF1" s="56" t="s">
        <v>355</v>
      </c>
      <c r="AG1" s="55" t="s">
        <v>354</v>
      </c>
      <c r="AH1" s="57" t="s">
        <v>359</v>
      </c>
      <c r="AI1" s="57" t="s">
        <v>360</v>
      </c>
    </row>
    <row r="2" spans="1:35">
      <c r="A2" s="1">
        <v>1</v>
      </c>
      <c r="B2" s="48" t="s">
        <v>347</v>
      </c>
      <c r="C2" s="1"/>
      <c r="D2" s="1"/>
      <c r="E2" s="1"/>
      <c r="F2" s="1" t="s">
        <v>317</v>
      </c>
      <c r="G2" s="47" t="s">
        <v>346</v>
      </c>
      <c r="H2" s="22" t="s">
        <v>349</v>
      </c>
      <c r="I2" s="1">
        <v>1000</v>
      </c>
      <c r="J2" s="1" t="s">
        <v>276</v>
      </c>
      <c r="K2" s="1" t="s">
        <v>207</v>
      </c>
      <c r="L2" t="s">
        <v>320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351</v>
      </c>
      <c r="AA2" t="s">
        <v>310</v>
      </c>
      <c r="AB2" t="s">
        <v>310</v>
      </c>
      <c r="AC2">
        <f>ROUND(SUM((AA2*L2)+(AB2*L2)+(I2*L2)+R2+S2+T2+U2+W2),2)</f>
        <v>1180</v>
      </c>
      <c r="AD2" t="s">
        <v>344</v>
      </c>
      <c r="AE2">
        <v>34</v>
      </c>
      <c r="AF2" t="s">
        <v>352</v>
      </c>
      <c r="AG2" t="s">
        <v>353</v>
      </c>
      <c r="AH2" s="54">
        <v>0.01</v>
      </c>
      <c r="AI2" s="1">
        <f>Q2*AH2</f>
        <v>10</v>
      </c>
    </row>
    <row r="3" spans="1:35">
      <c r="A3" s="1">
        <v>2</v>
      </c>
      <c r="B3" s="58" t="s">
        <v>358</v>
      </c>
      <c r="C3" s="1"/>
      <c r="D3" s="1"/>
      <c r="E3" s="1"/>
      <c r="F3" s="1" t="s">
        <v>317</v>
      </c>
      <c r="G3" s="47" t="s">
        <v>346</v>
      </c>
      <c r="H3" s="22" t="s">
        <v>349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4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351</v>
      </c>
      <c r="AA3" t="s">
        <v>310</v>
      </c>
      <c r="AB3" t="s">
        <v>310</v>
      </c>
      <c r="AC3" s="1">
        <f>ROUND(SUM((AA3*L3)+(AB3*L3)+(I3*L3)+R3+S3+T3+U3+W3),2)</f>
        <v>10</v>
      </c>
      <c r="AD3" s="1" t="s">
        <v>344</v>
      </c>
      <c r="AE3" s="1"/>
      <c r="AF3" s="1"/>
      <c r="AG3" s="1"/>
      <c r="AH3" s="1"/>
      <c r="AI3" s="1"/>
    </row>
    <row r="4" spans="1:35">
      <c r="I4">
        <f>SUM(I2:I2)</f>
        <v>1000</v>
      </c>
      <c r="M4">
        <f>SUM(M2+R2+S2+T2+U2+W2)-M3</f>
        <v>1170</v>
      </c>
      <c r="N4">
        <f>SUM(N2+R2+S2+T2+U2+W2)-N3</f>
        <v>1170</v>
      </c>
      <c r="Q4">
        <f>SUM(Q2:Q2)</f>
        <v>1000</v>
      </c>
      <c r="R4">
        <f>SUM(R2:R2)</f>
        <v>90</v>
      </c>
      <c r="S4">
        <f>SUM(S2:S2)</f>
        <v>90</v>
      </c>
      <c r="T4">
        <f>SUM(T2:T2)</f>
        <v>0</v>
      </c>
      <c r="U4">
        <f>SUM(U2:U2)</f>
        <v>0</v>
      </c>
      <c r="AC4">
        <f>AC2-AC3</f>
        <v>1170</v>
      </c>
      <c r="AD4" t="s">
        <v>344</v>
      </c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D3"/>
  <sheetViews>
    <sheetView topLeftCell="P1" workbookViewId="0">
      <selection activeCell="X3" sqref="X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343</v>
      </c>
    </row>
    <row r="2" spans="1:30">
      <c r="A2" s="1">
        <v>1</v>
      </c>
      <c r="B2" s="47" t="s">
        <v>318</v>
      </c>
      <c r="C2" s="1" t="s">
        <v>280</v>
      </c>
      <c r="D2" s="1" t="s">
        <v>243</v>
      </c>
      <c r="E2" s="1" t="s">
        <v>281</v>
      </c>
      <c r="F2" s="1" t="s">
        <v>317</v>
      </c>
      <c r="G2" s="47" t="s">
        <v>346</v>
      </c>
      <c r="H2" s="22" t="s">
        <v>275</v>
      </c>
      <c r="I2" s="1">
        <v>10000</v>
      </c>
      <c r="J2" s="1" t="s">
        <v>276</v>
      </c>
      <c r="K2" s="1" t="s">
        <v>207</v>
      </c>
      <c r="L2" t="s">
        <v>320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10000</v>
      </c>
      <c r="AD2" t="s">
        <v>344</v>
      </c>
    </row>
    <row r="3" spans="1:30">
      <c r="M3">
        <f>SUM(M2)</f>
        <v>10000</v>
      </c>
      <c r="N3">
        <f>SUM(N2)</f>
        <v>10000</v>
      </c>
      <c r="Q3">
        <f>SUM(Q2)</f>
        <v>10000</v>
      </c>
      <c r="AA3" t="s">
        <v>310</v>
      </c>
      <c r="AB3" t="s">
        <v>310</v>
      </c>
      <c r="AC3">
        <f>SUM(AC2)</f>
        <v>10000</v>
      </c>
      <c r="AD3" s="1" t="s">
        <v>344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DocSecurity>0</DocSecurity>
  <ScaleCrop>false</ScaleCrop>
  <HeadingPairs>
    <vt:vector size="2" baseType="variant">
      <vt:variant>
        <vt:lpstr>Worksheets</vt:lpstr>
      </vt:variant>
      <vt:variant>
        <vt:i4>58</vt:i4>
      </vt:variant>
    </vt:vector>
  </HeadingPairs>
  <TitlesOfParts>
    <vt:vector size="58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BankPaymentMultiPartyMultiBills</vt:lpstr>
      <vt:lpstr>BankPaymentMPMB</vt:lpstr>
      <vt:lpstr>BankPaymentMultiParty</vt:lpstr>
      <vt:lpstr>BankPaymentMultiNewRef</vt:lpstr>
      <vt:lpstr>BPSPMB</vt:lpstr>
      <vt:lpstr>BankPayment</vt:lpstr>
      <vt:lpstr>BankPaymentINR</vt:lpstr>
      <vt:lpstr>BankPaymentINRMulti</vt:lpstr>
      <vt:lpstr>BankPaymentINRMPMBNR</vt:lpstr>
      <vt:lpstr>BankPaymentINRMPMB</vt:lpstr>
      <vt:lpstr>BankPaymentINRMPSB</vt:lpstr>
      <vt:lpstr>BankPaymentUSD</vt:lpstr>
      <vt:lpstr>BankPaymentChargesUSD</vt:lpstr>
      <vt:lpstr>BankPaymentCharges</vt:lpstr>
      <vt:lpstr>BankPaymentUSDMulti</vt:lpstr>
      <vt:lpstr>BankPaymentUSDMPSB</vt:lpstr>
      <vt:lpstr>BankPaymentUSDMPMB</vt:lpstr>
      <vt:lpstr>BankPaymentUSDMPMBNR</vt:lpstr>
      <vt:lpstr>MultiGRN</vt:lpstr>
      <vt:lpstr>BankReceipt (2)</vt:lpstr>
      <vt:lpstr>BankReceipt</vt:lpstr>
      <vt:lpstr>BankReceiptMulti</vt:lpstr>
      <vt:lpstr>BankReceiptUSD</vt:lpstr>
      <vt:lpstr>BankReceiptMultiNewRefUSD</vt:lpstr>
      <vt:lpstr>BankReceiptMultiUSD</vt:lpstr>
      <vt:lpstr>BankReceiptMultiNewRef</vt:lpstr>
      <vt:lpstr>BankReceiptMulti (2)</vt:lpstr>
      <vt:lpstr>BankReceiptMultiNewRef (2)</vt:lpstr>
      <vt:lpstr>BankReceiptPDC</vt:lpstr>
      <vt:lpstr>BankReceiptChargesUSD</vt:lpstr>
      <vt:lpstr>BankReceiptCharges</vt:lpstr>
      <vt:lpstr>BankPaymentExpGST</vt:lpstr>
      <vt:lpstr>BankReceiptRevExpGST</vt:lpstr>
      <vt:lpstr>BankPaymentExp</vt:lpstr>
      <vt:lpstr>BankReceiptRevExp</vt:lpstr>
      <vt:lpstr>BankPaymentExpTDS</vt:lpstr>
      <vt:lpstr>BankPaymentExpGSTTDS</vt:lpstr>
      <vt:lpstr>BankPaymentPDC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galaxy</dc:creator>
  <cp:lastModifiedBy>Harikrishna</cp:lastModifiedBy>
  <dcterms:created xsi:type="dcterms:W3CDTF">2025-01-30T07:28:00Z</dcterms:created>
  <dcterms:modified xsi:type="dcterms:W3CDTF">2025-12-17T09:23:38Z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1033-12.2.0.20795</vt:lpwstr>
  </property>
</Properties>
</file>