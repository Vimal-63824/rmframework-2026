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78.xml" ContentType="application/vnd.openxmlformats-officedocument.spreadsheetml.worksheet+xml"/>
  <Override PartName="/xl/worksheets/sheet87.xml" ContentType="application/vnd.openxmlformats-officedocument.spreadsheetml.worksheet+xml"/>
  <Override PartName="/xl/worksheets/sheet96.xml" ContentType="application/vnd.openxmlformats-officedocument.spreadsheetml.worksheet+xml"/>
  <Override PartName="/xl/worksheets/sheet10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worksheets/sheet85.xml" ContentType="application/vnd.openxmlformats-officedocument.spreadsheetml.worksheet+xml"/>
  <Override PartName="/xl/worksheets/sheet94.xml" ContentType="application/vnd.openxmlformats-officedocument.spreadsheetml.worksheet+xml"/>
  <Override PartName="/xl/worksheets/sheet104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4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6.xml" ContentType="application/vnd.openxmlformats-officedocument.spreadsheetml.worksheet+xml"/>
  <Override PartName="/xl/worksheets/sheet65.xml" ContentType="application/vnd.openxmlformats-officedocument.spreadsheetml.worksheet+xml"/>
  <Override PartName="/xl/worksheets/sheet74.xml" ContentType="application/vnd.openxmlformats-officedocument.spreadsheetml.worksheet+xml"/>
  <Override PartName="/xl/worksheets/sheet83.xml" ContentType="application/vnd.openxmlformats-officedocument.spreadsheetml.worksheet+xml"/>
  <Override PartName="/xl/worksheets/sheet92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81.xml" ContentType="application/vnd.openxmlformats-officedocument.spreadsheetml.worksheet+xml"/>
  <Override PartName="/xl/worksheets/sheet90.xml" ContentType="application/vnd.openxmlformats-officedocument.spreadsheetml.worksheet+xml"/>
  <Override PartName="/xl/worksheets/sheet10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27" activeTab="30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INR" sheetId="41" r:id="rId27"/>
    <sheet name="BankPaymentINRMulti" sheetId="46" r:id="rId28"/>
    <sheet name="BankPaymentINRMPMBNR" sheetId="50" r:id="rId29"/>
    <sheet name="BankPaymentINRMPMBMU" sheetId="120" r:id="rId30"/>
    <sheet name="BankPaymentINRMultiUnits" sheetId="121" r:id="rId31"/>
    <sheet name="BankPaymentINRMPMB" sheetId="49" r:id="rId32"/>
    <sheet name="BankPaymentINRMPSB" sheetId="48" r:id="rId33"/>
    <sheet name="BankPaymentUSD" sheetId="51" r:id="rId34"/>
    <sheet name="BankPaymentChargesUSD" sheetId="68" r:id="rId35"/>
    <sheet name="BankPaymentUSDMulti" sheetId="52" r:id="rId36"/>
    <sheet name="BankPaymentUSDMPSB" sheetId="53" r:id="rId37"/>
    <sheet name="BankPaymentUSDMPMB" sheetId="54" r:id="rId38"/>
    <sheet name="BankPaymentUSDMPMBNR" sheetId="55" r:id="rId39"/>
    <sheet name="MultiGRN" sheetId="30" r:id="rId40"/>
    <sheet name="BankReceipt (2)" sheetId="42" r:id="rId41"/>
    <sheet name="BankReceiptAdv" sheetId="69" r:id="rId42"/>
    <sheet name="BankReceiptMultiNewRef" sheetId="38" r:id="rId43"/>
    <sheet name="JournalUSD" sheetId="74" r:id="rId44"/>
    <sheet name="JournalMultiUSD" sheetId="75" r:id="rId45"/>
    <sheet name="JournalMPMIUSD" sheetId="76" r:id="rId46"/>
    <sheet name="JournalNRUSD" sheetId="77" r:id="rId47"/>
    <sheet name="BankReceiptMultiNewRefUSD" sheetId="45" r:id="rId48"/>
    <sheet name="JournalINR" sheetId="78" r:id="rId49"/>
    <sheet name="JournalMultiINR" sheetId="79" r:id="rId50"/>
    <sheet name="JournalMPMIINR" sheetId="80" r:id="rId51"/>
    <sheet name="JournalNRINR" sheetId="81" r:id="rId52"/>
    <sheet name="BPJournalPDC" sheetId="100" r:id="rId53"/>
    <sheet name="JournalPDC" sheetId="82" r:id="rId54"/>
    <sheet name="BPJournalREVGSTTDS" sheetId="106" r:id="rId55"/>
    <sheet name="BPJournalREVGST" sheetId="102" r:id="rId56"/>
    <sheet name="JournalREVGST" sheetId="85" r:id="rId57"/>
    <sheet name="BankReceiptRevExpGST" sheetId="59" r:id="rId58"/>
    <sheet name="JournalREVUSD" sheetId="86" r:id="rId59"/>
    <sheet name="CRJournalREVGST" sheetId="93" r:id="rId60"/>
    <sheet name="CRJournalREV" sheetId="92" r:id="rId61"/>
    <sheet name="CPJournalREV" sheetId="117" r:id="rId62"/>
    <sheet name="CPJournalREVGST" sheetId="118" r:id="rId63"/>
    <sheet name="CPJournalREVGSTTDS" sheetId="119" r:id="rId64"/>
    <sheet name="BPJournalREV" sheetId="101" r:id="rId65"/>
    <sheet name="JournalREV" sheetId="84" r:id="rId66"/>
    <sheet name="JournalBankUSD" sheetId="87" r:id="rId67"/>
    <sheet name="BPJournalBankINR" sheetId="111" r:id="rId68"/>
    <sheet name="BPJournalBank" sheetId="105" r:id="rId69"/>
    <sheet name="JournalBank" sheetId="83" r:id="rId70"/>
    <sheet name="CPJournal" sheetId="113" r:id="rId71"/>
    <sheet name="CRJournal" sheetId="88" r:id="rId72"/>
    <sheet name="BPJournal" sheetId="94" r:id="rId73"/>
    <sheet name="BPJournalINR" sheetId="98" r:id="rId74"/>
    <sheet name="BPJournalUSD" sheetId="99" r:id="rId75"/>
    <sheet name="BPJournalREVUSD" sheetId="104" r:id="rId76"/>
    <sheet name="Journal" sheetId="70" r:id="rId77"/>
    <sheet name="CRJournalMulti" sheetId="89" r:id="rId78"/>
    <sheet name="CPJournalMulti" sheetId="114" r:id="rId79"/>
    <sheet name="CPJournalNR" sheetId="116" r:id="rId80"/>
    <sheet name="BPJournalMultiINR" sheetId="107" r:id="rId81"/>
    <sheet name="BPJournalREVINR" sheetId="110" r:id="rId82"/>
    <sheet name="BPJournalMPMIINR" sheetId="108" r:id="rId83"/>
    <sheet name="BPJournalNRINR" sheetId="109" r:id="rId84"/>
    <sheet name="BPJournalMulti" sheetId="95" r:id="rId85"/>
    <sheet name="JournalMulti" sheetId="71" r:id="rId86"/>
    <sheet name="CRJournalMPMI" sheetId="90" r:id="rId87"/>
    <sheet name="CPJournalMPMI" sheetId="115" r:id="rId88"/>
    <sheet name="BPJournalMPMI" sheetId="96" r:id="rId89"/>
    <sheet name="BPJournalNR" sheetId="97" r:id="rId90"/>
    <sheet name="JournalMPMI" sheetId="72" r:id="rId91"/>
    <sheet name="CRJournalNR" sheetId="91" r:id="rId92"/>
    <sheet name="JournalNR" sheetId="73" r:id="rId93"/>
    <sheet name="BankReceipt" sheetId="35" r:id="rId94"/>
    <sheet name="BankReceiptMulti" sheetId="37" r:id="rId95"/>
    <sheet name="BankReceiptUSD" sheetId="39" r:id="rId96"/>
    <sheet name="BankReceiptMultiUSD" sheetId="40" r:id="rId97"/>
    <sheet name="BankReceiptMulti (2)" sheetId="43" r:id="rId98"/>
    <sheet name="BankReceiptMultiNewRef (2)" sheetId="44" r:id="rId99"/>
    <sheet name="BankReceiptPDC" sheetId="56" r:id="rId100"/>
    <sheet name="BankReceiptChargesUSD" sheetId="60" r:id="rId101"/>
    <sheet name="BankReceiptCharges" sheetId="57" r:id="rId102"/>
    <sheet name="BankPaymentChargesINR" sheetId="112" r:id="rId103"/>
    <sheet name="BankPaymentCharges" sheetId="65" r:id="rId104"/>
    <sheet name="BankPaymentExpGST" sheetId="63" r:id="rId105"/>
    <sheet name="BankPaymentExpUSD" sheetId="103" r:id="rId106"/>
    <sheet name="BankPaymentExp" sheetId="62" r:id="rId107"/>
    <sheet name="BankReceiptRevExp" sheetId="58" r:id="rId108"/>
    <sheet name="BankPaymentExpTDS" sheetId="66" r:id="rId109"/>
    <sheet name="BankPaymentExpGSTTDS" sheetId="67" r:id="rId110"/>
    <sheet name="BankPaymentPDC" sheetId="61" r:id="rId11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I2" i="118"/>
  <c r="I3" s="1"/>
  <c r="G2"/>
  <c r="J3" i="117"/>
  <c r="G3"/>
  <c r="I2"/>
  <c r="G2"/>
  <c r="J4" i="97"/>
  <c r="J4" i="91"/>
  <c r="I3" i="97"/>
  <c r="I3" i="116"/>
  <c r="I2"/>
  <c r="K3"/>
  <c r="K2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J3" i="110"/>
  <c r="I2"/>
  <c r="G3"/>
  <c r="G2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J4" i="105"/>
  <c r="G3"/>
  <c r="I3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I2"/>
  <c r="G3"/>
  <c r="G2"/>
  <c r="I3" i="103"/>
  <c r="U2"/>
  <c r="U3" s="1"/>
  <c r="T2"/>
  <c r="T3" s="1"/>
  <c r="S2"/>
  <c r="S3" s="1"/>
  <c r="R2"/>
  <c r="AC2" s="1"/>
  <c r="M2"/>
  <c r="M3" s="1"/>
  <c r="J5" i="102"/>
  <c r="I4"/>
  <c r="I3"/>
  <c r="I2"/>
  <c r="G2"/>
  <c r="G3" i="101"/>
  <c r="J3" s="1"/>
  <c r="G2"/>
  <c r="I2" s="1"/>
  <c r="G3" i="100"/>
  <c r="J3" s="1"/>
  <c r="G2"/>
  <c r="I2" s="1"/>
  <c r="J3" i="99"/>
  <c r="I2"/>
  <c r="J3" i="98"/>
  <c r="I2"/>
  <c r="I2" i="97"/>
  <c r="K3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I2" i="85"/>
  <c r="G4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I2" i="75"/>
  <c r="J4"/>
  <c r="J3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M4" i="121" l="1"/>
  <c r="AC4"/>
  <c r="N4" i="120"/>
  <c r="AC4"/>
  <c r="Q2"/>
  <c r="Q4" s="1"/>
  <c r="I4" i="119"/>
  <c r="I5"/>
  <c r="J3"/>
  <c r="J5" i="118"/>
  <c r="I4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I2" i="91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M4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6" i="119" l="1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M3" s="1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9" l="1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/>
  <c r="Q3" s="1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<sst xmlns="http://schemas.openxmlformats.org/spreadsheetml/2006/main" count="3880" uniqueCount="379">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</sst>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1" xfId="0" applyBorder="1">
      <alignment vertic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15" fillId="0" borderId="1" xfId="2" applyFont="1" applyBorder="1" applyAlignment="1">
      <alignment vertical="center"/>
    </xf>
    <xf numFmtId="0" fontId="15" fillId="0" borderId="1" xfId="1" applyFont="1" applyFill="1" applyBorder="1" applyAlignment="1">
      <alignment vertical="center"/>
    </xf>
    <xf numFmtId="0" fontId="16" fillId="0" borderId="0" xfId="0" applyFont="1">
      <alignment vertical="center"/>
    </xf>
    <xf numFmtId="0" fontId="0" fillId="0" borderId="1" xfId="2" applyFont="1" applyBorder="1">
      <alignment vertical="center"/>
    </xf>
    <xf numFmtId="0" fontId="1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6" fillId="0" borderId="1" xfId="0" applyFont="1" applyFill="1" applyBorder="1">
      <alignment vertical="center"/>
    </xf>
    <xf numFmtId="0" fontId="1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1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18" fillId="0" borderId="1" xfId="0" applyFont="1" applyBorder="1">
      <alignment vertical="center"/>
    </xf>
    <xf numFmtId="0" fontId="0" fillId="0" borderId="0" xfId="0" applyBorder="1">
      <alignment vertical="center"/>
    </xf>
    <xf numFmtId="0" fontId="19" fillId="0" borderId="1" xfId="0" applyFont="1" applyBorder="1" applyAlignment="1">
      <alignment vertical="center"/>
    </xf>
    <xf numFmtId="49" fontId="15" fillId="0" borderId="1" xfId="0" applyNumberFormat="1" applyFont="1" applyBorder="1" applyAlignment="1">
      <alignment vertical="center"/>
    </xf>
    <xf numFmtId="0" fontId="18" fillId="0" borderId="0" xfId="0" applyFont="1">
      <alignment vertical="center"/>
    </xf>
    <xf numFmtId="0" fontId="15" fillId="0" borderId="1" xfId="1" applyFont="1" applyBorder="1" applyAlignment="1">
      <alignment vertical="center"/>
    </xf>
    <xf numFmtId="0" fontId="19" fillId="0" borderId="1" xfId="1" applyFont="1" applyBorder="1" applyAlignment="1">
      <alignment vertical="center"/>
    </xf>
    <xf numFmtId="0" fontId="20" fillId="0" borderId="0" xfId="0" applyFont="1" applyAlignment="1">
      <alignment horizontal="justify" vertical="center"/>
    </xf>
    <xf numFmtId="0" fontId="21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23" fillId="0" borderId="0" xfId="0" applyFont="1">
      <alignment vertical="center"/>
    </xf>
    <xf numFmtId="0" fontId="13" fillId="0" borderId="1" xfId="0" applyFont="1" applyBorder="1">
      <alignment vertical="center"/>
    </xf>
    <xf numFmtId="0" fontId="14" fillId="0" borderId="2" xfId="0" applyFont="1" applyFill="1" applyBorder="1" applyAlignment="1">
      <alignment horizontal="center" vertical="center"/>
    </xf>
    <xf numFmtId="0" fontId="24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24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0" fillId="0" borderId="3" xfId="0" applyFont="1" applyBorder="1">
      <alignment vertical="center"/>
    </xf>
    <xf numFmtId="0" fontId="11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12" fillId="0" borderId="3" xfId="0" applyFont="1" applyBorder="1">
      <alignment vertical="center"/>
    </xf>
    <xf numFmtId="0" fontId="24" fillId="5" borderId="3" xfId="0" applyFont="1" applyFill="1" applyBorder="1">
      <alignment vertical="center"/>
    </xf>
    <xf numFmtId="0" fontId="9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3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24" fillId="5" borderId="0" xfId="0" applyFont="1" applyFill="1" applyBorder="1">
      <alignment vertical="center"/>
    </xf>
    <xf numFmtId="0" fontId="24" fillId="5" borderId="4" xfId="0" applyFont="1" applyFill="1" applyBorder="1">
      <alignment vertical="center"/>
    </xf>
    <xf numFmtId="0" fontId="14" fillId="5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24" fillId="5" borderId="5" xfId="0" applyFont="1" applyFill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87" Type="http://schemas.openxmlformats.org/officeDocument/2006/relationships/worksheet" Target="worksheets/sheet87.xml"/><Relationship Id="rId102" Type="http://schemas.openxmlformats.org/officeDocument/2006/relationships/worksheet" Target="worksheets/sheet102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13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topLeftCell="R1" workbookViewId="0">
      <selection activeCell="Z14" sqref="Z14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375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3" sqref="B3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topLeftCell="C1" workbookViewId="0">
      <selection activeCell="AE2" sqref="AE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376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377</v>
      </c>
      <c r="Y3" s="1" t="s">
        <v>378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C4"/>
  <sheetViews>
    <sheetView tabSelected="1" workbookViewId="0">
      <selection activeCell="D19" sqref="D19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63" t="s">
        <v>371</v>
      </c>
      <c r="C3" s="1" t="s">
        <v>372</v>
      </c>
      <c r="D3" s="1" t="s">
        <v>373</v>
      </c>
      <c r="E3" s="1" t="s">
        <v>376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377</v>
      </c>
      <c r="Y3" s="1" t="s">
        <v>378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M4">
        <f>SUM(M2)</f>
        <v>0</v>
      </c>
      <c r="N4">
        <f>SUM(N2)</f>
        <v>0</v>
      </c>
      <c r="Q4">
        <f>SUM(Q2)</f>
        <v>0</v>
      </c>
      <c r="AC4">
        <f>SUM(AC2)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375</v>
      </c>
      <c r="AB2" t="s">
        <v>375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375</v>
      </c>
      <c r="AB3" t="s">
        <v>375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topLeftCell="N1" workbookViewId="0">
      <selection activeCell="AA3" sqref="AA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3.8554687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353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342</v>
      </c>
    </row>
    <row r="4" spans="1:30">
      <c r="I4">
        <f>SUM(I2:I3)</f>
        <v>10</v>
      </c>
      <c r="M4">
        <f>ROUND(M2-M3,2)</f>
        <v>-10</v>
      </c>
      <c r="N4">
        <f>ROUND(N2-N3,2)</f>
        <v>-10</v>
      </c>
      <c r="Q4">
        <f>SUM(Q2:Q3)</f>
        <v>10</v>
      </c>
      <c r="AC4">
        <f>ROUND(AC2-AC3,2)</f>
        <v>-10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topLeftCell="R1" workbookViewId="0">
      <selection activeCell="AJ2" sqref="AJ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topLeftCell="N1" workbookViewId="0">
      <selection activeCell="V11" sqref="V11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334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topLeftCell="W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319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100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343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G14" sqref="G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60">
        <v>0</v>
      </c>
      <c r="J3" s="60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workbookViewId="0">
      <selection activeCell="A2" sqref="A2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ROUND(SUM(G2+H2)*K1,2)</f>
        <v>0</v>
      </c>
      <c r="J2" s="60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>
        <v>310</v>
      </c>
      <c r="H3">
        <v>0</v>
      </c>
      <c r="I3" s="60">
        <v>0</v>
      </c>
      <c r="J3" s="60">
        <f>ROUND(SUM(G3+H3)*K1,2)</f>
        <v>0</v>
      </c>
    </row>
    <row r="4" spans="1:31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t="s">
        <v>310</v>
      </c>
      <c r="H4">
        <v>0</v>
      </c>
      <c r="I4" s="60">
        <v>0</v>
      </c>
      <c r="J4" s="60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>
        <f>ROUND(SUM(G3+H3)*K1,2)</f>
        <v>220000</v>
      </c>
      <c r="H2">
        <f>ROUND(SUM(G4+H4)*K1,2)</f>
        <v>220000</v>
      </c>
      <c r="I2" s="47">
        <f>ROUND(SUM(G2+H2),2)</f>
        <v>440000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>
        <v>1000</v>
      </c>
      <c r="H3">
        <v>1000</v>
      </c>
      <c r="I3" s="60">
        <v>0</v>
      </c>
      <c r="J3" s="60">
        <f>ROUND(SUM(G3+H3)*K1,2)</f>
        <v>220000</v>
      </c>
    </row>
    <row r="4" spans="1:30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>
        <v>1000</v>
      </c>
      <c r="H4">
        <v>1000</v>
      </c>
      <c r="I4" s="60">
        <v>0</v>
      </c>
      <c r="J4" s="60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t="s">
        <v>365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>
        <v>0</v>
      </c>
      <c r="H2">
        <v>0</v>
      </c>
      <c r="I2" s="47">
        <f>ROUND(SUM(J4+J3),2)</f>
        <v>44000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60">
        <v>0</v>
      </c>
      <c r="J3" s="60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t="s">
        <v>310</v>
      </c>
      <c r="H4" t="s">
        <v>310</v>
      </c>
      <c r="I4" s="60">
        <v>0</v>
      </c>
      <c r="J4" s="60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365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365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16200</v>
      </c>
    </row>
    <row r="4" spans="1:29">
      <c r="I4">
        <f>SUM(I2:I3)</f>
        <v>400</v>
      </c>
      <c r="M4">
        <f>SUM(M2:M3)</f>
        <v>400</v>
      </c>
      <c r="N4">
        <f>SUM(N2:N3)</f>
        <v>299700</v>
      </c>
      <c r="Q4">
        <f>SUM(Q2:Q3)</f>
        <v>3700</v>
      </c>
      <c r="AA4">
        <f>SUM(AA2:AA3)</f>
        <v>0</v>
      </c>
      <c r="AB4">
        <f>SUM(AB2:AB3)</f>
        <v>0</v>
      </c>
      <c r="AC4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B2" sqref="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>
        <v>0</v>
      </c>
      <c r="H2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2000000011</v>
      </c>
      <c r="D2" s="1" t="s">
        <v>317</v>
      </c>
      <c r="E2" s="1"/>
      <c r="F2" s="1"/>
      <c r="G2">
        <f>BankPaymentPDC!I2</f>
        <v>10000</v>
      </c>
      <c r="H2" t="s">
        <v>310</v>
      </c>
      <c r="I2" s="60">
        <f>ROUND(SUM(G2+H2),2)</f>
        <v>10000</v>
      </c>
      <c r="J2">
        <v>0</v>
      </c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>
        <f>BankPaymentPDC!I2</f>
        <v>10000</v>
      </c>
      <c r="H3" t="s">
        <v>310</v>
      </c>
      <c r="I3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>
        <f>BankReceiptPDC!I2</f>
        <v>10000</v>
      </c>
      <c r="H2" t="s">
        <v>310</v>
      </c>
      <c r="I2" s="47">
        <f>ROUND(SUM(G2+H2),2)</f>
        <v>10000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>
        <f>BankReceiptPDC!I2</f>
        <v>10000</v>
      </c>
      <c r="H3" t="s">
        <v>310</v>
      </c>
      <c r="I3" s="60">
        <v>0</v>
      </c>
      <c r="J3" s="60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1000000029</v>
      </c>
      <c r="D3" s="1" t="s">
        <v>354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9" t="s">
        <v>191</v>
      </c>
      <c r="C4" s="1">
        <v>2020102002</v>
      </c>
      <c r="D4" s="1" t="s">
        <v>367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9" t="s">
        <v>191</v>
      </c>
      <c r="C5" s="1">
        <v>2020102003</v>
      </c>
      <c r="D5" s="1" t="s">
        <v>368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9" t="s">
        <v>191</v>
      </c>
      <c r="C6" s="1">
        <v>1001002001</v>
      </c>
      <c r="D6" s="1" t="s">
        <v>361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1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2020102002</v>
      </c>
      <c r="D3" s="1" t="s">
        <v>367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9" t="s">
        <v>191</v>
      </c>
      <c r="C4" s="1">
        <v>2020102003</v>
      </c>
      <c r="D4" s="1" t="s">
        <v>368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9" t="s">
        <v>191</v>
      </c>
      <c r="C5" s="1">
        <v>1001002001</v>
      </c>
      <c r="D5" s="1" t="s">
        <v>361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60">
        <v>0</v>
      </c>
      <c r="K2" s="6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1">
        <f>BankReceiptRevExpGST!I2</f>
        <v>10000</v>
      </c>
      <c r="H3" s="1" t="s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 s="1">
        <v>5050100000</v>
      </c>
      <c r="D4" s="1" t="s">
        <v>344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60">
        <v>0</v>
      </c>
    </row>
    <row r="5" spans="1:31">
      <c r="A5" s="14">
        <v>4</v>
      </c>
      <c r="B5" s="59" t="s">
        <v>191</v>
      </c>
      <c r="C5" s="1">
        <v>2020102002</v>
      </c>
      <c r="D5" s="1" t="s">
        <v>367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9" t="s">
        <v>191</v>
      </c>
      <c r="C6" s="1">
        <v>2020102003</v>
      </c>
      <c r="D6" s="1" t="s">
        <v>368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341</v>
      </c>
      <c r="AE2">
        <v>34</v>
      </c>
      <c r="AF2" t="s">
        <v>180</v>
      </c>
      <c r="AG2" t="s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>
        <f>ROUND(SUM((AA3*L3)+(AB3*L3)+(I3*L3)+R3+S3+T3+U3+W3),2)</f>
        <v>1180</v>
      </c>
      <c r="AD3" t="s">
        <v>341</v>
      </c>
      <c r="AE3">
        <v>34</v>
      </c>
      <c r="AF3" t="s">
        <v>349</v>
      </c>
      <c r="AG3" t="s">
        <v>350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ROUND((J3-I4),2)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>
        <f>BankReceiptRevExp!I2</f>
        <v>10000</v>
      </c>
      <c r="H3" t="s">
        <v>310</v>
      </c>
      <c r="I3" s="60">
        <v>0</v>
      </c>
      <c r="J3" s="60">
        <f>ROUND(SUM(G3+H3)*K1,2)</f>
        <v>0</v>
      </c>
    </row>
    <row r="4" spans="1:31">
      <c r="A4" s="1">
        <v>2</v>
      </c>
      <c r="B4" s="59" t="s">
        <v>191</v>
      </c>
      <c r="C4">
        <v>5050100000</v>
      </c>
      <c r="D4" t="s">
        <v>344</v>
      </c>
      <c r="E4" s="1"/>
      <c r="F4" s="1"/>
      <c r="G4">
        <f>BankReceiptRevExp!I3</f>
        <v>1000</v>
      </c>
      <c r="H4" t="s">
        <v>310</v>
      </c>
      <c r="I4" s="47">
        <f>ROUND(SUM(G4+H4)*K1,2)</f>
        <v>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60">
        <v>0</v>
      </c>
      <c r="K2" s="6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1">
        <f>BankReceiptRevExpGST!I2</f>
        <v>10000</v>
      </c>
      <c r="H3" s="1" t="s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 s="1">
        <v>5050100000</v>
      </c>
      <c r="D4" s="1" t="s">
        <v>344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60">
        <v>0</v>
      </c>
    </row>
    <row r="5" spans="1:31">
      <c r="A5" s="14">
        <v>4</v>
      </c>
      <c r="B5" s="59" t="s">
        <v>191</v>
      </c>
      <c r="C5" s="1">
        <v>2020102002</v>
      </c>
      <c r="D5" s="1" t="s">
        <v>367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9" t="s">
        <v>191</v>
      </c>
      <c r="C6" s="1">
        <v>2020102003</v>
      </c>
      <c r="D6" s="1" t="s">
        <v>368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t="s">
        <v>310</v>
      </c>
      <c r="H2" t="s">
        <v>310</v>
      </c>
      <c r="I2" s="47">
        <f>ROUND(J3-I4,2)</f>
        <v>9000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>
        <f>BankReceiptRevExp!I2</f>
        <v>10000</v>
      </c>
      <c r="H3" t="s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>
        <v>5050100000</v>
      </c>
      <c r="D4" t="s">
        <v>344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>
        <v>5050100000</v>
      </c>
      <c r="D2" t="s">
        <v>344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60">
        <v>0</v>
      </c>
    </row>
    <row r="3" spans="1:31">
      <c r="A3" s="1">
        <v>2</v>
      </c>
      <c r="B3" s="59" t="s">
        <v>191</v>
      </c>
      <c r="C3" s="1">
        <v>1000000028</v>
      </c>
      <c r="D3" s="1" t="s">
        <v>370</v>
      </c>
      <c r="E3" s="1"/>
      <c r="F3" s="1"/>
      <c r="G3">
        <f>BankPaymentExp!I2</f>
        <v>1000</v>
      </c>
      <c r="H3" t="s">
        <v>310</v>
      </c>
      <c r="I3" s="47">
        <v>0</v>
      </c>
      <c r="J3" s="60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2020102002</v>
      </c>
      <c r="D3" s="1" t="s">
        <v>367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9" t="s">
        <v>191</v>
      </c>
      <c r="C4" s="1">
        <v>2020102003</v>
      </c>
      <c r="D4" s="1" t="s">
        <v>368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9" t="s">
        <v>191</v>
      </c>
      <c r="C5" s="1">
        <v>1000000028</v>
      </c>
      <c r="D5" s="1" t="s">
        <v>370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1000000029</v>
      </c>
      <c r="D3" s="1" t="s">
        <v>354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9" t="s">
        <v>191</v>
      </c>
      <c r="C4" s="1">
        <v>2020102002</v>
      </c>
      <c r="D4" s="1" t="s">
        <v>367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9" t="s">
        <v>191</v>
      </c>
      <c r="C5" s="1">
        <v>2020102003</v>
      </c>
      <c r="D5" s="1" t="s">
        <v>368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9" t="s">
        <v>191</v>
      </c>
      <c r="C6" s="1">
        <v>1000000028</v>
      </c>
      <c r="D6" s="1" t="s">
        <v>370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1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>
        <v>5050100000</v>
      </c>
      <c r="D2" t="s">
        <v>344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60">
        <v>0</v>
      </c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>
        <f>BankPaymentExp!I2</f>
        <v>1000</v>
      </c>
      <c r="H3" t="s">
        <v>310</v>
      </c>
      <c r="I3" s="47">
        <v>0</v>
      </c>
      <c r="J3" s="60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ROUND(J3-I4,2)</f>
        <v>9000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>
        <f>BankReceiptRevExp!I2</f>
        <v>10000</v>
      </c>
      <c r="H3" t="s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>
        <v>5050100000</v>
      </c>
      <c r="D4" t="s">
        <v>344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ROUND(J3-I4,2)</f>
        <v>-1000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60">
        <v>0</v>
      </c>
      <c r="J3" s="60">
        <f>ROUND(SUM(G3+H3)*K1,2)</f>
        <v>0</v>
      </c>
    </row>
    <row r="4" spans="1:31">
      <c r="A4" s="1">
        <v>2</v>
      </c>
      <c r="B4" s="59" t="s">
        <v>191</v>
      </c>
      <c r="C4">
        <v>5060101000</v>
      </c>
      <c r="D4" t="s">
        <v>339</v>
      </c>
      <c r="E4" s="1"/>
      <c r="F4" s="1"/>
      <c r="G4">
        <f>BankReceiptChargesUSD!I3</f>
        <v>1000</v>
      </c>
      <c r="H4" t="s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topLeftCell="D1" workbookViewId="0">
      <selection activeCell="K4" sqref="K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ROUND(SUM(G2+H2),2)</f>
        <v>0</v>
      </c>
      <c r="J2">
        <v>0</v>
      </c>
    </row>
    <row r="3" spans="1:31">
      <c r="A3" s="1">
        <v>2</v>
      </c>
      <c r="B3" s="59" t="s">
        <v>191</v>
      </c>
      <c r="C3">
        <v>5060101000</v>
      </c>
      <c r="D3" t="s">
        <v>339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60">
        <v>0</v>
      </c>
    </row>
    <row r="4" spans="1:31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375</v>
      </c>
      <c r="H2" t="s">
        <v>310</v>
      </c>
      <c r="I2" s="60">
        <f>ROUND(SUM(G2+H2),2)</f>
        <v>0</v>
      </c>
      <c r="J2">
        <v>0</v>
      </c>
    </row>
    <row r="3" spans="1:31">
      <c r="A3" s="1">
        <v>2</v>
      </c>
      <c r="B3" s="59" t="s">
        <v>191</v>
      </c>
      <c r="C3">
        <v>5060101000</v>
      </c>
      <c r="D3" t="s">
        <v>339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60">
        <v>0</v>
      </c>
    </row>
    <row r="4" spans="1:31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ROUND(J3-I4,2)</f>
        <v>-1000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1000000003</v>
      </c>
      <c r="D3" s="1" t="s">
        <v>318</v>
      </c>
      <c r="E3" s="1"/>
      <c r="F3" s="1"/>
      <c r="G3" t="s">
        <v>369</v>
      </c>
      <c r="H3" t="s">
        <v>310</v>
      </c>
      <c r="I3" s="60">
        <v>0</v>
      </c>
      <c r="J3" s="60">
        <f>ROUND(SUM(G3+H3),2)</f>
        <v>0</v>
      </c>
    </row>
    <row r="4" spans="1:31">
      <c r="A4" s="1">
        <v>2</v>
      </c>
      <c r="B4" s="59" t="s">
        <v>191</v>
      </c>
      <c r="C4">
        <v>5060101000</v>
      </c>
      <c r="D4" t="s">
        <v>339</v>
      </c>
      <c r="E4" s="1"/>
      <c r="F4" s="1"/>
      <c r="G4">
        <f>BankReceiptCharges!I3</f>
        <v>1000</v>
      </c>
      <c r="H4" t="s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B3" sqref="B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1000000028</v>
      </c>
      <c r="D3" s="1" t="s">
        <v>370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t="s">
        <v>310</v>
      </c>
      <c r="H2">
        <v>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>
        <v>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1001002003</v>
      </c>
      <c r="D3" s="1" t="s">
        <v>366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topLeftCell="D1" workbookViewId="0">
      <selection activeCell="K1" sqref="K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>
        <v>310</v>
      </c>
      <c r="H3" t="s">
        <v>310</v>
      </c>
      <c r="I3" s="60">
        <v>0</v>
      </c>
      <c r="J3" s="60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>
        <v>374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>
        <v>5050100000</v>
      </c>
      <c r="D2" t="s">
        <v>344</v>
      </c>
      <c r="E2" s="1"/>
      <c r="F2" s="1"/>
      <c r="G2">
        <f>BankPaymentExp!I2</f>
        <v>1000</v>
      </c>
      <c r="H2" t="s">
        <v>310</v>
      </c>
      <c r="I2" s="47">
        <f>ROUND(SUM(G2+H2)*K1,2)</f>
        <v>0</v>
      </c>
      <c r="J2" s="60">
        <v>0</v>
      </c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>
        <f>BankPaymentExp!I2</f>
        <v>1000</v>
      </c>
      <c r="H3" t="s">
        <v>310</v>
      </c>
      <c r="I3" s="47">
        <v>0</v>
      </c>
      <c r="J3" s="60">
        <f>ROUND(SUM(G3+H3)*K1,2)</f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>
        <v>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>
        <v>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ROUND(SUM(G3+H3),2)</f>
        <v>0</v>
      </c>
      <c r="J3">
        <v>0</v>
      </c>
    </row>
    <row r="4" spans="1:31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ROUND(SUM(G3+H3),2)</f>
        <v>0</v>
      </c>
      <c r="J3">
        <v>0</v>
      </c>
    </row>
    <row r="4" spans="1:31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J4" sqref="J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>
        <v>5050100000</v>
      </c>
      <c r="D2" t="s">
        <v>344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60">
        <v>0</v>
      </c>
    </row>
    <row r="3" spans="1:31">
      <c r="A3" s="1">
        <v>2</v>
      </c>
      <c r="B3" s="59" t="s">
        <v>191</v>
      </c>
      <c r="C3" s="1">
        <v>1001002003</v>
      </c>
      <c r="D3" s="1" t="s">
        <v>366</v>
      </c>
      <c r="E3" s="1"/>
      <c r="F3" s="1"/>
      <c r="G3">
        <f>BankPaymentExp!I2</f>
        <v>1000</v>
      </c>
      <c r="H3" t="s">
        <v>310</v>
      </c>
      <c r="I3" s="47">
        <v>0</v>
      </c>
      <c r="J3" s="60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ROUND(SUM(G2+H2),2)</f>
        <v>0</v>
      </c>
      <c r="J2">
        <v>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ROUND(SUM(G3+H3),2)</f>
        <v>0</v>
      </c>
      <c r="J3">
        <v>0</v>
      </c>
    </row>
    <row r="4" spans="1:30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>
        <v>0</v>
      </c>
      <c r="H4">
        <f>ROUND(SUM(G3+H3),2)</f>
        <v>0</v>
      </c>
      <c r="I4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topLeftCell="D1" workbookViewId="0">
      <selection activeCell="E20" sqref="E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ROUND(SUM(G3+H3),2)</f>
        <v>0</v>
      </c>
      <c r="J3">
        <v>0</v>
      </c>
    </row>
    <row r="4" spans="1:31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ROUND(SUM(G2+H2),2)</f>
        <v>0</v>
      </c>
      <c r="J2">
        <v>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ROUND(SUM(G3+H3),2)</f>
        <v>0</v>
      </c>
      <c r="J3">
        <v>0</v>
      </c>
    </row>
    <row r="4" spans="1:30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topLeftCell="D1" workbookViewId="0">
      <selection activeCell="I4" sqref="I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ROUND(SUM(G2+H2),2)</f>
        <v>0</v>
      </c>
      <c r="J2">
        <v>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ROUND(SUM(G3+H3),2)</f>
        <v>0</v>
      </c>
      <c r="J3">
        <v>0</v>
      </c>
    </row>
    <row r="4" spans="1:30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topLeftCell="D1" workbookViewId="0">
      <selection activeCell="J15" sqref="J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>
        <v>310</v>
      </c>
      <c r="H2" t="s">
        <v>310</v>
      </c>
      <c r="I2" s="60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60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>
        <v>0</v>
      </c>
      <c r="H2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>
        <v>0</v>
      </c>
      <c r="H2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26550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26550</v>
      </c>
    </row>
    <row r="3" spans="1:29">
      <c r="M3">
        <f>SUM(M2)</f>
        <v>0</v>
      </c>
      <c r="N3">
        <f>SUM(N2)</f>
        <v>26550</v>
      </c>
      <c r="Q3">
        <f>SUM(Q2)</f>
        <v>0</v>
      </c>
      <c r="AA3" t="s">
        <v>310</v>
      </c>
      <c r="AB3" t="s">
        <v>310</v>
      </c>
      <c r="AC3">
        <f>SUM(AC2)</f>
        <v>26550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topLeftCell="N1" workbookViewId="0">
      <selection activeCell="AC2" sqref="AC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365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365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365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  <c r="AD2" t="s">
        <v>341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365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369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209</v>
      </c>
      <c r="L3" t="s">
        <v>365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ROUND(SUM((AA3)+(AB3)+(I3)),2)</f>
        <v>1000</v>
      </c>
      <c r="AD3" t="s">
        <v>342</v>
      </c>
    </row>
    <row r="4" spans="1:30">
      <c r="I4">
        <f>SUM(I2:I3)</f>
        <v>1000</v>
      </c>
      <c r="M4">
        <f>M2</f>
        <v>0</v>
      </c>
      <c r="N4">
        <f>N2</f>
        <v>0</v>
      </c>
      <c r="Q4">
        <f>SUM(Q2:Q3)</f>
        <v>1000</v>
      </c>
      <c r="AC4">
        <f>AC2</f>
        <v>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26550</v>
      </c>
      <c r="AB2" t="s">
        <v>310</v>
      </c>
      <c r="AC2">
        <f>ROUND(SUM((AA2*L2)+(AB2*L2)+(I2*L2)),2)</f>
        <v>26550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342</v>
      </c>
    </row>
    <row r="4" spans="1:30">
      <c r="I4">
        <f>SUM(I2:I3)</f>
        <v>1000</v>
      </c>
      <c r="M4">
        <f>ROUND(M2-M3,2)</f>
        <v>25550</v>
      </c>
      <c r="N4">
        <f>ROUND(N2-N3,2)</f>
        <v>25550</v>
      </c>
      <c r="Q4">
        <f>SUM(Q2:Q3)</f>
        <v>27550</v>
      </c>
      <c r="AC4">
        <f>ROUND(AC2-AC3,2)</f>
        <v>25550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375</v>
      </c>
      <c r="AB2" t="s">
        <v>310</v>
      </c>
      <c r="AC2">
        <f>ROUND(SUM((AA2*L2)+(AB2*L2)+(I2*L2)),2)</f>
        <v>666.3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342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375</v>
      </c>
      <c r="AB2" t="s">
        <v>310</v>
      </c>
      <c r="AC2">
        <f>ROUND(SUM((AA2*L2)+(AB2*L2)+(I2*L2)),2)</f>
        <v>666.3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342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workbookViewId="0">
      <selection activeCell="D3" sqref="D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209</v>
      </c>
      <c r="L2" t="s">
        <v>374</v>
      </c>
      <c r="M2" s="38">
        <f>ROUND(SUM(AA2+AB2+I2),2)</f>
        <v>1000</v>
      </c>
      <c r="N2" s="38">
        <f>AC2</f>
        <v>85000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85000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SUM(M2)</f>
        <v>1000</v>
      </c>
      <c r="N3">
        <f>SUM(N2)</f>
        <v>85000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85000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341</v>
      </c>
      <c r="AE2">
        <v>34</v>
      </c>
      <c r="AF2" t="s">
        <v>180</v>
      </c>
      <c r="AG2" t="s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>
        <f>ROUND(SUM((AA3*L3)+(AB3*L3)+(I3*L3)+R3+S3+T3+U3+W3),2)</f>
        <v>1000</v>
      </c>
      <c r="AD3" t="s">
        <v>341</v>
      </c>
      <c r="AE3">
        <v>34</v>
      </c>
      <c r="AF3" t="s">
        <v>349</v>
      </c>
      <c r="AG3" t="s">
        <v>350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340</v>
      </c>
      <c r="AE1" s="1">
        <v>1</v>
      </c>
      <c r="AF1" s="37" t="s">
        <v>352</v>
      </c>
      <c r="AG1" s="37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341</v>
      </c>
      <c r="AE2" s="1">
        <v>34</v>
      </c>
      <c r="AF2" s="1" t="s">
        <v>349</v>
      </c>
      <c r="AG2" s="1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108"/>
  <dimension ref="A1:AI4"/>
  <sheetViews>
    <sheetView workbookViewId="0">
      <selection activeCell="AB2" sqref="AB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341</v>
      </c>
      <c r="AE2">
        <v>34</v>
      </c>
      <c r="AF2" t="s">
        <v>349</v>
      </c>
      <c r="AG2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1170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341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111</vt:i4>
      </vt:variant>
    </vt:vector>
  </HeadingPairs>
  <TitlesOfParts>
    <vt:vector size="11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BankPaymentChargesUSD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CPJournal</vt:lpstr>
      <vt:lpstr>CRJournal</vt:lpstr>
      <vt:lpstr>BPJournal</vt:lpstr>
      <vt:lpstr>BPJournalINR</vt:lpstr>
      <vt:lpstr>BPJournalUSD</vt:lpstr>
      <vt:lpstr>BPJournalREVUSD</vt:lpstr>
      <vt:lpstr>Journal</vt:lpstr>
      <vt:lpstr>CRJournalMulti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</vt:lpstr>
      <vt:lpstr>BankReceiptMulti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BankPaymentExpUSD</vt:lpstr>
      <vt:lpstr>BankPaymentExp</vt:lpstr>
      <vt:lpstr>BankReceiptRevExp</vt:lpstr>
      <vt:lpstr>BankPaymentExpTDS</vt:lpstr>
      <vt:lpstr>BankPaymentExpGSTTDS</vt:lpstr>
      <vt:lpstr>BankPaymentPDC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2026-03-09T09:14:14Z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