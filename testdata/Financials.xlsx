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53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54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52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51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5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11" activeTab="117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CR" sheetId="168" r:id="rId125"/>
    <sheet name="BankReceiptMulti" sheetId="37" r:id="rId126"/>
    <sheet name="BRAdvUSDNR" sheetId="142" r:id="rId127"/>
    <sheet name="BRAdvJournalUSDNR" sheetId="143" r:id="rId128"/>
    <sheet name="BankReceiptUSD" sheetId="39" r:id="rId129"/>
    <sheet name="BankReceiptMultiUSD" sheetId="40" r:id="rId130"/>
    <sheet name="BankReceiptMulti (2)" sheetId="43" r:id="rId131"/>
    <sheet name="BankReceiptMultiNewRef (2)" sheetId="44" r:id="rId132"/>
    <sheet name="BankReceiptPDC" sheetId="56" r:id="rId133"/>
    <sheet name="BankReceiptChargesUSD" sheetId="60" r:id="rId134"/>
    <sheet name="BankReceiptCharges" sheetId="57" r:id="rId135"/>
    <sheet name="BankPaymentChargesINR" sheetId="112" r:id="rId136"/>
    <sheet name="BankPaymentCharges" sheetId="65" r:id="rId137"/>
    <sheet name="BankPaymentExpGST" sheetId="63" r:id="rId138"/>
    <sheet name="BankPaymentExpGSTTDS" sheetId="67" r:id="rId139"/>
    <sheet name="BankPaymentExpUSD" sheetId="103" r:id="rId140"/>
    <sheet name="BankPaymentExp" sheetId="62" r:id="rId141"/>
    <sheet name="BankReceiptRevExp" sheetId="58" r:id="rId142"/>
    <sheet name="BankPaymentExpTDS" sheetId="66" r:id="rId143"/>
    <sheet name="BankPaymentPDC" sheetId="61" r:id="rId144"/>
    <sheet name="BPAdvanceUSD" sheetId="161" r:id="rId145"/>
    <sheet name="BPAdvance" sheetId="154" r:id="rId146"/>
    <sheet name="BPJournalADV" sheetId="153" r:id="rId147"/>
    <sheet name="TDS BPAdvance" sheetId="155" r:id="rId148"/>
    <sheet name="TDS BPJournalADV" sheetId="156" r:id="rId149"/>
    <sheet name="TDS BPAdvanceMulti" sheetId="157" r:id="rId150"/>
    <sheet name="TDS BPJournalADVMulti" sheetId="158" r:id="rId151"/>
    <sheet name="BPJournalADVINR" sheetId="159" r:id="rId152"/>
    <sheet name="BPJournalADVUSD" sheetId="160" r:id="rId153"/>
    <sheet name="BPMPMBADVNR" sheetId="162" r:id="rId154"/>
    <sheet name="BPMPMBADVNRUSD" sheetId="163" r:id="rId155"/>
    <sheet name="Sheet2" sheetId="146" r:id="rId15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68"/>
  <c r="AC3"/>
  <c r="N3" s="1"/>
  <c r="M3"/>
  <c r="Q3" s="1"/>
  <c r="AC2"/>
  <c r="N2" s="1"/>
  <c r="M2"/>
  <c r="AK2" i="67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N4" i="168" l="1"/>
  <c r="M4"/>
  <c r="AC4"/>
  <c r="Q2"/>
  <c r="G4" i="167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2" i="57"/>
  <c r="M4" s="1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6"/>
  <c r="M4"/>
  <c r="I3" i="67"/>
  <c r="U3"/>
  <c r="T3"/>
  <c r="S3"/>
  <c r="R3"/>
  <c r="I4"/>
  <c r="U2"/>
  <c r="U4" s="1"/>
  <c r="T2"/>
  <c r="T4" s="1"/>
  <c r="N2"/>
  <c r="M2"/>
  <c r="AL2" s="1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M4" i="120" l="1"/>
  <c r="N3" i="67"/>
  <c r="M3"/>
  <c r="M3" i="124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M4" i="67" l="1"/>
  <c r="N4"/>
  <c r="AC2"/>
  <c r="AC4" s="1"/>
  <c r="R4"/>
  <c r="AC2" i="58"/>
  <c r="R4"/>
  <c r="I4" i="53"/>
  <c r="AC3"/>
  <c r="N3" s="1"/>
  <c r="M3"/>
  <c r="Q3" s="1"/>
  <c r="AC2"/>
  <c r="N2" s="1"/>
  <c r="M2"/>
  <c r="N4" l="1"/>
  <c r="M4"/>
  <c r="AC4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<sst xmlns="http://schemas.openxmlformats.org/spreadsheetml/2006/main" count="5504" uniqueCount="428">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</sst>
</file>

<file path=xl/styles.xml><?xml version="1.0" encoding="utf-8"?>
<styleSheet xmlns="http://schemas.openxmlformats.org/spreadsheetml/2006/main"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5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worksheet" Target="worksheets/sheet15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topLeftCell="O1" workbookViewId="0">
      <selection activeCell="E2" sqref="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topLeftCell="N1" workbookViewId="0">
      <selection activeCell="E7" sqref="E7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5.7109375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topLeftCell="N1" workbookViewId="0">
      <selection activeCell="W25" sqref="W25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topLeftCell="N1" workbookViewId="0">
      <selection activeCell="AA10" sqref="AA10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topLeftCell="N1"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0</v>
      </c>
      <c r="J2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ROUND(SUM(G2+H2+K2)*L1,2)</f>
        <v>8500</v>
      </c>
      <c r="J2">
        <v>0</v>
      </c>
      <c r="K2" s="1">
        <f>BankPaymentUSDMPMBNR!I2</f>
        <v>100</v>
      </c>
      <c r="L2" t="s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ROUND(SUM(G3+H3+K3)*L1,2)</f>
        <v>8500</v>
      </c>
      <c r="J3">
        <v>0</v>
      </c>
      <c r="K3" s="1">
        <f>BankPaymentUSDMPMBNR!I3</f>
        <v>100</v>
      </c>
      <c r="L3" t="s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>
        <v>0</v>
      </c>
      <c r="I4">
        <v>0</v>
      </c>
      <c r="J4" s="47">
        <f>ROUND(SUM(I3+I2),2)</f>
        <v>17000</v>
      </c>
      <c r="L4" t="s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P1" workbookViewId="0">
      <selection activeCell="L2" sqref="L2"/>
    </sheetView>
  </sheetViews>
  <sheetFormatPr defaultRowHeight="15"/>
  <cols>
    <col min="1" max="1" width="4.85546875" bestFit="1" customWidth="1"/>
    <col min="2" max="2" width="23.8554687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4799.1000000000004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338</v>
      </c>
    </row>
    <row r="4" spans="1:30">
      <c r="I4">
        <f>SUM(I2:I3)</f>
        <v>10</v>
      </c>
      <c r="M4">
        <f>ROUND(M2-M3,2)</f>
        <v>46.46</v>
      </c>
      <c r="N4">
        <f>ROUND(N2-N3,2)</f>
        <v>4789.1000000000004</v>
      </c>
      <c r="Q4">
        <f>SUM(Q2:Q3)</f>
        <v>66.460000000000008</v>
      </c>
      <c r="AC4">
        <f>ROUND(AC2-AC3,2)</f>
        <v>4789.1000000000004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23" sqref="D2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4799.1000000000004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BankPaymentChargesUSD!I3</f>
        <v>10</v>
      </c>
      <c r="H3" t="s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>
        <v>5050606001</v>
      </c>
      <c r="D4" t="s">
        <v>427</v>
      </c>
      <c r="E4" s="1"/>
      <c r="F4" s="1"/>
      <c r="G4">
        <f>G3</f>
        <v>10</v>
      </c>
      <c r="H4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>
        <v>0</v>
      </c>
      <c r="H5" t="s">
        <v>310</v>
      </c>
      <c r="I5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</row>
    <row r="3" spans="1:29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topLeftCell="N1" workbookViewId="0">
      <selection activeCell="AA6" sqref="AA6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topLeftCell="N1" workbookViewId="0">
      <selection activeCell="AA12" sqref="AA1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L8" sqref="L8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M4">
        <f>SUM(M2)</f>
        <v>0</v>
      </c>
      <c r="N4">
        <f>SUM(N2)</f>
        <v>0</v>
      </c>
      <c r="Q4">
        <f>SUM(Q2)</f>
        <v>0</v>
      </c>
      <c r="AC4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topLeftCell="M1" workbookViewId="0">
      <selection activeCell="AA8" sqref="AA8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topLeftCell="N1" workbookViewId="0">
      <selection activeCell="W21" sqref="W21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426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N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topLeftCell="C1" workbookViewId="0">
      <selection activeCell="D8" sqref="D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ROUND(SUM(G3+H3)*K1,2)</f>
        <v>220000</v>
      </c>
      <c r="H2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v>1000</v>
      </c>
      <c r="H3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>
        <v>1000</v>
      </c>
      <c r="H4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0</v>
      </c>
      <c r="H2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 t="s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16200</v>
      </c>
    </row>
    <row r="4" spans="1:29">
      <c r="I4">
        <f>SUM(I2:I3)</f>
        <v>400</v>
      </c>
      <c r="M4">
        <f>SUM(M2:M3)</f>
        <v>400</v>
      </c>
      <c r="N4">
        <f>SUM(N2:N3)</f>
        <v>299700</v>
      </c>
      <c r="Q4">
        <f>SUM(Q2:Q3)</f>
        <v>3700</v>
      </c>
      <c r="AA4">
        <f>SUM(AA2:AA3)</f>
        <v>0</v>
      </c>
      <c r="AB4">
        <f>SUM(AB2:AB3)</f>
        <v>0</v>
      </c>
      <c r="AC4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>
        <f>BankPaymentPDC!I2</f>
        <v>10000</v>
      </c>
      <c r="H2" t="s">
        <v>310</v>
      </c>
      <c r="I2" s="59">
        <f>ROUND(SUM(G2+H2),2)</f>
        <v>10000</v>
      </c>
      <c r="J2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BankPaymentPDC!I2</f>
        <v>10000</v>
      </c>
      <c r="H3" t="s">
        <v>310</v>
      </c>
      <c r="I3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BankReceiptPDC!I2</f>
        <v>10000</v>
      </c>
      <c r="H2" t="s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BankReceiptPDC!I2</f>
        <v>10000</v>
      </c>
      <c r="H3" t="s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1180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BankReceiptChargesUSD!I3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G3" sqref="G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>
        <v>0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>
        <v>364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topLeftCell="N1"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.28515625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379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ROUND(AA2*1%,2)</f>
        <v>2.21</v>
      </c>
      <c r="AF3" s="1">
        <v>0</v>
      </c>
      <c r="AG3" s="1">
        <v>0</v>
      </c>
      <c r="AH3" s="1">
        <v>0</v>
      </c>
    </row>
    <row r="4" spans="1:34">
      <c r="M4">
        <f>SUM(M2)</f>
        <v>221.25</v>
      </c>
      <c r="N4">
        <f>SUM(N2)</f>
        <v>221.25</v>
      </c>
      <c r="Q4">
        <f>SUM(Q2)</f>
        <v>221.25</v>
      </c>
      <c r="AA4" t="s">
        <v>310</v>
      </c>
      <c r="AB4">
        <v>0</v>
      </c>
      <c r="AC4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379</v>
      </c>
      <c r="AE2">
        <v>1000000029</v>
      </c>
      <c r="AF2">
        <v>1</v>
      </c>
      <c r="AG2">
        <f>AC2</f>
        <v>1000</v>
      </c>
      <c r="AH2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ROUND(AC2*AF2%,2)</f>
        <v>10</v>
      </c>
      <c r="AF3" s="1">
        <v>0</v>
      </c>
      <c r="AG3" s="1">
        <v>0</v>
      </c>
      <c r="AH3" s="1">
        <v>0</v>
      </c>
    </row>
    <row r="4" spans="1:34">
      <c r="M4">
        <f>M2-M3</f>
        <v>990</v>
      </c>
      <c r="N4">
        <f>N2-N3</f>
        <v>990</v>
      </c>
      <c r="Q4">
        <f>SUM(Q2)</f>
        <v>1000</v>
      </c>
      <c r="AA4" t="s">
        <v>310</v>
      </c>
      <c r="AB4">
        <v>0</v>
      </c>
      <c r="AC4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379</v>
      </c>
      <c r="AE2">
        <v>1000000029</v>
      </c>
      <c r="AF2">
        <v>1</v>
      </c>
      <c r="AG2">
        <f>AC2</f>
        <v>10000</v>
      </c>
      <c r="AH2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10000</v>
      </c>
      <c r="AD3" t="s">
        <v>386</v>
      </c>
      <c r="AE3">
        <v>1000000047</v>
      </c>
      <c r="AF3">
        <v>0.1</v>
      </c>
      <c r="AG3">
        <f>AC3</f>
        <v>10000</v>
      </c>
      <c r="AH3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20000</v>
      </c>
      <c r="L6" t="s">
        <v>319</v>
      </c>
      <c r="M6">
        <f>ROUND((M2+M3)-M4-M5,2)</f>
        <v>19890</v>
      </c>
      <c r="N6">
        <f>ROUND((N2+N3)-N4-N5,2)</f>
        <v>19890</v>
      </c>
      <c r="Q6">
        <f>SUM(Q2:Q3)</f>
        <v>20000</v>
      </c>
      <c r="AC6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W1" workbookViewId="0">
      <selection activeCell="AD1" sqref="AD1:AH2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379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0</v>
      </c>
      <c r="AD3" t="s">
        <v>386</v>
      </c>
      <c r="AE3">
        <v>1000000047</v>
      </c>
      <c r="AF3">
        <v>0.1</v>
      </c>
      <c r="AG3">
        <f>AC3</f>
        <v>0</v>
      </c>
      <c r="AH3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SUM(M2:M3)</f>
        <v>0</v>
      </c>
      <c r="N6">
        <f>SUM(N2:N3)</f>
        <v>0</v>
      </c>
      <c r="Q6">
        <f>SUM(Q2:Q3)</f>
        <v>0</v>
      </c>
      <c r="AC6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topLeftCell="M1" workbookViewId="0">
      <selection activeCell="Z6" sqref="Z6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M1" workbookViewId="0">
      <selection activeCell="AC2" sqref="AC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379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topLeftCell="O1"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2000</v>
      </c>
      <c r="H2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2000</v>
      </c>
      <c r="H3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370</v>
      </c>
      <c r="H2" t="s">
        <v>370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370</v>
      </c>
      <c r="H3" t="s">
        <v>370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>
        <f>ROUND(SUM(G3+H3),2)</f>
        <v>0</v>
      </c>
      <c r="I4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tabSelected="1" workbookViewId="0">
      <selection activeCell="F20" sqref="F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1000</v>
      </c>
      <c r="AB2" t="s">
        <v>310</v>
      </c>
      <c r="AC2">
        <f>ROUND(SUM((AA2*L2)+(AB2*L2)+(I2*L2)),2)</f>
        <v>2000</v>
      </c>
    </row>
    <row r="3" spans="1:29">
      <c r="M3">
        <f>SUM(M2)</f>
        <v>2000</v>
      </c>
      <c r="N3">
        <f>SUM(N2)</f>
        <v>2000</v>
      </c>
      <c r="Q3">
        <f>SUM(Q2)</f>
        <v>2000</v>
      </c>
      <c r="AA3" t="s">
        <v>310</v>
      </c>
      <c r="AB3" t="s">
        <v>310</v>
      </c>
      <c r="AC3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  <c r="AD2" t="s">
        <v>337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 t="s">
        <v>310</v>
      </c>
      <c r="AC3">
        <f>SUM(AC2)</f>
        <v>1000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M3">
        <f>SUM(M2)</f>
        <v>100</v>
      </c>
      <c r="N3">
        <f>SUM(N2)</f>
        <v>100</v>
      </c>
      <c r="Q3">
        <f>SUM(Q2)</f>
        <v>100</v>
      </c>
      <c r="AA3" t="s">
        <v>310</v>
      </c>
      <c r="AB3" t="s">
        <v>310</v>
      </c>
      <c r="AC3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U9" sqref="U9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R21" sqref="R21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 t="s">
        <v>310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>
        <v>310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S19" sqref="S19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C3"/>
  <sheetViews>
    <sheetView topLeftCell="N1" workbookViewId="0">
      <selection activeCell="K12" sqref="K1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11000</v>
      </c>
    </row>
    <row r="3" spans="1:29">
      <c r="M3">
        <f>SUM(M2)</f>
        <v>100</v>
      </c>
      <c r="N3">
        <f>SUM(N2)</f>
        <v>11000</v>
      </c>
      <c r="Q3">
        <f>SUM(Q2)</f>
        <v>100</v>
      </c>
      <c r="AA3" t="s">
        <v>310</v>
      </c>
      <c r="AB3" t="s">
        <v>310</v>
      </c>
      <c r="AC3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2" sqref="G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topLeftCell="N1" workbookViewId="0">
      <selection activeCell="J12" sqref="J1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topLeftCell="N1" workbookViewId="0">
      <selection activeCell="H16" sqref="H16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Q1"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Q1" workbookViewId="0">
      <selection activeCell="AA2" sqref="A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364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ROUND(SUM((AA3)+(AB3)+(I3)),2)</f>
        <v>1000</v>
      </c>
      <c r="AD3" t="s">
        <v>338</v>
      </c>
    </row>
    <row r="4" spans="1:30">
      <c r="I4">
        <f>SUM(I2:I3)</f>
        <v>1000</v>
      </c>
      <c r="M4">
        <f>M2</f>
        <v>0</v>
      </c>
      <c r="N4">
        <f>N2</f>
        <v>0</v>
      </c>
      <c r="Q4">
        <f>SUM(Q2:Q3)</f>
        <v>1000</v>
      </c>
      <c r="AC4">
        <f>AC2</f>
        <v>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Q1" workbookViewId="0">
      <selection activeCell="AB21" sqref="AB2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338</v>
      </c>
    </row>
    <row r="4" spans="1:30">
      <c r="I4">
        <f>SUM(I2:I3)</f>
        <v>1000</v>
      </c>
      <c r="M4">
        <f>ROUND(M2-M3,2)</f>
        <v>-1000</v>
      </c>
      <c r="N4">
        <f>ROUND(N2-N3,2)</f>
        <v>-1000</v>
      </c>
      <c r="Q4">
        <f>SUM(Q2:Q3)</f>
        <v>1000</v>
      </c>
      <c r="AC4">
        <f>ROUND(AC2-AC3,2)</f>
        <v>-1000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Q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0</v>
      </c>
      <c r="N4">
        <f>N2</f>
        <v>0</v>
      </c>
      <c r="Q4">
        <f>SUM(Q2:Q3)</f>
        <v>100</v>
      </c>
      <c r="AC4">
        <f>ROUND(AC2+AC3,2)</f>
        <v>100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topLeftCell="Q1" workbookViewId="0">
      <selection activeCell="W3" sqref="W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topLeftCell="U1" workbookViewId="0">
      <selection activeCell="AF12" sqref="AF1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8"/>
  <dimension ref="A1:AL4"/>
  <sheetViews>
    <sheetView topLeftCell="Y1" workbookViewId="0">
      <selection activeCell="E16" sqref="E16"/>
    </sheetView>
  </sheetViews>
  <sheetFormatPr defaultRowHeight="15"/>
  <cols>
    <col min="1" max="1" width="4.85546875" bestFit="1" customWidth="1"/>
    <col min="2" max="2" width="26.42578125" bestFit="1" customWidth="1"/>
    <col min="3" max="3" width="9" bestFit="1" customWidth="1"/>
    <col min="4" max="4" width="12.7109375" bestFit="1" customWidth="1"/>
    <col min="5" max="5" width="11.85546875" bestFit="1" customWidth="1"/>
    <col min="6" max="6" width="7.140625" bestFit="1" customWidth="1"/>
    <col min="7" max="7" width="9.285156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4.85546875" bestFit="1" customWidth="1"/>
    <col min="26" max="26" width="15" bestFit="1" customWidth="1"/>
    <col min="27" max="28" width="8.85546875" bestFit="1" customWidth="1"/>
    <col min="29" max="29" width="20" bestFit="1" customWidth="1"/>
    <col min="30" max="30" width="12" bestFit="1" customWidth="1"/>
    <col min="31" max="31" width="3" bestFit="1" customWidth="1"/>
    <col min="32" max="32" width="19.42578125" bestFit="1" customWidth="1"/>
    <col min="33" max="33" width="17.7109375" bestFit="1" customWidth="1"/>
    <col min="34" max="34" width="5.140625" bestFit="1" customWidth="1"/>
    <col min="35" max="35" width="16" bestFit="1" customWidth="1"/>
    <col min="36" max="36" width="14" bestFit="1" customWidth="1"/>
    <col min="37" max="37" width="23.140625" bestFit="1" customWidth="1"/>
    <col min="38" max="38" width="16.5703125" bestFit="1" customWidth="1"/>
    <col min="39" max="39" width="19.42578125" bestFit="1" customWidth="1"/>
    <col min="40" max="40" width="17.7109375" bestFit="1" customWidth="1"/>
  </cols>
  <sheetData>
    <row r="1" spans="1:38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  <c r="AH1" s="64" t="s">
        <v>385</v>
      </c>
      <c r="AI1" s="64" t="s">
        <v>389</v>
      </c>
      <c r="AJ1" s="64" t="s">
        <v>390</v>
      </c>
      <c r="AK1" s="64" t="s">
        <v>391</v>
      </c>
      <c r="AL1" s="64" t="s">
        <v>392</v>
      </c>
    </row>
    <row r="2" spans="1:38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  <c r="AH2" t="s">
        <v>379</v>
      </c>
      <c r="AI2">
        <v>1000000029</v>
      </c>
      <c r="AJ2">
        <v>1</v>
      </c>
      <c r="AK2">
        <f>I2</f>
        <v>1000</v>
      </c>
      <c r="AL2">
        <f>ROUND(M2*AJ2%,2)</f>
        <v>10</v>
      </c>
    </row>
    <row r="3" spans="1:38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AK2</f>
        <v>1000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 s="1">
        <f>ROUND(SUM((AA3*L3)+(AB3*L3)+(I3*L3)+R3+S3+T3+U3+W3),2)</f>
        <v>1000</v>
      </c>
      <c r="AD3" s="1" t="s">
        <v>337</v>
      </c>
      <c r="AE3" s="1"/>
      <c r="AF3" s="1"/>
      <c r="AG3" s="1"/>
      <c r="AH3" s="1"/>
      <c r="AI3" s="1"/>
      <c r="AJ3" s="1"/>
      <c r="AK3" s="1"/>
    </row>
    <row r="4" spans="1:38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180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85000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85000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85000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topLeftCell="Q1"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1000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topLeftCell="Q1" workbookViewId="0">
      <selection activeCell="V4" sqref="V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topLeftCell="O1" workbookViewId="0">
      <selection activeCell="A2" sqref="A2:D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6.140625" bestFit="1" customWidth="1"/>
    <col min="29" max="29" width="25" bestFit="1" customWidth="1"/>
    <col min="31" max="31" width="16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379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ROUND(AA2*AF2%,2)</f>
        <v>0</v>
      </c>
    </row>
    <row r="4" spans="1:34">
      <c r="M4">
        <f>ROUND(M2-M3,2)</f>
        <v>0</v>
      </c>
      <c r="N4">
        <f>ROUND(N2-N3,2)</f>
        <v>0</v>
      </c>
      <c r="Q4">
        <f>SUM(Q2)</f>
        <v>0</v>
      </c>
      <c r="AA4" t="s">
        <v>310</v>
      </c>
      <c r="AB4">
        <v>0</v>
      </c>
      <c r="AC4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7.7109375" customWidth="1"/>
    <col min="32" max="32" width="14.85546875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379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221.25</v>
      </c>
      <c r="AD3" t="s">
        <v>386</v>
      </c>
      <c r="AE3">
        <v>1000000047</v>
      </c>
      <c r="AF3">
        <v>0.1</v>
      </c>
      <c r="AG3">
        <f>AC3</f>
        <v>221.25</v>
      </c>
      <c r="AH3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ROUND((M2+M3)-(M4+M5),2)</f>
        <v>440.07</v>
      </c>
      <c r="N6">
        <f>ROUND((N2+N3)-(N4+N5),2)</f>
        <v>440.07</v>
      </c>
      <c r="Q6">
        <f>SUM(Q2:Q3)</f>
        <v>442.5</v>
      </c>
      <c r="AC6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>
        <v>310</v>
      </c>
      <c r="H2" t="s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X3" sqref="X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>
        <v>207</v>
      </c>
      <c r="M2" t="s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380</v>
      </c>
      <c r="AC2" t="s">
        <v>380</v>
      </c>
      <c r="AD2" t="s">
        <v>416</v>
      </c>
      <c r="AE2" t="s">
        <v>416</v>
      </c>
      <c r="AF2">
        <f>ROUND(AD2-AB2,2)</f>
        <v>663.75</v>
      </c>
      <c r="AG2">
        <f>ROUND(AE2-AC2,2)</f>
        <v>663.75</v>
      </c>
      <c r="AH2">
        <f>ROUND(SUM((AB2*M2)+(AC2*M2)+(J2*M2)),2)</f>
        <v>1442.5</v>
      </c>
      <c r="AI2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>
        <v>207</v>
      </c>
      <c r="M3" t="s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380</v>
      </c>
      <c r="AC3" t="s">
        <v>380</v>
      </c>
      <c r="AD3" t="s">
        <v>416</v>
      </c>
      <c r="AE3" t="s">
        <v>416</v>
      </c>
      <c r="AF3">
        <f>ROUND(AD3-AB3,2)</f>
        <v>663.75</v>
      </c>
      <c r="AG3">
        <f>ROUND(AE3-AC3,2)</f>
        <v>663.75</v>
      </c>
      <c r="AH3">
        <f>ROUND(SUM((AB3*M3)+(AC3*M3)+(J3*M3)),2)</f>
        <v>1442.5</v>
      </c>
      <c r="AI3">
        <f>ROUND((AE3+AD3+J3)-(AB3+AC3),2)</f>
        <v>2327.5</v>
      </c>
    </row>
    <row r="4" spans="1:35">
      <c r="J4">
        <f>SUM(J2:J3)</f>
        <v>2000</v>
      </c>
      <c r="N4">
        <f>SUM(N2:N3)</f>
        <v>2885</v>
      </c>
      <c r="O4">
        <f>SUM(O2:O3)</f>
        <v>2885</v>
      </c>
      <c r="R4">
        <f>SUM(R2:R3)</f>
        <v>2885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2885</v>
      </c>
      <c r="AI4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37.140625" bestFit="1" customWidth="1"/>
    <col min="3" max="3" width="12.28515625" bestFit="1" customWidth="1"/>
    <col min="4" max="4" width="33.1406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>
        <v>209</v>
      </c>
      <c r="M2" t="s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421</v>
      </c>
      <c r="AC2" t="s">
        <v>421</v>
      </c>
      <c r="AD2" t="s">
        <v>422</v>
      </c>
      <c r="AE2" t="s">
        <v>422</v>
      </c>
      <c r="AF2">
        <f>ROUND(AD2-AB2,2)</f>
        <v>562.5</v>
      </c>
      <c r="AG2">
        <f>ROUND(AE2-AC2,2)</f>
        <v>562.5</v>
      </c>
      <c r="AH2">
        <f>ROUND(SUM((AB2*M2)+(AC2*M2)+(J2*M2)),2)</f>
        <v>40375</v>
      </c>
      <c r="AI2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>
        <v>209</v>
      </c>
      <c r="M3" t="s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421</v>
      </c>
      <c r="AC3" t="s">
        <v>421</v>
      </c>
      <c r="AD3" t="s">
        <v>422</v>
      </c>
      <c r="AE3" t="s">
        <v>422</v>
      </c>
      <c r="AF3">
        <f>ROUND(AD3-AB3,2)</f>
        <v>562.5</v>
      </c>
      <c r="AG3">
        <f>ROUND(AE3-AC3,2)</f>
        <v>562.5</v>
      </c>
      <c r="AH3">
        <f>ROUND(SUM((AB3*M3)+(AC3*M3)+(J3*M3)),2)</f>
        <v>40375</v>
      </c>
      <c r="AI3">
        <f>ROUND((AE3+AD3+J3)-(AB3+AC3),2)</f>
        <v>1225</v>
      </c>
    </row>
    <row r="4" spans="1:35">
      <c r="J4">
        <f>SUM(J2:J3)</f>
        <v>200</v>
      </c>
      <c r="N4">
        <f>SUM(N2:N3)</f>
        <v>950</v>
      </c>
      <c r="O4">
        <f>SUM(O2:O3)</f>
        <v>80750</v>
      </c>
      <c r="R4">
        <f>SUM(R2:R3)</f>
        <v>1017.5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1125</v>
      </c>
      <c r="AG4">
        <f t="shared" si="0"/>
        <v>1125</v>
      </c>
      <c r="AH4">
        <f t="shared" si="0"/>
        <v>80750</v>
      </c>
      <c r="AI4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156</vt:i4>
      </vt:variant>
    </vt:vector>
  </HeadingPairs>
  <TitlesOfParts>
    <vt:vector size="156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BankReceiptMultiCR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BankPaymentExpGSTTDS</vt:lpstr>
      <vt:lpstr>BankPaymentExpUSD</vt:lpstr>
      <vt:lpstr>BankPaymentExp</vt:lpstr>
      <vt:lpstr>BankReceiptRevExp</vt:lpstr>
      <vt:lpstr>BankPaymentExpTDS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2026-06-23T13:04:18Z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