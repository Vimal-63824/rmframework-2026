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5240" windowHeight="6540" tabRatio="849" firstSheet="25" activeTab="28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Bills_Rcm_Updated" sheetId="17" r:id="rId17"/>
    <sheet name="PurchaseBills_Imported_Ex" sheetId="18" r:id="rId18"/>
    <sheet name="BankPaymentINR" sheetId="19" r:id="rId19"/>
    <sheet name="PurchaseBills_IGST_Validation" sheetId="20" r:id="rId20"/>
    <sheet name="BankRecptGlAcct" sheetId="25" r:id="rId21"/>
    <sheet name="Purchasebills_adj_interstate" sheetId="21" r:id="rId22"/>
    <sheet name="Purchasebills_Adj_unregrd" sheetId="22" r:id="rId23"/>
    <sheet name="PurchaseBills_Banks" sheetId="23" r:id="rId24"/>
    <sheet name="PurchaseBills_Import" sheetId="24" r:id="rId25"/>
    <sheet name="PurchaseBills_IGST_Validation_2" sheetId="26" r:id="rId26"/>
    <sheet name="Purchase_Bills_Allow_IGST" sheetId="27" r:id="rId27"/>
    <sheet name="purchaseBills_GRN_igst" sheetId="28" r:id="rId28"/>
    <sheet name="PurchaseBills_IGST_Validation_3" sheetId="29" r:id="rId29"/>
    <sheet name="Sheet1" sheetId="30" r:id="rId30"/>
    <sheet name="Sheet2" sheetId="31" r:id="rId31"/>
  </sheets>
  <calcPr calcId="125725"/>
</workbook>
</file>

<file path=xl/calcChain.xml><?xml version="1.0" encoding="utf-8"?>
<calcChain xmlns="http://schemas.openxmlformats.org/spreadsheetml/2006/main">
  <c r="Z8" i="29"/>
  <c r="Y8"/>
  <c r="O8"/>
  <c r="Z7"/>
  <c r="Y7"/>
  <c r="O7"/>
  <c r="P7" s="1"/>
  <c r="Z6"/>
  <c r="Y6"/>
  <c r="O6"/>
  <c r="Z5"/>
  <c r="Y5"/>
  <c r="Q5"/>
  <c r="R5" s="1"/>
  <c r="S5" s="1"/>
  <c r="O5"/>
  <c r="T5" s="1"/>
  <c r="V5" s="1"/>
  <c r="AA6" i="28"/>
  <c r="AA7"/>
  <c r="Z7"/>
  <c r="Y7"/>
  <c r="O7"/>
  <c r="Z6"/>
  <c r="Y6"/>
  <c r="O6"/>
  <c r="P6" s="1"/>
  <c r="Z5"/>
  <c r="Y5"/>
  <c r="O5"/>
  <c r="BE5" i="27"/>
  <c r="BC5"/>
  <c r="BB5"/>
  <c r="AR5"/>
  <c r="AS5" s="1"/>
  <c r="Z5"/>
  <c r="Y5"/>
  <c r="AC5" s="1"/>
  <c r="AD5" s="1"/>
  <c r="V5"/>
  <c r="AA5" s="1"/>
  <c r="Y8" i="26"/>
  <c r="X8"/>
  <c r="N8"/>
  <c r="O8" s="1"/>
  <c r="Y7"/>
  <c r="X7"/>
  <c r="O7"/>
  <c r="P7" s="1"/>
  <c r="N7"/>
  <c r="Y6"/>
  <c r="X6"/>
  <c r="P6"/>
  <c r="O6"/>
  <c r="N6"/>
  <c r="Y5"/>
  <c r="X5"/>
  <c r="Q5"/>
  <c r="R5" s="1"/>
  <c r="P5"/>
  <c r="N5"/>
  <c r="AA6" i="10"/>
  <c r="AA7"/>
  <c r="AA8"/>
  <c r="AC2" i="25"/>
  <c r="N2" s="1"/>
  <c r="N3" s="1"/>
  <c r="M2"/>
  <c r="Q2" s="1"/>
  <c r="Q3" s="1"/>
  <c r="AC2" i="24"/>
  <c r="AC3" s="1"/>
  <c r="M2"/>
  <c r="M3" s="1"/>
  <c r="X8" i="23"/>
  <c r="W8"/>
  <c r="N8"/>
  <c r="O8" s="1"/>
  <c r="X7"/>
  <c r="W7"/>
  <c r="N7"/>
  <c r="X6"/>
  <c r="W6"/>
  <c r="N6"/>
  <c r="O6" s="1"/>
  <c r="X5"/>
  <c r="W5"/>
  <c r="R5"/>
  <c r="Q5"/>
  <c r="P5"/>
  <c r="N5"/>
  <c r="S5" s="1"/>
  <c r="T5" s="1"/>
  <c r="Q3" i="22"/>
  <c r="AC2"/>
  <c r="AC3" s="1"/>
  <c r="Q2"/>
  <c r="M2"/>
  <c r="M3" s="1"/>
  <c r="AC2" i="21"/>
  <c r="AC3" s="1"/>
  <c r="M2"/>
  <c r="Q2" s="1"/>
  <c r="Q3" s="1"/>
  <c r="Z8" i="20"/>
  <c r="Y8"/>
  <c r="O8"/>
  <c r="P8" s="1"/>
  <c r="Z7"/>
  <c r="Y7"/>
  <c r="O7"/>
  <c r="Z6"/>
  <c r="Y6"/>
  <c r="O6"/>
  <c r="P6" s="1"/>
  <c r="Z5"/>
  <c r="Y5"/>
  <c r="Q5"/>
  <c r="R5" s="1"/>
  <c r="S5" s="1"/>
  <c r="O5"/>
  <c r="AC2" i="19"/>
  <c r="N2" s="1"/>
  <c r="N3" s="1"/>
  <c r="Q2"/>
  <c r="Q3" s="1"/>
  <c r="M2"/>
  <c r="M3" s="1"/>
  <c r="AA8" i="18"/>
  <c r="Z8"/>
  <c r="Y8"/>
  <c r="AC8" s="1"/>
  <c r="P8"/>
  <c r="Q8" s="1"/>
  <c r="O8"/>
  <c r="AC7"/>
  <c r="AA7"/>
  <c r="Z7"/>
  <c r="Y7"/>
  <c r="R7"/>
  <c r="S7" s="1"/>
  <c r="T7" s="1"/>
  <c r="V7" s="1"/>
  <c r="AD7" s="1"/>
  <c r="Q7"/>
  <c r="P7"/>
  <c r="O7"/>
  <c r="AA6"/>
  <c r="Z6"/>
  <c r="Y6"/>
  <c r="AC6" s="1"/>
  <c r="P6"/>
  <c r="Q6" s="1"/>
  <c r="O6"/>
  <c r="AC5"/>
  <c r="AA5"/>
  <c r="Z5"/>
  <c r="Y5"/>
  <c r="R5"/>
  <c r="S5" s="1"/>
  <c r="T5" s="1"/>
  <c r="V5" s="1"/>
  <c r="AD5" s="1"/>
  <c r="Q5"/>
  <c r="O5"/>
  <c r="BE5" i="17"/>
  <c r="AQ5"/>
  <c r="X5"/>
  <c r="U5"/>
  <c r="Y5" s="1"/>
  <c r="BE5" i="16"/>
  <c r="AQ5"/>
  <c r="AR5" s="1"/>
  <c r="U5"/>
  <c r="X5" s="1"/>
  <c r="AC5" i="15"/>
  <c r="Z5"/>
  <c r="Y5"/>
  <c r="AB5" s="1"/>
  <c r="U5"/>
  <c r="Z8" i="14"/>
  <c r="Y8"/>
  <c r="O8"/>
  <c r="P8" s="1"/>
  <c r="Q8" s="1"/>
  <c r="Z7"/>
  <c r="Y7"/>
  <c r="O7"/>
  <c r="P7" s="1"/>
  <c r="Z6"/>
  <c r="Y6"/>
  <c r="O6"/>
  <c r="P6" s="1"/>
  <c r="Q6" s="1"/>
  <c r="Z5"/>
  <c r="Y5"/>
  <c r="Q5"/>
  <c r="R5" s="1"/>
  <c r="S5" s="1"/>
  <c r="O5"/>
  <c r="Z5" i="13"/>
  <c r="Y5"/>
  <c r="AB5" s="1"/>
  <c r="U5"/>
  <c r="AC5" s="1"/>
  <c r="Y5" i="12"/>
  <c r="X5"/>
  <c r="U5"/>
  <c r="AC5" s="1"/>
  <c r="Y7" i="11"/>
  <c r="X7"/>
  <c r="N7"/>
  <c r="O7" s="1"/>
  <c r="Y6"/>
  <c r="X6"/>
  <c r="O6"/>
  <c r="P6" s="1"/>
  <c r="N6"/>
  <c r="Y5"/>
  <c r="X5"/>
  <c r="Q5"/>
  <c r="R5" s="1"/>
  <c r="S5" s="1"/>
  <c r="U5" s="1"/>
  <c r="P5"/>
  <c r="N5"/>
  <c r="Z8" i="10"/>
  <c r="Y8"/>
  <c r="O8"/>
  <c r="Z7"/>
  <c r="Y7"/>
  <c r="Q7"/>
  <c r="P7"/>
  <c r="R7" s="1"/>
  <c r="S7" s="1"/>
  <c r="O7"/>
  <c r="T7" s="1"/>
  <c r="V7" s="1"/>
  <c r="Z6"/>
  <c r="Y6"/>
  <c r="O6"/>
  <c r="Z5"/>
  <c r="Y5"/>
  <c r="Q5"/>
  <c r="R5" s="1"/>
  <c r="S5" s="1"/>
  <c r="O5"/>
  <c r="Y7" i="9"/>
  <c r="X7"/>
  <c r="N7"/>
  <c r="O7" s="1"/>
  <c r="Y6"/>
  <c r="X6"/>
  <c r="O6"/>
  <c r="P6" s="1"/>
  <c r="N6"/>
  <c r="Y5"/>
  <c r="X5"/>
  <c r="N5"/>
  <c r="O5" s="1"/>
  <c r="Z5" i="8"/>
  <c r="Y5"/>
  <c r="O5"/>
  <c r="P5" s="1"/>
  <c r="Q5" s="1"/>
  <c r="U5" i="7"/>
  <c r="AC5" s="1"/>
  <c r="Y5" i="6"/>
  <c r="U5"/>
  <c r="X5" s="1"/>
  <c r="AB5" s="1"/>
  <c r="AA5" i="5"/>
  <c r="Z5"/>
  <c r="Y5"/>
  <c r="X5"/>
  <c r="AB5" s="1"/>
  <c r="U5"/>
  <c r="AC5" s="1"/>
  <c r="AA5" i="4"/>
  <c r="Z5"/>
  <c r="Y5"/>
  <c r="X5"/>
  <c r="AB5" s="1"/>
  <c r="U5"/>
  <c r="Z5" i="3"/>
  <c r="Y5"/>
  <c r="U5"/>
  <c r="BD5" i="2"/>
  <c r="BB5"/>
  <c r="BA5"/>
  <c r="AQ5"/>
  <c r="AR5" s="1"/>
  <c r="Z5"/>
  <c r="Y5"/>
  <c r="X5"/>
  <c r="U5"/>
  <c r="AQ5" i="1"/>
  <c r="U5"/>
  <c r="Y5" s="1"/>
  <c r="AA5" i="29" l="1"/>
  <c r="Q7"/>
  <c r="R7" s="1"/>
  <c r="S7" s="1"/>
  <c r="AC5"/>
  <c r="AD5" s="1"/>
  <c r="P6"/>
  <c r="P8"/>
  <c r="Q6" i="28"/>
  <c r="R6" s="1"/>
  <c r="S6" s="1"/>
  <c r="P5"/>
  <c r="P7"/>
  <c r="AT5" i="27"/>
  <c r="AB5" i="2"/>
  <c r="AC5"/>
  <c r="P8" i="26"/>
  <c r="Q8" s="1"/>
  <c r="R8" s="1"/>
  <c r="Q6"/>
  <c r="R6" s="1"/>
  <c r="S6" s="1"/>
  <c r="U6" s="1"/>
  <c r="Z6" s="1"/>
  <c r="AB6" s="1"/>
  <c r="AC6" s="1"/>
  <c r="Q7"/>
  <c r="R7" s="1"/>
  <c r="S7"/>
  <c r="U7" s="1"/>
  <c r="S5"/>
  <c r="U5" s="1"/>
  <c r="T5" i="14"/>
  <c r="V5" s="1"/>
  <c r="AA5" s="1"/>
  <c r="AC5" s="1"/>
  <c r="AD5" s="1"/>
  <c r="Q6" i="20"/>
  <c r="S6" i="11"/>
  <c r="U6" s="1"/>
  <c r="AB5" i="16"/>
  <c r="P7" i="9"/>
  <c r="Q7" s="1"/>
  <c r="R7" s="1"/>
  <c r="AS5" i="16"/>
  <c r="Y5" i="23"/>
  <c r="AA5" s="1"/>
  <c r="AB5" s="1"/>
  <c r="Q5" i="9"/>
  <c r="R5" s="1"/>
  <c r="P5"/>
  <c r="Z5" i="11"/>
  <c r="AB5" s="1"/>
  <c r="AC5"/>
  <c r="Q7" i="14"/>
  <c r="R7" s="1"/>
  <c r="S7" s="1"/>
  <c r="P6" i="23"/>
  <c r="AC5" i="4"/>
  <c r="Q8" i="20"/>
  <c r="R8" s="1"/>
  <c r="S8" s="1"/>
  <c r="T8" s="1"/>
  <c r="V8" s="1"/>
  <c r="P7" i="11"/>
  <c r="Q7"/>
  <c r="R7" s="1"/>
  <c r="S6" i="9"/>
  <c r="U6" s="1"/>
  <c r="T5" i="10"/>
  <c r="V5" s="1"/>
  <c r="AB5" i="17"/>
  <c r="AS5" i="2"/>
  <c r="AT5" s="1"/>
  <c r="AU5" s="1"/>
  <c r="AC7" i="10"/>
  <c r="AD7" s="1"/>
  <c r="P8" i="23"/>
  <c r="T8" i="18"/>
  <c r="V8" s="1"/>
  <c r="AD8" s="1"/>
  <c r="T5" i="20"/>
  <c r="V5" s="1"/>
  <c r="X5" i="1"/>
  <c r="AB5" s="1"/>
  <c r="AC5" s="1"/>
  <c r="AR5" i="17"/>
  <c r="P7" i="20"/>
  <c r="N2" i="21"/>
  <c r="N3" s="1"/>
  <c r="N2" i="22"/>
  <c r="N3" s="1"/>
  <c r="Q2" i="24"/>
  <c r="Q3" s="1"/>
  <c r="M3" i="25"/>
  <c r="AA5" i="3"/>
  <c r="Y5" i="7"/>
  <c r="Q6" i="11"/>
  <c r="R6" s="1"/>
  <c r="Z5" i="12"/>
  <c r="AB5" s="1"/>
  <c r="AC5" i="16"/>
  <c r="R6" i="18"/>
  <c r="S6" s="1"/>
  <c r="T6" s="1"/>
  <c r="V6" s="1"/>
  <c r="AD6" s="1"/>
  <c r="R8"/>
  <c r="S8" s="1"/>
  <c r="AC3" i="19"/>
  <c r="O7" i="23"/>
  <c r="N2" i="24"/>
  <c r="N3" s="1"/>
  <c r="X5" i="7"/>
  <c r="AB5" s="1"/>
  <c r="P6" i="10"/>
  <c r="P8"/>
  <c r="AC5" i="17"/>
  <c r="AR5" i="1"/>
  <c r="R5" i="8"/>
  <c r="S5" s="1"/>
  <c r="T5" s="1"/>
  <c r="V5" s="1"/>
  <c r="Q6" i="9"/>
  <c r="R6" s="1"/>
  <c r="R6" i="14"/>
  <c r="S6" s="1"/>
  <c r="T6" s="1"/>
  <c r="V6" s="1"/>
  <c r="R8"/>
  <c r="S8" s="1"/>
  <c r="T8" s="1"/>
  <c r="V8" s="1"/>
  <c r="Y5" i="16"/>
  <c r="X5" i="3"/>
  <c r="AC5" i="6"/>
  <c r="M3" i="21"/>
  <c r="AC3" i="25"/>
  <c r="Q8" i="29" l="1"/>
  <c r="Q6"/>
  <c r="T7"/>
  <c r="V7" s="1"/>
  <c r="Q5" i="28"/>
  <c r="Q7"/>
  <c r="T6"/>
  <c r="V6" s="1"/>
  <c r="AU5" i="27"/>
  <c r="AV5" s="1"/>
  <c r="AW5" s="1"/>
  <c r="AY5" s="1"/>
  <c r="S8" i="26"/>
  <c r="U8" s="1"/>
  <c r="Z8" s="1"/>
  <c r="AB8" s="1"/>
  <c r="AC8" s="1"/>
  <c r="Z5"/>
  <c r="AB5" s="1"/>
  <c r="AC5" s="1"/>
  <c r="AC7"/>
  <c r="Z7"/>
  <c r="AB7" s="1"/>
  <c r="AA8" i="20"/>
  <c r="AC8" s="1"/>
  <c r="AD8" s="1"/>
  <c r="AA5" i="8"/>
  <c r="AC5" s="1"/>
  <c r="AD5" s="1"/>
  <c r="S8" i="23"/>
  <c r="T8" s="1"/>
  <c r="AA8" i="14"/>
  <c r="AC8" s="1"/>
  <c r="AD8" s="1"/>
  <c r="AA6"/>
  <c r="AC6" s="1"/>
  <c r="AD6" s="1"/>
  <c r="Z6" i="9"/>
  <c r="AB6" s="1"/>
  <c r="AC6" s="1"/>
  <c r="AA5" i="10"/>
  <c r="AC5" s="1"/>
  <c r="AD5" s="1"/>
  <c r="Q8"/>
  <c r="R8" s="1"/>
  <c r="S8" s="1"/>
  <c r="Q6" i="23"/>
  <c r="R6" s="1"/>
  <c r="S6" s="1"/>
  <c r="T6" s="1"/>
  <c r="AB5" i="3"/>
  <c r="AC5" s="1"/>
  <c r="Q8" i="23"/>
  <c r="R8" s="1"/>
  <c r="S7" i="11"/>
  <c r="U7" s="1"/>
  <c r="R6" i="20"/>
  <c r="S6" s="1"/>
  <c r="T6" s="1"/>
  <c r="V6" s="1"/>
  <c r="Z6" i="11"/>
  <c r="AB6" s="1"/>
  <c r="AC6" s="1"/>
  <c r="Q6" i="10"/>
  <c r="S7" i="9"/>
  <c r="U7" s="1"/>
  <c r="AA5" i="20"/>
  <c r="AC5" s="1"/>
  <c r="AD5" s="1"/>
  <c r="AS5" i="1"/>
  <c r="AS5" i="17"/>
  <c r="P7" i="23"/>
  <c r="Q7" s="1"/>
  <c r="R7" s="1"/>
  <c r="Q7" i="20"/>
  <c r="S5" i="9"/>
  <c r="U5" s="1"/>
  <c r="AV5" i="16"/>
  <c r="AX5" s="1"/>
  <c r="BF5" s="1"/>
  <c r="BG5" s="1"/>
  <c r="AT5"/>
  <c r="AU5" s="1"/>
  <c r="AV5" i="2"/>
  <c r="AX5" s="1"/>
  <c r="T7" i="14"/>
  <c r="V7" s="1"/>
  <c r="AA7" i="29" l="1"/>
  <c r="AC7" s="1"/>
  <c r="AD7" s="1"/>
  <c r="R8"/>
  <c r="S8" s="1"/>
  <c r="T8" s="1"/>
  <c r="V8" s="1"/>
  <c r="R6"/>
  <c r="S6" s="1"/>
  <c r="T6" s="1"/>
  <c r="V6" s="1"/>
  <c r="AC6" i="28"/>
  <c r="AD6" s="1"/>
  <c r="R5"/>
  <c r="S5" s="1"/>
  <c r="T5" s="1"/>
  <c r="V5" s="1"/>
  <c r="R7"/>
  <c r="S7" s="1"/>
  <c r="T7" s="1"/>
  <c r="V7" s="1"/>
  <c r="BD5" i="27"/>
  <c r="BF5" s="1"/>
  <c r="BG5" s="1"/>
  <c r="Y6" i="23"/>
  <c r="AA6" s="1"/>
  <c r="AB6" s="1"/>
  <c r="AA6" i="20"/>
  <c r="AC6" s="1"/>
  <c r="AD6" s="1"/>
  <c r="AA7" i="14"/>
  <c r="AC7" s="1"/>
  <c r="AD7" s="1"/>
  <c r="T6" i="10"/>
  <c r="V6" s="1"/>
  <c r="R6"/>
  <c r="S6" s="1"/>
  <c r="Y8" i="23"/>
  <c r="AA8" s="1"/>
  <c r="AB8"/>
  <c r="AC7" i="9"/>
  <c r="Z7"/>
  <c r="AB7" s="1"/>
  <c r="AT5" i="1"/>
  <c r="AU5" s="1"/>
  <c r="AV5" s="1"/>
  <c r="AX5" s="1"/>
  <c r="AT5" i="17"/>
  <c r="AU5" s="1"/>
  <c r="AV5" s="1"/>
  <c r="AX5" s="1"/>
  <c r="BF5" s="1"/>
  <c r="BG5" s="1"/>
  <c r="AC5" i="9"/>
  <c r="Z5"/>
  <c r="AB5" s="1"/>
  <c r="BF5" i="2"/>
  <c r="BC5"/>
  <c r="BE5" s="1"/>
  <c r="Z7" i="11"/>
  <c r="AB7" s="1"/>
  <c r="AC7" s="1"/>
  <c r="T8" i="10"/>
  <c r="V8" s="1"/>
  <c r="S7" i="23"/>
  <c r="T7" s="1"/>
  <c r="R7" i="20"/>
  <c r="S7" s="1"/>
  <c r="T7" s="1"/>
  <c r="V7" s="1"/>
  <c r="AA8" i="29" l="1"/>
  <c r="AC8" s="1"/>
  <c r="AD8" s="1"/>
  <c r="AA6"/>
  <c r="AC6" s="1"/>
  <c r="AD6" s="1"/>
  <c r="AA5" i="28"/>
  <c r="AC5" s="1"/>
  <c r="AD5" s="1"/>
  <c r="AC7"/>
  <c r="AD7" s="1"/>
  <c r="BB5" i="1"/>
  <c r="BA5"/>
  <c r="AC8" i="10"/>
  <c r="AD8" s="1"/>
  <c r="Y7" i="23"/>
  <c r="AA7" s="1"/>
  <c r="AB7" s="1"/>
  <c r="AA7" i="20"/>
  <c r="AC7" s="1"/>
  <c r="AD7" s="1"/>
  <c r="AC6" i="10"/>
  <c r="AD6" s="1"/>
  <c r="BE5" i="1" l="1"/>
  <c r="BF5" s="1"/>
  <c r="BG5" s="1"/>
</calcChain>
</file>

<file path=xl/sharedStrings.xml><?xml version="1.0" encoding="utf-8"?>
<sst xmlns="http://schemas.openxmlformats.org/spreadsheetml/2006/main" count="1635" uniqueCount="115">
  <si>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</si>
  <si>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</si>
  <si>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</si>
  <si>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</si>
  <si>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</si>
  <si>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</si>
  <si>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</si>
  <si>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</si>
  <si>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</si>
  <si>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</si>
  <si>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</si>
  <si>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</si>
  <si>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</si>
  <si>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</si>
  <si>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</si>
  <si>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</si>
  <si>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</si>
  <si>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</si>
  <si>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</si>
  <si>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</si>
  <si>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</si>
  <si>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</si>
  <si>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</si>
  <si>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</si>
  <si>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</si>
  <si>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</si>
  <si>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</si>
  <si>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</si>
  <si>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</si>
  <si>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</si>
  <si>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</si>
  <si>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</si>
  <si>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</si>
  <si>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</si>
  <si>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</si>
  <si>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</si>
  <si>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</si>
  <si>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</si>
  <si>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</si>
  <si>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</si>
  <si>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</si>
  <si>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</si>
  <si>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</si>
  <si>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</si>
  <si>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</si>
  <si>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</si>
  <si>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</si>
  <si>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</si>
  <si>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</si>
  <si>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</si>
  <si>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</si>
  <si>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</si>
  <si>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</si>
  <si>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</si>
  <si>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</si>
  <si>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</si>
  <si>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</si>
  <si>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</si>
  <si>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</si>
  <si>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</si>
  <si>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</si>
  <si>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</si>
  <si>
    <t>SNO</t>
  </si>
  <si>
    <t>GL ACCOUNT DESC</t>
  </si>
  <si>
    <t>PARTY ID</t>
  </si>
  <si>
    <t>PARTY NAME</t>
  </si>
  <si>
    <t>SHEETNAME</t>
  </si>
  <si>
    <t>ENTITY</t>
  </si>
  <si>
    <t>CPC DESC</t>
  </si>
  <si>
    <t>BILL DOC NUMBER</t>
  </si>
  <si>
    <t>PAY AMOUNT</t>
  </si>
  <si>
    <t>Lines DR./CR</t>
  </si>
  <si>
    <t>CURCY</t>
  </si>
  <si>
    <t>EX.RATE</t>
  </si>
  <si>
    <t>Amt In TC</t>
  </si>
  <si>
    <t>Amt In BC</t>
  </si>
  <si>
    <t>HSN CODE</t>
  </si>
  <si>
    <t>TAX PERCENTAGE</t>
  </si>
  <si>
    <t>ASSESABLE VALUE</t>
  </si>
  <si>
    <t>CESS PERCENTAGE</t>
  </si>
  <si>
    <t>CESS AMOUNT</t>
  </si>
  <si>
    <t>Location</t>
  </si>
  <si>
    <t>Unit</t>
  </si>
  <si>
    <t>Pending DR./CR</t>
  </si>
  <si>
    <t>Purchase Bills 1</t>
  </si>
  <si>
    <t>Purchase Bills 2</t>
  </si>
  <si>
    <t>Sum Of Both Purchase Bills</t>
  </si>
  <si>
    <t>DirectGrnGenUD</t>
  </si>
  <si>
    <t>ROAU</t>
  </si>
  <si>
    <t>GERERAL</t>
  </si>
  <si>
    <t>00123</t>
  </si>
  <si>
    <t>DR</t>
  </si>
  <si>
    <t>1</t>
  </si>
  <si>
    <t>L0001</t>
  </si>
  <si>
    <t>U1</t>
  </si>
  <si>
    <t>CR</t>
  </si>
  <si>
    <t>0</t>
  </si>
  <si>
    <t>MANI TRADERS(AP)</t>
  </si>
  <si>
    <t>SUP-076</t>
  </si>
  <si>
    <t>MANI TRADERS</t>
  </si>
  <si>
    <t>MURUGAN TRADERS</t>
  </si>
  <si>
    <t>CUS0015</t>
  </si>
  <si>
    <t>MURUGAN TRADERS (AR)</t>
  </si>
  <si>
    <t>STAR INDUSTRIAL TOOLS</t>
  </si>
  <si>
    <t>SUP-002</t>
  </si>
  <si>
    <t>STAR INDUSTRIAL TOOLS(AP)</t>
  </si>
  <si>
    <t>WALMART(AP)</t>
  </si>
  <si>
    <t>SUP00375</t>
  </si>
  <si>
    <t>WALMART</t>
  </si>
  <si>
    <t>USD</t>
  </si>
  <si>
    <t>PSV INDUSTRIES (AP)</t>
  </si>
  <si>
    <t>NULL</t>
  </si>
  <si>
    <t>Process Flow</t>
  </si>
  <si>
    <t>null</t>
  </si>
  <si>
    <t>Null</t>
  </si>
</sst>
</file>

<file path=xl/styles.xml><?xml version="1.0" encoding="utf-8"?>
<styleSheet xmlns="http://schemas.openxmlformats.org/spreadsheetml/2006/main">
  <numFmts count="4"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2" fontId="7" fillId="0" borderId="1" xfId="0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3" fillId="0" borderId="0" xfId="1" applyFont="1" applyFill="1" applyBorder="1" applyAlignment="1">
      <alignment horizontal="left" vertical="center"/>
    </xf>
    <xf numFmtId="0" fontId="10" fillId="0" borderId="0" xfId="0" applyFont="1"/>
    <xf numFmtId="0" fontId="0" fillId="0" borderId="0" xfId="0" applyAlignment="1">
      <alignment horizontal="left" indent="1"/>
    </xf>
    <xf numFmtId="0" fontId="0" fillId="0" borderId="1" xfId="0" applyBorder="1" applyAlignment="1">
      <alignment horizontal="left" indent="1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166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B16" sqref="B1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 t="s">
        <v>0</v>
      </c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95" t="s">
        <v>3</v>
      </c>
      <c r="B3" s="95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5" t="s">
        <v>3</v>
      </c>
      <c r="AE3" s="95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 t="s">
        <v>0</v>
      </c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95" t="s">
        <v>3</v>
      </c>
      <c r="B3" s="95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5" t="s">
        <v>3</v>
      </c>
      <c r="AE3" s="95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5" t="s">
        <v>3</v>
      </c>
      <c r="B3" s="95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5" t="s">
        <v>3</v>
      </c>
      <c r="B3" s="95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5" t="s">
        <v>3</v>
      </c>
      <c r="B3" s="95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G23" sqref="G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95" t="s">
        <v>3</v>
      </c>
      <c r="B3" s="95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AD5" sqref="A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95" t="s">
        <v>3</v>
      </c>
      <c r="B3" s="95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6"/>
  <sheetViews>
    <sheetView topLeftCell="C1" workbookViewId="0">
      <selection activeCell="C5" sqref="C5"/>
    </sheetView>
  </sheetViews>
  <sheetFormatPr defaultRowHeight="15"/>
  <cols>
    <col min="2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</cols>
  <sheetData>
    <row r="1" spans="1:30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0" ht="18">
      <c r="A2" s="23" t="s">
        <v>1</v>
      </c>
      <c r="B2" s="23" t="s">
        <v>2</v>
      </c>
      <c r="C2" s="23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</row>
    <row r="3" spans="1:30">
      <c r="A3" s="95" t="s">
        <v>3</v>
      </c>
      <c r="B3" s="95"/>
      <c r="C3" s="83"/>
      <c r="D3" s="37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42.75">
      <c r="A4" s="10" t="s">
        <v>8</v>
      </c>
      <c r="B4" s="10" t="s">
        <v>36</v>
      </c>
      <c r="C4" s="10" t="s">
        <v>111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</row>
    <row r="5" spans="1:30">
      <c r="A5" s="9">
        <v>1</v>
      </c>
      <c r="B5" s="27" t="s">
        <v>44</v>
      </c>
      <c r="C5" s="27"/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2.21</v>
      </c>
      <c r="L5" s="25">
        <v>1.79</v>
      </c>
      <c r="M5" s="25">
        <v>2.5</v>
      </c>
      <c r="N5" s="8">
        <v>500.5</v>
      </c>
      <c r="O5" s="8">
        <f>ROUND(K5*N5%,2)</f>
        <v>11.06</v>
      </c>
      <c r="P5" s="8">
        <f>J5-O5</f>
        <v>489.44</v>
      </c>
      <c r="Q5" s="8">
        <f>ROUND(L5*P5%,2)</f>
        <v>8.76</v>
      </c>
      <c r="R5" s="8">
        <f>P5-Q5</f>
        <v>480.68</v>
      </c>
      <c r="S5" s="8">
        <f>ROUND(M5*R5%,2)</f>
        <v>12.02</v>
      </c>
      <c r="T5" s="26">
        <f>O5+Q5+S5</f>
        <v>31.84</v>
      </c>
      <c r="U5" s="26">
        <v>0</v>
      </c>
      <c r="V5" s="8">
        <f>(J5-T5)</f>
        <v>468.66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8">
        <f>IF($E$3=2,ROUND(((V5*X5)),2),0)</f>
        <v>84.36</v>
      </c>
      <c r="AB5" s="24">
        <v>0</v>
      </c>
      <c r="AC5" s="24">
        <f>Y5+Z5+AA5</f>
        <v>84.36</v>
      </c>
      <c r="AD5" s="24">
        <f>V5+AC5</f>
        <v>553.02</v>
      </c>
    </row>
    <row r="6" spans="1:30">
      <c r="A6" s="19"/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2">
    <mergeCell ref="A1:AD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G8"/>
  <sheetViews>
    <sheetView topLeftCell="R1" workbookViewId="0">
      <selection activeCell="A4" sqref="A4:AF4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2" max="32" width="18.85546875" bestFit="1" customWidth="1"/>
    <col min="33" max="33" width="11.7109375" bestFit="1" customWidth="1"/>
  </cols>
  <sheetData>
    <row r="1" spans="1:33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3"/>
      <c r="AE1" s="93"/>
    </row>
    <row r="2" spans="1:33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93"/>
      <c r="AE2" s="93"/>
    </row>
    <row r="3" spans="1:33">
      <c r="A3" s="95" t="s">
        <v>3</v>
      </c>
      <c r="B3" s="95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 spans="1:33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7" t="s">
        <v>113</v>
      </c>
      <c r="AE4" s="17" t="s">
        <v>113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24">
        <v>0</v>
      </c>
      <c r="AE5" s="24">
        <v>0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24">
        <v>0</v>
      </c>
      <c r="AE6" s="24">
        <v>0</v>
      </c>
      <c r="AF6" s="46" t="s">
        <v>53</v>
      </c>
      <c r="AG6" s="46" t="s">
        <v>61</v>
      </c>
    </row>
    <row r="7" spans="1:33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24">
        <v>0</v>
      </c>
      <c r="AE7" s="24">
        <v>0</v>
      </c>
      <c r="AF7" s="46" t="s">
        <v>54</v>
      </c>
      <c r="AG7" s="46" t="s">
        <v>61</v>
      </c>
    </row>
    <row r="8" spans="1:33">
      <c r="AG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topLeftCell="M1" workbookViewId="0">
      <selection activeCell="X16" sqref="X1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1" max="31" width="9.7109375" bestFit="1" customWidth="1"/>
    <col min="32" max="32" width="18.85546875" bestFit="1" customWidth="1"/>
    <col min="33" max="33" width="13.140625" customWidth="1"/>
  </cols>
  <sheetData>
    <row r="1" spans="1:33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95" t="s">
        <v>3</v>
      </c>
      <c r="B3" s="95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8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8">
        <f t="shared" ref="AA6:AA8" si="6"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7">ROUND(K7*N7%,2)</f>
        <v>0</v>
      </c>
      <c r="P7" s="8">
        <f t="shared" ref="P7" si="8">J7-O7</f>
        <v>609</v>
      </c>
      <c r="Q7" s="8">
        <f t="shared" ref="Q7" si="9">ROUND(L7*P7%,2)</f>
        <v>0</v>
      </c>
      <c r="R7" s="8">
        <f t="shared" ref="R7" si="10">P7-Q7</f>
        <v>609</v>
      </c>
      <c r="S7" s="8">
        <f t="shared" ref="S7" si="11">ROUND(M7*R7%,2)</f>
        <v>0</v>
      </c>
      <c r="T7" s="26">
        <f t="shared" ref="T7" si="12">O7+Q7+S7</f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8">
        <f t="shared" si="6"/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55">
        <f t="shared" si="6"/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topLeftCell="K1" workbookViewId="0">
      <selection activeCell="I12" sqref="I12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95" t="s">
        <v>3</v>
      </c>
      <c r="B3" s="95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95" t="s">
        <v>3</v>
      </c>
      <c r="B3" s="95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95" t="s">
        <v>3</v>
      </c>
      <c r="B3" s="95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95" t="s">
        <v>3</v>
      </c>
      <c r="B3" s="95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95" t="s">
        <v>3</v>
      </c>
      <c r="B3" s="95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AR23" sqref="AR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 t="s">
        <v>0</v>
      </c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95" t="s">
        <v>3</v>
      </c>
      <c r="B3" s="95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5" t="s">
        <v>3</v>
      </c>
      <c r="AE3" s="95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G6"/>
  <sheetViews>
    <sheetView topLeftCell="AO1" workbookViewId="0">
      <selection activeCell="BG5" sqref="B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 t="s">
        <v>0</v>
      </c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</row>
    <row r="2" spans="1:59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23" t="s">
        <v>1</v>
      </c>
      <c r="AE2" s="23" t="s">
        <v>2</v>
      </c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</row>
    <row r="3" spans="1:59">
      <c r="A3" s="95" t="s">
        <v>3</v>
      </c>
      <c r="B3" s="95"/>
      <c r="C3" s="68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5" t="s">
        <v>3</v>
      </c>
      <c r="AE3" s="95"/>
      <c r="AF3" s="68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9">
        <v>84.36</v>
      </c>
      <c r="BD5" s="24">
        <v>0</v>
      </c>
      <c r="BE5" s="8">
        <f>BA5+BB5+BC5</f>
        <v>84.36</v>
      </c>
      <c r="BF5" s="24">
        <f>AX5+BE5</f>
        <v>553.02</v>
      </c>
      <c r="BG5" s="8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6" sqref="A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A2" s="23" t="s">
        <v>1</v>
      </c>
      <c r="B2" s="23" t="s">
        <v>2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1:33" ht="15.75" thickBot="1">
      <c r="A3" s="95" t="s">
        <v>3</v>
      </c>
      <c r="B3" s="95"/>
      <c r="C3" s="71"/>
      <c r="D3" s="3">
        <v>3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0</v>
      </c>
      <c r="AB5" s="24">
        <v>0</v>
      </c>
      <c r="AC5" s="24">
        <f>Y5+Z5+AA5</f>
        <v>0</v>
      </c>
      <c r="AD5" s="24">
        <f>V5+AC5</f>
        <v>500.5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0</v>
      </c>
      <c r="AB6" s="24">
        <v>0</v>
      </c>
      <c r="AC6" s="24">
        <f>Y6+Z6+AA6</f>
        <v>0</v>
      </c>
      <c r="AD6" s="24">
        <f>V6+AC6</f>
        <v>3458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0</v>
      </c>
      <c r="AB7" s="24">
        <v>0</v>
      </c>
      <c r="AC7" s="24">
        <f>Y7+Z7+AA7</f>
        <v>0</v>
      </c>
      <c r="AD7" s="24">
        <f>V7+AC7</f>
        <v>609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0</v>
      </c>
      <c r="AB8" s="24">
        <v>0</v>
      </c>
      <c r="AC8" s="24">
        <f>Y8+Z8+AA8</f>
        <v>0</v>
      </c>
      <c r="AD8" s="24">
        <f>V8+AC8</f>
        <v>2025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L5" sqref="L5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97</v>
      </c>
      <c r="C2" s="76" t="s">
        <v>98</v>
      </c>
      <c r="D2" s="76" t="s">
        <v>99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G12"/>
  <sheetViews>
    <sheetView topLeftCell="K1" workbookViewId="0">
      <selection activeCell="AA8" sqref="AA8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3" ht="23.25">
      <c r="A1" s="84" t="s">
        <v>112</v>
      </c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A2" s="85"/>
      <c r="B2" s="23" t="s">
        <v>1</v>
      </c>
      <c r="C2" s="23" t="s">
        <v>2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3" ht="15.75" thickBot="1">
      <c r="A3" s="85"/>
      <c r="B3" s="95" t="s">
        <v>3</v>
      </c>
      <c r="C3" s="95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29.2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8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8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8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8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  <row r="9" spans="1:33">
      <c r="A9" s="85"/>
    </row>
    <row r="10" spans="1:33">
      <c r="A10" s="85"/>
    </row>
    <row r="11" spans="1:33">
      <c r="A11" s="85"/>
    </row>
    <row r="12" spans="1:33">
      <c r="A12" s="85"/>
    </row>
  </sheetData>
  <mergeCells count="2">
    <mergeCell ref="B1:AD1"/>
    <mergeCell ref="B3:C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2" sqref="D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110</v>
      </c>
      <c r="C2" s="76" t="s">
        <v>101</v>
      </c>
      <c r="D2" s="76" t="s">
        <v>110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B2" sqref="B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102</v>
      </c>
      <c r="C2" s="76" t="s">
        <v>101</v>
      </c>
      <c r="D2" s="76" t="s">
        <v>100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105</v>
      </c>
      <c r="C2" s="76" t="s">
        <v>104</v>
      </c>
      <c r="D2" s="76" t="s">
        <v>103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E10" sqref="E10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0.5703125" bestFit="1" customWidth="1"/>
    <col min="21" max="21" width="10.140625" bestFit="1" customWidth="1"/>
    <col min="29" max="29" width="9.7109375" bestFit="1" customWidth="1"/>
    <col min="30" max="30" width="18.85546875" bestFit="1" customWidth="1"/>
    <col min="31" max="31" width="13.140625" customWidth="1"/>
  </cols>
  <sheetData>
    <row r="1" spans="1:31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</row>
    <row r="2" spans="1:31" ht="18">
      <c r="A2" s="23" t="s">
        <v>1</v>
      </c>
      <c r="B2" s="23" t="s">
        <v>2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1" ht="15.75" thickBot="1">
      <c r="A3" s="95" t="s">
        <v>3</v>
      </c>
      <c r="B3" s="95"/>
      <c r="C3" s="81"/>
      <c r="D3" s="3">
        <v>2</v>
      </c>
      <c r="E3" s="3"/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31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0" t="s">
        <v>25</v>
      </c>
      <c r="U4" s="10" t="s">
        <v>26</v>
      </c>
      <c r="V4" s="16" t="s">
        <v>27</v>
      </c>
      <c r="W4" s="16" t="s">
        <v>28</v>
      </c>
      <c r="X4" s="16" t="s">
        <v>29</v>
      </c>
      <c r="Y4" s="16" t="s">
        <v>30</v>
      </c>
      <c r="Z4" s="16" t="s">
        <v>37</v>
      </c>
      <c r="AA4" s="16" t="s">
        <v>31</v>
      </c>
      <c r="AB4" s="17" t="s">
        <v>32</v>
      </c>
      <c r="AC4" s="51" t="s">
        <v>58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8">
        <f>(I5-S5)</f>
        <v>500.5</v>
      </c>
      <c r="U5" s="24">
        <v>88363222</v>
      </c>
      <c r="V5" s="18">
        <v>0.18</v>
      </c>
      <c r="W5" s="24">
        <f>IF($D$3=1,ROUND(((T5*V5)/2),2),0)</f>
        <v>0</v>
      </c>
      <c r="X5" s="24">
        <f>IF($D$3=1,ROUND(((T5*V5)/2),2),0)</f>
        <v>0</v>
      </c>
      <c r="Y5" s="24">
        <f>IF($D$3=2,ROUND(((T5*V5)),2),0)</f>
        <v>90.09</v>
      </c>
      <c r="Z5" s="24">
        <v>0</v>
      </c>
      <c r="AA5" s="24">
        <f>W5+X5+Y5</f>
        <v>90.09</v>
      </c>
      <c r="AB5" s="24">
        <f>T5+AA5</f>
        <v>590.59</v>
      </c>
      <c r="AC5" s="52" t="s">
        <v>57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8">
        <f>(I6-S6)</f>
        <v>3458</v>
      </c>
      <c r="U6" s="24">
        <v>88363222</v>
      </c>
      <c r="V6" s="18">
        <v>0.18</v>
      </c>
      <c r="W6" s="24">
        <f>IF($D$3=1,ROUND(((T6*V6)/2),2),0)</f>
        <v>0</v>
      </c>
      <c r="X6" s="24">
        <f>IF($D$3=1,ROUND(((T6*V6)/2),2),0)</f>
        <v>0</v>
      </c>
      <c r="Y6" s="24">
        <f>IF($D$3=2,ROUND(((T6*V6)),2),0)</f>
        <v>622.44000000000005</v>
      </c>
      <c r="Z6" s="24">
        <v>0</v>
      </c>
      <c r="AA6" s="24">
        <f>W6+X6+Y6</f>
        <v>622.44000000000005</v>
      </c>
      <c r="AB6" s="24">
        <f>T6+AA6</f>
        <v>4080.44</v>
      </c>
      <c r="AC6" s="53" t="s">
        <v>57</v>
      </c>
      <c r="AD6" s="46" t="s">
        <v>53</v>
      </c>
      <c r="AE6" s="46" t="s">
        <v>61</v>
      </c>
    </row>
    <row r="7" spans="1:31">
      <c r="A7" s="46">
        <v>4</v>
      </c>
      <c r="B7" s="46"/>
      <c r="C7" s="46"/>
      <c r="D7" s="46"/>
      <c r="E7" s="46" t="s">
        <v>56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8">
        <f>(I7-S7)</f>
        <v>609</v>
      </c>
      <c r="U7" s="24">
        <v>75052200</v>
      </c>
      <c r="V7" s="18">
        <v>0.18</v>
      </c>
      <c r="W7" s="24">
        <f>IF($D$3=1,ROUND(((T7*V7)/2),2),0)</f>
        <v>0</v>
      </c>
      <c r="X7" s="24">
        <f>IF($D$3=1,ROUND(((T7*V7)/2),2),0)</f>
        <v>0</v>
      </c>
      <c r="Y7" s="24">
        <f>IF($D$3=2,ROUND(((T7*V7)),2),0)</f>
        <v>109.62</v>
      </c>
      <c r="Z7" s="24">
        <v>0</v>
      </c>
      <c r="AA7" s="24">
        <f>W7+X7+Y7</f>
        <v>109.62</v>
      </c>
      <c r="AB7" s="24">
        <f>T7+AA7</f>
        <v>718.62</v>
      </c>
      <c r="AC7" s="52" t="s">
        <v>59</v>
      </c>
      <c r="AD7" s="46">
        <v>5050121000</v>
      </c>
      <c r="AE7" s="46" t="s">
        <v>61</v>
      </c>
    </row>
    <row r="8" spans="1:31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8">
        <f>(I8-S8)</f>
        <v>2025</v>
      </c>
      <c r="U8" s="24">
        <v>88363222</v>
      </c>
      <c r="V8" s="18">
        <v>0.18</v>
      </c>
      <c r="W8" s="24">
        <f>IF($D$3=1,ROUND(((T8*V8)/2),2),0)</f>
        <v>0</v>
      </c>
      <c r="X8" s="24">
        <f>IF($D$3=1,ROUND(((T8*V8)/2),2),0)</f>
        <v>0</v>
      </c>
      <c r="Y8" s="24">
        <f>IF($D$3=2,ROUND(((T8*V8)),2),0)</f>
        <v>364.5</v>
      </c>
      <c r="Z8" s="24">
        <v>0</v>
      </c>
      <c r="AA8" s="24">
        <f>W8+X8+Y8</f>
        <v>364.5</v>
      </c>
      <c r="AB8" s="24">
        <f>T8+AA8</f>
        <v>2389.5</v>
      </c>
      <c r="AC8" s="53" t="s">
        <v>57</v>
      </c>
      <c r="AD8" s="46" t="s">
        <v>54</v>
      </c>
      <c r="AE8" s="46" t="s">
        <v>61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E2" sqref="AE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15.42578125" style="75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106</v>
      </c>
      <c r="C2" s="82" t="s">
        <v>107</v>
      </c>
      <c r="D2" s="76" t="s">
        <v>108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109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F8"/>
  <sheetViews>
    <sheetView workbookViewId="0">
      <selection sqref="A1:XFD1048576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32" ht="18">
      <c r="A2" s="23" t="s">
        <v>1</v>
      </c>
      <c r="B2" s="23" t="s">
        <v>2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</row>
    <row r="3" spans="1:32" ht="15.75" thickBot="1">
      <c r="A3" s="95" t="s">
        <v>3</v>
      </c>
      <c r="B3" s="95"/>
      <c r="C3" s="3">
        <v>2</v>
      </c>
      <c r="D3" s="3"/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1" t="s">
        <v>46</v>
      </c>
      <c r="D4" s="11" t="s">
        <v>55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27" t="s">
        <v>44</v>
      </c>
      <c r="D5" s="27"/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IF($C$3=1,ROUND(((U5*W5)/2),2),0)</f>
        <v>0</v>
      </c>
      <c r="Y5" s="24">
        <f>IF($C$3=1,ROUND(((U5*W5)/2),2),0)</f>
        <v>0</v>
      </c>
      <c r="Z5" s="24">
        <f>IF($C$3=2,ROUND(((U5*W5)),2),0)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45" t="s">
        <v>50</v>
      </c>
      <c r="D6" s="45"/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IF($C$3=1,ROUND(((U6*W6)/2),2),0)</f>
        <v>0</v>
      </c>
      <c r="Y6" s="24">
        <f>IF($C$3=1,ROUND(((U6*W6)/2),2),0)</f>
        <v>0</v>
      </c>
      <c r="Z6" s="24">
        <f>IF($C$3=2,ROUND(((U6*W6)),2),0)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 t="s">
        <v>56</v>
      </c>
      <c r="E7" s="47" t="s">
        <v>33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609</v>
      </c>
      <c r="V7" s="24">
        <v>75052200</v>
      </c>
      <c r="W7" s="18">
        <v>0.05</v>
      </c>
      <c r="X7" s="24">
        <f>IF($C$3=1,ROUND(((U7*W7)/2),2),0)</f>
        <v>0</v>
      </c>
      <c r="Y7" s="24">
        <f>IF($C$3=1,ROUND(((U7*W7)/2),2),0)</f>
        <v>0</v>
      </c>
      <c r="Z7" s="24">
        <f>IF($C$3=2,ROUND(((U7*W7)),2),0)</f>
        <v>30.45</v>
      </c>
      <c r="AA7" s="24">
        <v>0</v>
      </c>
      <c r="AB7" s="24">
        <f>X7+Y7+Z7</f>
        <v>30.45</v>
      </c>
      <c r="AC7" s="24">
        <f>U7+AB7</f>
        <v>639.45000000000005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27" t="s">
        <v>52</v>
      </c>
      <c r="D8" s="27"/>
      <c r="E8" s="9" t="s">
        <v>33</v>
      </c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26">
        <v>0</v>
      </c>
      <c r="U8" s="8">
        <f>(I8-S8)</f>
        <v>2025</v>
      </c>
      <c r="V8" s="24">
        <v>88363222</v>
      </c>
      <c r="W8" s="18">
        <v>0.18</v>
      </c>
      <c r="X8" s="24">
        <f>IF($C$3=1,ROUND(((U8*W8)/2),2),0)</f>
        <v>0</v>
      </c>
      <c r="Y8" s="24">
        <f>IF($C$3=1,ROUND(((U8*W8)/2),2),0)</f>
        <v>0</v>
      </c>
      <c r="Z8" s="24">
        <f>IF($C$3=2,ROUND(((U8*W8)),2),0)</f>
        <v>364.5</v>
      </c>
      <c r="AA8" s="24">
        <v>0</v>
      </c>
      <c r="AB8" s="24">
        <f>X8+Y8+Z8</f>
        <v>364.5</v>
      </c>
      <c r="AC8" s="24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E5" sqref="E5"/>
    </sheetView>
  </sheetViews>
  <sheetFormatPr defaultRowHeight="15"/>
  <cols>
    <col min="3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7" bestFit="1" customWidth="1"/>
    <col min="34" max="34" width="18.85546875" bestFit="1" customWidth="1"/>
    <col min="38" max="38" width="11" bestFit="1" customWidth="1"/>
    <col min="39" max="39" width="20.42578125" customWidth="1"/>
    <col min="43" max="43" width="13.85546875" bestFit="1" customWidth="1"/>
    <col min="52" max="52" width="10.140625" bestFit="1" customWidth="1"/>
  </cols>
  <sheetData>
    <row r="1" spans="1:59" ht="18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 t="s">
        <v>0</v>
      </c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</row>
    <row r="2" spans="1:59" ht="18">
      <c r="B2" s="23" t="s">
        <v>1</v>
      </c>
      <c r="C2" s="23" t="s">
        <v>2</v>
      </c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23" t="s">
        <v>1</v>
      </c>
      <c r="AF2" s="23" t="s">
        <v>2</v>
      </c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</row>
    <row r="3" spans="1:59">
      <c r="B3" s="95" t="s">
        <v>3</v>
      </c>
      <c r="C3" s="95"/>
      <c r="D3" s="89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95" t="s">
        <v>3</v>
      </c>
      <c r="AF3" s="95"/>
      <c r="AG3" s="89"/>
      <c r="AH3" s="3">
        <v>2</v>
      </c>
      <c r="AI3" s="4" t="s">
        <v>4</v>
      </c>
      <c r="AJ3" s="5"/>
      <c r="AK3" s="5"/>
      <c r="AL3" s="5"/>
      <c r="AM3" s="6"/>
      <c r="AN3" s="7" t="s">
        <v>5</v>
      </c>
      <c r="AO3" s="7" t="s">
        <v>6</v>
      </c>
      <c r="AP3" s="7"/>
      <c r="AQ3" s="7" t="s">
        <v>7</v>
      </c>
      <c r="AR3" s="7">
        <v>1</v>
      </c>
      <c r="AS3" s="7"/>
      <c r="AT3" s="7"/>
      <c r="AU3" s="7"/>
      <c r="AV3" s="7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</row>
    <row r="4" spans="1:59" ht="42.75">
      <c r="A4" s="10" t="s">
        <v>8</v>
      </c>
      <c r="B4" s="10" t="s">
        <v>8</v>
      </c>
      <c r="C4" s="10" t="s">
        <v>36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8</v>
      </c>
      <c r="AF4" s="10" t="s">
        <v>45</v>
      </c>
      <c r="AG4" s="10" t="s">
        <v>9</v>
      </c>
      <c r="AH4" s="11" t="s">
        <v>46</v>
      </c>
      <c r="AI4" s="10" t="s">
        <v>10</v>
      </c>
      <c r="AJ4" s="10" t="s">
        <v>11</v>
      </c>
      <c r="AK4" s="12" t="s">
        <v>34</v>
      </c>
      <c r="AL4" s="10" t="s">
        <v>12</v>
      </c>
      <c r="AM4" s="10" t="s">
        <v>13</v>
      </c>
      <c r="AN4" s="13" t="s">
        <v>14</v>
      </c>
      <c r="AO4" s="13" t="s">
        <v>15</v>
      </c>
      <c r="AP4" s="13" t="s">
        <v>16</v>
      </c>
      <c r="AQ4" s="14" t="s">
        <v>17</v>
      </c>
      <c r="AR4" s="14" t="s">
        <v>18</v>
      </c>
      <c r="AS4" s="14" t="s">
        <v>19</v>
      </c>
      <c r="AT4" s="14" t="s">
        <v>20</v>
      </c>
      <c r="AU4" s="15" t="s">
        <v>21</v>
      </c>
      <c r="AV4" s="14" t="s">
        <v>22</v>
      </c>
      <c r="AW4" s="13" t="s">
        <v>23</v>
      </c>
      <c r="AX4" s="13" t="s">
        <v>24</v>
      </c>
      <c r="AY4" s="10" t="s">
        <v>25</v>
      </c>
      <c r="AZ4" s="10" t="s">
        <v>26</v>
      </c>
      <c r="BA4" s="16" t="s">
        <v>27</v>
      </c>
      <c r="BB4" s="16" t="s">
        <v>28</v>
      </c>
      <c r="BC4" s="16" t="s">
        <v>29</v>
      </c>
      <c r="BD4" s="16" t="s">
        <v>30</v>
      </c>
      <c r="BE4" s="16" t="s">
        <v>37</v>
      </c>
      <c r="BF4" s="16" t="s">
        <v>31</v>
      </c>
      <c r="BG4" s="17" t="s">
        <v>32</v>
      </c>
    </row>
    <row r="5" spans="1:59">
      <c r="A5" s="9">
        <v>1</v>
      </c>
      <c r="B5" s="9">
        <v>1</v>
      </c>
      <c r="C5" s="27" t="s">
        <v>41</v>
      </c>
      <c r="D5" s="9">
        <v>0</v>
      </c>
      <c r="E5" s="27" t="s">
        <v>42</v>
      </c>
      <c r="F5" s="9" t="s">
        <v>33</v>
      </c>
      <c r="G5" s="9" t="s">
        <v>33</v>
      </c>
      <c r="H5" s="24">
        <v>1</v>
      </c>
      <c r="I5" s="9">
        <v>2255</v>
      </c>
      <c r="J5" s="8">
        <v>2255</v>
      </c>
      <c r="K5" s="25"/>
      <c r="L5" s="25"/>
      <c r="M5" s="25"/>
      <c r="N5" s="8">
        <v>2255</v>
      </c>
      <c r="O5" s="8">
        <v>0</v>
      </c>
      <c r="P5" s="8">
        <v>2255</v>
      </c>
      <c r="Q5" s="8">
        <v>0</v>
      </c>
      <c r="R5" s="8">
        <v>2255</v>
      </c>
      <c r="S5" s="8">
        <v>0</v>
      </c>
      <c r="T5" s="26">
        <v>0</v>
      </c>
      <c r="U5" s="26">
        <v>0</v>
      </c>
      <c r="V5" s="8">
        <f>(J5-T5)</f>
        <v>2255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24">
        <f>IF($E$3=2,ROUND(((V5*X5)),2),0)</f>
        <v>405.9</v>
      </c>
      <c r="AB5" s="24">
        <v>0</v>
      </c>
      <c r="AC5" s="24">
        <f>Y5+Z5+AA5</f>
        <v>405.9</v>
      </c>
      <c r="AD5" s="24">
        <f>V5+AC5</f>
        <v>2660.9</v>
      </c>
      <c r="AE5" s="9">
        <v>1</v>
      </c>
      <c r="AF5" s="27" t="s">
        <v>44</v>
      </c>
      <c r="AG5" s="9">
        <v>0</v>
      </c>
      <c r="AH5" s="27" t="s">
        <v>44</v>
      </c>
      <c r="AI5" s="9" t="s">
        <v>33</v>
      </c>
      <c r="AJ5" s="9" t="s">
        <v>33</v>
      </c>
      <c r="AK5" s="24">
        <v>2</v>
      </c>
      <c r="AL5" s="9">
        <v>250.25</v>
      </c>
      <c r="AM5" s="8">
        <v>500.5</v>
      </c>
      <c r="AN5" s="25">
        <v>2.21</v>
      </c>
      <c r="AO5" s="25">
        <v>1.79</v>
      </c>
      <c r="AP5" s="25">
        <v>2.5</v>
      </c>
      <c r="AQ5" s="8">
        <v>500.5</v>
      </c>
      <c r="AR5" s="8">
        <f>ROUND(AN5*AQ5%,2)</f>
        <v>11.06</v>
      </c>
      <c r="AS5" s="8">
        <f>AM5-AR5</f>
        <v>489.44</v>
      </c>
      <c r="AT5" s="8">
        <f>ROUND(AO5*AS5%,2)</f>
        <v>8.76</v>
      </c>
      <c r="AU5" s="8">
        <f>AS5-AT5</f>
        <v>480.68</v>
      </c>
      <c r="AV5" s="8">
        <f>ROUND(AP5*AU5%,2)</f>
        <v>12.02</v>
      </c>
      <c r="AW5" s="26">
        <f>AR5+AT5+AV5</f>
        <v>31.84</v>
      </c>
      <c r="AX5" s="26">
        <v>0</v>
      </c>
      <c r="AY5" s="8">
        <f>(AM5-AW5)</f>
        <v>468.66</v>
      </c>
      <c r="AZ5" s="24">
        <v>88363222</v>
      </c>
      <c r="BA5" s="18">
        <v>0.18</v>
      </c>
      <c r="BB5" s="24">
        <f>IF($AH$3=1,ROUND(((AY5*BA5)/2),2),0)</f>
        <v>0</v>
      </c>
      <c r="BC5" s="24">
        <f>IF($AH$3=1,ROUND(((AY5*BA5)/2),2),0)</f>
        <v>0</v>
      </c>
      <c r="BD5" s="40">
        <f>IF($AH$3=2,ROUND(((AY5*BA5)),2),0)</f>
        <v>84.36</v>
      </c>
      <c r="BE5" s="24">
        <f>IF($AH$3=4,ROUND(((AY5*BA5)),2),0)</f>
        <v>0</v>
      </c>
      <c r="BF5" s="40">
        <f>BB5+BC5+BD5</f>
        <v>84.36</v>
      </c>
      <c r="BG5" s="24">
        <f>AY5+BF5</f>
        <v>553.02</v>
      </c>
    </row>
    <row r="6" spans="1:59"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4">
    <mergeCell ref="B1:AD1"/>
    <mergeCell ref="AE1:BG1"/>
    <mergeCell ref="B3:C3"/>
    <mergeCell ref="AE3:AF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F8"/>
  <sheetViews>
    <sheetView topLeftCell="N1" workbookViewId="0">
      <selection activeCell="Z11" sqref="Z11"/>
    </sheetView>
  </sheetViews>
  <sheetFormatPr defaultRowHeight="15"/>
  <cols>
    <col min="3" max="3" width="20.5703125" customWidth="1"/>
    <col min="4" max="4" width="13.42578125" bestFit="1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27" max="27" width="10.5703125" bestFit="1" customWidth="1"/>
    <col min="31" max="31" width="18.85546875" bestFit="1" customWidth="1"/>
    <col min="32" max="32" width="11.7109375" bestFit="1" customWidth="1"/>
  </cols>
  <sheetData>
    <row r="1" spans="1:32" ht="18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2" ht="16.5" customHeight="1">
      <c r="B2" s="23" t="s">
        <v>1</v>
      </c>
      <c r="C2" s="23" t="s">
        <v>2</v>
      </c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</row>
    <row r="3" spans="1:32">
      <c r="B3" s="95" t="s">
        <v>3</v>
      </c>
      <c r="C3" s="95"/>
      <c r="E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2" ht="42.75">
      <c r="A4" s="10" t="s">
        <v>114</v>
      </c>
      <c r="B4" s="10" t="s">
        <v>8</v>
      </c>
      <c r="C4" s="10" t="s">
        <v>45</v>
      </c>
      <c r="D4" s="10" t="s">
        <v>9</v>
      </c>
      <c r="E4" s="11" t="s">
        <v>46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36</v>
      </c>
      <c r="AF4" s="10" t="s">
        <v>60</v>
      </c>
    </row>
    <row r="5" spans="1:32">
      <c r="A5" s="9">
        <v>1</v>
      </c>
      <c r="B5" s="9">
        <v>1</v>
      </c>
      <c r="C5" s="27" t="s">
        <v>44</v>
      </c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f>J5-O5</f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92">
        <f>IF($E$3=2,ROUND(((V5*X5)),2),0)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46" t="s">
        <v>42</v>
      </c>
      <c r="AF5" s="46" t="s">
        <v>61</v>
      </c>
    </row>
    <row r="6" spans="1:32" ht="16.5" customHeight="1">
      <c r="A6" s="9">
        <v>2</v>
      </c>
      <c r="B6" s="9">
        <v>2</v>
      </c>
      <c r="C6" s="45" t="s">
        <v>51</v>
      </c>
      <c r="D6" s="9">
        <v>0</v>
      </c>
      <c r="E6" s="45" t="s">
        <v>50</v>
      </c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7" si="0">ROUND(K6*N6%,2)</f>
        <v>0</v>
      </c>
      <c r="P6" s="8">
        <f t="shared" ref="P6:P7" si="1">J6-O6</f>
        <v>3458</v>
      </c>
      <c r="Q6" s="8">
        <f t="shared" ref="Q6:Q7" si="2">ROUND(L6*P6%,2)</f>
        <v>0</v>
      </c>
      <c r="R6" s="8">
        <f t="shared" ref="R6:R7" si="3">P6-Q6</f>
        <v>3458</v>
      </c>
      <c r="S6" s="8">
        <f t="shared" ref="S6:S7" si="4">ROUND(M6*R6%,2)</f>
        <v>0</v>
      </c>
      <c r="T6" s="26">
        <f t="shared" ref="T6:T7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IF($E$3=1,ROUND(((V6*X6)/2),2),0)</f>
        <v>0</v>
      </c>
      <c r="Z6" s="24">
        <f>IF($E$3=1,ROUND(((V6*X6)/2),2),0)</f>
        <v>0</v>
      </c>
      <c r="AA6" s="92">
        <f t="shared" ref="AA6:AA7" si="6">IF($E$3=2,ROUND(((V6*X6)),2),0)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46" t="s">
        <v>53</v>
      </c>
      <c r="AF6" s="46" t="s">
        <v>61</v>
      </c>
    </row>
    <row r="7" spans="1:32">
      <c r="A7" s="9">
        <v>3</v>
      </c>
      <c r="B7" s="9">
        <v>3</v>
      </c>
      <c r="C7" s="27" t="s">
        <v>52</v>
      </c>
      <c r="D7" s="9">
        <v>0</v>
      </c>
      <c r="E7" s="27" t="s">
        <v>52</v>
      </c>
      <c r="F7" s="9" t="s">
        <v>33</v>
      </c>
      <c r="G7" s="9" t="s">
        <v>33</v>
      </c>
      <c r="H7" s="24">
        <v>3</v>
      </c>
      <c r="I7" s="9">
        <v>675</v>
      </c>
      <c r="J7" s="8">
        <v>2025</v>
      </c>
      <c r="K7" s="25">
        <v>0</v>
      </c>
      <c r="L7" s="25">
        <v>0</v>
      </c>
      <c r="M7" s="25">
        <v>0</v>
      </c>
      <c r="N7" s="8">
        <v>2025</v>
      </c>
      <c r="O7" s="8">
        <f t="shared" si="0"/>
        <v>0</v>
      </c>
      <c r="P7" s="8">
        <f t="shared" si="1"/>
        <v>2025</v>
      </c>
      <c r="Q7" s="8">
        <f t="shared" si="2"/>
        <v>0</v>
      </c>
      <c r="R7" s="8">
        <f t="shared" si="3"/>
        <v>2025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2025</v>
      </c>
      <c r="W7" s="24">
        <v>88363222</v>
      </c>
      <c r="X7" s="18">
        <v>0.18</v>
      </c>
      <c r="Y7" s="24">
        <f>IF($E$3=1,ROUND(((V7*X7)/2),2),0)</f>
        <v>0</v>
      </c>
      <c r="Z7" s="24">
        <f>IF($E$3=1,ROUND(((V7*X7)/2),2),0)</f>
        <v>0</v>
      </c>
      <c r="AA7" s="92">
        <f t="shared" si="6"/>
        <v>364.5</v>
      </c>
      <c r="AB7" s="24">
        <v>0</v>
      </c>
      <c r="AC7" s="24">
        <f>Y7+Z7+AA7</f>
        <v>364.5</v>
      </c>
      <c r="AD7" s="24">
        <f>V7+AC7</f>
        <v>2389.5</v>
      </c>
      <c r="AE7" s="46" t="s">
        <v>54</v>
      </c>
      <c r="AF7" s="46" t="s">
        <v>61</v>
      </c>
    </row>
    <row r="8" spans="1:32">
      <c r="AF8" s="46"/>
    </row>
  </sheetData>
  <mergeCells count="2">
    <mergeCell ref="B1:AD1"/>
    <mergeCell ref="B3:C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G8"/>
  <sheetViews>
    <sheetView tabSelected="1" workbookViewId="0">
      <selection activeCell="G16" sqref="G16"/>
    </sheetView>
  </sheetViews>
  <sheetFormatPr defaultRowHeight="15"/>
  <cols>
    <col min="3" max="3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B2" s="23" t="s">
        <v>1</v>
      </c>
      <c r="C2" s="23" t="s">
        <v>2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</row>
    <row r="3" spans="1:33" ht="15.75" thickBot="1">
      <c r="B3" s="95" t="s">
        <v>3</v>
      </c>
      <c r="C3" s="95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4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4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4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B1:AD1"/>
    <mergeCell ref="B3:C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PurchaseBills_Rcm_Updated</vt:lpstr>
      <vt:lpstr>PurchaseBills_Imported_Ex</vt:lpstr>
      <vt:lpstr>BankPaymentINR</vt:lpstr>
      <vt:lpstr>PurchaseBills_IGST_Validation</vt:lpstr>
      <vt:lpstr>BankRecptGlAcct</vt:lpstr>
      <vt:lpstr>Purchasebills_adj_interstate</vt:lpstr>
      <vt:lpstr>Purchasebills_Adj_unregrd</vt:lpstr>
      <vt:lpstr>PurchaseBills_Banks</vt:lpstr>
      <vt:lpstr>PurchaseBills_Import</vt:lpstr>
      <vt:lpstr>PurchaseBills_IGST_Validation_2</vt:lpstr>
      <vt:lpstr>Purchase_Bills_Allow_IGST</vt:lpstr>
      <vt:lpstr>purchaseBills_GRN_igst</vt:lpstr>
      <vt:lpstr>PurchaseBills_IGST_Validation_3</vt:lpstr>
      <vt:lpstr>Sheet1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2026-06-23T12:57:14Z</dcterms:modified>
</cp:coreProperties>
</file>