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6695" windowHeight="6540" tabRatio="594" firstSheet="13" activeTab="16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_Bills_In_Updated_2" sheetId="17" r:id="rId17"/>
  </sheets>
  <calcPr calcId="125725"/>
</workbook>
</file>

<file path=xl/calcChain.xml><?xml version="1.0" encoding="utf-8"?>
<calcChain xmlns="http://schemas.openxmlformats.org/spreadsheetml/2006/main">
  <c r="Z8" i="17"/>
  <c r="Y8"/>
  <c r="X8"/>
  <c r="O8"/>
  <c r="P8" s="1"/>
  <c r="Y7"/>
  <c r="X7"/>
  <c r="O7"/>
  <c r="P7" s="1"/>
  <c r="Y6"/>
  <c r="X6"/>
  <c r="Q6"/>
  <c r="P6"/>
  <c r="O6"/>
  <c r="Y5"/>
  <c r="X5"/>
  <c r="Q5"/>
  <c r="R5" s="1"/>
  <c r="S5" s="1"/>
  <c r="O5"/>
  <c r="Q7" l="1"/>
  <c r="R7" s="1"/>
  <c r="S7" s="1"/>
  <c r="T7" s="1"/>
  <c r="U7" s="1"/>
  <c r="R8"/>
  <c r="S8" s="1"/>
  <c r="Q8"/>
  <c r="R6"/>
  <c r="S6" s="1"/>
  <c r="T6" s="1"/>
  <c r="U6" s="1"/>
  <c r="Z6" s="1"/>
  <c r="AB6" s="1"/>
  <c r="AC6" s="1"/>
  <c r="T5"/>
  <c r="U5" s="1"/>
  <c r="T8" l="1"/>
  <c r="U8" s="1"/>
  <c r="AB8" s="1"/>
  <c r="AC8" s="1"/>
  <c r="Z7"/>
  <c r="AB7" s="1"/>
  <c r="AC7" s="1"/>
  <c r="Z5"/>
  <c r="AB5" s="1"/>
  <c r="AC5" s="1"/>
  <c r="AS5" i="16" l="1"/>
  <c r="AR5"/>
  <c r="AT5" s="1"/>
  <c r="AU5" s="1"/>
  <c r="AQ5"/>
  <c r="AC5"/>
  <c r="AB5"/>
  <c r="Y5"/>
  <c r="X5"/>
  <c r="U5"/>
  <c r="AC5" i="15"/>
  <c r="Z5"/>
  <c r="Y5"/>
  <c r="AB5" s="1"/>
  <c r="U5"/>
  <c r="Z8" i="14"/>
  <c r="Y8"/>
  <c r="O8"/>
  <c r="P8" s="1"/>
  <c r="Z7"/>
  <c r="Y7"/>
  <c r="P7"/>
  <c r="Q7" s="1"/>
  <c r="O7"/>
  <c r="Z6"/>
  <c r="Y6"/>
  <c r="Q6"/>
  <c r="P6"/>
  <c r="O6"/>
  <c r="Z5"/>
  <c r="Y5"/>
  <c r="R5"/>
  <c r="S5" s="1"/>
  <c r="Q5"/>
  <c r="O5"/>
  <c r="Z5" i="9"/>
  <c r="U5" i="8"/>
  <c r="S5"/>
  <c r="Z5" s="1"/>
  <c r="R5"/>
  <c r="Q5"/>
  <c r="P5"/>
  <c r="O5"/>
  <c r="N5"/>
  <c r="AB5" i="13"/>
  <c r="AC5"/>
  <c r="Z5"/>
  <c r="Y5"/>
  <c r="U5"/>
  <c r="AB5" i="3"/>
  <c r="AC5" s="1"/>
  <c r="Z5" i="12"/>
  <c r="U5"/>
  <c r="X5" s="1"/>
  <c r="AC7" i="11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Y5"/>
  <c r="X5"/>
  <c r="P5"/>
  <c r="N5"/>
  <c r="AD8" i="10"/>
  <c r="AC8"/>
  <c r="AA8"/>
  <c r="Z8"/>
  <c r="Y8"/>
  <c r="V8"/>
  <c r="T8"/>
  <c r="S8"/>
  <c r="R8"/>
  <c r="Q8"/>
  <c r="P8"/>
  <c r="O8"/>
  <c r="AD7"/>
  <c r="AC7"/>
  <c r="AA7"/>
  <c r="Z7"/>
  <c r="Y7"/>
  <c r="V7"/>
  <c r="T7"/>
  <c r="S7"/>
  <c r="R7"/>
  <c r="Q7"/>
  <c r="P7"/>
  <c r="O7"/>
  <c r="AD6"/>
  <c r="AC6"/>
  <c r="AA6"/>
  <c r="Z6"/>
  <c r="Y6"/>
  <c r="V6"/>
  <c r="T6"/>
  <c r="S6"/>
  <c r="R6"/>
  <c r="Q6"/>
  <c r="P6"/>
  <c r="O6"/>
  <c r="Z5"/>
  <c r="Y5"/>
  <c r="Q5"/>
  <c r="R5" s="1"/>
  <c r="S5" s="1"/>
  <c r="O5"/>
  <c r="AC7" i="9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AC5"/>
  <c r="AB5"/>
  <c r="Y5"/>
  <c r="X5"/>
  <c r="U5"/>
  <c r="S5"/>
  <c r="R5"/>
  <c r="Q5"/>
  <c r="P5"/>
  <c r="O5"/>
  <c r="N5"/>
  <c r="Y5" i="8"/>
  <c r="X5"/>
  <c r="AC5" i="7"/>
  <c r="AB5"/>
  <c r="Y5"/>
  <c r="X5"/>
  <c r="U5"/>
  <c r="AC5" i="6"/>
  <c r="AB5"/>
  <c r="Y5"/>
  <c r="X5"/>
  <c r="U5"/>
  <c r="AC5" i="5"/>
  <c r="AB5"/>
  <c r="AA5"/>
  <c r="Z5"/>
  <c r="Y5"/>
  <c r="X5"/>
  <c r="U5"/>
  <c r="AC5" i="4"/>
  <c r="AB5"/>
  <c r="AA5"/>
  <c r="Z5"/>
  <c r="Y5"/>
  <c r="X5"/>
  <c r="U5"/>
  <c r="AA5" i="3"/>
  <c r="Z5"/>
  <c r="Y5"/>
  <c r="X5"/>
  <c r="U5"/>
  <c r="BF5" i="2"/>
  <c r="BE5"/>
  <c r="BD5"/>
  <c r="BC5"/>
  <c r="BB5"/>
  <c r="BA5"/>
  <c r="AX5"/>
  <c r="AV5"/>
  <c r="AU5"/>
  <c r="AT5"/>
  <c r="AS5"/>
  <c r="AR5"/>
  <c r="AQ5"/>
  <c r="AC5"/>
  <c r="AB5"/>
  <c r="Z5"/>
  <c r="Y5"/>
  <c r="X5"/>
  <c r="U5"/>
  <c r="BG5" i="1"/>
  <c r="BF5"/>
  <c r="BE5"/>
  <c r="BB5"/>
  <c r="BA5"/>
  <c r="AX5"/>
  <c r="AV5"/>
  <c r="AU5"/>
  <c r="AT5"/>
  <c r="AS5"/>
  <c r="AR5"/>
  <c r="AQ5"/>
  <c r="AC5"/>
  <c r="AB5"/>
  <c r="Y5"/>
  <c r="X5"/>
  <c r="U5"/>
  <c r="AV5" i="16" l="1"/>
  <c r="AX5" s="1"/>
  <c r="R8" i="14"/>
  <c r="S8" s="1"/>
  <c r="Q8"/>
  <c r="T6"/>
  <c r="V6" s="1"/>
  <c r="R6"/>
  <c r="S6" s="1"/>
  <c r="R7"/>
  <c r="S7" s="1"/>
  <c r="AA6"/>
  <c r="AC6" s="1"/>
  <c r="AD6" s="1"/>
  <c r="T7"/>
  <c r="V7" s="1"/>
  <c r="T5"/>
  <c r="V5" s="1"/>
  <c r="AB5" i="8"/>
  <c r="AC5" s="1"/>
  <c r="S5" i="11"/>
  <c r="U5" s="1"/>
  <c r="Q5"/>
  <c r="R5" s="1"/>
  <c r="T5" i="10"/>
  <c r="V5" s="1"/>
  <c r="AB5" i="12"/>
  <c r="AC5"/>
  <c r="Y5"/>
  <c r="BE5" i="16" l="1"/>
  <c r="BF5" s="1"/>
  <c r="BG5" s="1"/>
  <c r="T8" i="14"/>
  <c r="V8" s="1"/>
  <c r="AA8" s="1"/>
  <c r="AC8" s="1"/>
  <c r="AD8" s="1"/>
  <c r="AD7"/>
  <c r="AA7"/>
  <c r="AC7" s="1"/>
  <c r="AA5"/>
  <c r="AC5" s="1"/>
  <c r="AD5" s="1"/>
  <c r="Z5" i="11"/>
  <c r="AB5" s="1"/>
  <c r="AC5" s="1"/>
  <c r="AA5" i="10"/>
  <c r="AC5" s="1"/>
  <c r="AD5" s="1"/>
</calcChain>
</file>

<file path=xl/sharedStrings.xml><?xml version="1.0" encoding="utf-8"?>
<sst xmlns="http://schemas.openxmlformats.org/spreadsheetml/2006/main" count="931" uniqueCount="62">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</sst>
</file>

<file path=xl/styles.xml><?xml version="1.0" encoding="utf-8"?>
<styleSheet xmlns="http://schemas.openxmlformats.org/spreadsheetml/2006/main">
  <numFmts count="3">
    <numFmt numFmtId="43" formatCode="_(* #,##0.00_);_(* \(#,##0.00\);_(* &quot;-&quot;??_);_(@_)"/>
    <numFmt numFmtId="164" formatCode="0.000"/>
    <numFmt numFmtId="165" formatCode="0.0"/>
  </numFmts>
  <fonts count="8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71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topLeftCell="AD1" workbookViewId="0">
      <selection activeCell="AD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 t="s">
        <v>0</v>
      </c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70" t="s">
        <v>3</v>
      </c>
      <c r="B3" s="70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70" t="s">
        <v>3</v>
      </c>
      <c r="AE3" s="70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topLeftCell="AP1" workbookViewId="0">
      <selection activeCell="AV5" sqref="AV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 t="s">
        <v>0</v>
      </c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70" t="s">
        <v>3</v>
      </c>
      <c r="B3" s="70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70" t="s">
        <v>3</v>
      </c>
      <c r="AE3" s="70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70" t="s">
        <v>3</v>
      </c>
      <c r="B3" s="70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Y5" sqref="Y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70" t="s">
        <v>3</v>
      </c>
      <c r="B3" s="70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70" t="s">
        <v>3</v>
      </c>
      <c r="B3" s="70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70" t="s">
        <v>3</v>
      </c>
      <c r="B3" s="70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G1" workbookViewId="0">
      <selection activeCell="S5" sqref="S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70" t="s">
        <v>3</v>
      </c>
      <c r="B3" s="70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</row>
    <row r="3" spans="1:29">
      <c r="A3" s="70" t="s">
        <v>3</v>
      </c>
      <c r="B3" s="70"/>
      <c r="C3" s="3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2.21</v>
      </c>
      <c r="K5" s="25">
        <v>1.79</v>
      </c>
      <c r="L5" s="25">
        <v>2.5</v>
      </c>
      <c r="M5" s="8">
        <v>500.5</v>
      </c>
      <c r="N5" s="8">
        <f>ROUND(J5*M5%,2)</f>
        <v>11.06</v>
      </c>
      <c r="O5" s="8">
        <f>I5-N5</f>
        <v>489.44</v>
      </c>
      <c r="P5" s="8">
        <f>ROUND(K5*O5%,2)</f>
        <v>8.76</v>
      </c>
      <c r="Q5" s="8">
        <f>O5-P5</f>
        <v>480.68</v>
      </c>
      <c r="R5" s="8">
        <f>ROUND(L5*Q5%,2)</f>
        <v>12.02</v>
      </c>
      <c r="S5" s="26">
        <f>N5+P5+R5</f>
        <v>31.84</v>
      </c>
      <c r="T5" s="26">
        <v>0</v>
      </c>
      <c r="U5" s="8">
        <f>(I5-S5)</f>
        <v>468.66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84.36</v>
      </c>
      <c r="AA5" s="24">
        <v>0</v>
      </c>
      <c r="AB5" s="24">
        <f>X5+Y5+Z5</f>
        <v>84.36</v>
      </c>
      <c r="AC5" s="24">
        <f>U5+AB5</f>
        <v>553.02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E8"/>
  <sheetViews>
    <sheetView topLeftCell="J1" workbookViewId="0">
      <selection activeCell="Y7" sqref="Y7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31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1">
      <c r="A3" s="70" t="s">
        <v>3</v>
      </c>
      <c r="B3" s="70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70" t="s">
        <v>3</v>
      </c>
      <c r="B3" s="70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8">
        <f>IF($D$3=2,ROUND(((V5*X5)),2),0)</f>
        <v>90.09</v>
      </c>
      <c r="AB5" s="24">
        <v>0</v>
      </c>
      <c r="AC5" s="24">
        <f>Y5+Z5+AA5</f>
        <v>90.09</v>
      </c>
      <c r="AD5" s="8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8">
        <f>IF($D$3=2,ROUND(((V6*X6)),2),0)</f>
        <v>622.44000000000005</v>
      </c>
      <c r="AB6" s="24">
        <v>0</v>
      </c>
      <c r="AC6" s="24">
        <f>Y6+Z6+AA6</f>
        <v>622.44000000000005</v>
      </c>
      <c r="AD6" s="8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6">ROUND(K7*N7%,2)</f>
        <v>0</v>
      </c>
      <c r="P7" s="8">
        <f t="shared" ref="P7" si="7">J7-O7</f>
        <v>609</v>
      </c>
      <c r="Q7" s="8">
        <f t="shared" ref="Q7" si="8">ROUND(L7*P7%,2)</f>
        <v>0</v>
      </c>
      <c r="R7" s="8">
        <f t="shared" ref="R7" si="9">P7-Q7</f>
        <v>609</v>
      </c>
      <c r="S7" s="8">
        <f t="shared" ref="S7" si="10">ROUND(M7*R7%,2)</f>
        <v>0</v>
      </c>
      <c r="T7" s="26">
        <f t="shared" ref="T7" si="11">O7+Q7+S7</f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8">
        <f>IF($D$3=2,ROUND(((V7*X7)),2),0)</f>
        <v>109.62</v>
      </c>
      <c r="AB7" s="24">
        <v>0</v>
      </c>
      <c r="AC7" s="24">
        <f>Y7+Z7+AA7</f>
        <v>109.62</v>
      </c>
      <c r="AD7" s="8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8">
        <f>IF($D$3=2,ROUND(((V8*X8)),2),0)</f>
        <v>364.5</v>
      </c>
      <c r="AB8" s="24">
        <v>0</v>
      </c>
      <c r="AC8" s="24">
        <f>Y8+Z8+AA8</f>
        <v>364.5</v>
      </c>
      <c r="AD8" s="8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E10" sqref="E10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70" t="s">
        <v>3</v>
      </c>
      <c r="B3" s="70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R5" sqref="R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70" t="s">
        <v>3</v>
      </c>
      <c r="B3" s="70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70" t="s">
        <v>3</v>
      </c>
      <c r="B3" s="70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F4" sqref="A4:AF4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70" t="s">
        <v>3</v>
      </c>
      <c r="B3" s="70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70" t="s">
        <v>3</v>
      </c>
      <c r="B3" s="70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BA17" sqref="BA17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 t="s">
        <v>0</v>
      </c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70" t="s">
        <v>3</v>
      </c>
      <c r="B3" s="70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70" t="s">
        <v>3</v>
      </c>
      <c r="AE3" s="70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F8"/>
  <sheetViews>
    <sheetView tabSelected="1" workbookViewId="0">
      <selection activeCell="AE4" sqref="A4:AE4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</row>
    <row r="2" spans="1:32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</row>
    <row r="3" spans="1:32" ht="15.75" thickBot="1">
      <c r="A3" s="70" t="s">
        <v>3</v>
      </c>
      <c r="B3" s="70"/>
      <c r="C3" s="68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8">
        <f>(J5-T5)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8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8">
        <f>(J6-T6)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>IF($D$3=2,ROUND(((U6*W6)),2),0)</f>
        <v>622.44000000000005</v>
      </c>
      <c r="AA6" s="24">
        <v>0</v>
      </c>
      <c r="AB6" s="24">
        <f>X6+Y6+Z6</f>
        <v>622.44000000000005</v>
      </c>
      <c r="AC6" s="8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8">
        <f>(J7-T7)</f>
        <v>609</v>
      </c>
      <c r="V7" s="24">
        <v>75052200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>IF($D$3=2,ROUND(((U7*W7)),2),0)</f>
        <v>109.62</v>
      </c>
      <c r="AA7" s="24">
        <v>0</v>
      </c>
      <c r="AB7" s="24">
        <f>X7+Y7+Z7</f>
        <v>109.62</v>
      </c>
      <c r="AC7" s="8">
        <f>U7+AB7</f>
        <v>718.62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8">
        <f>(J8-T8)</f>
        <v>2025</v>
      </c>
      <c r="V8" s="24">
        <v>88363222</v>
      </c>
      <c r="W8" s="18">
        <v>0.18</v>
      </c>
      <c r="X8" s="24">
        <f>IF($D$3=1,ROUND(((U8*W8)/2),2),0)</f>
        <v>0</v>
      </c>
      <c r="Y8" s="24">
        <f>IF($D$3=1,ROUND(((U8*W8)/2),2),0)</f>
        <v>0</v>
      </c>
      <c r="Z8" s="55">
        <f>IF($D$3=2,ROUND(((U8*W8)),2),0)</f>
        <v>364.5</v>
      </c>
      <c r="AA8" s="24">
        <v>0</v>
      </c>
      <c r="AB8" s="24">
        <f>X8+Y8+Z8</f>
        <v>364.5</v>
      </c>
      <c r="AC8" s="8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Purchase_Bills_In_Updated_2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2026-01-12T13:34:04Z</dcterms:modified>
</cp:coreProperties>
</file>