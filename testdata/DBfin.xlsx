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2520" windowWidth="15240" windowHeight="6540" tabRatio="849" firstSheet="16" activeTab="20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Bills_Rcm_Updated" sheetId="17" r:id="rId17"/>
    <sheet name="PurchaseBills_Imported_Ex" sheetId="18" r:id="rId18"/>
    <sheet name="BankPaymentINR" sheetId="19" r:id="rId19"/>
    <sheet name="PurchaseBills_IGST_Validation" sheetId="20" r:id="rId20"/>
    <sheet name="BankRecptGlAcct" sheetId="25" r:id="rId21"/>
    <sheet name="Purchasebills_adj_interstate" sheetId="21" r:id="rId22"/>
    <sheet name="Purchasebills_Adj_unregrd" sheetId="22" r:id="rId23"/>
    <sheet name="PurchaseBills_Banks" sheetId="23" r:id="rId24"/>
    <sheet name="PurchaseBills_Import" sheetId="24" r:id="rId25"/>
  </sheets>
  <calcPr calcId="124519"/>
</workbook>
</file>

<file path=xl/calcChain.xml><?xml version="1.0" encoding="utf-8"?>
<calcChain xmlns="http://schemas.openxmlformats.org/spreadsheetml/2006/main">
  <c r="M3" i="25"/>
  <c r="AC2"/>
  <c r="N2" s="1"/>
  <c r="N3" s="1"/>
  <c r="M2"/>
  <c r="Q2" s="1"/>
  <c r="Q3" s="1"/>
  <c r="AC3" i="24"/>
  <c r="Q3"/>
  <c r="N3"/>
  <c r="M3"/>
  <c r="AC2"/>
  <c r="Q2"/>
  <c r="N2"/>
  <c r="M2"/>
  <c r="AB8" i="23"/>
  <c r="AA8"/>
  <c r="Y8"/>
  <c r="X8"/>
  <c r="W8"/>
  <c r="T8"/>
  <c r="S8"/>
  <c r="R8"/>
  <c r="Q8"/>
  <c r="P8"/>
  <c r="O8"/>
  <c r="N8"/>
  <c r="AB7"/>
  <c r="AA7"/>
  <c r="Y7"/>
  <c r="X7"/>
  <c r="W7"/>
  <c r="T7"/>
  <c r="S7"/>
  <c r="R7"/>
  <c r="Q7"/>
  <c r="P7"/>
  <c r="O7"/>
  <c r="N7"/>
  <c r="AB6"/>
  <c r="AA6"/>
  <c r="Y6"/>
  <c r="X6"/>
  <c r="W6"/>
  <c r="T6"/>
  <c r="S6"/>
  <c r="R6"/>
  <c r="Q6"/>
  <c r="P6"/>
  <c r="O6"/>
  <c r="N6"/>
  <c r="AB5"/>
  <c r="AA5"/>
  <c r="Y5"/>
  <c r="X5"/>
  <c r="W5"/>
  <c r="T5"/>
  <c r="S5"/>
  <c r="R5"/>
  <c r="Q5"/>
  <c r="P5"/>
  <c r="N5"/>
  <c r="AC3" i="22"/>
  <c r="Q3"/>
  <c r="N3"/>
  <c r="M3"/>
  <c r="AC2"/>
  <c r="Q2"/>
  <c r="N2"/>
  <c r="M2"/>
  <c r="AC3" i="21"/>
  <c r="Q3"/>
  <c r="N3"/>
  <c r="M3"/>
  <c r="AC2"/>
  <c r="Q2"/>
  <c r="N2"/>
  <c r="M2"/>
  <c r="AC8" i="20"/>
  <c r="AB8"/>
  <c r="Z8"/>
  <c r="Y8"/>
  <c r="X8"/>
  <c r="U8"/>
  <c r="S8"/>
  <c r="R8"/>
  <c r="Q8"/>
  <c r="P8"/>
  <c r="O8"/>
  <c r="N8"/>
  <c r="AC7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AC5"/>
  <c r="AB5"/>
  <c r="Z5"/>
  <c r="Y5"/>
  <c r="X5"/>
  <c r="U5"/>
  <c r="S5"/>
  <c r="R5"/>
  <c r="Q5"/>
  <c r="P5"/>
  <c r="N5"/>
  <c r="AC3" i="19"/>
  <c r="Q3"/>
  <c r="N3"/>
  <c r="M3"/>
  <c r="AC2"/>
  <c r="Q2"/>
  <c r="N2"/>
  <c r="M2"/>
  <c r="AD8" i="18"/>
  <c r="AC8"/>
  <c r="AA8"/>
  <c r="Z8"/>
  <c r="Y8"/>
  <c r="V8"/>
  <c r="T8"/>
  <c r="S8"/>
  <c r="R8"/>
  <c r="Q8"/>
  <c r="P8"/>
  <c r="O8"/>
  <c r="AD7"/>
  <c r="AC7"/>
  <c r="AA7"/>
  <c r="Z7"/>
  <c r="Y7"/>
  <c r="V7"/>
  <c r="T7"/>
  <c r="S7"/>
  <c r="R7"/>
  <c r="Q7"/>
  <c r="P7"/>
  <c r="O7"/>
  <c r="AD6"/>
  <c r="AC6"/>
  <c r="AA6"/>
  <c r="Z6"/>
  <c r="Y6"/>
  <c r="V6"/>
  <c r="T6"/>
  <c r="S6"/>
  <c r="R6"/>
  <c r="Q6"/>
  <c r="P6"/>
  <c r="O6"/>
  <c r="AD5"/>
  <c r="AC5"/>
  <c r="AA5"/>
  <c r="Z5"/>
  <c r="Y5"/>
  <c r="V5"/>
  <c r="T5"/>
  <c r="S5"/>
  <c r="R5"/>
  <c r="Q5"/>
  <c r="O5"/>
  <c r="BG5" i="17"/>
  <c r="BF5"/>
  <c r="BE5"/>
  <c r="AX5"/>
  <c r="AV5"/>
  <c r="AU5"/>
  <c r="AT5"/>
  <c r="AS5"/>
  <c r="AR5"/>
  <c r="AQ5"/>
  <c r="AC5"/>
  <c r="AB5"/>
  <c r="Y5"/>
  <c r="X5"/>
  <c r="U5"/>
  <c r="BG5" i="16"/>
  <c r="BF5"/>
  <c r="BE5"/>
  <c r="AX5"/>
  <c r="AV5"/>
  <c r="AU5"/>
  <c r="AT5"/>
  <c r="AS5"/>
  <c r="AR5"/>
  <c r="AQ5"/>
  <c r="AC5"/>
  <c r="AB5"/>
  <c r="Y5"/>
  <c r="X5"/>
  <c r="U5"/>
  <c r="AC5" i="15"/>
  <c r="AB5"/>
  <c r="Z5"/>
  <c r="Y5"/>
  <c r="U5"/>
  <c r="AD8" i="14"/>
  <c r="AC8"/>
  <c r="AA8"/>
  <c r="Z8"/>
  <c r="Y8"/>
  <c r="V8"/>
  <c r="T8"/>
  <c r="S8"/>
  <c r="R8"/>
  <c r="Q8"/>
  <c r="P8"/>
  <c r="O8"/>
  <c r="AD7"/>
  <c r="AC7"/>
  <c r="AA7"/>
  <c r="Z7"/>
  <c r="Y7"/>
  <c r="V7"/>
  <c r="T7"/>
  <c r="S7"/>
  <c r="R7"/>
  <c r="Q7"/>
  <c r="P7"/>
  <c r="O7"/>
  <c r="AD6"/>
  <c r="AC6"/>
  <c r="AA6"/>
  <c r="Z6"/>
  <c r="Y6"/>
  <c r="V6"/>
  <c r="T6"/>
  <c r="S6"/>
  <c r="R6"/>
  <c r="Q6"/>
  <c r="P6"/>
  <c r="O6"/>
  <c r="AD5"/>
  <c r="AC5"/>
  <c r="AA5"/>
  <c r="Z5"/>
  <c r="Y5"/>
  <c r="V5"/>
  <c r="T5"/>
  <c r="S5"/>
  <c r="R5"/>
  <c r="Q5"/>
  <c r="O5"/>
  <c r="AC5" i="13"/>
  <c r="AB5"/>
  <c r="Z5"/>
  <c r="Y5"/>
  <c r="U5"/>
  <c r="AC5" i="12"/>
  <c r="AB5"/>
  <c r="Z5"/>
  <c r="Y5"/>
  <c r="X5"/>
  <c r="U5"/>
  <c r="AC7" i="11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AC5"/>
  <c r="AB5"/>
  <c r="Z5"/>
  <c r="Y5"/>
  <c r="X5"/>
  <c r="U5"/>
  <c r="S5"/>
  <c r="R5"/>
  <c r="Q5"/>
  <c r="P5"/>
  <c r="N5"/>
  <c r="AD8" i="10"/>
  <c r="AC8"/>
  <c r="AA8"/>
  <c r="Z8"/>
  <c r="Y8"/>
  <c r="V8"/>
  <c r="T8"/>
  <c r="S8"/>
  <c r="R8"/>
  <c r="Q8"/>
  <c r="P8"/>
  <c r="O8"/>
  <c r="AD7"/>
  <c r="AC7"/>
  <c r="AA7"/>
  <c r="Z7"/>
  <c r="Y7"/>
  <c r="V7"/>
  <c r="T7"/>
  <c r="S7"/>
  <c r="R7"/>
  <c r="Q7"/>
  <c r="P7"/>
  <c r="O7"/>
  <c r="AD6"/>
  <c r="AC6"/>
  <c r="AA6"/>
  <c r="Z6"/>
  <c r="Y6"/>
  <c r="V6"/>
  <c r="T6"/>
  <c r="S6"/>
  <c r="R6"/>
  <c r="Q6"/>
  <c r="P6"/>
  <c r="O6"/>
  <c r="AD5"/>
  <c r="AC5"/>
  <c r="AA5"/>
  <c r="Z5"/>
  <c r="Y5"/>
  <c r="V5"/>
  <c r="T5"/>
  <c r="S5"/>
  <c r="R5"/>
  <c r="Q5"/>
  <c r="O5"/>
  <c r="AC7" i="9"/>
  <c r="AB7"/>
  <c r="Z7"/>
  <c r="Y7"/>
  <c r="X7"/>
  <c r="U7"/>
  <c r="S7"/>
  <c r="R7"/>
  <c r="Q7"/>
  <c r="P7"/>
  <c r="O7"/>
  <c r="N7"/>
  <c r="AC6"/>
  <c r="AB6"/>
  <c r="Z6"/>
  <c r="Y6"/>
  <c r="X6"/>
  <c r="U6"/>
  <c r="S6"/>
  <c r="R6"/>
  <c r="Q6"/>
  <c r="P6"/>
  <c r="O6"/>
  <c r="N6"/>
  <c r="AC5"/>
  <c r="AB5"/>
  <c r="Z5"/>
  <c r="Y5"/>
  <c r="X5"/>
  <c r="U5"/>
  <c r="S5"/>
  <c r="R5"/>
  <c r="Q5"/>
  <c r="P5"/>
  <c r="O5"/>
  <c r="N5"/>
  <c r="AC5" i="8"/>
  <c r="AB5"/>
  <c r="Z5"/>
  <c r="Y5"/>
  <c r="X5"/>
  <c r="U5"/>
  <c r="S5"/>
  <c r="R5"/>
  <c r="Q5"/>
  <c r="P5"/>
  <c r="O5"/>
  <c r="N5"/>
  <c r="AC5" i="7"/>
  <c r="AB5"/>
  <c r="Y5"/>
  <c r="X5"/>
  <c r="U5"/>
  <c r="AC5" i="6"/>
  <c r="AB5"/>
  <c r="Y5"/>
  <c r="X5"/>
  <c r="U5"/>
  <c r="AC5" i="5"/>
  <c r="AB5"/>
  <c r="AA5"/>
  <c r="Z5"/>
  <c r="Y5"/>
  <c r="X5"/>
  <c r="U5"/>
  <c r="AC5" i="4"/>
  <c r="AB5"/>
  <c r="AA5"/>
  <c r="Z5"/>
  <c r="Y5"/>
  <c r="X5"/>
  <c r="U5"/>
  <c r="AC5" i="3"/>
  <c r="AB5"/>
  <c r="AA5"/>
  <c r="Z5"/>
  <c r="Y5"/>
  <c r="X5"/>
  <c r="U5"/>
  <c r="BF5" i="2"/>
  <c r="BE5"/>
  <c r="BD5"/>
  <c r="BC5"/>
  <c r="BB5"/>
  <c r="BA5"/>
  <c r="AX5"/>
  <c r="AV5"/>
  <c r="AU5"/>
  <c r="AT5"/>
  <c r="AS5"/>
  <c r="AR5"/>
  <c r="AQ5"/>
  <c r="AC5"/>
  <c r="AB5"/>
  <c r="Z5"/>
  <c r="Y5"/>
  <c r="X5"/>
  <c r="U5"/>
  <c r="BG5" i="1"/>
  <c r="BF5"/>
  <c r="BE5"/>
  <c r="BB5"/>
  <c r="BA5"/>
  <c r="AX5"/>
  <c r="AV5"/>
  <c r="AU5"/>
  <c r="AT5"/>
  <c r="AS5"/>
  <c r="AR5"/>
  <c r="AQ5"/>
  <c r="AC5"/>
  <c r="AB5"/>
  <c r="Y5"/>
  <c r="X5"/>
  <c r="U5"/>
  <c r="AC3" i="25" l="1"/>
</calcChain>
</file>

<file path=xl/sharedStrings.xml><?xml version="1.0" encoding="utf-8"?>
<sst xmlns="http://schemas.openxmlformats.org/spreadsheetml/2006/main" count="1356" uniqueCount="111">
  <si>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</si>
  <si>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</si>
  <si>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</si>
  <si>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</si>
  <si>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</si>
  <si>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</si>
  <si>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</si>
  <si>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</si>
  <si>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</si>
  <si>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</si>
  <si>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</si>
  <si>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</si>
  <si>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</si>
  <si>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</si>
  <si>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</si>
  <si>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</si>
  <si>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</si>
  <si>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</si>
  <si>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</si>
  <si>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</si>
  <si>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</si>
  <si>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</si>
  <si>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</si>
  <si>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</si>
  <si>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</si>
  <si>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</si>
  <si>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</si>
  <si>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</si>
  <si>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</si>
  <si>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</si>
  <si>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</si>
  <si>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</si>
  <si>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</si>
  <si>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</si>
  <si>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</si>
  <si>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</si>
  <si>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</si>
  <si>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</si>
  <si>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</si>
  <si>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</si>
  <si>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</si>
  <si>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</si>
  <si>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</si>
  <si>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</si>
  <si>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</si>
  <si>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</si>
  <si>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</si>
  <si>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</si>
  <si>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</si>
  <si>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</si>
  <si>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</si>
  <si>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</si>
  <si>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</si>
  <si>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</si>
  <si>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</si>
  <si>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</si>
  <si>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</si>
  <si>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</si>
  <si>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</si>
  <si>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</si>
  <si>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</si>
  <si>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</si>
  <si>
    <t>SNO</t>
  </si>
  <si>
    <t>GL ACCOUNT DESC</t>
  </si>
  <si>
    <t>PARTY ID</t>
  </si>
  <si>
    <t>PARTY NAME</t>
  </si>
  <si>
    <t>SHEETNAME</t>
  </si>
  <si>
    <t>ENTITY</t>
  </si>
  <si>
    <t>CPC DESC</t>
  </si>
  <si>
    <t>BILL DOC NUMBER</t>
  </si>
  <si>
    <t>PAY AMOUNT</t>
  </si>
  <si>
    <t>Lines DR./CR</t>
  </si>
  <si>
    <t>CURCY</t>
  </si>
  <si>
    <t>EX.RATE</t>
  </si>
  <si>
    <t>Amt In TC</t>
  </si>
  <si>
    <t>Amt In BC</t>
  </si>
  <si>
    <t>HSN CODE</t>
  </si>
  <si>
    <t>TAX PERCENTAGE</t>
  </si>
  <si>
    <t>ASSESABLE VALUE</t>
  </si>
  <si>
    <t>CESS PERCENTAGE</t>
  </si>
  <si>
    <t>CESS AMOUNT</t>
  </si>
  <si>
    <t>Location</t>
  </si>
  <si>
    <t>Unit</t>
  </si>
  <si>
    <t>Pending DR./CR</t>
  </si>
  <si>
    <t>Purchase Bills 1</t>
  </si>
  <si>
    <t>Purchase Bills 2</t>
  </si>
  <si>
    <t>Sum Of Both Purchase Bills</t>
  </si>
  <si>
    <t>DirectGrnGenUD</t>
  </si>
  <si>
    <t>ROAU</t>
  </si>
  <si>
    <t>GERERAL</t>
  </si>
  <si>
    <t>00123</t>
  </si>
  <si>
    <t>DR</t>
  </si>
  <si>
    <t>1</t>
  </si>
  <si>
    <t>L0001</t>
  </si>
  <si>
    <t>U1</t>
  </si>
  <si>
    <t>CR</t>
  </si>
  <si>
    <t>0</t>
  </si>
  <si>
    <t>MANI TRADERS(AP)</t>
  </si>
  <si>
    <t>SUP-076</t>
  </si>
  <si>
    <t>MANI TRADERS</t>
  </si>
  <si>
    <t>MURUGAN TRADERS</t>
  </si>
  <si>
    <t>CUS0015</t>
  </si>
  <si>
    <t>MURUGAN TRADERS (AR)</t>
  </si>
  <si>
    <t>STAR INDUSTRIAL TOOLS</t>
  </si>
  <si>
    <t>SUP-002</t>
  </si>
  <si>
    <t>STAR INDUSTRIAL TOOLS(AP)</t>
  </si>
  <si>
    <t>WALMART(AP)</t>
  </si>
  <si>
    <t>SUP00375</t>
  </si>
  <si>
    <t>WALMART</t>
  </si>
  <si>
    <t>USD</t>
  </si>
  <si>
    <t>PSV INDUSTRIES (AP)</t>
  </si>
</sst>
</file>

<file path=xl/styles.xml><?xml version="1.0" encoding="utf-8"?>
<styleSheet xmlns="http://schemas.openxmlformats.org/spreadsheetml/2006/main">
  <numFmts count="3">
    <numFmt numFmtId="164" formatCode="_(* #,##0.00_);_(* \(#,##0.00\);_(* &quot;-&quot;??_);_(@_)"/>
    <numFmt numFmtId="165" formatCode="0.000"/>
    <numFmt numFmtId="166" formatCode="0.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164" fontId="6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5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164" fontId="3" fillId="0" borderId="1" xfId="2" applyFont="1" applyBorder="1"/>
    <xf numFmtId="0" fontId="2" fillId="0" borderId="0" xfId="1" applyFont="1" applyBorder="1" applyAlignment="1">
      <alignment horizontal="left" vertical="top"/>
    </xf>
    <xf numFmtId="164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6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2" fontId="7" fillId="0" borderId="1" xfId="0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A5" sqref="A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 t="s">
        <v>0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84" t="s">
        <v>3</v>
      </c>
      <c r="B3" s="84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4" t="s">
        <v>3</v>
      </c>
      <c r="AE3" s="84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topLeftCell="AO1" workbookViewId="0">
      <selection activeCell="BH5" sqref="BH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 t="s">
        <v>0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84" t="s">
        <v>3</v>
      </c>
      <c r="B3" s="84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4" t="s">
        <v>3</v>
      </c>
      <c r="AE3" s="84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4" t="s">
        <v>3</v>
      </c>
      <c r="B3" s="84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Y5" sqref="Y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4" t="s">
        <v>3</v>
      </c>
      <c r="B3" s="84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84" t="s">
        <v>3</v>
      </c>
      <c r="B3" s="84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G5" sqref="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84" t="s">
        <v>3</v>
      </c>
      <c r="B3" s="84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AD5" sqref="A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84" t="s">
        <v>3</v>
      </c>
      <c r="B3" s="84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C6"/>
  <sheetViews>
    <sheetView topLeftCell="H1" workbookViewId="0">
      <selection activeCell="U5" sqref="U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</row>
    <row r="3" spans="1:29">
      <c r="A3" s="84" t="s">
        <v>3</v>
      </c>
      <c r="B3" s="84"/>
      <c r="C3" s="3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2.21</v>
      </c>
      <c r="K5" s="25">
        <v>1.79</v>
      </c>
      <c r="L5" s="25">
        <v>2.5</v>
      </c>
      <c r="M5" s="8">
        <v>500.5</v>
      </c>
      <c r="N5" s="8">
        <f>ROUND(J5*M5%,2)</f>
        <v>11.06</v>
      </c>
      <c r="O5" s="8">
        <f>I5-N5</f>
        <v>489.44</v>
      </c>
      <c r="P5" s="8">
        <f>ROUND(K5*O5%,2)</f>
        <v>8.76</v>
      </c>
      <c r="Q5" s="8">
        <f>O5-P5</f>
        <v>480.68</v>
      </c>
      <c r="R5" s="8">
        <f>ROUND(L5*Q5%,2)</f>
        <v>12.02</v>
      </c>
      <c r="S5" s="26">
        <f>N5+P5+R5</f>
        <v>31.84</v>
      </c>
      <c r="T5" s="26">
        <v>0</v>
      </c>
      <c r="U5" s="8">
        <f>(I5-S5)</f>
        <v>468.66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84.36</v>
      </c>
      <c r="AA5" s="24">
        <v>0</v>
      </c>
      <c r="AB5" s="24">
        <f>X5+Y5+Z5</f>
        <v>84.36</v>
      </c>
      <c r="AC5" s="24">
        <f>U5+AB5</f>
        <v>553.02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E8"/>
  <sheetViews>
    <sheetView topLeftCell="P1" workbookViewId="0">
      <selection activeCell="V6" sqref="V6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31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31">
      <c r="A3" s="84" t="s">
        <v>3</v>
      </c>
      <c r="B3" s="84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E15" sqref="E15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1" max="31" width="9.7109375" bestFit="1" customWidth="1"/>
    <col min="32" max="32" width="18.85546875" bestFit="1" customWidth="1"/>
    <col min="33" max="33" width="13.140625" customWidth="1"/>
  </cols>
  <sheetData>
    <row r="1" spans="1:33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84" t="s">
        <v>3</v>
      </c>
      <c r="B3" s="84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6">ROUND(K7*N7%,2)</f>
        <v>0</v>
      </c>
      <c r="P7" s="8">
        <f t="shared" ref="P7" si="7">J7-O7</f>
        <v>609</v>
      </c>
      <c r="Q7" s="8">
        <f t="shared" ref="Q7" si="8">ROUND(L7*P7%,2)</f>
        <v>0</v>
      </c>
      <c r="R7" s="8">
        <f t="shared" ref="R7" si="9">P7-Q7</f>
        <v>609</v>
      </c>
      <c r="S7" s="8">
        <f t="shared" ref="S7" si="10">ROUND(M7*R7%,2)</f>
        <v>0</v>
      </c>
      <c r="T7" s="26">
        <f t="shared" ref="T7" si="11">O7+Q7+S7</f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topLeftCell="K1" workbookViewId="0">
      <selection activeCell="I12" sqref="I12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84" t="s">
        <v>3</v>
      </c>
      <c r="B3" s="84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84" t="s">
        <v>3</v>
      </c>
      <c r="B3" s="84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84" t="s">
        <v>3</v>
      </c>
      <c r="B3" s="84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F11" sqref="F11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84" t="s">
        <v>3</v>
      </c>
      <c r="B3" s="84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109.62</v>
      </c>
      <c r="AB7" s="24">
        <v>0</v>
      </c>
      <c r="AC7" s="24">
        <f>Y7+Z7+AA7</f>
        <v>109.62</v>
      </c>
      <c r="AD7" s="24">
        <f>V7+AC7</f>
        <v>718.62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84" t="s">
        <v>3</v>
      </c>
      <c r="B3" s="84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AR23" sqref="AR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 t="s">
        <v>0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84" t="s">
        <v>3</v>
      </c>
      <c r="B3" s="84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4" t="s">
        <v>3</v>
      </c>
      <c r="AE3" s="84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G6"/>
  <sheetViews>
    <sheetView topLeftCell="AO1" workbookViewId="0">
      <selection activeCell="BG5" sqref="B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 t="s">
        <v>0</v>
      </c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  <c r="BB1" s="83"/>
      <c r="BC1" s="83"/>
      <c r="BD1" s="83"/>
      <c r="BE1" s="83"/>
      <c r="BF1" s="83"/>
    </row>
    <row r="2" spans="1:59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23" t="s">
        <v>1</v>
      </c>
      <c r="AE2" s="23" t="s">
        <v>2</v>
      </c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</row>
    <row r="3" spans="1:59">
      <c r="A3" s="84" t="s">
        <v>3</v>
      </c>
      <c r="B3" s="84"/>
      <c r="C3" s="68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84" t="s">
        <v>3</v>
      </c>
      <c r="AE3" s="84"/>
      <c r="AF3" s="68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9">
        <v>84.36</v>
      </c>
      <c r="BD5" s="24">
        <v>0</v>
      </c>
      <c r="BE5" s="8">
        <f>BA5+BB5+BC5</f>
        <v>84.36</v>
      </c>
      <c r="BF5" s="24">
        <f>AX5+BE5</f>
        <v>553.02</v>
      </c>
      <c r="BG5" s="8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6" sqref="A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</row>
    <row r="2" spans="1:33" ht="18">
      <c r="A2" s="23" t="s">
        <v>1</v>
      </c>
      <c r="B2" s="23" t="s">
        <v>2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1:33" ht="15.75" thickBot="1">
      <c r="A3" s="84" t="s">
        <v>3</v>
      </c>
      <c r="B3" s="84"/>
      <c r="C3" s="71"/>
      <c r="D3" s="3">
        <v>3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0</v>
      </c>
      <c r="AB5" s="24">
        <v>0</v>
      </c>
      <c r="AC5" s="24">
        <f>Y5+Z5+AA5</f>
        <v>0</v>
      </c>
      <c r="AD5" s="24">
        <f>V5+AC5</f>
        <v>500.5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0</v>
      </c>
      <c r="AB6" s="24">
        <v>0</v>
      </c>
      <c r="AC6" s="24">
        <f>Y6+Z6+AA6</f>
        <v>0</v>
      </c>
      <c r="AD6" s="24">
        <f>V6+AC6</f>
        <v>3458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0</v>
      </c>
      <c r="AB7" s="24">
        <v>0</v>
      </c>
      <c r="AC7" s="24">
        <f>Y7+Z7+AA7</f>
        <v>0</v>
      </c>
      <c r="AD7" s="24">
        <f>V7+AC7</f>
        <v>609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0</v>
      </c>
      <c r="AB8" s="24">
        <v>0</v>
      </c>
      <c r="AC8" s="24">
        <f>Y8+Z8+AA8</f>
        <v>0</v>
      </c>
      <c r="AD8" s="24">
        <f>V8+AC8</f>
        <v>2025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L5" sqref="L5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97</v>
      </c>
      <c r="C2" s="76" t="s">
        <v>98</v>
      </c>
      <c r="D2" s="76" t="s">
        <v>99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F8"/>
  <sheetViews>
    <sheetView topLeftCell="Y1" workbookViewId="0">
      <selection activeCell="AA8" sqref="AA8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</row>
    <row r="2" spans="1:32" ht="18">
      <c r="A2" s="23" t="s">
        <v>1</v>
      </c>
      <c r="B2" s="23" t="s">
        <v>2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</row>
    <row r="3" spans="1:32" ht="15.75" thickBot="1">
      <c r="A3" s="84" t="s">
        <v>3</v>
      </c>
      <c r="B3" s="84"/>
      <c r="C3" s="3">
        <v>2</v>
      </c>
      <c r="D3" s="3"/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1" t="s">
        <v>46</v>
      </c>
      <c r="D4" s="11" t="s">
        <v>55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27" t="s">
        <v>44</v>
      </c>
      <c r="D5" s="27"/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IF($C$3=1,ROUND(((U5*W5)/2),2),0)</f>
        <v>0</v>
      </c>
      <c r="Y5" s="24">
        <f>IF($C$3=1,ROUND(((U5*W5)/2),2),0)</f>
        <v>0</v>
      </c>
      <c r="Z5" s="24">
        <f>IF($C$3=2,ROUND(((U5*W5)),2),0)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45" t="s">
        <v>50</v>
      </c>
      <c r="D6" s="45"/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IF($C$3=1,ROUND(((U6*W6)/2),2),0)</f>
        <v>0</v>
      </c>
      <c r="Y6" s="24">
        <f>IF($C$3=1,ROUND(((U6*W6)/2),2),0)</f>
        <v>0</v>
      </c>
      <c r="Z6" s="24">
        <f>IF($C$3=2,ROUND(((U6*W6)),2),0)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 t="s">
        <v>56</v>
      </c>
      <c r="E7" s="47" t="s">
        <v>33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609</v>
      </c>
      <c r="V7" s="24">
        <v>75052200</v>
      </c>
      <c r="W7" s="18">
        <v>0.18</v>
      </c>
      <c r="X7" s="24">
        <f>IF($C$3=1,ROUND(((U7*W7)/2),2),0)</f>
        <v>0</v>
      </c>
      <c r="Y7" s="24">
        <f>IF($C$3=1,ROUND(((U7*W7)/2),2),0)</f>
        <v>0</v>
      </c>
      <c r="Z7" s="24">
        <f>IF($C$3=2,ROUND(((U7*W7)),2),0)</f>
        <v>109.62</v>
      </c>
      <c r="AA7" s="24">
        <v>0</v>
      </c>
      <c r="AB7" s="24">
        <f>X7+Y7+Z7</f>
        <v>109.62</v>
      </c>
      <c r="AC7" s="24">
        <f>U7+AB7</f>
        <v>718.62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27" t="s">
        <v>52</v>
      </c>
      <c r="D8" s="27"/>
      <c r="E8" s="9" t="s">
        <v>33</v>
      </c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26">
        <v>0</v>
      </c>
      <c r="U8" s="8">
        <f>(I8-S8)</f>
        <v>2025</v>
      </c>
      <c r="V8" s="24">
        <v>88363222</v>
      </c>
      <c r="W8" s="18">
        <v>0.18</v>
      </c>
      <c r="X8" s="24">
        <f>IF($C$3=1,ROUND(((U8*W8)/2),2),0)</f>
        <v>0</v>
      </c>
      <c r="Y8" s="24">
        <f>IF($C$3=1,ROUND(((U8*W8)/2),2),0)</f>
        <v>0</v>
      </c>
      <c r="Z8" s="24">
        <f>IF($C$3=2,ROUND(((U8*W8)),2),0)</f>
        <v>364.5</v>
      </c>
      <c r="AA8" s="24">
        <v>0</v>
      </c>
      <c r="AB8" s="24">
        <f>X8+Y8+Z8</f>
        <v>364.5</v>
      </c>
      <c r="AC8" s="24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C3"/>
  <sheetViews>
    <sheetView tabSelected="1" workbookViewId="0">
      <selection activeCell="D2" sqref="D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110</v>
      </c>
      <c r="C2" s="76" t="s">
        <v>101</v>
      </c>
      <c r="D2" s="76" t="s">
        <v>110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B2" sqref="B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102</v>
      </c>
      <c r="C2" s="76" t="s">
        <v>101</v>
      </c>
      <c r="D2" s="76" t="s">
        <v>100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105</v>
      </c>
      <c r="C2" s="76" t="s">
        <v>104</v>
      </c>
      <c r="D2" s="76" t="s">
        <v>103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E10" sqref="E10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0.5703125" bestFit="1" customWidth="1"/>
    <col min="21" max="21" width="10.140625" bestFit="1" customWidth="1"/>
    <col min="29" max="29" width="9.7109375" bestFit="1" customWidth="1"/>
    <col min="30" max="30" width="18.85546875" bestFit="1" customWidth="1"/>
    <col min="31" max="31" width="13.140625" customWidth="1"/>
  </cols>
  <sheetData>
    <row r="1" spans="1:31" ht="18">
      <c r="A1" s="83" t="s">
        <v>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</row>
    <row r="2" spans="1:31" ht="18">
      <c r="A2" s="23" t="s">
        <v>1</v>
      </c>
      <c r="B2" s="23" t="s">
        <v>2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1" ht="15.75" thickBot="1">
      <c r="A3" s="84" t="s">
        <v>3</v>
      </c>
      <c r="B3" s="84"/>
      <c r="C3" s="81"/>
      <c r="D3" s="3">
        <v>2</v>
      </c>
      <c r="E3" s="3"/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31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0" t="s">
        <v>25</v>
      </c>
      <c r="U4" s="10" t="s">
        <v>26</v>
      </c>
      <c r="V4" s="16" t="s">
        <v>27</v>
      </c>
      <c r="W4" s="16" t="s">
        <v>28</v>
      </c>
      <c r="X4" s="16" t="s">
        <v>29</v>
      </c>
      <c r="Y4" s="16" t="s">
        <v>30</v>
      </c>
      <c r="Z4" s="16" t="s">
        <v>37</v>
      </c>
      <c r="AA4" s="16" t="s">
        <v>31</v>
      </c>
      <c r="AB4" s="17" t="s">
        <v>32</v>
      </c>
      <c r="AC4" s="51" t="s">
        <v>58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8">
        <f>(I5-S5)</f>
        <v>500.5</v>
      </c>
      <c r="U5" s="24">
        <v>88363222</v>
      </c>
      <c r="V5" s="18">
        <v>0.18</v>
      </c>
      <c r="W5" s="24">
        <f>IF($D$3=1,ROUND(((T5*V5)/2),2),0)</f>
        <v>0</v>
      </c>
      <c r="X5" s="24">
        <f>IF($D$3=1,ROUND(((T5*V5)/2),2),0)</f>
        <v>0</v>
      </c>
      <c r="Y5" s="24">
        <f>IF($D$3=2,ROUND(((T5*V5)),2),0)</f>
        <v>90.09</v>
      </c>
      <c r="Z5" s="24">
        <v>0</v>
      </c>
      <c r="AA5" s="24">
        <f>W5+X5+Y5</f>
        <v>90.09</v>
      </c>
      <c r="AB5" s="24">
        <f>T5+AA5</f>
        <v>590.59</v>
      </c>
      <c r="AC5" s="52" t="s">
        <v>57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8">
        <f>(I6-S6)</f>
        <v>3458</v>
      </c>
      <c r="U6" s="24">
        <v>88363222</v>
      </c>
      <c r="V6" s="18">
        <v>0.18</v>
      </c>
      <c r="W6" s="24">
        <f>IF($D$3=1,ROUND(((T6*V6)/2),2),0)</f>
        <v>0</v>
      </c>
      <c r="X6" s="24">
        <f>IF($D$3=1,ROUND(((T6*V6)/2),2),0)</f>
        <v>0</v>
      </c>
      <c r="Y6" s="24">
        <f>IF($D$3=2,ROUND(((T6*V6)),2),0)</f>
        <v>622.44000000000005</v>
      </c>
      <c r="Z6" s="24">
        <v>0</v>
      </c>
      <c r="AA6" s="24">
        <f>W6+X6+Y6</f>
        <v>622.44000000000005</v>
      </c>
      <c r="AB6" s="24">
        <f>T6+AA6</f>
        <v>4080.44</v>
      </c>
      <c r="AC6" s="53" t="s">
        <v>57</v>
      </c>
      <c r="AD6" s="46" t="s">
        <v>53</v>
      </c>
      <c r="AE6" s="46" t="s">
        <v>61</v>
      </c>
    </row>
    <row r="7" spans="1:31">
      <c r="A7" s="46">
        <v>4</v>
      </c>
      <c r="B7" s="46"/>
      <c r="C7" s="46"/>
      <c r="D7" s="46"/>
      <c r="E7" s="46" t="s">
        <v>56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8">
        <f>(I7-S7)</f>
        <v>609</v>
      </c>
      <c r="U7" s="24">
        <v>75052200</v>
      </c>
      <c r="V7" s="18">
        <v>0.18</v>
      </c>
      <c r="W7" s="24">
        <f>IF($D$3=1,ROUND(((T7*V7)/2),2),0)</f>
        <v>0</v>
      </c>
      <c r="X7" s="24">
        <f>IF($D$3=1,ROUND(((T7*V7)/2),2),0)</f>
        <v>0</v>
      </c>
      <c r="Y7" s="24">
        <f>IF($D$3=2,ROUND(((T7*V7)),2),0)</f>
        <v>109.62</v>
      </c>
      <c r="Z7" s="24">
        <v>0</v>
      </c>
      <c r="AA7" s="24">
        <f>W7+X7+Y7</f>
        <v>109.62</v>
      </c>
      <c r="AB7" s="24">
        <f>T7+AA7</f>
        <v>718.62</v>
      </c>
      <c r="AC7" s="52" t="s">
        <v>59</v>
      </c>
      <c r="AD7" s="46">
        <v>5050121000</v>
      </c>
      <c r="AE7" s="46" t="s">
        <v>61</v>
      </c>
    </row>
    <row r="8" spans="1:31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8">
        <f>(I8-S8)</f>
        <v>2025</v>
      </c>
      <c r="U8" s="24">
        <v>88363222</v>
      </c>
      <c r="V8" s="18">
        <v>0.18</v>
      </c>
      <c r="W8" s="24">
        <f>IF($D$3=1,ROUND(((T8*V8)/2),2),0)</f>
        <v>0</v>
      </c>
      <c r="X8" s="24">
        <f>IF($D$3=1,ROUND(((T8*V8)/2),2),0)</f>
        <v>0</v>
      </c>
      <c r="Y8" s="24">
        <f>IF($D$3=2,ROUND(((T8*V8)),2),0)</f>
        <v>364.5</v>
      </c>
      <c r="Z8" s="24">
        <v>0</v>
      </c>
      <c r="AA8" s="24">
        <f>W8+X8+Y8</f>
        <v>364.5</v>
      </c>
      <c r="AB8" s="24">
        <f>T8+AA8</f>
        <v>2389.5</v>
      </c>
      <c r="AC8" s="53" t="s">
        <v>57</v>
      </c>
      <c r="AD8" s="46" t="s">
        <v>54</v>
      </c>
      <c r="AE8" s="46" t="s">
        <v>61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C3"/>
  <sheetViews>
    <sheetView topLeftCell="Q1" workbookViewId="0">
      <selection activeCell="AE2" sqref="AE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15.42578125" style="75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106</v>
      </c>
      <c r="C2" s="82" t="s">
        <v>107</v>
      </c>
      <c r="D2" s="76" t="s">
        <v>108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109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PurchaseBills_Rcm_Updated</vt:lpstr>
      <vt:lpstr>PurchaseBills_Imported_Ex</vt:lpstr>
      <vt:lpstr>BankPaymentINR</vt:lpstr>
      <vt:lpstr>PurchaseBills_IGST_Validation</vt:lpstr>
      <vt:lpstr>BankRecptGlAcct</vt:lpstr>
      <vt:lpstr>Purchasebills_adj_interstate</vt:lpstr>
      <vt:lpstr>Purchasebills_Adj_unregrd</vt:lpstr>
      <vt:lpstr>PurchaseBills_Banks</vt:lpstr>
      <vt:lpstr>PurchaseBills_Import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Vimal Raj.P</cp:lastModifiedBy>
  <dcterms:created xsi:type="dcterms:W3CDTF">2025-11-05T04:38:04Z</dcterms:created>
  <dcterms:modified xsi:type="dcterms:W3CDTF">2026-03-05T10:05:15Z</dcterms:modified>
</cp:coreProperties>
</file>