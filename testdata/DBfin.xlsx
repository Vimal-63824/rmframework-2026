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2520" windowWidth="16695" windowHeight="6540" tabRatio="594" firstSheet="12" activeTab="15"/>
  </bookViews>
  <sheets>
    <sheet name="PurchaseBillsLocal" sheetId="1" r:id="rId1"/>
    <sheet name="PurchaseBillsInterstate" sheetId="2" r:id="rId2"/>
    <sheet name="PurchaseBillsUTGST" sheetId="3" r:id="rId3"/>
    <sheet name="PurchaseBillsImport" sheetId="4" r:id="rId4"/>
    <sheet name="PurchaseBillsSez" sheetId="5" r:id="rId5"/>
    <sheet name="PurchaseBillslocalUnreg" sheetId="6" r:id="rId6"/>
    <sheet name="PurchaseBillslocalUnreg_RCM" sheetId="7" r:id="rId7"/>
    <sheet name="POSer_Pr_Interstate" sheetId="8" r:id="rId8"/>
    <sheet name="purchaseBills_GRN" sheetId="9" r:id="rId9"/>
    <sheet name="PurchaseBills_ExAcc" sheetId="10" r:id="rId10"/>
    <sheet name="PurchaseBills_Ex_Grn_Igst" sheetId="11" r:id="rId11"/>
    <sheet name="PurchaseBills_Interstate_Un" sheetId="12" r:id="rId12"/>
    <sheet name="PurchaseBillsUTGST_Ureq" sheetId="13" r:id="rId13"/>
    <sheet name="PurchaseBills_Un_Regrd_Iter" sheetId="14" r:id="rId14"/>
    <sheet name="Purchasebills_UTGST_2" sheetId="15" r:id="rId15"/>
    <sheet name="PurchaseBills_Rcm" sheetId="16" r:id="rId16"/>
  </sheets>
  <calcPr calcId="125725"/>
</workbook>
</file>

<file path=xl/calcChain.xml><?xml version="1.0" encoding="utf-8"?>
<calcChain xmlns="http://schemas.openxmlformats.org/spreadsheetml/2006/main">
  <c r="AS5" i="16"/>
  <c r="AR5"/>
  <c r="AT5" s="1"/>
  <c r="AU5" s="1"/>
  <c r="AQ5"/>
  <c r="AC5"/>
  <c r="AB5"/>
  <c r="Y5"/>
  <c r="X5"/>
  <c r="U5"/>
  <c r="AC5" i="15"/>
  <c r="Z5"/>
  <c r="Y5"/>
  <c r="AB5" s="1"/>
  <c r="U5"/>
  <c r="Z8" i="14"/>
  <c r="Y8"/>
  <c r="O8"/>
  <c r="P8" s="1"/>
  <c r="Z7"/>
  <c r="Y7"/>
  <c r="P7"/>
  <c r="Q7" s="1"/>
  <c r="O7"/>
  <c r="Z6"/>
  <c r="Y6"/>
  <c r="Q6"/>
  <c r="P6"/>
  <c r="O6"/>
  <c r="Z5"/>
  <c r="Y5"/>
  <c r="R5"/>
  <c r="S5" s="1"/>
  <c r="Q5"/>
  <c r="O5"/>
  <c r="Z5" i="9"/>
  <c r="U5" i="8"/>
  <c r="S5"/>
  <c r="Z5" s="1"/>
  <c r="R5"/>
  <c r="Q5"/>
  <c r="P5"/>
  <c r="O5"/>
  <c r="N5"/>
  <c r="AB5" i="13"/>
  <c r="AC5"/>
  <c r="Z5"/>
  <c r="Y5"/>
  <c r="U5"/>
  <c r="AB5" i="3"/>
  <c r="AC5" s="1"/>
  <c r="Z5" i="12"/>
  <c r="U5"/>
  <c r="X5" s="1"/>
  <c r="AC7" i="11"/>
  <c r="AB7"/>
  <c r="Z7"/>
  <c r="Y7"/>
  <c r="X7"/>
  <c r="U7"/>
  <c r="S7"/>
  <c r="R7"/>
  <c r="Q7"/>
  <c r="P7"/>
  <c r="O7"/>
  <c r="N7"/>
  <c r="AC6"/>
  <c r="AB6"/>
  <c r="Z6"/>
  <c r="Y6"/>
  <c r="X6"/>
  <c r="U6"/>
  <c r="S6"/>
  <c r="R6"/>
  <c r="Q6"/>
  <c r="P6"/>
  <c r="O6"/>
  <c r="N6"/>
  <c r="Y5"/>
  <c r="X5"/>
  <c r="P5"/>
  <c r="N5"/>
  <c r="AD8" i="10"/>
  <c r="AC8"/>
  <c r="AA8"/>
  <c r="Z8"/>
  <c r="Y8"/>
  <c r="V8"/>
  <c r="T8"/>
  <c r="S8"/>
  <c r="R8"/>
  <c r="Q8"/>
  <c r="P8"/>
  <c r="O8"/>
  <c r="AD7"/>
  <c r="AC7"/>
  <c r="AA7"/>
  <c r="Z7"/>
  <c r="Y7"/>
  <c r="V7"/>
  <c r="T7"/>
  <c r="S7"/>
  <c r="R7"/>
  <c r="Q7"/>
  <c r="P7"/>
  <c r="O7"/>
  <c r="AD6"/>
  <c r="AC6"/>
  <c r="AA6"/>
  <c r="Z6"/>
  <c r="Y6"/>
  <c r="V6"/>
  <c r="T6"/>
  <c r="S6"/>
  <c r="R6"/>
  <c r="Q6"/>
  <c r="P6"/>
  <c r="O6"/>
  <c r="Z5"/>
  <c r="Y5"/>
  <c r="Q5"/>
  <c r="R5" s="1"/>
  <c r="S5" s="1"/>
  <c r="O5"/>
  <c r="AC7" i="9"/>
  <c r="AB7"/>
  <c r="Z7"/>
  <c r="Y7"/>
  <c r="X7"/>
  <c r="U7"/>
  <c r="S7"/>
  <c r="R7"/>
  <c r="Q7"/>
  <c r="P7"/>
  <c r="O7"/>
  <c r="N7"/>
  <c r="AC6"/>
  <c r="AB6"/>
  <c r="Z6"/>
  <c r="Y6"/>
  <c r="X6"/>
  <c r="U6"/>
  <c r="S6"/>
  <c r="R6"/>
  <c r="Q6"/>
  <c r="P6"/>
  <c r="O6"/>
  <c r="N6"/>
  <c r="AC5"/>
  <c r="AB5"/>
  <c r="Y5"/>
  <c r="X5"/>
  <c r="U5"/>
  <c r="S5"/>
  <c r="R5"/>
  <c r="Q5"/>
  <c r="P5"/>
  <c r="O5"/>
  <c r="N5"/>
  <c r="Y5" i="8"/>
  <c r="X5"/>
  <c r="AC5" i="7"/>
  <c r="AB5"/>
  <c r="Y5"/>
  <c r="X5"/>
  <c r="U5"/>
  <c r="AC5" i="6"/>
  <c r="AB5"/>
  <c r="Y5"/>
  <c r="X5"/>
  <c r="U5"/>
  <c r="AC5" i="5"/>
  <c r="AB5"/>
  <c r="AA5"/>
  <c r="Z5"/>
  <c r="Y5"/>
  <c r="X5"/>
  <c r="U5"/>
  <c r="AC5" i="4"/>
  <c r="AB5"/>
  <c r="AA5"/>
  <c r="Z5"/>
  <c r="Y5"/>
  <c r="X5"/>
  <c r="U5"/>
  <c r="AA5" i="3"/>
  <c r="Z5"/>
  <c r="Y5"/>
  <c r="X5"/>
  <c r="U5"/>
  <c r="BF5" i="2"/>
  <c r="BE5"/>
  <c r="BD5"/>
  <c r="BC5"/>
  <c r="BB5"/>
  <c r="BA5"/>
  <c r="AX5"/>
  <c r="AV5"/>
  <c r="AU5"/>
  <c r="AT5"/>
  <c r="AS5"/>
  <c r="AR5"/>
  <c r="AQ5"/>
  <c r="AC5"/>
  <c r="AB5"/>
  <c r="Z5"/>
  <c r="Y5"/>
  <c r="X5"/>
  <c r="U5"/>
  <c r="BG5" i="1"/>
  <c r="BF5"/>
  <c r="BE5"/>
  <c r="BB5"/>
  <c r="BA5"/>
  <c r="AX5"/>
  <c r="AV5"/>
  <c r="AU5"/>
  <c r="AT5"/>
  <c r="AS5"/>
  <c r="AR5"/>
  <c r="AQ5"/>
  <c r="AC5"/>
  <c r="AB5"/>
  <c r="Y5"/>
  <c r="X5"/>
  <c r="U5"/>
  <c r="AV5" i="16" l="1"/>
  <c r="AX5" s="1"/>
  <c r="R8" i="14"/>
  <c r="S8" s="1"/>
  <c r="Q8"/>
  <c r="T6"/>
  <c r="V6" s="1"/>
  <c r="R6"/>
  <c r="S6" s="1"/>
  <c r="R7"/>
  <c r="S7" s="1"/>
  <c r="AA6"/>
  <c r="AC6" s="1"/>
  <c r="AD6" s="1"/>
  <c r="T7"/>
  <c r="V7" s="1"/>
  <c r="T5"/>
  <c r="V5" s="1"/>
  <c r="AB5" i="8"/>
  <c r="AC5" s="1"/>
  <c r="S5" i="11"/>
  <c r="U5" s="1"/>
  <c r="Q5"/>
  <c r="R5" s="1"/>
  <c r="T5" i="10"/>
  <c r="V5" s="1"/>
  <c r="AB5" i="12"/>
  <c r="AC5"/>
  <c r="Y5"/>
  <c r="BE5" i="16" l="1"/>
  <c r="BF5" s="1"/>
  <c r="BG5" s="1"/>
  <c r="T8" i="14"/>
  <c r="V8" s="1"/>
  <c r="AA8" s="1"/>
  <c r="AC8" s="1"/>
  <c r="AD8" s="1"/>
  <c r="AD7"/>
  <c r="AA7"/>
  <c r="AC7" s="1"/>
  <c r="AA5"/>
  <c r="AC5" s="1"/>
  <c r="AD5" s="1"/>
  <c r="Z5" i="11"/>
  <c r="AB5" s="1"/>
  <c r="AC5" s="1"/>
  <c r="AA5" i="10"/>
  <c r="AC5" s="1"/>
  <c r="AD5" s="1"/>
</calcChain>
</file>

<file path=xl/sharedStrings.xml><?xml version="1.0" encoding="utf-8"?>
<sst xmlns="http://schemas.openxmlformats.org/spreadsheetml/2006/main" count="865" uniqueCount="62">
  <si>
    <t>Scenario  : Local Sales - Stock UOM and Sales UOM (Similar)   DOC NO :  SORD-2425-00089</t>
  </si>
  <si>
    <t>922</t>
  </si>
  <si>
    <t>235.36857</t>
  </si>
  <si>
    <t>GST Sales</t>
  </si>
  <si>
    <t>(1 - Local Sales,2 Interstate Sales, 3 Import Sales)</t>
  </si>
  <si>
    <t xml:space="preserve">Cur. </t>
  </si>
  <si>
    <t>INR</t>
  </si>
  <si>
    <t>Ex. Rate</t>
  </si>
  <si>
    <t>S. No.</t>
  </si>
  <si>
    <t>Rev</t>
  </si>
  <si>
    <t>Stk. UOM</t>
  </si>
  <si>
    <t>Sale. UOM</t>
  </si>
  <si>
    <t>Unit Price</t>
  </si>
  <si>
    <t>Gross Amt.</t>
  </si>
  <si>
    <t>TD%</t>
  </si>
  <si>
    <t>SD%</t>
  </si>
  <si>
    <t>CD%</t>
  </si>
  <si>
    <t>TD Asbl. Val.</t>
  </si>
  <si>
    <t>TD Amt.</t>
  </si>
  <si>
    <t>SD Asbl. Val.</t>
  </si>
  <si>
    <t>SD Amt.</t>
  </si>
  <si>
    <t>CD Asbl. Val.</t>
  </si>
  <si>
    <t>CD Amt.</t>
  </si>
  <si>
    <t>Disc. Amt.</t>
  </si>
  <si>
    <t>Disc.Amt.Per.Qty</t>
  </si>
  <si>
    <t>Sales Val.</t>
  </si>
  <si>
    <t>HSN</t>
  </si>
  <si>
    <t>Tax Rate</t>
  </si>
  <si>
    <t>CGST</t>
  </si>
  <si>
    <t>SGST</t>
  </si>
  <si>
    <t>IGST</t>
  </si>
  <si>
    <t>Tax amt</t>
  </si>
  <si>
    <t>Net Amt</t>
  </si>
  <si>
    <t>NOS</t>
  </si>
  <si>
    <t xml:space="preserve">Order Qty </t>
  </si>
  <si>
    <t>GlAccount Desc</t>
  </si>
  <si>
    <t>GlAccount Id</t>
  </si>
  <si>
    <t>UTGST</t>
  </si>
  <si>
    <t>(1 - Local Sales,2 Interstate Sales, 3 Import Sales, 4 UTGST)</t>
  </si>
  <si>
    <t>(1 - Local ,2 Interstate , 3 Import , 4 UTGST)</t>
  </si>
  <si>
    <t>(1 - Local ,2 Interstate , 3-Import , 4-UTGST , 5-SEZ)</t>
  </si>
  <si>
    <t>1005002001</t>
  </si>
  <si>
    <t>CUSTOMER DEPOSIT</t>
  </si>
  <si>
    <t>(1 - Local Sales,2 Interstate Sales, 3 Import Sales,4 local Fright)</t>
  </si>
  <si>
    <t>FRIEGHT CHARGES</t>
  </si>
  <si>
    <t>Item Id</t>
  </si>
  <si>
    <t>Item Desc</t>
  </si>
  <si>
    <t xml:space="preserve"> Item Id</t>
  </si>
  <si>
    <t xml:space="preserve"> Item Desc</t>
  </si>
  <si>
    <t>Net Amt(RCM)</t>
  </si>
  <si>
    <t xml:space="preserve">
KK-FG-238988</t>
  </si>
  <si>
    <t>KK-FG-238988</t>
  </si>
  <si>
    <t>TVS-CH-00011</t>
  </si>
  <si>
    <t>FREIGHT INWARD</t>
  </si>
  <si>
    <t>OFFICE EXPENSES</t>
  </si>
  <si>
    <t>GL Account</t>
  </si>
  <si>
    <t>COMMUNICATION EXPENSES</t>
  </si>
  <si>
    <t>Item</t>
  </si>
  <si>
    <t>ItemType</t>
  </si>
  <si>
    <t>Exp.</t>
  </si>
  <si>
    <t>Gst Supply</t>
  </si>
  <si>
    <t>GST Supply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</si>
</sst>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0.000"/>
    <numFmt numFmtId="165" formatCode="0.0"/>
  </numFmts>
  <fonts count="8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u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color theme="1"/>
      <name val="Calibri"/>
      <charset val="134"/>
    </font>
    <font>
      <sz val="11"/>
      <color theme="1"/>
      <name val="Calibri"/>
      <family val="2"/>
      <scheme val="minor"/>
    </font>
    <font>
      <sz val="9"/>
      <color rgb="FF1F1F1F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/>
      <diagonal/>
    </border>
  </borders>
  <cellStyleXfs count="3">
    <xf numFmtId="0" fontId="0" fillId="0" borderId="0"/>
    <xf numFmtId="0" fontId="1" fillId="0" borderId="0"/>
    <xf numFmtId="43" fontId="6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1" applyFont="1" applyBorder="1" applyAlignment="1">
      <alignment horizontal="left" vertical="top"/>
    </xf>
    <xf numFmtId="0" fontId="3" fillId="0" borderId="0" xfId="1" applyFont="1" applyFill="1" applyBorder="1" applyAlignment="1">
      <alignment horizontal="left" vertical="center"/>
    </xf>
    <xf numFmtId="0" fontId="4" fillId="0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left" vertic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Border="1"/>
    <xf numFmtId="0" fontId="3" fillId="0" borderId="0" xfId="1" applyFont="1" applyFill="1" applyBorder="1"/>
    <xf numFmtId="2" fontId="3" fillId="0" borderId="1" xfId="1" applyNumberFormat="1" applyFont="1" applyBorder="1"/>
    <xf numFmtId="0" fontId="3" fillId="0" borderId="1" xfId="1" applyFont="1" applyBorder="1"/>
    <xf numFmtId="0" fontId="4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10" fontId="3" fillId="0" borderId="1" xfId="1" applyNumberFormat="1" applyFont="1" applyBorder="1"/>
    <xf numFmtId="0" fontId="3" fillId="0" borderId="0" xfId="1" applyFont="1" applyBorder="1"/>
    <xf numFmtId="164" fontId="3" fillId="0" borderId="0" xfId="1" applyNumberFormat="1" applyFont="1" applyBorder="1"/>
    <xf numFmtId="2" fontId="3" fillId="0" borderId="0" xfId="1" applyNumberFormat="1" applyFont="1" applyBorder="1"/>
    <xf numFmtId="10" fontId="3" fillId="0" borderId="0" xfId="1" applyNumberFormat="1" applyFont="1" applyBorder="1"/>
    <xf numFmtId="0" fontId="3" fillId="0" borderId="0" xfId="1" applyFont="1"/>
    <xf numFmtId="1" fontId="3" fillId="0" borderId="1" xfId="1" applyNumberFormat="1" applyFont="1" applyBorder="1"/>
    <xf numFmtId="0" fontId="3" fillId="0" borderId="1" xfId="1" applyNumberFormat="1" applyFont="1" applyBorder="1"/>
    <xf numFmtId="2" fontId="3" fillId="6" borderId="1" xfId="1" applyNumberFormat="1" applyFont="1" applyFill="1" applyBorder="1"/>
    <xf numFmtId="49" fontId="5" fillId="0" borderId="1" xfId="1" applyNumberFormat="1" applyFont="1" applyBorder="1" applyAlignment="1">
      <alignment horizontal="left"/>
    </xf>
    <xf numFmtId="0" fontId="2" fillId="0" borderId="0" xfId="1" applyFont="1" applyBorder="1" applyAlignment="1">
      <alignment horizontal="left" vertical="top"/>
    </xf>
    <xf numFmtId="0" fontId="3" fillId="0" borderId="0" xfId="1" applyFont="1" applyFill="1" applyBorder="1" applyAlignment="1">
      <alignment horizontal="left" vertical="center"/>
    </xf>
    <xf numFmtId="0" fontId="2" fillId="0" borderId="0" xfId="1" applyFont="1" applyBorder="1" applyAlignment="1">
      <alignment horizontal="left" vertical="top"/>
    </xf>
    <xf numFmtId="1" fontId="3" fillId="0" borderId="1" xfId="2" applyNumberFormat="1" applyFont="1" applyBorder="1"/>
    <xf numFmtId="0" fontId="2" fillId="0" borderId="0" xfId="1" applyFont="1" applyBorder="1" applyAlignment="1">
      <alignment horizontal="left" vertical="top"/>
    </xf>
    <xf numFmtId="0" fontId="3" fillId="0" borderId="0" xfId="1" applyFont="1" applyFill="1" applyBorder="1" applyAlignment="1">
      <alignment horizontal="left" vertical="center"/>
    </xf>
    <xf numFmtId="0" fontId="2" fillId="0" borderId="0" xfId="1" applyFont="1" applyBorder="1" applyAlignment="1">
      <alignment horizontal="left" vertical="top"/>
    </xf>
    <xf numFmtId="0" fontId="3" fillId="0" borderId="0" xfId="1" applyFont="1" applyFill="1" applyBorder="1" applyAlignment="1">
      <alignment horizontal="left" vertical="center"/>
    </xf>
    <xf numFmtId="0" fontId="2" fillId="0" borderId="0" xfId="1" applyFont="1" applyBorder="1" applyAlignment="1">
      <alignment horizontal="left" vertical="top"/>
    </xf>
    <xf numFmtId="0" fontId="3" fillId="0" borderId="0" xfId="1" applyFont="1" applyFill="1" applyBorder="1" applyAlignment="1">
      <alignment horizontal="left" vertical="center"/>
    </xf>
    <xf numFmtId="0" fontId="2" fillId="0" borderId="0" xfId="1" applyFont="1" applyBorder="1" applyAlignment="1">
      <alignment horizontal="left" vertical="top"/>
    </xf>
    <xf numFmtId="0" fontId="3" fillId="0" borderId="0" xfId="1" applyFont="1" applyFill="1" applyBorder="1" applyAlignment="1">
      <alignment horizontal="left" vertical="center"/>
    </xf>
    <xf numFmtId="43" fontId="3" fillId="0" borderId="1" xfId="2" applyFont="1" applyBorder="1"/>
    <xf numFmtId="0" fontId="2" fillId="0" borderId="0" xfId="1" applyFont="1" applyBorder="1" applyAlignment="1">
      <alignment horizontal="left" vertical="top"/>
    </xf>
    <xf numFmtId="43" fontId="3" fillId="0" borderId="1" xfId="2" applyNumberFormat="1" applyFont="1" applyBorder="1"/>
    <xf numFmtId="0" fontId="2" fillId="0" borderId="0" xfId="1" applyFont="1" applyBorder="1" applyAlignment="1">
      <alignment horizontal="left" vertical="top"/>
    </xf>
    <xf numFmtId="0" fontId="3" fillId="0" borderId="0" xfId="1" applyFont="1" applyFill="1" applyBorder="1" applyAlignment="1">
      <alignment horizontal="left" vertical="center"/>
    </xf>
    <xf numFmtId="49" fontId="5" fillId="0" borderId="1" xfId="1" applyNumberFormat="1" applyFont="1" applyBorder="1" applyAlignment="1">
      <alignment horizontal="left" wrapText="1"/>
    </xf>
    <xf numFmtId="0" fontId="0" fillId="0" borderId="1" xfId="0" applyBorder="1"/>
    <xf numFmtId="0" fontId="3" fillId="0" borderId="1" xfId="1" applyFont="1" applyFill="1" applyBorder="1"/>
    <xf numFmtId="1" fontId="3" fillId="0" borderId="1" xfId="1" applyNumberFormat="1" applyFont="1" applyFill="1" applyBorder="1"/>
    <xf numFmtId="2" fontId="3" fillId="0" borderId="1" xfId="1" applyNumberFormat="1" applyFont="1" applyFill="1" applyBorder="1"/>
    <xf numFmtId="2" fontId="0" fillId="0" borderId="1" xfId="0" applyNumberFormat="1" applyBorder="1"/>
    <xf numFmtId="0" fontId="3" fillId="2" borderId="2" xfId="1" applyFont="1" applyFill="1" applyBorder="1" applyAlignment="1"/>
    <xf numFmtId="0" fontId="7" fillId="0" borderId="1" xfId="1" applyFont="1" applyBorder="1" applyAlignment="1">
      <alignment vertical="center"/>
    </xf>
    <xf numFmtId="0" fontId="7" fillId="0" borderId="1" xfId="1" applyFont="1" applyBorder="1" applyAlignment="1"/>
    <xf numFmtId="0" fontId="2" fillId="0" borderId="0" xfId="1" applyFont="1" applyBorder="1" applyAlignment="1">
      <alignment horizontal="left" vertical="top"/>
    </xf>
    <xf numFmtId="165" fontId="3" fillId="0" borderId="1" xfId="1" applyNumberFormat="1" applyFont="1" applyBorder="1"/>
    <xf numFmtId="0" fontId="2" fillId="0" borderId="0" xfId="1" applyFont="1" applyBorder="1" applyAlignment="1">
      <alignment horizontal="left" vertical="top"/>
    </xf>
    <xf numFmtId="0" fontId="3" fillId="0" borderId="0" xfId="1" applyFont="1" applyFill="1" applyBorder="1" applyAlignment="1">
      <alignment horizontal="left" vertical="center"/>
    </xf>
    <xf numFmtId="0" fontId="2" fillId="0" borderId="0" xfId="1" applyFont="1" applyBorder="1" applyAlignment="1">
      <alignment horizontal="left" vertical="top"/>
    </xf>
    <xf numFmtId="0" fontId="3" fillId="0" borderId="0" xfId="1" applyFont="1" applyFill="1" applyBorder="1" applyAlignment="1">
      <alignment horizontal="left" vertical="center"/>
    </xf>
    <xf numFmtId="0" fontId="2" fillId="0" borderId="0" xfId="1" applyFont="1" applyBorder="1" applyAlignment="1">
      <alignment horizontal="left" vertical="top"/>
    </xf>
    <xf numFmtId="0" fontId="3" fillId="0" borderId="0" xfId="1" applyFont="1" applyFill="1" applyBorder="1" applyAlignment="1">
      <alignment horizontal="left" vertical="center"/>
    </xf>
    <xf numFmtId="0" fontId="2" fillId="0" borderId="0" xfId="1" applyFont="1" applyBorder="1" applyAlignment="1">
      <alignment horizontal="left" vertical="top"/>
    </xf>
    <xf numFmtId="0" fontId="3" fillId="0" borderId="0" xfId="1" applyFont="1" applyFill="1" applyBorder="1" applyAlignment="1">
      <alignment horizontal="left" vertical="center"/>
    </xf>
    <xf numFmtId="0" fontId="2" fillId="0" borderId="0" xfId="1" applyFont="1" applyBorder="1" applyAlignment="1">
      <alignment horizontal="left" vertical="top"/>
    </xf>
    <xf numFmtId="0" fontId="3" fillId="0" borderId="0" xfId="1" applyFont="1" applyFill="1" applyBorder="1" applyAlignment="1">
      <alignment horizontal="left" vertical="center"/>
    </xf>
    <xf numFmtId="0" fontId="7" fillId="0" borderId="1" xfId="0" applyFont="1" applyBorder="1"/>
    <xf numFmtId="0" fontId="2" fillId="0" borderId="0" xfId="1" applyFont="1" applyBorder="1" applyAlignment="1">
      <alignment horizontal="left" vertical="top"/>
    </xf>
    <xf numFmtId="0" fontId="3" fillId="0" borderId="0" xfId="1" applyFont="1" applyFill="1" applyBorder="1" applyAlignment="1">
      <alignment horizontal="left" vertical="center"/>
    </xf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G6"/>
  <sheetViews>
    <sheetView topLeftCell="AD1" workbookViewId="0">
      <selection activeCell="AD1" sqref="A1:XFD1048576"/>
    </sheetView>
  </sheetViews>
  <sheetFormatPr defaultRowHeight="15"/>
  <cols>
    <col min="2" max="2" width="20.5703125" customWidth="1"/>
    <col min="4" max="4" width="29.140625" bestFit="1" customWidth="1"/>
    <col min="5" max="5" width="19.28515625" customWidth="1"/>
    <col min="6" max="6" width="16.28515625" customWidth="1"/>
    <col min="7" max="7" width="24.42578125" customWidth="1"/>
    <col min="8" max="8" width="20.28515625" customWidth="1"/>
    <col min="9" max="9" width="20" customWidth="1"/>
    <col min="13" max="13" width="13.85546875" bestFit="1" customWidth="1"/>
    <col min="15" max="15" width="13.7109375" customWidth="1"/>
    <col min="18" max="18" width="13" customWidth="1"/>
    <col min="19" max="19" width="14.42578125" customWidth="1"/>
    <col min="20" max="20" width="18.42578125" customWidth="1"/>
    <col min="21" max="21" width="10.5703125" bestFit="1" customWidth="1"/>
    <col min="22" max="22" width="10.140625" bestFit="1" customWidth="1"/>
    <col min="24" max="24" width="9.42578125" bestFit="1" customWidth="1"/>
    <col min="25" max="25" width="10" bestFit="1" customWidth="1"/>
    <col min="31" max="31" width="14" bestFit="1" customWidth="1"/>
    <col min="43" max="43" width="9.42578125" bestFit="1" customWidth="1"/>
    <col min="44" max="44" width="13.5703125" bestFit="1" customWidth="1"/>
    <col min="50" max="50" width="10.5703125" bestFit="1" customWidth="1"/>
    <col min="51" max="51" width="10.140625" bestFit="1" customWidth="1"/>
    <col min="53" max="53" width="10" bestFit="1" customWidth="1"/>
    <col min="59" max="59" width="15.42578125" bestFit="1" customWidth="1"/>
  </cols>
  <sheetData>
    <row r="1" spans="1:59" ht="18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 t="s">
        <v>0</v>
      </c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</row>
    <row r="2" spans="1:59" ht="18">
      <c r="A2" s="23" t="s">
        <v>1</v>
      </c>
      <c r="B2" s="23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30"/>
      <c r="AB2" s="1"/>
      <c r="AC2" s="1"/>
      <c r="AD2" s="23" t="s">
        <v>1</v>
      </c>
      <c r="AE2" s="23" t="s">
        <v>2</v>
      </c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</row>
    <row r="3" spans="1:59">
      <c r="A3" s="68" t="s">
        <v>3</v>
      </c>
      <c r="B3" s="68"/>
      <c r="C3" s="2"/>
      <c r="D3" s="3">
        <v>1</v>
      </c>
      <c r="E3" s="4" t="s">
        <v>4</v>
      </c>
      <c r="F3" s="5"/>
      <c r="G3" s="5"/>
      <c r="H3" s="5"/>
      <c r="I3" s="6"/>
      <c r="J3" s="7" t="s">
        <v>5</v>
      </c>
      <c r="K3" s="7" t="s">
        <v>6</v>
      </c>
      <c r="L3" s="7"/>
      <c r="M3" s="7" t="s">
        <v>7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8" t="s">
        <v>3</v>
      </c>
      <c r="AE3" s="68"/>
      <c r="AF3" s="39"/>
      <c r="AG3" s="3">
        <v>1</v>
      </c>
      <c r="AH3" s="4" t="s">
        <v>4</v>
      </c>
      <c r="AI3" s="5"/>
      <c r="AJ3" s="5"/>
      <c r="AK3" s="5"/>
      <c r="AL3" s="6"/>
      <c r="AM3" s="7" t="s">
        <v>5</v>
      </c>
      <c r="AN3" s="7" t="s">
        <v>6</v>
      </c>
      <c r="AO3" s="7"/>
      <c r="AP3" s="7" t="s">
        <v>7</v>
      </c>
      <c r="AQ3" s="7">
        <v>1</v>
      </c>
      <c r="AR3" s="7"/>
      <c r="AS3" s="7"/>
      <c r="AT3" s="7"/>
      <c r="AU3" s="7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spans="1:59" ht="42.75">
      <c r="A4" s="10" t="s">
        <v>8</v>
      </c>
      <c r="B4" s="10" t="s">
        <v>36</v>
      </c>
      <c r="C4" s="10" t="s">
        <v>9</v>
      </c>
      <c r="D4" s="11" t="s">
        <v>35</v>
      </c>
      <c r="E4" s="10" t="s">
        <v>10</v>
      </c>
      <c r="F4" s="10" t="s">
        <v>11</v>
      </c>
      <c r="G4" s="12" t="s">
        <v>34</v>
      </c>
      <c r="H4" s="10" t="s">
        <v>12</v>
      </c>
      <c r="I4" s="10" t="s">
        <v>13</v>
      </c>
      <c r="J4" s="13" t="s">
        <v>14</v>
      </c>
      <c r="K4" s="13" t="s">
        <v>15</v>
      </c>
      <c r="L4" s="13" t="s">
        <v>16</v>
      </c>
      <c r="M4" s="14" t="s">
        <v>17</v>
      </c>
      <c r="N4" s="14" t="s">
        <v>18</v>
      </c>
      <c r="O4" s="14" t="s">
        <v>19</v>
      </c>
      <c r="P4" s="14" t="s">
        <v>20</v>
      </c>
      <c r="Q4" s="15" t="s">
        <v>21</v>
      </c>
      <c r="R4" s="14" t="s">
        <v>22</v>
      </c>
      <c r="S4" s="13" t="s">
        <v>23</v>
      </c>
      <c r="T4" s="13" t="s">
        <v>24</v>
      </c>
      <c r="U4" s="10" t="s">
        <v>25</v>
      </c>
      <c r="V4" s="10" t="s">
        <v>26</v>
      </c>
      <c r="W4" s="16" t="s">
        <v>27</v>
      </c>
      <c r="X4" s="16" t="s">
        <v>28</v>
      </c>
      <c r="Y4" s="16" t="s">
        <v>29</v>
      </c>
      <c r="Z4" s="16" t="s">
        <v>30</v>
      </c>
      <c r="AA4" s="16" t="s">
        <v>37</v>
      </c>
      <c r="AB4" s="16" t="s">
        <v>31</v>
      </c>
      <c r="AC4" s="17" t="s">
        <v>32</v>
      </c>
      <c r="AD4" s="10" t="s">
        <v>8</v>
      </c>
      <c r="AE4" s="10" t="s">
        <v>47</v>
      </c>
      <c r="AF4" s="10" t="s">
        <v>9</v>
      </c>
      <c r="AG4" s="11" t="s">
        <v>48</v>
      </c>
      <c r="AH4" s="10" t="s">
        <v>10</v>
      </c>
      <c r="AI4" s="10" t="s">
        <v>11</v>
      </c>
      <c r="AJ4" s="12" t="s">
        <v>34</v>
      </c>
      <c r="AK4" s="10" t="s">
        <v>12</v>
      </c>
      <c r="AL4" s="10" t="s">
        <v>13</v>
      </c>
      <c r="AM4" s="13" t="s">
        <v>14</v>
      </c>
      <c r="AN4" s="13" t="s">
        <v>15</v>
      </c>
      <c r="AO4" s="13" t="s">
        <v>16</v>
      </c>
      <c r="AP4" s="14" t="s">
        <v>17</v>
      </c>
      <c r="AQ4" s="14" t="s">
        <v>18</v>
      </c>
      <c r="AR4" s="14" t="s">
        <v>19</v>
      </c>
      <c r="AS4" s="14" t="s">
        <v>20</v>
      </c>
      <c r="AT4" s="15" t="s">
        <v>21</v>
      </c>
      <c r="AU4" s="14" t="s">
        <v>22</v>
      </c>
      <c r="AV4" s="13" t="s">
        <v>23</v>
      </c>
      <c r="AW4" s="13" t="s">
        <v>24</v>
      </c>
      <c r="AX4" s="10" t="s">
        <v>25</v>
      </c>
      <c r="AY4" s="10" t="s">
        <v>26</v>
      </c>
      <c r="AZ4" s="16" t="s">
        <v>27</v>
      </c>
      <c r="BA4" s="16" t="s">
        <v>28</v>
      </c>
      <c r="BB4" s="16" t="s">
        <v>29</v>
      </c>
      <c r="BC4" s="16" t="s">
        <v>30</v>
      </c>
      <c r="BD4" s="16" t="s">
        <v>37</v>
      </c>
      <c r="BE4" s="16" t="s">
        <v>31</v>
      </c>
      <c r="BF4" s="17" t="s">
        <v>32</v>
      </c>
      <c r="BG4" s="17" t="s">
        <v>49</v>
      </c>
    </row>
    <row r="5" spans="1:59">
      <c r="A5" s="9">
        <v>1</v>
      </c>
      <c r="B5" s="27" t="s">
        <v>41</v>
      </c>
      <c r="C5" s="9">
        <v>0</v>
      </c>
      <c r="D5" s="27" t="s">
        <v>42</v>
      </c>
      <c r="E5" s="9" t="s">
        <v>33</v>
      </c>
      <c r="F5" s="9" t="s">
        <v>33</v>
      </c>
      <c r="G5" s="24">
        <v>1</v>
      </c>
      <c r="H5" s="9">
        <v>2255</v>
      </c>
      <c r="I5" s="8">
        <v>2255</v>
      </c>
      <c r="J5" s="25"/>
      <c r="K5" s="25"/>
      <c r="L5" s="25"/>
      <c r="M5" s="8">
        <v>2255</v>
      </c>
      <c r="N5" s="8">
        <v>0</v>
      </c>
      <c r="O5" s="8">
        <v>2255</v>
      </c>
      <c r="P5" s="8">
        <v>0</v>
      </c>
      <c r="Q5" s="8">
        <v>2255</v>
      </c>
      <c r="R5" s="8">
        <v>0</v>
      </c>
      <c r="S5" s="26">
        <v>0</v>
      </c>
      <c r="T5" s="26">
        <v>0</v>
      </c>
      <c r="U5" s="8">
        <f>(I5-S5)</f>
        <v>2255</v>
      </c>
      <c r="V5" s="24">
        <v>88363222</v>
      </c>
      <c r="W5" s="18">
        <v>0.18</v>
      </c>
      <c r="X5" s="24">
        <f>IF($D$3=1,ROUND(((U5*W5)/2),2),0)</f>
        <v>202.95</v>
      </c>
      <c r="Y5" s="31">
        <f>IF($D$3=1,ROUND(((U5*W5)/2),2),0)</f>
        <v>202.95</v>
      </c>
      <c r="Z5" s="24">
        <v>0</v>
      </c>
      <c r="AA5" s="24">
        <v>0</v>
      </c>
      <c r="AB5" s="8">
        <f>X5+Y5+Z5</f>
        <v>405.9</v>
      </c>
      <c r="AC5" s="24">
        <f>U5+AB5</f>
        <v>2660.9</v>
      </c>
      <c r="AD5" s="9">
        <v>1</v>
      </c>
      <c r="AE5" s="27" t="s">
        <v>44</v>
      </c>
      <c r="AF5" s="9">
        <v>0</v>
      </c>
      <c r="AG5" s="27" t="s">
        <v>44</v>
      </c>
      <c r="AH5" s="9" t="s">
        <v>33</v>
      </c>
      <c r="AI5" s="9" t="s">
        <v>33</v>
      </c>
      <c r="AJ5" s="24">
        <v>2</v>
      </c>
      <c r="AK5" s="9">
        <v>250.25</v>
      </c>
      <c r="AL5" s="8">
        <v>500.5</v>
      </c>
      <c r="AM5" s="25">
        <v>2.21</v>
      </c>
      <c r="AN5" s="25">
        <v>1.79</v>
      </c>
      <c r="AO5" s="25">
        <v>2.5</v>
      </c>
      <c r="AP5" s="8">
        <v>500.5</v>
      </c>
      <c r="AQ5" s="8">
        <f>ROUND(AM5*AP5%,2)</f>
        <v>11.06</v>
      </c>
      <c r="AR5" s="8">
        <f>AL5-AQ5</f>
        <v>489.44</v>
      </c>
      <c r="AS5" s="8">
        <f>ROUND(AN5*AR5%,2)</f>
        <v>8.76</v>
      </c>
      <c r="AT5" s="8">
        <f>AR5-AS5</f>
        <v>480.68</v>
      </c>
      <c r="AU5" s="40">
        <f>ROUND(AO5*AT5%,2)</f>
        <v>12.02</v>
      </c>
      <c r="AV5" s="26">
        <f>AQ5+AS5+AU5</f>
        <v>31.84</v>
      </c>
      <c r="AW5" s="26">
        <v>0</v>
      </c>
      <c r="AX5" s="8">
        <f>(AL5-AV5)</f>
        <v>468.66</v>
      </c>
      <c r="AY5" s="24">
        <v>88363222</v>
      </c>
      <c r="AZ5" s="18">
        <v>0.18</v>
      </c>
      <c r="BA5" s="42">
        <f>IF($D$3=1,ROUND(((AX5*AZ5)/2),2),0)</f>
        <v>42.18</v>
      </c>
      <c r="BB5" s="40">
        <f>IF($D$3=1,ROUND(((AX5*AZ5)/2),2),0)</f>
        <v>42.18</v>
      </c>
      <c r="BC5" s="24">
        <v>0</v>
      </c>
      <c r="BD5" s="24">
        <v>0</v>
      </c>
      <c r="BE5" s="8">
        <f>BA5+BB5+BC5</f>
        <v>84.36</v>
      </c>
      <c r="BF5" s="24">
        <f>AX5+BE5</f>
        <v>553.02</v>
      </c>
      <c r="BG5" s="24">
        <f>BF5-BE5</f>
        <v>468.65999999999997</v>
      </c>
    </row>
    <row r="6" spans="1:59">
      <c r="A6" s="19"/>
      <c r="B6" s="19"/>
      <c r="C6" s="19"/>
      <c r="D6" s="19"/>
      <c r="E6" s="19"/>
      <c r="F6" s="19"/>
      <c r="G6" s="20"/>
      <c r="H6" s="21"/>
      <c r="I6" s="21"/>
      <c r="J6" s="22"/>
      <c r="K6" s="22"/>
      <c r="L6" s="22"/>
      <c r="M6" s="21"/>
      <c r="N6" s="21"/>
      <c r="O6" s="21"/>
      <c r="P6" s="21"/>
      <c r="Q6" s="21"/>
      <c r="R6" s="21"/>
      <c r="S6" s="21"/>
      <c r="T6" s="21"/>
      <c r="U6" s="21"/>
      <c r="V6" s="21"/>
      <c r="W6" s="22"/>
      <c r="X6" s="21"/>
      <c r="Y6" s="21"/>
      <c r="Z6" s="21"/>
      <c r="AA6" s="21"/>
      <c r="AB6" s="21"/>
      <c r="AC6" s="21"/>
    </row>
  </sheetData>
  <mergeCells count="4">
    <mergeCell ref="A1:AC1"/>
    <mergeCell ref="A3:B3"/>
    <mergeCell ref="AD1:BF1"/>
    <mergeCell ref="AD3:A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F6"/>
  <sheetViews>
    <sheetView topLeftCell="AP1" workbookViewId="0">
      <selection activeCell="AV5" sqref="AV5"/>
    </sheetView>
  </sheetViews>
  <sheetFormatPr defaultRowHeight="15"/>
  <cols>
    <col min="2" max="2" width="20.5703125" customWidth="1"/>
    <col min="4" max="4" width="29.140625" bestFit="1" customWidth="1"/>
    <col min="5" max="5" width="19.28515625" customWidth="1"/>
    <col min="6" max="6" width="16.28515625" customWidth="1"/>
    <col min="7" max="7" width="24.42578125" customWidth="1"/>
    <col min="8" max="8" width="20.28515625" customWidth="1"/>
    <col min="9" max="9" width="20" customWidth="1"/>
    <col min="13" max="13" width="13.85546875" bestFit="1" customWidth="1"/>
    <col min="15" max="15" width="13.7109375" customWidth="1"/>
    <col min="18" max="18" width="13" customWidth="1"/>
    <col min="19" max="19" width="14.42578125" customWidth="1"/>
    <col min="20" max="20" width="18.42578125" customWidth="1"/>
    <col min="21" max="21" width="10.5703125" bestFit="1" customWidth="1"/>
    <col min="22" max="22" width="10.140625" bestFit="1" customWidth="1"/>
    <col min="31" max="31" width="17" bestFit="1" customWidth="1"/>
    <col min="33" max="33" width="18.85546875" bestFit="1" customWidth="1"/>
    <col min="37" max="37" width="11" bestFit="1" customWidth="1"/>
    <col min="38" max="38" width="20.42578125" customWidth="1"/>
    <col min="42" max="42" width="13.85546875" bestFit="1" customWidth="1"/>
    <col min="51" max="51" width="10.140625" bestFit="1" customWidth="1"/>
  </cols>
  <sheetData>
    <row r="1" spans="1:58" ht="18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 t="s">
        <v>0</v>
      </c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</row>
    <row r="2" spans="1:58" ht="18">
      <c r="A2" s="23" t="s">
        <v>1</v>
      </c>
      <c r="B2" s="23" t="s">
        <v>2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30"/>
      <c r="AB2" s="28"/>
      <c r="AC2" s="28"/>
      <c r="AD2" s="23" t="s">
        <v>1</v>
      </c>
      <c r="AE2" s="23" t="s">
        <v>2</v>
      </c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</row>
    <row r="3" spans="1:58">
      <c r="A3" s="68" t="s">
        <v>3</v>
      </c>
      <c r="B3" s="68"/>
      <c r="C3" s="29"/>
      <c r="D3" s="3">
        <v>2</v>
      </c>
      <c r="E3" s="4" t="s">
        <v>4</v>
      </c>
      <c r="F3" s="5"/>
      <c r="G3" s="5"/>
      <c r="H3" s="5"/>
      <c r="I3" s="6"/>
      <c r="J3" s="7" t="s">
        <v>5</v>
      </c>
      <c r="K3" s="7" t="s">
        <v>6</v>
      </c>
      <c r="L3" s="7"/>
      <c r="M3" s="7" t="s">
        <v>7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8" t="s">
        <v>3</v>
      </c>
      <c r="AE3" s="68"/>
      <c r="AF3" s="37"/>
      <c r="AG3" s="3">
        <v>2</v>
      </c>
      <c r="AH3" s="4" t="s">
        <v>4</v>
      </c>
      <c r="AI3" s="5"/>
      <c r="AJ3" s="5"/>
      <c r="AK3" s="5"/>
      <c r="AL3" s="6"/>
      <c r="AM3" s="7" t="s">
        <v>5</v>
      </c>
      <c r="AN3" s="7" t="s">
        <v>6</v>
      </c>
      <c r="AO3" s="7"/>
      <c r="AP3" s="7" t="s">
        <v>7</v>
      </c>
      <c r="AQ3" s="7">
        <v>1</v>
      </c>
      <c r="AR3" s="7"/>
      <c r="AS3" s="7"/>
      <c r="AT3" s="7"/>
      <c r="AU3" s="7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spans="1:58" ht="42.75">
      <c r="A4" s="10" t="s">
        <v>8</v>
      </c>
      <c r="B4" s="10" t="s">
        <v>36</v>
      </c>
      <c r="C4" s="10" t="s">
        <v>9</v>
      </c>
      <c r="D4" s="11" t="s">
        <v>35</v>
      </c>
      <c r="E4" s="10" t="s">
        <v>10</v>
      </c>
      <c r="F4" s="10" t="s">
        <v>11</v>
      </c>
      <c r="G4" s="12" t="s">
        <v>34</v>
      </c>
      <c r="H4" s="10" t="s">
        <v>12</v>
      </c>
      <c r="I4" s="10" t="s">
        <v>13</v>
      </c>
      <c r="J4" s="13" t="s">
        <v>14</v>
      </c>
      <c r="K4" s="13" t="s">
        <v>15</v>
      </c>
      <c r="L4" s="13" t="s">
        <v>16</v>
      </c>
      <c r="M4" s="14" t="s">
        <v>17</v>
      </c>
      <c r="N4" s="14" t="s">
        <v>18</v>
      </c>
      <c r="O4" s="14" t="s">
        <v>19</v>
      </c>
      <c r="P4" s="14" t="s">
        <v>20</v>
      </c>
      <c r="Q4" s="15" t="s">
        <v>21</v>
      </c>
      <c r="R4" s="14" t="s">
        <v>22</v>
      </c>
      <c r="S4" s="13" t="s">
        <v>23</v>
      </c>
      <c r="T4" s="13" t="s">
        <v>24</v>
      </c>
      <c r="U4" s="10" t="s">
        <v>25</v>
      </c>
      <c r="V4" s="10" t="s">
        <v>26</v>
      </c>
      <c r="W4" s="16" t="s">
        <v>27</v>
      </c>
      <c r="X4" s="16" t="s">
        <v>28</v>
      </c>
      <c r="Y4" s="16" t="s">
        <v>29</v>
      </c>
      <c r="Z4" s="16" t="s">
        <v>30</v>
      </c>
      <c r="AA4" s="16" t="s">
        <v>37</v>
      </c>
      <c r="AB4" s="16" t="s">
        <v>31</v>
      </c>
      <c r="AC4" s="17" t="s">
        <v>32</v>
      </c>
      <c r="AD4" s="10" t="s">
        <v>8</v>
      </c>
      <c r="AE4" s="10" t="s">
        <v>45</v>
      </c>
      <c r="AF4" s="10" t="s">
        <v>9</v>
      </c>
      <c r="AG4" s="11" t="s">
        <v>46</v>
      </c>
      <c r="AH4" s="10" t="s">
        <v>10</v>
      </c>
      <c r="AI4" s="10" t="s">
        <v>11</v>
      </c>
      <c r="AJ4" s="12" t="s">
        <v>34</v>
      </c>
      <c r="AK4" s="10" t="s">
        <v>12</v>
      </c>
      <c r="AL4" s="10" t="s">
        <v>13</v>
      </c>
      <c r="AM4" s="13" t="s">
        <v>14</v>
      </c>
      <c r="AN4" s="13" t="s">
        <v>15</v>
      </c>
      <c r="AO4" s="13" t="s">
        <v>16</v>
      </c>
      <c r="AP4" s="14" t="s">
        <v>17</v>
      </c>
      <c r="AQ4" s="14" t="s">
        <v>18</v>
      </c>
      <c r="AR4" s="14" t="s">
        <v>19</v>
      </c>
      <c r="AS4" s="14" t="s">
        <v>20</v>
      </c>
      <c r="AT4" s="15" t="s">
        <v>21</v>
      </c>
      <c r="AU4" s="14" t="s">
        <v>22</v>
      </c>
      <c r="AV4" s="13" t="s">
        <v>23</v>
      </c>
      <c r="AW4" s="13" t="s">
        <v>24</v>
      </c>
      <c r="AX4" s="10" t="s">
        <v>25</v>
      </c>
      <c r="AY4" s="10" t="s">
        <v>26</v>
      </c>
      <c r="AZ4" s="16" t="s">
        <v>27</v>
      </c>
      <c r="BA4" s="16" t="s">
        <v>28</v>
      </c>
      <c r="BB4" s="16" t="s">
        <v>29</v>
      </c>
      <c r="BC4" s="16" t="s">
        <v>30</v>
      </c>
      <c r="BD4" s="16" t="s">
        <v>37</v>
      </c>
      <c r="BE4" s="16" t="s">
        <v>31</v>
      </c>
      <c r="BF4" s="17" t="s">
        <v>32</v>
      </c>
    </row>
    <row r="5" spans="1:58">
      <c r="A5" s="9">
        <v>1</v>
      </c>
      <c r="B5" s="27" t="s">
        <v>41</v>
      </c>
      <c r="C5" s="9">
        <v>0</v>
      </c>
      <c r="D5" s="27" t="s">
        <v>42</v>
      </c>
      <c r="E5" s="9" t="s">
        <v>33</v>
      </c>
      <c r="F5" s="9" t="s">
        <v>33</v>
      </c>
      <c r="G5" s="24">
        <v>1</v>
      </c>
      <c r="H5" s="9">
        <v>2255</v>
      </c>
      <c r="I5" s="8">
        <v>2255</v>
      </c>
      <c r="J5" s="25"/>
      <c r="K5" s="25"/>
      <c r="L5" s="25"/>
      <c r="M5" s="8">
        <v>2255</v>
      </c>
      <c r="N5" s="8">
        <v>0</v>
      </c>
      <c r="O5" s="8">
        <v>2255</v>
      </c>
      <c r="P5" s="8">
        <v>0</v>
      </c>
      <c r="Q5" s="8">
        <v>2255</v>
      </c>
      <c r="R5" s="8">
        <v>0</v>
      </c>
      <c r="S5" s="26">
        <v>0</v>
      </c>
      <c r="T5" s="26">
        <v>0</v>
      </c>
      <c r="U5" s="8">
        <f>(I5-S5)</f>
        <v>2255</v>
      </c>
      <c r="V5" s="24">
        <v>88363222</v>
      </c>
      <c r="W5" s="18">
        <v>0.18</v>
      </c>
      <c r="X5" s="24">
        <f>IF($D$3=1,ROUND(((U5*W5)/2),2),0)</f>
        <v>0</v>
      </c>
      <c r="Y5" s="24">
        <f>IF($D$3=1,ROUND(((U5*W5)/2),2),0)</f>
        <v>0</v>
      </c>
      <c r="Z5" s="24">
        <f>IF($D$3=2,ROUND(((U5*W5)),2),0)</f>
        <v>405.9</v>
      </c>
      <c r="AA5" s="24">
        <v>0</v>
      </c>
      <c r="AB5" s="24">
        <f>X5+Y5+Z5</f>
        <v>405.9</v>
      </c>
      <c r="AC5" s="24">
        <f>U5+AB5</f>
        <v>2660.9</v>
      </c>
      <c r="AD5" s="9">
        <v>1</v>
      </c>
      <c r="AE5" s="27" t="s">
        <v>44</v>
      </c>
      <c r="AF5" s="9">
        <v>0</v>
      </c>
      <c r="AG5" s="27" t="s">
        <v>44</v>
      </c>
      <c r="AH5" s="9" t="s">
        <v>33</v>
      </c>
      <c r="AI5" s="9" t="s">
        <v>33</v>
      </c>
      <c r="AJ5" s="24">
        <v>2</v>
      </c>
      <c r="AK5" s="9">
        <v>250.25</v>
      </c>
      <c r="AL5" s="8">
        <v>500.5</v>
      </c>
      <c r="AM5" s="25">
        <v>2.21</v>
      </c>
      <c r="AN5" s="25">
        <v>1.79</v>
      </c>
      <c r="AO5" s="25">
        <v>2.5</v>
      </c>
      <c r="AP5" s="8">
        <v>500.5</v>
      </c>
      <c r="AQ5" s="8">
        <f>ROUND(AM5*AP5%,2)</f>
        <v>11.06</v>
      </c>
      <c r="AR5" s="8">
        <f>AL5-AQ5</f>
        <v>489.44</v>
      </c>
      <c r="AS5" s="8">
        <f>ROUND(AN5*AR5%,2)</f>
        <v>8.76</v>
      </c>
      <c r="AT5" s="8">
        <f>AR5-AS5</f>
        <v>480.68</v>
      </c>
      <c r="AU5" s="8">
        <f>ROUND(AO5*AT5%,2)</f>
        <v>12.02</v>
      </c>
      <c r="AV5" s="26">
        <f>AQ5+AS5+AU5</f>
        <v>31.84</v>
      </c>
      <c r="AW5" s="26">
        <v>0</v>
      </c>
      <c r="AX5" s="8">
        <f>(AL5-AV5)</f>
        <v>468.66</v>
      </c>
      <c r="AY5" s="24">
        <v>88363222</v>
      </c>
      <c r="AZ5" s="18">
        <v>0.18</v>
      </c>
      <c r="BA5" s="24">
        <f>IF($AG$3=1,ROUND(((AX5*AZ5)/2),2),0)</f>
        <v>0</v>
      </c>
      <c r="BB5" s="24">
        <f>IF($AG$3=1,ROUND(((AX5*AZ5)/2),2),0)</f>
        <v>0</v>
      </c>
      <c r="BC5" s="40">
        <f>IF($AG$3=2,ROUND(((AX5*AZ5)),2),0)</f>
        <v>84.36</v>
      </c>
      <c r="BD5" s="24">
        <f>IF($AG$3=4,ROUND(((AX5*AZ5)),2),0)</f>
        <v>0</v>
      </c>
      <c r="BE5" s="40">
        <f>BA5+BB5+BC5</f>
        <v>84.36</v>
      </c>
      <c r="BF5" s="24">
        <f>AX5+BE5</f>
        <v>553.02</v>
      </c>
    </row>
    <row r="6" spans="1:58">
      <c r="A6" s="19"/>
      <c r="B6" s="19"/>
      <c r="C6" s="19"/>
      <c r="D6" s="19"/>
      <c r="E6" s="19"/>
      <c r="F6" s="19"/>
      <c r="G6" s="20"/>
      <c r="H6" s="21"/>
      <c r="I6" s="21"/>
      <c r="J6" s="22"/>
      <c r="K6" s="22"/>
      <c r="L6" s="22"/>
      <c r="M6" s="21"/>
      <c r="N6" s="21"/>
      <c r="O6" s="21"/>
      <c r="P6" s="21"/>
      <c r="Q6" s="21"/>
      <c r="R6" s="21"/>
      <c r="S6" s="21"/>
      <c r="T6" s="21"/>
      <c r="U6" s="21"/>
      <c r="V6" s="21"/>
      <c r="W6" s="22"/>
      <c r="X6" s="21"/>
      <c r="Y6" s="21"/>
      <c r="Z6" s="21"/>
      <c r="AA6" s="21"/>
      <c r="AB6" s="21"/>
      <c r="AC6" s="21"/>
    </row>
  </sheetData>
  <mergeCells count="4">
    <mergeCell ref="A1:AC1"/>
    <mergeCell ref="A3:B3"/>
    <mergeCell ref="AD1:BF1"/>
    <mergeCell ref="AD3:A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6"/>
  <sheetViews>
    <sheetView topLeftCell="M1" workbookViewId="0">
      <selection activeCell="M1" sqref="A1:XFD1048576"/>
    </sheetView>
  </sheetViews>
  <sheetFormatPr defaultRowHeight="15"/>
  <cols>
    <col min="2" max="2" width="20.5703125" customWidth="1"/>
    <col min="4" max="4" width="29.140625" bestFit="1" customWidth="1"/>
    <col min="5" max="5" width="19.28515625" customWidth="1"/>
    <col min="6" max="6" width="16.28515625" customWidth="1"/>
    <col min="7" max="7" width="24.42578125" customWidth="1"/>
    <col min="8" max="8" width="20.28515625" customWidth="1"/>
    <col min="9" max="9" width="20" customWidth="1"/>
    <col min="13" max="13" width="13.85546875" bestFit="1" customWidth="1"/>
    <col min="15" max="15" width="13.7109375" customWidth="1"/>
    <col min="18" max="18" width="13" customWidth="1"/>
    <col min="19" max="19" width="14.42578125" customWidth="1"/>
    <col min="20" max="20" width="18.42578125" customWidth="1"/>
    <col min="21" max="21" width="10.5703125" bestFit="1" customWidth="1"/>
    <col min="22" max="22" width="10.140625" bestFit="1" customWidth="1"/>
  </cols>
  <sheetData>
    <row r="1" spans="1:29" ht="18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</row>
    <row r="2" spans="1:29" ht="18">
      <c r="A2" s="23" t="s">
        <v>1</v>
      </c>
      <c r="B2" s="23" t="s">
        <v>2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</row>
    <row r="3" spans="1:29">
      <c r="A3" s="68" t="s">
        <v>3</v>
      </c>
      <c r="B3" s="68"/>
      <c r="C3" s="29"/>
      <c r="D3" s="3">
        <v>4</v>
      </c>
      <c r="E3" s="4" t="s">
        <v>38</v>
      </c>
      <c r="F3" s="5"/>
      <c r="G3" s="5"/>
      <c r="H3" s="5"/>
      <c r="I3" s="6"/>
      <c r="J3" s="7" t="s">
        <v>5</v>
      </c>
      <c r="K3" s="7" t="s">
        <v>6</v>
      </c>
      <c r="L3" s="7"/>
      <c r="M3" s="7" t="s">
        <v>7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ht="42.75">
      <c r="A4" s="10" t="s">
        <v>8</v>
      </c>
      <c r="B4" s="10" t="s">
        <v>36</v>
      </c>
      <c r="C4" s="10" t="s">
        <v>9</v>
      </c>
      <c r="D4" s="11" t="s">
        <v>35</v>
      </c>
      <c r="E4" s="10" t="s">
        <v>10</v>
      </c>
      <c r="F4" s="10" t="s">
        <v>11</v>
      </c>
      <c r="G4" s="12" t="s">
        <v>34</v>
      </c>
      <c r="H4" s="10" t="s">
        <v>12</v>
      </c>
      <c r="I4" s="10" t="s">
        <v>13</v>
      </c>
      <c r="J4" s="13" t="s">
        <v>14</v>
      </c>
      <c r="K4" s="13" t="s">
        <v>15</v>
      </c>
      <c r="L4" s="13" t="s">
        <v>16</v>
      </c>
      <c r="M4" s="14" t="s">
        <v>17</v>
      </c>
      <c r="N4" s="14" t="s">
        <v>18</v>
      </c>
      <c r="O4" s="14" t="s">
        <v>19</v>
      </c>
      <c r="P4" s="14" t="s">
        <v>20</v>
      </c>
      <c r="Q4" s="15" t="s">
        <v>21</v>
      </c>
      <c r="R4" s="14" t="s">
        <v>22</v>
      </c>
      <c r="S4" s="13" t="s">
        <v>23</v>
      </c>
      <c r="T4" s="13" t="s">
        <v>24</v>
      </c>
      <c r="U4" s="10" t="s">
        <v>25</v>
      </c>
      <c r="V4" s="10" t="s">
        <v>26</v>
      </c>
      <c r="W4" s="16" t="s">
        <v>27</v>
      </c>
      <c r="X4" s="16" t="s">
        <v>28</v>
      </c>
      <c r="Y4" s="16" t="s">
        <v>29</v>
      </c>
      <c r="Z4" s="16" t="s">
        <v>30</v>
      </c>
      <c r="AA4" s="16" t="s">
        <v>37</v>
      </c>
      <c r="AB4" s="16" t="s">
        <v>31</v>
      </c>
      <c r="AC4" s="17" t="s">
        <v>32</v>
      </c>
    </row>
    <row r="5" spans="1:29">
      <c r="A5" s="9">
        <v>1</v>
      </c>
      <c r="B5" s="27" t="s">
        <v>41</v>
      </c>
      <c r="C5" s="9">
        <v>0</v>
      </c>
      <c r="D5" s="27" t="s">
        <v>42</v>
      </c>
      <c r="E5" s="9" t="s">
        <v>33</v>
      </c>
      <c r="F5" s="9" t="s">
        <v>33</v>
      </c>
      <c r="G5" s="24">
        <v>1</v>
      </c>
      <c r="H5" s="9">
        <v>2255</v>
      </c>
      <c r="I5" s="8">
        <v>2255</v>
      </c>
      <c r="J5" s="25"/>
      <c r="K5" s="25"/>
      <c r="L5" s="25"/>
      <c r="M5" s="8">
        <v>2255</v>
      </c>
      <c r="N5" s="8">
        <v>0</v>
      </c>
      <c r="O5" s="8">
        <v>2255</v>
      </c>
      <c r="P5" s="8">
        <v>0</v>
      </c>
      <c r="Q5" s="8">
        <v>2255</v>
      </c>
      <c r="R5" s="8">
        <v>0</v>
      </c>
      <c r="S5" s="26">
        <v>0</v>
      </c>
      <c r="T5" s="26">
        <v>0</v>
      </c>
      <c r="U5" s="8">
        <f>(I5-S5)</f>
        <v>2255</v>
      </c>
      <c r="V5" s="24">
        <v>88363222</v>
      </c>
      <c r="W5" s="18">
        <v>0.18</v>
      </c>
      <c r="X5" s="24">
        <f>IF(OR($D$3=1,$D$3=4),ROUND((U5*W5)/2,2),0)</f>
        <v>202.95</v>
      </c>
      <c r="Y5" s="24">
        <f>IF($D$3=1,ROUND(((U5*W5)/2),2),0)</f>
        <v>0</v>
      </c>
      <c r="Z5" s="24">
        <f>IF($D$3=2,ROUND(((U5*W5)),2),0)</f>
        <v>0</v>
      </c>
      <c r="AA5" s="24">
        <f>IF($D$3=4,ROUND(((U5*W5)/2),2),0)</f>
        <v>202.95</v>
      </c>
      <c r="AB5" s="24">
        <f>X5+Y5+Z5+AA5</f>
        <v>405.9</v>
      </c>
      <c r="AC5" s="24">
        <f>U5+AB5</f>
        <v>2660.9</v>
      </c>
    </row>
    <row r="6" spans="1:29">
      <c r="A6" s="19"/>
      <c r="B6" s="19"/>
      <c r="C6" s="19"/>
      <c r="D6" s="19"/>
      <c r="E6" s="19"/>
      <c r="F6" s="19"/>
      <c r="G6" s="20"/>
      <c r="H6" s="21"/>
      <c r="I6" s="21"/>
      <c r="J6" s="22"/>
      <c r="K6" s="22"/>
      <c r="L6" s="22"/>
      <c r="M6" s="21"/>
      <c r="N6" s="21"/>
      <c r="O6" s="21"/>
      <c r="P6" s="21"/>
      <c r="Q6" s="21"/>
      <c r="R6" s="21"/>
      <c r="S6" s="21"/>
      <c r="T6" s="21"/>
      <c r="U6" s="21"/>
      <c r="V6" s="21"/>
      <c r="W6" s="22"/>
      <c r="X6" s="21"/>
      <c r="Y6" s="21"/>
      <c r="Z6" s="21"/>
      <c r="AA6" s="21"/>
      <c r="AB6" s="21"/>
      <c r="AC6" s="21"/>
    </row>
  </sheetData>
  <mergeCells count="2">
    <mergeCell ref="A1:AC1"/>
    <mergeCell ref="A3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6"/>
  <sheetViews>
    <sheetView topLeftCell="N1" workbookViewId="0">
      <selection activeCell="Y5" sqref="Y5"/>
    </sheetView>
  </sheetViews>
  <sheetFormatPr defaultRowHeight="15"/>
  <cols>
    <col min="2" max="2" width="20.5703125" customWidth="1"/>
    <col min="4" max="4" width="29.140625" bestFit="1" customWidth="1"/>
    <col min="5" max="5" width="19.28515625" customWidth="1"/>
    <col min="6" max="6" width="16.28515625" customWidth="1"/>
    <col min="7" max="7" width="24.42578125" customWidth="1"/>
    <col min="8" max="8" width="20.28515625" customWidth="1"/>
    <col min="9" max="9" width="20" customWidth="1"/>
    <col min="13" max="13" width="13.85546875" bestFit="1" customWidth="1"/>
    <col min="15" max="15" width="13.7109375" customWidth="1"/>
    <col min="18" max="18" width="13" customWidth="1"/>
    <col min="19" max="19" width="14.42578125" customWidth="1"/>
    <col min="20" max="20" width="18.42578125" customWidth="1"/>
    <col min="21" max="21" width="10.5703125" bestFit="1" customWidth="1"/>
    <col min="22" max="22" width="10.140625" bestFit="1" customWidth="1"/>
    <col min="29" max="29" width="14" bestFit="1" customWidth="1"/>
  </cols>
  <sheetData>
    <row r="1" spans="1:29" ht="18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</row>
    <row r="2" spans="1:29" ht="18">
      <c r="A2" s="23" t="s">
        <v>1</v>
      </c>
      <c r="B2" s="23" t="s">
        <v>2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</row>
    <row r="3" spans="1:29">
      <c r="A3" s="68" t="s">
        <v>3</v>
      </c>
      <c r="B3" s="68"/>
      <c r="C3" s="29"/>
      <c r="D3" s="3">
        <v>3</v>
      </c>
      <c r="E3" s="4" t="s">
        <v>39</v>
      </c>
      <c r="F3" s="5"/>
      <c r="G3" s="5"/>
      <c r="H3" s="5"/>
      <c r="I3" s="6"/>
      <c r="J3" s="7" t="s">
        <v>5</v>
      </c>
      <c r="K3" s="7" t="s">
        <v>6</v>
      </c>
      <c r="L3" s="7"/>
      <c r="M3" s="7" t="s">
        <v>7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ht="42.75">
      <c r="A4" s="10" t="s">
        <v>8</v>
      </c>
      <c r="B4" s="10" t="s">
        <v>36</v>
      </c>
      <c r="C4" s="10" t="s">
        <v>9</v>
      </c>
      <c r="D4" s="11" t="s">
        <v>35</v>
      </c>
      <c r="E4" s="10" t="s">
        <v>10</v>
      </c>
      <c r="F4" s="10" t="s">
        <v>11</v>
      </c>
      <c r="G4" s="12" t="s">
        <v>34</v>
      </c>
      <c r="H4" s="10" t="s">
        <v>12</v>
      </c>
      <c r="I4" s="10" t="s">
        <v>13</v>
      </c>
      <c r="J4" s="13" t="s">
        <v>14</v>
      </c>
      <c r="K4" s="13" t="s">
        <v>15</v>
      </c>
      <c r="L4" s="13" t="s">
        <v>16</v>
      </c>
      <c r="M4" s="14" t="s">
        <v>17</v>
      </c>
      <c r="N4" s="14" t="s">
        <v>18</v>
      </c>
      <c r="O4" s="14" t="s">
        <v>19</v>
      </c>
      <c r="P4" s="14" t="s">
        <v>20</v>
      </c>
      <c r="Q4" s="15" t="s">
        <v>21</v>
      </c>
      <c r="R4" s="14" t="s">
        <v>22</v>
      </c>
      <c r="S4" s="13" t="s">
        <v>23</v>
      </c>
      <c r="T4" s="13" t="s">
        <v>24</v>
      </c>
      <c r="U4" s="10" t="s">
        <v>25</v>
      </c>
      <c r="V4" s="10" t="s">
        <v>26</v>
      </c>
      <c r="W4" s="16" t="s">
        <v>27</v>
      </c>
      <c r="X4" s="16" t="s">
        <v>28</v>
      </c>
      <c r="Y4" s="16" t="s">
        <v>29</v>
      </c>
      <c r="Z4" s="16" t="s">
        <v>30</v>
      </c>
      <c r="AA4" s="16" t="s">
        <v>37</v>
      </c>
      <c r="AB4" s="16" t="s">
        <v>31</v>
      </c>
      <c r="AC4" s="17" t="s">
        <v>32</v>
      </c>
    </row>
    <row r="5" spans="1:29">
      <c r="A5" s="9">
        <v>1</v>
      </c>
      <c r="B5" s="27" t="s">
        <v>41</v>
      </c>
      <c r="C5" s="9">
        <v>0</v>
      </c>
      <c r="D5" s="27" t="s">
        <v>42</v>
      </c>
      <c r="E5" s="9" t="s">
        <v>33</v>
      </c>
      <c r="F5" s="9" t="s">
        <v>33</v>
      </c>
      <c r="G5" s="24">
        <v>1</v>
      </c>
      <c r="H5" s="9">
        <v>2255</v>
      </c>
      <c r="I5" s="8">
        <v>2255</v>
      </c>
      <c r="J5" s="25"/>
      <c r="K5" s="25"/>
      <c r="L5" s="25"/>
      <c r="M5" s="8">
        <v>2255</v>
      </c>
      <c r="N5" s="8">
        <v>0</v>
      </c>
      <c r="O5" s="8">
        <v>2255</v>
      </c>
      <c r="P5" s="8">
        <v>0</v>
      </c>
      <c r="Q5" s="8">
        <v>2255</v>
      </c>
      <c r="R5" s="8">
        <v>0</v>
      </c>
      <c r="S5" s="26">
        <v>0</v>
      </c>
      <c r="T5" s="26">
        <v>0</v>
      </c>
      <c r="U5" s="8">
        <f>(I5-S5)</f>
        <v>2255</v>
      </c>
      <c r="V5" s="24">
        <v>88363222</v>
      </c>
      <c r="W5" s="18">
        <v>0.18</v>
      </c>
      <c r="X5" s="24">
        <f>IF(OR($D$3=1,$D$3=4),ROUND((U5*W5)/2,2),0)</f>
        <v>0</v>
      </c>
      <c r="Y5" s="24">
        <f>IF($D$3=1,ROUND(((U5*W5)/2),2),0)</f>
        <v>0</v>
      </c>
      <c r="Z5" s="24">
        <f>IF($D$3=2,ROUND(((U5*W5)),2),0)</f>
        <v>0</v>
      </c>
      <c r="AA5" s="24">
        <f>IF($D$3=4,ROUND(((U5*W5)/2),2),0)</f>
        <v>0</v>
      </c>
      <c r="AB5" s="8">
        <f>X5+Y5+Z5</f>
        <v>0</v>
      </c>
      <c r="AC5" s="31">
        <f>U5+AB5</f>
        <v>2255</v>
      </c>
    </row>
    <row r="6" spans="1:29">
      <c r="A6" s="19"/>
      <c r="B6" s="19"/>
      <c r="C6" s="19"/>
      <c r="D6" s="19"/>
      <c r="E6" s="19"/>
      <c r="F6" s="19"/>
      <c r="G6" s="20"/>
      <c r="H6" s="21"/>
      <c r="I6" s="21"/>
      <c r="J6" s="22"/>
      <c r="K6" s="22"/>
      <c r="L6" s="22"/>
      <c r="M6" s="21"/>
      <c r="N6" s="21"/>
      <c r="O6" s="21"/>
      <c r="P6" s="21"/>
      <c r="Q6" s="21"/>
      <c r="R6" s="21"/>
      <c r="S6" s="21"/>
      <c r="T6" s="21"/>
      <c r="U6" s="21"/>
      <c r="V6" s="21"/>
      <c r="W6" s="22"/>
      <c r="X6" s="21"/>
      <c r="Y6" s="21"/>
      <c r="Z6" s="21"/>
      <c r="AA6" s="21"/>
      <c r="AB6" s="21"/>
      <c r="AC6" s="21"/>
    </row>
  </sheetData>
  <mergeCells count="2">
    <mergeCell ref="A1:AC1"/>
    <mergeCell ref="A3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6"/>
  <sheetViews>
    <sheetView topLeftCell="M1" workbookViewId="0">
      <selection activeCell="AC5" sqref="AC5"/>
    </sheetView>
  </sheetViews>
  <sheetFormatPr defaultRowHeight="15"/>
  <cols>
    <col min="2" max="2" width="20.5703125" customWidth="1"/>
    <col min="4" max="4" width="29.140625" bestFit="1" customWidth="1"/>
    <col min="5" max="5" width="19.28515625" customWidth="1"/>
    <col min="6" max="6" width="16.28515625" customWidth="1"/>
    <col min="7" max="7" width="24.42578125" customWidth="1"/>
    <col min="8" max="8" width="20.28515625" customWidth="1"/>
    <col min="9" max="9" width="20" customWidth="1"/>
    <col min="13" max="13" width="13.85546875" bestFit="1" customWidth="1"/>
    <col min="15" max="15" width="13.7109375" customWidth="1"/>
    <col min="18" max="18" width="13" customWidth="1"/>
    <col min="19" max="19" width="14.42578125" customWidth="1"/>
    <col min="20" max="20" width="18.42578125" customWidth="1"/>
    <col min="21" max="21" width="10.5703125" bestFit="1" customWidth="1"/>
    <col min="22" max="22" width="10.140625" bestFit="1" customWidth="1"/>
  </cols>
  <sheetData>
    <row r="1" spans="1:29" ht="18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</row>
    <row r="2" spans="1:29" ht="18">
      <c r="A2" s="23" t="s">
        <v>1</v>
      </c>
      <c r="B2" s="23" t="s">
        <v>2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</row>
    <row r="3" spans="1:29">
      <c r="A3" s="68" t="s">
        <v>3</v>
      </c>
      <c r="B3" s="68"/>
      <c r="C3" s="29"/>
      <c r="D3" s="3">
        <v>5</v>
      </c>
      <c r="E3" s="4" t="s">
        <v>40</v>
      </c>
      <c r="F3" s="5"/>
      <c r="G3" s="5"/>
      <c r="H3" s="5"/>
      <c r="I3" s="6"/>
      <c r="J3" s="7" t="s">
        <v>5</v>
      </c>
      <c r="K3" s="7" t="s">
        <v>6</v>
      </c>
      <c r="L3" s="7"/>
      <c r="M3" s="7" t="s">
        <v>7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ht="42.75">
      <c r="A4" s="10" t="s">
        <v>8</v>
      </c>
      <c r="B4" s="10" t="s">
        <v>36</v>
      </c>
      <c r="C4" s="10" t="s">
        <v>9</v>
      </c>
      <c r="D4" s="11" t="s">
        <v>35</v>
      </c>
      <c r="E4" s="10" t="s">
        <v>10</v>
      </c>
      <c r="F4" s="10" t="s">
        <v>11</v>
      </c>
      <c r="G4" s="12" t="s">
        <v>34</v>
      </c>
      <c r="H4" s="10" t="s">
        <v>12</v>
      </c>
      <c r="I4" s="10" t="s">
        <v>13</v>
      </c>
      <c r="J4" s="13" t="s">
        <v>14</v>
      </c>
      <c r="K4" s="13" t="s">
        <v>15</v>
      </c>
      <c r="L4" s="13" t="s">
        <v>16</v>
      </c>
      <c r="M4" s="14" t="s">
        <v>17</v>
      </c>
      <c r="N4" s="14" t="s">
        <v>18</v>
      </c>
      <c r="O4" s="14" t="s">
        <v>19</v>
      </c>
      <c r="P4" s="14" t="s">
        <v>20</v>
      </c>
      <c r="Q4" s="15" t="s">
        <v>21</v>
      </c>
      <c r="R4" s="14" t="s">
        <v>22</v>
      </c>
      <c r="S4" s="13" t="s">
        <v>23</v>
      </c>
      <c r="T4" s="13" t="s">
        <v>24</v>
      </c>
      <c r="U4" s="10" t="s">
        <v>25</v>
      </c>
      <c r="V4" s="10" t="s">
        <v>26</v>
      </c>
      <c r="W4" s="16" t="s">
        <v>27</v>
      </c>
      <c r="X4" s="16" t="s">
        <v>28</v>
      </c>
      <c r="Y4" s="16" t="s">
        <v>29</v>
      </c>
      <c r="Z4" s="16" t="s">
        <v>30</v>
      </c>
      <c r="AA4" s="16" t="s">
        <v>37</v>
      </c>
      <c r="AB4" s="16" t="s">
        <v>31</v>
      </c>
      <c r="AC4" s="17" t="s">
        <v>32</v>
      </c>
    </row>
    <row r="5" spans="1:29">
      <c r="A5" s="9">
        <v>1</v>
      </c>
      <c r="B5" s="27" t="s">
        <v>41</v>
      </c>
      <c r="C5" s="9">
        <v>0</v>
      </c>
      <c r="D5" s="27" t="s">
        <v>42</v>
      </c>
      <c r="E5" s="9" t="s">
        <v>33</v>
      </c>
      <c r="F5" s="9" t="s">
        <v>33</v>
      </c>
      <c r="G5" s="24">
        <v>1</v>
      </c>
      <c r="H5" s="9">
        <v>2255</v>
      </c>
      <c r="I5" s="8">
        <v>2255</v>
      </c>
      <c r="J5" s="25"/>
      <c r="K5" s="25"/>
      <c r="L5" s="25"/>
      <c r="M5" s="8">
        <v>2255</v>
      </c>
      <c r="N5" s="8">
        <v>0</v>
      </c>
      <c r="O5" s="8">
        <v>2255</v>
      </c>
      <c r="P5" s="8">
        <v>0</v>
      </c>
      <c r="Q5" s="8">
        <v>2255</v>
      </c>
      <c r="R5" s="8">
        <v>0</v>
      </c>
      <c r="S5" s="26">
        <v>0</v>
      </c>
      <c r="T5" s="26">
        <v>0</v>
      </c>
      <c r="U5" s="8">
        <f>(I5-S5)</f>
        <v>2255</v>
      </c>
      <c r="V5" s="24">
        <v>88363222</v>
      </c>
      <c r="W5" s="18">
        <v>0.18</v>
      </c>
      <c r="X5" s="24">
        <f>IF(OR($D$3=1,$D$3=4),ROUND((U5*W5)/2,2),0)</f>
        <v>0</v>
      </c>
      <c r="Y5" s="24">
        <f>IF($D$3=1,ROUND(((U5*W5)/2),2),0)</f>
        <v>0</v>
      </c>
      <c r="Z5" s="24">
        <f>IF($D$3=2,ROUND(((U5*W5)),2),0)</f>
        <v>0</v>
      </c>
      <c r="AA5" s="24">
        <f>IF($D$3=4,ROUND(((U5*W5)/2),2),0)</f>
        <v>0</v>
      </c>
      <c r="AB5" s="8">
        <f>X5+Y5+Z5</f>
        <v>0</v>
      </c>
      <c r="AC5" s="24">
        <f>U5+AB5</f>
        <v>2255</v>
      </c>
    </row>
    <row r="6" spans="1:29">
      <c r="A6" s="19"/>
      <c r="B6" s="19"/>
      <c r="C6" s="19"/>
      <c r="D6" s="19"/>
      <c r="E6" s="19"/>
      <c r="F6" s="19"/>
      <c r="G6" s="20"/>
      <c r="H6" s="21"/>
      <c r="I6" s="21"/>
      <c r="J6" s="22"/>
      <c r="K6" s="22"/>
      <c r="L6" s="22"/>
      <c r="M6" s="21"/>
      <c r="N6" s="21"/>
      <c r="O6" s="21"/>
      <c r="P6" s="21"/>
      <c r="Q6" s="21"/>
      <c r="R6" s="21"/>
      <c r="S6" s="21"/>
      <c r="T6" s="21"/>
      <c r="U6" s="21"/>
      <c r="V6" s="21"/>
      <c r="W6" s="22"/>
      <c r="X6" s="21"/>
      <c r="Y6" s="21"/>
      <c r="Z6" s="21"/>
      <c r="AA6" s="21"/>
      <c r="AB6" s="21"/>
      <c r="AC6" s="21"/>
    </row>
  </sheetData>
  <mergeCells count="2">
    <mergeCell ref="A1:AC1"/>
    <mergeCell ref="A3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6"/>
  <sheetViews>
    <sheetView workbookViewId="0">
      <selection activeCell="D5" sqref="D5"/>
    </sheetView>
  </sheetViews>
  <sheetFormatPr defaultRowHeight="15"/>
  <cols>
    <col min="2" max="2" width="20.5703125" customWidth="1"/>
    <col min="4" max="4" width="29.140625" bestFit="1" customWidth="1"/>
    <col min="5" max="5" width="19.28515625" customWidth="1"/>
    <col min="6" max="6" width="16.28515625" customWidth="1"/>
    <col min="7" max="7" width="24.42578125" customWidth="1"/>
    <col min="8" max="8" width="20.28515625" customWidth="1"/>
    <col min="9" max="9" width="20" customWidth="1"/>
    <col min="13" max="13" width="13.85546875" bestFit="1" customWidth="1"/>
    <col min="15" max="15" width="13.7109375" customWidth="1"/>
    <col min="18" max="18" width="13" customWidth="1"/>
    <col min="19" max="19" width="14.42578125" customWidth="1"/>
    <col min="20" max="20" width="18.42578125" customWidth="1"/>
    <col min="21" max="21" width="10.5703125" bestFit="1" customWidth="1"/>
    <col min="22" max="22" width="10.140625" bestFit="1" customWidth="1"/>
    <col min="24" max="24" width="9.42578125" bestFit="1" customWidth="1"/>
    <col min="25" max="25" width="10" bestFit="1" customWidth="1"/>
  </cols>
  <sheetData>
    <row r="1" spans="1:29" ht="18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</row>
    <row r="2" spans="1:29" ht="18">
      <c r="A2" s="23" t="s">
        <v>1</v>
      </c>
      <c r="B2" s="23" t="s">
        <v>2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</row>
    <row r="3" spans="1:29">
      <c r="A3" s="68" t="s">
        <v>3</v>
      </c>
      <c r="B3" s="68"/>
      <c r="C3" s="33"/>
      <c r="D3" s="3">
        <v>1</v>
      </c>
      <c r="E3" s="4" t="s">
        <v>43</v>
      </c>
      <c r="F3" s="5"/>
      <c r="G3" s="5"/>
      <c r="H3" s="5"/>
      <c r="I3" s="6"/>
      <c r="J3" s="7" t="s">
        <v>5</v>
      </c>
      <c r="K3" s="7" t="s">
        <v>6</v>
      </c>
      <c r="L3" s="7"/>
      <c r="M3" s="7" t="s">
        <v>7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ht="42.75">
      <c r="A4" s="10" t="s">
        <v>8</v>
      </c>
      <c r="B4" s="10" t="s">
        <v>36</v>
      </c>
      <c r="C4" s="10" t="s">
        <v>9</v>
      </c>
      <c r="D4" s="11" t="s">
        <v>35</v>
      </c>
      <c r="E4" s="10" t="s">
        <v>10</v>
      </c>
      <c r="F4" s="10" t="s">
        <v>11</v>
      </c>
      <c r="G4" s="12" t="s">
        <v>34</v>
      </c>
      <c r="H4" s="10" t="s">
        <v>12</v>
      </c>
      <c r="I4" s="10" t="s">
        <v>13</v>
      </c>
      <c r="J4" s="13" t="s">
        <v>14</v>
      </c>
      <c r="K4" s="13" t="s">
        <v>15</v>
      </c>
      <c r="L4" s="13" t="s">
        <v>16</v>
      </c>
      <c r="M4" s="14" t="s">
        <v>17</v>
      </c>
      <c r="N4" s="14" t="s">
        <v>18</v>
      </c>
      <c r="O4" s="14" t="s">
        <v>19</v>
      </c>
      <c r="P4" s="14" t="s">
        <v>20</v>
      </c>
      <c r="Q4" s="15" t="s">
        <v>21</v>
      </c>
      <c r="R4" s="14" t="s">
        <v>22</v>
      </c>
      <c r="S4" s="13" t="s">
        <v>23</v>
      </c>
      <c r="T4" s="13" t="s">
        <v>24</v>
      </c>
      <c r="U4" s="10" t="s">
        <v>25</v>
      </c>
      <c r="V4" s="10" t="s">
        <v>26</v>
      </c>
      <c r="W4" s="16" t="s">
        <v>27</v>
      </c>
      <c r="X4" s="16" t="s">
        <v>28</v>
      </c>
      <c r="Y4" s="16" t="s">
        <v>29</v>
      </c>
      <c r="Z4" s="16" t="s">
        <v>30</v>
      </c>
      <c r="AA4" s="16" t="s">
        <v>37</v>
      </c>
      <c r="AB4" s="16" t="s">
        <v>31</v>
      </c>
      <c r="AC4" s="17" t="s">
        <v>32</v>
      </c>
    </row>
    <row r="5" spans="1:29">
      <c r="A5" s="9">
        <v>1</v>
      </c>
      <c r="B5" s="27" t="s">
        <v>41</v>
      </c>
      <c r="C5" s="9">
        <v>0</v>
      </c>
      <c r="D5" s="27" t="s">
        <v>42</v>
      </c>
      <c r="E5" s="9" t="s">
        <v>33</v>
      </c>
      <c r="F5" s="9" t="s">
        <v>33</v>
      </c>
      <c r="G5" s="24">
        <v>1</v>
      </c>
      <c r="H5" s="9">
        <v>2255</v>
      </c>
      <c r="I5" s="8">
        <v>2255</v>
      </c>
      <c r="J5" s="25"/>
      <c r="K5" s="25"/>
      <c r="L5" s="25"/>
      <c r="M5" s="8">
        <v>2255</v>
      </c>
      <c r="N5" s="8">
        <v>0</v>
      </c>
      <c r="O5" s="8">
        <v>2255</v>
      </c>
      <c r="P5" s="8">
        <v>0</v>
      </c>
      <c r="Q5" s="8">
        <v>2255</v>
      </c>
      <c r="R5" s="8">
        <v>0</v>
      </c>
      <c r="S5" s="26">
        <v>0</v>
      </c>
      <c r="T5" s="26">
        <v>0</v>
      </c>
      <c r="U5" s="8">
        <f>(I5-S5)</f>
        <v>2255</v>
      </c>
      <c r="V5" s="24">
        <v>88363222</v>
      </c>
      <c r="W5" s="18">
        <v>0.18</v>
      </c>
      <c r="X5" s="24">
        <f>IF($D$3=1,ROUND(((U5*W5)/2),2),0)</f>
        <v>202.95</v>
      </c>
      <c r="Y5" s="31">
        <f>IF($D$3=1,ROUND(((U5*W5)/2),2),0)</f>
        <v>202.95</v>
      </c>
      <c r="Z5" s="24">
        <v>0</v>
      </c>
      <c r="AA5" s="24">
        <v>0</v>
      </c>
      <c r="AB5" s="24">
        <f>X5+Y5+Z5</f>
        <v>405.9</v>
      </c>
      <c r="AC5" s="24">
        <f>U5</f>
        <v>2255</v>
      </c>
    </row>
    <row r="6" spans="1:29">
      <c r="A6" s="19"/>
      <c r="B6" s="19"/>
      <c r="C6" s="19"/>
      <c r="D6" s="19"/>
      <c r="E6" s="19"/>
      <c r="F6" s="19"/>
      <c r="G6" s="20"/>
      <c r="H6" s="21"/>
      <c r="I6" s="21"/>
      <c r="J6" s="22"/>
      <c r="K6" s="22"/>
      <c r="L6" s="22"/>
      <c r="M6" s="21"/>
      <c r="N6" s="21"/>
      <c r="O6" s="21"/>
      <c r="P6" s="21"/>
      <c r="Q6" s="21"/>
      <c r="R6" s="21"/>
      <c r="S6" s="21"/>
      <c r="T6" s="21"/>
      <c r="U6" s="21"/>
      <c r="V6" s="21"/>
      <c r="W6" s="22"/>
      <c r="X6" s="21"/>
      <c r="Y6" s="21"/>
      <c r="Z6" s="21"/>
      <c r="AA6" s="21"/>
      <c r="AB6" s="21"/>
      <c r="AC6" s="21"/>
    </row>
  </sheetData>
  <mergeCells count="2">
    <mergeCell ref="A1:AC1"/>
    <mergeCell ref="A3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6"/>
  <sheetViews>
    <sheetView topLeftCell="G1" workbookViewId="0">
      <selection activeCell="S5" sqref="S5"/>
    </sheetView>
  </sheetViews>
  <sheetFormatPr defaultRowHeight="15"/>
  <cols>
    <col min="2" max="2" width="20.5703125" customWidth="1"/>
    <col min="4" max="4" width="29.140625" bestFit="1" customWidth="1"/>
    <col min="5" max="5" width="19.28515625" customWidth="1"/>
    <col min="6" max="6" width="16.28515625" customWidth="1"/>
    <col min="7" max="7" width="24.42578125" customWidth="1"/>
    <col min="8" max="8" width="20.28515625" customWidth="1"/>
    <col min="9" max="9" width="20" customWidth="1"/>
    <col min="13" max="13" width="13.85546875" bestFit="1" customWidth="1"/>
    <col min="15" max="15" width="13.7109375" customWidth="1"/>
    <col min="18" max="18" width="13" customWidth="1"/>
    <col min="19" max="19" width="14.42578125" customWidth="1"/>
    <col min="20" max="20" width="18.42578125" customWidth="1"/>
    <col min="21" max="21" width="10.5703125" bestFit="1" customWidth="1"/>
    <col min="22" max="22" width="10.140625" bestFit="1" customWidth="1"/>
    <col min="24" max="24" width="9.42578125" bestFit="1" customWidth="1"/>
    <col min="25" max="25" width="10" bestFit="1" customWidth="1"/>
  </cols>
  <sheetData>
    <row r="1" spans="1:29" ht="18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</row>
    <row r="2" spans="1:29" ht="18">
      <c r="A2" s="23" t="s">
        <v>1</v>
      </c>
      <c r="B2" s="23" t="s">
        <v>2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</row>
    <row r="3" spans="1:29">
      <c r="A3" s="68" t="s">
        <v>3</v>
      </c>
      <c r="B3" s="68"/>
      <c r="C3" s="35"/>
      <c r="D3" s="3">
        <v>1</v>
      </c>
      <c r="E3" s="4" t="s">
        <v>4</v>
      </c>
      <c r="F3" s="5"/>
      <c r="G3" s="5"/>
      <c r="H3" s="5"/>
      <c r="I3" s="6"/>
      <c r="J3" s="7" t="s">
        <v>5</v>
      </c>
      <c r="K3" s="7" t="s">
        <v>6</v>
      </c>
      <c r="L3" s="7"/>
      <c r="M3" s="7" t="s">
        <v>7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ht="42.75">
      <c r="A4" s="10" t="s">
        <v>8</v>
      </c>
      <c r="B4" s="10" t="s">
        <v>36</v>
      </c>
      <c r="C4" s="10" t="s">
        <v>9</v>
      </c>
      <c r="D4" s="11" t="s">
        <v>35</v>
      </c>
      <c r="E4" s="10" t="s">
        <v>10</v>
      </c>
      <c r="F4" s="10" t="s">
        <v>11</v>
      </c>
      <c r="G4" s="12" t="s">
        <v>34</v>
      </c>
      <c r="H4" s="10" t="s">
        <v>12</v>
      </c>
      <c r="I4" s="10" t="s">
        <v>13</v>
      </c>
      <c r="J4" s="13" t="s">
        <v>14</v>
      </c>
      <c r="K4" s="13" t="s">
        <v>15</v>
      </c>
      <c r="L4" s="13" t="s">
        <v>16</v>
      </c>
      <c r="M4" s="14" t="s">
        <v>17</v>
      </c>
      <c r="N4" s="14" t="s">
        <v>18</v>
      </c>
      <c r="O4" s="14" t="s">
        <v>19</v>
      </c>
      <c r="P4" s="14" t="s">
        <v>20</v>
      </c>
      <c r="Q4" s="15" t="s">
        <v>21</v>
      </c>
      <c r="R4" s="14" t="s">
        <v>22</v>
      </c>
      <c r="S4" s="13" t="s">
        <v>23</v>
      </c>
      <c r="T4" s="13" t="s">
        <v>24</v>
      </c>
      <c r="U4" s="10" t="s">
        <v>25</v>
      </c>
      <c r="V4" s="10" t="s">
        <v>26</v>
      </c>
      <c r="W4" s="16" t="s">
        <v>27</v>
      </c>
      <c r="X4" s="16" t="s">
        <v>28</v>
      </c>
      <c r="Y4" s="16" t="s">
        <v>29</v>
      </c>
      <c r="Z4" s="16" t="s">
        <v>30</v>
      </c>
      <c r="AA4" s="16" t="s">
        <v>37</v>
      </c>
      <c r="AB4" s="16" t="s">
        <v>31</v>
      </c>
      <c r="AC4" s="17" t="s">
        <v>32</v>
      </c>
    </row>
    <row r="5" spans="1:29">
      <c r="A5" s="9">
        <v>1</v>
      </c>
      <c r="B5" s="27" t="s">
        <v>41</v>
      </c>
      <c r="C5" s="9">
        <v>0</v>
      </c>
      <c r="D5" s="27" t="s">
        <v>42</v>
      </c>
      <c r="E5" s="9" t="s">
        <v>33</v>
      </c>
      <c r="F5" s="9" t="s">
        <v>33</v>
      </c>
      <c r="G5" s="24">
        <v>1</v>
      </c>
      <c r="H5" s="9">
        <v>2255</v>
      </c>
      <c r="I5" s="8">
        <v>2255</v>
      </c>
      <c r="J5" s="25"/>
      <c r="K5" s="25"/>
      <c r="L5" s="25"/>
      <c r="M5" s="8">
        <v>2255</v>
      </c>
      <c r="N5" s="8">
        <v>0</v>
      </c>
      <c r="O5" s="8">
        <v>2255</v>
      </c>
      <c r="P5" s="8">
        <v>0</v>
      </c>
      <c r="Q5" s="8">
        <v>2255</v>
      </c>
      <c r="R5" s="8">
        <v>0</v>
      </c>
      <c r="S5" s="26">
        <v>0</v>
      </c>
      <c r="T5" s="26">
        <v>0</v>
      </c>
      <c r="U5" s="8">
        <f>(I5-S5)</f>
        <v>2255</v>
      </c>
      <c r="V5" s="24">
        <v>88363222</v>
      </c>
      <c r="W5" s="18">
        <v>0.18</v>
      </c>
      <c r="X5" s="24">
        <f>IF($D$3=1,ROUND(((U5*W5)/2),2),0)</f>
        <v>202.95</v>
      </c>
      <c r="Y5" s="31">
        <f>IF($D$3=1,ROUND(((U5*W5)/2),2),0)</f>
        <v>202.95</v>
      </c>
      <c r="Z5" s="24">
        <v>0</v>
      </c>
      <c r="AA5" s="24">
        <v>0</v>
      </c>
      <c r="AB5" s="24">
        <f>X5+Y5+Z5</f>
        <v>405.9</v>
      </c>
      <c r="AC5" s="24">
        <f>U5</f>
        <v>2255</v>
      </c>
    </row>
    <row r="6" spans="1:29">
      <c r="A6" s="19"/>
      <c r="B6" s="19"/>
      <c r="C6" s="19"/>
      <c r="D6" s="19"/>
      <c r="E6" s="19"/>
      <c r="F6" s="19"/>
      <c r="G6" s="20"/>
      <c r="H6" s="21"/>
      <c r="I6" s="21"/>
      <c r="J6" s="22"/>
      <c r="K6" s="22"/>
      <c r="L6" s="22"/>
      <c r="M6" s="21"/>
      <c r="N6" s="21"/>
      <c r="O6" s="21"/>
      <c r="P6" s="21"/>
      <c r="Q6" s="21"/>
      <c r="R6" s="21"/>
      <c r="S6" s="21"/>
      <c r="T6" s="21"/>
      <c r="U6" s="21"/>
      <c r="V6" s="21"/>
      <c r="W6" s="22"/>
      <c r="X6" s="21"/>
      <c r="Y6" s="21"/>
      <c r="Z6" s="21"/>
      <c r="AA6" s="21"/>
      <c r="AB6" s="21"/>
      <c r="AC6" s="21"/>
    </row>
  </sheetData>
  <mergeCells count="2">
    <mergeCell ref="A1:AC1"/>
    <mergeCell ref="A3:B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6"/>
  <sheetViews>
    <sheetView topLeftCell="M1" workbookViewId="0">
      <selection activeCell="W5" sqref="W5"/>
    </sheetView>
  </sheetViews>
  <sheetFormatPr defaultRowHeight="15"/>
  <cols>
    <col min="2" max="2" width="20.5703125" customWidth="1"/>
    <col min="4" max="4" width="29.140625" bestFit="1" customWidth="1"/>
    <col min="5" max="5" width="19.28515625" customWidth="1"/>
    <col min="6" max="6" width="16.28515625" customWidth="1"/>
    <col min="7" max="7" width="24.42578125" customWidth="1"/>
    <col min="8" max="8" width="20.28515625" customWidth="1"/>
    <col min="9" max="9" width="20" customWidth="1"/>
    <col min="13" max="13" width="13.85546875" bestFit="1" customWidth="1"/>
    <col min="15" max="15" width="13.7109375" customWidth="1"/>
    <col min="18" max="18" width="13" customWidth="1"/>
    <col min="19" max="19" width="14.42578125" customWidth="1"/>
    <col min="20" max="20" width="18.42578125" customWidth="1"/>
    <col min="21" max="21" width="10.5703125" bestFit="1" customWidth="1"/>
    <col min="22" max="22" width="10.140625" bestFit="1" customWidth="1"/>
  </cols>
  <sheetData>
    <row r="1" spans="1:29" ht="18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</row>
    <row r="2" spans="1:29" ht="18">
      <c r="A2" s="23" t="s">
        <v>1</v>
      </c>
      <c r="B2" s="23" t="s">
        <v>2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</row>
    <row r="3" spans="1:29">
      <c r="A3" s="68" t="s">
        <v>3</v>
      </c>
      <c r="B3" s="68"/>
      <c r="C3" s="37"/>
      <c r="D3" s="3">
        <v>2</v>
      </c>
      <c r="E3" s="4" t="s">
        <v>4</v>
      </c>
      <c r="F3" s="5"/>
      <c r="G3" s="5"/>
      <c r="H3" s="5"/>
      <c r="I3" s="6"/>
      <c r="J3" s="7" t="s">
        <v>5</v>
      </c>
      <c r="K3" s="7" t="s">
        <v>6</v>
      </c>
      <c r="L3" s="7"/>
      <c r="M3" s="7" t="s">
        <v>7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ht="42.75">
      <c r="A4" s="10" t="s">
        <v>8</v>
      </c>
      <c r="B4" s="10" t="s">
        <v>36</v>
      </c>
      <c r="C4" s="10" t="s">
        <v>9</v>
      </c>
      <c r="D4" s="11" t="s">
        <v>35</v>
      </c>
      <c r="E4" s="10" t="s">
        <v>10</v>
      </c>
      <c r="F4" s="10" t="s">
        <v>11</v>
      </c>
      <c r="G4" s="12" t="s">
        <v>34</v>
      </c>
      <c r="H4" s="10" t="s">
        <v>12</v>
      </c>
      <c r="I4" s="10" t="s">
        <v>13</v>
      </c>
      <c r="J4" s="13" t="s">
        <v>14</v>
      </c>
      <c r="K4" s="13" t="s">
        <v>15</v>
      </c>
      <c r="L4" s="13" t="s">
        <v>16</v>
      </c>
      <c r="M4" s="14" t="s">
        <v>17</v>
      </c>
      <c r="N4" s="14" t="s">
        <v>18</v>
      </c>
      <c r="O4" s="14" t="s">
        <v>19</v>
      </c>
      <c r="P4" s="14" t="s">
        <v>20</v>
      </c>
      <c r="Q4" s="15" t="s">
        <v>21</v>
      </c>
      <c r="R4" s="14" t="s">
        <v>22</v>
      </c>
      <c r="S4" s="13" t="s">
        <v>23</v>
      </c>
      <c r="T4" s="13" t="s">
        <v>24</v>
      </c>
      <c r="U4" s="10" t="s">
        <v>25</v>
      </c>
      <c r="V4" s="10" t="s">
        <v>26</v>
      </c>
      <c r="W4" s="16" t="s">
        <v>27</v>
      </c>
      <c r="X4" s="16" t="s">
        <v>28</v>
      </c>
      <c r="Y4" s="16" t="s">
        <v>29</v>
      </c>
      <c r="Z4" s="16" t="s">
        <v>30</v>
      </c>
      <c r="AA4" s="16" t="s">
        <v>37</v>
      </c>
      <c r="AB4" s="16" t="s">
        <v>31</v>
      </c>
      <c r="AC4" s="17" t="s">
        <v>32</v>
      </c>
    </row>
    <row r="5" spans="1:29">
      <c r="A5" s="9">
        <v>1</v>
      </c>
      <c r="B5" s="27" t="s">
        <v>44</v>
      </c>
      <c r="C5" s="9">
        <v>0</v>
      </c>
      <c r="D5" s="27" t="s">
        <v>44</v>
      </c>
      <c r="E5" s="9" t="s">
        <v>33</v>
      </c>
      <c r="F5" s="9" t="s">
        <v>33</v>
      </c>
      <c r="G5" s="24">
        <v>2</v>
      </c>
      <c r="H5" s="9">
        <v>250.25</v>
      </c>
      <c r="I5" s="8">
        <v>500.5</v>
      </c>
      <c r="J5" s="25">
        <v>2.21</v>
      </c>
      <c r="K5" s="25">
        <v>1.79</v>
      </c>
      <c r="L5" s="25">
        <v>2.5</v>
      </c>
      <c r="M5" s="8">
        <v>500.5</v>
      </c>
      <c r="N5" s="8">
        <f>ROUND(J5*M5%,2)</f>
        <v>11.06</v>
      </c>
      <c r="O5" s="8">
        <f>I5-N5</f>
        <v>489.44</v>
      </c>
      <c r="P5" s="8">
        <f>ROUND(K5*O5%,2)</f>
        <v>8.76</v>
      </c>
      <c r="Q5" s="8">
        <f>O5-P5</f>
        <v>480.68</v>
      </c>
      <c r="R5" s="8">
        <f>ROUND(L5*Q5%,2)</f>
        <v>12.02</v>
      </c>
      <c r="S5" s="26">
        <f>N5+P5+R5</f>
        <v>31.84</v>
      </c>
      <c r="T5" s="26">
        <v>0</v>
      </c>
      <c r="U5" s="8">
        <f>(I5-S5)</f>
        <v>468.66</v>
      </c>
      <c r="V5" s="24">
        <v>88363222</v>
      </c>
      <c r="W5" s="18">
        <v>0.18</v>
      </c>
      <c r="X5" s="24">
        <f>IF($D$3=1,ROUND(((U5*W5)/2),2),0)</f>
        <v>0</v>
      </c>
      <c r="Y5" s="24">
        <f>IF($D$3=1,ROUND(((U5*W5)/2),2),0)</f>
        <v>0</v>
      </c>
      <c r="Z5" s="8">
        <f>IF($D$3=2,ROUND(((U5*W5)),2),0)</f>
        <v>84.36</v>
      </c>
      <c r="AA5" s="24">
        <v>0</v>
      </c>
      <c r="AB5" s="24">
        <f>X5+Y5+Z5</f>
        <v>84.36</v>
      </c>
      <c r="AC5" s="24">
        <f>U5+AB5</f>
        <v>553.02</v>
      </c>
    </row>
    <row r="6" spans="1:29">
      <c r="A6" s="19"/>
      <c r="B6" s="19"/>
      <c r="C6" s="19"/>
      <c r="D6" s="19"/>
      <c r="E6" s="19"/>
      <c r="F6" s="19"/>
      <c r="G6" s="20"/>
      <c r="H6" s="21"/>
      <c r="I6" s="21"/>
      <c r="J6" s="22"/>
      <c r="K6" s="22"/>
      <c r="L6" s="22"/>
      <c r="M6" s="21"/>
      <c r="N6" s="21"/>
      <c r="O6" s="21"/>
      <c r="P6" s="21"/>
      <c r="Q6" s="21"/>
      <c r="R6" s="21"/>
      <c r="S6" s="21"/>
      <c r="T6" s="21"/>
      <c r="U6" s="21"/>
      <c r="V6" s="21"/>
      <c r="W6" s="22"/>
      <c r="X6" s="21"/>
      <c r="Y6" s="21"/>
      <c r="Z6" s="21"/>
      <c r="AA6" s="21"/>
      <c r="AB6" s="21"/>
      <c r="AC6" s="21"/>
    </row>
  </sheetData>
  <mergeCells count="2">
    <mergeCell ref="A1:AC1"/>
    <mergeCell ref="A3:B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E8"/>
  <sheetViews>
    <sheetView topLeftCell="P1" workbookViewId="0">
      <selection activeCell="Z7" sqref="Z7"/>
    </sheetView>
  </sheetViews>
  <sheetFormatPr defaultRowHeight="15"/>
  <cols>
    <col min="2" max="2" width="20.5703125" customWidth="1"/>
    <col min="3" max="3" width="13.42578125" bestFit="1" customWidth="1"/>
    <col min="4" max="4" width="29.140625" bestFit="1" customWidth="1"/>
    <col min="5" max="5" width="19.28515625" customWidth="1"/>
    <col min="6" max="6" width="16.28515625" customWidth="1"/>
    <col min="7" max="7" width="24.42578125" customWidth="1"/>
    <col min="8" max="8" width="20.28515625" customWidth="1"/>
    <col min="9" max="9" width="20" customWidth="1"/>
    <col min="13" max="13" width="13.85546875" bestFit="1" customWidth="1"/>
    <col min="15" max="15" width="13.7109375" customWidth="1"/>
    <col min="18" max="18" width="13" customWidth="1"/>
    <col min="19" max="19" width="14.42578125" customWidth="1"/>
    <col min="20" max="20" width="18.42578125" customWidth="1"/>
    <col min="21" max="21" width="10.5703125" bestFit="1" customWidth="1"/>
    <col min="22" max="22" width="10.140625" bestFit="1" customWidth="1"/>
    <col min="26" max="26" width="10.5703125" bestFit="1" customWidth="1"/>
    <col min="30" max="30" width="18.85546875" bestFit="1" customWidth="1"/>
    <col min="31" max="31" width="11.7109375" bestFit="1" customWidth="1"/>
  </cols>
  <sheetData>
    <row r="1" spans="1:31" ht="18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</row>
    <row r="2" spans="1:31" ht="16.5" customHeight="1">
      <c r="A2" s="23" t="s">
        <v>1</v>
      </c>
      <c r="B2" s="23" t="s">
        <v>2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</row>
    <row r="3" spans="1:31">
      <c r="A3" s="68" t="s">
        <v>3</v>
      </c>
      <c r="B3" s="68"/>
      <c r="D3">
        <v>2</v>
      </c>
      <c r="E3" s="4" t="s">
        <v>4</v>
      </c>
      <c r="F3" s="5"/>
      <c r="G3" s="5"/>
      <c r="H3" s="5"/>
      <c r="I3" s="6"/>
      <c r="J3" s="7" t="s">
        <v>5</v>
      </c>
      <c r="K3" s="7" t="s">
        <v>6</v>
      </c>
      <c r="L3" s="7"/>
      <c r="M3" s="7" t="s">
        <v>7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31" ht="42.75">
      <c r="A4" s="10" t="s">
        <v>8</v>
      </c>
      <c r="B4" s="10" t="s">
        <v>45</v>
      </c>
      <c r="C4" s="10" t="s">
        <v>9</v>
      </c>
      <c r="D4" s="11" t="s">
        <v>46</v>
      </c>
      <c r="E4" s="10" t="s">
        <v>10</v>
      </c>
      <c r="F4" s="10" t="s">
        <v>11</v>
      </c>
      <c r="G4" s="12" t="s">
        <v>34</v>
      </c>
      <c r="H4" s="10" t="s">
        <v>12</v>
      </c>
      <c r="I4" s="10" t="s">
        <v>13</v>
      </c>
      <c r="J4" s="13" t="s">
        <v>14</v>
      </c>
      <c r="K4" s="13" t="s">
        <v>15</v>
      </c>
      <c r="L4" s="13" t="s">
        <v>16</v>
      </c>
      <c r="M4" s="14" t="s">
        <v>17</v>
      </c>
      <c r="N4" s="14" t="s">
        <v>18</v>
      </c>
      <c r="O4" s="14" t="s">
        <v>19</v>
      </c>
      <c r="P4" s="14" t="s">
        <v>20</v>
      </c>
      <c r="Q4" s="15" t="s">
        <v>21</v>
      </c>
      <c r="R4" s="14" t="s">
        <v>22</v>
      </c>
      <c r="S4" s="13" t="s">
        <v>23</v>
      </c>
      <c r="T4" s="13" t="s">
        <v>24</v>
      </c>
      <c r="U4" s="10" t="s">
        <v>25</v>
      </c>
      <c r="V4" s="10" t="s">
        <v>26</v>
      </c>
      <c r="W4" s="16" t="s">
        <v>27</v>
      </c>
      <c r="X4" s="16" t="s">
        <v>28</v>
      </c>
      <c r="Y4" s="16" t="s">
        <v>29</v>
      </c>
      <c r="Z4" s="16" t="s">
        <v>30</v>
      </c>
      <c r="AA4" s="16" t="s">
        <v>37</v>
      </c>
      <c r="AB4" s="16" t="s">
        <v>31</v>
      </c>
      <c r="AC4" s="17" t="s">
        <v>32</v>
      </c>
      <c r="AD4" s="10" t="s">
        <v>36</v>
      </c>
      <c r="AE4" s="10" t="s">
        <v>60</v>
      </c>
    </row>
    <row r="5" spans="1:31">
      <c r="A5" s="9">
        <v>1</v>
      </c>
      <c r="B5" s="27" t="s">
        <v>44</v>
      </c>
      <c r="C5" s="9">
        <v>0</v>
      </c>
      <c r="D5" s="27" t="s">
        <v>44</v>
      </c>
      <c r="E5" s="9" t="s">
        <v>33</v>
      </c>
      <c r="F5" s="9" t="s">
        <v>33</v>
      </c>
      <c r="G5" s="24">
        <v>2</v>
      </c>
      <c r="H5" s="9">
        <v>250.25</v>
      </c>
      <c r="I5" s="8">
        <v>500.5</v>
      </c>
      <c r="J5" s="25">
        <v>0</v>
      </c>
      <c r="K5" s="25">
        <v>0</v>
      </c>
      <c r="L5" s="25">
        <v>0</v>
      </c>
      <c r="M5" s="8">
        <v>500.5</v>
      </c>
      <c r="N5" s="8">
        <f>ROUND(J5*M5%,2)</f>
        <v>0</v>
      </c>
      <c r="O5" s="8">
        <f>I5-N5</f>
        <v>500.5</v>
      </c>
      <c r="P5" s="8">
        <f>ROUND(K5*O5%,2)</f>
        <v>0</v>
      </c>
      <c r="Q5" s="8">
        <f>O5-P5</f>
        <v>500.5</v>
      </c>
      <c r="R5" s="8">
        <f>ROUND(L5*Q5%,2)</f>
        <v>0</v>
      </c>
      <c r="S5" s="26">
        <f>N5+P5+R5</f>
        <v>0</v>
      </c>
      <c r="T5" s="26">
        <v>0</v>
      </c>
      <c r="U5" s="8">
        <f>(I5-S5)</f>
        <v>500.5</v>
      </c>
      <c r="V5" s="24">
        <v>88363222</v>
      </c>
      <c r="W5" s="18">
        <v>0.18</v>
      </c>
      <c r="X5" s="24">
        <f>IF($D$3=1,ROUND(((U5*W5)/2),2),0)</f>
        <v>0</v>
      </c>
      <c r="Y5" s="24">
        <f>IF($D$3=1,ROUND(((U5*W5)/2),2),0)</f>
        <v>0</v>
      </c>
      <c r="Z5" s="8">
        <f>IF($D$3=2,ROUND(((U5*W5)),2),0)</f>
        <v>90.09</v>
      </c>
      <c r="AA5" s="24">
        <v>0</v>
      </c>
      <c r="AB5" s="24">
        <f>X5+Y5+Z5</f>
        <v>90.09</v>
      </c>
      <c r="AC5" s="24">
        <f>U5+AB5</f>
        <v>590.59</v>
      </c>
      <c r="AD5" s="46" t="s">
        <v>42</v>
      </c>
      <c r="AE5" s="46" t="s">
        <v>61</v>
      </c>
    </row>
    <row r="6" spans="1:31" ht="16.5" customHeight="1">
      <c r="A6" s="9">
        <v>2</v>
      </c>
      <c r="B6" s="45" t="s">
        <v>51</v>
      </c>
      <c r="C6" s="9">
        <v>0</v>
      </c>
      <c r="D6" s="45" t="s">
        <v>50</v>
      </c>
      <c r="E6" s="9" t="s">
        <v>33</v>
      </c>
      <c r="F6" s="9" t="s">
        <v>33</v>
      </c>
      <c r="G6" s="24">
        <v>1</v>
      </c>
      <c r="H6" s="9">
        <v>3458</v>
      </c>
      <c r="I6" s="8">
        <v>3458</v>
      </c>
      <c r="J6" s="25">
        <v>0</v>
      </c>
      <c r="K6" s="25">
        <v>0</v>
      </c>
      <c r="L6" s="25">
        <v>0</v>
      </c>
      <c r="M6" s="8">
        <v>3458</v>
      </c>
      <c r="N6" s="8">
        <f t="shared" ref="N6:N7" si="0">ROUND(J6*M6%,2)</f>
        <v>0</v>
      </c>
      <c r="O6" s="8">
        <f t="shared" ref="O6:O7" si="1">I6-N6</f>
        <v>3458</v>
      </c>
      <c r="P6" s="8">
        <f t="shared" ref="P6:P7" si="2">ROUND(K6*O6%,2)</f>
        <v>0</v>
      </c>
      <c r="Q6" s="8">
        <f t="shared" ref="Q6:Q7" si="3">O6-P6</f>
        <v>3458</v>
      </c>
      <c r="R6" s="8">
        <f t="shared" ref="R6:R7" si="4">ROUND(L6*Q6%,2)</f>
        <v>0</v>
      </c>
      <c r="S6" s="26">
        <f t="shared" ref="S6:S7" si="5">N6+P6+R6</f>
        <v>0</v>
      </c>
      <c r="T6" s="26">
        <v>0</v>
      </c>
      <c r="U6" s="8">
        <f>(I6-S6)</f>
        <v>3458</v>
      </c>
      <c r="V6" s="24">
        <v>88363222</v>
      </c>
      <c r="W6" s="18">
        <v>0.18</v>
      </c>
      <c r="X6" s="24">
        <f>IF($D$3=1,ROUND(((U6*W6)/2),2),0)</f>
        <v>0</v>
      </c>
      <c r="Y6" s="24">
        <f>IF($D$3=1,ROUND(((U6*W6)/2),2),0)</f>
        <v>0</v>
      </c>
      <c r="Z6" s="8">
        <f t="shared" ref="Z6:Z7" si="6">IF($D$3=2,ROUND(((U6*W6)),2),0)</f>
        <v>622.44000000000005</v>
      </c>
      <c r="AA6" s="24">
        <v>0</v>
      </c>
      <c r="AB6" s="24">
        <f>X6+Y6+Z6</f>
        <v>622.44000000000005</v>
      </c>
      <c r="AC6" s="24">
        <f>U6+AB6</f>
        <v>4080.44</v>
      </c>
      <c r="AD6" s="46" t="s">
        <v>53</v>
      </c>
      <c r="AE6" s="46" t="s">
        <v>61</v>
      </c>
    </row>
    <row r="7" spans="1:31">
      <c r="A7" s="9">
        <v>3</v>
      </c>
      <c r="B7" s="27" t="s">
        <v>52</v>
      </c>
      <c r="C7" s="9">
        <v>0</v>
      </c>
      <c r="D7" s="27" t="s">
        <v>52</v>
      </c>
      <c r="E7" s="9" t="s">
        <v>33</v>
      </c>
      <c r="F7" s="9" t="s">
        <v>33</v>
      </c>
      <c r="G7" s="24">
        <v>3</v>
      </c>
      <c r="H7" s="9">
        <v>675</v>
      </c>
      <c r="I7" s="8">
        <v>2025</v>
      </c>
      <c r="J7" s="25">
        <v>0</v>
      </c>
      <c r="K7" s="25">
        <v>0</v>
      </c>
      <c r="L7" s="25">
        <v>0</v>
      </c>
      <c r="M7" s="8">
        <v>2025</v>
      </c>
      <c r="N7" s="8">
        <f t="shared" si="0"/>
        <v>0</v>
      </c>
      <c r="O7" s="8">
        <f t="shared" si="1"/>
        <v>2025</v>
      </c>
      <c r="P7" s="8">
        <f t="shared" si="2"/>
        <v>0</v>
      </c>
      <c r="Q7" s="8">
        <f t="shared" si="3"/>
        <v>2025</v>
      </c>
      <c r="R7" s="8">
        <f t="shared" si="4"/>
        <v>0</v>
      </c>
      <c r="S7" s="26">
        <f t="shared" si="5"/>
        <v>0</v>
      </c>
      <c r="T7" s="26">
        <v>0</v>
      </c>
      <c r="U7" s="8">
        <f>(I7-S7)</f>
        <v>2025</v>
      </c>
      <c r="V7" s="24">
        <v>88363222</v>
      </c>
      <c r="W7" s="18">
        <v>0.18</v>
      </c>
      <c r="X7" s="24">
        <f>IF($D$3=1,ROUND(((U7*W7)/2),2),0)</f>
        <v>0</v>
      </c>
      <c r="Y7" s="24">
        <f>IF($D$3=1,ROUND(((U7*W7)/2),2),0)</f>
        <v>0</v>
      </c>
      <c r="Z7" s="55">
        <f t="shared" si="6"/>
        <v>364.5</v>
      </c>
      <c r="AA7" s="24">
        <v>0</v>
      </c>
      <c r="AB7" s="24">
        <f>X7+Y7+Z7</f>
        <v>364.5</v>
      </c>
      <c r="AC7" s="24">
        <f>U7+AB7</f>
        <v>2389.5</v>
      </c>
      <c r="AD7" s="46" t="s">
        <v>54</v>
      </c>
      <c r="AE7" s="46" t="s">
        <v>61</v>
      </c>
    </row>
    <row r="8" spans="1:31">
      <c r="AE8" s="46"/>
    </row>
  </sheetData>
  <mergeCells count="2">
    <mergeCell ref="A1:AC1"/>
    <mergeCell ref="A3:B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8"/>
  <sheetViews>
    <sheetView workbookViewId="0">
      <selection sqref="A1:XFD1048576"/>
    </sheetView>
  </sheetViews>
  <sheetFormatPr defaultRowHeight="15"/>
  <cols>
    <col min="2" max="2" width="20.5703125" customWidth="1"/>
    <col min="4" max="4" width="29.140625" bestFit="1" customWidth="1"/>
    <col min="5" max="5" width="29.140625" customWidth="1"/>
    <col min="6" max="6" width="19.28515625" customWidth="1"/>
    <col min="7" max="7" width="16.28515625" customWidth="1"/>
    <col min="8" max="8" width="24.42578125" customWidth="1"/>
    <col min="9" max="9" width="20.28515625" customWidth="1"/>
    <col min="10" max="10" width="20" customWidth="1"/>
    <col min="14" max="14" width="13.85546875" bestFit="1" customWidth="1"/>
    <col min="16" max="16" width="13.7109375" customWidth="1"/>
    <col min="19" max="19" width="13" customWidth="1"/>
    <col min="20" max="20" width="14.42578125" customWidth="1"/>
    <col min="21" max="21" width="18.42578125" customWidth="1"/>
    <col min="22" max="22" width="10.5703125" bestFit="1" customWidth="1"/>
    <col min="23" max="23" width="10.140625" bestFit="1" customWidth="1"/>
    <col min="32" max="32" width="18.85546875" bestFit="1" customWidth="1"/>
    <col min="33" max="33" width="13.140625" customWidth="1"/>
  </cols>
  <sheetData>
    <row r="1" spans="1:33" ht="18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</row>
    <row r="2" spans="1:33" ht="18">
      <c r="A2" s="23" t="s">
        <v>1</v>
      </c>
      <c r="B2" s="23" t="s">
        <v>2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</row>
    <row r="3" spans="1:33" ht="15.75" thickBot="1">
      <c r="A3" s="68" t="s">
        <v>3</v>
      </c>
      <c r="B3" s="68"/>
      <c r="C3" s="44"/>
      <c r="D3" s="3">
        <v>2</v>
      </c>
      <c r="E3" s="3"/>
      <c r="F3" s="4" t="s">
        <v>4</v>
      </c>
      <c r="G3" s="5"/>
      <c r="H3" s="5"/>
      <c r="I3" s="5"/>
      <c r="J3" s="6"/>
      <c r="K3" s="7" t="s">
        <v>5</v>
      </c>
      <c r="L3" s="7" t="s">
        <v>6</v>
      </c>
      <c r="M3" s="7"/>
      <c r="N3" s="7" t="s">
        <v>7</v>
      </c>
      <c r="O3" s="7">
        <v>1</v>
      </c>
      <c r="P3" s="7"/>
      <c r="Q3" s="7"/>
      <c r="R3" s="7"/>
      <c r="S3" s="7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3" ht="43.5" thickTop="1">
      <c r="A4" s="10" t="s">
        <v>8</v>
      </c>
      <c r="B4" s="10" t="s">
        <v>45</v>
      </c>
      <c r="C4" s="10" t="s">
        <v>9</v>
      </c>
      <c r="D4" s="11" t="s">
        <v>46</v>
      </c>
      <c r="E4" s="11" t="s">
        <v>55</v>
      </c>
      <c r="F4" s="10" t="s">
        <v>10</v>
      </c>
      <c r="G4" s="10" t="s">
        <v>11</v>
      </c>
      <c r="H4" s="12" t="s">
        <v>34</v>
      </c>
      <c r="I4" s="10" t="s">
        <v>12</v>
      </c>
      <c r="J4" s="10" t="s">
        <v>13</v>
      </c>
      <c r="K4" s="13" t="s">
        <v>14</v>
      </c>
      <c r="L4" s="13" t="s">
        <v>15</v>
      </c>
      <c r="M4" s="13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5" t="s">
        <v>21</v>
      </c>
      <c r="S4" s="14" t="s">
        <v>22</v>
      </c>
      <c r="T4" s="13" t="s">
        <v>23</v>
      </c>
      <c r="U4" s="13" t="s">
        <v>24</v>
      </c>
      <c r="V4" s="10" t="s">
        <v>25</v>
      </c>
      <c r="W4" s="10" t="s">
        <v>26</v>
      </c>
      <c r="X4" s="16" t="s">
        <v>27</v>
      </c>
      <c r="Y4" s="16" t="s">
        <v>28</v>
      </c>
      <c r="Z4" s="16" t="s">
        <v>29</v>
      </c>
      <c r="AA4" s="16" t="s">
        <v>30</v>
      </c>
      <c r="AB4" s="16" t="s">
        <v>37</v>
      </c>
      <c r="AC4" s="16" t="s">
        <v>31</v>
      </c>
      <c r="AD4" s="17" t="s">
        <v>32</v>
      </c>
      <c r="AE4" s="51" t="s">
        <v>58</v>
      </c>
      <c r="AF4" s="10" t="s">
        <v>36</v>
      </c>
      <c r="AG4" s="10" t="s">
        <v>60</v>
      </c>
    </row>
    <row r="5" spans="1:33">
      <c r="A5" s="9">
        <v>1</v>
      </c>
      <c r="B5" s="27" t="s">
        <v>44</v>
      </c>
      <c r="C5" s="9">
        <v>0</v>
      </c>
      <c r="D5" s="27" t="s">
        <v>44</v>
      </c>
      <c r="E5" s="27"/>
      <c r="F5" s="9" t="s">
        <v>33</v>
      </c>
      <c r="G5" s="9" t="s">
        <v>33</v>
      </c>
      <c r="H5" s="24">
        <v>2</v>
      </c>
      <c r="I5" s="9">
        <v>250.25</v>
      </c>
      <c r="J5" s="8">
        <v>500.5</v>
      </c>
      <c r="K5" s="25">
        <v>0</v>
      </c>
      <c r="L5" s="25">
        <v>0</v>
      </c>
      <c r="M5" s="25">
        <v>0</v>
      </c>
      <c r="N5" s="8">
        <v>500.5</v>
      </c>
      <c r="O5" s="8">
        <f>ROUND(K5*N5%,2)</f>
        <v>0</v>
      </c>
      <c r="P5" s="8"/>
      <c r="Q5" s="8">
        <f>ROUND(L5*P5%,2)</f>
        <v>0</v>
      </c>
      <c r="R5" s="8">
        <f>P5-Q5</f>
        <v>0</v>
      </c>
      <c r="S5" s="8">
        <f>ROUND(M5*R5%,2)</f>
        <v>0</v>
      </c>
      <c r="T5" s="26">
        <f>O5+Q5+S5</f>
        <v>0</v>
      </c>
      <c r="U5" s="26">
        <v>0</v>
      </c>
      <c r="V5" s="8">
        <f>(J5-T5)</f>
        <v>500.5</v>
      </c>
      <c r="W5" s="24">
        <v>88363222</v>
      </c>
      <c r="X5" s="18">
        <v>0.18</v>
      </c>
      <c r="Y5" s="24">
        <f>IF($D$3=1,ROUND(((V5*X5)/2),2),0)</f>
        <v>0</v>
      </c>
      <c r="Z5" s="24">
        <f>IF($D$3=1,ROUND(((V5*X5)/2),2),0)</f>
        <v>0</v>
      </c>
      <c r="AA5" s="24">
        <f>IF($D$3=2,ROUND(((V5*X5)),2),0)</f>
        <v>90.09</v>
      </c>
      <c r="AB5" s="24">
        <v>0</v>
      </c>
      <c r="AC5" s="24">
        <f>Y5+Z5+AA5</f>
        <v>90.09</v>
      </c>
      <c r="AD5" s="24">
        <f>V5+AC5</f>
        <v>590.59</v>
      </c>
      <c r="AE5" s="52" t="s">
        <v>57</v>
      </c>
      <c r="AF5" s="46" t="s">
        <v>42</v>
      </c>
      <c r="AG5" s="46" t="s">
        <v>61</v>
      </c>
    </row>
    <row r="6" spans="1:33" ht="16.5" customHeight="1">
      <c r="A6" s="9">
        <v>2</v>
      </c>
      <c r="B6" s="45" t="s">
        <v>51</v>
      </c>
      <c r="C6" s="9">
        <v>0</v>
      </c>
      <c r="D6" s="45" t="s">
        <v>50</v>
      </c>
      <c r="E6" s="45"/>
      <c r="F6" s="9" t="s">
        <v>33</v>
      </c>
      <c r="G6" s="9" t="s">
        <v>33</v>
      </c>
      <c r="H6" s="24">
        <v>1</v>
      </c>
      <c r="I6" s="9">
        <v>3458</v>
      </c>
      <c r="J6" s="8">
        <v>3458</v>
      </c>
      <c r="K6" s="25">
        <v>0</v>
      </c>
      <c r="L6" s="25">
        <v>0</v>
      </c>
      <c r="M6" s="25">
        <v>0</v>
      </c>
      <c r="N6" s="8">
        <v>3458</v>
      </c>
      <c r="O6" s="8">
        <f t="shared" ref="O6:O8" si="0">ROUND(K6*N6%,2)</f>
        <v>0</v>
      </c>
      <c r="P6" s="8">
        <f t="shared" ref="P6:P8" si="1">J6-O6</f>
        <v>3458</v>
      </c>
      <c r="Q6" s="8">
        <f t="shared" ref="Q6:Q8" si="2">ROUND(L6*P6%,2)</f>
        <v>0</v>
      </c>
      <c r="R6" s="8">
        <f t="shared" ref="R6:R8" si="3">P6-Q6</f>
        <v>3458</v>
      </c>
      <c r="S6" s="8">
        <f t="shared" ref="S6:S8" si="4">ROUND(M6*R6%,2)</f>
        <v>0</v>
      </c>
      <c r="T6" s="26">
        <f t="shared" ref="T6:T8" si="5">O6+Q6+S6</f>
        <v>0</v>
      </c>
      <c r="U6" s="26">
        <v>0</v>
      </c>
      <c r="V6" s="8">
        <f>(J6-T6)</f>
        <v>3458</v>
      </c>
      <c r="W6" s="24">
        <v>88363222</v>
      </c>
      <c r="X6" s="18">
        <v>0.18</v>
      </c>
      <c r="Y6" s="24">
        <f>IF($D$3=1,ROUND(((V6*X6)/2),2),0)</f>
        <v>0</v>
      </c>
      <c r="Z6" s="24">
        <f>IF($D$3=1,ROUND(((V6*X6)/2),2),0)</f>
        <v>0</v>
      </c>
      <c r="AA6" s="24">
        <f>IF($D$3=2,ROUND(((V6*X6)),2),0)</f>
        <v>622.44000000000005</v>
      </c>
      <c r="AB6" s="24">
        <v>0</v>
      </c>
      <c r="AC6" s="24">
        <f>Y6+Z6+AA6</f>
        <v>622.44000000000005</v>
      </c>
      <c r="AD6" s="24">
        <f>V6+AC6</f>
        <v>4080.44</v>
      </c>
      <c r="AE6" s="53" t="s">
        <v>57</v>
      </c>
      <c r="AF6" s="46" t="s">
        <v>53</v>
      </c>
      <c r="AG6" s="46" t="s">
        <v>61</v>
      </c>
    </row>
    <row r="7" spans="1:33">
      <c r="A7" s="46">
        <v>4</v>
      </c>
      <c r="B7" s="46"/>
      <c r="C7" s="46"/>
      <c r="D7" s="46"/>
      <c r="E7" s="46" t="s">
        <v>56</v>
      </c>
      <c r="F7" s="47" t="s">
        <v>33</v>
      </c>
      <c r="G7" s="47" t="s">
        <v>33</v>
      </c>
      <c r="H7" s="48">
        <v>1</v>
      </c>
      <c r="I7" s="47">
        <v>609</v>
      </c>
      <c r="J7" s="49">
        <v>609</v>
      </c>
      <c r="K7" s="46">
        <v>0</v>
      </c>
      <c r="L7" s="46">
        <v>0</v>
      </c>
      <c r="M7" s="46">
        <v>0</v>
      </c>
      <c r="N7" s="50">
        <v>609</v>
      </c>
      <c r="O7" s="8">
        <f t="shared" ref="O7" si="6">ROUND(K7*N7%,2)</f>
        <v>0</v>
      </c>
      <c r="P7" s="8">
        <f t="shared" ref="P7" si="7">J7-O7</f>
        <v>609</v>
      </c>
      <c r="Q7" s="8">
        <f t="shared" ref="Q7" si="8">ROUND(L7*P7%,2)</f>
        <v>0</v>
      </c>
      <c r="R7" s="8">
        <f t="shared" ref="R7" si="9">P7-Q7</f>
        <v>609</v>
      </c>
      <c r="S7" s="8">
        <f t="shared" ref="S7" si="10">ROUND(M7*R7%,2)</f>
        <v>0</v>
      </c>
      <c r="T7" s="26">
        <f t="shared" ref="T7" si="11">O7+Q7+S7</f>
        <v>0</v>
      </c>
      <c r="U7" s="26">
        <v>0</v>
      </c>
      <c r="V7" s="8">
        <f>(J7-T7)</f>
        <v>609</v>
      </c>
      <c r="W7" s="24">
        <v>75052200</v>
      </c>
      <c r="X7" s="18">
        <v>0.18</v>
      </c>
      <c r="Y7" s="24">
        <f>IF($D$3=1,ROUND(((V7*X7)/2),2),0)</f>
        <v>0</v>
      </c>
      <c r="Z7" s="24">
        <f>IF($D$3=1,ROUND(((V7*X7)/2),2),0)</f>
        <v>0</v>
      </c>
      <c r="AA7" s="24">
        <f>IF($D$3=2,ROUND(((V7*X7)),2),0)</f>
        <v>109.62</v>
      </c>
      <c r="AB7" s="24">
        <v>0</v>
      </c>
      <c r="AC7" s="24">
        <f>Y7+Z7+AA7</f>
        <v>109.62</v>
      </c>
      <c r="AD7" s="24">
        <f>V7+AC7</f>
        <v>718.62</v>
      </c>
      <c r="AE7" s="52" t="s">
        <v>59</v>
      </c>
      <c r="AF7" s="46">
        <v>5050121000</v>
      </c>
      <c r="AG7" s="46" t="s">
        <v>61</v>
      </c>
    </row>
    <row r="8" spans="1:33">
      <c r="A8" s="9">
        <v>3</v>
      </c>
      <c r="B8" s="27" t="s">
        <v>52</v>
      </c>
      <c r="C8" s="9">
        <v>0</v>
      </c>
      <c r="D8" s="27" t="s">
        <v>52</v>
      </c>
      <c r="E8" s="27"/>
      <c r="F8" s="9" t="s">
        <v>33</v>
      </c>
      <c r="G8" s="9" t="s">
        <v>33</v>
      </c>
      <c r="H8" s="24">
        <v>3</v>
      </c>
      <c r="I8" s="9">
        <v>675</v>
      </c>
      <c r="J8" s="8">
        <v>2025</v>
      </c>
      <c r="K8" s="25">
        <v>0</v>
      </c>
      <c r="L8" s="25">
        <v>0</v>
      </c>
      <c r="M8" s="25">
        <v>0</v>
      </c>
      <c r="N8" s="8">
        <v>2025</v>
      </c>
      <c r="O8" s="8">
        <f t="shared" si="0"/>
        <v>0</v>
      </c>
      <c r="P8" s="8">
        <f t="shared" si="1"/>
        <v>2025</v>
      </c>
      <c r="Q8" s="8">
        <f t="shared" si="2"/>
        <v>0</v>
      </c>
      <c r="R8" s="8">
        <f t="shared" si="3"/>
        <v>2025</v>
      </c>
      <c r="S8" s="8">
        <f t="shared" si="4"/>
        <v>0</v>
      </c>
      <c r="T8" s="26">
        <f t="shared" si="5"/>
        <v>0</v>
      </c>
      <c r="U8" s="26">
        <v>0</v>
      </c>
      <c r="V8" s="8">
        <f>(J8-T8)</f>
        <v>2025</v>
      </c>
      <c r="W8" s="24">
        <v>88363222</v>
      </c>
      <c r="X8" s="18">
        <v>0.18</v>
      </c>
      <c r="Y8" s="24">
        <f>IF($D$3=1,ROUND(((V8*X8)/2),2),0)</f>
        <v>0</v>
      </c>
      <c r="Z8" s="24">
        <f>IF($D$3=1,ROUND(((V8*X8)/2),2),0)</f>
        <v>0</v>
      </c>
      <c r="AA8" s="24">
        <f>IF($D$3=2,ROUND(((V8*X8)),2),0)</f>
        <v>364.5</v>
      </c>
      <c r="AB8" s="24">
        <v>0</v>
      </c>
      <c r="AC8" s="24">
        <f>Y8+Z8+AA8</f>
        <v>364.5</v>
      </c>
      <c r="AD8" s="24">
        <f>V8+AC8</f>
        <v>2389.5</v>
      </c>
      <c r="AE8" s="53" t="s">
        <v>57</v>
      </c>
      <c r="AF8" s="46" t="s">
        <v>54</v>
      </c>
      <c r="AG8" s="46" t="s">
        <v>61</v>
      </c>
    </row>
  </sheetData>
  <mergeCells count="2">
    <mergeCell ref="A1:AD1"/>
    <mergeCell ref="A3:B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E8"/>
  <sheetViews>
    <sheetView workbookViewId="0">
      <selection activeCell="AE4" sqref="A4:AE4"/>
    </sheetView>
  </sheetViews>
  <sheetFormatPr defaultRowHeight="15"/>
  <cols>
    <col min="2" max="2" width="20.5703125" customWidth="1"/>
    <col min="3" max="3" width="13.42578125" bestFit="1" customWidth="1"/>
    <col min="4" max="4" width="29.140625" bestFit="1" customWidth="1"/>
    <col min="5" max="5" width="19.28515625" customWidth="1"/>
    <col min="6" max="6" width="16.28515625" customWidth="1"/>
    <col min="7" max="7" width="24.42578125" customWidth="1"/>
    <col min="8" max="8" width="20.28515625" customWidth="1"/>
    <col min="9" max="9" width="20" customWidth="1"/>
    <col min="13" max="13" width="13.85546875" bestFit="1" customWidth="1"/>
    <col min="15" max="15" width="13.7109375" customWidth="1"/>
    <col min="18" max="18" width="13" customWidth="1"/>
    <col min="19" max="19" width="14.42578125" customWidth="1"/>
    <col min="20" max="20" width="18.42578125" customWidth="1"/>
    <col min="21" max="21" width="10.5703125" bestFit="1" customWidth="1"/>
    <col min="22" max="22" width="10.140625" bestFit="1" customWidth="1"/>
    <col min="30" max="30" width="18.85546875" bestFit="1" customWidth="1"/>
    <col min="31" max="31" width="11.7109375" bestFit="1" customWidth="1"/>
  </cols>
  <sheetData>
    <row r="1" spans="1:31" ht="18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</row>
    <row r="2" spans="1:31" ht="16.5" customHeight="1">
      <c r="A2" s="23" t="s">
        <v>1</v>
      </c>
      <c r="B2" s="23" t="s">
        <v>2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</row>
    <row r="3" spans="1:31">
      <c r="A3" s="68" t="s">
        <v>3</v>
      </c>
      <c r="B3" s="68"/>
      <c r="D3">
        <v>2</v>
      </c>
      <c r="E3" s="4" t="s">
        <v>4</v>
      </c>
      <c r="F3" s="5"/>
      <c r="G3" s="5"/>
      <c r="H3" s="5"/>
      <c r="I3" s="6"/>
      <c r="J3" s="7" t="s">
        <v>5</v>
      </c>
      <c r="K3" s="7" t="s">
        <v>6</v>
      </c>
      <c r="L3" s="7"/>
      <c r="M3" s="7" t="s">
        <v>7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31" ht="42.75">
      <c r="A4" s="10" t="s">
        <v>8</v>
      </c>
      <c r="B4" s="10" t="s">
        <v>45</v>
      </c>
      <c r="C4" s="10" t="s">
        <v>9</v>
      </c>
      <c r="D4" s="11" t="s">
        <v>46</v>
      </c>
      <c r="E4" s="10" t="s">
        <v>10</v>
      </c>
      <c r="F4" s="10" t="s">
        <v>11</v>
      </c>
      <c r="G4" s="12" t="s">
        <v>34</v>
      </c>
      <c r="H4" s="10" t="s">
        <v>12</v>
      </c>
      <c r="I4" s="10" t="s">
        <v>13</v>
      </c>
      <c r="J4" s="13" t="s">
        <v>14</v>
      </c>
      <c r="K4" s="13" t="s">
        <v>15</v>
      </c>
      <c r="L4" s="13" t="s">
        <v>16</v>
      </c>
      <c r="M4" s="14" t="s">
        <v>17</v>
      </c>
      <c r="N4" s="14" t="s">
        <v>18</v>
      </c>
      <c r="O4" s="14" t="s">
        <v>19</v>
      </c>
      <c r="P4" s="14" t="s">
        <v>20</v>
      </c>
      <c r="Q4" s="15" t="s">
        <v>21</v>
      </c>
      <c r="R4" s="14" t="s">
        <v>22</v>
      </c>
      <c r="S4" s="13" t="s">
        <v>23</v>
      </c>
      <c r="T4" s="13" t="s">
        <v>24</v>
      </c>
      <c r="U4" s="10" t="s">
        <v>25</v>
      </c>
      <c r="V4" s="10" t="s">
        <v>26</v>
      </c>
      <c r="W4" s="16" t="s">
        <v>27</v>
      </c>
      <c r="X4" s="16" t="s">
        <v>28</v>
      </c>
      <c r="Y4" s="16" t="s">
        <v>29</v>
      </c>
      <c r="Z4" s="16" t="s">
        <v>30</v>
      </c>
      <c r="AA4" s="16" t="s">
        <v>37</v>
      </c>
      <c r="AB4" s="16" t="s">
        <v>31</v>
      </c>
      <c r="AC4" s="17" t="s">
        <v>32</v>
      </c>
      <c r="AD4" s="10" t="s">
        <v>36</v>
      </c>
      <c r="AE4" s="10" t="s">
        <v>60</v>
      </c>
    </row>
    <row r="5" spans="1:31">
      <c r="A5" s="9">
        <v>1</v>
      </c>
      <c r="B5" s="27" t="s">
        <v>44</v>
      </c>
      <c r="C5" s="9">
        <v>0</v>
      </c>
      <c r="D5" s="27" t="s">
        <v>44</v>
      </c>
      <c r="E5" s="9" t="s">
        <v>33</v>
      </c>
      <c r="F5" s="9" t="s">
        <v>33</v>
      </c>
      <c r="G5" s="24">
        <v>2</v>
      </c>
      <c r="H5" s="9">
        <v>250.25</v>
      </c>
      <c r="I5" s="8">
        <v>500.5</v>
      </c>
      <c r="J5" s="25">
        <v>0</v>
      </c>
      <c r="K5" s="25">
        <v>0</v>
      </c>
      <c r="L5" s="25">
        <v>0</v>
      </c>
      <c r="M5" s="8">
        <v>500.5</v>
      </c>
      <c r="N5" s="8">
        <f>ROUND(J5*M5%,2)</f>
        <v>0</v>
      </c>
      <c r="O5" s="8">
        <v>500.5</v>
      </c>
      <c r="P5" s="8">
        <f>ROUND(K5*O5%,2)</f>
        <v>0</v>
      </c>
      <c r="Q5" s="8">
        <f>O5-P5</f>
        <v>500.5</v>
      </c>
      <c r="R5" s="8">
        <f>ROUND(L5*Q5%,2)</f>
        <v>0</v>
      </c>
      <c r="S5" s="26">
        <f>N5+P5+R5</f>
        <v>0</v>
      </c>
      <c r="T5" s="26">
        <v>0</v>
      </c>
      <c r="U5" s="8">
        <f>(I5-S5)</f>
        <v>500.5</v>
      </c>
      <c r="V5" s="24">
        <v>88363222</v>
      </c>
      <c r="W5" s="18">
        <v>0.18</v>
      </c>
      <c r="X5" s="24">
        <f>IF($D$3=1,ROUND(((U5*W5)/2),2),0)</f>
        <v>0</v>
      </c>
      <c r="Y5" s="24">
        <f>IF($D$3=1,ROUND(((U5*W5)/2),2),0)</f>
        <v>0</v>
      </c>
      <c r="Z5" s="8">
        <f>IF($D$3=2,ROUND(((U5*W5)),2),0)</f>
        <v>90.09</v>
      </c>
      <c r="AA5" s="24">
        <v>0</v>
      </c>
      <c r="AB5" s="24">
        <f>X5+Y5+Z5</f>
        <v>90.09</v>
      </c>
      <c r="AC5" s="24">
        <f>U5+AB5</f>
        <v>590.59</v>
      </c>
      <c r="AD5" s="46" t="s">
        <v>42</v>
      </c>
      <c r="AE5" s="46" t="s">
        <v>61</v>
      </c>
    </row>
    <row r="6" spans="1:31" ht="16.5" customHeight="1">
      <c r="A6" s="9">
        <v>2</v>
      </c>
      <c r="B6" s="45" t="s">
        <v>51</v>
      </c>
      <c r="C6" s="9">
        <v>0</v>
      </c>
      <c r="D6" s="45" t="s">
        <v>50</v>
      </c>
      <c r="E6" s="9" t="s">
        <v>33</v>
      </c>
      <c r="F6" s="9" t="s">
        <v>33</v>
      </c>
      <c r="G6" s="24">
        <v>1</v>
      </c>
      <c r="H6" s="9">
        <v>3458</v>
      </c>
      <c r="I6" s="8">
        <v>3458</v>
      </c>
      <c r="J6" s="25">
        <v>0</v>
      </c>
      <c r="K6" s="25">
        <v>0</v>
      </c>
      <c r="L6" s="25">
        <v>0</v>
      </c>
      <c r="M6" s="8">
        <v>3458</v>
      </c>
      <c r="N6" s="8">
        <f t="shared" ref="N6:N7" si="0">ROUND(J6*M6%,2)</f>
        <v>0</v>
      </c>
      <c r="O6" s="8">
        <f t="shared" ref="O6:O7" si="1">I6-N6</f>
        <v>3458</v>
      </c>
      <c r="P6" s="8">
        <f t="shared" ref="P6:P7" si="2">ROUND(K6*O6%,2)</f>
        <v>0</v>
      </c>
      <c r="Q6" s="8">
        <f t="shared" ref="Q6:Q7" si="3">O6-P6</f>
        <v>3458</v>
      </c>
      <c r="R6" s="8">
        <f t="shared" ref="R6:R7" si="4">ROUND(L6*Q6%,2)</f>
        <v>0</v>
      </c>
      <c r="S6" s="26">
        <f t="shared" ref="S6:S7" si="5">N6+P6+R6</f>
        <v>0</v>
      </c>
      <c r="T6" s="26">
        <v>0</v>
      </c>
      <c r="U6" s="8">
        <f>(I6-S6)</f>
        <v>3458</v>
      </c>
      <c r="V6" s="24">
        <v>88363222</v>
      </c>
      <c r="W6" s="18">
        <v>0.18</v>
      </c>
      <c r="X6" s="24">
        <f>IF($D$3=1,ROUND(((U6*W6)/2),2),0)</f>
        <v>0</v>
      </c>
      <c r="Y6" s="24">
        <f>IF($D$3=1,ROUND(((U6*W6)/2),2),0)</f>
        <v>0</v>
      </c>
      <c r="Z6" s="8">
        <f t="shared" ref="Z6:Z7" si="6">IF($D$3=2,ROUND(((U6*W6)),2),0)</f>
        <v>622.44000000000005</v>
      </c>
      <c r="AA6" s="24">
        <v>0</v>
      </c>
      <c r="AB6" s="24">
        <f>X6+Y6+Z6</f>
        <v>622.44000000000005</v>
      </c>
      <c r="AC6" s="24">
        <f>U6+AB6</f>
        <v>4080.44</v>
      </c>
      <c r="AD6" s="46" t="s">
        <v>53</v>
      </c>
      <c r="AE6" s="46" t="s">
        <v>61</v>
      </c>
    </row>
    <row r="7" spans="1:31">
      <c r="A7" s="9">
        <v>3</v>
      </c>
      <c r="B7" s="27" t="s">
        <v>52</v>
      </c>
      <c r="C7" s="9">
        <v>0</v>
      </c>
      <c r="D7" s="27" t="s">
        <v>52</v>
      </c>
      <c r="E7" s="9" t="s">
        <v>33</v>
      </c>
      <c r="F7" s="9" t="s">
        <v>33</v>
      </c>
      <c r="G7" s="24">
        <v>3</v>
      </c>
      <c r="H7" s="9">
        <v>675</v>
      </c>
      <c r="I7" s="8">
        <v>2025</v>
      </c>
      <c r="J7" s="25">
        <v>0</v>
      </c>
      <c r="K7" s="25">
        <v>0</v>
      </c>
      <c r="L7" s="25">
        <v>0</v>
      </c>
      <c r="M7" s="8">
        <v>2025</v>
      </c>
      <c r="N7" s="8">
        <f t="shared" si="0"/>
        <v>0</v>
      </c>
      <c r="O7" s="8">
        <f t="shared" si="1"/>
        <v>2025</v>
      </c>
      <c r="P7" s="8">
        <f t="shared" si="2"/>
        <v>0</v>
      </c>
      <c r="Q7" s="8">
        <f t="shared" si="3"/>
        <v>2025</v>
      </c>
      <c r="R7" s="8">
        <f t="shared" si="4"/>
        <v>0</v>
      </c>
      <c r="S7" s="26">
        <f t="shared" si="5"/>
        <v>0</v>
      </c>
      <c r="T7" s="26">
        <v>0</v>
      </c>
      <c r="U7" s="8">
        <f>(I7-S7)</f>
        <v>2025</v>
      </c>
      <c r="V7" s="24">
        <v>88363222</v>
      </c>
      <c r="W7" s="18">
        <v>0.18</v>
      </c>
      <c r="X7" s="24">
        <f>IF($D$3=1,ROUND(((U7*W7)/2),2),0)</f>
        <v>0</v>
      </c>
      <c r="Y7" s="24">
        <f>IF($D$3=1,ROUND(((U7*W7)/2),2),0)</f>
        <v>0</v>
      </c>
      <c r="Z7" s="8">
        <f t="shared" si="6"/>
        <v>364.5</v>
      </c>
      <c r="AA7" s="24">
        <v>0</v>
      </c>
      <c r="AB7" s="24">
        <f>X7+Y7+Z7</f>
        <v>364.5</v>
      </c>
      <c r="AC7" s="24">
        <f>U7+AB7</f>
        <v>2389.5</v>
      </c>
      <c r="AD7" s="46" t="s">
        <v>54</v>
      </c>
      <c r="AE7" s="46" t="s">
        <v>61</v>
      </c>
    </row>
    <row r="8" spans="1:31">
      <c r="AE8" s="46"/>
    </row>
  </sheetData>
  <mergeCells count="2">
    <mergeCell ref="A1:AC1"/>
    <mergeCell ref="A3:B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C6"/>
  <sheetViews>
    <sheetView topLeftCell="M1" workbookViewId="0">
      <selection activeCell="O5" sqref="O5"/>
    </sheetView>
  </sheetViews>
  <sheetFormatPr defaultRowHeight="15"/>
  <cols>
    <col min="2" max="2" width="20.5703125" customWidth="1"/>
    <col min="4" max="4" width="29.140625" bestFit="1" customWidth="1"/>
    <col min="5" max="5" width="19.28515625" customWidth="1"/>
    <col min="6" max="6" width="16.28515625" customWidth="1"/>
    <col min="7" max="7" width="24.42578125" customWidth="1"/>
    <col min="8" max="8" width="20.28515625" customWidth="1"/>
    <col min="9" max="9" width="20" customWidth="1"/>
    <col min="13" max="13" width="13.85546875" bestFit="1" customWidth="1"/>
    <col min="15" max="15" width="13.7109375" customWidth="1"/>
    <col min="18" max="18" width="13" customWidth="1"/>
    <col min="19" max="19" width="14.42578125" customWidth="1"/>
    <col min="20" max="20" width="18.42578125" customWidth="1"/>
    <col min="21" max="21" width="10.5703125" bestFit="1" customWidth="1"/>
    <col min="22" max="22" width="10.140625" bestFit="1" customWidth="1"/>
    <col min="24" max="24" width="9.42578125" bestFit="1" customWidth="1"/>
    <col min="25" max="25" width="10" bestFit="1" customWidth="1"/>
  </cols>
  <sheetData>
    <row r="1" spans="1:29" ht="18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</row>
    <row r="2" spans="1:29" ht="18">
      <c r="A2" s="23" t="s">
        <v>1</v>
      </c>
      <c r="B2" s="23" t="s">
        <v>2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</row>
    <row r="3" spans="1:29">
      <c r="A3" s="68" t="s">
        <v>3</v>
      </c>
      <c r="B3" s="68"/>
      <c r="C3" s="57"/>
      <c r="D3" s="3">
        <v>2</v>
      </c>
      <c r="E3" s="4" t="s">
        <v>4</v>
      </c>
      <c r="F3" s="5"/>
      <c r="G3" s="5"/>
      <c r="H3" s="5"/>
      <c r="I3" s="6"/>
      <c r="J3" s="7" t="s">
        <v>5</v>
      </c>
      <c r="K3" s="7" t="s">
        <v>6</v>
      </c>
      <c r="L3" s="7"/>
      <c r="M3" s="7" t="s">
        <v>7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ht="42.75">
      <c r="A4" s="10" t="s">
        <v>8</v>
      </c>
      <c r="B4" s="10" t="s">
        <v>36</v>
      </c>
      <c r="C4" s="10" t="s">
        <v>9</v>
      </c>
      <c r="D4" s="11" t="s">
        <v>35</v>
      </c>
      <c r="E4" s="10" t="s">
        <v>10</v>
      </c>
      <c r="F4" s="10" t="s">
        <v>11</v>
      </c>
      <c r="G4" s="12" t="s">
        <v>34</v>
      </c>
      <c r="H4" s="10" t="s">
        <v>12</v>
      </c>
      <c r="I4" s="10" t="s">
        <v>13</v>
      </c>
      <c r="J4" s="13" t="s">
        <v>14</v>
      </c>
      <c r="K4" s="13" t="s">
        <v>15</v>
      </c>
      <c r="L4" s="13" t="s">
        <v>16</v>
      </c>
      <c r="M4" s="14" t="s">
        <v>17</v>
      </c>
      <c r="N4" s="14" t="s">
        <v>18</v>
      </c>
      <c r="O4" s="14" t="s">
        <v>19</v>
      </c>
      <c r="P4" s="14" t="s">
        <v>20</v>
      </c>
      <c r="Q4" s="15" t="s">
        <v>21</v>
      </c>
      <c r="R4" s="14" t="s">
        <v>22</v>
      </c>
      <c r="S4" s="13" t="s">
        <v>23</v>
      </c>
      <c r="T4" s="13" t="s">
        <v>24</v>
      </c>
      <c r="U4" s="10" t="s">
        <v>25</v>
      </c>
      <c r="V4" s="10" t="s">
        <v>26</v>
      </c>
      <c r="W4" s="16" t="s">
        <v>27</v>
      </c>
      <c r="X4" s="16" t="s">
        <v>28</v>
      </c>
      <c r="Y4" s="16" t="s">
        <v>29</v>
      </c>
      <c r="Z4" s="16" t="s">
        <v>30</v>
      </c>
      <c r="AA4" s="16" t="s">
        <v>37</v>
      </c>
      <c r="AB4" s="16" t="s">
        <v>31</v>
      </c>
      <c r="AC4" s="17" t="s">
        <v>32</v>
      </c>
    </row>
    <row r="5" spans="1:29">
      <c r="A5" s="9">
        <v>1</v>
      </c>
      <c r="B5" s="27" t="s">
        <v>41</v>
      </c>
      <c r="C5" s="9">
        <v>0</v>
      </c>
      <c r="D5" s="27" t="s">
        <v>42</v>
      </c>
      <c r="E5" s="9" t="s">
        <v>33</v>
      </c>
      <c r="F5" s="9" t="s">
        <v>33</v>
      </c>
      <c r="G5" s="24">
        <v>1</v>
      </c>
      <c r="H5" s="9">
        <v>2255</v>
      </c>
      <c r="I5" s="8">
        <v>2255</v>
      </c>
      <c r="J5" s="25"/>
      <c r="K5" s="25"/>
      <c r="L5" s="25"/>
      <c r="M5" s="8">
        <v>2255</v>
      </c>
      <c r="N5" s="8">
        <v>0</v>
      </c>
      <c r="O5" s="8">
        <v>2255</v>
      </c>
      <c r="P5" s="8">
        <v>0</v>
      </c>
      <c r="Q5" s="8">
        <v>2255</v>
      </c>
      <c r="R5" s="8">
        <v>0</v>
      </c>
      <c r="S5" s="26">
        <v>0</v>
      </c>
      <c r="T5" s="26">
        <v>0</v>
      </c>
      <c r="U5" s="8">
        <f>(I5-S5)</f>
        <v>2255</v>
      </c>
      <c r="V5" s="24">
        <v>88363222</v>
      </c>
      <c r="W5" s="18">
        <v>0.18</v>
      </c>
      <c r="X5" s="24">
        <f>IF($D$3=1,ROUND(((U5*W5)/2),2),0)</f>
        <v>0</v>
      </c>
      <c r="Y5" s="31">
        <f>IF($D$3=1,ROUND(((U5*W5)/2),2),0)</f>
        <v>0</v>
      </c>
      <c r="Z5" s="24">
        <f>IF($D$3=2,ROUND(((U5*W5)),2),0)</f>
        <v>405.9</v>
      </c>
      <c r="AA5" s="24">
        <v>0</v>
      </c>
      <c r="AB5" s="24">
        <f>X5+Y5+Z5</f>
        <v>405.9</v>
      </c>
      <c r="AC5" s="24">
        <f>U5</f>
        <v>2255</v>
      </c>
    </row>
    <row r="6" spans="1:29">
      <c r="A6" s="19"/>
      <c r="B6" s="19"/>
      <c r="C6" s="19"/>
      <c r="D6" s="19"/>
      <c r="E6" s="19"/>
      <c r="F6" s="19"/>
      <c r="G6" s="20"/>
      <c r="H6" s="21"/>
      <c r="I6" s="21"/>
      <c r="J6" s="22"/>
      <c r="K6" s="22"/>
      <c r="L6" s="22"/>
      <c r="M6" s="21"/>
      <c r="N6" s="21"/>
      <c r="O6" s="21"/>
      <c r="P6" s="21"/>
      <c r="Q6" s="21"/>
      <c r="R6" s="21"/>
      <c r="S6" s="21"/>
      <c r="T6" s="21"/>
      <c r="U6" s="21"/>
      <c r="V6" s="21"/>
      <c r="W6" s="22"/>
      <c r="X6" s="21"/>
      <c r="Y6" s="21"/>
      <c r="Z6" s="21"/>
      <c r="AA6" s="21"/>
      <c r="AB6" s="21"/>
      <c r="AC6" s="21"/>
    </row>
  </sheetData>
  <mergeCells count="2">
    <mergeCell ref="A1:AC1"/>
    <mergeCell ref="A3:B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C6"/>
  <sheetViews>
    <sheetView topLeftCell="O1" workbookViewId="0">
      <selection activeCell="S9" sqref="S9"/>
    </sheetView>
  </sheetViews>
  <sheetFormatPr defaultRowHeight="15"/>
  <cols>
    <col min="2" max="2" width="20.5703125" customWidth="1"/>
    <col min="4" max="4" width="29.140625" bestFit="1" customWidth="1"/>
    <col min="5" max="5" width="19.28515625" customWidth="1"/>
    <col min="6" max="6" width="16.28515625" customWidth="1"/>
    <col min="7" max="7" width="24.42578125" customWidth="1"/>
    <col min="8" max="8" width="20.28515625" customWidth="1"/>
    <col min="9" max="9" width="20" customWidth="1"/>
    <col min="13" max="13" width="13.85546875" bestFit="1" customWidth="1"/>
    <col min="15" max="15" width="13.7109375" customWidth="1"/>
    <col min="18" max="18" width="13" customWidth="1"/>
    <col min="19" max="19" width="14.42578125" customWidth="1"/>
    <col min="20" max="20" width="18.42578125" customWidth="1"/>
    <col min="21" max="21" width="10.5703125" bestFit="1" customWidth="1"/>
    <col min="22" max="22" width="10.140625" bestFit="1" customWidth="1"/>
  </cols>
  <sheetData>
    <row r="1" spans="1:29" ht="18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</row>
    <row r="2" spans="1:29" ht="18">
      <c r="A2" s="23" t="s">
        <v>1</v>
      </c>
      <c r="B2" s="23" t="s">
        <v>2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</row>
    <row r="3" spans="1:29">
      <c r="A3" s="68" t="s">
        <v>3</v>
      </c>
      <c r="B3" s="68"/>
      <c r="C3" s="59"/>
      <c r="D3" s="3">
        <v>4</v>
      </c>
      <c r="E3" s="4" t="s">
        <v>38</v>
      </c>
      <c r="F3" s="5"/>
      <c r="G3" s="5"/>
      <c r="H3" s="5"/>
      <c r="I3" s="6"/>
      <c r="J3" s="7" t="s">
        <v>5</v>
      </c>
      <c r="K3" s="7" t="s">
        <v>6</v>
      </c>
      <c r="L3" s="7"/>
      <c r="M3" s="7" t="s">
        <v>7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ht="42.75">
      <c r="A4" s="10" t="s">
        <v>8</v>
      </c>
      <c r="B4" s="10" t="s">
        <v>36</v>
      </c>
      <c r="C4" s="10" t="s">
        <v>9</v>
      </c>
      <c r="D4" s="11" t="s">
        <v>35</v>
      </c>
      <c r="E4" s="10" t="s">
        <v>10</v>
      </c>
      <c r="F4" s="10" t="s">
        <v>11</v>
      </c>
      <c r="G4" s="12" t="s">
        <v>34</v>
      </c>
      <c r="H4" s="10" t="s">
        <v>12</v>
      </c>
      <c r="I4" s="10" t="s">
        <v>13</v>
      </c>
      <c r="J4" s="13" t="s">
        <v>14</v>
      </c>
      <c r="K4" s="13" t="s">
        <v>15</v>
      </c>
      <c r="L4" s="13" t="s">
        <v>16</v>
      </c>
      <c r="M4" s="14" t="s">
        <v>17</v>
      </c>
      <c r="N4" s="14" t="s">
        <v>18</v>
      </c>
      <c r="O4" s="14" t="s">
        <v>19</v>
      </c>
      <c r="P4" s="14" t="s">
        <v>20</v>
      </c>
      <c r="Q4" s="15" t="s">
        <v>21</v>
      </c>
      <c r="R4" s="14" t="s">
        <v>22</v>
      </c>
      <c r="S4" s="13" t="s">
        <v>23</v>
      </c>
      <c r="T4" s="13" t="s">
        <v>24</v>
      </c>
      <c r="U4" s="10" t="s">
        <v>25</v>
      </c>
      <c r="V4" s="10" t="s">
        <v>26</v>
      </c>
      <c r="W4" s="16" t="s">
        <v>27</v>
      </c>
      <c r="X4" s="16" t="s">
        <v>28</v>
      </c>
      <c r="Y4" s="16" t="s">
        <v>29</v>
      </c>
      <c r="Z4" s="16" t="s">
        <v>30</v>
      </c>
      <c r="AA4" s="16" t="s">
        <v>37</v>
      </c>
      <c r="AB4" s="16" t="s">
        <v>31</v>
      </c>
      <c r="AC4" s="17" t="s">
        <v>32</v>
      </c>
    </row>
    <row r="5" spans="1:29">
      <c r="A5" s="9">
        <v>1</v>
      </c>
      <c r="B5" s="27" t="s">
        <v>41</v>
      </c>
      <c r="C5" s="9">
        <v>0</v>
      </c>
      <c r="D5" s="27" t="s">
        <v>42</v>
      </c>
      <c r="E5" s="9" t="s">
        <v>33</v>
      </c>
      <c r="F5" s="9" t="s">
        <v>33</v>
      </c>
      <c r="G5" s="24">
        <v>1</v>
      </c>
      <c r="H5" s="9">
        <v>2255</v>
      </c>
      <c r="I5" s="8">
        <v>2255</v>
      </c>
      <c r="J5" s="25"/>
      <c r="K5" s="25"/>
      <c r="L5" s="25"/>
      <c r="M5" s="8">
        <v>2255</v>
      </c>
      <c r="N5" s="8">
        <v>0</v>
      </c>
      <c r="O5" s="8">
        <v>2255</v>
      </c>
      <c r="P5" s="8">
        <v>0</v>
      </c>
      <c r="Q5" s="8">
        <v>2255</v>
      </c>
      <c r="R5" s="8">
        <v>0</v>
      </c>
      <c r="S5" s="26">
        <v>0</v>
      </c>
      <c r="T5" s="26">
        <v>0</v>
      </c>
      <c r="U5" s="8">
        <f>(I5-S5)</f>
        <v>2255</v>
      </c>
      <c r="V5" s="24">
        <v>88363222</v>
      </c>
      <c r="W5" s="18">
        <v>0.18</v>
      </c>
      <c r="X5" s="24">
        <v>203</v>
      </c>
      <c r="Y5" s="24">
        <f>IF($D$3=1,ROUND(((U5*W5)/2),2),0)</f>
        <v>0</v>
      </c>
      <c r="Z5" s="24">
        <f>IF($D$3=2,ROUND(((U5*W5)),2),0)</f>
        <v>0</v>
      </c>
      <c r="AA5" s="24">
        <v>203</v>
      </c>
      <c r="AB5" s="24">
        <f>X5+Y5+Z5+AA5</f>
        <v>406</v>
      </c>
      <c r="AC5" s="24">
        <f>U5</f>
        <v>2255</v>
      </c>
    </row>
    <row r="6" spans="1:29">
      <c r="A6" s="19"/>
      <c r="B6" s="19"/>
      <c r="C6" s="19"/>
      <c r="D6" s="19"/>
      <c r="E6" s="19"/>
      <c r="F6" s="19"/>
      <c r="G6" s="20"/>
      <c r="H6" s="21"/>
      <c r="I6" s="21"/>
      <c r="J6" s="22"/>
      <c r="K6" s="22"/>
      <c r="L6" s="22"/>
      <c r="M6" s="21"/>
      <c r="N6" s="21"/>
      <c r="O6" s="21"/>
      <c r="P6" s="21"/>
      <c r="Q6" s="21"/>
      <c r="R6" s="21"/>
      <c r="S6" s="21"/>
      <c r="T6" s="21"/>
      <c r="U6" s="21"/>
      <c r="V6" s="21"/>
      <c r="W6" s="22"/>
      <c r="X6" s="21"/>
      <c r="Y6" s="21"/>
      <c r="Z6" s="21"/>
      <c r="AA6" s="21"/>
      <c r="AB6" s="21"/>
      <c r="AC6" s="21"/>
    </row>
  </sheetData>
  <mergeCells count="2">
    <mergeCell ref="A1:AC1"/>
    <mergeCell ref="A3:B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G8"/>
  <sheetViews>
    <sheetView topLeftCell="V1" workbookViewId="0">
      <selection activeCell="AF7" sqref="AF7"/>
    </sheetView>
  </sheetViews>
  <sheetFormatPr defaultRowHeight="15"/>
  <cols>
    <col min="2" max="2" width="20.5703125" customWidth="1"/>
    <col min="4" max="4" width="29.140625" bestFit="1" customWidth="1"/>
    <col min="5" max="5" width="29.140625" customWidth="1"/>
    <col min="6" max="6" width="19.28515625" customWidth="1"/>
    <col min="7" max="7" width="16.28515625" customWidth="1"/>
    <col min="8" max="8" width="24.42578125" customWidth="1"/>
    <col min="9" max="9" width="20.28515625" customWidth="1"/>
    <col min="10" max="10" width="20" customWidth="1"/>
    <col min="14" max="14" width="13.85546875" bestFit="1" customWidth="1"/>
    <col min="16" max="16" width="13.7109375" customWidth="1"/>
    <col min="19" max="19" width="13" customWidth="1"/>
    <col min="20" max="20" width="14.42578125" customWidth="1"/>
    <col min="21" max="21" width="18.42578125" customWidth="1"/>
    <col min="22" max="22" width="10.5703125" bestFit="1" customWidth="1"/>
    <col min="23" max="23" width="10.140625" bestFit="1" customWidth="1"/>
    <col min="32" max="32" width="18.85546875" bestFit="1" customWidth="1"/>
    <col min="33" max="33" width="13.140625" customWidth="1"/>
  </cols>
  <sheetData>
    <row r="1" spans="1:33" ht="18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</row>
    <row r="2" spans="1:33" ht="18">
      <c r="A2" s="23" t="s">
        <v>1</v>
      </c>
      <c r="B2" s="23" t="s">
        <v>2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</row>
    <row r="3" spans="1:33" ht="15.75" thickBot="1">
      <c r="A3" s="68" t="s">
        <v>3</v>
      </c>
      <c r="B3" s="68"/>
      <c r="C3" s="61"/>
      <c r="D3" s="3">
        <v>2</v>
      </c>
      <c r="E3" s="3"/>
      <c r="F3" s="4" t="s">
        <v>4</v>
      </c>
      <c r="G3" s="5"/>
      <c r="H3" s="5"/>
      <c r="I3" s="5"/>
      <c r="J3" s="6"/>
      <c r="K3" s="7" t="s">
        <v>5</v>
      </c>
      <c r="L3" s="7" t="s">
        <v>6</v>
      </c>
      <c r="M3" s="7"/>
      <c r="N3" s="7" t="s">
        <v>7</v>
      </c>
      <c r="O3" s="7">
        <v>1</v>
      </c>
      <c r="P3" s="7"/>
      <c r="Q3" s="7"/>
      <c r="R3" s="7"/>
      <c r="S3" s="7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3" ht="43.5" thickTop="1">
      <c r="A4" s="10" t="s">
        <v>8</v>
      </c>
      <c r="B4" s="10" t="s">
        <v>45</v>
      </c>
      <c r="C4" s="10" t="s">
        <v>9</v>
      </c>
      <c r="D4" s="11" t="s">
        <v>46</v>
      </c>
      <c r="E4" s="11" t="s">
        <v>55</v>
      </c>
      <c r="F4" s="10" t="s">
        <v>10</v>
      </c>
      <c r="G4" s="10" t="s">
        <v>11</v>
      </c>
      <c r="H4" s="12" t="s">
        <v>34</v>
      </c>
      <c r="I4" s="10" t="s">
        <v>12</v>
      </c>
      <c r="J4" s="10" t="s">
        <v>13</v>
      </c>
      <c r="K4" s="13" t="s">
        <v>14</v>
      </c>
      <c r="L4" s="13" t="s">
        <v>15</v>
      </c>
      <c r="M4" s="13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5" t="s">
        <v>21</v>
      </c>
      <c r="S4" s="14" t="s">
        <v>22</v>
      </c>
      <c r="T4" s="13" t="s">
        <v>23</v>
      </c>
      <c r="U4" s="13" t="s">
        <v>24</v>
      </c>
      <c r="V4" s="10" t="s">
        <v>25</v>
      </c>
      <c r="W4" s="10" t="s">
        <v>26</v>
      </c>
      <c r="X4" s="16" t="s">
        <v>27</v>
      </c>
      <c r="Y4" s="16" t="s">
        <v>28</v>
      </c>
      <c r="Z4" s="16" t="s">
        <v>29</v>
      </c>
      <c r="AA4" s="16" t="s">
        <v>30</v>
      </c>
      <c r="AB4" s="16" t="s">
        <v>37</v>
      </c>
      <c r="AC4" s="16" t="s">
        <v>31</v>
      </c>
      <c r="AD4" s="17" t="s">
        <v>32</v>
      </c>
      <c r="AE4" s="51" t="s">
        <v>58</v>
      </c>
      <c r="AF4" s="10" t="s">
        <v>36</v>
      </c>
      <c r="AG4" s="10" t="s">
        <v>60</v>
      </c>
    </row>
    <row r="5" spans="1:33">
      <c r="A5" s="9">
        <v>1</v>
      </c>
      <c r="B5" s="27" t="s">
        <v>44</v>
      </c>
      <c r="C5" s="9">
        <v>0</v>
      </c>
      <c r="D5" s="27" t="s">
        <v>44</v>
      </c>
      <c r="E5" s="27"/>
      <c r="F5" s="9" t="s">
        <v>33</v>
      </c>
      <c r="G5" s="9" t="s">
        <v>33</v>
      </c>
      <c r="H5" s="24">
        <v>2</v>
      </c>
      <c r="I5" s="9">
        <v>250.25</v>
      </c>
      <c r="J5" s="8">
        <v>500.5</v>
      </c>
      <c r="K5" s="25">
        <v>0</v>
      </c>
      <c r="L5" s="25">
        <v>0</v>
      </c>
      <c r="M5" s="25">
        <v>0</v>
      </c>
      <c r="N5" s="8">
        <v>500.5</v>
      </c>
      <c r="O5" s="8">
        <f>ROUND(K5*N5%,2)</f>
        <v>0</v>
      </c>
      <c r="P5" s="8">
        <v>500.5</v>
      </c>
      <c r="Q5" s="8">
        <f>ROUND(L5*P5%,2)</f>
        <v>0</v>
      </c>
      <c r="R5" s="8">
        <f>P5-Q5</f>
        <v>500.5</v>
      </c>
      <c r="S5" s="8">
        <f>ROUND(M5*R5%,2)</f>
        <v>0</v>
      </c>
      <c r="T5" s="26">
        <f>O5+Q5+S5</f>
        <v>0</v>
      </c>
      <c r="U5" s="26">
        <v>0</v>
      </c>
      <c r="V5" s="8">
        <f>(J5-T5)</f>
        <v>500.5</v>
      </c>
      <c r="W5" s="24">
        <v>88363222</v>
      </c>
      <c r="X5" s="18">
        <v>0.18</v>
      </c>
      <c r="Y5" s="24">
        <f>IF($D$3=1,ROUND(((V5*X5)/2),2),0)</f>
        <v>0</v>
      </c>
      <c r="Z5" s="24">
        <f>IF($D$3=1,ROUND(((V5*X5)/2),2),0)</f>
        <v>0</v>
      </c>
      <c r="AA5" s="24">
        <f>IF($D$3=2,ROUND(((V5*X5)),2),0)</f>
        <v>90.09</v>
      </c>
      <c r="AB5" s="24">
        <v>0</v>
      </c>
      <c r="AC5" s="24">
        <f>Y5+Z5+AA5</f>
        <v>90.09</v>
      </c>
      <c r="AD5" s="24">
        <f>V5+AC5</f>
        <v>590.59</v>
      </c>
      <c r="AE5" s="52" t="s">
        <v>57</v>
      </c>
      <c r="AF5" s="46" t="s">
        <v>42</v>
      </c>
      <c r="AG5" s="46" t="s">
        <v>61</v>
      </c>
    </row>
    <row r="6" spans="1:33" ht="16.5" customHeight="1">
      <c r="A6" s="9">
        <v>2</v>
      </c>
      <c r="B6" s="45" t="s">
        <v>51</v>
      </c>
      <c r="C6" s="9">
        <v>0</v>
      </c>
      <c r="D6" s="45" t="s">
        <v>50</v>
      </c>
      <c r="E6" s="45"/>
      <c r="F6" s="9" t="s">
        <v>33</v>
      </c>
      <c r="G6" s="9" t="s">
        <v>33</v>
      </c>
      <c r="H6" s="24">
        <v>1</v>
      </c>
      <c r="I6" s="9">
        <v>3458</v>
      </c>
      <c r="J6" s="8">
        <v>3458</v>
      </c>
      <c r="K6" s="25">
        <v>0</v>
      </c>
      <c r="L6" s="25">
        <v>0</v>
      </c>
      <c r="M6" s="25">
        <v>0</v>
      </c>
      <c r="N6" s="8">
        <v>3458</v>
      </c>
      <c r="O6" s="8">
        <f t="shared" ref="O6:O8" si="0">ROUND(K6*N6%,2)</f>
        <v>0</v>
      </c>
      <c r="P6" s="8">
        <f t="shared" ref="P6:P8" si="1">J6-O6</f>
        <v>3458</v>
      </c>
      <c r="Q6" s="8">
        <f t="shared" ref="Q6:Q8" si="2">ROUND(L6*P6%,2)</f>
        <v>0</v>
      </c>
      <c r="R6" s="8">
        <f t="shared" ref="R6:R8" si="3">P6-Q6</f>
        <v>3458</v>
      </c>
      <c r="S6" s="8">
        <f t="shared" ref="S6:S8" si="4">ROUND(M6*R6%,2)</f>
        <v>0</v>
      </c>
      <c r="T6" s="26">
        <f t="shared" ref="T6:T8" si="5">O6+Q6+S6</f>
        <v>0</v>
      </c>
      <c r="U6" s="26">
        <v>0</v>
      </c>
      <c r="V6" s="8">
        <f>(J6-T6)</f>
        <v>3458</v>
      </c>
      <c r="W6" s="24">
        <v>88363222</v>
      </c>
      <c r="X6" s="18">
        <v>0.18</v>
      </c>
      <c r="Y6" s="24">
        <f>IF($D$3=1,ROUND(((V6*X6)/2),2),0)</f>
        <v>0</v>
      </c>
      <c r="Z6" s="24">
        <f>IF($D$3=1,ROUND(((V6*X6)/2),2),0)</f>
        <v>0</v>
      </c>
      <c r="AA6" s="24">
        <f>IF($D$3=2,ROUND(((V6*X6)),2),0)</f>
        <v>622.44000000000005</v>
      </c>
      <c r="AB6" s="24">
        <v>0</v>
      </c>
      <c r="AC6" s="24">
        <f>Y6+Z6+AA6</f>
        <v>622.44000000000005</v>
      </c>
      <c r="AD6" s="24">
        <f>V6+AC6</f>
        <v>4080.44</v>
      </c>
      <c r="AE6" s="53" t="s">
        <v>57</v>
      </c>
      <c r="AF6" s="46" t="s">
        <v>53</v>
      </c>
      <c r="AG6" s="46" t="s">
        <v>61</v>
      </c>
    </row>
    <row r="7" spans="1:33">
      <c r="A7" s="46">
        <v>4</v>
      </c>
      <c r="B7" s="46"/>
      <c r="C7" s="46"/>
      <c r="D7" s="46"/>
      <c r="E7" s="46" t="s">
        <v>56</v>
      </c>
      <c r="F7" s="47" t="s">
        <v>33</v>
      </c>
      <c r="G7" s="47" t="s">
        <v>33</v>
      </c>
      <c r="H7" s="48">
        <v>1</v>
      </c>
      <c r="I7" s="47">
        <v>609</v>
      </c>
      <c r="J7" s="49">
        <v>609</v>
      </c>
      <c r="K7" s="46">
        <v>0</v>
      </c>
      <c r="L7" s="46">
        <v>0</v>
      </c>
      <c r="M7" s="46">
        <v>0</v>
      </c>
      <c r="N7" s="50">
        <v>609</v>
      </c>
      <c r="O7" s="8">
        <f t="shared" si="0"/>
        <v>0</v>
      </c>
      <c r="P7" s="8">
        <f t="shared" si="1"/>
        <v>609</v>
      </c>
      <c r="Q7" s="8">
        <f t="shared" si="2"/>
        <v>0</v>
      </c>
      <c r="R7" s="8">
        <f t="shared" si="3"/>
        <v>609</v>
      </c>
      <c r="S7" s="8">
        <f t="shared" si="4"/>
        <v>0</v>
      </c>
      <c r="T7" s="26">
        <f t="shared" si="5"/>
        <v>0</v>
      </c>
      <c r="U7" s="26">
        <v>0</v>
      </c>
      <c r="V7" s="8">
        <f>(J7-T7)</f>
        <v>609</v>
      </c>
      <c r="W7" s="24">
        <v>75052200</v>
      </c>
      <c r="X7" s="18">
        <v>0.18</v>
      </c>
      <c r="Y7" s="24">
        <f>IF($D$3=1,ROUND(((V7*X7)/2),2),0)</f>
        <v>0</v>
      </c>
      <c r="Z7" s="24">
        <f>IF($D$3=1,ROUND(((V7*X7)/2),2),0)</f>
        <v>0</v>
      </c>
      <c r="AA7" s="24">
        <f>IF($D$3=2,ROUND(((V7*X7)),2),0)</f>
        <v>109.62</v>
      </c>
      <c r="AB7" s="24">
        <v>0</v>
      </c>
      <c r="AC7" s="24">
        <f>Y7+Z7+AA7</f>
        <v>109.62</v>
      </c>
      <c r="AD7" s="24">
        <f>V7+AC7</f>
        <v>718.62</v>
      </c>
      <c r="AE7" s="52" t="s">
        <v>59</v>
      </c>
      <c r="AF7" s="46">
        <v>5050121000</v>
      </c>
      <c r="AG7" s="46" t="s">
        <v>61</v>
      </c>
    </row>
    <row r="8" spans="1:33">
      <c r="A8" s="9">
        <v>3</v>
      </c>
      <c r="B8" s="27" t="s">
        <v>52</v>
      </c>
      <c r="C8" s="9">
        <v>0</v>
      </c>
      <c r="D8" s="27" t="s">
        <v>52</v>
      </c>
      <c r="E8" s="27"/>
      <c r="F8" s="9" t="s">
        <v>33</v>
      </c>
      <c r="G8" s="9" t="s">
        <v>33</v>
      </c>
      <c r="H8" s="24">
        <v>3</v>
      </c>
      <c r="I8" s="9">
        <v>675</v>
      </c>
      <c r="J8" s="8">
        <v>2025</v>
      </c>
      <c r="K8" s="25">
        <v>0</v>
      </c>
      <c r="L8" s="25">
        <v>0</v>
      </c>
      <c r="M8" s="25">
        <v>0</v>
      </c>
      <c r="N8" s="8">
        <v>2025</v>
      </c>
      <c r="O8" s="8">
        <f t="shared" si="0"/>
        <v>0</v>
      </c>
      <c r="P8" s="8">
        <f t="shared" si="1"/>
        <v>2025</v>
      </c>
      <c r="Q8" s="8">
        <f t="shared" si="2"/>
        <v>0</v>
      </c>
      <c r="R8" s="8">
        <f t="shared" si="3"/>
        <v>2025</v>
      </c>
      <c r="S8" s="8">
        <f t="shared" si="4"/>
        <v>0</v>
      </c>
      <c r="T8" s="26">
        <f t="shared" si="5"/>
        <v>0</v>
      </c>
      <c r="U8" s="26">
        <v>0</v>
      </c>
      <c r="V8" s="8">
        <f>(J8-T8)</f>
        <v>2025</v>
      </c>
      <c r="W8" s="24">
        <v>88363222</v>
      </c>
      <c r="X8" s="18">
        <v>0.18</v>
      </c>
      <c r="Y8" s="24">
        <f>IF($D$3=1,ROUND(((V8*X8)/2),2),0)</f>
        <v>0</v>
      </c>
      <c r="Z8" s="24">
        <f>IF($D$3=1,ROUND(((V8*X8)/2),2),0)</f>
        <v>0</v>
      </c>
      <c r="AA8" s="24">
        <f>IF($D$3=2,ROUND(((V8*X8)),2),0)</f>
        <v>364.5</v>
      </c>
      <c r="AB8" s="24">
        <v>0</v>
      </c>
      <c r="AC8" s="24">
        <f>Y8+Z8+AA8</f>
        <v>364.5</v>
      </c>
      <c r="AD8" s="24">
        <f>V8+AC8</f>
        <v>2389.5</v>
      </c>
      <c r="AE8" s="53" t="s">
        <v>57</v>
      </c>
      <c r="AF8" s="46" t="s">
        <v>54</v>
      </c>
      <c r="AG8" s="46" t="s">
        <v>61</v>
      </c>
    </row>
  </sheetData>
  <mergeCells count="2">
    <mergeCell ref="A1:AD1"/>
    <mergeCell ref="A3:B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C6"/>
  <sheetViews>
    <sheetView topLeftCell="O1" workbookViewId="0">
      <selection activeCell="X5" sqref="X5"/>
    </sheetView>
  </sheetViews>
  <sheetFormatPr defaultRowHeight="15"/>
  <cols>
    <col min="2" max="2" width="20.5703125" customWidth="1"/>
    <col min="4" max="4" width="29.140625" bestFit="1" customWidth="1"/>
    <col min="5" max="5" width="19.28515625" customWidth="1"/>
    <col min="6" max="6" width="16.28515625" customWidth="1"/>
    <col min="7" max="7" width="24.42578125" customWidth="1"/>
    <col min="8" max="8" width="20.28515625" customWidth="1"/>
    <col min="9" max="9" width="20" customWidth="1"/>
    <col min="13" max="13" width="13.85546875" bestFit="1" customWidth="1"/>
    <col min="15" max="15" width="13.7109375" customWidth="1"/>
    <col min="18" max="18" width="13" customWidth="1"/>
    <col min="19" max="19" width="14.42578125" customWidth="1"/>
    <col min="20" max="20" width="18.42578125" customWidth="1"/>
    <col min="21" max="21" width="10.5703125" bestFit="1" customWidth="1"/>
    <col min="22" max="22" width="10.140625" bestFit="1" customWidth="1"/>
  </cols>
  <sheetData>
    <row r="1" spans="1:29" ht="18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</row>
    <row r="2" spans="1:29" ht="18">
      <c r="A2" s="23" t="s">
        <v>1</v>
      </c>
      <c r="B2" s="23" t="s">
        <v>2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</row>
    <row r="3" spans="1:29">
      <c r="A3" s="68" t="s">
        <v>3</v>
      </c>
      <c r="B3" s="68"/>
      <c r="C3" s="63"/>
      <c r="D3" s="3">
        <v>4</v>
      </c>
      <c r="E3" s="4" t="s">
        <v>38</v>
      </c>
      <c r="F3" s="5"/>
      <c r="G3" s="5"/>
      <c r="H3" s="5"/>
      <c r="I3" s="6"/>
      <c r="J3" s="7" t="s">
        <v>5</v>
      </c>
      <c r="K3" s="7" t="s">
        <v>6</v>
      </c>
      <c r="L3" s="7"/>
      <c r="M3" s="7" t="s">
        <v>7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ht="42.75">
      <c r="A4" s="10" t="s">
        <v>8</v>
      </c>
      <c r="B4" s="10" t="s">
        <v>36</v>
      </c>
      <c r="C4" s="10" t="s">
        <v>9</v>
      </c>
      <c r="D4" s="11" t="s">
        <v>35</v>
      </c>
      <c r="E4" s="10" t="s">
        <v>10</v>
      </c>
      <c r="F4" s="10" t="s">
        <v>11</v>
      </c>
      <c r="G4" s="12" t="s">
        <v>34</v>
      </c>
      <c r="H4" s="10" t="s">
        <v>12</v>
      </c>
      <c r="I4" s="10" t="s">
        <v>13</v>
      </c>
      <c r="J4" s="13" t="s">
        <v>14</v>
      </c>
      <c r="K4" s="13" t="s">
        <v>15</v>
      </c>
      <c r="L4" s="13" t="s">
        <v>16</v>
      </c>
      <c r="M4" s="14" t="s">
        <v>17</v>
      </c>
      <c r="N4" s="14" t="s">
        <v>18</v>
      </c>
      <c r="O4" s="14" t="s">
        <v>19</v>
      </c>
      <c r="P4" s="14" t="s">
        <v>20</v>
      </c>
      <c r="Q4" s="15" t="s">
        <v>21</v>
      </c>
      <c r="R4" s="14" t="s">
        <v>22</v>
      </c>
      <c r="S4" s="13" t="s">
        <v>23</v>
      </c>
      <c r="T4" s="13" t="s">
        <v>24</v>
      </c>
      <c r="U4" s="10" t="s">
        <v>25</v>
      </c>
      <c r="V4" s="10" t="s">
        <v>26</v>
      </c>
      <c r="W4" s="16" t="s">
        <v>27</v>
      </c>
      <c r="X4" s="16" t="s">
        <v>28</v>
      </c>
      <c r="Y4" s="16" t="s">
        <v>29</v>
      </c>
      <c r="Z4" s="16" t="s">
        <v>30</v>
      </c>
      <c r="AA4" s="16" t="s">
        <v>37</v>
      </c>
      <c r="AB4" s="16" t="s">
        <v>31</v>
      </c>
      <c r="AC4" s="17" t="s">
        <v>32</v>
      </c>
    </row>
    <row r="5" spans="1:29">
      <c r="A5" s="9">
        <v>1</v>
      </c>
      <c r="B5" s="27" t="s">
        <v>41</v>
      </c>
      <c r="C5" s="9">
        <v>0</v>
      </c>
      <c r="D5" s="27" t="s">
        <v>42</v>
      </c>
      <c r="E5" s="9" t="s">
        <v>33</v>
      </c>
      <c r="F5" s="9" t="s">
        <v>33</v>
      </c>
      <c r="G5" s="24">
        <v>1</v>
      </c>
      <c r="H5" s="9">
        <v>2255</v>
      </c>
      <c r="I5" s="8">
        <v>2255</v>
      </c>
      <c r="J5" s="25"/>
      <c r="K5" s="25"/>
      <c r="L5" s="25"/>
      <c r="M5" s="8">
        <v>2255</v>
      </c>
      <c r="N5" s="8">
        <v>0</v>
      </c>
      <c r="O5" s="8">
        <v>2255</v>
      </c>
      <c r="P5" s="8">
        <v>0</v>
      </c>
      <c r="Q5" s="8">
        <v>2255</v>
      </c>
      <c r="R5" s="8">
        <v>0</v>
      </c>
      <c r="S5" s="26">
        <v>0</v>
      </c>
      <c r="T5" s="26">
        <v>0</v>
      </c>
      <c r="U5" s="8">
        <f>(I5-S5)</f>
        <v>2255</v>
      </c>
      <c r="V5" s="24">
        <v>88363222</v>
      </c>
      <c r="W5" s="18">
        <v>0.18</v>
      </c>
      <c r="X5" s="24">
        <v>203</v>
      </c>
      <c r="Y5" s="24">
        <f>IF($D$3=1,ROUND(((U5*W5)/2),2),0)</f>
        <v>0</v>
      </c>
      <c r="Z5" s="24">
        <f>IF($D$3=2,ROUND(((U5*W5)),2),0)</f>
        <v>0</v>
      </c>
      <c r="AA5" s="24">
        <v>203</v>
      </c>
      <c r="AB5" s="24">
        <f>X5+Y5+Z5+AA5</f>
        <v>406</v>
      </c>
      <c r="AC5" s="24">
        <f>U5</f>
        <v>2255</v>
      </c>
    </row>
    <row r="6" spans="1:29">
      <c r="A6" s="19"/>
      <c r="B6" s="19"/>
      <c r="C6" s="19"/>
      <c r="D6" s="19"/>
      <c r="E6" s="19"/>
      <c r="F6" s="19"/>
      <c r="G6" s="20"/>
      <c r="H6" s="21"/>
      <c r="I6" s="21"/>
      <c r="J6" s="22"/>
      <c r="K6" s="22"/>
      <c r="L6" s="22"/>
      <c r="M6" s="21"/>
      <c r="N6" s="21"/>
      <c r="O6" s="21"/>
      <c r="P6" s="21"/>
      <c r="Q6" s="21"/>
      <c r="R6" s="21"/>
      <c r="S6" s="21"/>
      <c r="T6" s="21"/>
      <c r="U6" s="21"/>
      <c r="V6" s="21"/>
      <c r="W6" s="22"/>
      <c r="X6" s="21"/>
      <c r="Y6" s="21"/>
      <c r="Z6" s="21"/>
      <c r="AA6" s="21"/>
      <c r="AB6" s="21"/>
      <c r="AC6" s="21"/>
    </row>
  </sheetData>
  <mergeCells count="2">
    <mergeCell ref="A1:AC1"/>
    <mergeCell ref="A3:B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G6"/>
  <sheetViews>
    <sheetView tabSelected="1" topLeftCell="AP1" workbookViewId="0">
      <selection activeCell="BA17" sqref="BA17"/>
    </sheetView>
  </sheetViews>
  <sheetFormatPr defaultRowHeight="15"/>
  <cols>
    <col min="2" max="2" width="20.5703125" customWidth="1"/>
    <col min="4" max="4" width="29.140625" bestFit="1" customWidth="1"/>
    <col min="5" max="5" width="19.28515625" customWidth="1"/>
    <col min="6" max="6" width="16.28515625" customWidth="1"/>
    <col min="7" max="7" width="24.42578125" customWidth="1"/>
    <col min="8" max="8" width="20.28515625" customWidth="1"/>
    <col min="9" max="9" width="20" customWidth="1"/>
    <col min="13" max="13" width="13.85546875" bestFit="1" customWidth="1"/>
    <col min="15" max="15" width="13.7109375" customWidth="1"/>
    <col min="18" max="18" width="13" customWidth="1"/>
    <col min="19" max="19" width="14.42578125" customWidth="1"/>
    <col min="20" max="20" width="18.42578125" customWidth="1"/>
    <col min="21" max="21" width="10.5703125" bestFit="1" customWidth="1"/>
    <col min="22" max="22" width="10.140625" bestFit="1" customWidth="1"/>
    <col min="24" max="24" width="9.42578125" bestFit="1" customWidth="1"/>
    <col min="25" max="25" width="10" bestFit="1" customWidth="1"/>
    <col min="31" max="31" width="14" bestFit="1" customWidth="1"/>
    <col min="43" max="43" width="9.42578125" bestFit="1" customWidth="1"/>
    <col min="44" max="44" width="13.5703125" bestFit="1" customWidth="1"/>
    <col min="50" max="50" width="10.5703125" bestFit="1" customWidth="1"/>
    <col min="51" max="51" width="10.140625" bestFit="1" customWidth="1"/>
    <col min="53" max="53" width="10" bestFit="1" customWidth="1"/>
    <col min="59" max="59" width="15.42578125" bestFit="1" customWidth="1"/>
  </cols>
  <sheetData>
    <row r="1" spans="1:59" ht="18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 t="s">
        <v>0</v>
      </c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</row>
    <row r="2" spans="1:59" ht="18">
      <c r="A2" s="23" t="s">
        <v>1</v>
      </c>
      <c r="B2" s="23" t="s">
        <v>2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23" t="s">
        <v>1</v>
      </c>
      <c r="AE2" s="23" t="s">
        <v>2</v>
      </c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</row>
    <row r="3" spans="1:59">
      <c r="A3" s="68" t="s">
        <v>3</v>
      </c>
      <c r="B3" s="68"/>
      <c r="C3" s="65"/>
      <c r="D3" s="3">
        <v>1</v>
      </c>
      <c r="E3" s="4" t="s">
        <v>4</v>
      </c>
      <c r="F3" s="5"/>
      <c r="G3" s="5"/>
      <c r="H3" s="5"/>
      <c r="I3" s="6"/>
      <c r="J3" s="7" t="s">
        <v>5</v>
      </c>
      <c r="K3" s="7" t="s">
        <v>6</v>
      </c>
      <c r="L3" s="7"/>
      <c r="M3" s="7" t="s">
        <v>7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8" t="s">
        <v>3</v>
      </c>
      <c r="AE3" s="68"/>
      <c r="AF3" s="65"/>
      <c r="AG3" s="3">
        <v>2</v>
      </c>
      <c r="AH3" s="4" t="s">
        <v>4</v>
      </c>
      <c r="AI3" s="5"/>
      <c r="AJ3" s="5"/>
      <c r="AK3" s="5"/>
      <c r="AL3" s="6"/>
      <c r="AM3" s="7" t="s">
        <v>5</v>
      </c>
      <c r="AN3" s="7" t="s">
        <v>6</v>
      </c>
      <c r="AO3" s="7"/>
      <c r="AP3" s="7" t="s">
        <v>7</v>
      </c>
      <c r="AQ3" s="7">
        <v>1</v>
      </c>
      <c r="AR3" s="7"/>
      <c r="AS3" s="7"/>
      <c r="AT3" s="7"/>
      <c r="AU3" s="7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spans="1:59" ht="42.75">
      <c r="A4" s="10" t="s">
        <v>8</v>
      </c>
      <c r="B4" s="10" t="s">
        <v>36</v>
      </c>
      <c r="C4" s="10" t="s">
        <v>9</v>
      </c>
      <c r="D4" s="11" t="s">
        <v>35</v>
      </c>
      <c r="E4" s="10" t="s">
        <v>10</v>
      </c>
      <c r="F4" s="10" t="s">
        <v>11</v>
      </c>
      <c r="G4" s="12" t="s">
        <v>34</v>
      </c>
      <c r="H4" s="10" t="s">
        <v>12</v>
      </c>
      <c r="I4" s="10" t="s">
        <v>13</v>
      </c>
      <c r="J4" s="13" t="s">
        <v>14</v>
      </c>
      <c r="K4" s="13" t="s">
        <v>15</v>
      </c>
      <c r="L4" s="13" t="s">
        <v>16</v>
      </c>
      <c r="M4" s="14" t="s">
        <v>17</v>
      </c>
      <c r="N4" s="14" t="s">
        <v>18</v>
      </c>
      <c r="O4" s="14" t="s">
        <v>19</v>
      </c>
      <c r="P4" s="14" t="s">
        <v>20</v>
      </c>
      <c r="Q4" s="15" t="s">
        <v>21</v>
      </c>
      <c r="R4" s="14" t="s">
        <v>22</v>
      </c>
      <c r="S4" s="13" t="s">
        <v>23</v>
      </c>
      <c r="T4" s="13" t="s">
        <v>24</v>
      </c>
      <c r="U4" s="10" t="s">
        <v>25</v>
      </c>
      <c r="V4" s="10" t="s">
        <v>26</v>
      </c>
      <c r="W4" s="16" t="s">
        <v>27</v>
      </c>
      <c r="X4" s="16" t="s">
        <v>28</v>
      </c>
      <c r="Y4" s="16" t="s">
        <v>29</v>
      </c>
      <c r="Z4" s="16" t="s">
        <v>30</v>
      </c>
      <c r="AA4" s="16" t="s">
        <v>37</v>
      </c>
      <c r="AB4" s="16" t="s">
        <v>31</v>
      </c>
      <c r="AC4" s="17" t="s">
        <v>32</v>
      </c>
      <c r="AD4" s="10" t="s">
        <v>8</v>
      </c>
      <c r="AE4" s="10" t="s">
        <v>47</v>
      </c>
      <c r="AF4" s="10" t="s">
        <v>9</v>
      </c>
      <c r="AG4" s="11" t="s">
        <v>48</v>
      </c>
      <c r="AH4" s="10" t="s">
        <v>10</v>
      </c>
      <c r="AI4" s="10" t="s">
        <v>11</v>
      </c>
      <c r="AJ4" s="12" t="s">
        <v>34</v>
      </c>
      <c r="AK4" s="10" t="s">
        <v>12</v>
      </c>
      <c r="AL4" s="10" t="s">
        <v>13</v>
      </c>
      <c r="AM4" s="13" t="s">
        <v>14</v>
      </c>
      <c r="AN4" s="13" t="s">
        <v>15</v>
      </c>
      <c r="AO4" s="13" t="s">
        <v>16</v>
      </c>
      <c r="AP4" s="14" t="s">
        <v>17</v>
      </c>
      <c r="AQ4" s="14" t="s">
        <v>18</v>
      </c>
      <c r="AR4" s="14" t="s">
        <v>19</v>
      </c>
      <c r="AS4" s="14" t="s">
        <v>20</v>
      </c>
      <c r="AT4" s="15" t="s">
        <v>21</v>
      </c>
      <c r="AU4" s="14" t="s">
        <v>22</v>
      </c>
      <c r="AV4" s="13" t="s">
        <v>23</v>
      </c>
      <c r="AW4" s="13" t="s">
        <v>24</v>
      </c>
      <c r="AX4" s="10" t="s">
        <v>25</v>
      </c>
      <c r="AY4" s="10" t="s">
        <v>26</v>
      </c>
      <c r="AZ4" s="16" t="s">
        <v>27</v>
      </c>
      <c r="BA4" s="16" t="s">
        <v>28</v>
      </c>
      <c r="BB4" s="16" t="s">
        <v>29</v>
      </c>
      <c r="BC4" s="16" t="s">
        <v>30</v>
      </c>
      <c r="BD4" s="16" t="s">
        <v>37</v>
      </c>
      <c r="BE4" s="16" t="s">
        <v>31</v>
      </c>
      <c r="BF4" s="17" t="s">
        <v>32</v>
      </c>
      <c r="BG4" s="17" t="s">
        <v>49</v>
      </c>
    </row>
    <row r="5" spans="1:59">
      <c r="A5" s="9">
        <v>1</v>
      </c>
      <c r="B5" s="27" t="s">
        <v>41</v>
      </c>
      <c r="C5" s="9">
        <v>0</v>
      </c>
      <c r="D5" s="27" t="s">
        <v>42</v>
      </c>
      <c r="E5" s="9" t="s">
        <v>33</v>
      </c>
      <c r="F5" s="9" t="s">
        <v>33</v>
      </c>
      <c r="G5" s="24">
        <v>1</v>
      </c>
      <c r="H5" s="9">
        <v>2255</v>
      </c>
      <c r="I5" s="8">
        <v>2255</v>
      </c>
      <c r="J5" s="25"/>
      <c r="K5" s="25"/>
      <c r="L5" s="25"/>
      <c r="M5" s="8">
        <v>2255</v>
      </c>
      <c r="N5" s="8">
        <v>0</v>
      </c>
      <c r="O5" s="8">
        <v>2255</v>
      </c>
      <c r="P5" s="8">
        <v>0</v>
      </c>
      <c r="Q5" s="8">
        <v>2255</v>
      </c>
      <c r="R5" s="8">
        <v>0</v>
      </c>
      <c r="S5" s="26">
        <v>0</v>
      </c>
      <c r="T5" s="26">
        <v>0</v>
      </c>
      <c r="U5" s="8">
        <f>(I5-S5)</f>
        <v>2255</v>
      </c>
      <c r="V5" s="24">
        <v>88363222</v>
      </c>
      <c r="W5" s="18">
        <v>0.18</v>
      </c>
      <c r="X5" s="24">
        <f>IF($D$3=1,ROUND(((U5*W5)/2),2),0)</f>
        <v>202.95</v>
      </c>
      <c r="Y5" s="31">
        <f>IF($D$3=1,ROUND(((U5*W5)/2),2),0)</f>
        <v>202.95</v>
      </c>
      <c r="Z5" s="24">
        <v>0</v>
      </c>
      <c r="AA5" s="24">
        <v>0</v>
      </c>
      <c r="AB5" s="8">
        <f>X5+Y5+Z5</f>
        <v>405.9</v>
      </c>
      <c r="AC5" s="24">
        <f>U5+AB5</f>
        <v>2660.9</v>
      </c>
      <c r="AD5" s="9">
        <v>1</v>
      </c>
      <c r="AE5" s="27" t="s">
        <v>44</v>
      </c>
      <c r="AF5" s="9">
        <v>0</v>
      </c>
      <c r="AG5" s="27" t="s">
        <v>44</v>
      </c>
      <c r="AH5" s="9" t="s">
        <v>33</v>
      </c>
      <c r="AI5" s="9" t="s">
        <v>33</v>
      </c>
      <c r="AJ5" s="24">
        <v>2</v>
      </c>
      <c r="AK5" s="9">
        <v>250.25</v>
      </c>
      <c r="AL5" s="8">
        <v>500.5</v>
      </c>
      <c r="AM5" s="25">
        <v>2.21</v>
      </c>
      <c r="AN5" s="25">
        <v>1.79</v>
      </c>
      <c r="AO5" s="25">
        <v>2.5</v>
      </c>
      <c r="AP5" s="8">
        <v>500.5</v>
      </c>
      <c r="AQ5" s="8">
        <f>ROUND(AM5*AP5%,2)</f>
        <v>11.06</v>
      </c>
      <c r="AR5" s="8">
        <f>AL5-AQ5</f>
        <v>489.44</v>
      </c>
      <c r="AS5" s="8">
        <f>ROUND(AN5*AR5%,2)</f>
        <v>8.76</v>
      </c>
      <c r="AT5" s="8">
        <f>AR5-AS5</f>
        <v>480.68</v>
      </c>
      <c r="AU5" s="40">
        <f>ROUND(AO5*AT5%,2)</f>
        <v>12.02</v>
      </c>
      <c r="AV5" s="26">
        <f>AQ5+AS5+AU5</f>
        <v>31.84</v>
      </c>
      <c r="AW5" s="26">
        <v>0</v>
      </c>
      <c r="AX5" s="8">
        <f>(AL5-AV5)</f>
        <v>468.66</v>
      </c>
      <c r="AY5" s="24">
        <v>88363222</v>
      </c>
      <c r="AZ5" s="18">
        <v>0.18</v>
      </c>
      <c r="BA5" s="31">
        <v>0</v>
      </c>
      <c r="BB5" s="31">
        <v>0</v>
      </c>
      <c r="BC5" s="66">
        <v>84.36</v>
      </c>
      <c r="BD5" s="24">
        <v>0</v>
      </c>
      <c r="BE5" s="8">
        <f>BA5+BB5+BC5</f>
        <v>84.36</v>
      </c>
      <c r="BF5" s="24">
        <f>AX5+BE5</f>
        <v>553.02</v>
      </c>
      <c r="BG5" s="24">
        <f>BF5-BE5</f>
        <v>468.65999999999997</v>
      </c>
    </row>
    <row r="6" spans="1:59">
      <c r="A6" s="19"/>
      <c r="B6" s="19"/>
      <c r="C6" s="19"/>
      <c r="D6" s="19"/>
      <c r="E6" s="19"/>
      <c r="F6" s="19"/>
      <c r="G6" s="20"/>
      <c r="H6" s="21"/>
      <c r="I6" s="21"/>
      <c r="J6" s="22"/>
      <c r="K6" s="22"/>
      <c r="L6" s="22"/>
      <c r="M6" s="21"/>
      <c r="N6" s="21"/>
      <c r="O6" s="21"/>
      <c r="P6" s="21"/>
      <c r="Q6" s="21"/>
      <c r="R6" s="21"/>
      <c r="S6" s="21"/>
      <c r="T6" s="21"/>
      <c r="U6" s="21"/>
      <c r="V6" s="21"/>
      <c r="W6" s="22"/>
      <c r="X6" s="21"/>
      <c r="Y6" s="21"/>
      <c r="Z6" s="21"/>
      <c r="AA6" s="21"/>
      <c r="AB6" s="21"/>
      <c r="AC6" s="21"/>
    </row>
  </sheetData>
  <mergeCells count="4">
    <mergeCell ref="A1:AC1"/>
    <mergeCell ref="AD1:BF1"/>
    <mergeCell ref="A3:B3"/>
    <mergeCell ref="AD3:A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PurchaseBillsLocal</vt:lpstr>
      <vt:lpstr>PurchaseBillsInterstate</vt:lpstr>
      <vt:lpstr>PurchaseBillsUTGST</vt:lpstr>
      <vt:lpstr>PurchaseBillsImport</vt:lpstr>
      <vt:lpstr>PurchaseBillsSez</vt:lpstr>
      <vt:lpstr>PurchaseBillslocalUnreg</vt:lpstr>
      <vt:lpstr>PurchaseBillslocalUnreg_RCM</vt:lpstr>
      <vt:lpstr>POSer_Pr_Interstate</vt:lpstr>
      <vt:lpstr>purchaseBills_GRN</vt:lpstr>
      <vt:lpstr>PurchaseBills_ExAcc</vt:lpstr>
      <vt:lpstr>PurchaseBills_Ex_Grn_Igst</vt:lpstr>
      <vt:lpstr>PurchaseBills_Interstate_Un</vt:lpstr>
      <vt:lpstr>PurchaseBillsUTGST_Ureq</vt:lpstr>
      <vt:lpstr>PurchaseBills_Un_Regrd_Iter</vt:lpstr>
      <vt:lpstr>Purchasebills_UTGST_2</vt:lpstr>
      <vt:lpstr>PurchaseBills_Rcm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KOWSHIKAN</dc:creator>
  <cp:lastModifiedBy>KOWSHIKAN</cp:lastModifiedBy>
  <dcterms:created xsi:type="dcterms:W3CDTF">2025-11-05T04:38:04Z</dcterms:created>
  <dcterms:modified xsi:type="dcterms:W3CDTF">2026-01-05T14:43:12Z</dcterms:modified>
</cp:coreProperties>
</file>