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1" activeTab="26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  <sheet name="Purchase_Bills_Allow_IGST" sheetId="27" r:id="rId27"/>
  </sheets>
  <calcPr calcId="125725"/>
</workbook>
</file>

<file path=xl/calcChain.xml><?xml version="1.0" encoding="utf-8"?>
<calcChain xmlns="http://schemas.openxmlformats.org/spreadsheetml/2006/main">
  <c r="BE5" i="27"/>
  <c r="BC5"/>
  <c r="BB5"/>
  <c r="AR5"/>
  <c r="AS5" s="1"/>
  <c r="Z5"/>
  <c r="Y5"/>
  <c r="AC5" s="1"/>
  <c r="AD5" s="1"/>
  <c r="V5"/>
  <c r="AA5" s="1"/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U5"/>
  <c r="AQ5" i="1"/>
  <c r="U5"/>
  <c r="Y5" s="1"/>
  <c r="AT5" i="27" l="1"/>
  <c r="AB5" i="2"/>
  <c r="AC5"/>
  <c r="P8" i="26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S5" i="2"/>
  <c r="AT5" s="1"/>
  <c r="AU5" s="1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AU5" i="27" l="1"/>
  <c r="AV5" s="1"/>
  <c r="AW5" s="1"/>
  <c r="AY5" s="1"/>
  <c r="S8" i="26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BD5" i="27" l="1"/>
  <c r="BF5" s="1"/>
  <c r="BG5" s="1"/>
  <c r="Y6" i="23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BB5" i="1" l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<sst xmlns="http://schemas.openxmlformats.org/spreadsheetml/2006/main" count="1508" uniqueCount="114">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</sst>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B16" sqref="B1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 t="s">
        <v>0</v>
      </c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91" t="s">
        <v>3</v>
      </c>
      <c r="B3" s="91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1" t="s">
        <v>3</v>
      </c>
      <c r="AE3" s="91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 t="s">
        <v>0</v>
      </c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91" t="s">
        <v>3</v>
      </c>
      <c r="B3" s="91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1" t="s">
        <v>3</v>
      </c>
      <c r="AE3" s="91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1" t="s">
        <v>3</v>
      </c>
      <c r="B3" s="91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1" t="s">
        <v>3</v>
      </c>
      <c r="B3" s="91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1" t="s">
        <v>3</v>
      </c>
      <c r="B3" s="91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23" sqref="G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91" t="s">
        <v>3</v>
      </c>
      <c r="B3" s="91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91" t="s">
        <v>3</v>
      </c>
      <c r="B3" s="91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91" t="s">
        <v>3</v>
      </c>
      <c r="B3" s="91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B7" sqref="B7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91" t="s">
        <v>3</v>
      </c>
      <c r="B3" s="91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X16" sqref="X1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91" t="s">
        <v>3</v>
      </c>
      <c r="B3" s="91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91" t="s">
        <v>3</v>
      </c>
      <c r="B3" s="91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91" t="s">
        <v>3</v>
      </c>
      <c r="B3" s="91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91" t="s">
        <v>3</v>
      </c>
      <c r="B3" s="91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91" t="s">
        <v>3</v>
      </c>
      <c r="B3" s="91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91" t="s">
        <v>3</v>
      </c>
      <c r="B3" s="91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 t="s">
        <v>0</v>
      </c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91" t="s">
        <v>3</v>
      </c>
      <c r="B3" s="91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1" t="s">
        <v>3</v>
      </c>
      <c r="AE3" s="91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 t="s">
        <v>0</v>
      </c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91" t="s">
        <v>3</v>
      </c>
      <c r="B3" s="91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1" t="s">
        <v>3</v>
      </c>
      <c r="AE3" s="91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91" t="s">
        <v>3</v>
      </c>
      <c r="B3" s="91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workbookViewId="0">
      <selection activeCell="G23" sqref="G23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91" t="s">
        <v>3</v>
      </c>
      <c r="C3" s="9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91" t="s">
        <v>3</v>
      </c>
      <c r="B3" s="91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activeCell="D13" sqref="D13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91" t="s">
        <v>3</v>
      </c>
      <c r="B3" s="91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G6"/>
  <sheetViews>
    <sheetView tabSelected="1" workbookViewId="0">
      <selection activeCell="E5" sqref="E5"/>
    </sheetView>
  </sheetViews>
  <sheetFormatPr defaultRowHeight="15"/>
  <cols>
    <col min="3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7" bestFit="1" customWidth="1"/>
    <col min="34" max="34" width="18.85546875" bestFit="1" customWidth="1"/>
    <col min="38" max="38" width="11" bestFit="1" customWidth="1"/>
    <col min="39" max="39" width="20.42578125" customWidth="1"/>
    <col min="43" max="43" width="13.85546875" bestFit="1" customWidth="1"/>
    <col min="52" max="52" width="10.140625" bestFit="1" customWidth="1"/>
  </cols>
  <sheetData>
    <row r="1" spans="1:59" ht="18"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 t="s">
        <v>0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</row>
    <row r="2" spans="1:59" ht="18">
      <c r="B2" s="23" t="s">
        <v>1</v>
      </c>
      <c r="C2" s="23" t="s">
        <v>2</v>
      </c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23" t="s">
        <v>1</v>
      </c>
      <c r="AF2" s="23" t="s">
        <v>2</v>
      </c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</row>
    <row r="3" spans="1:59">
      <c r="B3" s="91" t="s">
        <v>3</v>
      </c>
      <c r="C3" s="91"/>
      <c r="D3" s="89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91" t="s">
        <v>3</v>
      </c>
      <c r="AF3" s="91"/>
      <c r="AG3" s="89"/>
      <c r="AH3" s="3">
        <v>2</v>
      </c>
      <c r="AI3" s="4" t="s">
        <v>4</v>
      </c>
      <c r="AJ3" s="5"/>
      <c r="AK3" s="5"/>
      <c r="AL3" s="5"/>
      <c r="AM3" s="6"/>
      <c r="AN3" s="7" t="s">
        <v>5</v>
      </c>
      <c r="AO3" s="7" t="s">
        <v>6</v>
      </c>
      <c r="AP3" s="7"/>
      <c r="AQ3" s="7" t="s">
        <v>7</v>
      </c>
      <c r="AR3" s="7">
        <v>1</v>
      </c>
      <c r="AS3" s="7"/>
      <c r="AT3" s="7"/>
      <c r="AU3" s="7"/>
      <c r="AV3" s="7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1:59" ht="42.75">
      <c r="A4" s="10" t="s">
        <v>8</v>
      </c>
      <c r="B4" s="10" t="s">
        <v>8</v>
      </c>
      <c r="C4" s="10" t="s">
        <v>36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8</v>
      </c>
      <c r="AF4" s="10" t="s">
        <v>45</v>
      </c>
      <c r="AG4" s="10" t="s">
        <v>9</v>
      </c>
      <c r="AH4" s="11" t="s">
        <v>46</v>
      </c>
      <c r="AI4" s="10" t="s">
        <v>10</v>
      </c>
      <c r="AJ4" s="10" t="s">
        <v>11</v>
      </c>
      <c r="AK4" s="12" t="s">
        <v>34</v>
      </c>
      <c r="AL4" s="10" t="s">
        <v>12</v>
      </c>
      <c r="AM4" s="10" t="s">
        <v>13</v>
      </c>
      <c r="AN4" s="13" t="s">
        <v>14</v>
      </c>
      <c r="AO4" s="13" t="s">
        <v>15</v>
      </c>
      <c r="AP4" s="13" t="s">
        <v>16</v>
      </c>
      <c r="AQ4" s="14" t="s">
        <v>17</v>
      </c>
      <c r="AR4" s="14" t="s">
        <v>18</v>
      </c>
      <c r="AS4" s="14" t="s">
        <v>19</v>
      </c>
      <c r="AT4" s="14" t="s">
        <v>20</v>
      </c>
      <c r="AU4" s="15" t="s">
        <v>21</v>
      </c>
      <c r="AV4" s="14" t="s">
        <v>22</v>
      </c>
      <c r="AW4" s="13" t="s">
        <v>23</v>
      </c>
      <c r="AX4" s="13" t="s">
        <v>24</v>
      </c>
      <c r="AY4" s="10" t="s">
        <v>25</v>
      </c>
      <c r="AZ4" s="10" t="s">
        <v>26</v>
      </c>
      <c r="BA4" s="16" t="s">
        <v>27</v>
      </c>
      <c r="BB4" s="16" t="s">
        <v>28</v>
      </c>
      <c r="BC4" s="16" t="s">
        <v>29</v>
      </c>
      <c r="BD4" s="16" t="s">
        <v>30</v>
      </c>
      <c r="BE4" s="16" t="s">
        <v>37</v>
      </c>
      <c r="BF4" s="16" t="s">
        <v>31</v>
      </c>
      <c r="BG4" s="17" t="s">
        <v>32</v>
      </c>
    </row>
    <row r="5" spans="1:59">
      <c r="A5" s="9">
        <v>1</v>
      </c>
      <c r="B5" s="9">
        <v>1</v>
      </c>
      <c r="C5" s="27" t="s">
        <v>41</v>
      </c>
      <c r="D5" s="9">
        <v>0</v>
      </c>
      <c r="E5" s="27" t="s">
        <v>42</v>
      </c>
      <c r="F5" s="9" t="s">
        <v>33</v>
      </c>
      <c r="G5" s="9" t="s">
        <v>33</v>
      </c>
      <c r="H5" s="24">
        <v>1</v>
      </c>
      <c r="I5" s="9">
        <v>2255</v>
      </c>
      <c r="J5" s="8">
        <v>2255</v>
      </c>
      <c r="K5" s="25"/>
      <c r="L5" s="25"/>
      <c r="M5" s="25"/>
      <c r="N5" s="8">
        <v>2255</v>
      </c>
      <c r="O5" s="8">
        <v>0</v>
      </c>
      <c r="P5" s="8">
        <v>2255</v>
      </c>
      <c r="Q5" s="8">
        <v>0</v>
      </c>
      <c r="R5" s="8">
        <v>2255</v>
      </c>
      <c r="S5" s="8">
        <v>0</v>
      </c>
      <c r="T5" s="26">
        <v>0</v>
      </c>
      <c r="U5" s="26">
        <v>0</v>
      </c>
      <c r="V5" s="8">
        <f>(J5-T5)</f>
        <v>2255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24">
        <f>IF($E$3=2,ROUND(((V5*X5)),2),0)</f>
        <v>405.9</v>
      </c>
      <c r="AB5" s="24">
        <v>0</v>
      </c>
      <c r="AC5" s="24">
        <f>Y5+Z5+AA5</f>
        <v>405.9</v>
      </c>
      <c r="AD5" s="24">
        <f>V5+AC5</f>
        <v>2660.9</v>
      </c>
      <c r="AE5" s="9">
        <v>1</v>
      </c>
      <c r="AF5" s="27" t="s">
        <v>44</v>
      </c>
      <c r="AG5" s="9">
        <v>0</v>
      </c>
      <c r="AH5" s="27" t="s">
        <v>44</v>
      </c>
      <c r="AI5" s="9" t="s">
        <v>33</v>
      </c>
      <c r="AJ5" s="9" t="s">
        <v>33</v>
      </c>
      <c r="AK5" s="24">
        <v>2</v>
      </c>
      <c r="AL5" s="9">
        <v>250.25</v>
      </c>
      <c r="AM5" s="8">
        <v>500.5</v>
      </c>
      <c r="AN5" s="25">
        <v>2.21</v>
      </c>
      <c r="AO5" s="25">
        <v>1.79</v>
      </c>
      <c r="AP5" s="25">
        <v>2.5</v>
      </c>
      <c r="AQ5" s="8">
        <v>500.5</v>
      </c>
      <c r="AR5" s="8">
        <f>ROUND(AN5*AQ5%,2)</f>
        <v>11.06</v>
      </c>
      <c r="AS5" s="8">
        <f>AM5-AR5</f>
        <v>489.44</v>
      </c>
      <c r="AT5" s="8">
        <f>ROUND(AO5*AS5%,2)</f>
        <v>8.76</v>
      </c>
      <c r="AU5" s="8">
        <f>AS5-AT5</f>
        <v>480.68</v>
      </c>
      <c r="AV5" s="8">
        <f>ROUND(AP5*AU5%,2)</f>
        <v>12.02</v>
      </c>
      <c r="AW5" s="26">
        <f>AR5+AT5+AV5</f>
        <v>31.84</v>
      </c>
      <c r="AX5" s="26">
        <v>0</v>
      </c>
      <c r="AY5" s="8">
        <f>(AM5-AW5)</f>
        <v>468.66</v>
      </c>
      <c r="AZ5" s="24">
        <v>88363222</v>
      </c>
      <c r="BA5" s="18">
        <v>0.18</v>
      </c>
      <c r="BB5" s="24">
        <f>IF($AH$3=1,ROUND(((AY5*BA5)/2),2),0)</f>
        <v>0</v>
      </c>
      <c r="BC5" s="24">
        <f>IF($AH$3=1,ROUND(((AY5*BA5)/2),2),0)</f>
        <v>0</v>
      </c>
      <c r="BD5" s="40">
        <f>IF($AH$3=2,ROUND(((AY5*BA5)),2),0)</f>
        <v>84.36</v>
      </c>
      <c r="BE5" s="24">
        <f>IF($AH$3=4,ROUND(((AY5*BA5)),2),0)</f>
        <v>0</v>
      </c>
      <c r="BF5" s="40">
        <f>BB5+BC5+BD5</f>
        <v>84.36</v>
      </c>
      <c r="BG5" s="24">
        <f>AY5+BF5</f>
        <v>553.02</v>
      </c>
    </row>
    <row r="6" spans="1:59"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4">
    <mergeCell ref="B1:AD1"/>
    <mergeCell ref="AE1:BG1"/>
    <mergeCell ref="B3:C3"/>
    <mergeCell ref="AE3:A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  <vt:lpstr>Purchase_Bills_Allow_IGST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2026-05-05T13:12:36Z</dcterms:modified>
</cp:coreProperties>
</file>