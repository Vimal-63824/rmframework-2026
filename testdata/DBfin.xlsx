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6695" windowHeight="6540" tabRatio="594" firstSheet="11" activeTab="13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</sheets>
  <calcPr calcId="125725"/>
</workbook>
</file>

<file path=xl/calcChain.xml><?xml version="1.0" encoding="utf-8"?>
<calcChain xmlns="http://schemas.openxmlformats.org/spreadsheetml/2006/main">
  <c r="Z8" i="14"/>
  <c r="Y8"/>
  <c r="O8"/>
  <c r="P8" s="1"/>
  <c r="Z7"/>
  <c r="Y7"/>
  <c r="P7"/>
  <c r="Q7" s="1"/>
  <c r="O7"/>
  <c r="Z6"/>
  <c r="Y6"/>
  <c r="Q6"/>
  <c r="P6"/>
  <c r="O6"/>
  <c r="Z5"/>
  <c r="Y5"/>
  <c r="R5"/>
  <c r="S5" s="1"/>
  <c r="Q5"/>
  <c r="O5"/>
  <c r="Z5" i="9"/>
  <c r="U5" i="8"/>
  <c r="S5"/>
  <c r="Z5" s="1"/>
  <c r="R5"/>
  <c r="Q5"/>
  <c r="P5"/>
  <c r="O5"/>
  <c r="N5"/>
  <c r="AB5" i="13"/>
  <c r="AC5"/>
  <c r="Z5"/>
  <c r="Y5"/>
  <c r="U5"/>
  <c r="AB5" i="3"/>
  <c r="AC5" s="1"/>
  <c r="Z5" i="12"/>
  <c r="U5"/>
  <c r="X5" s="1"/>
  <c r="AC7" i="11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Y5"/>
  <c r="X5"/>
  <c r="P5"/>
  <c r="N5"/>
  <c r="AD8" i="10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Z5"/>
  <c r="Y5"/>
  <c r="Q5"/>
  <c r="R5" s="1"/>
  <c r="S5" s="1"/>
  <c r="O5"/>
  <c r="AC7" i="9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Y5"/>
  <c r="X5"/>
  <c r="U5"/>
  <c r="S5"/>
  <c r="R5"/>
  <c r="Q5"/>
  <c r="P5"/>
  <c r="O5"/>
  <c r="N5"/>
  <c r="Y5" i="8"/>
  <c r="X5"/>
  <c r="AC5" i="7"/>
  <c r="AB5"/>
  <c r="Y5"/>
  <c r="X5"/>
  <c r="U5"/>
  <c r="AC5" i="6"/>
  <c r="AB5"/>
  <c r="Y5"/>
  <c r="X5"/>
  <c r="U5"/>
  <c r="AC5" i="5"/>
  <c r="AB5"/>
  <c r="AA5"/>
  <c r="Z5"/>
  <c r="Y5"/>
  <c r="X5"/>
  <c r="U5"/>
  <c r="AC5" i="4"/>
  <c r="AB5"/>
  <c r="AA5"/>
  <c r="Z5"/>
  <c r="Y5"/>
  <c r="X5"/>
  <c r="U5"/>
  <c r="AA5" i="3"/>
  <c r="Z5"/>
  <c r="Y5"/>
  <c r="X5"/>
  <c r="U5"/>
  <c r="BF5" i="2"/>
  <c r="BE5"/>
  <c r="BD5"/>
  <c r="BC5"/>
  <c r="BB5"/>
  <c r="BA5"/>
  <c r="AX5"/>
  <c r="AV5"/>
  <c r="AU5"/>
  <c r="AT5"/>
  <c r="AS5"/>
  <c r="AR5"/>
  <c r="AQ5"/>
  <c r="AC5"/>
  <c r="AB5"/>
  <c r="Z5"/>
  <c r="Y5"/>
  <c r="X5"/>
  <c r="U5"/>
  <c r="BG5" i="1"/>
  <c r="BF5"/>
  <c r="BE5"/>
  <c r="BB5"/>
  <c r="BA5"/>
  <c r="AX5"/>
  <c r="AV5"/>
  <c r="AU5"/>
  <c r="AT5"/>
  <c r="AS5"/>
  <c r="AR5"/>
  <c r="AQ5"/>
  <c r="AC5"/>
  <c r="AB5"/>
  <c r="Y5"/>
  <c r="X5"/>
  <c r="U5"/>
  <c r="R8" i="14" l="1"/>
  <c r="S8" s="1"/>
  <c r="Q8"/>
  <c r="T6"/>
  <c r="V6" s="1"/>
  <c r="R6"/>
  <c r="S6" s="1"/>
  <c r="R7"/>
  <c r="S7" s="1"/>
  <c r="AA6"/>
  <c r="AC6" s="1"/>
  <c r="AD6" s="1"/>
  <c r="T7"/>
  <c r="V7" s="1"/>
  <c r="T5"/>
  <c r="V5" s="1"/>
  <c r="AB5" i="8"/>
  <c r="AC5" s="1"/>
  <c r="S5" i="11"/>
  <c r="U5" s="1"/>
  <c r="Q5"/>
  <c r="R5" s="1"/>
  <c r="T5" i="10"/>
  <c r="V5" s="1"/>
  <c r="AB5" i="12"/>
  <c r="AC5"/>
  <c r="Y5"/>
  <c r="T8" i="14" l="1"/>
  <c r="V8" s="1"/>
  <c r="AA8" s="1"/>
  <c r="AC8" s="1"/>
  <c r="AD8" s="1"/>
  <c r="AD7"/>
  <c r="AA7"/>
  <c r="AC7" s="1"/>
  <c r="AA5"/>
  <c r="AC5" s="1"/>
  <c r="AD5" s="1"/>
  <c r="Z5" i="11"/>
  <c r="AB5" s="1"/>
  <c r="AC5" s="1"/>
  <c r="AA5" i="10"/>
  <c r="AC5" s="1"/>
  <c r="AD5" s="1"/>
</calcChain>
</file>

<file path=xl/sharedStrings.xml><?xml version="1.0" encoding="utf-8"?>
<sst xmlns="http://schemas.openxmlformats.org/spreadsheetml/2006/main" count="741" uniqueCount="62">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</sst>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topLeftCell="AG1" workbookViewId="0">
      <selection activeCell="AV5" sqref="AV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 t="s">
        <v>0</v>
      </c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63" t="s">
        <v>3</v>
      </c>
      <c r="B3" s="63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3" t="s">
        <v>3</v>
      </c>
      <c r="AE3" s="63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D1" workbookViewId="0">
      <selection activeCell="N5" sqref="N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 t="s">
        <v>0</v>
      </c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63" t="s">
        <v>3</v>
      </c>
      <c r="B3" s="63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3" t="s">
        <v>3</v>
      </c>
      <c r="AE3" s="63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3" t="s">
        <v>3</v>
      </c>
      <c r="B3" s="63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G1" workbookViewId="0">
      <selection activeCell="J5" sqref="J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3" t="s">
        <v>3</v>
      </c>
      <c r="B3" s="63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63" t="s">
        <v>3</v>
      </c>
      <c r="B3" s="63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63" t="s">
        <v>3</v>
      </c>
      <c r="B3" s="63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C1" workbookViewId="0">
      <selection activeCell="L5" sqref="L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63" t="s">
        <v>3</v>
      </c>
      <c r="B3" s="63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topLeftCell="K1" workbookViewId="0">
      <selection activeCell="Z5" sqref="Z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63" t="s">
        <v>3</v>
      </c>
      <c r="B3" s="63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2.21</v>
      </c>
      <c r="K5" s="25">
        <v>1.79</v>
      </c>
      <c r="L5" s="25">
        <v>2.5</v>
      </c>
      <c r="M5" s="8">
        <v>500.5</v>
      </c>
      <c r="N5" s="8">
        <f>ROUND(J5*M5%,2)</f>
        <v>11.06</v>
      </c>
      <c r="O5" s="8">
        <f>I5-N5</f>
        <v>489.44</v>
      </c>
      <c r="P5" s="8">
        <f>ROUND(K5*O5%,2)</f>
        <v>8.76</v>
      </c>
      <c r="Q5" s="8">
        <f>O5-P5</f>
        <v>480.68</v>
      </c>
      <c r="R5" s="8">
        <f>ROUND(L5*Q5%,2)</f>
        <v>12.02</v>
      </c>
      <c r="S5" s="26">
        <f>N5+P5+R5</f>
        <v>31.84</v>
      </c>
      <c r="T5" s="26">
        <v>0</v>
      </c>
      <c r="U5" s="8">
        <f>(I5-S5)</f>
        <v>468.66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84.36</v>
      </c>
      <c r="AA5" s="24">
        <v>0</v>
      </c>
      <c r="AB5" s="24">
        <f>X5+Y5+Z5</f>
        <v>84.36</v>
      </c>
      <c r="AC5" s="24">
        <f>U5+AB5</f>
        <v>553.02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A8" sqref="A8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63" t="s">
        <v>3</v>
      </c>
      <c r="B3" s="63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63" t="s">
        <v>3</v>
      </c>
      <c r="B3" s="63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AE4" sqref="A4:AE4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63" t="s">
        <v>3</v>
      </c>
      <c r="B3" s="63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63" t="s">
        <v>3</v>
      </c>
      <c r="B3" s="63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O23" sqref="O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63" t="s">
        <v>3</v>
      </c>
      <c r="B3" s="63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0</v>
      </c>
      <c r="Y5" s="24">
        <f>IF($D$3=1,ROUND(((U5*W5)/2),2),0)</f>
        <v>0</v>
      </c>
      <c r="Z5" s="24">
        <f>IF($D$3=2,ROUND(((U5*W5)),2),0)</f>
        <v>0</v>
      </c>
      <c r="AA5" s="24">
        <v>0</v>
      </c>
      <c r="AB5" s="24">
        <f>X5+Y5+Z5+AA5</f>
        <v>0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tabSelected="1" topLeftCell="V1" workbookViewId="0">
      <selection activeCell="AF7" sqref="AF7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63" t="s">
        <v>3</v>
      </c>
      <c r="B3" s="63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2025-12-29T14:11:40Z</dcterms:modified>
</cp:coreProperties>
</file>