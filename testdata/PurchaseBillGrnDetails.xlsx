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2520" windowWidth="15300" windowHeight="6540" firstSheet="1" activeTab="4"/>
  </bookViews>
  <sheets>
    <sheet name="Sheet1" sheetId="5" r:id="rId1"/>
    <sheet name="PurchaseBill" sheetId="28" r:id="rId2"/>
    <sheet name="PurchaseBillGRNIGST" sheetId="36" r:id="rId3"/>
    <sheet name="PurchaseBillGRNWithExpense" sheetId="38" r:id="rId4"/>
    <sheet name="PBDeviation" sheetId="29" r:id="rId5"/>
    <sheet name="Sheet2" sheetId="37" r:id="rId6"/>
    <sheet name="1" sheetId="39" r:id="rId7"/>
  </sheets>
  <externalReferences>
    <externalReference r:id="rId8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X23" i="29"/>
  <c r="BW23"/>
  <c r="G5" i="39"/>
  <c r="H5" s="1"/>
  <c r="AD24" i="38"/>
  <c r="BR23"/>
  <c r="AM23"/>
  <c r="AW23" s="1"/>
  <c r="AK23"/>
  <c r="AK24" s="1"/>
  <c r="Y23"/>
  <c r="X23"/>
  <c r="X24" s="1"/>
  <c r="M23"/>
  <c r="N23" s="1"/>
  <c r="L23"/>
  <c r="H23"/>
  <c r="BT23" s="1"/>
  <c r="H18"/>
  <c r="H17"/>
  <c r="H16"/>
  <c r="H15"/>
  <c r="H14"/>
  <c r="H13"/>
  <c r="H12"/>
  <c r="H11"/>
  <c r="H10"/>
  <c r="H9"/>
  <c r="H8"/>
  <c r="H7"/>
  <c r="H6"/>
  <c r="H5"/>
  <c r="H4"/>
  <c r="H19" s="1"/>
  <c r="I4" i="37"/>
  <c r="G4"/>
  <c r="J3"/>
  <c r="I2"/>
  <c r="AD24" i="29"/>
  <c r="BR23"/>
  <c r="AM23"/>
  <c r="AW23" s="1"/>
  <c r="AK23"/>
  <c r="AK24" s="1"/>
  <c r="Y23"/>
  <c r="X23"/>
  <c r="X24" s="1"/>
  <c r="H23"/>
  <c r="H24" s="1"/>
  <c r="H18"/>
  <c r="H17"/>
  <c r="H16"/>
  <c r="H15"/>
  <c r="H14"/>
  <c r="H13"/>
  <c r="H12"/>
  <c r="H11"/>
  <c r="H10"/>
  <c r="H9"/>
  <c r="H8"/>
  <c r="H7"/>
  <c r="H6"/>
  <c r="H5"/>
  <c r="H4"/>
  <c r="AK24" i="36"/>
  <c r="AJ24"/>
  <c r="AI24"/>
  <c r="AH24"/>
  <c r="AG24"/>
  <c r="AE24"/>
  <c r="AD24"/>
  <c r="AC24"/>
  <c r="AB24"/>
  <c r="X24"/>
  <c r="W24"/>
  <c r="V24"/>
  <c r="S24"/>
  <c r="R24"/>
  <c r="H24"/>
  <c r="BR23"/>
  <c r="BP23"/>
  <c r="BO23"/>
  <c r="AZ23"/>
  <c r="AY23"/>
  <c r="AX23"/>
  <c r="AW23"/>
  <c r="AR23"/>
  <c r="AP23"/>
  <c r="AO23"/>
  <c r="AN23"/>
  <c r="AM23"/>
  <c r="AK23"/>
  <c r="AJ23"/>
  <c r="AI23"/>
  <c r="AH23"/>
  <c r="AG23"/>
  <c r="AE23"/>
  <c r="AC23"/>
  <c r="AB23"/>
  <c r="AA23"/>
  <c r="Y23"/>
  <c r="X23"/>
  <c r="W23"/>
  <c r="V23"/>
  <c r="S23"/>
  <c r="R23"/>
  <c r="Q23"/>
  <c r="P23"/>
  <c r="O23"/>
  <c r="N23"/>
  <c r="M23"/>
  <c r="L23"/>
  <c r="H23"/>
  <c r="H19"/>
  <c r="H18"/>
  <c r="H17"/>
  <c r="H16"/>
  <c r="H15"/>
  <c r="H14"/>
  <c r="H13"/>
  <c r="H12"/>
  <c r="H11"/>
  <c r="H10"/>
  <c r="H9"/>
  <c r="H8"/>
  <c r="H7"/>
  <c r="H6"/>
  <c r="H5"/>
  <c r="H4"/>
  <c r="AK24" i="28"/>
  <c r="AJ24"/>
  <c r="AI24"/>
  <c r="AH24"/>
  <c r="AG24"/>
  <c r="AE24"/>
  <c r="AD24"/>
  <c r="AC24"/>
  <c r="AB24"/>
  <c r="X24"/>
  <c r="W24"/>
  <c r="V24"/>
  <c r="S24"/>
  <c r="R24"/>
  <c r="H24"/>
  <c r="BR23"/>
  <c r="BP23"/>
  <c r="BO23"/>
  <c r="AZ23"/>
  <c r="AY23"/>
  <c r="AX23"/>
  <c r="AW23"/>
  <c r="AR23"/>
  <c r="AP23"/>
  <c r="AO23"/>
  <c r="AN23"/>
  <c r="AM23"/>
  <c r="AK23"/>
  <c r="AJ23"/>
  <c r="AI23"/>
  <c r="AH23"/>
  <c r="AG23"/>
  <c r="AE23"/>
  <c r="AC23"/>
  <c r="AB23"/>
  <c r="AA23"/>
  <c r="Y23"/>
  <c r="X23"/>
  <c r="W23"/>
  <c r="V23"/>
  <c r="S23"/>
  <c r="R23"/>
  <c r="Q23"/>
  <c r="P23"/>
  <c r="O23"/>
  <c r="N23"/>
  <c r="M23"/>
  <c r="L23"/>
  <c r="H23"/>
  <c r="H19"/>
  <c r="H18"/>
  <c r="H17"/>
  <c r="H16"/>
  <c r="H15"/>
  <c r="H14"/>
  <c r="H13"/>
  <c r="H12"/>
  <c r="H11"/>
  <c r="H10"/>
  <c r="H9"/>
  <c r="H8"/>
  <c r="H7"/>
  <c r="H6"/>
  <c r="H5"/>
  <c r="H4"/>
  <c r="BP37" i="5"/>
  <c r="BO37"/>
  <c r="AZ37"/>
  <c r="AY37"/>
  <c r="AX37"/>
  <c r="AW37"/>
  <c r="AR37"/>
  <c r="AP37"/>
  <c r="AO37"/>
  <c r="AN37"/>
  <c r="AM37"/>
  <c r="AK37"/>
  <c r="AJ37"/>
  <c r="AI37"/>
  <c r="AH37"/>
  <c r="AG37"/>
  <c r="AE37"/>
  <c r="AC37"/>
  <c r="AB37"/>
  <c r="AA37"/>
  <c r="Y37"/>
  <c r="X37"/>
  <c r="W37"/>
  <c r="V37"/>
  <c r="S37"/>
  <c r="R37"/>
  <c r="Q37"/>
  <c r="P37"/>
  <c r="O37"/>
  <c r="N37"/>
  <c r="M37"/>
  <c r="L37"/>
  <c r="H37"/>
  <c r="BP36"/>
  <c r="BO36"/>
  <c r="AZ36"/>
  <c r="AY36"/>
  <c r="AX36"/>
  <c r="AW36"/>
  <c r="AR36"/>
  <c r="AP36"/>
  <c r="AO36"/>
  <c r="AN36"/>
  <c r="AM36"/>
  <c r="AK36"/>
  <c r="AJ36"/>
  <c r="AI36"/>
  <c r="AH36"/>
  <c r="AG36"/>
  <c r="AE36"/>
  <c r="AC36"/>
  <c r="AB36"/>
  <c r="AA36"/>
  <c r="Y36"/>
  <c r="X36"/>
  <c r="W36"/>
  <c r="V36"/>
  <c r="S36"/>
  <c r="R36"/>
  <c r="Q36"/>
  <c r="P36"/>
  <c r="O36"/>
  <c r="N36"/>
  <c r="M36"/>
  <c r="L36"/>
  <c r="H36"/>
  <c r="BP35"/>
  <c r="BO35"/>
  <c r="AZ35"/>
  <c r="AY35"/>
  <c r="AX35"/>
  <c r="AW35"/>
  <c r="AR35"/>
  <c r="AP35"/>
  <c r="AO35"/>
  <c r="AN35"/>
  <c r="AM35"/>
  <c r="AK35"/>
  <c r="AJ35"/>
  <c r="AI35"/>
  <c r="AH35"/>
  <c r="AG35"/>
  <c r="AE35"/>
  <c r="AC35"/>
  <c r="AB35"/>
  <c r="AA35"/>
  <c r="Y35"/>
  <c r="X35"/>
  <c r="W35"/>
  <c r="V35"/>
  <c r="S35"/>
  <c r="R35"/>
  <c r="Q35"/>
  <c r="P35"/>
  <c r="O35"/>
  <c r="N35"/>
  <c r="M35"/>
  <c r="L35"/>
  <c r="H35"/>
  <c r="BP33"/>
  <c r="BO33"/>
  <c r="AZ33"/>
  <c r="AY33"/>
  <c r="AX33"/>
  <c r="AW33"/>
  <c r="AR33"/>
  <c r="AP33"/>
  <c r="AO33"/>
  <c r="AN33"/>
  <c r="AM33"/>
  <c r="AK33"/>
  <c r="AJ33"/>
  <c r="AI33"/>
  <c r="AH33"/>
  <c r="AG33"/>
  <c r="AE33"/>
  <c r="AC33"/>
  <c r="AB33"/>
  <c r="AA33"/>
  <c r="Y33"/>
  <c r="X33"/>
  <c r="W33"/>
  <c r="V33"/>
  <c r="S33"/>
  <c r="R33"/>
  <c r="Q33"/>
  <c r="P33"/>
  <c r="O33"/>
  <c r="N33"/>
  <c r="M33"/>
  <c r="L33"/>
  <c r="H33"/>
  <c r="BP32"/>
  <c r="BO32"/>
  <c r="AZ32"/>
  <c r="AY32"/>
  <c r="AX32"/>
  <c r="AW32"/>
  <c r="AR32"/>
  <c r="AP32"/>
  <c r="AO32"/>
  <c r="AN32"/>
  <c r="AM32"/>
  <c r="AK32"/>
  <c r="AJ32"/>
  <c r="AI32"/>
  <c r="AH32"/>
  <c r="AG32"/>
  <c r="AE32"/>
  <c r="AC32"/>
  <c r="AB32"/>
  <c r="AA32"/>
  <c r="Y32"/>
  <c r="X32"/>
  <c r="W32"/>
  <c r="V32"/>
  <c r="S32"/>
  <c r="R32"/>
  <c r="Q32"/>
  <c r="P32"/>
  <c r="O32"/>
  <c r="N32"/>
  <c r="M32"/>
  <c r="L32"/>
  <c r="H32"/>
  <c r="BP31"/>
  <c r="BO31"/>
  <c r="AZ31"/>
  <c r="AY31"/>
  <c r="AX31"/>
  <c r="AW31"/>
  <c r="AR31"/>
  <c r="AP31"/>
  <c r="AO31"/>
  <c r="AN31"/>
  <c r="AM31"/>
  <c r="AK31"/>
  <c r="AJ31"/>
  <c r="AI31"/>
  <c r="AH31"/>
  <c r="AG31"/>
  <c r="AE31"/>
  <c r="AC31"/>
  <c r="AB31"/>
  <c r="AA31"/>
  <c r="Y31"/>
  <c r="X31"/>
  <c r="W31"/>
  <c r="V31"/>
  <c r="S31"/>
  <c r="R31"/>
  <c r="Q31"/>
  <c r="P31"/>
  <c r="O31"/>
  <c r="N31"/>
  <c r="M31"/>
  <c r="L31"/>
  <c r="H31"/>
  <c r="BP23"/>
  <c r="BO23"/>
  <c r="AZ23"/>
  <c r="AY23"/>
  <c r="AX23"/>
  <c r="AW23"/>
  <c r="AR23"/>
  <c r="AP23"/>
  <c r="AO23"/>
  <c r="AN23"/>
  <c r="AM23"/>
  <c r="AK23"/>
  <c r="AJ23"/>
  <c r="AI23"/>
  <c r="AH23"/>
  <c r="AG23"/>
  <c r="AE23"/>
  <c r="AC23"/>
  <c r="AB23"/>
  <c r="AA23"/>
  <c r="Y23"/>
  <c r="X23"/>
  <c r="W23"/>
  <c r="V23"/>
  <c r="S23"/>
  <c r="R23"/>
  <c r="Q23"/>
  <c r="P23"/>
  <c r="O23"/>
  <c r="N23"/>
  <c r="M23"/>
  <c r="L23"/>
  <c r="H23"/>
  <c r="BP22"/>
  <c r="BO22"/>
  <c r="AZ22"/>
  <c r="AY22"/>
  <c r="AX22"/>
  <c r="AW22"/>
  <c r="AR22"/>
  <c r="AP22"/>
  <c r="AO22"/>
  <c r="AN22"/>
  <c r="AM22"/>
  <c r="AK22"/>
  <c r="AJ22"/>
  <c r="AI22"/>
  <c r="AH22"/>
  <c r="AG22"/>
  <c r="AE22"/>
  <c r="AC22"/>
  <c r="AB22"/>
  <c r="AA22"/>
  <c r="Y22"/>
  <c r="X22"/>
  <c r="W22"/>
  <c r="V22"/>
  <c r="S22"/>
  <c r="R22"/>
  <c r="Q22"/>
  <c r="P22"/>
  <c r="O22"/>
  <c r="N22"/>
  <c r="M22"/>
  <c r="L22"/>
  <c r="H22"/>
  <c r="BP21"/>
  <c r="BO21"/>
  <c r="AZ21"/>
  <c r="AY21"/>
  <c r="AX21"/>
  <c r="AW21"/>
  <c r="AR21"/>
  <c r="AP21"/>
  <c r="AO21"/>
  <c r="AN21"/>
  <c r="AM21"/>
  <c r="AK21"/>
  <c r="AJ21"/>
  <c r="AI21"/>
  <c r="AH21"/>
  <c r="AG21"/>
  <c r="AE21"/>
  <c r="AC21"/>
  <c r="AB21"/>
  <c r="AA21"/>
  <c r="Y21"/>
  <c r="X21"/>
  <c r="W21"/>
  <c r="V21"/>
  <c r="S21"/>
  <c r="R21"/>
  <c r="Q21"/>
  <c r="P21"/>
  <c r="O21"/>
  <c r="N21"/>
  <c r="M21"/>
  <c r="L21"/>
  <c r="H21"/>
  <c r="BP20"/>
  <c r="BO20"/>
  <c r="AZ20"/>
  <c r="AY20"/>
  <c r="AX20"/>
  <c r="AW20"/>
  <c r="AR20"/>
  <c r="AP20"/>
  <c r="AO20"/>
  <c r="AN20"/>
  <c r="AM20"/>
  <c r="AK20"/>
  <c r="AJ20"/>
  <c r="AI20"/>
  <c r="AH20"/>
  <c r="AG20"/>
  <c r="AE20"/>
  <c r="AC20"/>
  <c r="AB20"/>
  <c r="AA20"/>
  <c r="Y20"/>
  <c r="X20"/>
  <c r="W20"/>
  <c r="V20"/>
  <c r="S20"/>
  <c r="R20"/>
  <c r="Q20"/>
  <c r="P20"/>
  <c r="O20"/>
  <c r="N20"/>
  <c r="M20"/>
  <c r="L20"/>
  <c r="H20"/>
  <c r="BP18"/>
  <c r="BO18"/>
  <c r="AZ18"/>
  <c r="AY18"/>
  <c r="AX18"/>
  <c r="AW18"/>
  <c r="AR18"/>
  <c r="AP18"/>
  <c r="AO18"/>
  <c r="AN18"/>
  <c r="AM18"/>
  <c r="AK18"/>
  <c r="AJ18"/>
  <c r="AI18"/>
  <c r="AH18"/>
  <c r="AG18"/>
  <c r="AE18"/>
  <c r="AC18"/>
  <c r="AB18"/>
  <c r="AA18"/>
  <c r="Y18"/>
  <c r="X18"/>
  <c r="W18"/>
  <c r="V18"/>
  <c r="S18"/>
  <c r="R18"/>
  <c r="Q18"/>
  <c r="P18"/>
  <c r="O18"/>
  <c r="N18"/>
  <c r="M18"/>
  <c r="L18"/>
  <c r="H18"/>
  <c r="BP17"/>
  <c r="BO17"/>
  <c r="AZ17"/>
  <c r="AY17"/>
  <c r="AX17"/>
  <c r="AW17"/>
  <c r="AR17"/>
  <c r="AP17"/>
  <c r="AO17"/>
  <c r="AN17"/>
  <c r="AM17"/>
  <c r="AK17"/>
  <c r="AJ17"/>
  <c r="AI17"/>
  <c r="AH17"/>
  <c r="AG17"/>
  <c r="AE17"/>
  <c r="AC17"/>
  <c r="AB17"/>
  <c r="AA17"/>
  <c r="Y17"/>
  <c r="X17"/>
  <c r="W17"/>
  <c r="V17"/>
  <c r="S17"/>
  <c r="R17"/>
  <c r="Q17"/>
  <c r="P17"/>
  <c r="O17"/>
  <c r="N17"/>
  <c r="M17"/>
  <c r="L17"/>
  <c r="H17"/>
  <c r="BP16"/>
  <c r="BO16"/>
  <c r="AZ16"/>
  <c r="AY16"/>
  <c r="AX16"/>
  <c r="AW16"/>
  <c r="AR16"/>
  <c r="AP16"/>
  <c r="AO16"/>
  <c r="AN16"/>
  <c r="AM16"/>
  <c r="AK16"/>
  <c r="AJ16"/>
  <c r="AI16"/>
  <c r="AH16"/>
  <c r="AG16"/>
  <c r="AE16"/>
  <c r="AC16"/>
  <c r="AB16"/>
  <c r="AA16"/>
  <c r="Y16"/>
  <c r="X16"/>
  <c r="W16"/>
  <c r="V16"/>
  <c r="S16"/>
  <c r="R16"/>
  <c r="Q16"/>
  <c r="P16"/>
  <c r="O16"/>
  <c r="N16"/>
  <c r="M16"/>
  <c r="L16"/>
  <c r="H16"/>
  <c r="BP15"/>
  <c r="BO15"/>
  <c r="AZ15"/>
  <c r="AY15"/>
  <c r="AX15"/>
  <c r="AW15"/>
  <c r="AR15"/>
  <c r="AP15"/>
  <c r="AO15"/>
  <c r="AN15"/>
  <c r="AM15"/>
  <c r="AK15"/>
  <c r="AJ15"/>
  <c r="AI15"/>
  <c r="AH15"/>
  <c r="AG15"/>
  <c r="AE15"/>
  <c r="AC15"/>
  <c r="AB15"/>
  <c r="AA15"/>
  <c r="Y15"/>
  <c r="X15"/>
  <c r="W15"/>
  <c r="V15"/>
  <c r="S15"/>
  <c r="R15"/>
  <c r="Q15"/>
  <c r="P15"/>
  <c r="O15"/>
  <c r="N15"/>
  <c r="M15"/>
  <c r="L15"/>
  <c r="H15"/>
  <c r="BP9"/>
  <c r="BO9"/>
  <c r="AZ9"/>
  <c r="AY9"/>
  <c r="AX9"/>
  <c r="AW9"/>
  <c r="AR9"/>
  <c r="AP9"/>
  <c r="AO9"/>
  <c r="AN9"/>
  <c r="AM9"/>
  <c r="AK9"/>
  <c r="AJ9"/>
  <c r="AI9"/>
  <c r="AH9"/>
  <c r="AG9"/>
  <c r="AE9"/>
  <c r="AC9"/>
  <c r="AB9"/>
  <c r="AA9"/>
  <c r="Y9"/>
  <c r="X9"/>
  <c r="W9"/>
  <c r="V9"/>
  <c r="S9"/>
  <c r="R9"/>
  <c r="Q9"/>
  <c r="P9"/>
  <c r="O9"/>
  <c r="N9"/>
  <c r="M9"/>
  <c r="L9"/>
  <c r="H9"/>
  <c r="H19" i="29" l="1"/>
  <c r="BP23"/>
  <c r="AY23"/>
  <c r="BP23" i="38"/>
  <c r="AY23"/>
  <c r="O23"/>
  <c r="H24"/>
  <c r="AP23"/>
  <c r="L23" i="29"/>
  <c r="M23" s="1"/>
  <c r="N23" s="1"/>
  <c r="AP23"/>
  <c r="P23" i="38" l="1"/>
  <c r="Q23" s="1"/>
  <c r="R23" s="1"/>
  <c r="O23" i="29"/>
  <c r="P23" s="1"/>
  <c r="Q23" s="1"/>
  <c r="R24" i="38" l="1"/>
  <c r="S23"/>
  <c r="R23" i="29"/>
  <c r="AE23" i="38" l="1"/>
  <c r="AE24" s="1"/>
  <c r="AG23"/>
  <c r="AH23"/>
  <c r="AH24" s="1"/>
  <c r="AI23"/>
  <c r="S24"/>
  <c r="AA23"/>
  <c r="V23"/>
  <c r="W23"/>
  <c r="W24" s="1"/>
  <c r="R24" i="29"/>
  <c r="S23"/>
  <c r="AJ23" i="38" l="1"/>
  <c r="AG24"/>
  <c r="V24"/>
  <c r="AB23"/>
  <c r="AI24"/>
  <c r="AN23"/>
  <c r="AA23" i="29"/>
  <c r="W23"/>
  <c r="W24" s="1"/>
  <c r="AH23"/>
  <c r="AH24" s="1"/>
  <c r="AE23"/>
  <c r="AE24" s="1"/>
  <c r="AI23"/>
  <c r="S24"/>
  <c r="AG23" s="1"/>
  <c r="V23"/>
  <c r="AJ24" i="38" l="1"/>
  <c r="AO23"/>
  <c r="AR23" s="1"/>
  <c r="AX23" s="1"/>
  <c r="AZ23" s="1"/>
  <c r="BO23" s="1"/>
  <c r="AB24"/>
  <c r="AC23"/>
  <c r="AC24" s="1"/>
  <c r="AG24" i="29"/>
  <c r="AJ23"/>
  <c r="V24"/>
  <c r="AB23"/>
  <c r="AI24"/>
  <c r="AN23"/>
  <c r="AJ24" l="1"/>
  <c r="AO23"/>
  <c r="AR23" s="1"/>
  <c r="AX23" s="1"/>
  <c r="AZ23" s="1"/>
  <c r="BO23" s="1"/>
  <c r="AB24"/>
  <c r="AC23"/>
  <c r="AC24" s="1"/>
</calcChain>
</file>

<file path=xl/sharedStrings.xml><?xml version="1.0" encoding="utf-8"?>
<sst xmlns="http://schemas.openxmlformats.org/spreadsheetml/2006/main" count="1028" uniqueCount="220">
  <si>
    <t>Scenario  : Local Purchase - Stock UOM and Purchase UOM (Similar)</t>
  </si>
  <si>
    <t xml:space="preserve">Purchase Request </t>
  </si>
  <si>
    <t>S. No.</t>
  </si>
  <si>
    <t>Item</t>
  </si>
  <si>
    <t>Item Desc.</t>
  </si>
  <si>
    <t>Stk. UOM</t>
  </si>
  <si>
    <t>Pur. UOM</t>
  </si>
  <si>
    <t>Qty</t>
  </si>
  <si>
    <t>Unit Cost</t>
  </si>
  <si>
    <t>Gross Amt.</t>
  </si>
  <si>
    <t>RM1001</t>
  </si>
  <si>
    <t>Raw Material - 1001</t>
  </si>
  <si>
    <t>NOS</t>
  </si>
  <si>
    <t>RM1002</t>
  </si>
  <si>
    <t>Raw Material - 1002</t>
  </si>
  <si>
    <t>RM1003</t>
  </si>
  <si>
    <t>Raw Material - 1003</t>
  </si>
  <si>
    <t>RM1004</t>
  </si>
  <si>
    <t>Raw Material - 1004</t>
  </si>
  <si>
    <t>RM1005</t>
  </si>
  <si>
    <t>Raw Material - 1005</t>
  </si>
  <si>
    <t>RM1006</t>
  </si>
  <si>
    <t>Raw Material - 1006</t>
  </si>
  <si>
    <t>RM1007</t>
  </si>
  <si>
    <t>Raw Material - 1007</t>
  </si>
  <si>
    <t>RM1008</t>
  </si>
  <si>
    <t>Raw Material - 1008</t>
  </si>
  <si>
    <t>RM1009</t>
  </si>
  <si>
    <t>Raw Material - 1009</t>
  </si>
  <si>
    <t>RM1010</t>
  </si>
  <si>
    <t>Raw Material - 1010</t>
  </si>
  <si>
    <t>RM1011</t>
  </si>
  <si>
    <t>Raw Material - 1011</t>
  </si>
  <si>
    <t>RM1012</t>
  </si>
  <si>
    <t>Raw Material - 1012</t>
  </si>
  <si>
    <t>RM1013</t>
  </si>
  <si>
    <t>Raw Material - 1013</t>
  </si>
  <si>
    <t>RM1014</t>
  </si>
  <si>
    <t>Raw Material - 1014</t>
  </si>
  <si>
    <t>RM1015</t>
  </si>
  <si>
    <t>Raw Material - 1015</t>
  </si>
  <si>
    <t>Total</t>
  </si>
  <si>
    <t>Purchase Order &amp; GRN</t>
  </si>
  <si>
    <t>GST Purchase</t>
  </si>
  <si>
    <t xml:space="preserve">Cur. </t>
  </si>
  <si>
    <t>INR</t>
  </si>
  <si>
    <t>Ex. Rate</t>
  </si>
  <si>
    <t>Apportion Basis</t>
  </si>
  <si>
    <t>1 - Value Based, 2 Weight/Volume Based</t>
  </si>
  <si>
    <t>Order Qty (Pur UOM)</t>
  </si>
  <si>
    <t>TD%</t>
  </si>
  <si>
    <t>SD%</t>
  </si>
  <si>
    <t>CD%</t>
  </si>
  <si>
    <t>TD Asbl. Val.</t>
  </si>
  <si>
    <t>TD Amt.</t>
  </si>
  <si>
    <t>SD Asbl. Val.</t>
  </si>
  <si>
    <t>SD Amt.</t>
  </si>
  <si>
    <t>CD Asbl. Val.</t>
  </si>
  <si>
    <t>CD Amt.</t>
  </si>
  <si>
    <t>Disc. Amt.</t>
  </si>
  <si>
    <t>Pur. Val.</t>
  </si>
  <si>
    <t>HSN</t>
  </si>
  <si>
    <t>Tax Rate</t>
  </si>
  <si>
    <t>CGST</t>
  </si>
  <si>
    <t>SGST</t>
  </si>
  <si>
    <t>IGST</t>
  </si>
  <si>
    <t>Tax amt</t>
  </si>
  <si>
    <t>Net Amt</t>
  </si>
  <si>
    <t>Weight/Vol</t>
  </si>
  <si>
    <t>Customs Duty</t>
  </si>
  <si>
    <t>IGST (Import)</t>
  </si>
  <si>
    <t>Packing &amp; Forwarding</t>
  </si>
  <si>
    <t>Freight</t>
  </si>
  <si>
    <t>Pur Amt (BC)</t>
  </si>
  <si>
    <t>Chargeable Cost</t>
  </si>
  <si>
    <t>Landed Cost</t>
  </si>
  <si>
    <t>Conv. Factor</t>
  </si>
  <si>
    <t>Eqv.  Stock Qty</t>
  </si>
  <si>
    <t>Pur. Unit Cost (chr)</t>
  </si>
  <si>
    <t>Chrg. Unit Cost</t>
  </si>
  <si>
    <t>Landed Cost Unit Cost</t>
  </si>
  <si>
    <t>Stock UOM</t>
  </si>
  <si>
    <t>Unit Cost (Stock UOM)</t>
  </si>
  <si>
    <t>Ins. WH</t>
  </si>
  <si>
    <t>Qty Before Post</t>
  </si>
  <si>
    <t>Unit Cost Before Post</t>
  </si>
  <si>
    <t>Receipt Qty</t>
  </si>
  <si>
    <t>Receipt Unit cost</t>
  </si>
  <si>
    <t>Qty After Post</t>
  </si>
  <si>
    <t>Unit Cost After Post</t>
  </si>
  <si>
    <t>Result (Ok/Not OK)</t>
  </si>
  <si>
    <t>Stock Transaction</t>
  </si>
  <si>
    <t>Lot / Serial Type</t>
  </si>
  <si>
    <t>LOT_NUMBER</t>
  </si>
  <si>
    <t>SERIAL_NUMBER</t>
  </si>
  <si>
    <t>Lot / Serial Trans</t>
  </si>
  <si>
    <t>Locator Trans</t>
  </si>
  <si>
    <t>Batch Stocks</t>
  </si>
  <si>
    <t>Stock Ledger</t>
  </si>
  <si>
    <t>Stock As on Date (Qty)</t>
  </si>
  <si>
    <t>Stock As on Date (Qty &amp; vALUE)</t>
  </si>
  <si>
    <t>Sou.WH</t>
  </si>
  <si>
    <t>Unitcost Before Post For Source Warehouse</t>
  </si>
  <si>
    <t>Qty Before Post For Source WareHouse</t>
  </si>
  <si>
    <t>Qty After Post forSource Warehouse</t>
  </si>
  <si>
    <t>TVS-RM-NA-10001</t>
  </si>
  <si>
    <t>HSN1</t>
  </si>
  <si>
    <t>INS KD</t>
  </si>
  <si>
    <t>0</t>
  </si>
  <si>
    <t>200</t>
  </si>
  <si>
    <t>Receipt Qty &amp; Unit cost</t>
  </si>
  <si>
    <t>NA</t>
  </si>
  <si>
    <t>R100</t>
  </si>
  <si>
    <t>LOT</t>
  </si>
  <si>
    <t>HK-FIFO-SER-BATCH-10001</t>
  </si>
  <si>
    <t>SERIAL</t>
  </si>
  <si>
    <t>TVS-SER-10001</t>
  </si>
  <si>
    <t>TVS-RM-NA-10002</t>
  </si>
  <si>
    <t>TVS-RM-KDK-20 PriceList</t>
  </si>
  <si>
    <t>HK-FIFO-SER-BATCH-10001 PriceList</t>
  </si>
  <si>
    <t>TVS-RM-NA-10001 PriceList</t>
  </si>
  <si>
    <t>TVS-RM-NA-10002 PriceList</t>
  </si>
  <si>
    <t>TVS-RM-KDK-20 RateContract</t>
  </si>
  <si>
    <t>HK-FIFO-SER-BATCH-10001 RateContract</t>
  </si>
  <si>
    <t>TVS-RM-NA-10001 RateContract</t>
  </si>
  <si>
    <t>TVS-RM-NA-10002 RateContract</t>
  </si>
  <si>
    <t>2</t>
  </si>
  <si>
    <t>300</t>
  </si>
  <si>
    <t>400</t>
  </si>
  <si>
    <t>4</t>
  </si>
  <si>
    <t>12</t>
  </si>
  <si>
    <t>250.25</t>
  </si>
  <si>
    <t>11178</t>
  </si>
  <si>
    <t>268.62529</t>
  </si>
  <si>
    <t>2159</t>
  </si>
  <si>
    <t>78.69504</t>
  </si>
  <si>
    <t>234.51578</t>
  </si>
  <si>
    <t>(1 - Local Purchase,2 Interstate Purchase, 3 Import Purchase,4-UTGST)</t>
  </si>
  <si>
    <t>(1 - Registered, 2 - Unregistered)</t>
  </si>
  <si>
    <t>UTGST</t>
  </si>
  <si>
    <t>Cess%</t>
  </si>
  <si>
    <t>CESS</t>
  </si>
  <si>
    <t>234.33</t>
  </si>
  <si>
    <t>RM</t>
  </si>
  <si>
    <t>RMS</t>
  </si>
  <si>
    <t>4246.0596</t>
  </si>
  <si>
    <t>10</t>
  </si>
  <si>
    <t>RM KD</t>
  </si>
  <si>
    <t>282.33</t>
  </si>
  <si>
    <t>6</t>
  </si>
  <si>
    <t>2376.6</t>
  </si>
  <si>
    <t>169.49546</t>
  </si>
  <si>
    <t>TVS-RM-KDK-200</t>
  </si>
  <si>
    <t>8</t>
  </si>
  <si>
    <t>191.368</t>
  </si>
  <si>
    <t>288.945</t>
  </si>
  <si>
    <t>16</t>
  </si>
  <si>
    <t>385.26</t>
  </si>
  <si>
    <t>456.3</t>
  </si>
  <si>
    <t>500</t>
  </si>
  <si>
    <t>20</t>
  </si>
  <si>
    <t>274.35</t>
  </si>
  <si>
    <t>26</t>
  </si>
  <si>
    <t>365.62462</t>
  </si>
  <si>
    <t>465.8</t>
  </si>
  <si>
    <t>22</t>
  </si>
  <si>
    <t>274.81636</t>
  </si>
  <si>
    <t>28</t>
  </si>
  <si>
    <t>366.12572</t>
  </si>
  <si>
    <t>ROAU-KDK-SERVICE-01</t>
  </si>
  <si>
    <t>ROAU-RM-KDK-01 RateContract</t>
  </si>
  <si>
    <t>INS</t>
  </si>
  <si>
    <t>186.32</t>
  </si>
  <si>
    <t>Cost</t>
  </si>
  <si>
    <t>GL Account</t>
  </si>
  <si>
    <t>TYPE</t>
  </si>
  <si>
    <t>186.50283</t>
  </si>
  <si>
    <t>2380</t>
  </si>
  <si>
    <t>CHARGES ACCOUNT</t>
  </si>
  <si>
    <t>TDS</t>
  </si>
  <si>
    <t>194Q</t>
  </si>
  <si>
    <t>420</t>
  </si>
  <si>
    <t>186.43527</t>
  </si>
  <si>
    <t>SNO</t>
  </si>
  <si>
    <t>UNIT</t>
  </si>
  <si>
    <t>GL ACCOUNT NUMBER</t>
  </si>
  <si>
    <t>GL ACCOUNT DESC</t>
  </si>
  <si>
    <t>CPC CODE</t>
  </si>
  <si>
    <t>CPC DESC</t>
  </si>
  <si>
    <t>Document 1</t>
  </si>
  <si>
    <t>Document 2</t>
  </si>
  <si>
    <t>DEBIT</t>
  </si>
  <si>
    <t>CREDIT</t>
  </si>
  <si>
    <t>U1</t>
  </si>
  <si>
    <t>110</t>
  </si>
  <si>
    <t>PURCHASE OF RAW MATERIALS</t>
  </si>
  <si>
    <t>PURCHASE OF GOODS(TDS)</t>
  </si>
  <si>
    <t>ARUN PACKS (P) LTD(AP)</t>
  </si>
  <si>
    <t>U10000002</t>
  </si>
  <si>
    <t>PUDUCHERRY ZONE 1-SPRINGFIELD-GENERAL</t>
  </si>
  <si>
    <t>GLAccountDesc</t>
  </si>
  <si>
    <t>RAW MATERIAL</t>
  </si>
  <si>
    <t>INPUT CGST - 9%</t>
  </si>
  <si>
    <t>INPUT SGST - 9%</t>
  </si>
  <si>
    <t>ARUN PACKS (P) LTD (AP)</t>
  </si>
  <si>
    <t>194C(TDS)</t>
  </si>
  <si>
    <t>DISCOUNT RECEIVED</t>
  </si>
  <si>
    <t>Debit</t>
  </si>
  <si>
    <t>Credit</t>
  </si>
  <si>
    <t>MANUFACTRING EXPENSES</t>
  </si>
  <si>
    <t>194Q TDS</t>
  </si>
  <si>
    <t>Scenario  :Purchase Bills deviation Calculation</t>
  </si>
  <si>
    <t>Deviation</t>
  </si>
  <si>
    <t>Matched Amt</t>
  </si>
  <si>
    <t>GRN Amt</t>
  </si>
  <si>
    <t>UnitCost</t>
  </si>
  <si>
    <t>Proc.Qty</t>
  </si>
  <si>
    <t>Curr.Matched Amt</t>
  </si>
  <si>
    <t>Deviation Amt</t>
  </si>
  <si>
    <t>375.00</t>
  </si>
</sst>
</file>

<file path=xl/styles.xml><?xml version="1.0" encoding="utf-8"?>
<styleSheet xmlns="http://schemas.openxmlformats.org/spreadsheetml/2006/main">
  <numFmts count="1">
    <numFmt numFmtId="164" formatCode="0.000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10"/>
      <color rgb="FF000000"/>
      <name val="Consolas"/>
      <family val="3"/>
    </font>
    <font>
      <b/>
      <u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0"/>
      <color rgb="FF000000"/>
      <name val="Consolas"/>
      <family val="3"/>
    </font>
    <font>
      <b/>
      <sz val="11"/>
      <color theme="1"/>
      <name val="Calibri"/>
      <family val="2"/>
      <scheme val="minor"/>
    </font>
    <font>
      <sz val="9"/>
      <color rgb="FF262626"/>
      <name val="Arial"/>
      <family val="2"/>
    </font>
    <font>
      <b/>
      <sz val="10"/>
      <color theme="1"/>
      <name val="Cambria"/>
      <family val="1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6" tint="0.39997558519241921"/>
        <bgColor indexed="64"/>
      </patternFill>
    </fill>
  </fills>
  <borders count="22">
    <border>
      <left/>
      <right/>
      <top/>
      <bottom/>
      <diagonal/>
    </border>
    <border>
      <left style="double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 style="thin">
        <color rgb="FF0070C0"/>
      </left>
      <right style="double">
        <color rgb="FF0070C0"/>
      </right>
      <top style="double">
        <color rgb="FF0070C0"/>
      </top>
      <bottom style="thin">
        <color rgb="FF0070C0"/>
      </bottom>
      <diagonal/>
    </border>
    <border>
      <left style="double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double">
        <color rgb="FF0070C0"/>
      </right>
      <top style="thin">
        <color rgb="FF0070C0"/>
      </top>
      <bottom style="thin">
        <color rgb="FF0070C0"/>
      </bottom>
      <diagonal/>
    </border>
    <border>
      <left style="double">
        <color rgb="FF0070C0"/>
      </left>
      <right style="thin">
        <color rgb="FF0070C0"/>
      </right>
      <top style="thin">
        <color rgb="FF0070C0"/>
      </top>
      <bottom style="double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double">
        <color rgb="FF0070C0"/>
      </bottom>
      <diagonal/>
    </border>
    <border>
      <left style="thin">
        <color rgb="FF0070C0"/>
      </left>
      <right style="double">
        <color rgb="FF0070C0"/>
      </right>
      <top style="thin">
        <color rgb="FF0070C0"/>
      </top>
      <bottom style="double">
        <color rgb="FF0070C0"/>
      </bottom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rgb="FF0070C0"/>
      </left>
      <right/>
      <top/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6" fillId="0" borderId="0" xfId="0" applyFont="1"/>
    <xf numFmtId="0" fontId="5" fillId="0" borderId="14" xfId="0" applyFont="1" applyBorder="1"/>
    <xf numFmtId="0" fontId="0" fillId="0" borderId="5" xfId="0" applyNumberFormat="1" applyBorder="1"/>
    <xf numFmtId="0" fontId="0" fillId="0" borderId="0" xfId="0" applyNumberFormat="1"/>
    <xf numFmtId="0" fontId="0" fillId="0" borderId="0" xfId="0" applyBorder="1" applyAlignment="1"/>
    <xf numFmtId="0" fontId="0" fillId="0" borderId="15" xfId="0" applyBorder="1" applyAlignment="1">
      <alignment vertical="center"/>
    </xf>
    <xf numFmtId="0" fontId="8" fillId="0" borderId="0" xfId="0" applyFont="1"/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4" xfId="0" applyFont="1" applyBorder="1"/>
    <xf numFmtId="0" fontId="8" fillId="0" borderId="5" xfId="0" applyFont="1" applyBorder="1"/>
    <xf numFmtId="164" fontId="8" fillId="0" borderId="5" xfId="0" applyNumberFormat="1" applyFont="1" applyBorder="1"/>
    <xf numFmtId="2" fontId="8" fillId="0" borderId="5" xfId="0" applyNumberFormat="1" applyFont="1" applyBorder="1"/>
    <xf numFmtId="2" fontId="8" fillId="0" borderId="6" xfId="0" applyNumberFormat="1" applyFont="1" applyBorder="1"/>
    <xf numFmtId="10" fontId="8" fillId="0" borderId="0" xfId="0" applyNumberFormat="1" applyFont="1" applyFill="1" applyBorder="1"/>
    <xf numFmtId="2" fontId="8" fillId="0" borderId="0" xfId="0" applyNumberFormat="1" applyFont="1" applyFill="1" applyBorder="1"/>
    <xf numFmtId="0" fontId="10" fillId="0" borderId="0" xfId="0" applyFont="1"/>
    <xf numFmtId="0" fontId="8" fillId="0" borderId="7" xfId="0" applyFont="1" applyBorder="1"/>
    <xf numFmtId="0" fontId="8" fillId="0" borderId="8" xfId="0" applyFont="1" applyBorder="1"/>
    <xf numFmtId="164" fontId="8" fillId="0" borderId="8" xfId="0" applyNumberFormat="1" applyFont="1" applyBorder="1"/>
    <xf numFmtId="2" fontId="8" fillId="0" borderId="8" xfId="0" applyNumberFormat="1" applyFont="1" applyBorder="1"/>
    <xf numFmtId="2" fontId="8" fillId="0" borderId="9" xfId="0" applyNumberFormat="1" applyFont="1" applyBorder="1"/>
    <xf numFmtId="0" fontId="9" fillId="3" borderId="11" xfId="0" applyFont="1" applyFill="1" applyBorder="1" applyAlignment="1">
      <alignment vertical="top"/>
    </xf>
    <xf numFmtId="0" fontId="8" fillId="0" borderId="0" xfId="0" applyFont="1" applyBorder="1"/>
    <xf numFmtId="0" fontId="9" fillId="0" borderId="0" xfId="0" applyFont="1" applyFill="1" applyBorder="1"/>
    <xf numFmtId="0" fontId="9" fillId="0" borderId="0" xfId="0" applyFont="1" applyFill="1" applyBorder="1" applyAlignment="1">
      <alignment horizontal="center"/>
    </xf>
    <xf numFmtId="0" fontId="8" fillId="0" borderId="0" xfId="0" applyFont="1" applyFill="1" applyBorder="1"/>
    <xf numFmtId="0" fontId="9" fillId="0" borderId="0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center" vertical="center"/>
    </xf>
    <xf numFmtId="0" fontId="8" fillId="2" borderId="2" xfId="0" applyFont="1" applyFill="1" applyBorder="1"/>
    <xf numFmtId="0" fontId="8" fillId="2" borderId="13" xfId="0" applyFont="1" applyFill="1" applyBorder="1"/>
    <xf numFmtId="0" fontId="8" fillId="2" borderId="2" xfId="0" applyFont="1" applyFill="1" applyBorder="1" applyAlignment="1"/>
    <xf numFmtId="0" fontId="8" fillId="0" borderId="14" xfId="0" applyFont="1" applyBorder="1"/>
    <xf numFmtId="0" fontId="8" fillId="0" borderId="14" xfId="0" applyNumberFormat="1" applyFont="1" applyBorder="1"/>
    <xf numFmtId="10" fontId="8" fillId="0" borderId="14" xfId="0" applyNumberFormat="1" applyFont="1" applyBorder="1"/>
    <xf numFmtId="0" fontId="8" fillId="0" borderId="5" xfId="0" applyNumberFormat="1" applyFont="1" applyBorder="1"/>
    <xf numFmtId="0" fontId="0" fillId="0" borderId="15" xfId="0" applyNumberFormat="1" applyFont="1" applyBorder="1" applyAlignment="1">
      <alignment vertical="center"/>
    </xf>
    <xf numFmtId="0" fontId="0" fillId="0" borderId="0" xfId="0" applyNumberFormat="1" applyAlignment="1">
      <alignment horizontal="center"/>
    </xf>
    <xf numFmtId="0" fontId="9" fillId="3" borderId="16" xfId="0" applyFont="1" applyFill="1" applyBorder="1" applyAlignment="1"/>
    <xf numFmtId="0" fontId="9" fillId="3" borderId="17" xfId="0" applyFont="1" applyFill="1" applyBorder="1" applyAlignment="1"/>
    <xf numFmtId="0" fontId="9" fillId="3" borderId="14" xfId="0" applyFont="1" applyFill="1" applyBorder="1"/>
    <xf numFmtId="0" fontId="9" fillId="3" borderId="14" xfId="0" applyNumberFormat="1" applyFont="1" applyFill="1" applyBorder="1"/>
    <xf numFmtId="2" fontId="9" fillId="3" borderId="14" xfId="0" applyNumberFormat="1" applyFont="1" applyFill="1" applyBorder="1"/>
    <xf numFmtId="0" fontId="9" fillId="6" borderId="14" xfId="0" applyFont="1" applyFill="1" applyBorder="1"/>
    <xf numFmtId="2" fontId="9" fillId="6" borderId="14" xfId="0" applyNumberFormat="1" applyFont="1" applyFill="1" applyBorder="1"/>
    <xf numFmtId="0" fontId="5" fillId="0" borderId="14" xfId="0" applyNumberFormat="1" applyFont="1" applyBorder="1"/>
    <xf numFmtId="0" fontId="5" fillId="0" borderId="5" xfId="0" applyNumberFormat="1" applyFont="1" applyBorder="1"/>
    <xf numFmtId="0" fontId="0" fillId="0" borderId="15" xfId="0" applyNumberFormat="1" applyBorder="1" applyAlignment="1">
      <alignment vertical="center"/>
    </xf>
    <xf numFmtId="0" fontId="7" fillId="0" borderId="0" xfId="0" applyFont="1" applyBorder="1" applyAlignment="1">
      <alignment horizontal="left" vertical="top"/>
    </xf>
    <xf numFmtId="0" fontId="5" fillId="2" borderId="18" xfId="0" applyFont="1" applyFill="1" applyBorder="1"/>
    <xf numFmtId="0" fontId="4" fillId="0" borderId="0" xfId="0" applyFont="1"/>
    <xf numFmtId="0" fontId="7" fillId="0" borderId="0" xfId="0" applyFont="1" applyBorder="1" applyAlignment="1">
      <alignment horizontal="left" vertical="top"/>
    </xf>
    <xf numFmtId="2" fontId="8" fillId="0" borderId="14" xfId="0" applyNumberFormat="1" applyFont="1" applyBorder="1"/>
    <xf numFmtId="0" fontId="7" fillId="0" borderId="0" xfId="0" applyFont="1" applyBorder="1" applyAlignment="1">
      <alignment horizontal="left" vertical="top"/>
    </xf>
    <xf numFmtId="0" fontId="5" fillId="0" borderId="0" xfId="0" applyFont="1"/>
    <xf numFmtId="0" fontId="5" fillId="0" borderId="4" xfId="0" applyFont="1" applyBorder="1"/>
    <xf numFmtId="0" fontId="5" fillId="0" borderId="5" xfId="0" applyFont="1" applyBorder="1"/>
    <xf numFmtId="164" fontId="5" fillId="0" borderId="5" xfId="0" applyNumberFormat="1" applyFont="1" applyBorder="1"/>
    <xf numFmtId="2" fontId="5" fillId="0" borderId="5" xfId="0" applyNumberFormat="1" applyFont="1" applyBorder="1"/>
    <xf numFmtId="2" fontId="5" fillId="0" borderId="6" xfId="0" applyNumberFormat="1" applyFont="1" applyBorder="1"/>
    <xf numFmtId="10" fontId="5" fillId="0" borderId="0" xfId="0" applyNumberFormat="1" applyFont="1" applyFill="1" applyBorder="1"/>
    <xf numFmtId="2" fontId="5" fillId="0" borderId="0" xfId="0" applyNumberFormat="1" applyFont="1" applyFill="1" applyBorder="1"/>
    <xf numFmtId="0" fontId="5" fillId="0" borderId="7" xfId="0" applyFont="1" applyBorder="1"/>
    <xf numFmtId="0" fontId="5" fillId="0" borderId="8" xfId="0" applyFont="1" applyBorder="1"/>
    <xf numFmtId="164" fontId="5" fillId="0" borderId="8" xfId="0" applyNumberFormat="1" applyFont="1" applyBorder="1"/>
    <xf numFmtId="2" fontId="5" fillId="0" borderId="8" xfId="0" applyNumberFormat="1" applyFont="1" applyBorder="1"/>
    <xf numFmtId="2" fontId="5" fillId="0" borderId="9" xfId="0" applyNumberFormat="1" applyFont="1" applyBorder="1"/>
    <xf numFmtId="0" fontId="5" fillId="0" borderId="0" xfId="0" applyFont="1" applyBorder="1"/>
    <xf numFmtId="0" fontId="5" fillId="0" borderId="0" xfId="0" applyFont="1" applyFill="1" applyBorder="1"/>
    <xf numFmtId="0" fontId="5" fillId="2" borderId="2" xfId="0" applyFont="1" applyFill="1" applyBorder="1"/>
    <xf numFmtId="0" fontId="5" fillId="2" borderId="13" xfId="0" applyFont="1" applyFill="1" applyBorder="1"/>
    <xf numFmtId="0" fontId="5" fillId="2" borderId="2" xfId="0" applyFont="1" applyFill="1" applyBorder="1" applyAlignment="1"/>
    <xf numFmtId="10" fontId="5" fillId="0" borderId="14" xfId="0" applyNumberFormat="1" applyFont="1" applyBorder="1"/>
    <xf numFmtId="2" fontId="5" fillId="0" borderId="14" xfId="0" applyNumberFormat="1" applyFont="1" applyBorder="1"/>
    <xf numFmtId="0" fontId="3" fillId="0" borderId="0" xfId="0" applyFont="1"/>
    <xf numFmtId="0" fontId="2" fillId="0" borderId="0" xfId="0" applyFont="1"/>
    <xf numFmtId="1" fontId="8" fillId="0" borderId="14" xfId="0" applyNumberFormat="1" applyFont="1" applyBorder="1"/>
    <xf numFmtId="0" fontId="11" fillId="6" borderId="15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1" fillId="6" borderId="19" xfId="0" applyFont="1" applyFill="1" applyBorder="1" applyAlignment="1">
      <alignment vertical="center"/>
    </xf>
    <xf numFmtId="0" fontId="11" fillId="6" borderId="20" xfId="0" applyFont="1" applyFill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2" fillId="0" borderId="0" xfId="0" applyFont="1"/>
    <xf numFmtId="0" fontId="12" fillId="9" borderId="21" xfId="0" applyFont="1" applyFill="1" applyBorder="1"/>
    <xf numFmtId="0" fontId="12" fillId="10" borderId="21" xfId="0" applyFont="1" applyFill="1" applyBorder="1"/>
    <xf numFmtId="2" fontId="0" fillId="0" borderId="0" xfId="0" applyNumberFormat="1"/>
    <xf numFmtId="0" fontId="7" fillId="0" borderId="0" xfId="0" applyFont="1" applyBorder="1" applyAlignment="1">
      <alignment horizontal="left" vertical="top"/>
    </xf>
    <xf numFmtId="0" fontId="7" fillId="0" borderId="0" xfId="0" applyFont="1" applyBorder="1" applyAlignment="1">
      <alignment horizontal="left" vertical="top"/>
    </xf>
    <xf numFmtId="1" fontId="0" fillId="0" borderId="0" xfId="0" applyNumberFormat="1"/>
    <xf numFmtId="0" fontId="7" fillId="0" borderId="0" xfId="0" applyFont="1" applyBorder="1" applyAlignment="1">
      <alignment horizontal="left" vertical="top"/>
    </xf>
    <xf numFmtId="0" fontId="9" fillId="3" borderId="10" xfId="0" applyFont="1" applyFill="1" applyBorder="1" applyAlignment="1">
      <alignment horizontal="center" vertical="top"/>
    </xf>
    <xf numFmtId="0" fontId="8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11" borderId="15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15" xfId="0" applyFont="1" applyBorder="1"/>
    <xf numFmtId="1" fontId="5" fillId="0" borderId="15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urai\Financial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ankReceiptChargesUS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8:BR37"/>
  <sheetViews>
    <sheetView topLeftCell="A16" workbookViewId="0">
      <selection activeCell="E24" sqref="E24"/>
    </sheetView>
  </sheetViews>
  <sheetFormatPr defaultRowHeight="15"/>
  <cols>
    <col min="2" max="2" width="27.28515625" bestFit="1" customWidth="1"/>
  </cols>
  <sheetData>
    <row r="8" spans="1:70" ht="15.75" thickBot="1"/>
    <row r="9" spans="1:70" ht="15.75" thickBot="1">
      <c r="A9" s="44">
        <v>1</v>
      </c>
      <c r="B9" s="44" t="s">
        <v>116</v>
      </c>
      <c r="C9" s="44" t="s">
        <v>11</v>
      </c>
      <c r="D9" s="44" t="s">
        <v>12</v>
      </c>
      <c r="E9" s="44" t="s">
        <v>12</v>
      </c>
      <c r="F9" s="45">
        <v>2</v>
      </c>
      <c r="G9" s="45">
        <v>250.25</v>
      </c>
      <c r="H9" s="45">
        <f>F9*G9</f>
        <v>500.5</v>
      </c>
      <c r="I9" s="45">
        <v>2.21</v>
      </c>
      <c r="J9" s="45">
        <v>1.79</v>
      </c>
      <c r="K9" s="45">
        <v>2.5</v>
      </c>
      <c r="L9" s="45">
        <f>H9</f>
        <v>500.5</v>
      </c>
      <c r="M9" s="45">
        <f>ROUND(L9*I9%,2)</f>
        <v>11.06</v>
      </c>
      <c r="N9" s="45">
        <f>H9-M9</f>
        <v>489.44</v>
      </c>
      <c r="O9" s="45">
        <f>ROUND(N9*J9%,2)</f>
        <v>8.76</v>
      </c>
      <c r="P9" s="45">
        <f>ROUND(N9-O9,2)</f>
        <v>480.68</v>
      </c>
      <c r="Q9" s="45">
        <f>ROUND(P9*K9%,2)</f>
        <v>12.02</v>
      </c>
      <c r="R9" s="45">
        <f>M9+O9+Q9</f>
        <v>31.84</v>
      </c>
      <c r="S9" s="45">
        <f>(H9-R9)</f>
        <v>468.66</v>
      </c>
      <c r="T9" s="45" t="s">
        <v>106</v>
      </c>
      <c r="U9" s="45">
        <v>0.18</v>
      </c>
      <c r="V9" s="45">
        <f>IF(OR($C$19=1,$C$19=4),ROUND(((S9*U9)/2),2),0)</f>
        <v>0</v>
      </c>
      <c r="W9" s="45">
        <f>IF($C$19=1,ROUND(((S9*U9)/2),2),0)</f>
        <v>0</v>
      </c>
      <c r="X9" s="45">
        <f>IF($C$19=2,ROUND(((S9*U9)),2),0)</f>
        <v>0</v>
      </c>
      <c r="Y9" s="45">
        <f>IF($C$19=4,ROUND(((S9*U9)/2),2),0)</f>
        <v>0</v>
      </c>
      <c r="Z9" s="46">
        <v>0.06</v>
      </c>
      <c r="AA9" s="45">
        <f>IF($C7=3,0,S9*Z9)</f>
        <v>28.119600000000002</v>
      </c>
      <c r="AB9" s="45">
        <f>V9+W9+X9+Y9+AA9</f>
        <v>28.119600000000002</v>
      </c>
      <c r="AC9" s="45">
        <f>IF($V7=1,S9+AB9,S9)</f>
        <v>468.66</v>
      </c>
      <c r="AD9" s="45">
        <v>120</v>
      </c>
      <c r="AE9" s="45" t="e">
        <f>IF($P$19=1,(S9/$S$22)*#REF!,AD9/$AD$22*#REF!)</f>
        <v>#REF!</v>
      </c>
      <c r="AF9" s="45"/>
      <c r="AG9" s="45" t="e">
        <f>IF($P$19=1,(S9/$S$22)*#REF!,AD9/$AD$22*#REF!)</f>
        <v>#REF!</v>
      </c>
      <c r="AH9" s="45" t="e">
        <f>IF($P$19=1,(S9/$S$22)*#REF!,AD9/$AD$22*#REF!)</f>
        <v>#REF!</v>
      </c>
      <c r="AI9" s="45">
        <f t="shared" ref="AI9" si="0">S9*$M$19</f>
        <v>0</v>
      </c>
      <c r="AJ9" s="45" t="e">
        <f t="shared" ref="AJ9" si="1">IF($C$19=3,0,AG9+AH9)</f>
        <v>#REF!</v>
      </c>
      <c r="AK9" s="45">
        <f t="shared" ref="AK9" si="2">IF($C$19=3,AE9+AG9+AH9,0)</f>
        <v>0</v>
      </c>
      <c r="AL9" s="45">
        <v>1</v>
      </c>
      <c r="AM9" s="45">
        <f t="shared" ref="AM9" si="3">F9/AL9</f>
        <v>2</v>
      </c>
      <c r="AN9" s="45">
        <f>AI9/AM9</f>
        <v>0</v>
      </c>
      <c r="AO9" s="45" t="e">
        <f>AJ9/AM9</f>
        <v>#REF!</v>
      </c>
      <c r="AP9" s="45">
        <f>AK9/AM9</f>
        <v>0</v>
      </c>
      <c r="AQ9" s="45" t="s">
        <v>12</v>
      </c>
      <c r="AR9" s="45" t="e">
        <f>AN9+AO9+AP9</f>
        <v>#REF!</v>
      </c>
      <c r="AS9" s="47" t="s">
        <v>107</v>
      </c>
      <c r="AT9" s="47" t="s">
        <v>12</v>
      </c>
      <c r="AU9" t="s">
        <v>126</v>
      </c>
      <c r="AV9" t="s">
        <v>142</v>
      </c>
      <c r="AW9" s="47">
        <f>AM9</f>
        <v>2</v>
      </c>
      <c r="AX9" s="47" t="e">
        <f>AR9</f>
        <v>#REF!</v>
      </c>
      <c r="AY9" s="47">
        <f>AU9+AW9</f>
        <v>4</v>
      </c>
      <c r="AZ9" s="47" t="e">
        <f>ROUND(((AU9*AV9)+(AW9*AX9))/(AU9+AW9),5)</f>
        <v>#REF!</v>
      </c>
      <c r="BA9" s="3"/>
      <c r="BB9" s="3" t="s">
        <v>110</v>
      </c>
      <c r="BC9" s="48" t="s">
        <v>113</v>
      </c>
      <c r="BD9" s="48" t="s">
        <v>143</v>
      </c>
      <c r="BE9" s="48" t="s">
        <v>144</v>
      </c>
      <c r="BF9" s="3"/>
      <c r="BG9" s="3"/>
      <c r="BH9" s="3"/>
      <c r="BI9" s="47"/>
      <c r="BJ9" s="47"/>
      <c r="BK9" s="47"/>
      <c r="BL9" s="47" t="s">
        <v>112</v>
      </c>
      <c r="BM9" t="s">
        <v>145</v>
      </c>
      <c r="BN9" t="s">
        <v>146</v>
      </c>
      <c r="BO9" s="47" t="e">
        <f>ROUND((((AW9*AZ9)+(BN9*BM9))/(AW9+BN9)),5)</f>
        <v>#REF!</v>
      </c>
      <c r="BP9" s="4">
        <f>BN9+AW9</f>
        <v>12</v>
      </c>
      <c r="BQ9" s="49">
        <v>123562</v>
      </c>
      <c r="BR9" s="4"/>
    </row>
    <row r="13" spans="1:70" ht="30.75" customHeight="1"/>
    <row r="14" spans="1:70" ht="15.75" thickBot="1"/>
    <row r="15" spans="1:70" ht="15.75" thickBot="1">
      <c r="A15" s="44">
        <v>1</v>
      </c>
      <c r="B15" s="2" t="s">
        <v>152</v>
      </c>
      <c r="C15" s="2" t="s">
        <v>11</v>
      </c>
      <c r="D15" s="44" t="s">
        <v>12</v>
      </c>
      <c r="E15" s="44" t="s">
        <v>12</v>
      </c>
      <c r="F15" s="45">
        <v>2</v>
      </c>
      <c r="G15" s="45">
        <v>300</v>
      </c>
      <c r="H15" s="45">
        <f>F15*G15</f>
        <v>600</v>
      </c>
      <c r="I15" s="45">
        <v>1</v>
      </c>
      <c r="J15" s="45">
        <v>2</v>
      </c>
      <c r="K15" s="45">
        <v>3</v>
      </c>
      <c r="L15" s="45">
        <f>H15</f>
        <v>600</v>
      </c>
      <c r="M15" s="45">
        <f>ROUND(L15*I15%,2)</f>
        <v>6</v>
      </c>
      <c r="N15" s="45">
        <f>H15-M15</f>
        <v>594</v>
      </c>
      <c r="O15" s="45">
        <f>ROUND(N15*J15%,2)</f>
        <v>11.88</v>
      </c>
      <c r="P15" s="45">
        <f>ROUND(N15-O15,2)</f>
        <v>582.12</v>
      </c>
      <c r="Q15" s="45">
        <f>ROUND(P15*K15%,2)</f>
        <v>17.46</v>
      </c>
      <c r="R15" s="45">
        <f>M15+O15+Q15</f>
        <v>35.340000000000003</v>
      </c>
      <c r="S15" s="45">
        <f>(H15-R15)</f>
        <v>564.66</v>
      </c>
      <c r="T15" s="45" t="s">
        <v>106</v>
      </c>
      <c r="U15" s="45">
        <v>0.18</v>
      </c>
      <c r="V15" s="45">
        <f>IF(OR($C$21=1,$C$21=4),ROUND(((S15*U15)/2),2),0)</f>
        <v>0</v>
      </c>
      <c r="W15" s="45">
        <f>IF($C$21=1,ROUND(((S15*U15)/2),2),0)</f>
        <v>0</v>
      </c>
      <c r="X15" s="45">
        <f>IF($C$21=2,ROUND(((S15*U15)),2),0)</f>
        <v>0</v>
      </c>
      <c r="Y15" s="45">
        <f>IF($C$21=4,ROUND(((S15*U15)/2),2),0)</f>
        <v>0</v>
      </c>
      <c r="Z15" s="46">
        <v>0.06</v>
      </c>
      <c r="AA15" s="45">
        <f>IF($C13=3,0,S15*Z15)</f>
        <v>33.879599999999996</v>
      </c>
      <c r="AB15" s="45">
        <f>V15+W15+X15+Y15+AA15</f>
        <v>33.879599999999996</v>
      </c>
      <c r="AC15" s="45">
        <f>IF($V13=1,S15+AB15,S15)</f>
        <v>564.66</v>
      </c>
      <c r="AD15" s="45">
        <v>120</v>
      </c>
      <c r="AE15" s="45" t="e">
        <f>IF($P$21=1,(S15/$S$27)*$E$38,AD15/$AD$27*$E$38)</f>
        <v>#DIV/0!</v>
      </c>
      <c r="AF15" s="45"/>
      <c r="AG15" s="45" t="e">
        <f>IF($P$21=1,(S15/$S$27)*$E$40,AD15/$AD$27*$E$40)</f>
        <v>#DIV/0!</v>
      </c>
      <c r="AH15" s="45" t="e">
        <f>IF($P$21=1,(S15/$S$27)*$E$40,AD15/$AD$27*$E$40)</f>
        <v>#DIV/0!</v>
      </c>
      <c r="AI15" s="45">
        <f>S15*$M$21</f>
        <v>6775.92</v>
      </c>
      <c r="AJ15" s="45" t="e">
        <f>IF($C$21=3,0,AG15+AH15)</f>
        <v>#DIV/0!</v>
      </c>
      <c r="AK15" s="45">
        <f>IF($C$21=3,AE15+AG15+AH15,0)</f>
        <v>0</v>
      </c>
      <c r="AL15" s="45">
        <v>1</v>
      </c>
      <c r="AM15" s="45">
        <f>F15/AL15</f>
        <v>2</v>
      </c>
      <c r="AN15" s="45">
        <f>AI15/AM15</f>
        <v>3387.96</v>
      </c>
      <c r="AO15" s="45" t="e">
        <f>AJ15/AM15</f>
        <v>#DIV/0!</v>
      </c>
      <c r="AP15" s="45">
        <f>AK15/AM15</f>
        <v>0</v>
      </c>
      <c r="AQ15" s="45" t="s">
        <v>12</v>
      </c>
      <c r="AR15" t="e">
        <f>ROUND(AN15+AO15+AP15,5)</f>
        <v>#DIV/0!</v>
      </c>
      <c r="AS15" t="s">
        <v>107</v>
      </c>
      <c r="AT15" s="47" t="s">
        <v>12</v>
      </c>
      <c r="AU15" t="s">
        <v>130</v>
      </c>
      <c r="AV15" t="s">
        <v>148</v>
      </c>
      <c r="AW15" s="47">
        <f>AM15</f>
        <v>2</v>
      </c>
      <c r="AX15" s="47" t="e">
        <f>AR15</f>
        <v>#DIV/0!</v>
      </c>
      <c r="AY15" s="47">
        <f>AU15+AW15</f>
        <v>14</v>
      </c>
      <c r="AZ15" s="47" t="e">
        <f>ROUND(((AU15*AV15)+(AW15*AX15))/(AU15+AW15),5)</f>
        <v>#DIV/0!</v>
      </c>
      <c r="BA15" s="3"/>
      <c r="BB15" s="3" t="s">
        <v>110</v>
      </c>
      <c r="BC15" s="6" t="s">
        <v>113</v>
      </c>
      <c r="BD15" s="48" t="s">
        <v>143</v>
      </c>
      <c r="BE15" s="48" t="s">
        <v>144</v>
      </c>
      <c r="BF15" s="3"/>
      <c r="BG15" s="3"/>
      <c r="BH15" s="3"/>
      <c r="BI15" s="47"/>
      <c r="BL15" s="47" t="s">
        <v>147</v>
      </c>
      <c r="BM15" t="s">
        <v>148</v>
      </c>
      <c r="BN15" t="s">
        <v>149</v>
      </c>
      <c r="BO15" s="47" t="e">
        <f>ROUND((((AW15*AZ15)+(BN15*BM15))/(AW15+BN15)),5)</f>
        <v>#DIV/0!</v>
      </c>
      <c r="BP15" s="4">
        <f>BN15+AW15</f>
        <v>8</v>
      </c>
      <c r="BQ15" s="49">
        <v>123562</v>
      </c>
      <c r="BR15" s="4"/>
    </row>
    <row r="16" spans="1:70" ht="15.75" thickBot="1">
      <c r="A16" s="44">
        <v>2</v>
      </c>
      <c r="B16" s="2" t="s">
        <v>114</v>
      </c>
      <c r="C16" s="2" t="s">
        <v>14</v>
      </c>
      <c r="D16" s="44" t="s">
        <v>12</v>
      </c>
      <c r="E16" s="44" t="s">
        <v>12</v>
      </c>
      <c r="F16" s="45">
        <v>2</v>
      </c>
      <c r="G16" s="45">
        <v>250.25</v>
      </c>
      <c r="H16" s="45">
        <f>F16*G16</f>
        <v>500.5</v>
      </c>
      <c r="I16" s="45">
        <v>2.21</v>
      </c>
      <c r="J16" s="45">
        <v>1.79</v>
      </c>
      <c r="K16" s="45">
        <v>2.5</v>
      </c>
      <c r="L16" s="45">
        <f>H16</f>
        <v>500.5</v>
      </c>
      <c r="M16" s="45">
        <f>ROUND(L16*I16%,2)</f>
        <v>11.06</v>
      </c>
      <c r="N16" s="45">
        <f>H16-M16</f>
        <v>489.44</v>
      </c>
      <c r="O16" s="45">
        <f>ROUND(N16*J16%,2)</f>
        <v>8.76</v>
      </c>
      <c r="P16" s="45">
        <f>ROUND(N16-O16,2)</f>
        <v>480.68</v>
      </c>
      <c r="Q16" s="45">
        <f>ROUND(P16*K16%,2)</f>
        <v>12.02</v>
      </c>
      <c r="R16" s="45">
        <f>M16+O16+Q16</f>
        <v>31.84</v>
      </c>
      <c r="S16" s="45">
        <f>(H16-R16)</f>
        <v>468.66</v>
      </c>
      <c r="T16" s="45" t="s">
        <v>106</v>
      </c>
      <c r="U16" s="45">
        <v>0.18</v>
      </c>
      <c r="V16" s="45" t="e">
        <f>IF(OR(#REF!=1,#REF!=4),ROUND(((S16*U16)/2),2),0)</f>
        <v>#REF!</v>
      </c>
      <c r="W16" s="45" t="e">
        <f>IF(#REF!=1,ROUND(((S16*U16)/2),2),0)</f>
        <v>#REF!</v>
      </c>
      <c r="X16" s="45" t="e">
        <f>IF(#REF!=2,ROUND(((S16*U16)),2),0)</f>
        <v>#REF!</v>
      </c>
      <c r="Y16" s="45" t="e">
        <f>IF(#REF!=4,ROUND(((S16*U16)/2),2),0)</f>
        <v>#REF!</v>
      </c>
      <c r="Z16" s="46">
        <v>0.06</v>
      </c>
      <c r="AA16" s="45" t="e">
        <f>IF(#REF!=3,0,S16*Z16)</f>
        <v>#REF!</v>
      </c>
      <c r="AB16" s="45" t="e">
        <f>V16+W16+X16+Y16+AA16</f>
        <v>#REF!</v>
      </c>
      <c r="AC16" s="45" t="e">
        <f>IF(#REF!=1,S16+AB16,S16)</f>
        <v>#REF!</v>
      </c>
      <c r="AD16" s="45">
        <v>120</v>
      </c>
      <c r="AE16" s="45" t="e">
        <f>IF(#REF!=1,(S16/#REF!)*#REF!,AD16/#REF!*#REF!)</f>
        <v>#REF!</v>
      </c>
      <c r="AF16" s="45"/>
      <c r="AG16" s="45" t="e">
        <f>IF(#REF!=1,(S16/#REF!)*#REF!,AD16/#REF!*#REF!)</f>
        <v>#REF!</v>
      </c>
      <c r="AH16" s="45" t="e">
        <f>IF(#REF!=1,(S16/#REF!)*#REF!,AD16/#REF!*#REF!)</f>
        <v>#REF!</v>
      </c>
      <c r="AI16" s="45" t="e">
        <f>S16*#REF!</f>
        <v>#REF!</v>
      </c>
      <c r="AJ16" s="45" t="e">
        <f>IF(#REF!=3,0,AG16+AH16)</f>
        <v>#REF!</v>
      </c>
      <c r="AK16" s="45" t="e">
        <f>IF(#REF!=3,AE16+AG16+AH16,0)</f>
        <v>#REF!</v>
      </c>
      <c r="AL16" s="45">
        <v>1</v>
      </c>
      <c r="AM16" s="45">
        <f>F16/AL16</f>
        <v>2</v>
      </c>
      <c r="AN16" s="45" t="e">
        <f>AI16/AM16</f>
        <v>#REF!</v>
      </c>
      <c r="AO16" s="45" t="e">
        <f>AJ16/AM16</f>
        <v>#REF!</v>
      </c>
      <c r="AP16" s="45" t="e">
        <f>AK16/AM16</f>
        <v>#REF!</v>
      </c>
      <c r="AQ16" s="45" t="s">
        <v>12</v>
      </c>
      <c r="AR16" t="e">
        <f>ROUND(AN16+AO16+AP16,5)</f>
        <v>#REF!</v>
      </c>
      <c r="AS16" t="s">
        <v>107</v>
      </c>
      <c r="AT16" s="47" t="s">
        <v>12</v>
      </c>
      <c r="AU16" t="s">
        <v>134</v>
      </c>
      <c r="AV16" t="s">
        <v>135</v>
      </c>
      <c r="AW16" s="47">
        <f>AM16</f>
        <v>2</v>
      </c>
      <c r="AX16" s="47" t="e">
        <f>AR16</f>
        <v>#REF!</v>
      </c>
      <c r="AY16" s="47">
        <f>AU16+AW16</f>
        <v>2161</v>
      </c>
      <c r="AZ16" s="47" t="e">
        <f>ROUND(((AU16*AV16)+(AW16*AX16))/(AU16+AW16),5)</f>
        <v>#REF!</v>
      </c>
      <c r="BA16" s="3"/>
      <c r="BB16" s="3" t="s">
        <v>110</v>
      </c>
      <c r="BC16" s="2" t="s">
        <v>115</v>
      </c>
      <c r="BD16" s="48" t="s">
        <v>143</v>
      </c>
      <c r="BE16" s="48" t="s">
        <v>144</v>
      </c>
      <c r="BF16" s="3"/>
      <c r="BG16" s="3"/>
      <c r="BH16" s="3"/>
      <c r="BI16" s="47"/>
      <c r="BL16" s="47" t="s">
        <v>112</v>
      </c>
      <c r="BM16" t="s">
        <v>133</v>
      </c>
      <c r="BN16" t="s">
        <v>132</v>
      </c>
      <c r="BO16" s="47" t="e">
        <f>ROUND((((AW16*AZ16)+(BN16*BM16))/(AW16+BN16)),5)</f>
        <v>#REF!</v>
      </c>
      <c r="BP16" s="4">
        <f>BN16+AW16</f>
        <v>11180</v>
      </c>
      <c r="BQ16" s="49">
        <v>123562</v>
      </c>
      <c r="BR16" s="4"/>
    </row>
    <row r="17" spans="1:70" ht="15.75" thickBot="1">
      <c r="A17" s="44">
        <v>3</v>
      </c>
      <c r="B17" s="2" t="s">
        <v>117</v>
      </c>
      <c r="C17" s="2" t="s">
        <v>16</v>
      </c>
      <c r="D17" s="44" t="s">
        <v>12</v>
      </c>
      <c r="E17" s="44" t="s">
        <v>12</v>
      </c>
      <c r="F17" s="45">
        <v>2</v>
      </c>
      <c r="G17" s="45">
        <v>250.25</v>
      </c>
      <c r="H17" s="45">
        <f>F17*G17</f>
        <v>500.5</v>
      </c>
      <c r="I17" s="45">
        <v>2.21</v>
      </c>
      <c r="J17" s="45">
        <v>1.79</v>
      </c>
      <c r="K17" s="45">
        <v>2.5</v>
      </c>
      <c r="L17" s="45">
        <f>H17</f>
        <v>500.5</v>
      </c>
      <c r="M17" s="45">
        <f>ROUND(L17*I17%,2)</f>
        <v>11.06</v>
      </c>
      <c r="N17" s="45">
        <f>H17-M17</f>
        <v>489.44</v>
      </c>
      <c r="O17" s="45">
        <f>ROUND(N17*J17%,2)</f>
        <v>8.76</v>
      </c>
      <c r="P17" s="45">
        <f>ROUND(N17-O17,2)</f>
        <v>480.68</v>
      </c>
      <c r="Q17" s="45">
        <f>ROUND(P17*K17%,2)</f>
        <v>12.02</v>
      </c>
      <c r="R17" s="45">
        <f>M17+O17+Q17</f>
        <v>31.84</v>
      </c>
      <c r="S17" s="45">
        <f>(H17-R17)</f>
        <v>468.66</v>
      </c>
      <c r="T17" s="45" t="s">
        <v>106</v>
      </c>
      <c r="U17" s="45">
        <v>0.18</v>
      </c>
      <c r="V17" s="45" t="e">
        <f>IF(OR(#REF!=1,#REF!=4),ROUND(((S17*U17)/2),2),0)</f>
        <v>#REF!</v>
      </c>
      <c r="W17" s="45" t="e">
        <f>IF(#REF!=1,ROUND(((S17*U17)/2),2),0)</f>
        <v>#REF!</v>
      </c>
      <c r="X17" s="45" t="e">
        <f>IF(#REF!=2,ROUND(((S17*U17)),2),0)</f>
        <v>#REF!</v>
      </c>
      <c r="Y17" s="45" t="e">
        <f>IF(#REF!=4,ROUND(((S17*U17)/2),2),0)</f>
        <v>#REF!</v>
      </c>
      <c r="Z17" s="46">
        <v>0.06</v>
      </c>
      <c r="AA17" s="45" t="e">
        <f>IF(#REF!=3,0,S17*Z17)</f>
        <v>#REF!</v>
      </c>
      <c r="AB17" s="45" t="e">
        <f>V17+W17+X17+Y17+AA17</f>
        <v>#REF!</v>
      </c>
      <c r="AC17" s="45" t="e">
        <f>IF(#REF!=1,S17+AB17,S17)</f>
        <v>#REF!</v>
      </c>
      <c r="AD17" s="45">
        <v>120</v>
      </c>
      <c r="AE17" s="45" t="e">
        <f>IF(#REF!=1,(S17/#REF!)*#REF!,AD17/#REF!*#REF!)</f>
        <v>#REF!</v>
      </c>
      <c r="AF17" s="45"/>
      <c r="AG17" s="45" t="e">
        <f>IF(#REF!=1,(S17/#REF!)*#REF!,AD17/#REF!*#REF!)</f>
        <v>#REF!</v>
      </c>
      <c r="AH17" s="45" t="e">
        <f>IF(#REF!=1,(S17/#REF!)*#REF!,AD17/#REF!*#REF!)</f>
        <v>#REF!</v>
      </c>
      <c r="AI17" s="45" t="e">
        <f>S17*#REF!</f>
        <v>#REF!</v>
      </c>
      <c r="AJ17" s="45" t="e">
        <f>IF(#REF!=3,0,AG17+AH17)</f>
        <v>#REF!</v>
      </c>
      <c r="AK17" s="45" t="e">
        <f>IF(#REF!=3,AE17+AG17+AH17,0)</f>
        <v>#REF!</v>
      </c>
      <c r="AL17" s="45">
        <v>1</v>
      </c>
      <c r="AM17" s="45">
        <f>F17/AL17</f>
        <v>2</v>
      </c>
      <c r="AN17" s="45" t="e">
        <f>AI17/AM17</f>
        <v>#REF!</v>
      </c>
      <c r="AO17" s="45" t="e">
        <f>AJ17/AM17</f>
        <v>#REF!</v>
      </c>
      <c r="AP17" s="45" t="e">
        <f>AK17/AM17</f>
        <v>#REF!</v>
      </c>
      <c r="AQ17" s="45" t="s">
        <v>12</v>
      </c>
      <c r="AR17" t="e">
        <f>ROUND(AN17+AO17+AP17,5)</f>
        <v>#REF!</v>
      </c>
      <c r="AS17" t="s">
        <v>107</v>
      </c>
      <c r="AT17" s="47" t="s">
        <v>12</v>
      </c>
      <c r="AU17" t="s">
        <v>108</v>
      </c>
      <c r="AV17" t="s">
        <v>131</v>
      </c>
      <c r="AW17" s="47">
        <f>AM17</f>
        <v>2</v>
      </c>
      <c r="AX17" s="47" t="e">
        <f>AR17</f>
        <v>#REF!</v>
      </c>
      <c r="AY17" s="47">
        <f>AU17+AW17</f>
        <v>2</v>
      </c>
      <c r="AZ17" s="47" t="e">
        <f>ROUND(((AU17*AV17)+(AW17*AX17))/(AU17+AW17),5)</f>
        <v>#REF!</v>
      </c>
      <c r="BA17" s="3"/>
      <c r="BB17" s="3" t="s">
        <v>110</v>
      </c>
      <c r="BC17" s="2" t="s">
        <v>111</v>
      </c>
      <c r="BD17" s="48" t="s">
        <v>143</v>
      </c>
      <c r="BE17" s="48" t="s">
        <v>144</v>
      </c>
      <c r="BF17" s="3"/>
      <c r="BG17" s="3"/>
      <c r="BH17" s="3"/>
      <c r="BI17" s="47"/>
      <c r="BL17" s="47" t="s">
        <v>112</v>
      </c>
      <c r="BO17" s="47" t="e">
        <f>ROUND((((AW17*AZ17)+(BN17*BM17))/(AW17+BN17)),5)</f>
        <v>#REF!</v>
      </c>
      <c r="BP17" s="4">
        <f>BN17+AW17</f>
        <v>2</v>
      </c>
      <c r="BQ17" s="49">
        <v>123562</v>
      </c>
      <c r="BR17" s="4"/>
    </row>
    <row r="18" spans="1:70" ht="15.75" thickBot="1">
      <c r="A18" s="44">
        <v>4</v>
      </c>
      <c r="B18" s="2" t="s">
        <v>105</v>
      </c>
      <c r="C18" s="2" t="s">
        <v>16</v>
      </c>
      <c r="D18" s="44" t="s">
        <v>12</v>
      </c>
      <c r="E18" s="44" t="s">
        <v>12</v>
      </c>
      <c r="F18" s="45">
        <v>2</v>
      </c>
      <c r="G18" s="45">
        <v>250.25</v>
      </c>
      <c r="H18" s="45">
        <f>F18*G18</f>
        <v>500.5</v>
      </c>
      <c r="I18" s="45">
        <v>2.21</v>
      </c>
      <c r="J18" s="45">
        <v>1.79</v>
      </c>
      <c r="K18" s="45">
        <v>2.5</v>
      </c>
      <c r="L18" s="45">
        <f>H18</f>
        <v>500.5</v>
      </c>
      <c r="M18" s="45">
        <f>ROUND(L18*I18%,2)</f>
        <v>11.06</v>
      </c>
      <c r="N18" s="45">
        <f>H18-M18</f>
        <v>489.44</v>
      </c>
      <c r="O18" s="45">
        <f>ROUND(N18*J18%,2)</f>
        <v>8.76</v>
      </c>
      <c r="P18" s="45">
        <f>ROUND(N18-O18,2)</f>
        <v>480.68</v>
      </c>
      <c r="Q18" s="45">
        <f>ROUND(P18*K18%,2)</f>
        <v>12.02</v>
      </c>
      <c r="R18" s="45">
        <f>M18+O18+Q18</f>
        <v>31.84</v>
      </c>
      <c r="S18" s="45">
        <f>(H18-R18)</f>
        <v>468.66</v>
      </c>
      <c r="T18" s="45" t="s">
        <v>106</v>
      </c>
      <c r="U18" s="45">
        <v>0.18</v>
      </c>
      <c r="V18" s="45" t="e">
        <f>IF(OR(#REF!=1,#REF!=4),ROUND(((S18*U18)/2),2),0)</f>
        <v>#REF!</v>
      </c>
      <c r="W18" s="45" t="e">
        <f>IF(#REF!=1,ROUND(((S18*U18)/2),2),0)</f>
        <v>#REF!</v>
      </c>
      <c r="X18" s="45" t="e">
        <f>IF(#REF!=2,ROUND(((S18*U18)),2),0)</f>
        <v>#REF!</v>
      </c>
      <c r="Y18" s="45" t="e">
        <f>IF(#REF!=4,ROUND(((S18*U18)/2),2),0)</f>
        <v>#REF!</v>
      </c>
      <c r="Z18" s="46">
        <v>0.06</v>
      </c>
      <c r="AA18" s="45" t="e">
        <f>IF(#REF!=3,0,S18*Z18)</f>
        <v>#REF!</v>
      </c>
      <c r="AB18" s="45" t="e">
        <f>V18+W18+X18+Y18+AA18</f>
        <v>#REF!</v>
      </c>
      <c r="AC18" s="45" t="e">
        <f>IF(#REF!=1,S18+AB18,S18)</f>
        <v>#REF!</v>
      </c>
      <c r="AD18" s="45">
        <v>120</v>
      </c>
      <c r="AE18" s="45" t="e">
        <f>IF(#REF!=1,(S18/#REF!)*#REF!,AD18/#REF!*#REF!)</f>
        <v>#REF!</v>
      </c>
      <c r="AF18" s="45"/>
      <c r="AG18" s="45" t="e">
        <f>IF(#REF!=1,(S18/#REF!)*#REF!,AD18/#REF!*#REF!)</f>
        <v>#REF!</v>
      </c>
      <c r="AH18" s="45" t="e">
        <f>IF(#REF!=1,(S18/#REF!)*#REF!,AD18/#REF!*#REF!)</f>
        <v>#REF!</v>
      </c>
      <c r="AI18" s="45" t="e">
        <f>S18*#REF!</f>
        <v>#REF!</v>
      </c>
      <c r="AJ18" s="45" t="e">
        <f>IF(#REF!=3,0,AG18+AH18)</f>
        <v>#REF!</v>
      </c>
      <c r="AK18" s="45" t="e">
        <f>IF(#REF!=3,AE18+AG18+AH18,0)</f>
        <v>#REF!</v>
      </c>
      <c r="AL18" s="45">
        <v>1</v>
      </c>
      <c r="AM18" s="45">
        <f>F18/AL18</f>
        <v>2</v>
      </c>
      <c r="AN18" s="45" t="e">
        <f>AI18/AM18</f>
        <v>#REF!</v>
      </c>
      <c r="AO18" s="45" t="e">
        <f>AJ18/AM18</f>
        <v>#REF!</v>
      </c>
      <c r="AP18" s="45" t="e">
        <f>AK18/AM18</f>
        <v>#REF!</v>
      </c>
      <c r="AQ18" s="45" t="s">
        <v>12</v>
      </c>
      <c r="AR18" t="e">
        <f>ROUND(AN18+AO18+AP18,5)</f>
        <v>#REF!</v>
      </c>
      <c r="AS18" t="s">
        <v>107</v>
      </c>
      <c r="AT18" s="47" t="s">
        <v>12</v>
      </c>
      <c r="AU18" t="s">
        <v>129</v>
      </c>
      <c r="AV18" t="s">
        <v>136</v>
      </c>
      <c r="AW18" s="47">
        <f>AM18</f>
        <v>2</v>
      </c>
      <c r="AX18" s="47" t="e">
        <f>AR18</f>
        <v>#REF!</v>
      </c>
      <c r="AY18" s="47">
        <f>AU18+AW18</f>
        <v>6</v>
      </c>
      <c r="AZ18" s="47" t="e">
        <f>ROUND(((AU18*AV18)+(AW18*AX18))/(AU18+AW18),5)</f>
        <v>#REF!</v>
      </c>
      <c r="BA18" s="3"/>
      <c r="BB18" s="3" t="s">
        <v>110</v>
      </c>
      <c r="BC18" s="2" t="s">
        <v>111</v>
      </c>
      <c r="BD18" s="48" t="s">
        <v>143</v>
      </c>
      <c r="BE18" s="48" t="s">
        <v>144</v>
      </c>
      <c r="BF18" s="3"/>
      <c r="BG18" s="3"/>
      <c r="BH18" s="3"/>
      <c r="BI18" s="47"/>
      <c r="BL18" s="47" t="s">
        <v>112</v>
      </c>
      <c r="BM18" t="s">
        <v>151</v>
      </c>
      <c r="BN18" t="s">
        <v>150</v>
      </c>
      <c r="BO18" s="47" t="e">
        <f>ROUND((((AW18*AZ18)+(BN18*BM18))/(AW18+BN18)),5)</f>
        <v>#REF!</v>
      </c>
      <c r="BP18" s="4">
        <f>BN18+AW18</f>
        <v>2378.6</v>
      </c>
      <c r="BQ18" s="49">
        <v>123562</v>
      </c>
      <c r="BR18" s="4"/>
    </row>
    <row r="19" spans="1:70" ht="29.25" customHeight="1" thickBot="1"/>
    <row r="20" spans="1:70" ht="15.75" thickBot="1">
      <c r="A20" s="44">
        <v>1</v>
      </c>
      <c r="B20" s="2" t="s">
        <v>122</v>
      </c>
      <c r="C20" s="2" t="s">
        <v>122</v>
      </c>
      <c r="D20" s="44" t="s">
        <v>12</v>
      </c>
      <c r="E20" s="44" t="s">
        <v>12</v>
      </c>
      <c r="F20" s="45">
        <v>2</v>
      </c>
      <c r="G20" s="45" t="s">
        <v>109</v>
      </c>
      <c r="H20" s="45">
        <f>F20*G20</f>
        <v>400</v>
      </c>
      <c r="I20" s="45" t="s">
        <v>126</v>
      </c>
      <c r="J20" s="45">
        <v>2</v>
      </c>
      <c r="K20" s="45">
        <v>3</v>
      </c>
      <c r="L20" s="45">
        <f>H20</f>
        <v>400</v>
      </c>
      <c r="M20" s="45">
        <f>ROUND(L20*I20%,2)</f>
        <v>8</v>
      </c>
      <c r="N20" s="45">
        <f>H20-M20</f>
        <v>392</v>
      </c>
      <c r="O20" s="45">
        <f>ROUND(N20*J20%,2)</f>
        <v>7.84</v>
      </c>
      <c r="P20" s="45">
        <f>ROUND(N20-O20,2)</f>
        <v>384.16</v>
      </c>
      <c r="Q20" s="45">
        <f>ROUND(P20*K20%,2)</f>
        <v>11.52</v>
      </c>
      <c r="R20" s="45">
        <f>M20+O20+Q20</f>
        <v>27.36</v>
      </c>
      <c r="S20" s="45">
        <f>(H20-R20)</f>
        <v>372.64</v>
      </c>
      <c r="T20" s="45" t="s">
        <v>106</v>
      </c>
      <c r="U20" s="45">
        <v>0.18</v>
      </c>
      <c r="V20" s="45">
        <f>IF(OR($C$21=1,$C$21=4),ROUND(((S20*U20)/2),2),0)</f>
        <v>0</v>
      </c>
      <c r="W20" s="45">
        <f>IF($C$21=1,ROUND(((S20*U20)/2),2),0)</f>
        <v>0</v>
      </c>
      <c r="X20" s="45">
        <f>IF($C$21=2,ROUND(((S20*U20)),2),0)</f>
        <v>0</v>
      </c>
      <c r="Y20" s="45">
        <f>IF($C$21=4,ROUND(((S20*U20)/2),2),0)</f>
        <v>0</v>
      </c>
      <c r="Z20" s="46">
        <v>0.06</v>
      </c>
      <c r="AA20" s="45">
        <f>IF($C18=3,0,S20*Z20)</f>
        <v>22.3584</v>
      </c>
      <c r="AB20" s="45">
        <f>V20+W20+X20+Y20+AA20</f>
        <v>22.3584</v>
      </c>
      <c r="AC20" s="45" t="e">
        <f>IF($V18=1,S20+AB20,S20)</f>
        <v>#REF!</v>
      </c>
      <c r="AD20" s="45">
        <v>120</v>
      </c>
      <c r="AE20" s="45" t="e">
        <f>IF($P$21=1,(S20/$S$27)*$E$38,AD20/$AD$27*$E$38)</f>
        <v>#DIV/0!</v>
      </c>
      <c r="AF20" s="45"/>
      <c r="AG20" s="45" t="e">
        <f>IF($P$21=1,(S20/$S$27)*$E$40,AD20/$AD$27*$E$40)</f>
        <v>#DIV/0!</v>
      </c>
      <c r="AH20" s="45" t="e">
        <f>IF($P$21=1,(S20/$S$27)*$E$40,AD20/$AD$27*$E$40)</f>
        <v>#DIV/0!</v>
      </c>
      <c r="AI20" s="45">
        <f>S20*$M$21</f>
        <v>4471.68</v>
      </c>
      <c r="AJ20" s="45" t="e">
        <f>IF($C$21=3,0,AG20+AH20)</f>
        <v>#DIV/0!</v>
      </c>
      <c r="AK20" s="45">
        <f>IF($C$21=3,AE20+AG20+AH20,0)</f>
        <v>0</v>
      </c>
      <c r="AL20" s="45">
        <v>1</v>
      </c>
      <c r="AM20" s="45">
        <f>F20/AL20</f>
        <v>2</v>
      </c>
      <c r="AN20" s="45">
        <f>AI20/AM20</f>
        <v>2235.84</v>
      </c>
      <c r="AO20" s="45" t="e">
        <f>AJ20/AM20</f>
        <v>#DIV/0!</v>
      </c>
      <c r="AP20" s="45">
        <f>AK20/AM20</f>
        <v>0</v>
      </c>
      <c r="AQ20" s="45" t="s">
        <v>12</v>
      </c>
      <c r="AR20" t="e">
        <f>ROUND(AN20+AO20+AP20,5)</f>
        <v>#DIV/0!</v>
      </c>
      <c r="AS20" t="s">
        <v>107</v>
      </c>
      <c r="AT20" s="47" t="s">
        <v>12</v>
      </c>
      <c r="AU20" t="s">
        <v>153</v>
      </c>
      <c r="AV20" t="s">
        <v>154</v>
      </c>
      <c r="AW20" s="47">
        <f>AM20</f>
        <v>2</v>
      </c>
      <c r="AX20" s="47" t="e">
        <f>AR20</f>
        <v>#DIV/0!</v>
      </c>
      <c r="AY20" s="47">
        <f>AU20+AW20</f>
        <v>10</v>
      </c>
      <c r="AZ20" s="47" t="e">
        <f>ROUND(((AU20*AV20)+(AW20*AX20))/(AU20+AW20),5)</f>
        <v>#DIV/0!</v>
      </c>
      <c r="BA20" s="3"/>
      <c r="BB20" s="3" t="s">
        <v>110</v>
      </c>
      <c r="BC20" s="6" t="s">
        <v>113</v>
      </c>
      <c r="BD20" s="48" t="s">
        <v>143</v>
      </c>
      <c r="BE20" s="48" t="s">
        <v>144</v>
      </c>
      <c r="BF20" s="3"/>
      <c r="BG20" s="3"/>
      <c r="BH20" s="3"/>
      <c r="BI20" s="47"/>
      <c r="BL20" s="47" t="s">
        <v>147</v>
      </c>
      <c r="BM20" t="s">
        <v>154</v>
      </c>
      <c r="BN20" t="s">
        <v>126</v>
      </c>
      <c r="BO20" s="47" t="e">
        <f>ROUND((((AW20*AZ20)+(BN20*BM20))/(AW20+BN20)),5)</f>
        <v>#DIV/0!</v>
      </c>
      <c r="BP20" s="4">
        <f>BN20+AW20</f>
        <v>4</v>
      </c>
      <c r="BQ20" s="49">
        <v>123562</v>
      </c>
      <c r="BR20" s="4"/>
    </row>
    <row r="21" spans="1:70" ht="15.75" thickBot="1">
      <c r="A21" s="44">
        <v>1</v>
      </c>
      <c r="B21" s="2" t="s">
        <v>123</v>
      </c>
      <c r="C21" s="2" t="s">
        <v>123</v>
      </c>
      <c r="D21" s="44" t="s">
        <v>12</v>
      </c>
      <c r="E21" s="44" t="s">
        <v>12</v>
      </c>
      <c r="F21" s="45">
        <v>2</v>
      </c>
      <c r="G21" s="45" t="s">
        <v>127</v>
      </c>
      <c r="H21" s="45">
        <f t="shared" ref="H21:H23" si="4">F21*G21</f>
        <v>600</v>
      </c>
      <c r="I21" s="45" t="s">
        <v>126</v>
      </c>
      <c r="J21" s="45">
        <v>2</v>
      </c>
      <c r="K21" s="45">
        <v>3</v>
      </c>
      <c r="L21" s="45">
        <f t="shared" ref="L21:L23" si="5">H21</f>
        <v>600</v>
      </c>
      <c r="M21" s="45">
        <f t="shared" ref="M21:M23" si="6">ROUND(L21*I21%,2)</f>
        <v>12</v>
      </c>
      <c r="N21" s="45">
        <f t="shared" ref="N21:N23" si="7">H21-M21</f>
        <v>588</v>
      </c>
      <c r="O21" s="45">
        <f t="shared" ref="O21:O23" si="8">ROUND(N21*J21%,2)</f>
        <v>11.76</v>
      </c>
      <c r="P21" s="45">
        <f t="shared" ref="P21:P23" si="9">ROUND(N21-O21,2)</f>
        <v>576.24</v>
      </c>
      <c r="Q21" s="45">
        <f t="shared" ref="Q21:Q23" si="10">ROUND(P21*K21%,2)</f>
        <v>17.29</v>
      </c>
      <c r="R21" s="45">
        <f t="shared" ref="R21:R23" si="11">M21+O21+Q21</f>
        <v>41.05</v>
      </c>
      <c r="S21" s="45">
        <f t="shared" ref="S21:S23" si="12">(H21-R21)</f>
        <v>558.95000000000005</v>
      </c>
      <c r="T21" s="45" t="s">
        <v>106</v>
      </c>
      <c r="U21" s="45">
        <v>0.18</v>
      </c>
      <c r="V21" s="45">
        <f t="shared" ref="V21:V23" si="13">IF(OR($C$21=1,$C$21=4),ROUND(((S21*U21)/2),2),0)</f>
        <v>0</v>
      </c>
      <c r="W21" s="45">
        <f t="shared" ref="W21:W23" si="14">IF($C$21=1,ROUND(((S21*U21)/2),2),0)</f>
        <v>0</v>
      </c>
      <c r="X21" s="45">
        <f t="shared" ref="X21:X23" si="15">IF($C$21=2,ROUND(((S21*U21)),2),0)</f>
        <v>0</v>
      </c>
      <c r="Y21" s="45">
        <f t="shared" ref="Y21:Y23" si="16">IF($C$21=4,ROUND(((S21*U21)/2),2),0)</f>
        <v>0</v>
      </c>
      <c r="Z21" s="46">
        <v>0.06</v>
      </c>
      <c r="AA21" s="45">
        <f t="shared" ref="AA21:AA23" si="17">IF($C19=3,0,S21*Z21)</f>
        <v>33.536999999999999</v>
      </c>
      <c r="AB21" s="45">
        <f t="shared" ref="AB21:AB23" si="18">V21+W21+X21+Y21+AA21</f>
        <v>33.536999999999999</v>
      </c>
      <c r="AC21" s="45">
        <f t="shared" ref="AC21:AC23" si="19">IF($V19=1,S21+AB21,S21)</f>
        <v>558.95000000000005</v>
      </c>
      <c r="AD21" s="45">
        <v>120</v>
      </c>
      <c r="AE21" s="45" t="e">
        <f t="shared" ref="AE21:AE23" si="20">IF($P$21=1,(S21/$S$27)*$E$38,AD21/$AD$27*$E$38)</f>
        <v>#DIV/0!</v>
      </c>
      <c r="AF21" s="45"/>
      <c r="AG21" s="45" t="e">
        <f t="shared" ref="AG21:AG23" si="21">IF($P$21=1,(S21/$S$27)*$E$40,AD21/$AD$27*$E$40)</f>
        <v>#DIV/0!</v>
      </c>
      <c r="AH21" s="45" t="e">
        <f t="shared" ref="AH21:AH23" si="22">IF($P$21=1,(S21/$S$27)*$E$40,AD21/$AD$27*$E$40)</f>
        <v>#DIV/0!</v>
      </c>
      <c r="AI21" s="45">
        <f t="shared" ref="AI21:AI23" si="23">S21*$M$21</f>
        <v>6707.4000000000005</v>
      </c>
      <c r="AJ21" s="45" t="e">
        <f t="shared" ref="AJ21:AJ23" si="24">IF($C$21=3,0,AG21+AH21)</f>
        <v>#DIV/0!</v>
      </c>
      <c r="AK21" s="45">
        <f t="shared" ref="AK21:AK23" si="25">IF($C$21=3,AE21+AG21+AH21,0)</f>
        <v>0</v>
      </c>
      <c r="AL21" s="45">
        <v>1</v>
      </c>
      <c r="AM21" s="45">
        <f t="shared" ref="AM21:AM23" si="26">F21/AL21</f>
        <v>2</v>
      </c>
      <c r="AN21" s="45">
        <f t="shared" ref="AN21:AN23" si="27">AI21/AM21</f>
        <v>3353.7000000000003</v>
      </c>
      <c r="AO21" s="45" t="e">
        <f t="shared" ref="AO21:AO23" si="28">AJ21/AM21</f>
        <v>#DIV/0!</v>
      </c>
      <c r="AP21" s="45">
        <f t="shared" ref="AP21:AP23" si="29">AK21/AM21</f>
        <v>0</v>
      </c>
      <c r="AQ21" s="45" t="s">
        <v>12</v>
      </c>
      <c r="AR21" t="e">
        <f t="shared" ref="AR21:AR23" si="30">ROUND(AN21+AO21+AP21,5)</f>
        <v>#DIV/0!</v>
      </c>
      <c r="AS21" t="s">
        <v>107</v>
      </c>
      <c r="AT21" s="47" t="s">
        <v>12</v>
      </c>
      <c r="AU21" t="s">
        <v>130</v>
      </c>
      <c r="AV21" t="s">
        <v>155</v>
      </c>
      <c r="AW21" s="47">
        <f t="shared" ref="AW21:AW23" si="31">AM21</f>
        <v>2</v>
      </c>
      <c r="AX21" s="47" t="e">
        <f t="shared" ref="AX21:AX23" si="32">AR21</f>
        <v>#DIV/0!</v>
      </c>
      <c r="AY21" s="47">
        <f t="shared" ref="AY21:AY23" si="33">AU21+AW21</f>
        <v>14</v>
      </c>
      <c r="AZ21" s="47" t="e">
        <f t="shared" ref="AZ21:AZ23" si="34">ROUND(((AU21*AV21)+(AW21*AX21))/(AU21+AW21),5)</f>
        <v>#DIV/0!</v>
      </c>
      <c r="BA21" s="3"/>
      <c r="BB21" s="3" t="s">
        <v>110</v>
      </c>
      <c r="BC21" s="2" t="s">
        <v>115</v>
      </c>
      <c r="BD21" s="48" t="s">
        <v>143</v>
      </c>
      <c r="BE21" s="48" t="s">
        <v>144</v>
      </c>
      <c r="BF21" s="3"/>
      <c r="BG21" s="3"/>
      <c r="BH21" s="3"/>
      <c r="BI21" s="47"/>
      <c r="BL21" s="47" t="s">
        <v>147</v>
      </c>
      <c r="BM21" t="s">
        <v>108</v>
      </c>
      <c r="BN21" t="s">
        <v>108</v>
      </c>
      <c r="BO21" s="47" t="e">
        <f t="shared" ref="BO21:BO23" si="35">ROUND((((AW21*AZ21)+(BN21*BM21))/(AW21+BN21)),5)</f>
        <v>#DIV/0!</v>
      </c>
      <c r="BP21" s="4">
        <f t="shared" ref="BP21:BP23" si="36">BN21+AW21</f>
        <v>2</v>
      </c>
      <c r="BQ21" s="49">
        <v>123562</v>
      </c>
      <c r="BR21" s="4"/>
    </row>
    <row r="22" spans="1:70" ht="15.75" thickBot="1">
      <c r="A22" s="44">
        <v>1</v>
      </c>
      <c r="B22" s="2" t="s">
        <v>124</v>
      </c>
      <c r="C22" s="2" t="s">
        <v>124</v>
      </c>
      <c r="D22" s="44" t="s">
        <v>12</v>
      </c>
      <c r="E22" s="44" t="s">
        <v>12</v>
      </c>
      <c r="F22" s="45">
        <v>2</v>
      </c>
      <c r="G22" s="45" t="s">
        <v>128</v>
      </c>
      <c r="H22" s="45">
        <f t="shared" si="4"/>
        <v>800</v>
      </c>
      <c r="I22" s="45" t="s">
        <v>126</v>
      </c>
      <c r="J22" s="45">
        <v>2</v>
      </c>
      <c r="K22" s="45">
        <v>3</v>
      </c>
      <c r="L22" s="45">
        <f t="shared" si="5"/>
        <v>800</v>
      </c>
      <c r="M22" s="45">
        <f t="shared" si="6"/>
        <v>16</v>
      </c>
      <c r="N22" s="45">
        <f t="shared" si="7"/>
        <v>784</v>
      </c>
      <c r="O22" s="45">
        <f t="shared" si="8"/>
        <v>15.68</v>
      </c>
      <c r="P22" s="45">
        <f t="shared" si="9"/>
        <v>768.32</v>
      </c>
      <c r="Q22" s="45">
        <f t="shared" si="10"/>
        <v>23.05</v>
      </c>
      <c r="R22" s="45">
        <f t="shared" si="11"/>
        <v>54.730000000000004</v>
      </c>
      <c r="S22" s="45">
        <f t="shared" si="12"/>
        <v>745.27</v>
      </c>
      <c r="T22" s="45" t="s">
        <v>106</v>
      </c>
      <c r="U22" s="45">
        <v>0.18</v>
      </c>
      <c r="V22" s="45">
        <f t="shared" si="13"/>
        <v>0</v>
      </c>
      <c r="W22" s="45">
        <f t="shared" si="14"/>
        <v>0</v>
      </c>
      <c r="X22" s="45">
        <f t="shared" si="15"/>
        <v>0</v>
      </c>
      <c r="Y22" s="45">
        <f t="shared" si="16"/>
        <v>0</v>
      </c>
      <c r="Z22" s="46">
        <v>0.06</v>
      </c>
      <c r="AA22" s="45">
        <f t="shared" si="17"/>
        <v>44.716200000000001</v>
      </c>
      <c r="AB22" s="45">
        <f t="shared" si="18"/>
        <v>44.716200000000001</v>
      </c>
      <c r="AC22" s="45">
        <f t="shared" si="19"/>
        <v>745.27</v>
      </c>
      <c r="AD22" s="45">
        <v>120</v>
      </c>
      <c r="AE22" s="45" t="e">
        <f t="shared" si="20"/>
        <v>#DIV/0!</v>
      </c>
      <c r="AF22" s="45"/>
      <c r="AG22" s="45" t="e">
        <f t="shared" si="21"/>
        <v>#DIV/0!</v>
      </c>
      <c r="AH22" s="45" t="e">
        <f t="shared" si="22"/>
        <v>#DIV/0!</v>
      </c>
      <c r="AI22" s="45">
        <f t="shared" si="23"/>
        <v>8943.24</v>
      </c>
      <c r="AJ22" s="45" t="e">
        <f t="shared" si="24"/>
        <v>#DIV/0!</v>
      </c>
      <c r="AK22" s="45">
        <f t="shared" si="25"/>
        <v>0</v>
      </c>
      <c r="AL22" s="45">
        <v>1</v>
      </c>
      <c r="AM22" s="45">
        <f t="shared" si="26"/>
        <v>2</v>
      </c>
      <c r="AN22" s="45">
        <f t="shared" si="27"/>
        <v>4471.62</v>
      </c>
      <c r="AO22" s="45" t="e">
        <f t="shared" si="28"/>
        <v>#DIV/0!</v>
      </c>
      <c r="AP22" s="45">
        <f t="shared" si="29"/>
        <v>0</v>
      </c>
      <c r="AQ22" s="45" t="s">
        <v>12</v>
      </c>
      <c r="AR22" t="e">
        <f t="shared" si="30"/>
        <v>#DIV/0!</v>
      </c>
      <c r="AS22" t="s">
        <v>107</v>
      </c>
      <c r="AT22" s="47" t="s">
        <v>12</v>
      </c>
      <c r="AU22" t="s">
        <v>156</v>
      </c>
      <c r="AV22" t="s">
        <v>157</v>
      </c>
      <c r="AW22" s="47">
        <f t="shared" si="31"/>
        <v>2</v>
      </c>
      <c r="AX22" s="47" t="e">
        <f t="shared" si="32"/>
        <v>#DIV/0!</v>
      </c>
      <c r="AY22" s="47">
        <f t="shared" si="33"/>
        <v>18</v>
      </c>
      <c r="AZ22" s="47" t="e">
        <f t="shared" si="34"/>
        <v>#DIV/0!</v>
      </c>
      <c r="BA22" s="3"/>
      <c r="BB22" s="3" t="s">
        <v>110</v>
      </c>
      <c r="BC22" s="2" t="s">
        <v>111</v>
      </c>
      <c r="BD22" s="48" t="s">
        <v>143</v>
      </c>
      <c r="BE22" s="48" t="s">
        <v>144</v>
      </c>
      <c r="BF22" s="3"/>
      <c r="BG22" s="3"/>
      <c r="BH22" s="3"/>
      <c r="BI22" s="47"/>
      <c r="BL22" s="47" t="s">
        <v>147</v>
      </c>
      <c r="BM22" t="s">
        <v>108</v>
      </c>
      <c r="BN22" t="s">
        <v>108</v>
      </c>
      <c r="BO22" s="47" t="e">
        <f t="shared" si="35"/>
        <v>#DIV/0!</v>
      </c>
      <c r="BP22" s="4">
        <f t="shared" si="36"/>
        <v>2</v>
      </c>
      <c r="BQ22" s="49">
        <v>123562</v>
      </c>
      <c r="BR22" s="4"/>
    </row>
    <row r="23" spans="1:70" ht="15.75" thickBot="1">
      <c r="A23" s="44">
        <v>1</v>
      </c>
      <c r="B23" s="2" t="s">
        <v>125</v>
      </c>
      <c r="C23" s="2" t="s">
        <v>125</v>
      </c>
      <c r="D23" s="44" t="s">
        <v>12</v>
      </c>
      <c r="E23" s="44" t="s">
        <v>12</v>
      </c>
      <c r="F23" s="45">
        <v>2</v>
      </c>
      <c r="G23" s="45" t="s">
        <v>159</v>
      </c>
      <c r="H23" s="45">
        <f t="shared" si="4"/>
        <v>1000</v>
      </c>
      <c r="I23" s="45" t="s">
        <v>126</v>
      </c>
      <c r="J23" s="45">
        <v>2</v>
      </c>
      <c r="K23" s="45">
        <v>3</v>
      </c>
      <c r="L23" s="45">
        <f t="shared" si="5"/>
        <v>1000</v>
      </c>
      <c r="M23" s="45">
        <f t="shared" si="6"/>
        <v>20</v>
      </c>
      <c r="N23" s="45">
        <f t="shared" si="7"/>
        <v>980</v>
      </c>
      <c r="O23" s="45">
        <f t="shared" si="8"/>
        <v>19.600000000000001</v>
      </c>
      <c r="P23" s="45">
        <f t="shared" si="9"/>
        <v>960.4</v>
      </c>
      <c r="Q23" s="45">
        <f t="shared" si="10"/>
        <v>28.81</v>
      </c>
      <c r="R23" s="45">
        <f t="shared" si="11"/>
        <v>68.41</v>
      </c>
      <c r="S23" s="45">
        <f t="shared" si="12"/>
        <v>931.59</v>
      </c>
      <c r="T23" s="45" t="s">
        <v>106</v>
      </c>
      <c r="U23" s="45">
        <v>0.18</v>
      </c>
      <c r="V23" s="45">
        <f t="shared" si="13"/>
        <v>0</v>
      </c>
      <c r="W23" s="45">
        <f t="shared" si="14"/>
        <v>0</v>
      </c>
      <c r="X23" s="45">
        <f t="shared" si="15"/>
        <v>0</v>
      </c>
      <c r="Y23" s="45">
        <f t="shared" si="16"/>
        <v>0</v>
      </c>
      <c r="Z23" s="46">
        <v>0.06</v>
      </c>
      <c r="AA23" s="45">
        <f t="shared" si="17"/>
        <v>55.895400000000002</v>
      </c>
      <c r="AB23" s="45">
        <f t="shared" si="18"/>
        <v>55.895400000000002</v>
      </c>
      <c r="AC23" s="45">
        <f t="shared" si="19"/>
        <v>931.59</v>
      </c>
      <c r="AD23" s="45">
        <v>120</v>
      </c>
      <c r="AE23" s="45" t="e">
        <f t="shared" si="20"/>
        <v>#DIV/0!</v>
      </c>
      <c r="AF23" s="45"/>
      <c r="AG23" s="45" t="e">
        <f t="shared" si="21"/>
        <v>#DIV/0!</v>
      </c>
      <c r="AH23" s="45" t="e">
        <f t="shared" si="22"/>
        <v>#DIV/0!</v>
      </c>
      <c r="AI23" s="45">
        <f t="shared" si="23"/>
        <v>11179.08</v>
      </c>
      <c r="AJ23" s="45" t="e">
        <f t="shared" si="24"/>
        <v>#DIV/0!</v>
      </c>
      <c r="AK23" s="45">
        <f t="shared" si="25"/>
        <v>0</v>
      </c>
      <c r="AL23" s="45">
        <v>1</v>
      </c>
      <c r="AM23" s="45">
        <f t="shared" si="26"/>
        <v>2</v>
      </c>
      <c r="AN23" s="45">
        <f t="shared" si="27"/>
        <v>5589.54</v>
      </c>
      <c r="AO23" s="45" t="e">
        <f t="shared" si="28"/>
        <v>#DIV/0!</v>
      </c>
      <c r="AP23" s="45">
        <f t="shared" si="29"/>
        <v>0</v>
      </c>
      <c r="AQ23" s="45" t="s">
        <v>12</v>
      </c>
      <c r="AR23" t="e">
        <f t="shared" si="30"/>
        <v>#DIV/0!</v>
      </c>
      <c r="AS23" t="s">
        <v>107</v>
      </c>
      <c r="AT23" s="47" t="s">
        <v>12</v>
      </c>
      <c r="AU23" t="s">
        <v>108</v>
      </c>
      <c r="AV23" t="s">
        <v>158</v>
      </c>
      <c r="AW23" s="47">
        <f t="shared" si="31"/>
        <v>2</v>
      </c>
      <c r="AX23" s="47" t="e">
        <f t="shared" si="32"/>
        <v>#DIV/0!</v>
      </c>
      <c r="AY23" s="47">
        <f t="shared" si="33"/>
        <v>2</v>
      </c>
      <c r="AZ23" s="47" t="e">
        <f t="shared" si="34"/>
        <v>#DIV/0!</v>
      </c>
      <c r="BA23" s="3"/>
      <c r="BB23" s="3" t="s">
        <v>110</v>
      </c>
      <c r="BC23" s="2" t="s">
        <v>111</v>
      </c>
      <c r="BD23" s="48" t="s">
        <v>143</v>
      </c>
      <c r="BE23" s="48" t="s">
        <v>144</v>
      </c>
      <c r="BF23" s="3"/>
      <c r="BG23" s="3"/>
      <c r="BH23" s="3"/>
      <c r="BI23" s="47"/>
      <c r="BL23" s="47" t="s">
        <v>147</v>
      </c>
      <c r="BM23" t="s">
        <v>108</v>
      </c>
      <c r="BN23" t="s">
        <v>108</v>
      </c>
      <c r="BO23" s="47" t="e">
        <f t="shared" si="35"/>
        <v>#DIV/0!</v>
      </c>
      <c r="BP23" s="4">
        <f t="shared" si="36"/>
        <v>2</v>
      </c>
      <c r="BQ23" s="49">
        <v>123562</v>
      </c>
      <c r="BR23" s="4"/>
    </row>
    <row r="25" spans="1:70" ht="15.75" thickBot="1"/>
    <row r="26" spans="1:70" ht="15.75" thickBot="1">
      <c r="B26" s="2" t="s">
        <v>118</v>
      </c>
    </row>
    <row r="27" spans="1:70" ht="15.75" thickBot="1">
      <c r="B27" s="2" t="s">
        <v>119</v>
      </c>
    </row>
    <row r="28" spans="1:70" ht="15.75" thickBot="1">
      <c r="B28" s="2" t="s">
        <v>120</v>
      </c>
    </row>
    <row r="29" spans="1:70" ht="15.75" thickBot="1">
      <c r="B29" s="2" t="s">
        <v>121</v>
      </c>
    </row>
    <row r="30" spans="1:70" ht="15.75" thickBot="1"/>
    <row r="31" spans="1:70" ht="15.75" thickBot="1">
      <c r="A31" s="44">
        <v>1</v>
      </c>
      <c r="B31" s="2" t="s">
        <v>119</v>
      </c>
      <c r="C31" s="2" t="s">
        <v>119</v>
      </c>
      <c r="D31" s="44" t="s">
        <v>12</v>
      </c>
      <c r="E31" s="44" t="s">
        <v>12</v>
      </c>
      <c r="F31" s="45">
        <v>2</v>
      </c>
      <c r="G31" t="s">
        <v>127</v>
      </c>
      <c r="H31" s="45">
        <f>F31*G31</f>
        <v>600</v>
      </c>
      <c r="I31" t="s">
        <v>126</v>
      </c>
      <c r="J31" s="45">
        <v>2</v>
      </c>
      <c r="K31" s="45">
        <v>3</v>
      </c>
      <c r="L31" s="45">
        <f>H31</f>
        <v>600</v>
      </c>
      <c r="M31" s="45">
        <f>ROUND(L31*I31%,2)</f>
        <v>12</v>
      </c>
      <c r="N31" s="45">
        <f>H31-M31</f>
        <v>588</v>
      </c>
      <c r="O31" s="45">
        <f>ROUND(N31*J31%,2)</f>
        <v>11.76</v>
      </c>
      <c r="P31" s="45">
        <f>ROUND(N31-O31,2)</f>
        <v>576.24</v>
      </c>
      <c r="Q31" s="45">
        <f>ROUND(P31*K31%,2)</f>
        <v>17.29</v>
      </c>
      <c r="R31" s="45">
        <f>M31+O31+Q31</f>
        <v>41.05</v>
      </c>
      <c r="S31" s="45">
        <f>(H31-R31)</f>
        <v>558.95000000000005</v>
      </c>
      <c r="T31" s="45" t="s">
        <v>106</v>
      </c>
      <c r="U31" s="45">
        <v>0.18</v>
      </c>
      <c r="V31" s="45" t="e">
        <f>IF(OR(#REF!=1,#REF!=4),ROUND(((S31*U31)/2),2),0)</f>
        <v>#REF!</v>
      </c>
      <c r="W31" s="45" t="e">
        <f>IF(#REF!=1,ROUND(((S31*U31)/2),2),0)</f>
        <v>#REF!</v>
      </c>
      <c r="X31" s="45" t="e">
        <f>IF(#REF!=2,ROUND(((S31*U31)),2),0)</f>
        <v>#REF!</v>
      </c>
      <c r="Y31" s="45" t="e">
        <f>IF(#REF!=4,ROUND(((S31*U31)/2),2),0)</f>
        <v>#REF!</v>
      </c>
      <c r="Z31" s="46">
        <v>0.06</v>
      </c>
      <c r="AA31" s="45" t="e">
        <f>IF(#REF!=3,0,S31*Z31)</f>
        <v>#REF!</v>
      </c>
      <c r="AB31" s="45" t="e">
        <f>V31+W31+X31+Y31+AA31</f>
        <v>#REF!</v>
      </c>
      <c r="AC31" s="45" t="e">
        <f>IF(#REF!=1,S31+AB31,S31)</f>
        <v>#REF!</v>
      </c>
      <c r="AD31" s="45">
        <v>120</v>
      </c>
      <c r="AE31" s="45" t="e">
        <f>IF(#REF!=1,(S31/#REF!)*#REF!,AD31/#REF!*#REF!)</f>
        <v>#REF!</v>
      </c>
      <c r="AF31" s="45"/>
      <c r="AG31" s="45" t="e">
        <f>IF(#REF!=1,(S31/#REF!)*#REF!,AD31/#REF!*#REF!)</f>
        <v>#REF!</v>
      </c>
      <c r="AH31" s="45" t="e">
        <f>IF(#REF!=1,(S31/#REF!)*#REF!,AD31/#REF!*#REF!)</f>
        <v>#REF!</v>
      </c>
      <c r="AI31" s="45" t="e">
        <f>S31*#REF!</f>
        <v>#REF!</v>
      </c>
      <c r="AJ31" s="45" t="e">
        <f>IF(#REF!=3,0,AG31+AH31)</f>
        <v>#REF!</v>
      </c>
      <c r="AK31" s="45" t="e">
        <f>IF(#REF!=3,AE31+AG31+AH31,0)</f>
        <v>#REF!</v>
      </c>
      <c r="AL31" s="45">
        <v>1</v>
      </c>
      <c r="AM31" s="45">
        <f>F31/AL31</f>
        <v>2</v>
      </c>
      <c r="AN31" s="45" t="e">
        <f>AI31/AM31</f>
        <v>#REF!</v>
      </c>
      <c r="AO31" s="45" t="e">
        <f>AJ31/AM31</f>
        <v>#REF!</v>
      </c>
      <c r="AP31" s="45" t="e">
        <f>AK31/AM31</f>
        <v>#REF!</v>
      </c>
      <c r="AQ31" s="45" t="s">
        <v>12</v>
      </c>
      <c r="AR31" t="e">
        <f>ROUND(AN31+AO31+AP31,5)</f>
        <v>#REF!</v>
      </c>
      <c r="AS31" t="s">
        <v>107</v>
      </c>
      <c r="AT31" s="47" t="s">
        <v>12</v>
      </c>
      <c r="AU31" t="s">
        <v>160</v>
      </c>
      <c r="AV31" t="s">
        <v>161</v>
      </c>
      <c r="AW31" s="47">
        <f>AM31</f>
        <v>2</v>
      </c>
      <c r="AX31" s="47" t="e">
        <f>AR31</f>
        <v>#REF!</v>
      </c>
      <c r="AY31" s="47">
        <f>AU31+AW31</f>
        <v>22</v>
      </c>
      <c r="AZ31" s="47" t="e">
        <f>ROUND(((AU31*AV31)+(AW31*AX31))/(AU31+AW31),5)</f>
        <v>#REF!</v>
      </c>
      <c r="BA31" s="3"/>
      <c r="BB31" s="3" t="s">
        <v>110</v>
      </c>
      <c r="BC31" s="2" t="s">
        <v>115</v>
      </c>
      <c r="BD31" s="48" t="s">
        <v>143</v>
      </c>
      <c r="BE31" s="48" t="s">
        <v>144</v>
      </c>
      <c r="BF31" s="3"/>
      <c r="BG31" s="3"/>
      <c r="BH31" s="3"/>
      <c r="BI31" s="47"/>
      <c r="BL31" s="47" t="s">
        <v>147</v>
      </c>
      <c r="BM31" t="s">
        <v>108</v>
      </c>
      <c r="BN31" t="s">
        <v>108</v>
      </c>
      <c r="BO31" s="47" t="e">
        <f>ROUND((((AW31*AZ31)+(BN31*BM31))/(AW31+BN31)),5)</f>
        <v>#REF!</v>
      </c>
      <c r="BP31" s="4">
        <f>BN31+AW31</f>
        <v>2</v>
      </c>
      <c r="BQ31" s="49">
        <v>123562</v>
      </c>
      <c r="BR31" s="4"/>
    </row>
    <row r="32" spans="1:70" ht="15.75" thickBot="1">
      <c r="A32" s="44">
        <v>1</v>
      </c>
      <c r="B32" s="2" t="s">
        <v>120</v>
      </c>
      <c r="C32" s="2" t="s">
        <v>120</v>
      </c>
      <c r="D32" s="44" t="s">
        <v>12</v>
      </c>
      <c r="E32" s="44" t="s">
        <v>12</v>
      </c>
      <c r="F32" s="45">
        <v>2</v>
      </c>
      <c r="G32" t="s">
        <v>128</v>
      </c>
      <c r="H32" s="45">
        <f>F32*G32</f>
        <v>800</v>
      </c>
      <c r="I32" t="s">
        <v>126</v>
      </c>
      <c r="J32" s="45">
        <v>2</v>
      </c>
      <c r="K32" s="45">
        <v>3</v>
      </c>
      <c r="L32" s="45">
        <f>H32</f>
        <v>800</v>
      </c>
      <c r="M32" s="45">
        <f>ROUND(L32*I32%,2)</f>
        <v>16</v>
      </c>
      <c r="N32" s="45">
        <f>H32-M32</f>
        <v>784</v>
      </c>
      <c r="O32" s="45">
        <f>ROUND(N32*J32%,2)</f>
        <v>15.68</v>
      </c>
      <c r="P32" s="45">
        <f>ROUND(N32-O32,2)</f>
        <v>768.32</v>
      </c>
      <c r="Q32" s="45">
        <f>ROUND(P32*K32%,2)</f>
        <v>23.05</v>
      </c>
      <c r="R32" s="45">
        <f>M32+O32+Q32</f>
        <v>54.730000000000004</v>
      </c>
      <c r="S32" s="45">
        <f>(H32-R32)</f>
        <v>745.27</v>
      </c>
      <c r="T32" s="45" t="s">
        <v>106</v>
      </c>
      <c r="U32" s="45">
        <v>0.18</v>
      </c>
      <c r="V32" s="45" t="e">
        <f>IF(OR(#REF!=1,#REF!=4),ROUND(((S32*U32)/2),2),0)</f>
        <v>#REF!</v>
      </c>
      <c r="W32" s="45" t="e">
        <f>IF(#REF!=1,ROUND(((S32*U32)/2),2),0)</f>
        <v>#REF!</v>
      </c>
      <c r="X32" s="45" t="e">
        <f>IF(#REF!=2,ROUND(((S32*U32)),2),0)</f>
        <v>#REF!</v>
      </c>
      <c r="Y32" s="45" t="e">
        <f>IF(#REF!=4,ROUND(((S32*U32)/2),2),0)</f>
        <v>#REF!</v>
      </c>
      <c r="Z32" s="46">
        <v>0.06</v>
      </c>
      <c r="AA32" s="45" t="e">
        <f>IF(#REF!=3,0,S32*Z32)</f>
        <v>#REF!</v>
      </c>
      <c r="AB32" s="45" t="e">
        <f>V32+W32+X32+Y32+AA32</f>
        <v>#REF!</v>
      </c>
      <c r="AC32" s="45" t="e">
        <f>IF(#REF!=1,S32+AB32,S32)</f>
        <v>#REF!</v>
      </c>
      <c r="AD32" s="45">
        <v>120</v>
      </c>
      <c r="AE32" s="45" t="e">
        <f>IF(#REF!=1,(S32/#REF!)*#REF!,AD32/#REF!*#REF!)</f>
        <v>#REF!</v>
      </c>
      <c r="AF32" s="45"/>
      <c r="AG32" s="45" t="e">
        <f>IF(#REF!=1,(S32/#REF!)*#REF!,AD32/#REF!*#REF!)</f>
        <v>#REF!</v>
      </c>
      <c r="AH32" s="45" t="e">
        <f>IF(#REF!=1,(S32/#REF!)*#REF!,AD32/#REF!*#REF!)</f>
        <v>#REF!</v>
      </c>
      <c r="AI32" s="45" t="e">
        <f>S32*#REF!</f>
        <v>#REF!</v>
      </c>
      <c r="AJ32" s="45" t="e">
        <f>IF(#REF!=3,0,AG32+AH32)</f>
        <v>#REF!</v>
      </c>
      <c r="AK32" s="45" t="e">
        <f>IF(#REF!=3,AE32+AG32+AH32,0)</f>
        <v>#REF!</v>
      </c>
      <c r="AL32" s="45">
        <v>1</v>
      </c>
      <c r="AM32" s="45">
        <f>F32/AL32</f>
        <v>2</v>
      </c>
      <c r="AN32" s="45" t="e">
        <f>AI32/AM32</f>
        <v>#REF!</v>
      </c>
      <c r="AO32" s="45" t="e">
        <f>AJ32/AM32</f>
        <v>#REF!</v>
      </c>
      <c r="AP32" s="45" t="e">
        <f>AK32/AM32</f>
        <v>#REF!</v>
      </c>
      <c r="AQ32" s="45" t="s">
        <v>12</v>
      </c>
      <c r="AR32" t="e">
        <f>ROUND(AN32+AO32+AP32,5)</f>
        <v>#REF!</v>
      </c>
      <c r="AS32" t="s">
        <v>107</v>
      </c>
      <c r="AT32" s="47" t="s">
        <v>12</v>
      </c>
      <c r="AU32" t="s">
        <v>162</v>
      </c>
      <c r="AV32" t="s">
        <v>163</v>
      </c>
      <c r="AW32" s="47">
        <f>AM32</f>
        <v>2</v>
      </c>
      <c r="AX32" s="47" t="e">
        <f>AR32</f>
        <v>#REF!</v>
      </c>
      <c r="AY32" s="47">
        <f>AU32+AW32</f>
        <v>28</v>
      </c>
      <c r="AZ32" s="47" t="e">
        <f>ROUND(((AU32*AV32)+(AW32*AX32))/(AU32+AW32),5)</f>
        <v>#REF!</v>
      </c>
      <c r="BA32" s="3"/>
      <c r="BB32" s="3" t="s">
        <v>110</v>
      </c>
      <c r="BC32" s="2" t="s">
        <v>111</v>
      </c>
      <c r="BD32" s="48" t="s">
        <v>143</v>
      </c>
      <c r="BE32" s="48" t="s">
        <v>144</v>
      </c>
      <c r="BF32" s="3"/>
      <c r="BG32" s="3"/>
      <c r="BH32" s="3"/>
      <c r="BI32" s="47"/>
      <c r="BL32" s="47" t="s">
        <v>147</v>
      </c>
      <c r="BM32" t="s">
        <v>108</v>
      </c>
      <c r="BN32" t="s">
        <v>108</v>
      </c>
      <c r="BO32" s="47" t="e">
        <f>ROUND((((AW32*AZ32)+(BN32*BM32))/(AW32+BN32)),5)</f>
        <v>#REF!</v>
      </c>
      <c r="BP32" s="4">
        <f>BN32+AW32</f>
        <v>2</v>
      </c>
      <c r="BQ32" s="49">
        <v>123562</v>
      </c>
      <c r="BR32" s="4"/>
    </row>
    <row r="33" spans="1:70" ht="15.75" thickBot="1">
      <c r="A33" s="44">
        <v>1</v>
      </c>
      <c r="B33" s="2" t="s">
        <v>121</v>
      </c>
      <c r="C33" s="2" t="s">
        <v>121</v>
      </c>
      <c r="D33" s="44" t="s">
        <v>12</v>
      </c>
      <c r="E33" s="44" t="s">
        <v>12</v>
      </c>
      <c r="F33" s="45">
        <v>2</v>
      </c>
      <c r="G33" t="s">
        <v>159</v>
      </c>
      <c r="H33" s="45">
        <f>F33*G33</f>
        <v>1000</v>
      </c>
      <c r="I33" t="s">
        <v>126</v>
      </c>
      <c r="J33" s="45">
        <v>2</v>
      </c>
      <c r="K33" s="45">
        <v>3</v>
      </c>
      <c r="L33" s="45">
        <f>H33</f>
        <v>1000</v>
      </c>
      <c r="M33" s="45">
        <f>ROUND(L33*I33%,2)</f>
        <v>20</v>
      </c>
      <c r="N33" s="45">
        <f>H33-M33</f>
        <v>980</v>
      </c>
      <c r="O33" s="45">
        <f>ROUND(N33*J33%,2)</f>
        <v>19.600000000000001</v>
      </c>
      <c r="P33" s="45">
        <f>ROUND(N33-O33,2)</f>
        <v>960.4</v>
      </c>
      <c r="Q33" s="45">
        <f>ROUND(P33*K33%,2)</f>
        <v>28.81</v>
      </c>
      <c r="R33" s="45">
        <f>M33+O33+Q33</f>
        <v>68.41</v>
      </c>
      <c r="S33" s="45">
        <f>(H33-R33)</f>
        <v>931.59</v>
      </c>
      <c r="T33" s="45" t="s">
        <v>106</v>
      </c>
      <c r="U33" s="45">
        <v>0.18</v>
      </c>
      <c r="V33" s="45" t="e">
        <f>IF(OR(#REF!=1,#REF!=4),ROUND(((S33*U33)/2),2),0)</f>
        <v>#REF!</v>
      </c>
      <c r="W33" s="45" t="e">
        <f>IF(#REF!=1,ROUND(((S33*U33)/2),2),0)</f>
        <v>#REF!</v>
      </c>
      <c r="X33" s="45" t="e">
        <f>IF(#REF!=2,ROUND(((S33*U33)),2),0)</f>
        <v>#REF!</v>
      </c>
      <c r="Y33" s="45" t="e">
        <f>IF(#REF!=4,ROUND(((S33*U33)/2),2),0)</f>
        <v>#REF!</v>
      </c>
      <c r="Z33" s="46">
        <v>0.06</v>
      </c>
      <c r="AA33" s="45">
        <f>IF($C31=3,0,S33*Z33)</f>
        <v>55.895400000000002</v>
      </c>
      <c r="AB33" s="45" t="e">
        <f>V33+W33+X33+Y33+AA33</f>
        <v>#REF!</v>
      </c>
      <c r="AC33" s="45" t="e">
        <f>IF($V31=1,S33+AB33,S33)</f>
        <v>#REF!</v>
      </c>
      <c r="AD33" s="45">
        <v>120</v>
      </c>
      <c r="AE33" s="45" t="e">
        <f>IF(#REF!=1,(S33/#REF!)*#REF!,AD33/#REF!*#REF!)</f>
        <v>#REF!</v>
      </c>
      <c r="AF33" s="45"/>
      <c r="AG33" s="45" t="e">
        <f>IF(#REF!=1,(S33/#REF!)*#REF!,AD33/#REF!*#REF!)</f>
        <v>#REF!</v>
      </c>
      <c r="AH33" s="45" t="e">
        <f>IF(#REF!=1,(S33/#REF!)*#REF!,AD33/#REF!*#REF!)</f>
        <v>#REF!</v>
      </c>
      <c r="AI33" s="45" t="e">
        <f>S33*#REF!</f>
        <v>#REF!</v>
      </c>
      <c r="AJ33" s="45" t="e">
        <f>IF(#REF!=3,0,AG33+AH33)</f>
        <v>#REF!</v>
      </c>
      <c r="AK33" s="45" t="e">
        <f>IF(#REF!=3,AE33+AG33+AH33,0)</f>
        <v>#REF!</v>
      </c>
      <c r="AL33" s="45">
        <v>1</v>
      </c>
      <c r="AM33" s="45">
        <f>F33/AL33</f>
        <v>2</v>
      </c>
      <c r="AN33" s="45" t="e">
        <f>AI33/AM33</f>
        <v>#REF!</v>
      </c>
      <c r="AO33" s="45" t="e">
        <f>AJ33/AM33</f>
        <v>#REF!</v>
      </c>
      <c r="AP33" s="45" t="e">
        <f>AK33/AM33</f>
        <v>#REF!</v>
      </c>
      <c r="AQ33" s="45" t="s">
        <v>12</v>
      </c>
      <c r="AR33" t="e">
        <f>ROUND(AN33+AO33+AP33,5)</f>
        <v>#REF!</v>
      </c>
      <c r="AS33" t="s">
        <v>107</v>
      </c>
      <c r="AT33" s="47" t="s">
        <v>12</v>
      </c>
      <c r="AU33" t="s">
        <v>108</v>
      </c>
      <c r="AV33" t="s">
        <v>164</v>
      </c>
      <c r="AW33" s="47">
        <f>AM33</f>
        <v>2</v>
      </c>
      <c r="AX33" s="47" t="e">
        <f>AR33</f>
        <v>#REF!</v>
      </c>
      <c r="AY33" s="47">
        <f>AU33+AW33</f>
        <v>2</v>
      </c>
      <c r="AZ33" s="47" t="e">
        <f>ROUND(((AU33*AV33)+(AW33*AX33))/(AU33+AW33),5)</f>
        <v>#REF!</v>
      </c>
      <c r="BA33" s="3"/>
      <c r="BB33" s="3" t="s">
        <v>110</v>
      </c>
      <c r="BC33" s="2" t="s">
        <v>111</v>
      </c>
      <c r="BD33" s="48" t="s">
        <v>143</v>
      </c>
      <c r="BE33" s="48" t="s">
        <v>144</v>
      </c>
      <c r="BF33" s="3"/>
      <c r="BG33" s="3"/>
      <c r="BH33" s="3"/>
      <c r="BI33" s="47"/>
      <c r="BL33" s="47" t="s">
        <v>147</v>
      </c>
      <c r="BM33" t="s">
        <v>108</v>
      </c>
      <c r="BN33" t="s">
        <v>108</v>
      </c>
      <c r="BO33" s="47" t="e">
        <f>ROUND((((AW33*AZ33)+(BN33*BM33))/(AW33+BN33)),5)</f>
        <v>#REF!</v>
      </c>
      <c r="BP33" s="4">
        <f>BN33+AW33</f>
        <v>2</v>
      </c>
      <c r="BQ33" s="49">
        <v>123562</v>
      </c>
      <c r="BR33" s="4"/>
    </row>
    <row r="34" spans="1:70" ht="15.75" thickBot="1"/>
    <row r="35" spans="1:70" ht="15.75" thickBot="1">
      <c r="A35" s="44">
        <v>2</v>
      </c>
      <c r="B35" s="2" t="s">
        <v>119</v>
      </c>
      <c r="C35" s="2" t="s">
        <v>119</v>
      </c>
      <c r="D35" s="44" t="s">
        <v>12</v>
      </c>
      <c r="E35" s="44" t="s">
        <v>12</v>
      </c>
      <c r="F35" s="45">
        <v>2</v>
      </c>
      <c r="G35" t="s">
        <v>127</v>
      </c>
      <c r="H35" s="45">
        <f>F35*G35</f>
        <v>600</v>
      </c>
      <c r="I35" t="s">
        <v>126</v>
      </c>
      <c r="J35" s="45">
        <v>2</v>
      </c>
      <c r="K35" s="45">
        <v>3</v>
      </c>
      <c r="L35" s="45">
        <f>H35</f>
        <v>600</v>
      </c>
      <c r="M35" s="45">
        <f>ROUND(L35*I35%,2)</f>
        <v>12</v>
      </c>
      <c r="N35" s="45">
        <f>H35-M35</f>
        <v>588</v>
      </c>
      <c r="O35" s="45">
        <f>ROUND(N35*J35%,2)</f>
        <v>11.76</v>
      </c>
      <c r="P35" s="45">
        <f>ROUND(N35-O35,2)</f>
        <v>576.24</v>
      </c>
      <c r="Q35" s="45">
        <f>ROUND(P35*K35%,2)</f>
        <v>17.29</v>
      </c>
      <c r="R35" s="45">
        <f>M35+O35+Q35</f>
        <v>41.05</v>
      </c>
      <c r="S35" s="45">
        <f>(H35-R35)</f>
        <v>558.95000000000005</v>
      </c>
      <c r="T35" s="45" t="s">
        <v>106</v>
      </c>
      <c r="U35" s="45">
        <v>0.18</v>
      </c>
      <c r="V35" s="45" t="e">
        <f>IF(OR(#REF!=1,#REF!=4),ROUND(((S35*U35)/2),2),0)</f>
        <v>#REF!</v>
      </c>
      <c r="W35" s="45" t="e">
        <f>IF(#REF!=1,ROUND(((S35*U35)/2),2),0)</f>
        <v>#REF!</v>
      </c>
      <c r="X35" s="45" t="e">
        <f>IF(#REF!=2,ROUND(((S35*U35)),2),0)</f>
        <v>#REF!</v>
      </c>
      <c r="Y35" s="45" t="e">
        <f>IF(#REF!=4,ROUND(((S35*U35)/2),2),0)</f>
        <v>#REF!</v>
      </c>
      <c r="Z35" s="46">
        <v>0.06</v>
      </c>
      <c r="AA35" s="45" t="e">
        <f>IF(#REF!=3,0,S35*Z35)</f>
        <v>#REF!</v>
      </c>
      <c r="AB35" s="45" t="e">
        <f>V35+W35+X35+Y35+AA35</f>
        <v>#REF!</v>
      </c>
      <c r="AC35" s="45" t="e">
        <f>IF(#REF!=1,S35+AB35,S35)</f>
        <v>#REF!</v>
      </c>
      <c r="AD35" s="45">
        <v>120</v>
      </c>
      <c r="AE35" s="45" t="e">
        <f>IF(#REF!=1,(S35/#REF!)*#REF!,AD35/#REF!*#REF!)</f>
        <v>#REF!</v>
      </c>
      <c r="AF35" s="45"/>
      <c r="AG35" s="45" t="e">
        <f>IF(#REF!=1,(S35/#REF!)*#REF!,AD35/#REF!*#REF!)</f>
        <v>#REF!</v>
      </c>
      <c r="AH35" s="45" t="e">
        <f>IF(#REF!=1,(S35/#REF!)*#REF!,AD35/#REF!*#REF!)</f>
        <v>#REF!</v>
      </c>
      <c r="AI35" s="45" t="e">
        <f>S35*#REF!</f>
        <v>#REF!</v>
      </c>
      <c r="AJ35" s="45" t="e">
        <f>IF(#REF!=3,0,AG35+AH35)</f>
        <v>#REF!</v>
      </c>
      <c r="AK35" s="45" t="e">
        <f>IF(#REF!=3,AE35+AG35+AH35,0)</f>
        <v>#REF!</v>
      </c>
      <c r="AL35" s="45">
        <v>1</v>
      </c>
      <c r="AM35" s="45">
        <f>F35/AL35</f>
        <v>2</v>
      </c>
      <c r="AN35" s="45" t="e">
        <f>AI35/AM35</f>
        <v>#REF!</v>
      </c>
      <c r="AO35" s="45" t="e">
        <f>AJ35/AM35</f>
        <v>#REF!</v>
      </c>
      <c r="AP35" s="45" t="e">
        <f>AK35/AM35</f>
        <v>#REF!</v>
      </c>
      <c r="AQ35" s="45" t="s">
        <v>12</v>
      </c>
      <c r="AR35" t="e">
        <f>ROUND(AN35+AO35+AP35,5)</f>
        <v>#REF!</v>
      </c>
      <c r="AS35" t="s">
        <v>107</v>
      </c>
      <c r="AT35" s="47" t="s">
        <v>12</v>
      </c>
      <c r="AU35" t="s">
        <v>165</v>
      </c>
      <c r="AV35" t="s">
        <v>166</v>
      </c>
      <c r="AW35" s="47">
        <f>AM35</f>
        <v>2</v>
      </c>
      <c r="AX35" s="47" t="e">
        <f>AR35</f>
        <v>#REF!</v>
      </c>
      <c r="AY35" s="47">
        <f>AU35+AW35</f>
        <v>24</v>
      </c>
      <c r="AZ35" s="47" t="e">
        <f>ROUND(((AU35*AV35)+(AW35*AX35))/(AU35+AW35),5)</f>
        <v>#REF!</v>
      </c>
      <c r="BA35" s="3"/>
      <c r="BB35" s="3" t="s">
        <v>110</v>
      </c>
      <c r="BC35" s="2" t="s">
        <v>115</v>
      </c>
      <c r="BD35" s="48" t="s">
        <v>143</v>
      </c>
      <c r="BE35" s="48" t="s">
        <v>144</v>
      </c>
      <c r="BF35" s="3"/>
      <c r="BG35" s="3"/>
      <c r="BH35" s="3"/>
      <c r="BI35" s="47"/>
      <c r="BL35" s="47" t="s">
        <v>147</v>
      </c>
      <c r="BM35" t="s">
        <v>108</v>
      </c>
      <c r="BN35" t="s">
        <v>108</v>
      </c>
      <c r="BO35" s="47" t="e">
        <f>ROUND((((AW35*AZ35)+(BN35*BM35))/(AW35+BN35)),5)</f>
        <v>#REF!</v>
      </c>
      <c r="BP35" s="4">
        <f>BN35+AW35</f>
        <v>2</v>
      </c>
      <c r="BQ35" s="49">
        <v>123562</v>
      </c>
      <c r="BR35" s="4"/>
    </row>
    <row r="36" spans="1:70" ht="15.75" thickBot="1">
      <c r="A36" s="44">
        <v>3</v>
      </c>
      <c r="B36" s="2" t="s">
        <v>120</v>
      </c>
      <c r="C36" s="2" t="s">
        <v>120</v>
      </c>
      <c r="D36" s="44" t="s">
        <v>12</v>
      </c>
      <c r="E36" s="44" t="s">
        <v>12</v>
      </c>
      <c r="F36" s="45">
        <v>2</v>
      </c>
      <c r="G36" t="s">
        <v>128</v>
      </c>
      <c r="H36" s="45">
        <f>F36*G36</f>
        <v>800</v>
      </c>
      <c r="I36" t="s">
        <v>126</v>
      </c>
      <c r="J36" s="45">
        <v>2</v>
      </c>
      <c r="K36" s="45">
        <v>3</v>
      </c>
      <c r="L36" s="45">
        <f>H36</f>
        <v>800</v>
      </c>
      <c r="M36" s="45">
        <f>ROUND(L36*I36%,2)</f>
        <v>16</v>
      </c>
      <c r="N36" s="45">
        <f>H36-M36</f>
        <v>784</v>
      </c>
      <c r="O36" s="45">
        <f>ROUND(N36*J36%,2)</f>
        <v>15.68</v>
      </c>
      <c r="P36" s="45">
        <f>ROUND(N36-O36,2)</f>
        <v>768.32</v>
      </c>
      <c r="Q36" s="45">
        <f>ROUND(P36*K36%,2)</f>
        <v>23.05</v>
      </c>
      <c r="R36" s="45">
        <f>M36+O36+Q36</f>
        <v>54.730000000000004</v>
      </c>
      <c r="S36" s="45">
        <f>(H36-R36)</f>
        <v>745.27</v>
      </c>
      <c r="T36" s="45" t="s">
        <v>106</v>
      </c>
      <c r="U36" s="45">
        <v>0.18</v>
      </c>
      <c r="V36" s="45" t="e">
        <f>IF(OR(#REF!=1,#REF!=4),ROUND(((S36*U36)/2),2),0)</f>
        <v>#REF!</v>
      </c>
      <c r="W36" s="45" t="e">
        <f>IF(#REF!=1,ROUND(((S36*U36)/2),2),0)</f>
        <v>#REF!</v>
      </c>
      <c r="X36" s="45" t="e">
        <f>IF(#REF!=2,ROUND(((S36*U36)),2),0)</f>
        <v>#REF!</v>
      </c>
      <c r="Y36" s="45" t="e">
        <f>IF(#REF!=4,ROUND(((S36*U36)/2),2),0)</f>
        <v>#REF!</v>
      </c>
      <c r="Z36" s="46">
        <v>0.06</v>
      </c>
      <c r="AA36" s="45" t="e">
        <f>IF(#REF!=3,0,S36*Z36)</f>
        <v>#REF!</v>
      </c>
      <c r="AB36" s="45" t="e">
        <f>V36+W36+X36+Y36+AA36</f>
        <v>#REF!</v>
      </c>
      <c r="AC36" s="45" t="e">
        <f>IF(#REF!=1,S36+AB36,S36)</f>
        <v>#REF!</v>
      </c>
      <c r="AD36" s="45">
        <v>120</v>
      </c>
      <c r="AE36" s="45" t="e">
        <f>IF(#REF!=1,(S36/#REF!)*#REF!,AD36/#REF!*#REF!)</f>
        <v>#REF!</v>
      </c>
      <c r="AF36" s="45"/>
      <c r="AG36" s="45" t="e">
        <f>IF(#REF!=1,(S36/#REF!)*#REF!,AD36/#REF!*#REF!)</f>
        <v>#REF!</v>
      </c>
      <c r="AH36" s="45" t="e">
        <f>IF(#REF!=1,(S36/#REF!)*#REF!,AD36/#REF!*#REF!)</f>
        <v>#REF!</v>
      </c>
      <c r="AI36" s="45" t="e">
        <f>S36*#REF!</f>
        <v>#REF!</v>
      </c>
      <c r="AJ36" s="45" t="e">
        <f>IF(#REF!=3,0,AG36+AH36)</f>
        <v>#REF!</v>
      </c>
      <c r="AK36" s="45" t="e">
        <f>IF(#REF!=3,AE36+AG36+AH36,0)</f>
        <v>#REF!</v>
      </c>
      <c r="AL36" s="45">
        <v>1</v>
      </c>
      <c r="AM36" s="45">
        <f>F36/AL36</f>
        <v>2</v>
      </c>
      <c r="AN36" s="45" t="e">
        <f>AI36/AM36</f>
        <v>#REF!</v>
      </c>
      <c r="AO36" s="45" t="e">
        <f>AJ36/AM36</f>
        <v>#REF!</v>
      </c>
      <c r="AP36" s="45" t="e">
        <f>AK36/AM36</f>
        <v>#REF!</v>
      </c>
      <c r="AQ36" s="45" t="s">
        <v>12</v>
      </c>
      <c r="AR36" t="e">
        <f>ROUND(AN36+AO36+AP36,5)</f>
        <v>#REF!</v>
      </c>
      <c r="AS36" t="s">
        <v>107</v>
      </c>
      <c r="AT36" s="47" t="s">
        <v>12</v>
      </c>
      <c r="AU36" t="s">
        <v>167</v>
      </c>
      <c r="AV36" t="s">
        <v>168</v>
      </c>
      <c r="AW36" s="47">
        <f>AM36</f>
        <v>2</v>
      </c>
      <c r="AX36" s="47" t="e">
        <f>AR36</f>
        <v>#REF!</v>
      </c>
      <c r="AY36" s="47">
        <f>AU36+AW36</f>
        <v>30</v>
      </c>
      <c r="AZ36" s="47" t="e">
        <f>ROUND(((AU36*AV36)+(AW36*AX36))/(AU36+AW36),5)</f>
        <v>#REF!</v>
      </c>
      <c r="BA36" s="3"/>
      <c r="BB36" s="3" t="s">
        <v>110</v>
      </c>
      <c r="BC36" s="2" t="s">
        <v>111</v>
      </c>
      <c r="BD36" s="48" t="s">
        <v>143</v>
      </c>
      <c r="BE36" s="48" t="s">
        <v>144</v>
      </c>
      <c r="BF36" s="3"/>
      <c r="BG36" s="3"/>
      <c r="BH36" s="3"/>
      <c r="BI36" s="47"/>
      <c r="BL36" s="47" t="s">
        <v>147</v>
      </c>
      <c r="BM36" t="s">
        <v>108</v>
      </c>
      <c r="BN36" t="s">
        <v>108</v>
      </c>
      <c r="BO36" s="47" t="e">
        <f>ROUND((((AW36*AZ36)+(BN36*BM36))/(AW36+BN36)),5)</f>
        <v>#REF!</v>
      </c>
      <c r="BP36" s="4">
        <f>BN36+AW36</f>
        <v>2</v>
      </c>
      <c r="BQ36" s="49">
        <v>123562</v>
      </c>
      <c r="BR36" s="4"/>
    </row>
    <row r="37" spans="1:70" ht="15.75" thickBot="1">
      <c r="A37" s="44">
        <v>4</v>
      </c>
      <c r="B37" s="2" t="s">
        <v>121</v>
      </c>
      <c r="C37" s="2" t="s">
        <v>121</v>
      </c>
      <c r="D37" s="44" t="s">
        <v>12</v>
      </c>
      <c r="E37" s="44" t="s">
        <v>12</v>
      </c>
      <c r="F37" s="45">
        <v>2</v>
      </c>
      <c r="G37" t="s">
        <v>159</v>
      </c>
      <c r="H37" s="45">
        <f>F37*G37</f>
        <v>1000</v>
      </c>
      <c r="I37" t="s">
        <v>126</v>
      </c>
      <c r="J37" s="45">
        <v>2</v>
      </c>
      <c r="K37" s="45">
        <v>3</v>
      </c>
      <c r="L37" s="45">
        <f>H37</f>
        <v>1000</v>
      </c>
      <c r="M37" s="45">
        <f>ROUND(L37*I37%,2)</f>
        <v>20</v>
      </c>
      <c r="N37" s="45">
        <f>H37-M37</f>
        <v>980</v>
      </c>
      <c r="O37" s="45">
        <f>ROUND(N37*J37%,2)</f>
        <v>19.600000000000001</v>
      </c>
      <c r="P37" s="45">
        <f>ROUND(N37-O37,2)</f>
        <v>960.4</v>
      </c>
      <c r="Q37" s="45">
        <f>ROUND(P37*K37%,2)</f>
        <v>28.81</v>
      </c>
      <c r="R37" s="45">
        <f>M37+O37+Q37</f>
        <v>68.41</v>
      </c>
      <c r="S37" s="45">
        <f>(H37-R37)</f>
        <v>931.59</v>
      </c>
      <c r="T37" s="45" t="s">
        <v>106</v>
      </c>
      <c r="U37" s="45">
        <v>0.18</v>
      </c>
      <c r="V37" s="45" t="e">
        <f>IF(OR(#REF!=1,#REF!=4),ROUND(((S37*U37)/2),2),0)</f>
        <v>#REF!</v>
      </c>
      <c r="W37" s="45" t="e">
        <f>IF(#REF!=1,ROUND(((S37*U37)/2),2),0)</f>
        <v>#REF!</v>
      </c>
      <c r="X37" s="45" t="e">
        <f>IF(#REF!=2,ROUND(((S37*U37)),2),0)</f>
        <v>#REF!</v>
      </c>
      <c r="Y37" s="45" t="e">
        <f>IF(#REF!=4,ROUND(((S37*U37)/2),2),0)</f>
        <v>#REF!</v>
      </c>
      <c r="Z37" s="46">
        <v>0.06</v>
      </c>
      <c r="AA37" s="45">
        <f>IF($C35=3,0,S37*Z37)</f>
        <v>55.895400000000002</v>
      </c>
      <c r="AB37" s="45" t="e">
        <f>V37+W37+X37+Y37+AA37</f>
        <v>#REF!</v>
      </c>
      <c r="AC37" s="45" t="e">
        <f>IF($V35=1,S37+AB37,S37)</f>
        <v>#REF!</v>
      </c>
      <c r="AD37" s="45">
        <v>120</v>
      </c>
      <c r="AE37" s="45" t="e">
        <f>IF(#REF!=1,(S37/#REF!)*#REF!,AD37/#REF!*#REF!)</f>
        <v>#REF!</v>
      </c>
      <c r="AF37" s="45"/>
      <c r="AG37" s="45" t="e">
        <f>IF(#REF!=1,(S37/#REF!)*#REF!,AD37/#REF!*#REF!)</f>
        <v>#REF!</v>
      </c>
      <c r="AH37" s="45" t="e">
        <f>IF(#REF!=1,(S37/#REF!)*#REF!,AD37/#REF!*#REF!)</f>
        <v>#REF!</v>
      </c>
      <c r="AI37" s="45" t="e">
        <f>S37*#REF!</f>
        <v>#REF!</v>
      </c>
      <c r="AJ37" s="45" t="e">
        <f>IF(#REF!=3,0,AG37+AH37)</f>
        <v>#REF!</v>
      </c>
      <c r="AK37" s="45" t="e">
        <f>IF(#REF!=3,AE37+AG37+AH37,0)</f>
        <v>#REF!</v>
      </c>
      <c r="AL37" s="45">
        <v>1</v>
      </c>
      <c r="AM37" s="45">
        <f>F37/AL37</f>
        <v>2</v>
      </c>
      <c r="AN37" s="45" t="e">
        <f>AI37/AM37</f>
        <v>#REF!</v>
      </c>
      <c r="AO37" s="45" t="e">
        <f>AJ37/AM37</f>
        <v>#REF!</v>
      </c>
      <c r="AP37" s="45" t="e">
        <f>AK37/AM37</f>
        <v>#REF!</v>
      </c>
      <c r="AQ37" s="45" t="s">
        <v>12</v>
      </c>
      <c r="AR37" t="e">
        <f>ROUND(AN37+AO37+AP37,5)</f>
        <v>#REF!</v>
      </c>
      <c r="AS37" t="s">
        <v>107</v>
      </c>
      <c r="AT37" s="47" t="s">
        <v>12</v>
      </c>
      <c r="AU37" t="s">
        <v>108</v>
      </c>
      <c r="AV37" t="s">
        <v>164</v>
      </c>
      <c r="AW37" s="47">
        <f>AM37</f>
        <v>2</v>
      </c>
      <c r="AX37" s="47" t="e">
        <f>AR37</f>
        <v>#REF!</v>
      </c>
      <c r="AY37" s="47">
        <f>AU37+AW37</f>
        <v>2</v>
      </c>
      <c r="AZ37" s="47" t="e">
        <f>ROUND(((AU37*AV37)+(AW37*AX37))/(AU37+AW37),5)</f>
        <v>#REF!</v>
      </c>
      <c r="BA37" s="3"/>
      <c r="BB37" s="3" t="s">
        <v>110</v>
      </c>
      <c r="BC37" s="2" t="s">
        <v>111</v>
      </c>
      <c r="BD37" s="48" t="s">
        <v>143</v>
      </c>
      <c r="BE37" s="48" t="s">
        <v>144</v>
      </c>
      <c r="BF37" s="3"/>
      <c r="BG37" s="3"/>
      <c r="BH37" s="3"/>
      <c r="BI37" s="47"/>
      <c r="BL37" s="47" t="s">
        <v>147</v>
      </c>
      <c r="BM37" t="s">
        <v>108</v>
      </c>
      <c r="BN37" t="s">
        <v>108</v>
      </c>
      <c r="BO37" s="47" t="e">
        <f>ROUND((((AW37*AZ37)+(BN37*BM37))/(AW37+BN37)),5)</f>
        <v>#REF!</v>
      </c>
      <c r="BP37" s="4">
        <f>BN37+AW37</f>
        <v>2</v>
      </c>
      <c r="BQ37" s="49">
        <v>123562</v>
      </c>
      <c r="BR3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25"/>
  <sheetViews>
    <sheetView topLeftCell="G10" workbookViewId="0">
      <selection activeCell="R23" sqref="R23"/>
    </sheetView>
  </sheetViews>
  <sheetFormatPr defaultColWidth="9" defaultRowHeight="15"/>
  <cols>
    <col min="2" max="2" width="26.85546875" customWidth="1"/>
    <col min="3" max="3" width="19.28515625" customWidth="1"/>
    <col min="4" max="4" width="80.42578125" customWidth="1"/>
    <col min="5" max="5" width="10.42578125" customWidth="1"/>
    <col min="6" max="6" width="8.28515625" customWidth="1"/>
    <col min="7" max="7" width="10.140625" customWidth="1"/>
    <col min="8" max="8" width="11.85546875" customWidth="1"/>
    <col min="11" max="11" width="6.28515625" customWidth="1"/>
    <col min="18" max="18" width="14.85546875" customWidth="1"/>
    <col min="29" max="29" width="10.28515625" customWidth="1"/>
    <col min="30" max="30" width="12.85546875" customWidth="1"/>
    <col min="31" max="31" width="8.7109375" customWidth="1"/>
    <col min="35" max="35" width="14.28515625" customWidth="1"/>
    <col min="43" max="43" width="11.85546875" customWidth="1"/>
    <col min="44" max="44" width="23.28515625" customWidth="1"/>
    <col min="46" max="46" width="11.85546875" customWidth="1"/>
    <col min="47" max="47" width="15.28515625" customWidth="1"/>
    <col min="48" max="48" width="20.28515625" customWidth="1"/>
    <col min="49" max="49" width="11.42578125" customWidth="1"/>
    <col min="51" max="51" width="13.85546875" customWidth="1"/>
    <col min="52" max="52" width="18.85546875" bestFit="1" customWidth="1"/>
    <col min="53" max="53" width="19" bestFit="1" customWidth="1"/>
    <col min="60" max="60" width="12.5703125" customWidth="1"/>
    <col min="61" max="61" width="21.7109375" customWidth="1"/>
    <col min="62" max="63" width="30.5703125" customWidth="1"/>
    <col min="65" max="65" width="41.140625" customWidth="1"/>
    <col min="66" max="66" width="37" customWidth="1"/>
    <col min="67" max="67" width="18.85546875" customWidth="1"/>
    <col min="68" max="68" width="34.42578125" customWidth="1"/>
    <col min="71" max="71" width="25.140625" bestFit="1" customWidth="1"/>
  </cols>
  <sheetData>
    <row r="1" spans="1:45" ht="18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7"/>
      <c r="AS1" s="7"/>
    </row>
    <row r="2" spans="1:45" ht="18.75" thickBot="1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7"/>
      <c r="AS2" s="7"/>
    </row>
    <row r="3" spans="1:45" ht="15.75" thickTop="1">
      <c r="A3" s="8" t="s">
        <v>2</v>
      </c>
      <c r="B3" s="9" t="s">
        <v>3</v>
      </c>
      <c r="C3" s="10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11" t="s">
        <v>9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7"/>
    </row>
    <row r="4" spans="1:45">
      <c r="A4" s="13">
        <v>1</v>
      </c>
      <c r="B4" s="14" t="s">
        <v>10</v>
      </c>
      <c r="C4" s="14" t="s">
        <v>11</v>
      </c>
      <c r="D4" s="14" t="s">
        <v>12</v>
      </c>
      <c r="E4" s="14" t="s">
        <v>12</v>
      </c>
      <c r="F4" s="15">
        <v>25</v>
      </c>
      <c r="G4" s="16">
        <v>257.63</v>
      </c>
      <c r="H4" s="17">
        <f t="shared" ref="H4:H18" si="0">F4*G4</f>
        <v>6440.75</v>
      </c>
      <c r="I4" s="18"/>
      <c r="J4" s="18"/>
      <c r="K4" s="18"/>
      <c r="L4" s="19"/>
      <c r="M4" s="19"/>
      <c r="N4" s="19"/>
      <c r="O4" s="19"/>
      <c r="P4" s="19"/>
      <c r="Q4" s="19"/>
      <c r="R4" s="19"/>
      <c r="S4" s="19"/>
      <c r="T4" s="19"/>
      <c r="U4" s="18"/>
      <c r="V4" s="18"/>
      <c r="W4" s="18"/>
      <c r="X4" s="18"/>
      <c r="Y4" s="18"/>
      <c r="Z4" s="18"/>
      <c r="AA4" s="18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7"/>
    </row>
    <row r="5" spans="1:45">
      <c r="A5" s="13">
        <v>2</v>
      </c>
      <c r="B5" s="14" t="s">
        <v>13</v>
      </c>
      <c r="C5" s="14" t="s">
        <v>14</v>
      </c>
      <c r="D5" s="14" t="s">
        <v>12</v>
      </c>
      <c r="E5" s="14" t="s">
        <v>12</v>
      </c>
      <c r="F5" s="15">
        <v>35</v>
      </c>
      <c r="G5" s="16">
        <v>125.45</v>
      </c>
      <c r="H5" s="17">
        <f t="shared" si="0"/>
        <v>4390.75</v>
      </c>
      <c r="I5" s="18"/>
      <c r="J5" s="18"/>
      <c r="K5" s="18"/>
      <c r="L5" s="19"/>
      <c r="M5" s="19"/>
      <c r="N5" s="19"/>
      <c r="O5" s="19"/>
      <c r="P5" s="19"/>
      <c r="Q5" s="19"/>
      <c r="R5" s="19"/>
      <c r="S5" s="19"/>
      <c r="T5" s="19"/>
      <c r="U5" s="18"/>
      <c r="V5" s="18"/>
      <c r="W5" s="18"/>
      <c r="X5" s="18"/>
      <c r="Y5" s="18"/>
      <c r="Z5" s="18"/>
      <c r="AA5" s="18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7"/>
    </row>
    <row r="6" spans="1:45">
      <c r="A6" s="13">
        <v>3</v>
      </c>
      <c r="B6" s="14" t="s">
        <v>15</v>
      </c>
      <c r="C6" s="14" t="s">
        <v>16</v>
      </c>
      <c r="D6" s="14" t="s">
        <v>12</v>
      </c>
      <c r="E6" s="14" t="s">
        <v>12</v>
      </c>
      <c r="F6" s="15">
        <v>45</v>
      </c>
      <c r="G6" s="16">
        <v>125.36</v>
      </c>
      <c r="H6" s="17">
        <f t="shared" si="0"/>
        <v>5641.2</v>
      </c>
      <c r="I6" s="18"/>
      <c r="J6" s="18"/>
      <c r="K6" s="18"/>
      <c r="L6" s="19"/>
      <c r="M6" s="19"/>
      <c r="N6" s="19"/>
      <c r="O6" s="19"/>
      <c r="P6" s="19"/>
      <c r="Q6" s="19"/>
      <c r="R6" s="19"/>
      <c r="S6" s="19"/>
      <c r="T6" s="19"/>
      <c r="U6" s="18"/>
      <c r="V6" s="18"/>
      <c r="W6" s="18"/>
      <c r="X6" s="18"/>
      <c r="Y6" s="18"/>
      <c r="Z6" s="18"/>
      <c r="AA6" s="18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7"/>
    </row>
    <row r="7" spans="1:45">
      <c r="A7" s="13">
        <v>4</v>
      </c>
      <c r="B7" s="14" t="s">
        <v>17</v>
      </c>
      <c r="C7" s="14" t="s">
        <v>18</v>
      </c>
      <c r="D7" s="14" t="s">
        <v>12</v>
      </c>
      <c r="E7" s="14" t="s">
        <v>12</v>
      </c>
      <c r="F7" s="15">
        <v>55</v>
      </c>
      <c r="G7" s="16">
        <v>45.25</v>
      </c>
      <c r="H7" s="17">
        <f t="shared" si="0"/>
        <v>2488.75</v>
      </c>
      <c r="I7" s="18"/>
      <c r="J7" s="18"/>
      <c r="K7" s="18"/>
      <c r="L7" s="19"/>
      <c r="M7" s="19"/>
      <c r="N7" s="19"/>
      <c r="O7" s="19"/>
      <c r="P7" s="19"/>
      <c r="Q7" s="19"/>
      <c r="R7" s="19"/>
      <c r="S7" s="19"/>
      <c r="T7" s="19"/>
      <c r="U7" s="18"/>
      <c r="V7" s="18"/>
      <c r="W7" s="18"/>
      <c r="X7" s="18"/>
      <c r="Y7" s="18"/>
      <c r="Z7" s="18"/>
      <c r="AA7" s="18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7"/>
    </row>
    <row r="8" spans="1:45">
      <c r="A8" s="13">
        <v>5</v>
      </c>
      <c r="B8" s="14" t="s">
        <v>19</v>
      </c>
      <c r="C8" s="14" t="s">
        <v>20</v>
      </c>
      <c r="D8" s="14" t="s">
        <v>12</v>
      </c>
      <c r="E8" s="14" t="s">
        <v>12</v>
      </c>
      <c r="F8" s="15">
        <v>60</v>
      </c>
      <c r="G8" s="16">
        <v>45.5</v>
      </c>
      <c r="H8" s="17">
        <f t="shared" si="0"/>
        <v>2730</v>
      </c>
      <c r="I8" s="18"/>
      <c r="J8" s="18"/>
      <c r="K8" s="18"/>
      <c r="L8" s="19"/>
      <c r="M8" s="19"/>
      <c r="N8" s="19"/>
      <c r="O8" s="19"/>
      <c r="P8" s="19"/>
      <c r="Q8" s="19"/>
      <c r="R8" s="19"/>
      <c r="S8" s="19"/>
      <c r="T8" s="19"/>
      <c r="U8" s="18"/>
      <c r="V8" s="18"/>
      <c r="W8" s="18"/>
      <c r="X8" s="18"/>
      <c r="Y8" s="18"/>
      <c r="Z8" s="18"/>
      <c r="AA8" s="18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7"/>
    </row>
    <row r="9" spans="1:45">
      <c r="A9" s="13">
        <v>6</v>
      </c>
      <c r="B9" s="14" t="s">
        <v>21</v>
      </c>
      <c r="C9" s="14" t="s">
        <v>22</v>
      </c>
      <c r="D9" s="14" t="s">
        <v>12</v>
      </c>
      <c r="E9" s="14" t="s">
        <v>12</v>
      </c>
      <c r="F9" s="15">
        <v>75</v>
      </c>
      <c r="G9" s="16">
        <v>125.25</v>
      </c>
      <c r="H9" s="17">
        <f t="shared" si="0"/>
        <v>9393.75</v>
      </c>
      <c r="I9" s="18"/>
      <c r="J9" s="18"/>
      <c r="K9" s="18"/>
      <c r="L9" s="19"/>
      <c r="M9" s="19"/>
      <c r="N9" s="19"/>
      <c r="O9" s="19"/>
      <c r="P9" s="19"/>
      <c r="Q9" s="19"/>
      <c r="R9" s="19"/>
      <c r="S9" s="19"/>
      <c r="T9" s="19"/>
      <c r="U9" s="18"/>
      <c r="V9" s="18"/>
      <c r="W9" s="18"/>
      <c r="X9" s="18"/>
      <c r="Y9" s="18"/>
      <c r="Z9" s="18"/>
      <c r="AA9" s="18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7"/>
    </row>
    <row r="10" spans="1:45">
      <c r="A10" s="13">
        <v>7</v>
      </c>
      <c r="B10" s="14" t="s">
        <v>23</v>
      </c>
      <c r="C10" s="14" t="s">
        <v>24</v>
      </c>
      <c r="D10" s="14" t="s">
        <v>12</v>
      </c>
      <c r="E10" s="14" t="s">
        <v>12</v>
      </c>
      <c r="F10" s="15">
        <v>28</v>
      </c>
      <c r="G10" s="16">
        <v>150.5</v>
      </c>
      <c r="H10" s="17">
        <f t="shared" si="0"/>
        <v>4214</v>
      </c>
      <c r="I10" s="18"/>
      <c r="J10" s="18"/>
      <c r="K10" s="18"/>
      <c r="L10" s="19"/>
      <c r="M10" s="19"/>
      <c r="N10" s="19"/>
      <c r="O10" s="19"/>
      <c r="P10" s="19"/>
      <c r="Q10" s="19"/>
      <c r="R10" s="19"/>
      <c r="S10" s="19"/>
      <c r="T10" s="19"/>
      <c r="U10" s="18"/>
      <c r="V10" s="18"/>
      <c r="W10" s="18"/>
      <c r="X10" s="18"/>
      <c r="Y10" s="18"/>
      <c r="Z10" s="18"/>
      <c r="AA10" s="18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7"/>
    </row>
    <row r="11" spans="1:45">
      <c r="A11" s="13">
        <v>8</v>
      </c>
      <c r="B11" s="14" t="s">
        <v>25</v>
      </c>
      <c r="C11" s="14" t="s">
        <v>26</v>
      </c>
      <c r="D11" s="14" t="s">
        <v>12</v>
      </c>
      <c r="E11" s="14" t="s">
        <v>12</v>
      </c>
      <c r="F11" s="15">
        <v>30</v>
      </c>
      <c r="G11" s="16">
        <v>65.319999999999993</v>
      </c>
      <c r="H11" s="17">
        <f t="shared" si="0"/>
        <v>1959.6</v>
      </c>
      <c r="I11" s="18"/>
      <c r="J11" s="18"/>
      <c r="K11" s="18"/>
      <c r="L11" s="19"/>
      <c r="M11" s="19"/>
      <c r="N11" s="19"/>
      <c r="O11" s="19"/>
      <c r="P11" s="19"/>
      <c r="Q11" s="19"/>
      <c r="R11" s="19"/>
      <c r="S11" s="19"/>
      <c r="T11" s="19"/>
      <c r="U11" s="18"/>
      <c r="V11" s="18"/>
      <c r="W11" s="18"/>
      <c r="X11" s="18"/>
      <c r="Y11" s="18"/>
      <c r="Z11" s="18"/>
      <c r="AA11" s="18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7"/>
    </row>
    <row r="12" spans="1:45">
      <c r="A12" s="13">
        <v>9</v>
      </c>
      <c r="B12" s="14" t="s">
        <v>27</v>
      </c>
      <c r="C12" s="14" t="s">
        <v>28</v>
      </c>
      <c r="D12" s="14" t="s">
        <v>12</v>
      </c>
      <c r="E12" s="14" t="s">
        <v>12</v>
      </c>
      <c r="F12" s="15">
        <v>25</v>
      </c>
      <c r="G12" s="16">
        <v>74.89</v>
      </c>
      <c r="H12" s="17">
        <f t="shared" si="0"/>
        <v>1872.25</v>
      </c>
      <c r="I12" s="18"/>
      <c r="J12" s="18"/>
      <c r="K12" s="18"/>
      <c r="L12" s="19"/>
      <c r="M12" s="19"/>
      <c r="N12" s="19"/>
      <c r="O12" s="19"/>
      <c r="P12" s="19"/>
      <c r="Q12" s="19"/>
      <c r="R12" s="19"/>
      <c r="S12" s="19"/>
      <c r="T12" s="19"/>
      <c r="U12" s="18"/>
      <c r="V12" s="18"/>
      <c r="W12" s="18"/>
      <c r="X12" s="18"/>
      <c r="Y12" s="18"/>
      <c r="Z12" s="18"/>
      <c r="AA12" s="18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7"/>
    </row>
    <row r="13" spans="1:45">
      <c r="A13" s="13">
        <v>10</v>
      </c>
      <c r="B13" s="14" t="s">
        <v>29</v>
      </c>
      <c r="C13" s="14" t="s">
        <v>30</v>
      </c>
      <c r="D13" s="14" t="s">
        <v>12</v>
      </c>
      <c r="E13" s="14" t="s">
        <v>12</v>
      </c>
      <c r="F13" s="15">
        <v>28</v>
      </c>
      <c r="G13" s="16">
        <v>89.56</v>
      </c>
      <c r="H13" s="17">
        <f t="shared" si="0"/>
        <v>2507.6800000000003</v>
      </c>
      <c r="I13" s="18"/>
      <c r="J13" s="18"/>
      <c r="K13" s="18"/>
      <c r="L13" s="19"/>
      <c r="M13" s="19"/>
      <c r="N13" s="19"/>
      <c r="O13" s="19"/>
      <c r="P13" s="19"/>
      <c r="Q13" s="19"/>
      <c r="R13" s="19"/>
      <c r="S13" s="19"/>
      <c r="T13" s="19"/>
      <c r="U13" s="18"/>
      <c r="V13" s="18"/>
      <c r="W13" s="18"/>
      <c r="X13" s="18"/>
      <c r="Y13" s="18"/>
      <c r="Z13" s="18"/>
      <c r="AA13" s="18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7"/>
    </row>
    <row r="14" spans="1:45">
      <c r="A14" s="13">
        <v>11</v>
      </c>
      <c r="B14" s="14" t="s">
        <v>31</v>
      </c>
      <c r="C14" s="14" t="s">
        <v>32</v>
      </c>
      <c r="D14" s="14" t="s">
        <v>12</v>
      </c>
      <c r="E14" s="14" t="s">
        <v>12</v>
      </c>
      <c r="F14" s="15">
        <v>37</v>
      </c>
      <c r="G14" s="16">
        <v>89.54</v>
      </c>
      <c r="H14" s="17">
        <f t="shared" si="0"/>
        <v>3312.98</v>
      </c>
      <c r="I14" s="18"/>
      <c r="J14" s="18"/>
      <c r="K14" s="18"/>
      <c r="L14" s="19"/>
      <c r="M14" s="19"/>
      <c r="N14" s="19"/>
      <c r="O14" s="19"/>
      <c r="P14" s="19"/>
      <c r="Q14" s="19"/>
      <c r="R14" s="19"/>
      <c r="S14" s="19"/>
      <c r="T14" s="19"/>
      <c r="U14" s="18"/>
      <c r="V14" s="18"/>
      <c r="W14" s="18"/>
      <c r="X14" s="18"/>
      <c r="Y14" s="18"/>
      <c r="Z14" s="18"/>
      <c r="AA14" s="18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7"/>
    </row>
    <row r="15" spans="1:45">
      <c r="A15" s="13">
        <v>12</v>
      </c>
      <c r="B15" s="14" t="s">
        <v>33</v>
      </c>
      <c r="C15" s="14" t="s">
        <v>34</v>
      </c>
      <c r="D15" s="14" t="s">
        <v>12</v>
      </c>
      <c r="E15" s="14" t="s">
        <v>12</v>
      </c>
      <c r="F15" s="15">
        <v>39</v>
      </c>
      <c r="G15" s="16">
        <v>98.25</v>
      </c>
      <c r="H15" s="17">
        <f t="shared" si="0"/>
        <v>3831.75</v>
      </c>
      <c r="I15" s="18"/>
      <c r="J15" s="18"/>
      <c r="K15" s="18"/>
      <c r="L15" s="19"/>
      <c r="M15" s="19"/>
      <c r="N15" s="19"/>
      <c r="O15" s="19"/>
      <c r="P15" s="19"/>
      <c r="Q15" s="19"/>
      <c r="R15" s="19"/>
      <c r="S15" s="19"/>
      <c r="T15" s="19"/>
      <c r="U15" s="18"/>
      <c r="V15" s="18"/>
      <c r="W15" s="18"/>
      <c r="X15" s="18"/>
      <c r="Y15" s="18"/>
      <c r="Z15" s="18"/>
      <c r="AA15" s="18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7"/>
    </row>
    <row r="16" spans="1:45">
      <c r="A16" s="13">
        <v>13</v>
      </c>
      <c r="B16" s="14" t="s">
        <v>35</v>
      </c>
      <c r="C16" s="14" t="s">
        <v>36</v>
      </c>
      <c r="D16" s="14" t="s">
        <v>12</v>
      </c>
      <c r="E16" s="14" t="s">
        <v>12</v>
      </c>
      <c r="F16" s="15">
        <v>70</v>
      </c>
      <c r="G16" s="16">
        <v>102.25</v>
      </c>
      <c r="H16" s="17">
        <f t="shared" si="0"/>
        <v>7157.5</v>
      </c>
      <c r="I16" s="18"/>
      <c r="J16" s="18"/>
      <c r="K16" s="18"/>
      <c r="L16" s="19"/>
      <c r="M16" s="19"/>
      <c r="N16" s="19"/>
      <c r="O16" s="19"/>
      <c r="P16" s="19"/>
      <c r="Q16" s="19"/>
      <c r="R16" s="19"/>
      <c r="S16" s="19"/>
      <c r="T16" s="19"/>
      <c r="U16" s="18"/>
      <c r="V16" s="18"/>
      <c r="W16" s="18"/>
      <c r="X16" s="18"/>
      <c r="Y16" s="18"/>
      <c r="Z16" s="18"/>
      <c r="AA16" s="18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7"/>
    </row>
    <row r="17" spans="1:73">
      <c r="A17" s="13">
        <v>14</v>
      </c>
      <c r="B17" s="14" t="s">
        <v>37</v>
      </c>
      <c r="C17" s="14" t="s">
        <v>38</v>
      </c>
      <c r="D17" s="14" t="s">
        <v>12</v>
      </c>
      <c r="E17" s="14" t="s">
        <v>12</v>
      </c>
      <c r="F17" s="15">
        <v>100</v>
      </c>
      <c r="G17" s="16">
        <v>103.5</v>
      </c>
      <c r="H17" s="17">
        <f t="shared" si="0"/>
        <v>10350</v>
      </c>
      <c r="I17" s="18"/>
      <c r="J17" s="18"/>
      <c r="K17" s="18"/>
      <c r="L17" s="19"/>
      <c r="M17" s="19"/>
      <c r="N17" s="19"/>
      <c r="O17" s="19"/>
      <c r="P17" s="19"/>
      <c r="Q17" s="19"/>
      <c r="R17" s="19"/>
      <c r="S17" s="20">
        <v>5858.27</v>
      </c>
      <c r="T17" s="19"/>
      <c r="U17" s="18"/>
      <c r="V17" s="18"/>
      <c r="W17" s="18"/>
      <c r="X17" s="18"/>
      <c r="Y17" s="18"/>
      <c r="Z17" s="18"/>
      <c r="AA17" s="18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7"/>
    </row>
    <row r="18" spans="1:73" ht="15.75" thickBot="1">
      <c r="A18" s="21">
        <v>15</v>
      </c>
      <c r="B18" s="22" t="s">
        <v>39</v>
      </c>
      <c r="C18" s="22" t="s">
        <v>40</v>
      </c>
      <c r="D18" s="22" t="s">
        <v>12</v>
      </c>
      <c r="E18" s="22" t="s">
        <v>12</v>
      </c>
      <c r="F18" s="23">
        <v>85</v>
      </c>
      <c r="G18" s="24">
        <v>65.48</v>
      </c>
      <c r="H18" s="25">
        <f t="shared" si="0"/>
        <v>5565.8</v>
      </c>
      <c r="I18" s="18"/>
      <c r="J18" s="18"/>
      <c r="K18" s="18"/>
      <c r="L18" s="19"/>
      <c r="M18" s="19"/>
      <c r="N18" s="19"/>
      <c r="O18" s="19"/>
      <c r="P18" s="19"/>
      <c r="Q18" s="19"/>
      <c r="R18" s="19"/>
      <c r="S18" s="19"/>
      <c r="T18" s="19"/>
      <c r="U18" s="18"/>
      <c r="V18" s="18"/>
      <c r="W18" s="18"/>
      <c r="X18" s="18"/>
      <c r="Y18" s="18"/>
      <c r="Z18" s="18"/>
      <c r="AA18" s="18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7"/>
    </row>
    <row r="19" spans="1:73" ht="15.75" thickTop="1">
      <c r="A19" s="7"/>
      <c r="B19" s="102" t="s">
        <v>41</v>
      </c>
      <c r="C19" s="102"/>
      <c r="D19" s="102"/>
      <c r="E19" s="102"/>
      <c r="F19" s="102"/>
      <c r="G19" s="102"/>
      <c r="H19" s="26">
        <f>SUM(H4:H18)</f>
        <v>71856.759999999995</v>
      </c>
      <c r="I19" s="27"/>
      <c r="J19" s="27"/>
      <c r="K19" s="27"/>
      <c r="L19" s="27"/>
      <c r="M19" s="27"/>
      <c r="N19" s="27"/>
      <c r="O19" s="27"/>
      <c r="P19" s="27"/>
      <c r="Q19" s="27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7"/>
    </row>
    <row r="20" spans="1:73">
      <c r="A20" s="28" t="s">
        <v>42</v>
      </c>
      <c r="B20" s="29"/>
      <c r="C20" s="29"/>
      <c r="D20" s="29"/>
      <c r="E20" s="29"/>
      <c r="F20" s="29"/>
      <c r="G20" s="29"/>
      <c r="H20" s="28"/>
      <c r="I20" s="30"/>
      <c r="J20" s="30"/>
      <c r="K20" s="30"/>
      <c r="L20" s="30"/>
      <c r="M20" s="30"/>
      <c r="N20" s="30"/>
      <c r="O20" s="30"/>
      <c r="P20" s="30"/>
      <c r="Q20" s="30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7"/>
    </row>
    <row r="21" spans="1:73" ht="15.75" thickBot="1">
      <c r="A21" s="103" t="s">
        <v>43</v>
      </c>
      <c r="B21" s="103"/>
      <c r="C21" s="12">
        <v>1</v>
      </c>
      <c r="D21" s="31" t="s">
        <v>137</v>
      </c>
      <c r="E21" s="29"/>
      <c r="F21" s="29"/>
      <c r="G21" s="29"/>
      <c r="H21" s="28"/>
      <c r="I21" s="30" t="s">
        <v>44</v>
      </c>
      <c r="J21" s="30" t="s">
        <v>45</v>
      </c>
      <c r="K21" s="30"/>
      <c r="L21" s="30" t="s">
        <v>46</v>
      </c>
      <c r="M21" s="30">
        <v>1</v>
      </c>
      <c r="N21" s="30"/>
      <c r="O21" s="30" t="s">
        <v>47</v>
      </c>
      <c r="P21" s="30">
        <v>1</v>
      </c>
      <c r="Q21" s="30" t="s">
        <v>48</v>
      </c>
      <c r="R21" s="28"/>
      <c r="S21" s="28"/>
      <c r="T21" s="28"/>
      <c r="U21" s="28"/>
      <c r="V21" s="28">
        <v>1</v>
      </c>
      <c r="W21" s="28" t="s">
        <v>138</v>
      </c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7"/>
    </row>
    <row r="22" spans="1:73" ht="58.5" thickTop="1" thickBot="1">
      <c r="A22" s="32" t="s">
        <v>2</v>
      </c>
      <c r="B22" s="32" t="s">
        <v>3</v>
      </c>
      <c r="C22" s="33" t="s">
        <v>4</v>
      </c>
      <c r="D22" s="32" t="s">
        <v>5</v>
      </c>
      <c r="E22" s="32" t="s">
        <v>6</v>
      </c>
      <c r="F22" s="34" t="s">
        <v>49</v>
      </c>
      <c r="G22" s="32" t="s">
        <v>8</v>
      </c>
      <c r="H22" s="32" t="s">
        <v>9</v>
      </c>
      <c r="I22" s="35" t="s">
        <v>50</v>
      </c>
      <c r="J22" s="35" t="s">
        <v>51</v>
      </c>
      <c r="K22" s="35" t="s">
        <v>52</v>
      </c>
      <c r="L22" s="36" t="s">
        <v>53</v>
      </c>
      <c r="M22" s="36" t="s">
        <v>54</v>
      </c>
      <c r="N22" s="36" t="s">
        <v>55</v>
      </c>
      <c r="O22" s="36" t="s">
        <v>56</v>
      </c>
      <c r="P22" s="36" t="s">
        <v>57</v>
      </c>
      <c r="Q22" s="36" t="s">
        <v>58</v>
      </c>
      <c r="R22" s="35" t="s">
        <v>59</v>
      </c>
      <c r="S22" s="32" t="s">
        <v>60</v>
      </c>
      <c r="T22" s="32" t="s">
        <v>61</v>
      </c>
      <c r="U22" s="37" t="s">
        <v>62</v>
      </c>
      <c r="V22" s="37" t="s">
        <v>63</v>
      </c>
      <c r="W22" s="37" t="s">
        <v>64</v>
      </c>
      <c r="X22" s="37" t="s">
        <v>65</v>
      </c>
      <c r="Y22" s="37" t="s">
        <v>139</v>
      </c>
      <c r="Z22" s="37" t="s">
        <v>140</v>
      </c>
      <c r="AA22" s="37" t="s">
        <v>141</v>
      </c>
      <c r="AB22" s="37" t="s">
        <v>66</v>
      </c>
      <c r="AC22" s="38" t="s">
        <v>67</v>
      </c>
      <c r="AD22" s="38" t="s">
        <v>68</v>
      </c>
      <c r="AE22" s="39" t="s">
        <v>69</v>
      </c>
      <c r="AF22" s="39" t="s">
        <v>70</v>
      </c>
      <c r="AG22" s="39" t="s">
        <v>71</v>
      </c>
      <c r="AH22" s="38" t="s">
        <v>72</v>
      </c>
      <c r="AI22" s="38" t="s">
        <v>73</v>
      </c>
      <c r="AJ22" s="39" t="s">
        <v>74</v>
      </c>
      <c r="AK22" s="39" t="s">
        <v>75</v>
      </c>
      <c r="AL22" s="38" t="s">
        <v>76</v>
      </c>
      <c r="AM22" s="38" t="s">
        <v>77</v>
      </c>
      <c r="AN22" s="39" t="s">
        <v>78</v>
      </c>
      <c r="AO22" s="39" t="s">
        <v>79</v>
      </c>
      <c r="AP22" s="39" t="s">
        <v>80</v>
      </c>
      <c r="AQ22" s="38" t="s">
        <v>81</v>
      </c>
      <c r="AR22" s="40" t="s">
        <v>82</v>
      </c>
      <c r="AS22" s="9" t="s">
        <v>83</v>
      </c>
      <c r="AT22" s="9" t="s">
        <v>81</v>
      </c>
      <c r="AU22" s="41" t="s">
        <v>84</v>
      </c>
      <c r="AV22" s="41" t="s">
        <v>85</v>
      </c>
      <c r="AW22" s="41" t="s">
        <v>86</v>
      </c>
      <c r="AX22" s="41" t="s">
        <v>87</v>
      </c>
      <c r="AY22" s="41" t="s">
        <v>88</v>
      </c>
      <c r="AZ22" s="41" t="s">
        <v>89</v>
      </c>
      <c r="BA22" s="41" t="s">
        <v>90</v>
      </c>
      <c r="BB22" s="41" t="s">
        <v>91</v>
      </c>
      <c r="BC22" s="42" t="s">
        <v>92</v>
      </c>
      <c r="BD22" s="42" t="s">
        <v>93</v>
      </c>
      <c r="BE22" s="42" t="s">
        <v>94</v>
      </c>
      <c r="BF22" s="41" t="s">
        <v>95</v>
      </c>
      <c r="BG22" s="41" t="s">
        <v>96</v>
      </c>
      <c r="BH22" s="41" t="s">
        <v>97</v>
      </c>
      <c r="BI22" s="41" t="s">
        <v>98</v>
      </c>
      <c r="BJ22" s="41" t="s">
        <v>99</v>
      </c>
      <c r="BK22" s="41" t="s">
        <v>100</v>
      </c>
      <c r="BL22" s="41" t="s">
        <v>101</v>
      </c>
      <c r="BM22" s="43" t="s">
        <v>102</v>
      </c>
      <c r="BN22" s="41" t="s">
        <v>103</v>
      </c>
      <c r="BO22" s="41" t="s">
        <v>89</v>
      </c>
      <c r="BP22" s="41" t="s">
        <v>104</v>
      </c>
      <c r="BQ22" s="41" t="s">
        <v>61</v>
      </c>
      <c r="BR22" s="61" t="s">
        <v>173</v>
      </c>
      <c r="BS22" s="61" t="s">
        <v>174</v>
      </c>
      <c r="BT22" s="61" t="s">
        <v>175</v>
      </c>
      <c r="BU22" s="87" t="s">
        <v>179</v>
      </c>
    </row>
    <row r="23" spans="1:73" ht="15.75" thickBot="1">
      <c r="A23" s="44">
        <v>1</v>
      </c>
      <c r="B23" s="2" t="s">
        <v>169</v>
      </c>
      <c r="C23" s="2" t="s">
        <v>169</v>
      </c>
      <c r="D23" s="44" t="s">
        <v>12</v>
      </c>
      <c r="E23" s="44" t="s">
        <v>12</v>
      </c>
      <c r="F23" s="45">
        <v>2</v>
      </c>
      <c r="G23" s="45">
        <v>300</v>
      </c>
      <c r="H23" s="45">
        <f>F23*G23</f>
        <v>600</v>
      </c>
      <c r="I23" s="45">
        <v>0</v>
      </c>
      <c r="J23" s="45">
        <v>0</v>
      </c>
      <c r="K23" s="45">
        <v>0</v>
      </c>
      <c r="L23" s="45">
        <f>H23</f>
        <v>600</v>
      </c>
      <c r="M23" s="45">
        <f>ROUND(L23*I23%,2)</f>
        <v>0</v>
      </c>
      <c r="N23" s="45">
        <f>H23-M23</f>
        <v>600</v>
      </c>
      <c r="O23" s="45">
        <f>ROUND(N23*J23%,2)</f>
        <v>0</v>
      </c>
      <c r="P23" s="45">
        <f>ROUND(N23-O23,2)</f>
        <v>600</v>
      </c>
      <c r="Q23" s="45">
        <f>ROUND(P23*K23%,2)</f>
        <v>0</v>
      </c>
      <c r="R23" s="88">
        <f>ROUND(M23+O23+Q23,3)</f>
        <v>0</v>
      </c>
      <c r="S23" s="88">
        <f>(H23-R23)</f>
        <v>600</v>
      </c>
      <c r="T23" s="45" t="s">
        <v>106</v>
      </c>
      <c r="U23" s="45">
        <v>0.18</v>
      </c>
      <c r="V23" s="45">
        <f>IF(OR($C$21=1,$C$21=4),ROUND(((S23*U23)/2),2),0)</f>
        <v>54</v>
      </c>
      <c r="W23" s="45">
        <f>IF($C$21=1,ROUND(((S23*U23)/2),2),0)</f>
        <v>54</v>
      </c>
      <c r="X23" s="45">
        <f>IF($C$21=2,ROUND(((S23*U23)),2),0)</f>
        <v>0</v>
      </c>
      <c r="Y23" s="45">
        <f>IF($C$21=4,ROUND(((S23*U23)/2),2),0)</f>
        <v>0</v>
      </c>
      <c r="Z23" s="46">
        <v>0</v>
      </c>
      <c r="AA23" s="45">
        <f>IF($C21=3,0,S23*Z23)</f>
        <v>0</v>
      </c>
      <c r="AB23" s="45">
        <f>V23+W23+X23+Y23+AA23</f>
        <v>108</v>
      </c>
      <c r="AC23" s="45">
        <f>IF($V21=1,S23+AB23,S23)</f>
        <v>708</v>
      </c>
      <c r="AD23" s="45">
        <v>120</v>
      </c>
      <c r="AE23" s="45">
        <f>IF($P$21=1,(S23/$S$24)*$E$35,AD23/$AD$24*$E$35)</f>
        <v>0</v>
      </c>
      <c r="AF23" s="45"/>
      <c r="AG23" s="45">
        <f>IF($P$21=1,(S23/$S$24)*$E$37,AD23/$AD$24*$E$37)</f>
        <v>0</v>
      </c>
      <c r="AH23" s="45">
        <f>IF($P$21=1,(S23/$S$24)*$E$37,AD23/$AD$24*$E$37)</f>
        <v>0</v>
      </c>
      <c r="AI23" s="45">
        <f>S23*$M$21</f>
        <v>600</v>
      </c>
      <c r="AJ23" s="45">
        <f>IF($C$21=3,0,AG23+AH23)</f>
        <v>0</v>
      </c>
      <c r="AK23" s="45">
        <f>IF($C$21=3,AE23+AG23+AH23,0)</f>
        <v>0</v>
      </c>
      <c r="AL23" s="45">
        <v>1</v>
      </c>
      <c r="AM23" s="45">
        <f>F23/AL23</f>
        <v>2</v>
      </c>
      <c r="AN23" s="45">
        <f>AI23/AM23</f>
        <v>300</v>
      </c>
      <c r="AO23" s="45">
        <f>AJ23/AM23</f>
        <v>0</v>
      </c>
      <c r="AP23" s="45">
        <f>AK23/AM23</f>
        <v>0</v>
      </c>
      <c r="AQ23" s="45" t="s">
        <v>12</v>
      </c>
      <c r="AR23">
        <f>ROUND(AN23+AO23+AP23,5)</f>
        <v>300</v>
      </c>
      <c r="AS23" t="s">
        <v>107</v>
      </c>
      <c r="AT23" s="47" t="s">
        <v>12</v>
      </c>
      <c r="AU23" t="s">
        <v>108</v>
      </c>
      <c r="AV23" t="s">
        <v>148</v>
      </c>
      <c r="AW23" s="47">
        <f>AM23</f>
        <v>2</v>
      </c>
      <c r="AX23" s="47">
        <f>AR23</f>
        <v>300</v>
      </c>
      <c r="AY23" s="47">
        <f>AU23+AW23</f>
        <v>2</v>
      </c>
      <c r="AZ23" s="47">
        <f>ROUND(((AU23*AV23)+(AW23*AX23))/(AU23+AW23),5)</f>
        <v>300</v>
      </c>
      <c r="BA23" s="3"/>
      <c r="BB23" s="3" t="s">
        <v>110</v>
      </c>
      <c r="BC23" s="6" t="s">
        <v>113</v>
      </c>
      <c r="BD23" s="59" t="s">
        <v>143</v>
      </c>
      <c r="BE23" s="59" t="s">
        <v>144</v>
      </c>
      <c r="BF23" s="3"/>
      <c r="BG23" s="3"/>
      <c r="BH23" s="3"/>
      <c r="BI23" s="47"/>
      <c r="BL23" s="47" t="s">
        <v>147</v>
      </c>
      <c r="BM23">
        <v>292.60462000000001</v>
      </c>
      <c r="BN23">
        <v>682</v>
      </c>
      <c r="BO23" s="47">
        <f>ROUND((((AW23*AZ23)+(BN23*BM23))/(AW23+BN23)),5)</f>
        <v>292.62624</v>
      </c>
      <c r="BP23" s="4">
        <f>BN23+AW23</f>
        <v>684</v>
      </c>
      <c r="BQ23" s="49">
        <v>88363222</v>
      </c>
      <c r="BR23" s="4">
        <f>G23+100</f>
        <v>400</v>
      </c>
      <c r="BS23" s="4" t="s">
        <v>178</v>
      </c>
      <c r="BT23" s="62" t="s">
        <v>3</v>
      </c>
      <c r="BU23" t="s">
        <v>180</v>
      </c>
    </row>
    <row r="24" spans="1:73" ht="15.75" thickBot="1">
      <c r="A24" s="7"/>
      <c r="B24" s="5"/>
      <c r="C24" s="5"/>
      <c r="D24" s="50" t="s">
        <v>41</v>
      </c>
      <c r="E24" s="50"/>
      <c r="F24" s="50"/>
      <c r="G24" s="51"/>
      <c r="H24" s="52">
        <f>SUM(H23:H23)</f>
        <v>600</v>
      </c>
      <c r="I24" s="44"/>
      <c r="J24" s="44"/>
      <c r="K24" s="44"/>
      <c r="L24" s="44"/>
      <c r="M24" s="44"/>
      <c r="N24" s="44"/>
      <c r="O24" s="44"/>
      <c r="P24" s="44"/>
      <c r="Q24" s="44"/>
      <c r="R24" s="52">
        <f>SUM(R23:R23)</f>
        <v>0</v>
      </c>
      <c r="S24" s="53">
        <f>SUM(S23:S23)</f>
        <v>600</v>
      </c>
      <c r="T24" s="52"/>
      <c r="U24" s="52"/>
      <c r="V24" s="54">
        <f>SUM(V23:V23)</f>
        <v>54</v>
      </c>
      <c r="W24" s="54">
        <f>SUM(W23:W23)</f>
        <v>54</v>
      </c>
      <c r="X24" s="54">
        <f>SUM(X23:X23)</f>
        <v>0</v>
      </c>
      <c r="Y24" s="54"/>
      <c r="Z24" s="54"/>
      <c r="AA24" s="54"/>
      <c r="AB24" s="52">
        <f>SUM(AB23:AB23)</f>
        <v>108</v>
      </c>
      <c r="AC24" s="55">
        <f>SUM(AC23:AC23)</f>
        <v>708</v>
      </c>
      <c r="AD24" s="56">
        <f>SUM(AD23:AD23)</f>
        <v>120</v>
      </c>
      <c r="AE24" s="56">
        <f>SUM(AE23:AE23)</f>
        <v>0</v>
      </c>
      <c r="AF24" s="55"/>
      <c r="AG24" s="56">
        <f>SUM(AG23:AG23)</f>
        <v>0</v>
      </c>
      <c r="AH24" s="56">
        <f>SUM(AH23:AH23)</f>
        <v>0</v>
      </c>
      <c r="AI24" s="56">
        <f>SUM(AI23:AI23)</f>
        <v>600</v>
      </c>
      <c r="AJ24" s="56">
        <f>SUM(AJ23:AJ23)</f>
        <v>0</v>
      </c>
      <c r="AK24" s="56">
        <f>SUM(AK23:AK23)</f>
        <v>0</v>
      </c>
      <c r="AL24" s="55"/>
      <c r="AM24" s="55"/>
      <c r="AN24" s="55"/>
      <c r="AO24" s="55"/>
      <c r="AP24" s="55"/>
      <c r="AQ24" s="55"/>
      <c r="AR24" s="55"/>
      <c r="AS24" s="7"/>
    </row>
    <row r="25" spans="1:73">
      <c r="A25" s="7"/>
      <c r="B25" s="5"/>
      <c r="C25" s="5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</row>
  </sheetData>
  <mergeCells count="3">
    <mergeCell ref="A1:AC1"/>
    <mergeCell ref="B19:G19"/>
    <mergeCell ref="A21:B2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25"/>
  <sheetViews>
    <sheetView topLeftCell="A7" workbookViewId="0">
      <selection activeCell="D11" sqref="D11"/>
    </sheetView>
  </sheetViews>
  <sheetFormatPr defaultColWidth="9" defaultRowHeight="15"/>
  <cols>
    <col min="2" max="2" width="26.85546875" customWidth="1"/>
    <col min="3" max="3" width="19.28515625" customWidth="1"/>
    <col min="4" max="4" width="80.42578125" customWidth="1"/>
    <col min="5" max="5" width="10.42578125" customWidth="1"/>
    <col min="6" max="6" width="8.28515625" customWidth="1"/>
    <col min="7" max="7" width="10.140625" customWidth="1"/>
    <col min="8" max="8" width="11.85546875" customWidth="1"/>
    <col min="11" max="11" width="6.28515625" customWidth="1"/>
    <col min="18" max="18" width="11.28515625" customWidth="1"/>
    <col min="19" max="19" width="11.140625" customWidth="1"/>
    <col min="29" max="29" width="10.28515625" customWidth="1"/>
    <col min="30" max="30" width="12.85546875" customWidth="1"/>
    <col min="31" max="31" width="8.7109375" customWidth="1"/>
    <col min="35" max="35" width="14.28515625" customWidth="1"/>
    <col min="43" max="43" width="11.85546875" customWidth="1"/>
    <col min="44" max="44" width="23.28515625" customWidth="1"/>
    <col min="46" max="46" width="11.85546875" customWidth="1"/>
    <col min="47" max="47" width="15.28515625" customWidth="1"/>
    <col min="48" max="48" width="23.85546875" customWidth="1"/>
    <col min="49" max="49" width="11.42578125" customWidth="1"/>
    <col min="50" max="50" width="11" customWidth="1"/>
    <col min="51" max="51" width="13.85546875" customWidth="1"/>
    <col min="52" max="52" width="18.85546875" bestFit="1" customWidth="1"/>
    <col min="53" max="53" width="19" bestFit="1" customWidth="1"/>
    <col min="60" max="60" width="12.5703125" customWidth="1"/>
    <col min="61" max="61" width="21.7109375" customWidth="1"/>
    <col min="62" max="63" width="30.5703125" customWidth="1"/>
    <col min="65" max="65" width="41.140625" customWidth="1"/>
    <col min="66" max="66" width="37" customWidth="1"/>
    <col min="67" max="67" width="18.85546875" customWidth="1"/>
    <col min="68" max="68" width="34.42578125" customWidth="1"/>
  </cols>
  <sheetData>
    <row r="1" spans="1:45" ht="18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6"/>
      <c r="AS1" s="66"/>
    </row>
    <row r="2" spans="1:45" ht="18.75" thickBot="1">
      <c r="A2" s="65" t="s">
        <v>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6"/>
      <c r="AS2" s="66"/>
    </row>
    <row r="3" spans="1:45" ht="15.75" thickTop="1">
      <c r="A3" s="8" t="s">
        <v>2</v>
      </c>
      <c r="B3" s="9" t="s">
        <v>3</v>
      </c>
      <c r="C3" s="10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11" t="s">
        <v>9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66"/>
    </row>
    <row r="4" spans="1:45">
      <c r="A4" s="67">
        <v>1</v>
      </c>
      <c r="B4" s="68" t="s">
        <v>10</v>
      </c>
      <c r="C4" s="68" t="s">
        <v>11</v>
      </c>
      <c r="D4" s="68" t="s">
        <v>12</v>
      </c>
      <c r="E4" s="68" t="s">
        <v>12</v>
      </c>
      <c r="F4" s="69">
        <v>25</v>
      </c>
      <c r="G4" s="70">
        <v>257.63</v>
      </c>
      <c r="H4" s="71">
        <f t="shared" ref="H4:H18" si="0">F4*G4</f>
        <v>6440.75</v>
      </c>
      <c r="I4" s="72"/>
      <c r="J4" s="72"/>
      <c r="K4" s="72"/>
      <c r="L4" s="73"/>
      <c r="M4" s="73"/>
      <c r="N4" s="73"/>
      <c r="O4" s="73"/>
      <c r="P4" s="73"/>
      <c r="Q4" s="73"/>
      <c r="R4" s="73"/>
      <c r="S4" s="73"/>
      <c r="T4" s="73"/>
      <c r="U4" s="72"/>
      <c r="V4" s="72"/>
      <c r="W4" s="72"/>
      <c r="X4" s="72"/>
      <c r="Y4" s="72"/>
      <c r="Z4" s="72"/>
      <c r="AA4" s="72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66"/>
    </row>
    <row r="5" spans="1:45">
      <c r="A5" s="67">
        <v>2</v>
      </c>
      <c r="B5" s="68" t="s">
        <v>13</v>
      </c>
      <c r="C5" s="68" t="s">
        <v>14</v>
      </c>
      <c r="D5" s="68" t="s">
        <v>12</v>
      </c>
      <c r="E5" s="68" t="s">
        <v>12</v>
      </c>
      <c r="F5" s="69">
        <v>35</v>
      </c>
      <c r="G5" s="70">
        <v>125.45</v>
      </c>
      <c r="H5" s="71">
        <f t="shared" si="0"/>
        <v>4390.75</v>
      </c>
      <c r="I5" s="72"/>
      <c r="J5" s="72"/>
      <c r="K5" s="72"/>
      <c r="L5" s="73"/>
      <c r="M5" s="73"/>
      <c r="N5" s="73"/>
      <c r="O5" s="73"/>
      <c r="P5" s="73"/>
      <c r="Q5" s="73"/>
      <c r="R5" s="73"/>
      <c r="S5" s="73"/>
      <c r="T5" s="73"/>
      <c r="U5" s="72"/>
      <c r="V5" s="72"/>
      <c r="W5" s="72"/>
      <c r="X5" s="72"/>
      <c r="Y5" s="72"/>
      <c r="Z5" s="72"/>
      <c r="AA5" s="72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66"/>
    </row>
    <row r="6" spans="1:45">
      <c r="A6" s="67">
        <v>3</v>
      </c>
      <c r="B6" s="68" t="s">
        <v>15</v>
      </c>
      <c r="C6" s="68" t="s">
        <v>16</v>
      </c>
      <c r="D6" s="68" t="s">
        <v>12</v>
      </c>
      <c r="E6" s="68" t="s">
        <v>12</v>
      </c>
      <c r="F6" s="69">
        <v>45</v>
      </c>
      <c r="G6" s="70">
        <v>125.36</v>
      </c>
      <c r="H6" s="71">
        <f t="shared" si="0"/>
        <v>5641.2</v>
      </c>
      <c r="I6" s="72"/>
      <c r="J6" s="72"/>
      <c r="K6" s="72"/>
      <c r="L6" s="73"/>
      <c r="M6" s="73"/>
      <c r="N6" s="73"/>
      <c r="O6" s="73"/>
      <c r="P6" s="73"/>
      <c r="Q6" s="73"/>
      <c r="R6" s="73"/>
      <c r="S6" s="73"/>
      <c r="T6" s="73"/>
      <c r="U6" s="72"/>
      <c r="V6" s="72"/>
      <c r="W6" s="72"/>
      <c r="X6" s="72"/>
      <c r="Y6" s="72"/>
      <c r="Z6" s="72"/>
      <c r="AA6" s="72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66"/>
    </row>
    <row r="7" spans="1:45">
      <c r="A7" s="67">
        <v>4</v>
      </c>
      <c r="B7" s="68" t="s">
        <v>17</v>
      </c>
      <c r="C7" s="68" t="s">
        <v>18</v>
      </c>
      <c r="D7" s="68" t="s">
        <v>12</v>
      </c>
      <c r="E7" s="68" t="s">
        <v>12</v>
      </c>
      <c r="F7" s="69">
        <v>55</v>
      </c>
      <c r="G7" s="70">
        <v>45.25</v>
      </c>
      <c r="H7" s="71">
        <f t="shared" si="0"/>
        <v>2488.75</v>
      </c>
      <c r="I7" s="72"/>
      <c r="J7" s="72"/>
      <c r="K7" s="72"/>
      <c r="L7" s="73"/>
      <c r="M7" s="73"/>
      <c r="N7" s="73"/>
      <c r="O7" s="73"/>
      <c r="P7" s="73"/>
      <c r="Q7" s="73"/>
      <c r="R7" s="73"/>
      <c r="S7" s="73"/>
      <c r="T7" s="73"/>
      <c r="U7" s="72"/>
      <c r="V7" s="72"/>
      <c r="W7" s="72"/>
      <c r="X7" s="72"/>
      <c r="Y7" s="72"/>
      <c r="Z7" s="72"/>
      <c r="AA7" s="72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66"/>
    </row>
    <row r="8" spans="1:45">
      <c r="A8" s="67">
        <v>5</v>
      </c>
      <c r="B8" s="68" t="s">
        <v>19</v>
      </c>
      <c r="C8" s="68" t="s">
        <v>20</v>
      </c>
      <c r="D8" s="68" t="s">
        <v>12</v>
      </c>
      <c r="E8" s="68" t="s">
        <v>12</v>
      </c>
      <c r="F8" s="69">
        <v>60</v>
      </c>
      <c r="G8" s="70">
        <v>45.5</v>
      </c>
      <c r="H8" s="71">
        <f t="shared" si="0"/>
        <v>2730</v>
      </c>
      <c r="I8" s="72"/>
      <c r="J8" s="72"/>
      <c r="K8" s="72"/>
      <c r="L8" s="73"/>
      <c r="M8" s="73"/>
      <c r="N8" s="73"/>
      <c r="O8" s="73"/>
      <c r="P8" s="73"/>
      <c r="Q8" s="73"/>
      <c r="R8" s="73"/>
      <c r="S8" s="73"/>
      <c r="T8" s="73"/>
      <c r="U8" s="72"/>
      <c r="V8" s="72"/>
      <c r="W8" s="72"/>
      <c r="X8" s="72"/>
      <c r="Y8" s="72"/>
      <c r="Z8" s="72"/>
      <c r="AA8" s="72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66"/>
    </row>
    <row r="9" spans="1:45">
      <c r="A9" s="67">
        <v>6</v>
      </c>
      <c r="B9" s="68" t="s">
        <v>21</v>
      </c>
      <c r="C9" s="68" t="s">
        <v>22</v>
      </c>
      <c r="D9" s="68" t="s">
        <v>12</v>
      </c>
      <c r="E9" s="68" t="s">
        <v>12</v>
      </c>
      <c r="F9" s="69">
        <v>75</v>
      </c>
      <c r="G9" s="70">
        <v>125.25</v>
      </c>
      <c r="H9" s="71">
        <f t="shared" si="0"/>
        <v>9393.75</v>
      </c>
      <c r="I9" s="72"/>
      <c r="J9" s="72"/>
      <c r="K9" s="72"/>
      <c r="L9" s="73"/>
      <c r="M9" s="73"/>
      <c r="N9" s="73"/>
      <c r="O9" s="73"/>
      <c r="P9" s="73"/>
      <c r="Q9" s="73"/>
      <c r="R9" s="73"/>
      <c r="S9" s="73"/>
      <c r="T9" s="73"/>
      <c r="U9" s="72"/>
      <c r="V9" s="72"/>
      <c r="W9" s="72"/>
      <c r="X9" s="72"/>
      <c r="Y9" s="72"/>
      <c r="Z9" s="72"/>
      <c r="AA9" s="72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66"/>
    </row>
    <row r="10" spans="1:45">
      <c r="A10" s="67">
        <v>7</v>
      </c>
      <c r="B10" s="68" t="s">
        <v>23</v>
      </c>
      <c r="C10" s="68" t="s">
        <v>24</v>
      </c>
      <c r="D10" s="68" t="s">
        <v>12</v>
      </c>
      <c r="E10" s="68" t="s">
        <v>12</v>
      </c>
      <c r="F10" s="69">
        <v>28</v>
      </c>
      <c r="G10" s="70">
        <v>150.5</v>
      </c>
      <c r="H10" s="71">
        <f t="shared" si="0"/>
        <v>4214</v>
      </c>
      <c r="I10" s="72"/>
      <c r="J10" s="72"/>
      <c r="K10" s="72"/>
      <c r="L10" s="73"/>
      <c r="M10" s="73"/>
      <c r="N10" s="73"/>
      <c r="O10" s="73"/>
      <c r="P10" s="73"/>
      <c r="Q10" s="73"/>
      <c r="R10" s="73"/>
      <c r="S10" s="73"/>
      <c r="T10" s="73"/>
      <c r="U10" s="72"/>
      <c r="V10" s="72"/>
      <c r="W10" s="72"/>
      <c r="X10" s="72"/>
      <c r="Y10" s="72"/>
      <c r="Z10" s="72"/>
      <c r="AA10" s="72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66"/>
    </row>
    <row r="11" spans="1:45">
      <c r="A11" s="67">
        <v>8</v>
      </c>
      <c r="B11" s="68" t="s">
        <v>25</v>
      </c>
      <c r="C11" s="68" t="s">
        <v>26</v>
      </c>
      <c r="D11" s="68" t="s">
        <v>12</v>
      </c>
      <c r="E11" s="68" t="s">
        <v>12</v>
      </c>
      <c r="F11" s="69">
        <v>30</v>
      </c>
      <c r="G11" s="70">
        <v>65.319999999999993</v>
      </c>
      <c r="H11" s="71">
        <f t="shared" si="0"/>
        <v>1959.6</v>
      </c>
      <c r="I11" s="72"/>
      <c r="J11" s="72"/>
      <c r="K11" s="72"/>
      <c r="L11" s="73"/>
      <c r="M11" s="73"/>
      <c r="N11" s="73"/>
      <c r="O11" s="73"/>
      <c r="P11" s="73"/>
      <c r="Q11" s="73"/>
      <c r="R11" s="73"/>
      <c r="S11" s="73"/>
      <c r="T11" s="73"/>
      <c r="U11" s="72"/>
      <c r="V11" s="72"/>
      <c r="W11" s="72"/>
      <c r="X11" s="72"/>
      <c r="Y11" s="72"/>
      <c r="Z11" s="72"/>
      <c r="AA11" s="72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66"/>
    </row>
    <row r="12" spans="1:45">
      <c r="A12" s="67">
        <v>9</v>
      </c>
      <c r="B12" s="68" t="s">
        <v>27</v>
      </c>
      <c r="C12" s="68" t="s">
        <v>28</v>
      </c>
      <c r="D12" s="68" t="s">
        <v>12</v>
      </c>
      <c r="E12" s="68" t="s">
        <v>12</v>
      </c>
      <c r="F12" s="69">
        <v>25</v>
      </c>
      <c r="G12" s="70">
        <v>74.89</v>
      </c>
      <c r="H12" s="71">
        <f t="shared" si="0"/>
        <v>1872.25</v>
      </c>
      <c r="I12" s="72"/>
      <c r="J12" s="72"/>
      <c r="K12" s="72"/>
      <c r="L12" s="73"/>
      <c r="M12" s="73"/>
      <c r="N12" s="73"/>
      <c r="O12" s="73"/>
      <c r="P12" s="73"/>
      <c r="Q12" s="73"/>
      <c r="R12" s="73"/>
      <c r="S12" s="73"/>
      <c r="T12" s="73"/>
      <c r="U12" s="72"/>
      <c r="V12" s="72"/>
      <c r="W12" s="72"/>
      <c r="X12" s="72"/>
      <c r="Y12" s="72"/>
      <c r="Z12" s="72"/>
      <c r="AA12" s="72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66"/>
    </row>
    <row r="13" spans="1:45">
      <c r="A13" s="67">
        <v>10</v>
      </c>
      <c r="B13" s="68" t="s">
        <v>29</v>
      </c>
      <c r="C13" s="68" t="s">
        <v>30</v>
      </c>
      <c r="D13" s="68" t="s">
        <v>12</v>
      </c>
      <c r="E13" s="68" t="s">
        <v>12</v>
      </c>
      <c r="F13" s="69">
        <v>28</v>
      </c>
      <c r="G13" s="70">
        <v>89.56</v>
      </c>
      <c r="H13" s="71">
        <f t="shared" si="0"/>
        <v>2507.6800000000003</v>
      </c>
      <c r="I13" s="72"/>
      <c r="J13" s="72"/>
      <c r="K13" s="72"/>
      <c r="L13" s="73"/>
      <c r="M13" s="73"/>
      <c r="N13" s="73"/>
      <c r="O13" s="73"/>
      <c r="P13" s="73"/>
      <c r="Q13" s="73"/>
      <c r="R13" s="73"/>
      <c r="S13" s="73"/>
      <c r="T13" s="73"/>
      <c r="U13" s="72"/>
      <c r="V13" s="72"/>
      <c r="W13" s="72"/>
      <c r="X13" s="72"/>
      <c r="Y13" s="72"/>
      <c r="Z13" s="72"/>
      <c r="AA13" s="72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66"/>
    </row>
    <row r="14" spans="1:45">
      <c r="A14" s="67">
        <v>11</v>
      </c>
      <c r="B14" s="68" t="s">
        <v>31</v>
      </c>
      <c r="C14" s="68" t="s">
        <v>32</v>
      </c>
      <c r="D14" s="68" t="s">
        <v>12</v>
      </c>
      <c r="E14" s="68" t="s">
        <v>12</v>
      </c>
      <c r="F14" s="69">
        <v>37</v>
      </c>
      <c r="G14" s="70">
        <v>89.54</v>
      </c>
      <c r="H14" s="71">
        <f t="shared" si="0"/>
        <v>3312.98</v>
      </c>
      <c r="I14" s="72"/>
      <c r="J14" s="72"/>
      <c r="K14" s="72"/>
      <c r="L14" s="73"/>
      <c r="M14" s="73"/>
      <c r="N14" s="73"/>
      <c r="O14" s="73"/>
      <c r="P14" s="73"/>
      <c r="Q14" s="73"/>
      <c r="R14" s="73"/>
      <c r="S14" s="73"/>
      <c r="T14" s="73"/>
      <c r="U14" s="72"/>
      <c r="V14" s="72"/>
      <c r="W14" s="72"/>
      <c r="X14" s="72"/>
      <c r="Y14" s="72"/>
      <c r="Z14" s="72"/>
      <c r="AA14" s="72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66"/>
    </row>
    <row r="15" spans="1:45">
      <c r="A15" s="67">
        <v>12</v>
      </c>
      <c r="B15" s="68" t="s">
        <v>33</v>
      </c>
      <c r="C15" s="68" t="s">
        <v>34</v>
      </c>
      <c r="D15" s="68" t="s">
        <v>12</v>
      </c>
      <c r="E15" s="68" t="s">
        <v>12</v>
      </c>
      <c r="F15" s="69">
        <v>39</v>
      </c>
      <c r="G15" s="70">
        <v>98.25</v>
      </c>
      <c r="H15" s="71">
        <f t="shared" si="0"/>
        <v>3831.75</v>
      </c>
      <c r="I15" s="72"/>
      <c r="J15" s="72"/>
      <c r="K15" s="72"/>
      <c r="L15" s="73"/>
      <c r="M15" s="73"/>
      <c r="N15" s="73"/>
      <c r="O15" s="73"/>
      <c r="P15" s="73"/>
      <c r="Q15" s="73"/>
      <c r="R15" s="73"/>
      <c r="S15" s="73"/>
      <c r="T15" s="73"/>
      <c r="U15" s="72"/>
      <c r="V15" s="72"/>
      <c r="W15" s="72"/>
      <c r="X15" s="72"/>
      <c r="Y15" s="72"/>
      <c r="Z15" s="72"/>
      <c r="AA15" s="72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66"/>
    </row>
    <row r="16" spans="1:45">
      <c r="A16" s="67">
        <v>13</v>
      </c>
      <c r="B16" s="68" t="s">
        <v>35</v>
      </c>
      <c r="C16" s="68" t="s">
        <v>36</v>
      </c>
      <c r="D16" s="68" t="s">
        <v>12</v>
      </c>
      <c r="E16" s="68" t="s">
        <v>12</v>
      </c>
      <c r="F16" s="69">
        <v>70</v>
      </c>
      <c r="G16" s="70">
        <v>102.25</v>
      </c>
      <c r="H16" s="71">
        <f t="shared" si="0"/>
        <v>7157.5</v>
      </c>
      <c r="I16" s="72"/>
      <c r="J16" s="72"/>
      <c r="K16" s="72"/>
      <c r="L16" s="73"/>
      <c r="M16" s="73"/>
      <c r="N16" s="73"/>
      <c r="O16" s="73"/>
      <c r="P16" s="73"/>
      <c r="Q16" s="73"/>
      <c r="R16" s="73"/>
      <c r="S16" s="73"/>
      <c r="T16" s="73"/>
      <c r="U16" s="72"/>
      <c r="V16" s="72"/>
      <c r="W16" s="72"/>
      <c r="X16" s="72"/>
      <c r="Y16" s="72"/>
      <c r="Z16" s="72"/>
      <c r="AA16" s="72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66"/>
    </row>
    <row r="17" spans="1:70">
      <c r="A17" s="67">
        <v>14</v>
      </c>
      <c r="B17" s="68" t="s">
        <v>37</v>
      </c>
      <c r="C17" s="68" t="s">
        <v>38</v>
      </c>
      <c r="D17" s="68" t="s">
        <v>12</v>
      </c>
      <c r="E17" s="68" t="s">
        <v>12</v>
      </c>
      <c r="F17" s="69">
        <v>100</v>
      </c>
      <c r="G17" s="70">
        <v>103.5</v>
      </c>
      <c r="H17" s="71">
        <f t="shared" si="0"/>
        <v>10350</v>
      </c>
      <c r="I17" s="72"/>
      <c r="J17" s="72"/>
      <c r="K17" s="72"/>
      <c r="L17" s="73"/>
      <c r="M17" s="73"/>
      <c r="N17" s="73"/>
      <c r="O17" s="73"/>
      <c r="P17" s="73"/>
      <c r="Q17" s="73"/>
      <c r="R17" s="73"/>
      <c r="S17" s="1">
        <v>5858.27</v>
      </c>
      <c r="T17" s="73"/>
      <c r="U17" s="72"/>
      <c r="V17" s="72"/>
      <c r="W17" s="72"/>
      <c r="X17" s="72"/>
      <c r="Y17" s="72"/>
      <c r="Z17" s="72"/>
      <c r="AA17" s="72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66"/>
    </row>
    <row r="18" spans="1:70" ht="15.75" thickBot="1">
      <c r="A18" s="74">
        <v>15</v>
      </c>
      <c r="B18" s="75" t="s">
        <v>39</v>
      </c>
      <c r="C18" s="75" t="s">
        <v>40</v>
      </c>
      <c r="D18" s="75" t="s">
        <v>12</v>
      </c>
      <c r="E18" s="75" t="s">
        <v>12</v>
      </c>
      <c r="F18" s="76">
        <v>85</v>
      </c>
      <c r="G18" s="77">
        <v>65.48</v>
      </c>
      <c r="H18" s="78">
        <f t="shared" si="0"/>
        <v>5565.8</v>
      </c>
      <c r="I18" s="72"/>
      <c r="J18" s="72"/>
      <c r="K18" s="72"/>
      <c r="L18" s="73"/>
      <c r="M18" s="73"/>
      <c r="N18" s="73"/>
      <c r="O18" s="73"/>
      <c r="P18" s="73"/>
      <c r="Q18" s="73"/>
      <c r="R18" s="73"/>
      <c r="S18" s="73"/>
      <c r="T18" s="73"/>
      <c r="U18" s="72"/>
      <c r="V18" s="72"/>
      <c r="W18" s="72"/>
      <c r="X18" s="72"/>
      <c r="Y18" s="72"/>
      <c r="Z18" s="72"/>
      <c r="AA18" s="72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66"/>
    </row>
    <row r="19" spans="1:70" ht="15.75" thickTop="1">
      <c r="A19" s="66"/>
      <c r="B19" s="102" t="s">
        <v>41</v>
      </c>
      <c r="C19" s="102"/>
      <c r="D19" s="102"/>
      <c r="E19" s="102"/>
      <c r="F19" s="102"/>
      <c r="G19" s="102"/>
      <c r="H19" s="26">
        <f>SUM(H4:H18)</f>
        <v>71856.759999999995</v>
      </c>
      <c r="I19" s="79"/>
      <c r="J19" s="79"/>
      <c r="K19" s="79"/>
      <c r="L19" s="79"/>
      <c r="M19" s="79"/>
      <c r="N19" s="79"/>
      <c r="O19" s="79"/>
      <c r="P19" s="79"/>
      <c r="Q19" s="79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66"/>
    </row>
    <row r="20" spans="1:70">
      <c r="A20" s="28" t="s">
        <v>42</v>
      </c>
      <c r="B20" s="29"/>
      <c r="C20" s="29"/>
      <c r="D20" s="29"/>
      <c r="E20" s="29"/>
      <c r="F20" s="29"/>
      <c r="G20" s="29"/>
      <c r="H20" s="28"/>
      <c r="I20" s="80"/>
      <c r="J20" s="80"/>
      <c r="K20" s="80"/>
      <c r="L20" s="80"/>
      <c r="M20" s="80"/>
      <c r="N20" s="80"/>
      <c r="O20" s="80"/>
      <c r="P20" s="80"/>
      <c r="Q20" s="80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66"/>
    </row>
    <row r="21" spans="1:70" ht="15.75" thickBot="1">
      <c r="A21" s="104" t="s">
        <v>43</v>
      </c>
      <c r="B21" s="104"/>
      <c r="C21" s="12">
        <v>2</v>
      </c>
      <c r="D21" s="31" t="s">
        <v>137</v>
      </c>
      <c r="E21" s="29"/>
      <c r="F21" s="29"/>
      <c r="G21" s="29"/>
      <c r="H21" s="28"/>
      <c r="I21" s="80" t="s">
        <v>44</v>
      </c>
      <c r="J21" s="80" t="s">
        <v>45</v>
      </c>
      <c r="K21" s="80"/>
      <c r="L21" s="80" t="s">
        <v>46</v>
      </c>
      <c r="M21" s="80">
        <v>1</v>
      </c>
      <c r="N21" s="80"/>
      <c r="O21" s="80" t="s">
        <v>47</v>
      </c>
      <c r="P21" s="80">
        <v>1</v>
      </c>
      <c r="Q21" s="80" t="s">
        <v>48</v>
      </c>
      <c r="R21" s="28"/>
      <c r="S21" s="28"/>
      <c r="T21" s="28"/>
      <c r="U21" s="28"/>
      <c r="V21" s="28">
        <v>1</v>
      </c>
      <c r="W21" s="28" t="s">
        <v>138</v>
      </c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66"/>
    </row>
    <row r="22" spans="1:70" ht="58.5" thickTop="1" thickBot="1">
      <c r="A22" s="32" t="s">
        <v>2</v>
      </c>
      <c r="B22" s="32" t="s">
        <v>3</v>
      </c>
      <c r="C22" s="33" t="s">
        <v>4</v>
      </c>
      <c r="D22" s="32" t="s">
        <v>5</v>
      </c>
      <c r="E22" s="32" t="s">
        <v>6</v>
      </c>
      <c r="F22" s="34" t="s">
        <v>49</v>
      </c>
      <c r="G22" s="32" t="s">
        <v>8</v>
      </c>
      <c r="H22" s="32" t="s">
        <v>9</v>
      </c>
      <c r="I22" s="35" t="s">
        <v>50</v>
      </c>
      <c r="J22" s="35" t="s">
        <v>51</v>
      </c>
      <c r="K22" s="35" t="s">
        <v>52</v>
      </c>
      <c r="L22" s="36" t="s">
        <v>53</v>
      </c>
      <c r="M22" s="36" t="s">
        <v>54</v>
      </c>
      <c r="N22" s="36" t="s">
        <v>55</v>
      </c>
      <c r="O22" s="36" t="s">
        <v>56</v>
      </c>
      <c r="P22" s="36" t="s">
        <v>57</v>
      </c>
      <c r="Q22" s="36" t="s">
        <v>58</v>
      </c>
      <c r="R22" s="35" t="s">
        <v>59</v>
      </c>
      <c r="S22" s="32" t="s">
        <v>60</v>
      </c>
      <c r="T22" s="32" t="s">
        <v>61</v>
      </c>
      <c r="U22" s="37" t="s">
        <v>62</v>
      </c>
      <c r="V22" s="37" t="s">
        <v>63</v>
      </c>
      <c r="W22" s="37" t="s">
        <v>64</v>
      </c>
      <c r="X22" s="37" t="s">
        <v>65</v>
      </c>
      <c r="Y22" s="37" t="s">
        <v>139</v>
      </c>
      <c r="Z22" s="37" t="s">
        <v>140</v>
      </c>
      <c r="AA22" s="37" t="s">
        <v>141</v>
      </c>
      <c r="AB22" s="37" t="s">
        <v>66</v>
      </c>
      <c r="AC22" s="38" t="s">
        <v>67</v>
      </c>
      <c r="AD22" s="38" t="s">
        <v>68</v>
      </c>
      <c r="AE22" s="39" t="s">
        <v>69</v>
      </c>
      <c r="AF22" s="39" t="s">
        <v>70</v>
      </c>
      <c r="AG22" s="39" t="s">
        <v>71</v>
      </c>
      <c r="AH22" s="38" t="s">
        <v>72</v>
      </c>
      <c r="AI22" s="38" t="s">
        <v>73</v>
      </c>
      <c r="AJ22" s="39" t="s">
        <v>74</v>
      </c>
      <c r="AK22" s="39" t="s">
        <v>75</v>
      </c>
      <c r="AL22" s="38" t="s">
        <v>76</v>
      </c>
      <c r="AM22" s="38" t="s">
        <v>77</v>
      </c>
      <c r="AN22" s="39" t="s">
        <v>78</v>
      </c>
      <c r="AO22" s="39" t="s">
        <v>79</v>
      </c>
      <c r="AP22" s="39" t="s">
        <v>80</v>
      </c>
      <c r="AQ22" s="38" t="s">
        <v>81</v>
      </c>
      <c r="AR22" s="40" t="s">
        <v>82</v>
      </c>
      <c r="AS22" s="9" t="s">
        <v>83</v>
      </c>
      <c r="AT22" s="9" t="s">
        <v>81</v>
      </c>
      <c r="AU22" s="81" t="s">
        <v>84</v>
      </c>
      <c r="AV22" s="81" t="s">
        <v>85</v>
      </c>
      <c r="AW22" s="81" t="s">
        <v>86</v>
      </c>
      <c r="AX22" s="81" t="s">
        <v>87</v>
      </c>
      <c r="AY22" s="81" t="s">
        <v>88</v>
      </c>
      <c r="AZ22" s="81" t="s">
        <v>89</v>
      </c>
      <c r="BA22" s="81" t="s">
        <v>90</v>
      </c>
      <c r="BB22" s="81" t="s">
        <v>91</v>
      </c>
      <c r="BC22" s="82" t="s">
        <v>92</v>
      </c>
      <c r="BD22" s="82" t="s">
        <v>93</v>
      </c>
      <c r="BE22" s="82" t="s">
        <v>94</v>
      </c>
      <c r="BF22" s="81" t="s">
        <v>95</v>
      </c>
      <c r="BG22" s="81" t="s">
        <v>96</v>
      </c>
      <c r="BH22" s="81" t="s">
        <v>97</v>
      </c>
      <c r="BI22" s="81" t="s">
        <v>98</v>
      </c>
      <c r="BJ22" s="81" t="s">
        <v>99</v>
      </c>
      <c r="BK22" s="81" t="s">
        <v>100</v>
      </c>
      <c r="BL22" s="81" t="s">
        <v>101</v>
      </c>
      <c r="BM22" s="83" t="s">
        <v>102</v>
      </c>
      <c r="BN22" s="81" t="s">
        <v>103</v>
      </c>
      <c r="BO22" s="81" t="s">
        <v>89</v>
      </c>
      <c r="BP22" s="81" t="s">
        <v>104</v>
      </c>
      <c r="BQ22" s="81" t="s">
        <v>61</v>
      </c>
      <c r="BR22" s="61" t="s">
        <v>173</v>
      </c>
    </row>
    <row r="23" spans="1:70" ht="15.75" thickBot="1">
      <c r="A23" s="2">
        <v>1</v>
      </c>
      <c r="B23" s="2" t="s">
        <v>170</v>
      </c>
      <c r="C23" s="2" t="s">
        <v>170</v>
      </c>
      <c r="D23" s="2" t="s">
        <v>12</v>
      </c>
      <c r="E23" s="2" t="s">
        <v>12</v>
      </c>
      <c r="F23" s="57">
        <v>5</v>
      </c>
      <c r="G23" t="s">
        <v>109</v>
      </c>
      <c r="H23" s="57">
        <f>F23*G23</f>
        <v>1000</v>
      </c>
      <c r="I23" t="s">
        <v>126</v>
      </c>
      <c r="J23" s="57">
        <v>2</v>
      </c>
      <c r="K23" s="57">
        <v>3</v>
      </c>
      <c r="L23" s="57">
        <f>H23</f>
        <v>1000</v>
      </c>
      <c r="M23" s="57">
        <f>ROUND(L23*I23%,2)</f>
        <v>20</v>
      </c>
      <c r="N23" s="57">
        <f>H23-M23</f>
        <v>980</v>
      </c>
      <c r="O23" s="57">
        <f>ROUND(N23*J23%,2)</f>
        <v>19.600000000000001</v>
      </c>
      <c r="P23" s="57">
        <f>ROUND(N23-O23,2)</f>
        <v>960.4</v>
      </c>
      <c r="Q23" s="57">
        <f>ROUND(P23*K23%,2)</f>
        <v>28.81</v>
      </c>
      <c r="R23" s="85">
        <f>ROUND(M23+O23+Q23,3)</f>
        <v>68.41</v>
      </c>
      <c r="S23" s="85">
        <f>(H23-R23)</f>
        <v>931.59</v>
      </c>
      <c r="T23" s="57" t="s">
        <v>106</v>
      </c>
      <c r="U23" s="57">
        <v>0.18</v>
      </c>
      <c r="V23" s="57">
        <f>IF(OR($C$21=1,$C$21=4),ROUND(((S23*U23)/2),2),0)</f>
        <v>0</v>
      </c>
      <c r="W23" s="57">
        <f>IF($C$21=1,ROUND(((S23*U23)/2),2),0)</f>
        <v>0</v>
      </c>
      <c r="X23" s="57">
        <f>IF($C$21=2,ROUND(((S23*U23)),2),0)</f>
        <v>167.69</v>
      </c>
      <c r="Y23" s="57">
        <f>IF($C$21=4,ROUND(((S23*U23)/2),2),0)</f>
        <v>0</v>
      </c>
      <c r="Z23" s="84">
        <v>0</v>
      </c>
      <c r="AA23" s="57">
        <f>IF($C21=3,0,S23*Z23)</f>
        <v>0</v>
      </c>
      <c r="AB23" s="57">
        <f>V23+W23+X23+Y23+AA23</f>
        <v>167.69</v>
      </c>
      <c r="AC23" s="57">
        <f>IF($V21=1,S23+AB23,S23)</f>
        <v>1099.28</v>
      </c>
      <c r="AD23" s="57">
        <v>120</v>
      </c>
      <c r="AE23" s="57">
        <f>IF($P$21=1,(S23/$S$24)*$E$35,AD23/$AD$24*$E$35)</f>
        <v>0</v>
      </c>
      <c r="AF23" s="57"/>
      <c r="AG23" s="57">
        <f>IF($P$21=1,(S23/$S$24)*$E$37,AD23/$AD$24*$E$37)</f>
        <v>0</v>
      </c>
      <c r="AH23" s="57">
        <f>IF($P$21=1,(S23/$S$24)*$E$37,AD23/$AD$24*$E$37)</f>
        <v>0</v>
      </c>
      <c r="AI23" s="57">
        <f>S23*$M$21</f>
        <v>931.59</v>
      </c>
      <c r="AJ23" s="57">
        <f>IF($C$21=3,0,AG23+AH23)</f>
        <v>0</v>
      </c>
      <c r="AK23" s="57">
        <f>IF($C$21=3,AE23+AG23+AH23,0)</f>
        <v>0</v>
      </c>
      <c r="AL23" s="57">
        <v>1</v>
      </c>
      <c r="AM23" s="57">
        <f>F23/AL23</f>
        <v>5</v>
      </c>
      <c r="AN23" s="57">
        <f>AI23/AM23</f>
        <v>186.31800000000001</v>
      </c>
      <c r="AO23" s="57">
        <f>AJ23/AM23</f>
        <v>0</v>
      </c>
      <c r="AP23" s="57">
        <f>AK23/AM23</f>
        <v>0</v>
      </c>
      <c r="AQ23" s="57" t="s">
        <v>12</v>
      </c>
      <c r="AR23">
        <f>ROUND(AN23+AO23+AP23,5)</f>
        <v>186.31800000000001</v>
      </c>
      <c r="AS23" t="s">
        <v>171</v>
      </c>
      <c r="AT23" s="58" t="s">
        <v>12</v>
      </c>
      <c r="AU23" t="s">
        <v>108</v>
      </c>
      <c r="AV23" t="s">
        <v>172</v>
      </c>
      <c r="AW23" s="58">
        <f>AM23</f>
        <v>5</v>
      </c>
      <c r="AX23" s="58">
        <f>ROUND(AR23,2)</f>
        <v>186.32</v>
      </c>
      <c r="AY23" s="58">
        <f>AU23+AW23</f>
        <v>5</v>
      </c>
      <c r="AZ23" s="58">
        <f>ROUND(((AU23*AV23)+(AW23*AX23))/(AU23+AW23),5)</f>
        <v>186.32</v>
      </c>
      <c r="BA23" s="3"/>
      <c r="BB23" s="3" t="s">
        <v>110</v>
      </c>
      <c r="BC23" s="6" t="s">
        <v>113</v>
      </c>
      <c r="BD23" s="59" t="s">
        <v>143</v>
      </c>
      <c r="BE23" s="59" t="s">
        <v>144</v>
      </c>
      <c r="BF23" s="3"/>
      <c r="BG23" s="3"/>
      <c r="BH23" s="3"/>
      <c r="BI23" s="58"/>
      <c r="BL23" s="58" t="s">
        <v>147</v>
      </c>
      <c r="BM23" t="s">
        <v>176</v>
      </c>
      <c r="BN23" t="s">
        <v>177</v>
      </c>
      <c r="BO23" s="58">
        <f>ROUND((((AW23*AZ23)+(BN23*BM23))/(AW23+BN23)),5)</f>
        <v>186.50245000000001</v>
      </c>
      <c r="BP23" s="4">
        <f>BN23+AW23</f>
        <v>2385</v>
      </c>
      <c r="BQ23" s="49">
        <v>88363222</v>
      </c>
      <c r="BR23" s="4">
        <f>G23+100</f>
        <v>300</v>
      </c>
    </row>
    <row r="24" spans="1:70" ht="15.75" thickBot="1">
      <c r="A24" s="66"/>
      <c r="B24" s="5"/>
      <c r="C24" s="5"/>
      <c r="D24" s="50" t="s">
        <v>41</v>
      </c>
      <c r="E24" s="50"/>
      <c r="F24" s="50"/>
      <c r="G24" s="51"/>
      <c r="H24" s="52">
        <f>SUM(H23:H23)</f>
        <v>1000</v>
      </c>
      <c r="I24" s="2"/>
      <c r="J24" s="2"/>
      <c r="K24" s="2"/>
      <c r="L24" s="2"/>
      <c r="M24" s="2"/>
      <c r="N24" s="2"/>
      <c r="O24" s="2"/>
      <c r="P24" s="2"/>
      <c r="Q24" s="2"/>
      <c r="R24" s="52">
        <f>SUM(R23:R23)</f>
        <v>68.41</v>
      </c>
      <c r="S24" s="53">
        <f>SUM(S23:S23)</f>
        <v>931.59</v>
      </c>
      <c r="T24" s="52"/>
      <c r="U24" s="52"/>
      <c r="V24" s="54">
        <f>SUM(V23:V23)</f>
        <v>0</v>
      </c>
      <c r="W24" s="54">
        <f>SUM(W23:W23)</f>
        <v>0</v>
      </c>
      <c r="X24" s="54">
        <f>SUM(X23:X23)</f>
        <v>167.69</v>
      </c>
      <c r="Y24" s="54"/>
      <c r="Z24" s="54"/>
      <c r="AA24" s="54"/>
      <c r="AB24" s="52">
        <f>SUM(AB23:AB23)</f>
        <v>167.69</v>
      </c>
      <c r="AC24" s="55">
        <f>SUM(AC23:AC23)</f>
        <v>1099.28</v>
      </c>
      <c r="AD24" s="56">
        <f>SUM(AD23:AD23)</f>
        <v>120</v>
      </c>
      <c r="AE24" s="56">
        <f>SUM(AE23:AE23)</f>
        <v>0</v>
      </c>
      <c r="AF24" s="55"/>
      <c r="AG24" s="56">
        <f>SUM(AG23:AG23)</f>
        <v>0</v>
      </c>
      <c r="AH24" s="56">
        <f>SUM(AH23:AH23)</f>
        <v>0</v>
      </c>
      <c r="AI24" s="56">
        <f>SUM(AI23:AI23)</f>
        <v>931.59</v>
      </c>
      <c r="AJ24" s="56">
        <f>SUM(AJ23:AJ23)</f>
        <v>0</v>
      </c>
      <c r="AK24" s="56">
        <f>SUM(AK23:AK23)</f>
        <v>0</v>
      </c>
      <c r="AL24" s="55"/>
      <c r="AM24" s="55"/>
      <c r="AN24" s="55"/>
      <c r="AO24" s="55"/>
      <c r="AP24" s="55"/>
      <c r="AQ24" s="55"/>
      <c r="AR24" s="55"/>
      <c r="AS24" s="66"/>
    </row>
    <row r="25" spans="1:70">
      <c r="A25" s="66"/>
      <c r="B25" s="5"/>
      <c r="C25" s="5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</row>
  </sheetData>
  <mergeCells count="3">
    <mergeCell ref="A1:AC1"/>
    <mergeCell ref="B19:G19"/>
    <mergeCell ref="A21:B2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32"/>
  <sheetViews>
    <sheetView topLeftCell="BN18" workbookViewId="0">
      <selection activeCell="BQ27" sqref="BQ27"/>
    </sheetView>
  </sheetViews>
  <sheetFormatPr defaultColWidth="9" defaultRowHeight="15"/>
  <cols>
    <col min="2" max="2" width="26.85546875" customWidth="1"/>
    <col min="3" max="3" width="19.28515625" customWidth="1"/>
    <col min="4" max="4" width="80.42578125" customWidth="1"/>
    <col min="5" max="5" width="10.42578125" customWidth="1"/>
    <col min="6" max="6" width="8.28515625" customWidth="1"/>
    <col min="7" max="7" width="10.140625" customWidth="1"/>
    <col min="8" max="8" width="11.85546875" customWidth="1"/>
    <col min="11" max="11" width="6.28515625" customWidth="1"/>
    <col min="18" max="18" width="11.28515625" customWidth="1"/>
    <col min="19" max="19" width="11.140625" customWidth="1"/>
    <col min="29" max="29" width="10.28515625" customWidth="1"/>
    <col min="30" max="30" width="12.85546875" customWidth="1"/>
    <col min="31" max="31" width="8.7109375" customWidth="1"/>
    <col min="35" max="35" width="14.28515625" customWidth="1"/>
    <col min="43" max="43" width="11.85546875" customWidth="1"/>
    <col min="44" max="44" width="23.28515625" customWidth="1"/>
    <col min="46" max="46" width="11.85546875" customWidth="1"/>
    <col min="47" max="47" width="15.28515625" customWidth="1"/>
    <col min="48" max="48" width="23.85546875" customWidth="1"/>
    <col min="49" max="49" width="11.42578125" customWidth="1"/>
    <col min="50" max="50" width="11" customWidth="1"/>
    <col min="51" max="51" width="13.85546875" customWidth="1"/>
    <col min="52" max="52" width="18.85546875" bestFit="1" customWidth="1"/>
    <col min="53" max="53" width="19" bestFit="1" customWidth="1"/>
    <col min="60" max="60" width="12.5703125" customWidth="1"/>
    <col min="61" max="61" width="21.7109375" customWidth="1"/>
    <col min="62" max="63" width="30.5703125" customWidth="1"/>
    <col min="65" max="65" width="41.140625" customWidth="1"/>
    <col min="66" max="66" width="37" customWidth="1"/>
    <col min="67" max="67" width="18.85546875" customWidth="1"/>
    <col min="68" max="68" width="34.42578125" customWidth="1"/>
    <col min="71" max="71" width="34.140625" customWidth="1"/>
  </cols>
  <sheetData>
    <row r="1" spans="1:45" ht="18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7"/>
      <c r="AS1" s="7"/>
    </row>
    <row r="2" spans="1:45" ht="18.75" thickBot="1">
      <c r="A2" s="98" t="s">
        <v>1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7"/>
      <c r="AS2" s="7"/>
    </row>
    <row r="3" spans="1:45" ht="15.75" thickTop="1">
      <c r="A3" s="8" t="s">
        <v>2</v>
      </c>
      <c r="B3" s="9" t="s">
        <v>3</v>
      </c>
      <c r="C3" s="10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11" t="s">
        <v>9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7"/>
    </row>
    <row r="4" spans="1:45">
      <c r="A4" s="13">
        <v>1</v>
      </c>
      <c r="B4" s="14" t="s">
        <v>10</v>
      </c>
      <c r="C4" s="14" t="s">
        <v>11</v>
      </c>
      <c r="D4" s="14" t="s">
        <v>12</v>
      </c>
      <c r="E4" s="14" t="s">
        <v>12</v>
      </c>
      <c r="F4" s="15">
        <v>25</v>
      </c>
      <c r="G4" s="16">
        <v>257.63</v>
      </c>
      <c r="H4" s="17">
        <f t="shared" ref="H4:H18" si="0">F4*G4</f>
        <v>6440.75</v>
      </c>
      <c r="I4" s="18"/>
      <c r="J4" s="18"/>
      <c r="K4" s="18"/>
      <c r="L4" s="19"/>
      <c r="M4" s="19"/>
      <c r="N4" s="19"/>
      <c r="O4" s="19"/>
      <c r="P4" s="19"/>
      <c r="Q4" s="19"/>
      <c r="R4" s="19"/>
      <c r="S4" s="19"/>
      <c r="T4" s="19"/>
      <c r="U4" s="18"/>
      <c r="V4" s="18"/>
      <c r="W4" s="18"/>
      <c r="X4" s="18"/>
      <c r="Y4" s="18"/>
      <c r="Z4" s="18"/>
      <c r="AA4" s="18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7"/>
    </row>
    <row r="5" spans="1:45">
      <c r="A5" s="13">
        <v>2</v>
      </c>
      <c r="B5" s="14" t="s">
        <v>13</v>
      </c>
      <c r="C5" s="14" t="s">
        <v>14</v>
      </c>
      <c r="D5" s="14" t="s">
        <v>12</v>
      </c>
      <c r="E5" s="14" t="s">
        <v>12</v>
      </c>
      <c r="F5" s="15">
        <v>35</v>
      </c>
      <c r="G5" s="16">
        <v>125.45</v>
      </c>
      <c r="H5" s="17">
        <f t="shared" si="0"/>
        <v>4390.75</v>
      </c>
      <c r="I5" s="18"/>
      <c r="J5" s="18"/>
      <c r="K5" s="18"/>
      <c r="L5" s="19"/>
      <c r="M5" s="19"/>
      <c r="N5" s="19"/>
      <c r="O5" s="19"/>
      <c r="P5" s="19"/>
      <c r="Q5" s="19"/>
      <c r="R5" s="19"/>
      <c r="S5" s="19"/>
      <c r="T5" s="19"/>
      <c r="U5" s="18"/>
      <c r="V5" s="18"/>
      <c r="W5" s="18"/>
      <c r="X5" s="18"/>
      <c r="Y5" s="18"/>
      <c r="Z5" s="18"/>
      <c r="AA5" s="18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7"/>
    </row>
    <row r="6" spans="1:45">
      <c r="A6" s="13">
        <v>3</v>
      </c>
      <c r="B6" s="14" t="s">
        <v>15</v>
      </c>
      <c r="C6" s="14" t="s">
        <v>16</v>
      </c>
      <c r="D6" s="14" t="s">
        <v>12</v>
      </c>
      <c r="E6" s="14" t="s">
        <v>12</v>
      </c>
      <c r="F6" s="15">
        <v>45</v>
      </c>
      <c r="G6" s="16">
        <v>125.36</v>
      </c>
      <c r="H6" s="17">
        <f t="shared" si="0"/>
        <v>5641.2</v>
      </c>
      <c r="I6" s="18"/>
      <c r="J6" s="18"/>
      <c r="K6" s="18"/>
      <c r="L6" s="19"/>
      <c r="M6" s="19"/>
      <c r="N6" s="19"/>
      <c r="O6" s="19"/>
      <c r="P6" s="19"/>
      <c r="Q6" s="19"/>
      <c r="R6" s="19"/>
      <c r="S6" s="19"/>
      <c r="T6" s="19"/>
      <c r="U6" s="18"/>
      <c r="V6" s="18"/>
      <c r="W6" s="18"/>
      <c r="X6" s="18"/>
      <c r="Y6" s="18"/>
      <c r="Z6" s="18"/>
      <c r="AA6" s="18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7"/>
    </row>
    <row r="7" spans="1:45">
      <c r="A7" s="13">
        <v>4</v>
      </c>
      <c r="B7" s="14" t="s">
        <v>17</v>
      </c>
      <c r="C7" s="14" t="s">
        <v>18</v>
      </c>
      <c r="D7" s="14" t="s">
        <v>12</v>
      </c>
      <c r="E7" s="14" t="s">
        <v>12</v>
      </c>
      <c r="F7" s="15">
        <v>55</v>
      </c>
      <c r="G7" s="16">
        <v>45.25</v>
      </c>
      <c r="H7" s="17">
        <f t="shared" si="0"/>
        <v>2488.75</v>
      </c>
      <c r="I7" s="18"/>
      <c r="J7" s="18"/>
      <c r="K7" s="18"/>
      <c r="L7" s="19"/>
      <c r="M7" s="19"/>
      <c r="N7" s="19"/>
      <c r="O7" s="19"/>
      <c r="P7" s="19"/>
      <c r="Q7" s="19"/>
      <c r="R7" s="19"/>
      <c r="S7" s="19"/>
      <c r="T7" s="19"/>
      <c r="U7" s="18"/>
      <c r="V7" s="18"/>
      <c r="W7" s="18"/>
      <c r="X7" s="18"/>
      <c r="Y7" s="18"/>
      <c r="Z7" s="18"/>
      <c r="AA7" s="18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7"/>
    </row>
    <row r="8" spans="1:45">
      <c r="A8" s="13">
        <v>5</v>
      </c>
      <c r="B8" s="14" t="s">
        <v>19</v>
      </c>
      <c r="C8" s="14" t="s">
        <v>20</v>
      </c>
      <c r="D8" s="14" t="s">
        <v>12</v>
      </c>
      <c r="E8" s="14" t="s">
        <v>12</v>
      </c>
      <c r="F8" s="15">
        <v>60</v>
      </c>
      <c r="G8" s="16">
        <v>45.5</v>
      </c>
      <c r="H8" s="17">
        <f t="shared" si="0"/>
        <v>2730</v>
      </c>
      <c r="I8" s="18"/>
      <c r="J8" s="18"/>
      <c r="K8" s="18"/>
      <c r="L8" s="19"/>
      <c r="M8" s="19"/>
      <c r="N8" s="19"/>
      <c r="O8" s="19"/>
      <c r="P8" s="19"/>
      <c r="Q8" s="19"/>
      <c r="R8" s="19"/>
      <c r="S8" s="19"/>
      <c r="T8" s="19"/>
      <c r="U8" s="18"/>
      <c r="V8" s="18"/>
      <c r="W8" s="18"/>
      <c r="X8" s="18"/>
      <c r="Y8" s="18"/>
      <c r="Z8" s="18"/>
      <c r="AA8" s="18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7"/>
    </row>
    <row r="9" spans="1:45">
      <c r="A9" s="13">
        <v>6</v>
      </c>
      <c r="B9" s="14" t="s">
        <v>21</v>
      </c>
      <c r="C9" s="14" t="s">
        <v>22</v>
      </c>
      <c r="D9" s="14" t="s">
        <v>12</v>
      </c>
      <c r="E9" s="14" t="s">
        <v>12</v>
      </c>
      <c r="F9" s="15">
        <v>75</v>
      </c>
      <c r="G9" s="16">
        <v>125.25</v>
      </c>
      <c r="H9" s="17">
        <f t="shared" si="0"/>
        <v>9393.75</v>
      </c>
      <c r="I9" s="18"/>
      <c r="J9" s="18"/>
      <c r="K9" s="18"/>
      <c r="L9" s="19"/>
      <c r="M9" s="19"/>
      <c r="N9" s="19"/>
      <c r="O9" s="19"/>
      <c r="P9" s="19"/>
      <c r="Q9" s="19"/>
      <c r="R9" s="19"/>
      <c r="S9" s="19"/>
      <c r="T9" s="19"/>
      <c r="U9" s="18"/>
      <c r="V9" s="18"/>
      <c r="W9" s="18"/>
      <c r="X9" s="18"/>
      <c r="Y9" s="18"/>
      <c r="Z9" s="18"/>
      <c r="AA9" s="18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7"/>
    </row>
    <row r="10" spans="1:45">
      <c r="A10" s="13">
        <v>7</v>
      </c>
      <c r="B10" s="14" t="s">
        <v>23</v>
      </c>
      <c r="C10" s="14" t="s">
        <v>24</v>
      </c>
      <c r="D10" s="14" t="s">
        <v>12</v>
      </c>
      <c r="E10" s="14" t="s">
        <v>12</v>
      </c>
      <c r="F10" s="15">
        <v>28</v>
      </c>
      <c r="G10" s="16">
        <v>150.5</v>
      </c>
      <c r="H10" s="17">
        <f t="shared" si="0"/>
        <v>4214</v>
      </c>
      <c r="I10" s="18"/>
      <c r="J10" s="18"/>
      <c r="K10" s="18"/>
      <c r="L10" s="19"/>
      <c r="M10" s="19"/>
      <c r="N10" s="19"/>
      <c r="O10" s="19"/>
      <c r="P10" s="19"/>
      <c r="Q10" s="19"/>
      <c r="R10" s="19"/>
      <c r="S10" s="19"/>
      <c r="T10" s="19"/>
      <c r="U10" s="18"/>
      <c r="V10" s="18"/>
      <c r="W10" s="18"/>
      <c r="X10" s="18"/>
      <c r="Y10" s="18"/>
      <c r="Z10" s="18"/>
      <c r="AA10" s="18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7"/>
    </row>
    <row r="11" spans="1:45">
      <c r="A11" s="13">
        <v>8</v>
      </c>
      <c r="B11" s="14" t="s">
        <v>25</v>
      </c>
      <c r="C11" s="14" t="s">
        <v>26</v>
      </c>
      <c r="D11" s="14" t="s">
        <v>12</v>
      </c>
      <c r="E11" s="14" t="s">
        <v>12</v>
      </c>
      <c r="F11" s="15">
        <v>30</v>
      </c>
      <c r="G11" s="16">
        <v>65.319999999999993</v>
      </c>
      <c r="H11" s="17">
        <f t="shared" si="0"/>
        <v>1959.6</v>
      </c>
      <c r="I11" s="18"/>
      <c r="J11" s="18"/>
      <c r="K11" s="18"/>
      <c r="L11" s="19"/>
      <c r="M11" s="19"/>
      <c r="N11" s="19"/>
      <c r="O11" s="19"/>
      <c r="P11" s="19"/>
      <c r="Q11" s="19"/>
      <c r="R11" s="19"/>
      <c r="S11" s="19"/>
      <c r="T11" s="19"/>
      <c r="U11" s="18"/>
      <c r="V11" s="18"/>
      <c r="W11" s="18"/>
      <c r="X11" s="18"/>
      <c r="Y11" s="18"/>
      <c r="Z11" s="18"/>
      <c r="AA11" s="18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7"/>
    </row>
    <row r="12" spans="1:45">
      <c r="A12" s="13">
        <v>9</v>
      </c>
      <c r="B12" s="14" t="s">
        <v>27</v>
      </c>
      <c r="C12" s="14" t="s">
        <v>28</v>
      </c>
      <c r="D12" s="14" t="s">
        <v>12</v>
      </c>
      <c r="E12" s="14" t="s">
        <v>12</v>
      </c>
      <c r="F12" s="15">
        <v>25</v>
      </c>
      <c r="G12" s="16">
        <v>74.89</v>
      </c>
      <c r="H12" s="17">
        <f t="shared" si="0"/>
        <v>1872.25</v>
      </c>
      <c r="I12" s="18"/>
      <c r="J12" s="18"/>
      <c r="K12" s="18"/>
      <c r="L12" s="19"/>
      <c r="M12" s="19"/>
      <c r="N12" s="19"/>
      <c r="O12" s="19"/>
      <c r="P12" s="19"/>
      <c r="Q12" s="19"/>
      <c r="R12" s="19"/>
      <c r="S12" s="19"/>
      <c r="T12" s="19"/>
      <c r="U12" s="18"/>
      <c r="V12" s="18"/>
      <c r="W12" s="18"/>
      <c r="X12" s="18"/>
      <c r="Y12" s="18"/>
      <c r="Z12" s="18"/>
      <c r="AA12" s="18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7"/>
    </row>
    <row r="13" spans="1:45">
      <c r="A13" s="13">
        <v>10</v>
      </c>
      <c r="B13" s="14" t="s">
        <v>29</v>
      </c>
      <c r="C13" s="14" t="s">
        <v>30</v>
      </c>
      <c r="D13" s="14" t="s">
        <v>12</v>
      </c>
      <c r="E13" s="14" t="s">
        <v>12</v>
      </c>
      <c r="F13" s="15">
        <v>28</v>
      </c>
      <c r="G13" s="16">
        <v>89.56</v>
      </c>
      <c r="H13" s="17">
        <f t="shared" si="0"/>
        <v>2507.6800000000003</v>
      </c>
      <c r="I13" s="18"/>
      <c r="J13" s="18"/>
      <c r="K13" s="18"/>
      <c r="L13" s="19"/>
      <c r="M13" s="19"/>
      <c r="N13" s="19"/>
      <c r="O13" s="19"/>
      <c r="P13" s="19"/>
      <c r="Q13" s="19"/>
      <c r="R13" s="19"/>
      <c r="S13" s="19"/>
      <c r="T13" s="19"/>
      <c r="U13" s="18"/>
      <c r="V13" s="18"/>
      <c r="W13" s="18"/>
      <c r="X13" s="18"/>
      <c r="Y13" s="18"/>
      <c r="Z13" s="18"/>
      <c r="AA13" s="18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7"/>
    </row>
    <row r="14" spans="1:45">
      <c r="A14" s="13">
        <v>11</v>
      </c>
      <c r="B14" s="14" t="s">
        <v>31</v>
      </c>
      <c r="C14" s="14" t="s">
        <v>32</v>
      </c>
      <c r="D14" s="14" t="s">
        <v>12</v>
      </c>
      <c r="E14" s="14" t="s">
        <v>12</v>
      </c>
      <c r="F14" s="15">
        <v>37</v>
      </c>
      <c r="G14" s="16">
        <v>89.54</v>
      </c>
      <c r="H14" s="17">
        <f t="shared" si="0"/>
        <v>3312.98</v>
      </c>
      <c r="I14" s="18"/>
      <c r="J14" s="18"/>
      <c r="K14" s="18"/>
      <c r="L14" s="19"/>
      <c r="M14" s="19"/>
      <c r="N14" s="19"/>
      <c r="O14" s="19"/>
      <c r="P14" s="19"/>
      <c r="Q14" s="19"/>
      <c r="R14" s="19"/>
      <c r="S14" s="19"/>
      <c r="T14" s="19"/>
      <c r="U14" s="18"/>
      <c r="V14" s="18"/>
      <c r="W14" s="18"/>
      <c r="X14" s="18"/>
      <c r="Y14" s="18"/>
      <c r="Z14" s="18"/>
      <c r="AA14" s="18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7"/>
    </row>
    <row r="15" spans="1:45">
      <c r="A15" s="13">
        <v>12</v>
      </c>
      <c r="B15" s="14" t="s">
        <v>33</v>
      </c>
      <c r="C15" s="14" t="s">
        <v>34</v>
      </c>
      <c r="D15" s="14" t="s">
        <v>12</v>
      </c>
      <c r="E15" s="14" t="s">
        <v>12</v>
      </c>
      <c r="F15" s="15">
        <v>39</v>
      </c>
      <c r="G15" s="16">
        <v>98.25</v>
      </c>
      <c r="H15" s="17">
        <f t="shared" si="0"/>
        <v>3831.75</v>
      </c>
      <c r="I15" s="18"/>
      <c r="J15" s="18"/>
      <c r="K15" s="18"/>
      <c r="L15" s="19"/>
      <c r="M15" s="19"/>
      <c r="N15" s="19"/>
      <c r="O15" s="19"/>
      <c r="P15" s="19"/>
      <c r="Q15" s="19"/>
      <c r="R15" s="19"/>
      <c r="S15" s="19"/>
      <c r="T15" s="19"/>
      <c r="U15" s="18"/>
      <c r="V15" s="18"/>
      <c r="W15" s="18"/>
      <c r="X15" s="18"/>
      <c r="Y15" s="18"/>
      <c r="Z15" s="18"/>
      <c r="AA15" s="18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7"/>
    </row>
    <row r="16" spans="1:45">
      <c r="A16" s="13">
        <v>13</v>
      </c>
      <c r="B16" s="14" t="s">
        <v>35</v>
      </c>
      <c r="C16" s="14" t="s">
        <v>36</v>
      </c>
      <c r="D16" s="14" t="s">
        <v>12</v>
      </c>
      <c r="E16" s="14" t="s">
        <v>12</v>
      </c>
      <c r="F16" s="15">
        <v>70</v>
      </c>
      <c r="G16" s="16">
        <v>102.25</v>
      </c>
      <c r="H16" s="17">
        <f t="shared" si="0"/>
        <v>7157.5</v>
      </c>
      <c r="I16" s="18"/>
      <c r="J16" s="18"/>
      <c r="K16" s="18"/>
      <c r="L16" s="19"/>
      <c r="M16" s="19"/>
      <c r="N16" s="19"/>
      <c r="O16" s="19"/>
      <c r="P16" s="19"/>
      <c r="Q16" s="19"/>
      <c r="R16" s="19"/>
      <c r="S16" s="19"/>
      <c r="T16" s="19"/>
      <c r="U16" s="18"/>
      <c r="V16" s="18"/>
      <c r="W16" s="18"/>
      <c r="X16" s="18"/>
      <c r="Y16" s="18"/>
      <c r="Z16" s="18"/>
      <c r="AA16" s="18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7"/>
    </row>
    <row r="17" spans="1:73">
      <c r="A17" s="13">
        <v>14</v>
      </c>
      <c r="B17" s="14" t="s">
        <v>37</v>
      </c>
      <c r="C17" s="14" t="s">
        <v>38</v>
      </c>
      <c r="D17" s="14" t="s">
        <v>12</v>
      </c>
      <c r="E17" s="14" t="s">
        <v>12</v>
      </c>
      <c r="F17" s="15">
        <v>100</v>
      </c>
      <c r="G17" s="16">
        <v>103.5</v>
      </c>
      <c r="H17" s="17">
        <f t="shared" si="0"/>
        <v>10350</v>
      </c>
      <c r="I17" s="18"/>
      <c r="J17" s="18"/>
      <c r="K17" s="18"/>
      <c r="L17" s="19"/>
      <c r="M17" s="19"/>
      <c r="N17" s="19"/>
      <c r="O17" s="19"/>
      <c r="P17" s="19"/>
      <c r="Q17" s="19"/>
      <c r="R17" s="19"/>
      <c r="S17" s="20">
        <v>5858.27</v>
      </c>
      <c r="T17" s="19"/>
      <c r="U17" s="18"/>
      <c r="V17" s="18"/>
      <c r="W17" s="18"/>
      <c r="X17" s="18"/>
      <c r="Y17" s="18"/>
      <c r="Z17" s="18"/>
      <c r="AA17" s="18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7"/>
    </row>
    <row r="18" spans="1:73" ht="15.75" thickBot="1">
      <c r="A18" s="21">
        <v>15</v>
      </c>
      <c r="B18" s="22" t="s">
        <v>39</v>
      </c>
      <c r="C18" s="22" t="s">
        <v>40</v>
      </c>
      <c r="D18" s="22" t="s">
        <v>12</v>
      </c>
      <c r="E18" s="22" t="s">
        <v>12</v>
      </c>
      <c r="F18" s="23">
        <v>85</v>
      </c>
      <c r="G18" s="24">
        <v>65.48</v>
      </c>
      <c r="H18" s="25">
        <f t="shared" si="0"/>
        <v>5565.8</v>
      </c>
      <c r="I18" s="18"/>
      <c r="J18" s="18"/>
      <c r="K18" s="18"/>
      <c r="L18" s="19"/>
      <c r="M18" s="19"/>
      <c r="N18" s="19"/>
      <c r="O18" s="19"/>
      <c r="P18" s="19"/>
      <c r="Q18" s="19"/>
      <c r="R18" s="19"/>
      <c r="S18" s="19"/>
      <c r="T18" s="19"/>
      <c r="U18" s="18"/>
      <c r="V18" s="18"/>
      <c r="W18" s="18"/>
      <c r="X18" s="18"/>
      <c r="Y18" s="18"/>
      <c r="Z18" s="18"/>
      <c r="AA18" s="18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7"/>
    </row>
    <row r="19" spans="1:73" ht="15.75" thickTop="1">
      <c r="A19" s="7"/>
      <c r="B19" s="102" t="s">
        <v>41</v>
      </c>
      <c r="C19" s="102"/>
      <c r="D19" s="102"/>
      <c r="E19" s="102"/>
      <c r="F19" s="102"/>
      <c r="G19" s="102"/>
      <c r="H19" s="26">
        <f>SUM(H4:H18)</f>
        <v>71856.759999999995</v>
      </c>
      <c r="I19" s="27"/>
      <c r="J19" s="27"/>
      <c r="K19" s="27"/>
      <c r="L19" s="27"/>
      <c r="M19" s="27"/>
      <c r="N19" s="27"/>
      <c r="O19" s="27"/>
      <c r="P19" s="27"/>
      <c r="Q19" s="27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7"/>
    </row>
    <row r="20" spans="1:73">
      <c r="A20" s="28" t="s">
        <v>42</v>
      </c>
      <c r="B20" s="29"/>
      <c r="C20" s="29"/>
      <c r="D20" s="29"/>
      <c r="E20" s="29"/>
      <c r="F20" s="29"/>
      <c r="G20" s="29"/>
      <c r="H20" s="28"/>
      <c r="I20" s="30"/>
      <c r="J20" s="30"/>
      <c r="K20" s="30"/>
      <c r="L20" s="30"/>
      <c r="M20" s="30"/>
      <c r="N20" s="30"/>
      <c r="O20" s="30"/>
      <c r="P20" s="30"/>
      <c r="Q20" s="30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7"/>
    </row>
    <row r="21" spans="1:73" ht="15.75" thickBot="1">
      <c r="A21" s="103" t="s">
        <v>43</v>
      </c>
      <c r="B21" s="103"/>
      <c r="C21" s="12">
        <v>1</v>
      </c>
      <c r="D21" s="31" t="s">
        <v>137</v>
      </c>
      <c r="E21" s="29"/>
      <c r="F21" s="29"/>
      <c r="G21" s="29"/>
      <c r="H21" s="28"/>
      <c r="I21" s="30" t="s">
        <v>44</v>
      </c>
      <c r="J21" s="30" t="s">
        <v>45</v>
      </c>
      <c r="K21" s="30"/>
      <c r="L21" s="30" t="s">
        <v>46</v>
      </c>
      <c r="M21" s="30">
        <v>1</v>
      </c>
      <c r="N21" s="30"/>
      <c r="O21" s="30" t="s">
        <v>47</v>
      </c>
      <c r="P21" s="30">
        <v>1</v>
      </c>
      <c r="Q21" s="30" t="s">
        <v>48</v>
      </c>
      <c r="R21" s="28"/>
      <c r="S21" s="28"/>
      <c r="T21" s="28"/>
      <c r="U21" s="28"/>
      <c r="V21" s="28">
        <v>1</v>
      </c>
      <c r="W21" s="28" t="s">
        <v>138</v>
      </c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7"/>
    </row>
    <row r="22" spans="1:73" ht="58.5" thickTop="1" thickBot="1">
      <c r="A22" s="32" t="s">
        <v>2</v>
      </c>
      <c r="B22" s="32" t="s">
        <v>3</v>
      </c>
      <c r="C22" s="33" t="s">
        <v>4</v>
      </c>
      <c r="D22" s="32" t="s">
        <v>5</v>
      </c>
      <c r="E22" s="32" t="s">
        <v>6</v>
      </c>
      <c r="F22" s="34" t="s">
        <v>49</v>
      </c>
      <c r="G22" s="32" t="s">
        <v>8</v>
      </c>
      <c r="H22" s="32" t="s">
        <v>9</v>
      </c>
      <c r="I22" s="35" t="s">
        <v>50</v>
      </c>
      <c r="J22" s="35" t="s">
        <v>51</v>
      </c>
      <c r="K22" s="35" t="s">
        <v>52</v>
      </c>
      <c r="L22" s="36" t="s">
        <v>53</v>
      </c>
      <c r="M22" s="36" t="s">
        <v>54</v>
      </c>
      <c r="N22" s="36" t="s">
        <v>55</v>
      </c>
      <c r="O22" s="36" t="s">
        <v>56</v>
      </c>
      <c r="P22" s="36" t="s">
        <v>57</v>
      </c>
      <c r="Q22" s="36" t="s">
        <v>58</v>
      </c>
      <c r="R22" s="35" t="s">
        <v>59</v>
      </c>
      <c r="S22" s="32" t="s">
        <v>60</v>
      </c>
      <c r="T22" s="32" t="s">
        <v>61</v>
      </c>
      <c r="U22" s="37" t="s">
        <v>62</v>
      </c>
      <c r="V22" s="37" t="s">
        <v>63</v>
      </c>
      <c r="W22" s="37" t="s">
        <v>64</v>
      </c>
      <c r="X22" s="37" t="s">
        <v>65</v>
      </c>
      <c r="Y22" s="37" t="s">
        <v>139</v>
      </c>
      <c r="Z22" s="37" t="s">
        <v>140</v>
      </c>
      <c r="AA22" s="37" t="s">
        <v>141</v>
      </c>
      <c r="AB22" s="37" t="s">
        <v>66</v>
      </c>
      <c r="AC22" s="38" t="s">
        <v>67</v>
      </c>
      <c r="AD22" s="38" t="s">
        <v>68</v>
      </c>
      <c r="AE22" s="39" t="s">
        <v>69</v>
      </c>
      <c r="AF22" s="39" t="s">
        <v>70</v>
      </c>
      <c r="AG22" s="39" t="s">
        <v>71</v>
      </c>
      <c r="AH22" s="38" t="s">
        <v>72</v>
      </c>
      <c r="AI22" s="38" t="s">
        <v>73</v>
      </c>
      <c r="AJ22" s="39" t="s">
        <v>74</v>
      </c>
      <c r="AK22" s="39" t="s">
        <v>75</v>
      </c>
      <c r="AL22" s="38" t="s">
        <v>76</v>
      </c>
      <c r="AM22" s="38" t="s">
        <v>77</v>
      </c>
      <c r="AN22" s="39" t="s">
        <v>78</v>
      </c>
      <c r="AO22" s="39" t="s">
        <v>79</v>
      </c>
      <c r="AP22" s="39" t="s">
        <v>80</v>
      </c>
      <c r="AQ22" s="38" t="s">
        <v>81</v>
      </c>
      <c r="AR22" s="40" t="s">
        <v>82</v>
      </c>
      <c r="AS22" s="9" t="s">
        <v>83</v>
      </c>
      <c r="AT22" s="9" t="s">
        <v>81</v>
      </c>
      <c r="AU22" s="41" t="s">
        <v>84</v>
      </c>
      <c r="AV22" s="41" t="s">
        <v>85</v>
      </c>
      <c r="AW22" s="41" t="s">
        <v>86</v>
      </c>
      <c r="AX22" s="41" t="s">
        <v>87</v>
      </c>
      <c r="AY22" s="41" t="s">
        <v>88</v>
      </c>
      <c r="AZ22" s="41" t="s">
        <v>89</v>
      </c>
      <c r="BA22" s="41" t="s">
        <v>90</v>
      </c>
      <c r="BB22" s="41" t="s">
        <v>91</v>
      </c>
      <c r="BC22" s="42" t="s">
        <v>92</v>
      </c>
      <c r="BD22" s="42" t="s">
        <v>93</v>
      </c>
      <c r="BE22" s="42" t="s">
        <v>94</v>
      </c>
      <c r="BF22" s="41" t="s">
        <v>95</v>
      </c>
      <c r="BG22" s="41" t="s">
        <v>96</v>
      </c>
      <c r="BH22" s="41" t="s">
        <v>97</v>
      </c>
      <c r="BI22" s="41" t="s">
        <v>98</v>
      </c>
      <c r="BJ22" s="41" t="s">
        <v>99</v>
      </c>
      <c r="BK22" s="41" t="s">
        <v>100</v>
      </c>
      <c r="BL22" s="41" t="s">
        <v>101</v>
      </c>
      <c r="BM22" s="43" t="s">
        <v>102</v>
      </c>
      <c r="BN22" s="41" t="s">
        <v>103</v>
      </c>
      <c r="BO22" s="41" t="s">
        <v>89</v>
      </c>
      <c r="BP22" s="41" t="s">
        <v>104</v>
      </c>
      <c r="BQ22" s="41" t="s">
        <v>61</v>
      </c>
      <c r="BR22" s="61" t="s">
        <v>173</v>
      </c>
      <c r="BS22" s="61" t="s">
        <v>200</v>
      </c>
      <c r="BT22" s="61" t="s">
        <v>207</v>
      </c>
      <c r="BU22" s="61" t="s">
        <v>208</v>
      </c>
    </row>
    <row r="23" spans="1:73" ht="15.75" thickBot="1">
      <c r="A23" s="44">
        <v>1</v>
      </c>
      <c r="B23" s="2" t="s">
        <v>170</v>
      </c>
      <c r="C23" s="2" t="s">
        <v>170</v>
      </c>
      <c r="D23" s="44" t="s">
        <v>12</v>
      </c>
      <c r="E23" s="44" t="s">
        <v>12</v>
      </c>
      <c r="F23" s="45">
        <v>5</v>
      </c>
      <c r="G23">
        <v>300</v>
      </c>
      <c r="H23" s="45">
        <f>F23*G23</f>
        <v>1500</v>
      </c>
      <c r="I23" t="s">
        <v>126</v>
      </c>
      <c r="J23" s="45">
        <v>2</v>
      </c>
      <c r="K23" s="45">
        <v>3</v>
      </c>
      <c r="L23" s="45">
        <f>H23</f>
        <v>1500</v>
      </c>
      <c r="M23" s="45">
        <f>ROUND(L23*I23%,2)</f>
        <v>30</v>
      </c>
      <c r="N23" s="45">
        <f>H23-M23</f>
        <v>1470</v>
      </c>
      <c r="O23" s="45">
        <f>ROUND(N23*J23%,2)</f>
        <v>29.4</v>
      </c>
      <c r="P23" s="45">
        <f>ROUND(N23-O23,2)</f>
        <v>1440.6</v>
      </c>
      <c r="Q23" s="45">
        <f>ROUND(P23*K23%,2)</f>
        <v>43.22</v>
      </c>
      <c r="R23" s="64">
        <f>ROUND(M23+O23+Q23,3)</f>
        <v>102.62</v>
      </c>
      <c r="S23" s="64">
        <f>(H23-R23)</f>
        <v>1397.38</v>
      </c>
      <c r="T23" s="57" t="s">
        <v>106</v>
      </c>
      <c r="U23" s="45">
        <v>0.18</v>
      </c>
      <c r="V23" s="64">
        <f>IF(OR($C$21=1,$C$21=4),ROUND(((S23*U23)/2),2),0)</f>
        <v>125.76</v>
      </c>
      <c r="W23" s="64">
        <f>IF($C$21=1,ROUND(((S23*U23)/2),2),0)</f>
        <v>125.76</v>
      </c>
      <c r="X23" s="45">
        <f>IF($C$21=2,ROUND(((S23*U23)),2),0)</f>
        <v>0</v>
      </c>
      <c r="Y23" s="45">
        <f>IF($C$21=4,ROUND(((S23*U23)/2),2),0)</f>
        <v>0</v>
      </c>
      <c r="Z23" s="46">
        <v>0</v>
      </c>
      <c r="AA23" s="45">
        <f>IF($C21=3,0,S23*Z23)</f>
        <v>0</v>
      </c>
      <c r="AB23" s="45">
        <f>V23+W23+X23+Y23+AA23</f>
        <v>251.52</v>
      </c>
      <c r="AC23" s="45">
        <f>IF($V21=1,S23+AB23,S23)</f>
        <v>1648.9</v>
      </c>
      <c r="AD23" s="45">
        <v>120</v>
      </c>
      <c r="AE23" s="45">
        <f>IF($P$21=1,(S23/$S$24)*$E$35,AD23/$AD$24*$E$35)</f>
        <v>0</v>
      </c>
      <c r="AF23" s="45"/>
      <c r="AG23" s="45">
        <f>IF($P$21=1,(S23/$S$24)*$E$37,AD23/$AD$24*$E$37)</f>
        <v>0</v>
      </c>
      <c r="AH23" s="45">
        <f>IF($P$21=1,(S23/$S$24)*$E$37,AD23/$AD$24*$E$37)</f>
        <v>0</v>
      </c>
      <c r="AI23" s="45">
        <f>S23*$M$21</f>
        <v>1397.38</v>
      </c>
      <c r="AJ23" s="45">
        <f>IF($C$21=3,0,AG23+AH23)</f>
        <v>0</v>
      </c>
      <c r="AK23" s="45">
        <f>IF($C$21=3,AE23+AG23+AH23,0)</f>
        <v>0</v>
      </c>
      <c r="AL23" s="45">
        <v>1</v>
      </c>
      <c r="AM23" s="45">
        <f>F23/AL23</f>
        <v>5</v>
      </c>
      <c r="AN23" s="45">
        <f>AI23/AM23</f>
        <v>279.476</v>
      </c>
      <c r="AO23" s="45">
        <f>AJ23/AM23</f>
        <v>0</v>
      </c>
      <c r="AP23" s="45">
        <f>AK23/AM23</f>
        <v>0</v>
      </c>
      <c r="AQ23" s="57" t="s">
        <v>12</v>
      </c>
      <c r="AR23">
        <f>ROUND(AN23+AO23+AP23,5)</f>
        <v>279.476</v>
      </c>
      <c r="AS23" s="86" t="s">
        <v>107</v>
      </c>
      <c r="AT23" s="58" t="s">
        <v>12</v>
      </c>
      <c r="AU23" t="s">
        <v>108</v>
      </c>
      <c r="AV23" t="s">
        <v>172</v>
      </c>
      <c r="AW23" s="47">
        <f>AM23</f>
        <v>5</v>
      </c>
      <c r="AX23" s="47">
        <f>ROUND(AR23,2)</f>
        <v>279.48</v>
      </c>
      <c r="AY23" s="47">
        <f>AU23+AW23</f>
        <v>5</v>
      </c>
      <c r="AZ23" s="47">
        <f>ROUND(((AU23*AV23)+(AW23*AX23))/(AU23+AW23),5)</f>
        <v>279.48</v>
      </c>
      <c r="BA23" s="3"/>
      <c r="BB23" s="3" t="s">
        <v>110</v>
      </c>
      <c r="BC23" s="6" t="s">
        <v>113</v>
      </c>
      <c r="BD23" s="59" t="s">
        <v>143</v>
      </c>
      <c r="BE23" s="59" t="s">
        <v>144</v>
      </c>
      <c r="BF23" s="3"/>
      <c r="BG23" s="3"/>
      <c r="BH23" s="3"/>
      <c r="BI23" s="47"/>
      <c r="BL23" s="47" t="s">
        <v>147</v>
      </c>
      <c r="BM23" t="s">
        <v>182</v>
      </c>
      <c r="BN23" t="s">
        <v>181</v>
      </c>
      <c r="BO23" s="47">
        <f>ROUND((((AW23*AZ23)+(BN23*BM23))/(AW23+BN23)),5)</f>
        <v>187.52991</v>
      </c>
      <c r="BP23" s="4">
        <f>BN23+AW23</f>
        <v>425</v>
      </c>
      <c r="BQ23" s="49">
        <v>88363222</v>
      </c>
      <c r="BR23" s="4">
        <f>G23+100</f>
        <v>400</v>
      </c>
      <c r="BS23" s="94" t="s">
        <v>201</v>
      </c>
      <c r="BT23">
        <f>H23</f>
        <v>1500</v>
      </c>
      <c r="BU23">
        <v>0</v>
      </c>
    </row>
    <row r="24" spans="1:73" ht="15.75" thickBot="1">
      <c r="A24" s="7"/>
      <c r="B24" s="5"/>
      <c r="C24" s="5"/>
      <c r="D24" s="50" t="s">
        <v>41</v>
      </c>
      <c r="E24" s="50"/>
      <c r="F24" s="50"/>
      <c r="G24" s="51"/>
      <c r="H24" s="52">
        <f>SUM(H23:H23)</f>
        <v>1500</v>
      </c>
      <c r="I24" s="44"/>
      <c r="J24" s="44"/>
      <c r="K24" s="44"/>
      <c r="L24" s="44"/>
      <c r="M24" s="44"/>
      <c r="N24" s="44"/>
      <c r="O24" s="44"/>
      <c r="P24" s="44"/>
      <c r="Q24" s="44"/>
      <c r="R24" s="52">
        <f>SUM(R23:R23)</f>
        <v>102.62</v>
      </c>
      <c r="S24" s="53">
        <f>SUM(S23:S23)</f>
        <v>1397.38</v>
      </c>
      <c r="T24" s="52"/>
      <c r="U24" s="52"/>
      <c r="V24" s="54">
        <f>SUM(V23:V23)</f>
        <v>125.76</v>
      </c>
      <c r="W24" s="54">
        <f>SUM(W23:W23)</f>
        <v>125.76</v>
      </c>
      <c r="X24" s="54">
        <f>SUM(X23:X23)</f>
        <v>0</v>
      </c>
      <c r="Y24" s="54"/>
      <c r="Z24" s="54"/>
      <c r="AA24" s="54"/>
      <c r="AB24" s="52">
        <f>SUM(AB23:AB23)</f>
        <v>251.52</v>
      </c>
      <c r="AC24" s="55">
        <f>SUM(AC23:AC23)</f>
        <v>1648.9</v>
      </c>
      <c r="AD24" s="56">
        <f>SUM(AD23:AD23)</f>
        <v>120</v>
      </c>
      <c r="AE24" s="56">
        <f>SUM(AE23:AE23)</f>
        <v>0</v>
      </c>
      <c r="AF24" s="55"/>
      <c r="AG24" s="56">
        <f>SUM(AG23:AG23)</f>
        <v>0</v>
      </c>
      <c r="AH24" s="56">
        <f>SUM(AH23:AH23)</f>
        <v>0</v>
      </c>
      <c r="AI24" s="56">
        <f>SUM(AI23:AI23)</f>
        <v>1397.38</v>
      </c>
      <c r="AJ24" s="56">
        <f>SUM(AJ23:AJ23)</f>
        <v>0</v>
      </c>
      <c r="AK24" s="56">
        <f>SUM(AK23:AK23)</f>
        <v>0</v>
      </c>
      <c r="AL24" s="55"/>
      <c r="AM24" s="55"/>
      <c r="AN24" s="55"/>
      <c r="AO24" s="55"/>
      <c r="AP24" s="55"/>
      <c r="AQ24" s="55"/>
      <c r="AR24" s="55"/>
      <c r="AS24" s="7"/>
      <c r="BS24" s="94" t="s">
        <v>209</v>
      </c>
      <c r="BT24" s="97">
        <v>600</v>
      </c>
      <c r="BU24">
        <v>0</v>
      </c>
    </row>
    <row r="25" spans="1:73">
      <c r="A25" s="7"/>
      <c r="B25" s="5"/>
      <c r="C25" s="5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BS25" s="94" t="s">
        <v>209</v>
      </c>
      <c r="BT25" s="97">
        <v>300</v>
      </c>
      <c r="BU25">
        <v>0</v>
      </c>
    </row>
    <row r="26" spans="1:73" ht="15.75" thickBot="1">
      <c r="BS26" s="94" t="s">
        <v>202</v>
      </c>
      <c r="BT26">
        <v>208.05</v>
      </c>
      <c r="BU26" s="4">
        <v>0</v>
      </c>
    </row>
    <row r="27" spans="1:73" ht="15.75" thickBot="1">
      <c r="BS27" s="96" t="s">
        <v>203</v>
      </c>
      <c r="BT27">
        <v>208.05</v>
      </c>
      <c r="BU27">
        <v>0</v>
      </c>
    </row>
    <row r="28" spans="1:73">
      <c r="BS28" s="94" t="s">
        <v>204</v>
      </c>
      <c r="BT28">
        <v>34.83</v>
      </c>
      <c r="BU28" s="100">
        <v>0</v>
      </c>
    </row>
    <row r="29" spans="1:73" ht="15.75" thickBot="1">
      <c r="BS29" s="94" t="s">
        <v>210</v>
      </c>
      <c r="BT29">
        <v>0</v>
      </c>
      <c r="BU29" s="4">
        <v>0.6</v>
      </c>
    </row>
    <row r="30" spans="1:73" ht="15.75" thickBot="1">
      <c r="BS30" s="96" t="s">
        <v>205</v>
      </c>
      <c r="BT30">
        <v>0</v>
      </c>
      <c r="BU30">
        <v>34.229999999999997</v>
      </c>
    </row>
    <row r="31" spans="1:73">
      <c r="BS31" s="94" t="s">
        <v>206</v>
      </c>
      <c r="BT31">
        <v>0</v>
      </c>
      <c r="BU31">
        <v>88.36</v>
      </c>
    </row>
    <row r="32" spans="1:73">
      <c r="BS32" s="94" t="s">
        <v>204</v>
      </c>
      <c r="BT32">
        <v>0</v>
      </c>
      <c r="BU32">
        <v>2727.74</v>
      </c>
    </row>
  </sheetData>
  <mergeCells count="3">
    <mergeCell ref="A1:AC1"/>
    <mergeCell ref="B19:G19"/>
    <mergeCell ref="A21:B2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X25"/>
  <sheetViews>
    <sheetView tabSelected="1" topLeftCell="BO12" workbookViewId="0">
      <selection activeCell="BS22" sqref="BS22:BX23"/>
    </sheetView>
  </sheetViews>
  <sheetFormatPr defaultColWidth="9" defaultRowHeight="15"/>
  <cols>
    <col min="2" max="2" width="26.85546875" customWidth="1"/>
    <col min="3" max="3" width="19.28515625" customWidth="1"/>
    <col min="4" max="4" width="80.42578125" customWidth="1"/>
    <col min="5" max="5" width="10.42578125" customWidth="1"/>
    <col min="6" max="6" width="8.28515625" customWidth="1"/>
    <col min="7" max="7" width="10.140625" customWidth="1"/>
    <col min="8" max="8" width="11.85546875" customWidth="1"/>
    <col min="11" max="11" width="6.28515625" customWidth="1"/>
    <col min="18" max="18" width="11.28515625" customWidth="1"/>
    <col min="19" max="19" width="11.140625" customWidth="1"/>
    <col min="29" max="29" width="10.28515625" customWidth="1"/>
    <col min="30" max="30" width="12.85546875" customWidth="1"/>
    <col min="31" max="31" width="8.7109375" customWidth="1"/>
    <col min="35" max="35" width="14.28515625" customWidth="1"/>
    <col min="43" max="43" width="11.85546875" customWidth="1"/>
    <col min="44" max="44" width="23.28515625" customWidth="1"/>
    <col min="46" max="46" width="11.85546875" customWidth="1"/>
    <col min="47" max="47" width="15.28515625" customWidth="1"/>
    <col min="48" max="48" width="23.85546875" customWidth="1"/>
    <col min="49" max="49" width="11.42578125" customWidth="1"/>
    <col min="50" max="50" width="11" customWidth="1"/>
    <col min="51" max="51" width="13.85546875" customWidth="1"/>
    <col min="52" max="52" width="18.85546875" bestFit="1" customWidth="1"/>
    <col min="53" max="53" width="19" bestFit="1" customWidth="1"/>
    <col min="60" max="60" width="12.5703125" customWidth="1"/>
    <col min="61" max="61" width="21.7109375" customWidth="1"/>
    <col min="62" max="63" width="30.5703125" customWidth="1"/>
    <col min="65" max="65" width="41.140625" customWidth="1"/>
    <col min="66" max="66" width="37" customWidth="1"/>
    <col min="67" max="67" width="18.85546875" customWidth="1"/>
    <col min="68" max="68" width="34.42578125" customWidth="1"/>
    <col min="71" max="71" width="14.28515625" bestFit="1" customWidth="1"/>
    <col min="72" max="72" width="10" bestFit="1" customWidth="1"/>
    <col min="73" max="73" width="9.5703125" bestFit="1" customWidth="1"/>
    <col min="75" max="75" width="19.42578125" bestFit="1" customWidth="1"/>
    <col min="76" max="76" width="13.42578125" bestFit="1" customWidth="1"/>
  </cols>
  <sheetData>
    <row r="1" spans="1:45" ht="18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7"/>
      <c r="AS1" s="7"/>
    </row>
    <row r="2" spans="1:45" ht="18.75" thickBot="1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7"/>
      <c r="AS2" s="7"/>
    </row>
    <row r="3" spans="1:45" ht="15.75" thickTop="1">
      <c r="A3" s="8" t="s">
        <v>2</v>
      </c>
      <c r="B3" s="9" t="s">
        <v>3</v>
      </c>
      <c r="C3" s="10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11" t="s">
        <v>9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7"/>
    </row>
    <row r="4" spans="1:45">
      <c r="A4" s="13">
        <v>1</v>
      </c>
      <c r="B4" s="14" t="s">
        <v>10</v>
      </c>
      <c r="C4" s="14" t="s">
        <v>11</v>
      </c>
      <c r="D4" s="14" t="s">
        <v>12</v>
      </c>
      <c r="E4" s="14" t="s">
        <v>12</v>
      </c>
      <c r="F4" s="15">
        <v>25</v>
      </c>
      <c r="G4" s="16">
        <v>257.63</v>
      </c>
      <c r="H4" s="17">
        <f t="shared" ref="H4:H18" si="0">F4*G4</f>
        <v>6440.75</v>
      </c>
      <c r="I4" s="18"/>
      <c r="J4" s="18"/>
      <c r="K4" s="18"/>
      <c r="L4" s="19"/>
      <c r="M4" s="19"/>
      <c r="N4" s="19"/>
      <c r="O4" s="19"/>
      <c r="P4" s="19"/>
      <c r="Q4" s="19"/>
      <c r="R4" s="19"/>
      <c r="S4" s="19"/>
      <c r="T4" s="19"/>
      <c r="U4" s="18"/>
      <c r="V4" s="18"/>
      <c r="W4" s="18"/>
      <c r="X4" s="18"/>
      <c r="Y4" s="18"/>
      <c r="Z4" s="18"/>
      <c r="AA4" s="18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7"/>
    </row>
    <row r="5" spans="1:45">
      <c r="A5" s="13">
        <v>2</v>
      </c>
      <c r="B5" s="14" t="s">
        <v>13</v>
      </c>
      <c r="C5" s="14" t="s">
        <v>14</v>
      </c>
      <c r="D5" s="14" t="s">
        <v>12</v>
      </c>
      <c r="E5" s="14" t="s">
        <v>12</v>
      </c>
      <c r="F5" s="15">
        <v>35</v>
      </c>
      <c r="G5" s="16">
        <v>125.45</v>
      </c>
      <c r="H5" s="17">
        <f t="shared" si="0"/>
        <v>4390.75</v>
      </c>
      <c r="I5" s="18"/>
      <c r="J5" s="18"/>
      <c r="K5" s="18"/>
      <c r="L5" s="19"/>
      <c r="M5" s="19"/>
      <c r="N5" s="19"/>
      <c r="O5" s="19"/>
      <c r="P5" s="19"/>
      <c r="Q5" s="19"/>
      <c r="R5" s="19"/>
      <c r="S5" s="19"/>
      <c r="T5" s="19"/>
      <c r="U5" s="18"/>
      <c r="V5" s="18"/>
      <c r="W5" s="18"/>
      <c r="X5" s="18"/>
      <c r="Y5" s="18"/>
      <c r="Z5" s="18"/>
      <c r="AA5" s="18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7"/>
    </row>
    <row r="6" spans="1:45">
      <c r="A6" s="13">
        <v>3</v>
      </c>
      <c r="B6" s="14" t="s">
        <v>15</v>
      </c>
      <c r="C6" s="14" t="s">
        <v>16</v>
      </c>
      <c r="D6" s="14" t="s">
        <v>12</v>
      </c>
      <c r="E6" s="14" t="s">
        <v>12</v>
      </c>
      <c r="F6" s="15">
        <v>45</v>
      </c>
      <c r="G6" s="16">
        <v>125.36</v>
      </c>
      <c r="H6" s="17">
        <f t="shared" si="0"/>
        <v>5641.2</v>
      </c>
      <c r="I6" s="18"/>
      <c r="J6" s="18"/>
      <c r="K6" s="18"/>
      <c r="L6" s="19"/>
      <c r="M6" s="19"/>
      <c r="N6" s="19"/>
      <c r="O6" s="19"/>
      <c r="P6" s="19"/>
      <c r="Q6" s="19"/>
      <c r="R6" s="19"/>
      <c r="S6" s="19"/>
      <c r="T6" s="19"/>
      <c r="U6" s="18"/>
      <c r="V6" s="18"/>
      <c r="W6" s="18"/>
      <c r="X6" s="18"/>
      <c r="Y6" s="18"/>
      <c r="Z6" s="18"/>
      <c r="AA6" s="18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7"/>
    </row>
    <row r="7" spans="1:45">
      <c r="A7" s="13">
        <v>4</v>
      </c>
      <c r="B7" s="14" t="s">
        <v>17</v>
      </c>
      <c r="C7" s="14" t="s">
        <v>18</v>
      </c>
      <c r="D7" s="14" t="s">
        <v>12</v>
      </c>
      <c r="E7" s="14" t="s">
        <v>12</v>
      </c>
      <c r="F7" s="15">
        <v>55</v>
      </c>
      <c r="G7" s="16">
        <v>45.25</v>
      </c>
      <c r="H7" s="17">
        <f t="shared" si="0"/>
        <v>2488.75</v>
      </c>
      <c r="I7" s="18"/>
      <c r="J7" s="18"/>
      <c r="K7" s="18"/>
      <c r="L7" s="19"/>
      <c r="M7" s="19"/>
      <c r="N7" s="19"/>
      <c r="O7" s="19"/>
      <c r="P7" s="19"/>
      <c r="Q7" s="19"/>
      <c r="R7" s="19"/>
      <c r="S7" s="19"/>
      <c r="T7" s="19"/>
      <c r="U7" s="18"/>
      <c r="V7" s="18"/>
      <c r="W7" s="18"/>
      <c r="X7" s="18"/>
      <c r="Y7" s="18"/>
      <c r="Z7" s="18"/>
      <c r="AA7" s="18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7"/>
    </row>
    <row r="8" spans="1:45">
      <c r="A8" s="13">
        <v>5</v>
      </c>
      <c r="B8" s="14" t="s">
        <v>19</v>
      </c>
      <c r="C8" s="14" t="s">
        <v>20</v>
      </c>
      <c r="D8" s="14" t="s">
        <v>12</v>
      </c>
      <c r="E8" s="14" t="s">
        <v>12</v>
      </c>
      <c r="F8" s="15">
        <v>60</v>
      </c>
      <c r="G8" s="16">
        <v>45.5</v>
      </c>
      <c r="H8" s="17">
        <f t="shared" si="0"/>
        <v>2730</v>
      </c>
      <c r="I8" s="18"/>
      <c r="J8" s="18"/>
      <c r="K8" s="18"/>
      <c r="L8" s="19"/>
      <c r="M8" s="19"/>
      <c r="N8" s="19"/>
      <c r="O8" s="19"/>
      <c r="P8" s="19"/>
      <c r="Q8" s="19"/>
      <c r="R8" s="19"/>
      <c r="S8" s="19"/>
      <c r="T8" s="19"/>
      <c r="U8" s="18"/>
      <c r="V8" s="18"/>
      <c r="W8" s="18"/>
      <c r="X8" s="18"/>
      <c r="Y8" s="18"/>
      <c r="Z8" s="18"/>
      <c r="AA8" s="18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7"/>
    </row>
    <row r="9" spans="1:45">
      <c r="A9" s="13">
        <v>6</v>
      </c>
      <c r="B9" s="14" t="s">
        <v>21</v>
      </c>
      <c r="C9" s="14" t="s">
        <v>22</v>
      </c>
      <c r="D9" s="14" t="s">
        <v>12</v>
      </c>
      <c r="E9" s="14" t="s">
        <v>12</v>
      </c>
      <c r="F9" s="15">
        <v>75</v>
      </c>
      <c r="G9" s="16">
        <v>125.25</v>
      </c>
      <c r="H9" s="17">
        <f t="shared" si="0"/>
        <v>9393.75</v>
      </c>
      <c r="I9" s="18"/>
      <c r="J9" s="18"/>
      <c r="K9" s="18"/>
      <c r="L9" s="19"/>
      <c r="M9" s="19"/>
      <c r="N9" s="19"/>
      <c r="O9" s="19"/>
      <c r="P9" s="19"/>
      <c r="Q9" s="19"/>
      <c r="R9" s="19"/>
      <c r="S9" s="19"/>
      <c r="T9" s="19"/>
      <c r="U9" s="18"/>
      <c r="V9" s="18"/>
      <c r="W9" s="18"/>
      <c r="X9" s="18"/>
      <c r="Y9" s="18"/>
      <c r="Z9" s="18"/>
      <c r="AA9" s="18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7"/>
    </row>
    <row r="10" spans="1:45">
      <c r="A10" s="13">
        <v>7</v>
      </c>
      <c r="B10" s="14" t="s">
        <v>23</v>
      </c>
      <c r="C10" s="14" t="s">
        <v>24</v>
      </c>
      <c r="D10" s="14" t="s">
        <v>12</v>
      </c>
      <c r="E10" s="14" t="s">
        <v>12</v>
      </c>
      <c r="F10" s="15">
        <v>28</v>
      </c>
      <c r="G10" s="16">
        <v>150.5</v>
      </c>
      <c r="H10" s="17">
        <f t="shared" si="0"/>
        <v>4214</v>
      </c>
      <c r="I10" s="18"/>
      <c r="J10" s="18"/>
      <c r="K10" s="18"/>
      <c r="L10" s="19"/>
      <c r="M10" s="19"/>
      <c r="N10" s="19"/>
      <c r="O10" s="19"/>
      <c r="P10" s="19"/>
      <c r="Q10" s="19"/>
      <c r="R10" s="19"/>
      <c r="S10" s="19"/>
      <c r="T10" s="19"/>
      <c r="U10" s="18"/>
      <c r="V10" s="18"/>
      <c r="W10" s="18"/>
      <c r="X10" s="18"/>
      <c r="Y10" s="18"/>
      <c r="Z10" s="18"/>
      <c r="AA10" s="18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7"/>
    </row>
    <row r="11" spans="1:45">
      <c r="A11" s="13">
        <v>8</v>
      </c>
      <c r="B11" s="14" t="s">
        <v>25</v>
      </c>
      <c r="C11" s="14" t="s">
        <v>26</v>
      </c>
      <c r="D11" s="14" t="s">
        <v>12</v>
      </c>
      <c r="E11" s="14" t="s">
        <v>12</v>
      </c>
      <c r="F11" s="15">
        <v>30</v>
      </c>
      <c r="G11" s="16">
        <v>65.319999999999993</v>
      </c>
      <c r="H11" s="17">
        <f t="shared" si="0"/>
        <v>1959.6</v>
      </c>
      <c r="I11" s="18"/>
      <c r="J11" s="18"/>
      <c r="K11" s="18"/>
      <c r="L11" s="19"/>
      <c r="M11" s="19"/>
      <c r="N11" s="19"/>
      <c r="O11" s="19"/>
      <c r="P11" s="19"/>
      <c r="Q11" s="19"/>
      <c r="R11" s="19"/>
      <c r="S11" s="19"/>
      <c r="T11" s="19"/>
      <c r="U11" s="18"/>
      <c r="V11" s="18"/>
      <c r="W11" s="18"/>
      <c r="X11" s="18"/>
      <c r="Y11" s="18"/>
      <c r="Z11" s="18"/>
      <c r="AA11" s="18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7"/>
    </row>
    <row r="12" spans="1:45">
      <c r="A12" s="13">
        <v>9</v>
      </c>
      <c r="B12" s="14" t="s">
        <v>27</v>
      </c>
      <c r="C12" s="14" t="s">
        <v>28</v>
      </c>
      <c r="D12" s="14" t="s">
        <v>12</v>
      </c>
      <c r="E12" s="14" t="s">
        <v>12</v>
      </c>
      <c r="F12" s="15">
        <v>25</v>
      </c>
      <c r="G12" s="16">
        <v>74.89</v>
      </c>
      <c r="H12" s="17">
        <f t="shared" si="0"/>
        <v>1872.25</v>
      </c>
      <c r="I12" s="18"/>
      <c r="J12" s="18"/>
      <c r="K12" s="18"/>
      <c r="L12" s="19"/>
      <c r="M12" s="19"/>
      <c r="N12" s="19"/>
      <c r="O12" s="19"/>
      <c r="P12" s="19"/>
      <c r="Q12" s="19"/>
      <c r="R12" s="19"/>
      <c r="S12" s="19"/>
      <c r="T12" s="19"/>
      <c r="U12" s="18"/>
      <c r="V12" s="18"/>
      <c r="W12" s="18"/>
      <c r="X12" s="18"/>
      <c r="Y12" s="18"/>
      <c r="Z12" s="18"/>
      <c r="AA12" s="18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7"/>
    </row>
    <row r="13" spans="1:45">
      <c r="A13" s="13">
        <v>10</v>
      </c>
      <c r="B13" s="14" t="s">
        <v>29</v>
      </c>
      <c r="C13" s="14" t="s">
        <v>30</v>
      </c>
      <c r="D13" s="14" t="s">
        <v>12</v>
      </c>
      <c r="E13" s="14" t="s">
        <v>12</v>
      </c>
      <c r="F13" s="15">
        <v>28</v>
      </c>
      <c r="G13" s="16">
        <v>89.56</v>
      </c>
      <c r="H13" s="17">
        <f t="shared" si="0"/>
        <v>2507.6800000000003</v>
      </c>
      <c r="I13" s="18"/>
      <c r="J13" s="18"/>
      <c r="K13" s="18"/>
      <c r="L13" s="19"/>
      <c r="M13" s="19"/>
      <c r="N13" s="19"/>
      <c r="O13" s="19"/>
      <c r="P13" s="19"/>
      <c r="Q13" s="19"/>
      <c r="R13" s="19"/>
      <c r="S13" s="19"/>
      <c r="T13" s="19"/>
      <c r="U13" s="18"/>
      <c r="V13" s="18"/>
      <c r="W13" s="18"/>
      <c r="X13" s="18"/>
      <c r="Y13" s="18"/>
      <c r="Z13" s="18"/>
      <c r="AA13" s="18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7"/>
    </row>
    <row r="14" spans="1:45">
      <c r="A14" s="13">
        <v>11</v>
      </c>
      <c r="B14" s="14" t="s">
        <v>31</v>
      </c>
      <c r="C14" s="14" t="s">
        <v>32</v>
      </c>
      <c r="D14" s="14" t="s">
        <v>12</v>
      </c>
      <c r="E14" s="14" t="s">
        <v>12</v>
      </c>
      <c r="F14" s="15">
        <v>37</v>
      </c>
      <c r="G14" s="16">
        <v>89.54</v>
      </c>
      <c r="H14" s="17">
        <f t="shared" si="0"/>
        <v>3312.98</v>
      </c>
      <c r="I14" s="18"/>
      <c r="J14" s="18"/>
      <c r="K14" s="18"/>
      <c r="L14" s="19"/>
      <c r="M14" s="19"/>
      <c r="N14" s="19"/>
      <c r="O14" s="19"/>
      <c r="P14" s="19"/>
      <c r="Q14" s="19"/>
      <c r="R14" s="19"/>
      <c r="S14" s="19"/>
      <c r="T14" s="19"/>
      <c r="U14" s="18"/>
      <c r="V14" s="18"/>
      <c r="W14" s="18"/>
      <c r="X14" s="18"/>
      <c r="Y14" s="18"/>
      <c r="Z14" s="18"/>
      <c r="AA14" s="18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7"/>
    </row>
    <row r="15" spans="1:45">
      <c r="A15" s="13">
        <v>12</v>
      </c>
      <c r="B15" s="14" t="s">
        <v>33</v>
      </c>
      <c r="C15" s="14" t="s">
        <v>34</v>
      </c>
      <c r="D15" s="14" t="s">
        <v>12</v>
      </c>
      <c r="E15" s="14" t="s">
        <v>12</v>
      </c>
      <c r="F15" s="15">
        <v>39</v>
      </c>
      <c r="G15" s="16">
        <v>98.25</v>
      </c>
      <c r="H15" s="17">
        <f t="shared" si="0"/>
        <v>3831.75</v>
      </c>
      <c r="I15" s="18"/>
      <c r="J15" s="18"/>
      <c r="K15" s="18"/>
      <c r="L15" s="19"/>
      <c r="M15" s="19"/>
      <c r="N15" s="19"/>
      <c r="O15" s="19"/>
      <c r="P15" s="19"/>
      <c r="Q15" s="19"/>
      <c r="R15" s="19"/>
      <c r="S15" s="19"/>
      <c r="T15" s="19"/>
      <c r="U15" s="18"/>
      <c r="V15" s="18"/>
      <c r="W15" s="18"/>
      <c r="X15" s="18"/>
      <c r="Y15" s="18"/>
      <c r="Z15" s="18"/>
      <c r="AA15" s="18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7"/>
    </row>
    <row r="16" spans="1:45">
      <c r="A16" s="13">
        <v>13</v>
      </c>
      <c r="B16" s="14" t="s">
        <v>35</v>
      </c>
      <c r="C16" s="14" t="s">
        <v>36</v>
      </c>
      <c r="D16" s="14" t="s">
        <v>12</v>
      </c>
      <c r="E16" s="14" t="s">
        <v>12</v>
      </c>
      <c r="F16" s="15">
        <v>70</v>
      </c>
      <c r="G16" s="16">
        <v>102.25</v>
      </c>
      <c r="H16" s="17">
        <f t="shared" si="0"/>
        <v>7157.5</v>
      </c>
      <c r="I16" s="18"/>
      <c r="J16" s="18"/>
      <c r="K16" s="18"/>
      <c r="L16" s="19"/>
      <c r="M16" s="19"/>
      <c r="N16" s="19"/>
      <c r="O16" s="19"/>
      <c r="P16" s="19"/>
      <c r="Q16" s="19"/>
      <c r="R16" s="19"/>
      <c r="S16" s="19"/>
      <c r="T16" s="19"/>
      <c r="U16" s="18"/>
      <c r="V16" s="18"/>
      <c r="W16" s="18"/>
      <c r="X16" s="18"/>
      <c r="Y16" s="18"/>
      <c r="Z16" s="18"/>
      <c r="AA16" s="18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7"/>
    </row>
    <row r="17" spans="1:76">
      <c r="A17" s="13">
        <v>14</v>
      </c>
      <c r="B17" s="14" t="s">
        <v>37</v>
      </c>
      <c r="C17" s="14" t="s">
        <v>38</v>
      </c>
      <c r="D17" s="14" t="s">
        <v>12</v>
      </c>
      <c r="E17" s="14" t="s">
        <v>12</v>
      </c>
      <c r="F17" s="15">
        <v>100</v>
      </c>
      <c r="G17" s="16">
        <v>103.5</v>
      </c>
      <c r="H17" s="17">
        <f t="shared" si="0"/>
        <v>10350</v>
      </c>
      <c r="I17" s="18"/>
      <c r="J17" s="18"/>
      <c r="K17" s="18"/>
      <c r="L17" s="19"/>
      <c r="M17" s="19"/>
      <c r="N17" s="19"/>
      <c r="O17" s="19"/>
      <c r="P17" s="19"/>
      <c r="Q17" s="19"/>
      <c r="R17" s="19"/>
      <c r="S17" s="20">
        <v>5858.27</v>
      </c>
      <c r="T17" s="19"/>
      <c r="U17" s="18"/>
      <c r="V17" s="18"/>
      <c r="W17" s="18"/>
      <c r="X17" s="18"/>
      <c r="Y17" s="18"/>
      <c r="Z17" s="18"/>
      <c r="AA17" s="18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7"/>
    </row>
    <row r="18" spans="1:76" ht="15.75" thickBot="1">
      <c r="A18" s="21">
        <v>15</v>
      </c>
      <c r="B18" s="22" t="s">
        <v>39</v>
      </c>
      <c r="C18" s="22" t="s">
        <v>40</v>
      </c>
      <c r="D18" s="22" t="s">
        <v>12</v>
      </c>
      <c r="E18" s="22" t="s">
        <v>12</v>
      </c>
      <c r="F18" s="23">
        <v>85</v>
      </c>
      <c r="G18" s="24">
        <v>65.48</v>
      </c>
      <c r="H18" s="25">
        <f t="shared" si="0"/>
        <v>5565.8</v>
      </c>
      <c r="I18" s="18"/>
      <c r="J18" s="18"/>
      <c r="K18" s="18"/>
      <c r="L18" s="19"/>
      <c r="M18" s="19"/>
      <c r="N18" s="19"/>
      <c r="O18" s="19"/>
      <c r="P18" s="19"/>
      <c r="Q18" s="19"/>
      <c r="R18" s="19"/>
      <c r="S18" s="19"/>
      <c r="T18" s="19"/>
      <c r="U18" s="18"/>
      <c r="V18" s="18"/>
      <c r="W18" s="18"/>
      <c r="X18" s="18"/>
      <c r="Y18" s="18"/>
      <c r="Z18" s="18"/>
      <c r="AA18" s="18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7"/>
    </row>
    <row r="19" spans="1:76" ht="15.75" thickTop="1">
      <c r="A19" s="7"/>
      <c r="B19" s="102" t="s">
        <v>41</v>
      </c>
      <c r="C19" s="102"/>
      <c r="D19" s="102"/>
      <c r="E19" s="102"/>
      <c r="F19" s="102"/>
      <c r="G19" s="102"/>
      <c r="H19" s="26">
        <f>SUM(H4:H18)</f>
        <v>71856.759999999995</v>
      </c>
      <c r="I19" s="27"/>
      <c r="J19" s="27"/>
      <c r="K19" s="27"/>
      <c r="L19" s="27"/>
      <c r="M19" s="27"/>
      <c r="N19" s="27"/>
      <c r="O19" s="27"/>
      <c r="P19" s="27"/>
      <c r="Q19" s="27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7"/>
    </row>
    <row r="20" spans="1:76">
      <c r="A20" s="28" t="s">
        <v>42</v>
      </c>
      <c r="B20" s="29"/>
      <c r="C20" s="29"/>
      <c r="D20" s="29"/>
      <c r="E20" s="29"/>
      <c r="F20" s="29"/>
      <c r="G20" s="29"/>
      <c r="H20" s="28"/>
      <c r="I20" s="30"/>
      <c r="J20" s="30"/>
      <c r="K20" s="30"/>
      <c r="L20" s="30"/>
      <c r="M20" s="30"/>
      <c r="N20" s="30"/>
      <c r="O20" s="30"/>
      <c r="P20" s="30"/>
      <c r="Q20" s="30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7"/>
    </row>
    <row r="21" spans="1:76" ht="15.75" thickBot="1">
      <c r="A21" s="103" t="s">
        <v>43</v>
      </c>
      <c r="B21" s="103"/>
      <c r="C21" s="12">
        <v>1</v>
      </c>
      <c r="D21" s="31" t="s">
        <v>137</v>
      </c>
      <c r="E21" s="29"/>
      <c r="F21" s="29"/>
      <c r="G21" s="29"/>
      <c r="H21" s="28"/>
      <c r="I21" s="30" t="s">
        <v>44</v>
      </c>
      <c r="J21" s="30" t="s">
        <v>45</v>
      </c>
      <c r="K21" s="30"/>
      <c r="L21" s="30" t="s">
        <v>46</v>
      </c>
      <c r="M21" s="30">
        <v>1</v>
      </c>
      <c r="N21" s="30"/>
      <c r="O21" s="30" t="s">
        <v>47</v>
      </c>
      <c r="P21" s="30">
        <v>1</v>
      </c>
      <c r="Q21" s="30" t="s">
        <v>48</v>
      </c>
      <c r="R21" s="28"/>
      <c r="S21" s="28"/>
      <c r="T21" s="28"/>
      <c r="U21" s="28"/>
      <c r="V21" s="28">
        <v>1</v>
      </c>
      <c r="W21" s="28" t="s">
        <v>138</v>
      </c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7"/>
    </row>
    <row r="22" spans="1:76" ht="58.5" thickTop="1" thickBot="1">
      <c r="A22" s="32" t="s">
        <v>2</v>
      </c>
      <c r="B22" s="32" t="s">
        <v>3</v>
      </c>
      <c r="C22" s="33" t="s">
        <v>4</v>
      </c>
      <c r="D22" s="32" t="s">
        <v>5</v>
      </c>
      <c r="E22" s="32" t="s">
        <v>6</v>
      </c>
      <c r="F22" s="34" t="s">
        <v>49</v>
      </c>
      <c r="G22" s="32" t="s">
        <v>8</v>
      </c>
      <c r="H22" s="32" t="s">
        <v>9</v>
      </c>
      <c r="I22" s="35" t="s">
        <v>50</v>
      </c>
      <c r="J22" s="35" t="s">
        <v>51</v>
      </c>
      <c r="K22" s="35" t="s">
        <v>52</v>
      </c>
      <c r="L22" s="36" t="s">
        <v>53</v>
      </c>
      <c r="M22" s="36" t="s">
        <v>54</v>
      </c>
      <c r="N22" s="36" t="s">
        <v>55</v>
      </c>
      <c r="O22" s="36" t="s">
        <v>56</v>
      </c>
      <c r="P22" s="36" t="s">
        <v>57</v>
      </c>
      <c r="Q22" s="36" t="s">
        <v>58</v>
      </c>
      <c r="R22" s="35" t="s">
        <v>59</v>
      </c>
      <c r="S22" s="32" t="s">
        <v>60</v>
      </c>
      <c r="T22" s="32" t="s">
        <v>61</v>
      </c>
      <c r="U22" s="37" t="s">
        <v>62</v>
      </c>
      <c r="V22" s="37" t="s">
        <v>63</v>
      </c>
      <c r="W22" s="37" t="s">
        <v>64</v>
      </c>
      <c r="X22" s="37" t="s">
        <v>65</v>
      </c>
      <c r="Y22" s="37" t="s">
        <v>139</v>
      </c>
      <c r="Z22" s="37" t="s">
        <v>140</v>
      </c>
      <c r="AA22" s="37" t="s">
        <v>141</v>
      </c>
      <c r="AB22" s="37" t="s">
        <v>66</v>
      </c>
      <c r="AC22" s="38" t="s">
        <v>67</v>
      </c>
      <c r="AD22" s="38" t="s">
        <v>68</v>
      </c>
      <c r="AE22" s="39" t="s">
        <v>69</v>
      </c>
      <c r="AF22" s="39" t="s">
        <v>70</v>
      </c>
      <c r="AG22" s="39" t="s">
        <v>71</v>
      </c>
      <c r="AH22" s="38" t="s">
        <v>72</v>
      </c>
      <c r="AI22" s="38" t="s">
        <v>73</v>
      </c>
      <c r="AJ22" s="39" t="s">
        <v>74</v>
      </c>
      <c r="AK22" s="39" t="s">
        <v>75</v>
      </c>
      <c r="AL22" s="38" t="s">
        <v>76</v>
      </c>
      <c r="AM22" s="38" t="s">
        <v>77</v>
      </c>
      <c r="AN22" s="39" t="s">
        <v>78</v>
      </c>
      <c r="AO22" s="39" t="s">
        <v>79</v>
      </c>
      <c r="AP22" s="39" t="s">
        <v>80</v>
      </c>
      <c r="AQ22" s="38" t="s">
        <v>81</v>
      </c>
      <c r="AR22" s="40" t="s">
        <v>82</v>
      </c>
      <c r="AS22" s="9" t="s">
        <v>83</v>
      </c>
      <c r="AT22" s="9" t="s">
        <v>81</v>
      </c>
      <c r="AU22" s="41" t="s">
        <v>84</v>
      </c>
      <c r="AV22" s="41" t="s">
        <v>85</v>
      </c>
      <c r="AW22" s="41" t="s">
        <v>86</v>
      </c>
      <c r="AX22" s="41" t="s">
        <v>87</v>
      </c>
      <c r="AY22" s="41" t="s">
        <v>88</v>
      </c>
      <c r="AZ22" s="41" t="s">
        <v>89</v>
      </c>
      <c r="BA22" s="41" t="s">
        <v>90</v>
      </c>
      <c r="BB22" s="41" t="s">
        <v>91</v>
      </c>
      <c r="BC22" s="42" t="s">
        <v>92</v>
      </c>
      <c r="BD22" s="42" t="s">
        <v>93</v>
      </c>
      <c r="BE22" s="42" t="s">
        <v>94</v>
      </c>
      <c r="BF22" s="41" t="s">
        <v>95</v>
      </c>
      <c r="BG22" s="41" t="s">
        <v>96</v>
      </c>
      <c r="BH22" s="41" t="s">
        <v>97</v>
      </c>
      <c r="BI22" s="41" t="s">
        <v>98</v>
      </c>
      <c r="BJ22" s="41" t="s">
        <v>99</v>
      </c>
      <c r="BK22" s="41" t="s">
        <v>100</v>
      </c>
      <c r="BL22" s="41" t="s">
        <v>101</v>
      </c>
      <c r="BM22" s="43" t="s">
        <v>102</v>
      </c>
      <c r="BN22" s="41" t="s">
        <v>103</v>
      </c>
      <c r="BO22" s="41" t="s">
        <v>89</v>
      </c>
      <c r="BP22" s="41" t="s">
        <v>104</v>
      </c>
      <c r="BQ22" s="41" t="s">
        <v>61</v>
      </c>
      <c r="BR22" s="41" t="s">
        <v>173</v>
      </c>
      <c r="BS22" s="41" t="s">
        <v>213</v>
      </c>
      <c r="BT22" s="41" t="s">
        <v>214</v>
      </c>
      <c r="BU22" s="41" t="s">
        <v>216</v>
      </c>
      <c r="BV22" s="41" t="s">
        <v>215</v>
      </c>
      <c r="BW22" s="41" t="s">
        <v>217</v>
      </c>
      <c r="BX22" s="41" t="s">
        <v>218</v>
      </c>
    </row>
    <row r="23" spans="1:76" ht="15.75" thickBot="1">
      <c r="A23" s="44">
        <v>1</v>
      </c>
      <c r="B23" s="2" t="s">
        <v>170</v>
      </c>
      <c r="C23" s="2" t="s">
        <v>170</v>
      </c>
      <c r="D23" s="44" t="s">
        <v>12</v>
      </c>
      <c r="E23" s="44" t="s">
        <v>12</v>
      </c>
      <c r="F23" s="45">
        <v>5</v>
      </c>
      <c r="G23">
        <v>300</v>
      </c>
      <c r="H23" s="45">
        <f>F23*G23</f>
        <v>1500</v>
      </c>
      <c r="I23" t="s">
        <v>126</v>
      </c>
      <c r="J23" s="45">
        <v>2</v>
      </c>
      <c r="K23" s="45">
        <v>3</v>
      </c>
      <c r="L23" s="45">
        <f>H23</f>
        <v>1500</v>
      </c>
      <c r="M23" s="45">
        <f>ROUND(L23*I23%,2)</f>
        <v>30</v>
      </c>
      <c r="N23" s="45">
        <f>H23-M23</f>
        <v>1470</v>
      </c>
      <c r="O23" s="45">
        <f>ROUND(N23*J23%,2)</f>
        <v>29.4</v>
      </c>
      <c r="P23" s="45">
        <f>ROUND(N23-O23,2)</f>
        <v>1440.6</v>
      </c>
      <c r="Q23" s="45">
        <f>ROUND(P23*K23%,2)</f>
        <v>43.22</v>
      </c>
      <c r="R23" s="64">
        <f>ROUND(M23+O23+Q23,3)</f>
        <v>102.62</v>
      </c>
      <c r="S23" s="64">
        <f>(H23-R23)</f>
        <v>1397.38</v>
      </c>
      <c r="T23" s="57" t="s">
        <v>106</v>
      </c>
      <c r="U23" s="45">
        <v>0.18</v>
      </c>
      <c r="V23" s="64">
        <f>IF(OR($C$21=1,$C$21=4),ROUND(((S23*U23)/2),2),0)</f>
        <v>125.76</v>
      </c>
      <c r="W23" s="64">
        <f>IF($C$21=1,ROUND(((S23*U23)/2),2),0)</f>
        <v>125.76</v>
      </c>
      <c r="X23" s="45">
        <f>IF($C$21=2,ROUND(((S23*U23)),2),0)</f>
        <v>0</v>
      </c>
      <c r="Y23" s="45">
        <f>IF($C$21=4,ROUND(((S23*U23)/2),2),0)</f>
        <v>0</v>
      </c>
      <c r="Z23" s="46">
        <v>0</v>
      </c>
      <c r="AA23" s="45">
        <f>IF($C21=3,0,S23*Z23)</f>
        <v>0</v>
      </c>
      <c r="AB23" s="45">
        <f>V23+W23+X23+Y23+AA23</f>
        <v>251.52</v>
      </c>
      <c r="AC23" s="45">
        <f>IF($V21=1,S23+AB23,S23)</f>
        <v>1648.9</v>
      </c>
      <c r="AD23" s="45">
        <v>120</v>
      </c>
      <c r="AE23" s="45">
        <f>IF($P$21=1,(S23/$S$24)*$E$35,AD23/$AD$24*$E$35)</f>
        <v>0</v>
      </c>
      <c r="AF23" s="45"/>
      <c r="AG23" s="45">
        <f>IF($P$21=1,(S23/$S$24)*$E$37,AD23/$AD$24*$E$37)</f>
        <v>0</v>
      </c>
      <c r="AH23" s="45">
        <f>IF($P$21=1,(S23/$S$24)*$E$37,AD23/$AD$24*$E$37)</f>
        <v>0</v>
      </c>
      <c r="AI23" s="45">
        <f>S23*$M$21</f>
        <v>1397.38</v>
      </c>
      <c r="AJ23" s="45">
        <f>IF($C$21=3,0,AG23+AH23)</f>
        <v>0</v>
      </c>
      <c r="AK23" s="45">
        <f>IF($C$21=3,AE23+AG23+AH23,0)</f>
        <v>0</v>
      </c>
      <c r="AL23" s="45">
        <v>1</v>
      </c>
      <c r="AM23" s="45">
        <f>F23/AL23</f>
        <v>5</v>
      </c>
      <c r="AN23" s="45">
        <f>AI23/AM23</f>
        <v>279.476</v>
      </c>
      <c r="AO23" s="45">
        <f>AJ23/AM23</f>
        <v>0</v>
      </c>
      <c r="AP23" s="45">
        <f>AK23/AM23</f>
        <v>0</v>
      </c>
      <c r="AQ23" s="57" t="s">
        <v>12</v>
      </c>
      <c r="AR23">
        <f>ROUND(AN23+AO23+AP23,5)</f>
        <v>279.476</v>
      </c>
      <c r="AS23" s="86" t="s">
        <v>107</v>
      </c>
      <c r="AT23" s="58" t="s">
        <v>12</v>
      </c>
      <c r="AU23" t="s">
        <v>108</v>
      </c>
      <c r="AV23" t="s">
        <v>172</v>
      </c>
      <c r="AW23" s="47">
        <f>AM23</f>
        <v>5</v>
      </c>
      <c r="AX23" s="47">
        <f>ROUND(AR23,2)</f>
        <v>279.48</v>
      </c>
      <c r="AY23" s="47">
        <f>AU23+AW23</f>
        <v>5</v>
      </c>
      <c r="AZ23" s="47">
        <f>ROUND(((AU23*AV23)+(AW23*AX23))/(AU23+AW23),5)</f>
        <v>279.48</v>
      </c>
      <c r="BA23" s="3"/>
      <c r="BB23" s="3" t="s">
        <v>110</v>
      </c>
      <c r="BC23" s="6" t="s">
        <v>113</v>
      </c>
      <c r="BD23" s="59" t="s">
        <v>143</v>
      </c>
      <c r="BE23" s="59" t="s">
        <v>144</v>
      </c>
      <c r="BF23" s="3"/>
      <c r="BG23" s="3"/>
      <c r="BH23" s="3"/>
      <c r="BI23" s="47"/>
      <c r="BL23" s="47" t="s">
        <v>147</v>
      </c>
      <c r="BM23" t="s">
        <v>182</v>
      </c>
      <c r="BN23" t="s">
        <v>181</v>
      </c>
      <c r="BO23" s="47">
        <f>ROUND((((AW23*AZ23)+(BN23*BM23))/(AW23+BN23)),5)</f>
        <v>187.52991</v>
      </c>
      <c r="BP23" s="4">
        <f>BN23+AW23</f>
        <v>425</v>
      </c>
      <c r="BQ23" s="49">
        <v>88363222</v>
      </c>
      <c r="BR23" s="4">
        <f>G23+100</f>
        <v>400</v>
      </c>
      <c r="BS23" s="66" t="s">
        <v>219</v>
      </c>
      <c r="BT23" s="66" t="s">
        <v>219</v>
      </c>
      <c r="BU23" s="66">
        <v>5</v>
      </c>
      <c r="BV23" s="66">
        <v>200</v>
      </c>
      <c r="BW23" s="109">
        <f>BU23*BV23</f>
        <v>1000</v>
      </c>
      <c r="BX23" s="110">
        <f>BW23-BT23</f>
        <v>625</v>
      </c>
    </row>
    <row r="24" spans="1:76" ht="15.75" thickBot="1">
      <c r="A24" s="7"/>
      <c r="B24" s="5"/>
      <c r="C24" s="5"/>
      <c r="D24" s="50" t="s">
        <v>41</v>
      </c>
      <c r="E24" s="50"/>
      <c r="F24" s="50"/>
      <c r="G24" s="51"/>
      <c r="H24" s="52">
        <f>SUM(H23:H23)</f>
        <v>1500</v>
      </c>
      <c r="I24" s="44"/>
      <c r="J24" s="44"/>
      <c r="K24" s="44"/>
      <c r="L24" s="44"/>
      <c r="M24" s="44"/>
      <c r="N24" s="44"/>
      <c r="O24" s="44"/>
      <c r="P24" s="44"/>
      <c r="Q24" s="44"/>
      <c r="R24" s="52">
        <f>SUM(R23:R23)</f>
        <v>102.62</v>
      </c>
      <c r="S24" s="53">
        <f>SUM(S23:S23)</f>
        <v>1397.38</v>
      </c>
      <c r="T24" s="52"/>
      <c r="U24" s="52"/>
      <c r="V24" s="54">
        <f>SUM(V23:V23)</f>
        <v>125.76</v>
      </c>
      <c r="W24" s="54">
        <f>SUM(W23:W23)</f>
        <v>125.76</v>
      </c>
      <c r="X24" s="54">
        <f>SUM(X23:X23)</f>
        <v>0</v>
      </c>
      <c r="Y24" s="54"/>
      <c r="Z24" s="54"/>
      <c r="AA24" s="54"/>
      <c r="AB24" s="52">
        <f>SUM(AB23:AB23)</f>
        <v>251.52</v>
      </c>
      <c r="AC24" s="55">
        <f>SUM(AC23:AC23)</f>
        <v>1648.9</v>
      </c>
      <c r="AD24" s="56">
        <f>SUM(AD23:AD23)</f>
        <v>120</v>
      </c>
      <c r="AE24" s="56">
        <f>SUM(AE23:AE23)</f>
        <v>0</v>
      </c>
      <c r="AF24" s="55"/>
      <c r="AG24" s="56">
        <f>SUM(AG23:AG23)</f>
        <v>0</v>
      </c>
      <c r="AH24" s="56">
        <f>SUM(AH23:AH23)</f>
        <v>0</v>
      </c>
      <c r="AI24" s="56">
        <f>SUM(AI23:AI23)</f>
        <v>1397.38</v>
      </c>
      <c r="AJ24" s="56">
        <f>SUM(AJ23:AJ23)</f>
        <v>0</v>
      </c>
      <c r="AK24" s="56">
        <f>SUM(AK23:AK23)</f>
        <v>0</v>
      </c>
      <c r="AL24" s="55"/>
      <c r="AM24" s="55"/>
      <c r="AN24" s="55"/>
      <c r="AO24" s="55"/>
      <c r="AP24" s="55"/>
      <c r="AQ24" s="55"/>
      <c r="AR24" s="55"/>
      <c r="AS24" s="7"/>
    </row>
    <row r="25" spans="1:76">
      <c r="A25" s="7"/>
      <c r="B25" s="5"/>
      <c r="C25" s="5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</row>
  </sheetData>
  <mergeCells count="3">
    <mergeCell ref="A1:AC1"/>
    <mergeCell ref="B19:G19"/>
    <mergeCell ref="A21:B2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E7"/>
  <sheetViews>
    <sheetView topLeftCell="E1" workbookViewId="0">
      <selection activeCell="L8" sqref="L8"/>
    </sheetView>
  </sheetViews>
  <sheetFormatPr defaultRowHeight="15"/>
  <cols>
    <col min="1" max="1" width="4.85546875" style="90" bestFit="1" customWidth="1"/>
    <col min="2" max="2" width="23" style="90" bestFit="1" customWidth="1"/>
    <col min="3" max="3" width="28.7109375" style="90" bestFit="1" customWidth="1"/>
    <col min="4" max="4" width="33.42578125" style="90" bestFit="1" customWidth="1"/>
    <col min="5" max="5" width="28.7109375" style="90" bestFit="1" customWidth="1"/>
    <col min="6" max="6" width="41.5703125" style="90" bestFit="1" customWidth="1"/>
    <col min="7" max="8" width="18.42578125" style="90" customWidth="1"/>
    <col min="9" max="9" width="14.5703125" style="90" bestFit="1" customWidth="1"/>
    <col min="10" max="10" width="17.42578125" style="90" customWidth="1"/>
    <col min="11" max="11" width="13.5703125" style="90" bestFit="1" customWidth="1"/>
    <col min="12" max="12" width="21.5703125" style="90" bestFit="1" customWidth="1"/>
    <col min="13" max="13" width="21.5703125" style="90" customWidth="1"/>
    <col min="14" max="14" width="16" style="90" bestFit="1" customWidth="1"/>
    <col min="15" max="15" width="18.140625" style="90" bestFit="1" customWidth="1"/>
    <col min="16" max="16" width="16.7109375" style="90" bestFit="1" customWidth="1"/>
    <col min="17" max="17" width="17" style="90" bestFit="1" customWidth="1"/>
    <col min="18" max="18" width="16.5703125" style="90" bestFit="1" customWidth="1"/>
    <col min="19" max="19" width="17" style="90" bestFit="1" customWidth="1"/>
    <col min="20" max="21" width="9.140625" style="90"/>
    <col min="22" max="22" width="17.42578125" style="90" bestFit="1" customWidth="1"/>
    <col min="23" max="23" width="14.140625" style="90" bestFit="1" customWidth="1"/>
    <col min="24" max="24" width="9.140625" style="90"/>
    <col min="25" max="25" width="14.140625" style="90" bestFit="1" customWidth="1"/>
    <col min="26" max="27" width="9.140625" style="90"/>
    <col min="28" max="28" width="15" style="90" bestFit="1" customWidth="1"/>
    <col min="29" max="30" width="9.140625" style="90"/>
    <col min="31" max="31" width="20" style="90" bestFit="1" customWidth="1"/>
    <col min="32" max="16384" width="9.140625" style="90"/>
  </cols>
  <sheetData>
    <row r="1" spans="1:31" ht="15.75" thickBot="1">
      <c r="A1" s="89" t="s">
        <v>183</v>
      </c>
      <c r="B1" s="89" t="s">
        <v>184</v>
      </c>
      <c r="C1" s="89" t="s">
        <v>185</v>
      </c>
      <c r="D1" s="89" t="s">
        <v>186</v>
      </c>
      <c r="E1" s="89" t="s">
        <v>187</v>
      </c>
      <c r="F1" s="89" t="s">
        <v>188</v>
      </c>
      <c r="G1" s="89" t="s">
        <v>189</v>
      </c>
      <c r="H1" s="89" t="s">
        <v>190</v>
      </c>
      <c r="I1" s="89" t="s">
        <v>191</v>
      </c>
      <c r="J1" s="89" t="s">
        <v>192</v>
      </c>
      <c r="K1" s="90" t="s">
        <v>194</v>
      </c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91"/>
      <c r="X1" s="91"/>
      <c r="Y1" s="91"/>
      <c r="Z1" s="92"/>
      <c r="AA1" s="92"/>
      <c r="AB1" s="89"/>
      <c r="AC1" s="92"/>
      <c r="AD1" s="92"/>
      <c r="AE1" s="92"/>
    </row>
    <row r="2" spans="1:31" ht="15.75" thickBot="1">
      <c r="A2" s="6">
        <v>1</v>
      </c>
      <c r="B2" s="93" t="s">
        <v>193</v>
      </c>
      <c r="C2" s="94">
        <v>5000000001</v>
      </c>
      <c r="D2" s="94" t="s">
        <v>195</v>
      </c>
      <c r="E2" s="94" t="s">
        <v>198</v>
      </c>
      <c r="F2" s="96" t="s">
        <v>199</v>
      </c>
      <c r="G2" s="90" t="s">
        <v>108</v>
      </c>
      <c r="H2" s="90" t="s">
        <v>108</v>
      </c>
      <c r="I2" s="93" t="e">
        <f>ROUND(J3-I4,2)</f>
        <v>#REF!</v>
      </c>
      <c r="J2" s="59">
        <v>0</v>
      </c>
      <c r="K2" s="6"/>
      <c r="L2" s="6"/>
      <c r="M2" s="6"/>
      <c r="O2" s="93"/>
      <c r="P2" s="93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31" ht="15.75" thickBot="1">
      <c r="A3" s="6">
        <v>2</v>
      </c>
      <c r="B3" s="93" t="s">
        <v>193</v>
      </c>
      <c r="C3" s="94">
        <v>5000000002</v>
      </c>
      <c r="D3" s="95" t="s">
        <v>178</v>
      </c>
      <c r="E3" s="96" t="s">
        <v>198</v>
      </c>
      <c r="F3" s="96" t="s">
        <v>199</v>
      </c>
      <c r="G3" s="90" t="s">
        <v>108</v>
      </c>
      <c r="H3" s="90" t="s">
        <v>108</v>
      </c>
      <c r="I3" s="59">
        <v>0</v>
      </c>
      <c r="J3" s="59">
        <f>ROUND(SUM(G3+H3)*K1,2)</f>
        <v>0</v>
      </c>
    </row>
    <row r="4" spans="1:31" ht="15.75" thickBot="1">
      <c r="A4" s="6">
        <v>3</v>
      </c>
      <c r="B4" s="93" t="s">
        <v>193</v>
      </c>
      <c r="C4" s="94">
        <v>1000000003</v>
      </c>
      <c r="D4" s="94" t="s">
        <v>63</v>
      </c>
      <c r="E4" s="94" t="s">
        <v>198</v>
      </c>
      <c r="F4" s="96" t="s">
        <v>199</v>
      </c>
      <c r="G4" s="90" t="e">
        <f>[1]BankReceiptChargesUSD!I3</f>
        <v>#REF!</v>
      </c>
      <c r="H4" s="90" t="s">
        <v>108</v>
      </c>
      <c r="I4" s="93" t="e">
        <f>ROUND(SUM(G4+H4),2)</f>
        <v>#REF!</v>
      </c>
      <c r="J4" s="59">
        <v>0</v>
      </c>
    </row>
    <row r="5" spans="1:31" ht="15.75" thickBot="1">
      <c r="A5" s="90">
        <v>4</v>
      </c>
      <c r="B5" s="93" t="s">
        <v>193</v>
      </c>
      <c r="C5" s="94">
        <v>1000000004</v>
      </c>
      <c r="D5" s="94" t="s">
        <v>64</v>
      </c>
      <c r="E5" s="94" t="s">
        <v>198</v>
      </c>
      <c r="F5" s="96" t="s">
        <v>199</v>
      </c>
    </row>
    <row r="6" spans="1:31" ht="15.75" thickBot="1">
      <c r="A6" s="90">
        <v>5</v>
      </c>
      <c r="B6" s="93" t="s">
        <v>193</v>
      </c>
      <c r="C6" s="94">
        <v>1000000006</v>
      </c>
      <c r="D6" s="94" t="s">
        <v>196</v>
      </c>
      <c r="E6" s="94" t="s">
        <v>198</v>
      </c>
      <c r="F6" s="96" t="s">
        <v>199</v>
      </c>
    </row>
    <row r="7" spans="1:31" ht="15.75" thickBot="1">
      <c r="A7" s="90">
        <v>6</v>
      </c>
      <c r="B7" s="93" t="s">
        <v>193</v>
      </c>
      <c r="C7" s="95">
        <v>1000000001</v>
      </c>
      <c r="D7" s="94" t="s">
        <v>197</v>
      </c>
      <c r="E7" s="94" t="s">
        <v>198</v>
      </c>
      <c r="F7" s="96" t="s">
        <v>199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selection activeCell="F13" sqref="F13"/>
    </sheetView>
  </sheetViews>
  <sheetFormatPr defaultColWidth="9.140625" defaultRowHeight="14.25"/>
  <cols>
    <col min="1" max="1" width="15.28515625" style="66" customWidth="1"/>
    <col min="2" max="3" width="15.140625" style="66" customWidth="1"/>
    <col min="4" max="6" width="14.5703125" style="66" customWidth="1"/>
    <col min="7" max="7" width="19.42578125" style="66" bestFit="1" customWidth="1"/>
    <col min="8" max="8" width="16.7109375" style="66" customWidth="1"/>
    <col min="9" max="16384" width="9.140625" style="66"/>
  </cols>
  <sheetData>
    <row r="1" spans="1:8" ht="27.75" customHeight="1">
      <c r="A1" s="101" t="s">
        <v>211</v>
      </c>
      <c r="B1" s="101"/>
      <c r="C1" s="101"/>
      <c r="D1" s="101"/>
      <c r="E1" s="99"/>
      <c r="F1" s="99"/>
      <c r="G1" s="99"/>
    </row>
    <row r="3" spans="1:8" ht="19.899999999999999" customHeight="1">
      <c r="A3" s="105" t="s">
        <v>212</v>
      </c>
      <c r="B3" s="105"/>
      <c r="C3" s="105"/>
      <c r="D3" s="105"/>
      <c r="E3" s="105"/>
      <c r="F3" s="105"/>
      <c r="G3" s="105"/>
      <c r="H3" s="105"/>
    </row>
    <row r="4" spans="1:8" s="108" customFormat="1">
      <c r="A4" s="106" t="s">
        <v>213</v>
      </c>
      <c r="B4" s="106" t="s">
        <v>214</v>
      </c>
      <c r="C4" s="106" t="s">
        <v>216</v>
      </c>
      <c r="D4" s="106" t="s">
        <v>215</v>
      </c>
      <c r="E4" s="106"/>
      <c r="F4" s="106"/>
      <c r="G4" s="106" t="s">
        <v>217</v>
      </c>
      <c r="H4" s="107" t="s">
        <v>218</v>
      </c>
    </row>
    <row r="5" spans="1:8">
      <c r="A5" s="66" t="s">
        <v>219</v>
      </c>
      <c r="B5" s="66" t="s">
        <v>219</v>
      </c>
      <c r="C5" s="66">
        <v>5</v>
      </c>
      <c r="D5" s="66">
        <v>200</v>
      </c>
      <c r="G5" s="109">
        <f>C5*D5</f>
        <v>1000</v>
      </c>
      <c r="H5" s="110">
        <f>G5-B5</f>
        <v>625</v>
      </c>
    </row>
  </sheetData>
  <mergeCells count="2">
    <mergeCell ref="A1:D1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PurchaseBill</vt:lpstr>
      <vt:lpstr>PurchaseBillGRNIGST</vt:lpstr>
      <vt:lpstr>PurchaseBillGRNWithExpense</vt:lpstr>
      <vt:lpstr>PBDeviation</vt:lpstr>
      <vt:lpstr>Sheet2</vt:lpstr>
      <vt:lpstr>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Premkumar.K</dc:creator>
  <cp:lastModifiedBy>Durairaj.K</cp:lastModifiedBy>
  <dcterms:created xsi:type="dcterms:W3CDTF">2024-08-28T12:59:00Z</dcterms:created>
  <dcterms:modified xsi:type="dcterms:W3CDTF">2026-03-09T11:55:29Z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DF1FCE896026400A82FB33CE9FFFC117_12</vt:lpwstr>
  </property>
  <property fmtid="{D5CDD505-2E9C-101B-9397-08002B2CF9AE}" pid="3" name="KSOProductBuildVer">
    <vt:lpwstr>1033-12.2.0.17562</vt:lpwstr>
  </property>
</Properties>
</file>