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4" activeTab="14"/>
  </bookViews>
  <sheets>
    <sheet name="ImportPoToGRNUDGeneralSameUOM" sheetId="11" r:id="rId1"/>
    <sheet name="ImportPoToGRNUDServiceSameUOM" sheetId="12" r:id="rId2"/>
    <sheet name="ImportPoToGRNRCGeneralSameUOM" sheetId="13" r:id="rId3"/>
    <sheet name="ImportPoToGRNRCServiceSameUOM" sheetId="14" r:id="rId4"/>
    <sheet name="ImportPoToGRNPLGeneralSameUOM" sheetId="15" r:id="rId5"/>
    <sheet name="ImportPoToGRNPLServiceSameUOM" sheetId="16" r:id="rId6"/>
    <sheet name="ImportDirectGRNUDGeneralSameUOM" sheetId="2" r:id="rId7"/>
    <sheet name="ImportDirectGRNUDGeneralDiffUOM" sheetId="3" r:id="rId8"/>
    <sheet name="ImportDirectGRNUDServiceSameUOM" sheetId="4" r:id="rId9"/>
    <sheet name="ImportDirectGRNRCGeneralSameUOM" sheetId="5" r:id="rId10"/>
    <sheet name="ImportDirectGRNRCGeneralDiffUOM" sheetId="6" r:id="rId11"/>
    <sheet name="ImportDirectGRNRCServiceSameUOM" sheetId="7" r:id="rId12"/>
    <sheet name="ImportDirectGRNPLGeneralSameUOM" sheetId="8" r:id="rId13"/>
    <sheet name="ImportDirectGRNPLGeneralDiffUOM" sheetId="9" r:id="rId14"/>
    <sheet name="ImportDirectGRNPLServiceSameUOM" sheetId="1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<sst xmlns="http://schemas.openxmlformats.org/spreadsheetml/2006/main" count="2138" uniqueCount="187">
  <si>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</si>
  <si>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</si>
  <si>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</si>
  <si>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</si>
  <si>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</si>
  <si>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</si>
  <si>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</si>
  <si>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</si>
  <si>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</si>
  <si>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</si>
  <si>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</si>
  <si>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</si>
  <si>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</si>
  <si>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</si>
  <si>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</si>
  <si>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</si>
  <si>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</si>
  <si>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</si>
  <si>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</si>
  <si>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</si>
  <si>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</si>
  <si>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</si>
  <si>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</si>
  <si>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</si>
  <si>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</si>
  <si>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</si>
  <si>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</si>
  <si>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</si>
  <si>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</si>
  <si>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</si>
  <si>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</si>
  <si>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</si>
  <si>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</si>
  <si>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</si>
  <si>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</si>
  <si>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</si>
  <si>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</si>
  <si>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</si>
  <si>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</si>
  <si>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</si>
  <si>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</si>
  <si>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</si>
  <si>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</si>
  <si>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</si>
  <si>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</si>
  <si>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</si>
  <si>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</si>
  <si>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</si>
  <si>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</si>
  <si>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</si>
  <si>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</si>
  <si>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</si>
  <si>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</si>
  <si>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</si>
  <si>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</si>
  <si>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</si>
  <si>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</si>
  <si>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</si>
  <si>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</si>
  <si>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</si>
  <si>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</si>
  <si>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</si>
  <si>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</si>
  <si>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</si>
  <si>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</si>
  <si>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</si>
  <si>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</si>
  <si>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</si>
  <si>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</si>
  <si>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</si>
  <si>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</si>
  <si>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</si>
  <si>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</si>
  <si>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</si>
  <si>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</si>
  <si>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</si>
  <si>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</si>
  <si>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</si>
  <si>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</si>
  <si>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</si>
  <si>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</si>
  <si>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</si>
  <si>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</si>
  <si>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</si>
  <si>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</si>
  <si>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</si>
  <si>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</si>
  <si>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</si>
  <si>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No.</t>
  </si>
  <si>
    <t>Item Desc</t>
  </si>
  <si>
    <t>Qty</t>
  </si>
  <si>
    <t>VD Asbl. Val.</t>
  </si>
  <si>
    <t>Pur. Value</t>
  </si>
  <si>
    <t>Tax%</t>
  </si>
  <si>
    <t>Unit cost (Stk. UOM)</t>
  </si>
  <si>
    <t>GWL-WAL-SERVICE-01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</si>
  <si>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</si>
  <si>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</si>
  <si>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</si>
  <si>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</si>
  <si>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</si>
  <si>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</si>
  <si>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</si>
  <si>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</si>
  <si>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</si>
  <si>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</si>
  <si>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</si>
  <si>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</si>
  <si>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</si>
  <si>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</si>
  <si>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</si>
  <si>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</si>
  <si>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</si>
  <si>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</si>
  <si>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</si>
  <si>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</si>
  <si>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</si>
  <si>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</si>
  <si>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</si>
  <si>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</si>
  <si>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GWL-RM-WAL-01 RateContract</t>
  </si>
  <si>
    <t>50</t>
  </si>
  <si>
    <t>15</t>
  </si>
  <si>
    <t>41.515</t>
  </si>
  <si>
    <t>GWL-WAL-SERVICE-RATECONTRACT-01</t>
  </si>
  <si>
    <t>GWL-RM-WAL-01 PriceList</t>
  </si>
  <si>
    <t>10</t>
  </si>
  <si>
    <t>GWL-WAL-SERVICE-PRICELIST-01</t>
  </si>
  <si>
    <t>Scenario  : Local Purchase - Stock UOM and Purchase UOM (Similar)</t>
  </si>
  <si>
    <t xml:space="preserve">Purchase Request 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</si>
  <si>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</si>
  <si>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</si>
  <si>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</si>
  <si>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</si>
  <si>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</si>
  <si>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</si>
  <si>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</si>
  <si>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</si>
  <si>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</si>
  <si>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</si>
  <si>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</si>
  <si>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</si>
  <si>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</si>
  <si>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</si>
  <si>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</si>
  <si>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</si>
  <si>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</si>
  <si>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</si>
  <si>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</si>
  <si>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</si>
  <si>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</si>
  <si>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</si>
  <si>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</si>
  <si>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</si>
  <si>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</si>
  <si>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</si>
  <si>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</si>
  <si>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</si>
  <si>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</si>
  <si>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</si>
  <si>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250</t>
  </si>
  <si>
    <t>2</t>
  </si>
  <si>
    <t>HSN1</t>
  </si>
  <si>
    <t>INS</t>
  </si>
  <si>
    <t>0</t>
  </si>
  <si>
    <t>GWL-RM-WAL-FP-001-DIS-UOM</t>
  </si>
  <si>
    <t>455</t>
  </si>
  <si>
    <t>330.98625</t>
  </si>
  <si>
    <t>NA</t>
  </si>
  <si>
    <t>R100</t>
  </si>
  <si>
    <t>269.19614</t>
  </si>
  <si>
    <t>24</t>
  </si>
  <si>
    <t>200</t>
  </si>
  <si>
    <t>187.68</t>
  </si>
  <si>
    <t>186.89799</t>
  </si>
  <si>
    <t>80</t>
  </si>
  <si>
    <t>GWL-RM-WAL-01 RateContract-DIS-UOM</t>
  </si>
  <si>
    <t>121.18128</t>
  </si>
  <si>
    <t>147.00901</t>
  </si>
  <si>
    <t>687</t>
  </si>
  <si>
    <t>186.32</t>
  </si>
  <si>
    <t>4</t>
  </si>
  <si>
    <t>GWL-RM-WAL-01 PriceList-DIS-UOM</t>
  </si>
  <si>
    <t>16</t>
  </si>
  <si>
    <t>185.81481</t>
  </si>
  <si>
    <t>184.66239</t>
  </si>
  <si>
    <t>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</si>
</sst>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</numFmts>
  <fonts count="25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82909634693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2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2" fillId="0" borderId="24" applyNumberFormat="0" applyFill="0" applyAlignment="0" applyProtection="0">
      <alignment vertical="center"/>
    </xf>
    <xf numFmtId="0" fontId="13" fillId="0" borderId="2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26" applyNumberFormat="0" applyAlignment="0" applyProtection="0">
      <alignment vertical="center"/>
    </xf>
    <xf numFmtId="0" fontId="15" fillId="15" borderId="27" applyNumberFormat="0" applyAlignment="0" applyProtection="0">
      <alignment vertical="center"/>
    </xf>
    <xf numFmtId="0" fontId="16" fillId="15" borderId="26" applyNumberFormat="0" applyAlignment="0" applyProtection="0">
      <alignment vertical="center"/>
    </xf>
    <xf numFmtId="0" fontId="17" fillId="16" borderId="28" applyNumberFormat="0" applyAlignment="0" applyProtection="0">
      <alignment vertical="center"/>
    </xf>
    <xf numFmtId="0" fontId="18" fillId="0" borderId="29" applyNumberFormat="0" applyFill="0" applyAlignment="0" applyProtection="0">
      <alignment vertical="center"/>
    </xf>
    <xf numFmtId="0" fontId="19" fillId="0" borderId="3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2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0" fillId="0" borderId="0" xfId="49" applyFill="1" applyAlignment="1">
      <alignment vertical="center"/>
    </xf>
    <xf numFmtId="0" fontId="2" fillId="0" borderId="0" xfId="49" applyFont="1" applyFill="1" applyBorder="1" applyAlignment="1"/>
    <xf numFmtId="0" fontId="2" fillId="0" borderId="0" xfId="49" applyFont="1" applyFill="1" applyBorder="1" applyAlignment="1">
      <alignment horizontal="center"/>
    </xf>
    <xf numFmtId="0" fontId="3" fillId="0" borderId="0" xfId="49" applyFont="1" applyFill="1" applyBorder="1" applyAlignment="1">
      <alignment horizontal="left" vertical="center"/>
    </xf>
    <xf numFmtId="0" fontId="2" fillId="0" borderId="0" xfId="49" applyFont="1" applyFill="1" applyBorder="1" applyAlignment="1">
      <alignment horizontal="center" vertical="center"/>
    </xf>
    <xf numFmtId="0" fontId="2" fillId="0" borderId="0" xfId="49" applyFont="1" applyFill="1" applyBorder="1" applyAlignment="1">
      <alignment horizontal="left" vertical="center"/>
    </xf>
    <xf numFmtId="0" fontId="2" fillId="2" borderId="13" xfId="49" applyFont="1" applyFill="1" applyBorder="1" applyAlignment="1">
      <alignment horizontal="center" vertical="center"/>
    </xf>
    <xf numFmtId="0" fontId="3" fillId="0" borderId="13" xfId="49" applyFont="1" applyFill="1" applyBorder="1" applyAlignment="1"/>
    <xf numFmtId="0" fontId="3" fillId="0" borderId="13" xfId="49" applyNumberFormat="1" applyFont="1" applyFill="1" applyBorder="1" applyAlignment="1"/>
    <xf numFmtId="0" fontId="3" fillId="0" borderId="0" xfId="49" applyFont="1" applyFill="1" applyAlignment="1"/>
    <xf numFmtId="0" fontId="0" fillId="0" borderId="0" xfId="49" applyFill="1" applyBorder="1" applyAlignment="1"/>
    <xf numFmtId="0" fontId="2" fillId="3" borderId="14" xfId="49" applyFont="1" applyFill="1" applyBorder="1" applyAlignment="1"/>
    <xf numFmtId="0" fontId="2" fillId="3" borderId="15" xfId="49" applyFont="1" applyFill="1" applyBorder="1" applyAlignment="1"/>
    <xf numFmtId="0" fontId="2" fillId="3" borderId="13" xfId="49" applyNumberFormat="1" applyFont="1" applyFill="1" applyBorder="1" applyAlignment="1"/>
    <xf numFmtId="0" fontId="3" fillId="0" borderId="21" xfId="49" applyFont="1" applyFill="1" applyBorder="1" applyAlignment="1">
      <alignment horizontal="left"/>
    </xf>
    <xf numFmtId="0" fontId="3" fillId="0" borderId="15" xfId="49" applyFont="1" applyFill="1" applyBorder="1" applyAlignment="1">
      <alignment horizontal="left"/>
    </xf>
    <xf numFmtId="0" fontId="3" fillId="0" borderId="0" xfId="49" applyFont="1" applyFill="1" applyBorder="1" applyAlignment="1"/>
    <xf numFmtId="0" fontId="2" fillId="4" borderId="13" xfId="49" applyFont="1" applyFill="1" applyBorder="1" applyAlignment="1">
      <alignment horizontal="center" vertical="center"/>
    </xf>
    <xf numFmtId="0" fontId="2" fillId="9" borderId="13" xfId="49" applyFont="1" applyFill="1" applyBorder="1" applyAlignment="1">
      <alignment horizontal="center" vertical="center"/>
    </xf>
    <xf numFmtId="0" fontId="2" fillId="0" borderId="13" xfId="49" applyFont="1" applyFill="1" applyBorder="1" applyAlignment="1">
      <alignment horizontal="right"/>
    </xf>
    <xf numFmtId="0" fontId="2" fillId="10" borderId="21" xfId="49" applyFont="1" applyFill="1" applyBorder="1" applyAlignment="1">
      <alignment horizontal="center"/>
    </xf>
    <xf numFmtId="0" fontId="2" fillId="10" borderId="14" xfId="49" applyFont="1" applyFill="1" applyBorder="1" applyAlignment="1">
      <alignment horizontal="center"/>
    </xf>
    <xf numFmtId="0" fontId="2" fillId="10" borderId="15" xfId="49" applyFont="1" applyFill="1" applyBorder="1" applyAlignment="1">
      <alignment horizontal="center"/>
    </xf>
    <xf numFmtId="0" fontId="3" fillId="0" borderId="12" xfId="49" applyFont="1" applyFill="1" applyBorder="1" applyAlignment="1"/>
    <xf numFmtId="0" fontId="2" fillId="7" borderId="13" xfId="49" applyFont="1" applyFill="1" applyBorder="1" applyAlignment="1">
      <alignment horizontal="right"/>
    </xf>
    <xf numFmtId="0" fontId="2" fillId="6" borderId="13" xfId="49" applyFont="1" applyFill="1" applyBorder="1" applyAlignment="1">
      <alignment horizontal="center" vertical="center"/>
    </xf>
    <xf numFmtId="2" fontId="3" fillId="0" borderId="13" xfId="49" applyNumberFormat="1" applyFont="1" applyFill="1" applyBorder="1" applyAlignment="1"/>
    <xf numFmtId="0" fontId="2" fillId="3" borderId="13" xfId="49" applyFont="1" applyFill="1" applyBorder="1" applyAlignment="1"/>
    <xf numFmtId="2" fontId="2" fillId="3" borderId="13" xfId="49" applyNumberFormat="1" applyFont="1" applyFill="1" applyBorder="1" applyAlignment="1"/>
    <xf numFmtId="0" fontId="2" fillId="6" borderId="12" xfId="49" applyFont="1" applyFill="1" applyBorder="1" applyAlignment="1">
      <alignment horizontal="center" vertical="center"/>
    </xf>
    <xf numFmtId="0" fontId="2" fillId="7" borderId="13" xfId="49" applyFont="1" applyFill="1" applyBorder="1" applyAlignment="1">
      <alignment horizontal="center" vertical="center"/>
    </xf>
    <xf numFmtId="181" fontId="3" fillId="0" borderId="13" xfId="49" applyNumberFormat="1" applyFont="1" applyFill="1" applyBorder="1" applyAlignment="1"/>
    <xf numFmtId="0" fontId="2" fillId="7" borderId="13" xfId="49" applyFont="1" applyFill="1" applyBorder="1" applyAlignment="1"/>
    <xf numFmtId="2" fontId="2" fillId="7" borderId="13" xfId="49" applyNumberFormat="1" applyFont="1" applyFill="1" applyBorder="1" applyAlignment="1"/>
    <xf numFmtId="180" fontId="3" fillId="0" borderId="13" xfId="49" applyNumberFormat="1" applyFont="1" applyFill="1" applyBorder="1" applyAlignment="1"/>
    <xf numFmtId="0" fontId="2" fillId="8" borderId="13" xfId="49" applyFont="1" applyFill="1" applyBorder="1" applyAlignment="1">
      <alignment horizontal="center" vertical="center" wrapText="1"/>
    </xf>
    <xf numFmtId="0" fontId="2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/>
    <xf numFmtId="0" fontId="5" fillId="11" borderId="22" xfId="49" applyFont="1" applyFill="1" applyBorder="1" applyAlignment="1">
      <alignment vertical="center"/>
    </xf>
    <xf numFmtId="0" fontId="3" fillId="0" borderId="5" xfId="49" applyNumberFormat="1" applyFont="1" applyFill="1" applyBorder="1" applyAlignment="1"/>
    <xf numFmtId="0" fontId="0" fillId="0" borderId="0" xfId="49" applyFill="1" applyAlignment="1"/>
    <xf numFmtId="0" fontId="3" fillId="2" borderId="16" xfId="49" applyFont="1" applyFill="1" applyBorder="1" applyAlignment="1"/>
    <xf numFmtId="2" fontId="3" fillId="0" borderId="5" xfId="49" applyNumberFormat="1" applyFont="1" applyFill="1" applyBorder="1" applyAlignment="1"/>
    <xf numFmtId="180" fontId="3" fillId="0" borderId="5" xfId="49" applyNumberFormat="1" applyFont="1" applyFill="1" applyBorder="1" applyAlignment="1"/>
    <xf numFmtId="0" fontId="0" fillId="0" borderId="5" xfId="49" applyNumberFormat="1" applyFill="1" applyBorder="1" applyAlignment="1"/>
    <xf numFmtId="0" fontId="0" fillId="0" borderId="17" xfId="49" applyNumberFormat="1" applyFill="1" applyBorder="1" applyAlignment="1"/>
    <xf numFmtId="0" fontId="0" fillId="0" borderId="17" xfId="49" applyNumberFormat="1" applyFont="1" applyFill="1" applyBorder="1" applyAlignment="1">
      <alignment vertical="center"/>
    </xf>
    <xf numFmtId="0" fontId="5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>
      <alignment vertical="center"/>
    </xf>
    <xf numFmtId="0" fontId="2" fillId="2" borderId="12" xfId="49" applyFont="1" applyFill="1" applyBorder="1" applyAlignment="1">
      <alignment horizontal="center" vertical="center"/>
    </xf>
    <xf numFmtId="0" fontId="2" fillId="2" borderId="12" xfId="49" applyFont="1" applyFill="1" applyBorder="1" applyAlignment="1">
      <alignment horizontal="left" vertical="center"/>
    </xf>
    <xf numFmtId="0" fontId="2" fillId="2" borderId="12" xfId="49" applyFont="1" applyFill="1" applyBorder="1" applyAlignment="1">
      <alignment horizontal="center" vertical="center" wrapText="1"/>
    </xf>
    <xf numFmtId="0" fontId="2" fillId="4" borderId="12" xfId="49" applyFont="1" applyFill="1" applyBorder="1" applyAlignment="1">
      <alignment horizontal="center" vertical="center"/>
    </xf>
    <xf numFmtId="0" fontId="2" fillId="12" borderId="12" xfId="49" applyFont="1" applyFill="1" applyBorder="1" applyAlignment="1">
      <alignment horizontal="center" vertical="center"/>
    </xf>
    <xf numFmtId="0" fontId="2" fillId="7" borderId="12" xfId="49" applyFont="1" applyFill="1" applyBorder="1" applyAlignment="1">
      <alignment horizontal="center" vertical="center"/>
    </xf>
    <xf numFmtId="0" fontId="2" fillId="7" borderId="12" xfId="49" applyFont="1" applyFill="1" applyBorder="1" applyAlignment="1">
      <alignment horizontal="center" vertical="center" wrapText="1"/>
    </xf>
    <xf numFmtId="0" fontId="2" fillId="8" borderId="12" xfId="49" applyFont="1" applyFill="1" applyBorder="1" applyAlignment="1">
      <alignment horizontal="center" vertical="center"/>
    </xf>
    <xf numFmtId="0" fontId="0" fillId="0" borderId="17" xfId="49" applyFill="1" applyBorder="1" applyAlignment="1">
      <alignment vertical="center"/>
    </xf>
    <xf numFmtId="0" fontId="3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9.85454545454546" defaultRowHeight="14.5" outlineLevelRow="4"/>
  <cols>
    <col min="1" max="1" width="9.85454545454546" style="110"/>
    <col min="2" max="2" width="25.5727272727273" style="110" customWidth="1"/>
    <col min="3" max="3" width="26" style="110" customWidth="1"/>
    <col min="4" max="16384" width="9.85454545454546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9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1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9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ht="45" spans="1:69">
      <c r="A3" s="111" t="s">
        <v>9</v>
      </c>
      <c r="B3" s="111" t="s">
        <v>10</v>
      </c>
      <c r="C3" s="112" t="s">
        <v>11</v>
      </c>
      <c r="D3" s="111" t="s">
        <v>12</v>
      </c>
      <c r="E3" s="111" t="s">
        <v>13</v>
      </c>
      <c r="F3" s="113" t="s">
        <v>14</v>
      </c>
      <c r="G3" s="111" t="s">
        <v>15</v>
      </c>
      <c r="H3" s="111" t="s">
        <v>16</v>
      </c>
      <c r="I3" s="114" t="s">
        <v>17</v>
      </c>
      <c r="J3" s="114" t="s">
        <v>18</v>
      </c>
      <c r="K3" s="114" t="s">
        <v>19</v>
      </c>
      <c r="L3" s="115" t="s">
        <v>20</v>
      </c>
      <c r="M3" s="115" t="s">
        <v>21</v>
      </c>
      <c r="N3" s="115" t="s">
        <v>22</v>
      </c>
      <c r="O3" s="115" t="s">
        <v>23</v>
      </c>
      <c r="P3" s="115" t="s">
        <v>24</v>
      </c>
      <c r="Q3" s="115" t="s">
        <v>25</v>
      </c>
      <c r="R3" s="114" t="s">
        <v>26</v>
      </c>
      <c r="S3" s="111" t="s">
        <v>27</v>
      </c>
      <c r="T3" s="111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6" t="s">
        <v>37</v>
      </c>
      <c r="AD3" s="116" t="s">
        <v>38</v>
      </c>
      <c r="AE3" s="117" t="s">
        <v>39</v>
      </c>
      <c r="AF3" s="117" t="s">
        <v>40</v>
      </c>
      <c r="AG3" s="117" t="s">
        <v>41</v>
      </c>
      <c r="AH3" s="116" t="s">
        <v>42</v>
      </c>
      <c r="AI3" s="116" t="s">
        <v>43</v>
      </c>
      <c r="AJ3" s="117" t="s">
        <v>44</v>
      </c>
      <c r="AK3" s="117" t="s">
        <v>45</v>
      </c>
      <c r="AL3" s="116" t="s">
        <v>46</v>
      </c>
      <c r="AM3" s="116" t="s">
        <v>47</v>
      </c>
      <c r="AN3" s="117" t="s">
        <v>48</v>
      </c>
      <c r="AO3" s="117" t="s">
        <v>49</v>
      </c>
      <c r="AP3" s="117" t="s">
        <v>50</v>
      </c>
      <c r="AQ3" s="116" t="s">
        <v>51</v>
      </c>
      <c r="AR3" s="118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75</v>
      </c>
      <c r="C4" s="67" t="s">
        <v>75</v>
      </c>
      <c r="D4" s="67" t="s">
        <v>76</v>
      </c>
      <c r="E4" s="67" t="s">
        <v>76</v>
      </c>
      <c r="F4" s="68">
        <v>5</v>
      </c>
      <c r="G4" s="68">
        <v>150</v>
      </c>
      <c r="H4" s="68">
        <f>F4*G4</f>
        <v>750</v>
      </c>
      <c r="I4" s="68">
        <v>5</v>
      </c>
      <c r="J4" s="68">
        <v>8</v>
      </c>
      <c r="K4" s="68">
        <v>5</v>
      </c>
      <c r="L4" s="68">
        <f>H4</f>
        <v>750</v>
      </c>
      <c r="M4" s="68">
        <f>ROUND(L4*I4%,2)</f>
        <v>37.5</v>
      </c>
      <c r="N4" s="68">
        <f>H4-M4</f>
        <v>712.5</v>
      </c>
      <c r="O4" s="68">
        <f>ROUND(N4*J4%,2)</f>
        <v>57</v>
      </c>
      <c r="P4" s="68">
        <f>ROUND(N4-O4,2)</f>
        <v>655.5</v>
      </c>
      <c r="Q4" s="68">
        <f>ROUND(P4*K4%,2)</f>
        <v>32.78</v>
      </c>
      <c r="R4" s="68">
        <f>M4+O4+Q4</f>
        <v>127.28</v>
      </c>
      <c r="S4" s="68">
        <f>(H4-R4)</f>
        <v>622.72</v>
      </c>
      <c r="T4" s="68">
        <v>85080200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4</v>
      </c>
      <c r="AA4" s="68">
        <f>IF($C2=3,0,(S4*Z4)/100)</f>
        <v>0</v>
      </c>
      <c r="AB4" s="68">
        <f>V4+W4+X4+Y4+AA4</f>
        <v>0</v>
      </c>
      <c r="AC4" s="68">
        <f>IF($V2=1,S4+AB4,S4)</f>
        <v>622.72</v>
      </c>
      <c r="AD4" s="68">
        <v>120</v>
      </c>
      <c r="AE4" s="68">
        <f>IF($P$2=1,(S4/$S$5)*$E$16,AD4/$AD$5*$E$16)</f>
        <v>0</v>
      </c>
      <c r="AF4" s="68"/>
      <c r="AG4" s="68">
        <f>IF($P$2=1,(S4/$S$5)*$E$18,AD4/$AD$5*$E$18)</f>
        <v>0</v>
      </c>
      <c r="AH4" s="68">
        <f>IF($P$2=1,(S4/$S$5)*$E$18,AD4/$AD$5*$E$18)</f>
        <v>0</v>
      </c>
      <c r="AI4" s="68">
        <f>S4*$M$2</f>
        <v>622.72</v>
      </c>
      <c r="AJ4" s="68">
        <f>IF($C$2=3,0,AG4+AH4)</f>
        <v>0</v>
      </c>
      <c r="AK4" s="68">
        <f>IF($C$2=3,AE4+AG4+AH4,0)</f>
        <v>0</v>
      </c>
      <c r="AL4" s="68">
        <v>1</v>
      </c>
      <c r="AM4" s="68">
        <f>F4/AL4</f>
        <v>5</v>
      </c>
      <c r="AN4" s="68">
        <f>AI4/AM4</f>
        <v>124.544</v>
      </c>
      <c r="AO4" s="68">
        <f>AJ4/AM4</f>
        <v>0</v>
      </c>
      <c r="AP4" s="68">
        <f>AK4/AM4</f>
        <v>0</v>
      </c>
      <c r="AQ4" s="68" t="s">
        <v>76</v>
      </c>
      <c r="AR4" s="100">
        <f>ROUND(AN4+AO4+AP4,5)</f>
        <v>124.544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5</v>
      </c>
      <c r="AX4" s="99">
        <f>AR4</f>
        <v>124.544</v>
      </c>
      <c r="AY4" s="99">
        <f>AU4+AW4</f>
        <v>14095</v>
      </c>
      <c r="AZ4" s="99">
        <f>ROUND(((AU4*AV4)+(AW4*AX4))/(AU4+AW4),5)</f>
        <v>121.22156</v>
      </c>
      <c r="BA4" s="104"/>
      <c r="BB4" s="104" t="s">
        <v>80</v>
      </c>
      <c r="BC4" s="119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146.67549</v>
      </c>
      <c r="BP4" s="108">
        <f>BN4+AW4</f>
        <v>696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750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127.28</v>
      </c>
      <c r="S5" s="73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622.72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workbookViewId="0">
      <selection activeCell="C7" sqref="C7"/>
    </sheetView>
  </sheetViews>
  <sheetFormatPr defaultColWidth="8.70909090909091" defaultRowHeight="14.5"/>
  <cols>
    <col min="1" max="1" width="8.70909090909091" style="110"/>
    <col min="2" max="2" width="19.1363636363636" style="110" customWidth="1"/>
    <col min="3" max="3" width="25.8545454545455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88</v>
      </c>
      <c r="B3" s="66" t="s">
        <v>10</v>
      </c>
      <c r="C3" s="66" t="s">
        <v>89</v>
      </c>
      <c r="D3" s="66" t="s">
        <v>12</v>
      </c>
      <c r="E3" s="66" t="s">
        <v>13</v>
      </c>
      <c r="F3" s="66" t="s">
        <v>90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91</v>
      </c>
      <c r="Q3" s="78" t="s">
        <v>23</v>
      </c>
      <c r="R3" s="77" t="s">
        <v>26</v>
      </c>
      <c r="S3" s="66" t="s">
        <v>92</v>
      </c>
      <c r="T3" s="66" t="s">
        <v>28</v>
      </c>
      <c r="U3" s="85" t="s">
        <v>93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94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95</v>
      </c>
      <c r="C4" s="67" t="s">
        <v>95</v>
      </c>
      <c r="D4" s="67" t="s">
        <v>76</v>
      </c>
      <c r="E4" s="67" t="s">
        <v>76</v>
      </c>
      <c r="F4" s="68">
        <v>5</v>
      </c>
      <c r="G4" s="68">
        <v>150</v>
      </c>
      <c r="H4" s="68">
        <f>F4*G4</f>
        <v>750</v>
      </c>
      <c r="I4" s="68">
        <v>5</v>
      </c>
      <c r="J4" s="68">
        <v>8</v>
      </c>
      <c r="K4" s="68">
        <v>5</v>
      </c>
      <c r="L4" s="68">
        <f>H4</f>
        <v>750</v>
      </c>
      <c r="M4" s="68">
        <f>ROUND(L4*I4%,2)</f>
        <v>37.5</v>
      </c>
      <c r="N4" s="68">
        <f>H4-M4</f>
        <v>712.5</v>
      </c>
      <c r="O4" s="68">
        <f>ROUND(N4*J4%,2)</f>
        <v>57</v>
      </c>
      <c r="P4" s="68">
        <f>ROUND(N4-O4,2)</f>
        <v>655.5</v>
      </c>
      <c r="Q4" s="68">
        <f>ROUND(P4*K4%,2)</f>
        <v>32.78</v>
      </c>
      <c r="R4" s="68">
        <f>M4+O4+Q4</f>
        <v>127.28</v>
      </c>
      <c r="S4" s="68">
        <f>(H4-R4)</f>
        <v>622.72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622.72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S4*$M$2</f>
        <v>622.72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124.544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124.544</v>
      </c>
      <c r="AS4" s="98" t="s">
        <v>96</v>
      </c>
      <c r="AT4" s="99" t="s">
        <v>76</v>
      </c>
      <c r="AU4" s="60" t="s">
        <v>97</v>
      </c>
      <c r="AV4" s="60" t="s">
        <v>98</v>
      </c>
      <c r="AW4" s="99">
        <f>AM4</f>
        <v>5</v>
      </c>
      <c r="AX4" s="99">
        <f>AR4</f>
        <v>124.544</v>
      </c>
      <c r="AY4" s="99">
        <f>AU4+AW4</f>
        <v>115</v>
      </c>
      <c r="AZ4" s="99">
        <f>ROUND(((AU4*AV4)+(AW4*AX4))/(AU4+AW4),3)</f>
        <v>124.545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99</v>
      </c>
      <c r="BM4" s="60" t="s">
        <v>98</v>
      </c>
      <c r="BN4" s="60" t="s">
        <v>100</v>
      </c>
      <c r="BO4" s="99">
        <f>ROUND((((AW4*AZ4)+(BN4*BM4))/(AW4+BN4)),5)</f>
        <v>124.545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750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127.28</v>
      </c>
      <c r="S5" s="73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622.72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  <row r="6" ht="15.25" spans="1:69">
      <c r="A6" s="69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100"/>
      <c r="BQ6" s="100"/>
    </row>
    <row r="7" ht="15.25" spans="1:69">
      <c r="A7" s="69"/>
      <c r="B7" s="69"/>
      <c r="C7" s="69"/>
      <c r="D7" s="69"/>
      <c r="E7" s="69"/>
      <c r="F7" s="69"/>
      <c r="G7" s="74" t="s">
        <v>101</v>
      </c>
      <c r="H7" s="75"/>
      <c r="I7" s="79">
        <f>H5</f>
        <v>750</v>
      </c>
      <c r="J7" s="79"/>
      <c r="K7" s="69"/>
      <c r="L7" s="69"/>
      <c r="M7" s="80" t="s">
        <v>102</v>
      </c>
      <c r="N7" s="81"/>
      <c r="O7" s="81"/>
      <c r="P7" s="82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 t="s">
        <v>103</v>
      </c>
      <c r="BI7" s="120" t="s">
        <v>104</v>
      </c>
      <c r="BJ7" s="69"/>
      <c r="BK7" s="69"/>
      <c r="BL7" s="69"/>
      <c r="BM7" s="69"/>
      <c r="BN7" s="69"/>
      <c r="BO7" s="69"/>
      <c r="BP7" s="100"/>
      <c r="BQ7" s="100"/>
    </row>
    <row r="8" ht="15.25" spans="1:69">
      <c r="A8" s="69"/>
      <c r="B8" s="69"/>
      <c r="C8" s="69"/>
      <c r="D8" s="69"/>
      <c r="E8" s="69"/>
      <c r="F8" s="69"/>
      <c r="G8" s="74" t="s">
        <v>105</v>
      </c>
      <c r="H8" s="75"/>
      <c r="I8" s="79">
        <f>R5</f>
        <v>127.28</v>
      </c>
      <c r="J8" s="79"/>
      <c r="K8" s="69"/>
      <c r="L8" s="69"/>
      <c r="M8" s="83">
        <v>1</v>
      </c>
      <c r="N8" s="83" t="s">
        <v>76</v>
      </c>
      <c r="O8" s="83">
        <v>2</v>
      </c>
      <c r="P8" s="83" t="s">
        <v>106</v>
      </c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 t="s">
        <v>107</v>
      </c>
      <c r="BI8" s="120" t="s">
        <v>108</v>
      </c>
      <c r="BJ8" s="69"/>
      <c r="BK8" s="69"/>
      <c r="BL8" s="69"/>
      <c r="BM8" s="69"/>
      <c r="BN8" s="69"/>
      <c r="BO8" s="69"/>
      <c r="BP8" s="100"/>
      <c r="BQ8" s="100"/>
    </row>
    <row r="9" ht="15.25" spans="1:69">
      <c r="A9" s="69"/>
      <c r="B9" s="69"/>
      <c r="C9" s="69"/>
      <c r="D9" s="69"/>
      <c r="E9" s="69"/>
      <c r="F9" s="69"/>
      <c r="G9" s="74" t="s">
        <v>109</v>
      </c>
      <c r="H9" s="75"/>
      <c r="I9" s="79">
        <f>S5</f>
        <v>622.72</v>
      </c>
      <c r="J9" s="79"/>
      <c r="K9" s="69"/>
      <c r="L9" s="69"/>
      <c r="M9" s="67">
        <v>1</v>
      </c>
      <c r="N9" s="67" t="s">
        <v>76</v>
      </c>
      <c r="O9" s="67">
        <v>2.5</v>
      </c>
      <c r="P9" s="67" t="s">
        <v>110</v>
      </c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100"/>
      <c r="BQ9" s="100"/>
    </row>
    <row r="10" ht="15.25" spans="1:69">
      <c r="A10" s="69"/>
      <c r="B10" s="69"/>
      <c r="C10" s="69"/>
      <c r="D10" s="69"/>
      <c r="E10" s="69"/>
      <c r="F10" s="69"/>
      <c r="G10" s="74" t="s">
        <v>111</v>
      </c>
      <c r="H10" s="75"/>
      <c r="I10" s="79">
        <f>AB5</f>
        <v>0</v>
      </c>
      <c r="J10" s="79"/>
      <c r="K10" s="69"/>
      <c r="L10" s="69"/>
      <c r="M10" s="67">
        <v>1</v>
      </c>
      <c r="N10" s="67" t="s">
        <v>106</v>
      </c>
      <c r="O10" s="67">
        <v>0.001</v>
      </c>
      <c r="P10" s="67" t="s">
        <v>112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100"/>
      <c r="BQ10" s="100"/>
    </row>
    <row r="11" ht="15.25" spans="1:69">
      <c r="A11" s="69"/>
      <c r="B11" s="69"/>
      <c r="C11" s="69"/>
      <c r="D11" s="69"/>
      <c r="E11" s="69"/>
      <c r="F11" s="69"/>
      <c r="G11" s="74" t="s">
        <v>113</v>
      </c>
      <c r="H11" s="75"/>
      <c r="I11" s="84">
        <f>I9+I10</f>
        <v>622.72</v>
      </c>
      <c r="J11" s="84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100"/>
      <c r="BQ11" s="100"/>
    </row>
    <row r="12" spans="1:69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 t="s">
        <v>114</v>
      </c>
      <c r="BN12" s="69" t="s">
        <v>115</v>
      </c>
      <c r="BO12" s="69"/>
      <c r="BP12" s="100"/>
      <c r="BQ12" s="100"/>
    </row>
    <row r="13" spans="1:69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 t="s">
        <v>116</v>
      </c>
      <c r="BL13" s="69">
        <v>12.5</v>
      </c>
      <c r="BM13" s="69">
        <f>BL15*BL16</f>
        <v>18277.77</v>
      </c>
      <c r="BN13" s="69">
        <f>BL13*BL14</f>
        <v>6092.59</v>
      </c>
      <c r="BO13" s="69"/>
      <c r="BP13" s="100"/>
      <c r="BQ13" s="100"/>
    </row>
    <row r="14" spans="1:69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 t="s">
        <v>117</v>
      </c>
      <c r="BL14" s="69">
        <v>487.4072</v>
      </c>
      <c r="BM14" s="69">
        <f>BL13+BL15</f>
        <v>50</v>
      </c>
      <c r="BN14" s="69"/>
      <c r="BO14" s="69"/>
      <c r="BP14" s="100"/>
      <c r="BQ14" s="100"/>
    </row>
    <row r="15" spans="1:69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 t="s">
        <v>118</v>
      </c>
      <c r="BL15" s="69">
        <v>37.5</v>
      </c>
      <c r="BM15" s="69"/>
      <c r="BN15" s="69"/>
      <c r="BO15" s="69"/>
      <c r="BP15" s="100"/>
      <c r="BQ15" s="100"/>
    </row>
    <row r="16" spans="1:69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 t="s">
        <v>119</v>
      </c>
      <c r="BL16" s="69">
        <v>487.4072</v>
      </c>
      <c r="BM16" s="69"/>
      <c r="BN16" s="69"/>
      <c r="BO16" s="69"/>
      <c r="BP16" s="100"/>
      <c r="BQ16" s="100"/>
    </row>
    <row r="17" spans="1:69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>
        <f>BM13+BN13</f>
        <v>24370.36</v>
      </c>
      <c r="BN17" s="69">
        <f>BM17/BM14</f>
        <v>487.4072</v>
      </c>
      <c r="BO17" s="69"/>
      <c r="BP17" s="100"/>
      <c r="BQ17" s="10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8.70909090909091" defaultRowHeight="14.5" outlineLevelRow="4"/>
  <cols>
    <col min="1" max="1" width="8.70909090909091" style="110"/>
    <col min="2" max="2" width="21.1363636363636" style="110" customWidth="1"/>
    <col min="3" max="3" width="21.2818181818182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88</v>
      </c>
      <c r="B3" s="66" t="s">
        <v>10</v>
      </c>
      <c r="C3" s="66" t="s">
        <v>89</v>
      </c>
      <c r="D3" s="66" t="s">
        <v>12</v>
      </c>
      <c r="E3" s="66" t="s">
        <v>13</v>
      </c>
      <c r="F3" s="66" t="s">
        <v>90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91</v>
      </c>
      <c r="Q3" s="78" t="s">
        <v>23</v>
      </c>
      <c r="R3" s="77" t="s">
        <v>26</v>
      </c>
      <c r="S3" s="66" t="s">
        <v>92</v>
      </c>
      <c r="T3" s="66" t="s">
        <v>28</v>
      </c>
      <c r="U3" s="85" t="s">
        <v>93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94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120</v>
      </c>
      <c r="C4" s="67" t="s">
        <v>120</v>
      </c>
      <c r="D4" s="67" t="s">
        <v>76</v>
      </c>
      <c r="E4" s="67" t="s">
        <v>76</v>
      </c>
      <c r="F4" s="68">
        <v>5</v>
      </c>
      <c r="G4" s="60" t="s">
        <v>121</v>
      </c>
      <c r="H4" s="68">
        <f>F4*G4</f>
        <v>250</v>
      </c>
      <c r="I4" s="60" t="s">
        <v>100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96</v>
      </c>
      <c r="AT4" s="99" t="s">
        <v>76</v>
      </c>
      <c r="AU4" s="60" t="s">
        <v>122</v>
      </c>
      <c r="AV4" s="60" t="s">
        <v>123</v>
      </c>
      <c r="AW4" s="99">
        <f>AM4</f>
        <v>5</v>
      </c>
      <c r="AX4" s="102">
        <f>AR4</f>
        <v>41.514</v>
      </c>
      <c r="AY4" s="99">
        <f>AU4+AW4</f>
        <v>20</v>
      </c>
      <c r="AZ4" s="99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99</v>
      </c>
      <c r="BM4" s="60" t="s">
        <v>123</v>
      </c>
      <c r="BN4" s="60" t="s">
        <v>100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8.70909090909091" defaultRowHeight="14.5" outlineLevelRow="4"/>
  <cols>
    <col min="1" max="1" width="8.70909090909091" style="110"/>
    <col min="2" max="2" width="23.4272727272727" style="110" customWidth="1"/>
    <col min="3" max="3" width="29.4272727272727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88</v>
      </c>
      <c r="B3" s="66" t="s">
        <v>10</v>
      </c>
      <c r="C3" s="66" t="s">
        <v>89</v>
      </c>
      <c r="D3" s="66" t="s">
        <v>12</v>
      </c>
      <c r="E3" s="66" t="s">
        <v>13</v>
      </c>
      <c r="F3" s="66" t="s">
        <v>90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91</v>
      </c>
      <c r="Q3" s="78" t="s">
        <v>23</v>
      </c>
      <c r="R3" s="77" t="s">
        <v>26</v>
      </c>
      <c r="S3" s="66" t="s">
        <v>92</v>
      </c>
      <c r="T3" s="66" t="s">
        <v>28</v>
      </c>
      <c r="U3" s="85" t="s">
        <v>93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94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124</v>
      </c>
      <c r="C4" s="67" t="s">
        <v>124</v>
      </c>
      <c r="D4" s="67" t="s">
        <v>76</v>
      </c>
      <c r="E4" s="67" t="s">
        <v>76</v>
      </c>
      <c r="F4" s="68">
        <v>5</v>
      </c>
      <c r="G4" s="60" t="s">
        <v>121</v>
      </c>
      <c r="H4" s="68">
        <f>F4*G4</f>
        <v>250</v>
      </c>
      <c r="I4" s="60" t="s">
        <v>100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96</v>
      </c>
      <c r="AT4" s="99" t="s">
        <v>76</v>
      </c>
      <c r="AU4" s="60" t="s">
        <v>122</v>
      </c>
      <c r="AV4" s="60" t="s">
        <v>123</v>
      </c>
      <c r="AW4" s="99">
        <f>AM4</f>
        <v>5</v>
      </c>
      <c r="AX4" s="102">
        <f>AR4</f>
        <v>41.514</v>
      </c>
      <c r="AY4" s="99">
        <f>AU4+AW4</f>
        <v>20</v>
      </c>
      <c r="AZ4" s="99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99</v>
      </c>
      <c r="BM4" s="60" t="s">
        <v>123</v>
      </c>
      <c r="BN4" s="60" t="s">
        <v>100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8.70909090909091" defaultRowHeight="14.5" outlineLevelRow="4"/>
  <cols>
    <col min="1" max="1" width="8.70909090909091" style="110"/>
    <col min="2" max="2" width="27.2818181818182" style="110" customWidth="1"/>
    <col min="3" max="3" width="25.4272727272727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88</v>
      </c>
      <c r="B3" s="66" t="s">
        <v>10</v>
      </c>
      <c r="C3" s="66" t="s">
        <v>89</v>
      </c>
      <c r="D3" s="66" t="s">
        <v>12</v>
      </c>
      <c r="E3" s="66" t="s">
        <v>13</v>
      </c>
      <c r="F3" s="66" t="s">
        <v>90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91</v>
      </c>
      <c r="Q3" s="78" t="s">
        <v>23</v>
      </c>
      <c r="R3" s="77" t="s">
        <v>26</v>
      </c>
      <c r="S3" s="66" t="s">
        <v>92</v>
      </c>
      <c r="T3" s="66" t="s">
        <v>28</v>
      </c>
      <c r="U3" s="85" t="s">
        <v>93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94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125</v>
      </c>
      <c r="C4" s="67" t="s">
        <v>125</v>
      </c>
      <c r="D4" s="67" t="s">
        <v>76</v>
      </c>
      <c r="E4" s="67" t="s">
        <v>76</v>
      </c>
      <c r="F4" s="68">
        <v>5</v>
      </c>
      <c r="G4" s="60" t="s">
        <v>121</v>
      </c>
      <c r="H4" s="68">
        <f>F4*G4</f>
        <v>250</v>
      </c>
      <c r="I4" s="60" t="s">
        <v>100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96</v>
      </c>
      <c r="AT4" s="99" t="s">
        <v>76</v>
      </c>
      <c r="AU4" s="60" t="s">
        <v>126</v>
      </c>
      <c r="AV4" s="60" t="s">
        <v>123</v>
      </c>
      <c r="AW4" s="99">
        <f>AM4</f>
        <v>5</v>
      </c>
      <c r="AX4" s="102">
        <f>AR4</f>
        <v>41.514</v>
      </c>
      <c r="AY4" s="99">
        <f>AU4+AW4</f>
        <v>15</v>
      </c>
      <c r="AZ4" s="103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99</v>
      </c>
      <c r="BM4" s="60" t="s">
        <v>123</v>
      </c>
      <c r="BN4" s="60" t="s">
        <v>100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7" sqref="C7"/>
    </sheetView>
  </sheetViews>
  <sheetFormatPr defaultColWidth="8.85454545454546" defaultRowHeight="14.5"/>
  <cols>
    <col min="1" max="1" width="8.85454545454546" style="60"/>
    <col min="2" max="2" width="28" style="60" customWidth="1"/>
    <col min="3" max="3" width="23" style="60" customWidth="1"/>
    <col min="4" max="12" width="8.85454545454546" style="60"/>
    <col min="13" max="13" width="9.13636363636364" style="60" customWidth="1"/>
    <col min="14" max="14" width="13.8545454545455" style="60" customWidth="1"/>
    <col min="15" max="63" width="8.85454545454546" style="60"/>
    <col min="64" max="64" width="11" style="60" customWidth="1"/>
    <col min="65" max="16384" width="8.85454545454546" style="6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1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88</v>
      </c>
      <c r="B3" s="66" t="s">
        <v>10</v>
      </c>
      <c r="C3" s="66" t="s">
        <v>89</v>
      </c>
      <c r="D3" s="66" t="s">
        <v>12</v>
      </c>
      <c r="E3" s="66" t="s">
        <v>13</v>
      </c>
      <c r="F3" s="66" t="s">
        <v>90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91</v>
      </c>
      <c r="Q3" s="78" t="s">
        <v>23</v>
      </c>
      <c r="R3" s="77" t="s">
        <v>26</v>
      </c>
      <c r="S3" s="66" t="s">
        <v>92</v>
      </c>
      <c r="T3" s="66" t="s">
        <v>28</v>
      </c>
      <c r="U3" s="85" t="s">
        <v>93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94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127</v>
      </c>
      <c r="C4" s="67" t="s">
        <v>127</v>
      </c>
      <c r="D4" s="67" t="s">
        <v>76</v>
      </c>
      <c r="E4" s="67" t="s">
        <v>76</v>
      </c>
      <c r="F4" s="68">
        <v>5</v>
      </c>
      <c r="G4" s="60" t="s">
        <v>121</v>
      </c>
      <c r="H4" s="68">
        <f>F4*G4</f>
        <v>250</v>
      </c>
      <c r="I4" s="60" t="s">
        <v>100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18.68</v>
      </c>
      <c r="W4" s="68">
        <f>IF($C$2=1,ROUND((((S4*U4)/100)/2),2),0)</f>
        <v>18.68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37.36</v>
      </c>
      <c r="AC4" s="91">
        <f>IF($V2=1,S4+AB4,S4)</f>
        <v>244.93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96</v>
      </c>
      <c r="AT4" s="99" t="s">
        <v>76</v>
      </c>
      <c r="AU4" s="60" t="s">
        <v>126</v>
      </c>
      <c r="AV4" s="60" t="s">
        <v>123</v>
      </c>
      <c r="AW4" s="99">
        <f>AM4</f>
        <v>5</v>
      </c>
      <c r="AX4" s="102">
        <f>AR4</f>
        <v>41.514</v>
      </c>
      <c r="AY4" s="99">
        <f>AU4+AW4</f>
        <v>15</v>
      </c>
      <c r="AZ4" s="103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99</v>
      </c>
      <c r="BM4" s="60" t="s">
        <v>123</v>
      </c>
      <c r="BN4" s="60" t="s">
        <v>100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18.68</v>
      </c>
      <c r="W5" s="88">
        <f t="shared" si="0"/>
        <v>18.68</v>
      </c>
      <c r="X5" s="88">
        <f t="shared" si="0"/>
        <v>0</v>
      </c>
      <c r="Y5" s="88"/>
      <c r="Z5" s="88"/>
      <c r="AA5" s="88"/>
      <c r="AB5" s="87">
        <f t="shared" ref="AB5:AE5" si="1">SUM(AB4:AB4)</f>
        <v>37.36</v>
      </c>
      <c r="AC5" s="92">
        <f t="shared" si="1"/>
        <v>244.93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  <row r="6" ht="15.25" spans="1:69">
      <c r="A6" s="69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100"/>
      <c r="BQ6" s="100"/>
    </row>
    <row r="7" ht="15.25" spans="1:69">
      <c r="A7" s="69"/>
      <c r="B7" s="69"/>
      <c r="C7" s="69"/>
      <c r="D7" s="69"/>
      <c r="E7" s="69"/>
      <c r="F7" s="69"/>
      <c r="G7" s="74" t="s">
        <v>101</v>
      </c>
      <c r="H7" s="75"/>
      <c r="I7" s="79">
        <f>H5</f>
        <v>250</v>
      </c>
      <c r="J7" s="79"/>
      <c r="K7" s="69"/>
      <c r="L7" s="69"/>
      <c r="M7" s="80" t="s">
        <v>102</v>
      </c>
      <c r="N7" s="81"/>
      <c r="O7" s="81"/>
      <c r="P7" s="82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 t="s">
        <v>103</v>
      </c>
      <c r="BI7" s="120" t="s">
        <v>104</v>
      </c>
      <c r="BJ7" s="69"/>
      <c r="BK7" s="69"/>
      <c r="BL7" s="69"/>
      <c r="BM7" s="69"/>
      <c r="BN7" s="69"/>
      <c r="BO7" s="69"/>
      <c r="BP7" s="100"/>
      <c r="BQ7" s="100"/>
    </row>
    <row r="8" ht="15.25" spans="1:69">
      <c r="A8" s="69"/>
      <c r="B8" s="69"/>
      <c r="C8" s="69"/>
      <c r="D8" s="69"/>
      <c r="E8" s="69"/>
      <c r="F8" s="69"/>
      <c r="G8" s="74" t="s">
        <v>105</v>
      </c>
      <c r="H8" s="75"/>
      <c r="I8" s="79">
        <f>R5</f>
        <v>42.43</v>
      </c>
      <c r="J8" s="79"/>
      <c r="K8" s="69"/>
      <c r="L8" s="69"/>
      <c r="M8" s="83">
        <v>1</v>
      </c>
      <c r="N8" s="83" t="s">
        <v>76</v>
      </c>
      <c r="O8" s="83">
        <v>2</v>
      </c>
      <c r="P8" s="83" t="s">
        <v>106</v>
      </c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 t="s">
        <v>107</v>
      </c>
      <c r="BI8" s="120" t="s">
        <v>108</v>
      </c>
      <c r="BJ8" s="69"/>
      <c r="BK8" s="69"/>
      <c r="BL8" s="69"/>
      <c r="BM8" s="69"/>
      <c r="BN8" s="69"/>
      <c r="BO8" s="69"/>
      <c r="BP8" s="100"/>
      <c r="BQ8" s="100"/>
    </row>
    <row r="9" ht="15.25" spans="1:69">
      <c r="A9" s="69"/>
      <c r="B9" s="69"/>
      <c r="C9" s="69"/>
      <c r="D9" s="69"/>
      <c r="E9" s="69"/>
      <c r="F9" s="69"/>
      <c r="G9" s="74" t="s">
        <v>109</v>
      </c>
      <c r="H9" s="75"/>
      <c r="I9" s="79">
        <f>S5</f>
        <v>207.57</v>
      </c>
      <c r="J9" s="79"/>
      <c r="K9" s="69"/>
      <c r="L9" s="69"/>
      <c r="M9" s="67">
        <v>1</v>
      </c>
      <c r="N9" s="67" t="s">
        <v>76</v>
      </c>
      <c r="O9" s="67">
        <v>2.5</v>
      </c>
      <c r="P9" s="67" t="s">
        <v>110</v>
      </c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100"/>
      <c r="BQ9" s="100"/>
    </row>
    <row r="10" ht="15.25" spans="1:69">
      <c r="A10" s="69"/>
      <c r="B10" s="69"/>
      <c r="C10" s="69"/>
      <c r="D10" s="69"/>
      <c r="E10" s="69"/>
      <c r="F10" s="69"/>
      <c r="G10" s="74" t="s">
        <v>111</v>
      </c>
      <c r="H10" s="75"/>
      <c r="I10" s="79">
        <f>AB5</f>
        <v>37.36</v>
      </c>
      <c r="J10" s="79"/>
      <c r="K10" s="69"/>
      <c r="L10" s="69"/>
      <c r="M10" s="67">
        <v>1</v>
      </c>
      <c r="N10" s="67" t="s">
        <v>106</v>
      </c>
      <c r="O10" s="67">
        <v>0.001</v>
      </c>
      <c r="P10" s="67" t="s">
        <v>112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100"/>
      <c r="BQ10" s="100"/>
    </row>
    <row r="11" ht="15.25" spans="1:69">
      <c r="A11" s="69"/>
      <c r="B11" s="69"/>
      <c r="C11" s="69"/>
      <c r="D11" s="69"/>
      <c r="E11" s="69"/>
      <c r="F11" s="69"/>
      <c r="G11" s="74" t="s">
        <v>113</v>
      </c>
      <c r="H11" s="75"/>
      <c r="I11" s="84">
        <f>I9+I10</f>
        <v>244.93</v>
      </c>
      <c r="J11" s="84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100"/>
      <c r="BQ11" s="100"/>
    </row>
    <row r="12" spans="1:69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 t="s">
        <v>114</v>
      </c>
      <c r="BN12" s="69" t="s">
        <v>115</v>
      </c>
      <c r="BO12" s="69"/>
      <c r="BP12" s="100"/>
      <c r="BQ12" s="100"/>
    </row>
    <row r="13" spans="1:69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 t="s">
        <v>116</v>
      </c>
      <c r="BL13" s="69">
        <v>12.5</v>
      </c>
      <c r="BM13" s="69">
        <f>BL15*BL16</f>
        <v>18277.77</v>
      </c>
      <c r="BN13" s="69">
        <f>BL13*BL14</f>
        <v>6092.59</v>
      </c>
      <c r="BO13" s="69"/>
      <c r="BP13" s="100"/>
      <c r="BQ13" s="100"/>
    </row>
    <row r="14" spans="1:69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 t="s">
        <v>117</v>
      </c>
      <c r="BL14" s="69">
        <v>487.4072</v>
      </c>
      <c r="BM14" s="69">
        <f>BL13+BL15</f>
        <v>50</v>
      </c>
      <c r="BN14" s="69"/>
      <c r="BO14" s="69"/>
      <c r="BP14" s="100"/>
      <c r="BQ14" s="100"/>
    </row>
    <row r="15" spans="1:69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 t="s">
        <v>118</v>
      </c>
      <c r="BL15" s="69">
        <v>37.5</v>
      </c>
      <c r="BM15" s="69"/>
      <c r="BN15" s="69"/>
      <c r="BO15" s="69"/>
      <c r="BP15" s="100"/>
      <c r="BQ15" s="100"/>
    </row>
    <row r="16" spans="1:69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 t="s">
        <v>119</v>
      </c>
      <c r="BL16" s="69">
        <v>487.4072</v>
      </c>
      <c r="BM16" s="69"/>
      <c r="BN16" s="69"/>
      <c r="BO16" s="69"/>
      <c r="BP16" s="100"/>
      <c r="BQ16" s="100"/>
    </row>
    <row r="17" spans="1:69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>
        <f>BM13+BN13</f>
        <v>24370.36</v>
      </c>
      <c r="BN17" s="69">
        <f>BM17/BM14</f>
        <v>487.4072</v>
      </c>
      <c r="BO17" s="69"/>
      <c r="BP17" s="100"/>
      <c r="BQ17" s="100"/>
    </row>
    <row r="18" spans="1:69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100"/>
      <c r="BQ18" s="10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75</v>
      </c>
      <c r="C23" s="27" t="s">
        <v>75</v>
      </c>
      <c r="D23" s="27" t="s">
        <v>76</v>
      </c>
      <c r="E23" s="27" t="s">
        <v>76</v>
      </c>
      <c r="F23" s="28">
        <v>2</v>
      </c>
      <c r="G23" s="29" t="s">
        <v>160</v>
      </c>
      <c r="H23" s="28">
        <f>F23*G23</f>
        <v>500</v>
      </c>
      <c r="I23" s="29" t="s">
        <v>161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235.3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235.3</v>
      </c>
      <c r="AS23" s="50" t="s">
        <v>163</v>
      </c>
      <c r="AT23" s="50" t="s">
        <v>76</v>
      </c>
      <c r="AU23" s="29"/>
      <c r="AV23" s="29"/>
      <c r="AW23" s="50">
        <f>AM23</f>
        <v>2</v>
      </c>
      <c r="AX23" s="50">
        <f>AR23</f>
        <v>235.3</v>
      </c>
      <c r="AY23" s="50">
        <f>AU23+AW23</f>
        <v>2</v>
      </c>
      <c r="AZ23" s="50">
        <f>ROUND(((AU23*AV23)+(AW23*AX23))/(AU23+AW23),5)</f>
        <v>235.3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164</v>
      </c>
      <c r="BN23" s="29" t="s">
        <v>164</v>
      </c>
      <c r="BO23" s="50">
        <f>ROUND((((AW23*AZ23)+(BN23*BM23))/(AW23+BN23)),5)</f>
        <v>235.3</v>
      </c>
      <c r="BP23" s="55">
        <f>BN23+AW23</f>
        <v>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165</v>
      </c>
      <c r="C23" s="27" t="s">
        <v>165</v>
      </c>
      <c r="D23" s="27" t="s">
        <v>76</v>
      </c>
      <c r="E23" s="27" t="s">
        <v>106</v>
      </c>
      <c r="F23" s="28">
        <v>2</v>
      </c>
      <c r="G23" s="29" t="s">
        <v>160</v>
      </c>
      <c r="H23" s="28">
        <f>F23*G23</f>
        <v>500</v>
      </c>
      <c r="I23" s="29" t="s">
        <v>161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705.9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705.9</v>
      </c>
      <c r="AS23" s="50" t="s">
        <v>163</v>
      </c>
      <c r="AT23" s="50" t="s">
        <v>76</v>
      </c>
      <c r="AU23" s="29"/>
      <c r="AV23" s="29"/>
      <c r="AW23" s="50">
        <f>AM23</f>
        <v>0.666666666666667</v>
      </c>
      <c r="AX23" s="50">
        <f>AR23</f>
        <v>705.9</v>
      </c>
      <c r="AY23" s="50">
        <f>AU23+AW23</f>
        <v>0.666666666666667</v>
      </c>
      <c r="AZ23" s="50">
        <f>ROUND(((AU23*AV23)+(AW23*AX23))/(AU23+AW23),5)</f>
        <v>705.9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164</v>
      </c>
      <c r="BN23" s="29" t="s">
        <v>164</v>
      </c>
      <c r="BO23" s="50">
        <f>ROUND((((AW23*AZ23)+(BN23*BM23))/(AW23+BN23)),5)</f>
        <v>705.9</v>
      </c>
      <c r="BP23" s="55">
        <f>BN23+AW23</f>
        <v>0.666666666666667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31" sqref="J31"/>
    </sheetView>
  </sheetViews>
  <sheetFormatPr defaultColWidth="8.70909090909091" defaultRowHeight="14.5"/>
  <cols>
    <col min="2" max="2" width="16" customWidth="1"/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95</v>
      </c>
      <c r="C23" s="27" t="s">
        <v>95</v>
      </c>
      <c r="D23" s="27" t="s">
        <v>76</v>
      </c>
      <c r="E23" s="27" t="s">
        <v>76</v>
      </c>
      <c r="F23" s="28">
        <v>2</v>
      </c>
      <c r="G23" s="29" t="s">
        <v>166</v>
      </c>
      <c r="H23" s="28">
        <f>F23*G23</f>
        <v>910</v>
      </c>
      <c r="I23" s="29">
        <v>2</v>
      </c>
      <c r="J23" s="28">
        <v>2</v>
      </c>
      <c r="K23" s="28">
        <v>3</v>
      </c>
      <c r="L23" s="28">
        <f>H23</f>
        <v>910</v>
      </c>
      <c r="M23" s="28">
        <f>ROUND(L23*I23%,2)</f>
        <v>18.2</v>
      </c>
      <c r="N23" s="28">
        <f>H23-M23</f>
        <v>891.8</v>
      </c>
      <c r="O23" s="28">
        <f>ROUND(N23*J23%,2)</f>
        <v>17.84</v>
      </c>
      <c r="P23" s="28">
        <f>ROUND(N23-O23,2)</f>
        <v>873.96</v>
      </c>
      <c r="Q23" s="28">
        <f>ROUND(P23*K23%,2)</f>
        <v>26.22</v>
      </c>
      <c r="R23" s="28">
        <f>M23+O23+Q23</f>
        <v>62.26</v>
      </c>
      <c r="S23" s="28">
        <f>(H23-R23)</f>
        <v>847.74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847.74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847.74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423.87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423.87</v>
      </c>
      <c r="AS23" s="50" t="s">
        <v>77</v>
      </c>
      <c r="AT23" s="50" t="s">
        <v>76</v>
      </c>
      <c r="AU23" s="29" t="s">
        <v>161</v>
      </c>
      <c r="AV23" s="29" t="s">
        <v>167</v>
      </c>
      <c r="AW23" s="50">
        <f>AM23</f>
        <v>2</v>
      </c>
      <c r="AX23" s="50">
        <f>AR23</f>
        <v>423.87</v>
      </c>
      <c r="AY23" s="50">
        <f>AU23+AW23</f>
        <v>4</v>
      </c>
      <c r="AZ23" s="50">
        <f>ROUND(((AU23*AV23)+(AW23*AX23))/(AU23+AW23),5)</f>
        <v>377.42813</v>
      </c>
      <c r="BA23" s="52"/>
      <c r="BB23" s="52" t="s">
        <v>80</v>
      </c>
      <c r="BC23" s="53" t="s">
        <v>168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169</v>
      </c>
      <c r="BM23" s="29" t="s">
        <v>170</v>
      </c>
      <c r="BN23" s="29" t="s">
        <v>171</v>
      </c>
      <c r="BO23" s="50">
        <f>ROUND((((AW23*AZ23)+(BN23*BM23))/(AW23+BN23)),5)</f>
        <v>277.52168</v>
      </c>
      <c r="BP23" s="55">
        <f>BN23+AW23</f>
        <v>26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910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62.26</v>
      </c>
      <c r="S24" s="41">
        <f t="shared" si="1"/>
        <v>847.74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847.74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847.74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120</v>
      </c>
      <c r="C23" s="27" t="s">
        <v>120</v>
      </c>
      <c r="D23" s="27" t="s">
        <v>76</v>
      </c>
      <c r="E23" s="27" t="s">
        <v>76</v>
      </c>
      <c r="F23" s="28">
        <v>2</v>
      </c>
      <c r="G23" s="29" t="s">
        <v>172</v>
      </c>
      <c r="H23" s="28">
        <f>F23*G23</f>
        <v>400</v>
      </c>
      <c r="I23" s="29" t="s">
        <v>161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187.68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187.68</v>
      </c>
      <c r="AS23" s="50" t="s">
        <v>163</v>
      </c>
      <c r="AT23" s="50" t="s">
        <v>76</v>
      </c>
      <c r="AU23" s="29" t="s">
        <v>164</v>
      </c>
      <c r="AV23" s="29" t="s">
        <v>173</v>
      </c>
      <c r="AW23" s="50">
        <f>AM23</f>
        <v>2</v>
      </c>
      <c r="AX23" s="50">
        <f>AR23</f>
        <v>187.68</v>
      </c>
      <c r="AY23" s="50">
        <f>AU23+AW23</f>
        <v>2</v>
      </c>
      <c r="AZ23" s="50">
        <f>ROUND(((AU23*AV23)+(AW23*AX23))/(AU23+AW23),5)</f>
        <v>187.68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174</v>
      </c>
      <c r="BN23" s="29" t="s">
        <v>175</v>
      </c>
      <c r="BO23" s="50">
        <f>ROUND((((AW23*AZ23)+(BN23*BM23))/(AW23+BN23)),5)</f>
        <v>186.91706</v>
      </c>
      <c r="BP23" s="55">
        <f>BN23+AW23</f>
        <v>82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9" workbookViewId="0">
      <selection activeCell="J31" sqref="J31"/>
    </sheetView>
  </sheetViews>
  <sheetFormatPr defaultColWidth="8.70909090909091" defaultRowHeight="14.5"/>
  <cols>
    <col min="2" max="2" width="26.5727272727273" customWidth="1"/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176</v>
      </c>
      <c r="C23" s="27" t="s">
        <v>176</v>
      </c>
      <c r="D23" s="27" t="s">
        <v>76</v>
      </c>
      <c r="E23" s="27" t="s">
        <v>106</v>
      </c>
      <c r="F23" s="28">
        <v>2</v>
      </c>
      <c r="G23" s="29" t="s">
        <v>172</v>
      </c>
      <c r="H23" s="28">
        <f>F23*G23</f>
        <v>400</v>
      </c>
      <c r="I23" s="29" t="s">
        <v>161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563.04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563.04</v>
      </c>
      <c r="AS23" s="50" t="s">
        <v>163</v>
      </c>
      <c r="AT23" s="50" t="s">
        <v>76</v>
      </c>
      <c r="AU23" s="29" t="s">
        <v>164</v>
      </c>
      <c r="AV23" s="29" t="s">
        <v>173</v>
      </c>
      <c r="AW23" s="50">
        <f>AM23</f>
        <v>0.666666666666667</v>
      </c>
      <c r="AX23" s="50">
        <f>AR23</f>
        <v>563.04</v>
      </c>
      <c r="AY23" s="50">
        <f>AU23+AW23</f>
        <v>0.666666666666667</v>
      </c>
      <c r="AZ23" s="50">
        <f>ROUND(((AU23*AV23)+(AW23*AX23))/(AU23+AW23),5)</f>
        <v>563.04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174</v>
      </c>
      <c r="BN23" s="29" t="s">
        <v>175</v>
      </c>
      <c r="BO23" s="50">
        <f>ROUND((((AW23*AZ23)+(BN23*BM23))/(AW23+BN23)),5)</f>
        <v>190.0066</v>
      </c>
      <c r="BP23" s="55">
        <f>BN23+AW23</f>
        <v>80.6666666666667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124</v>
      </c>
      <c r="C23" s="27" t="s">
        <v>124</v>
      </c>
      <c r="D23" s="27" t="s">
        <v>76</v>
      </c>
      <c r="E23" s="27" t="s">
        <v>76</v>
      </c>
      <c r="F23" s="28">
        <v>2</v>
      </c>
      <c r="G23" s="29" t="s">
        <v>172</v>
      </c>
      <c r="H23" s="28">
        <f>F23*G23</f>
        <v>400</v>
      </c>
      <c r="I23" s="29" t="s">
        <v>161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IF($C21=3,0,S23*Z23)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188.24</v>
      </c>
      <c r="AS23" s="50" t="s">
        <v>77</v>
      </c>
      <c r="AT23" s="50" t="s">
        <v>76</v>
      </c>
      <c r="AU23" s="29" t="s">
        <v>78</v>
      </c>
      <c r="AV23" s="29" t="s">
        <v>177</v>
      </c>
      <c r="AW23" s="50">
        <f>AM23</f>
        <v>2</v>
      </c>
      <c r="AX23" s="50">
        <f>AR23</f>
        <v>188.24</v>
      </c>
      <c r="AY23" s="50">
        <f>AU23+AW23</f>
        <v>14092</v>
      </c>
      <c r="AZ23" s="50">
        <f>ROUND(((AU23*AV23)+(AW23*AX23))/(AU23+AW23),5)</f>
        <v>121.1908</v>
      </c>
      <c r="BA23" s="52"/>
      <c r="BB23" s="52" t="s">
        <v>80</v>
      </c>
      <c r="BC23" s="54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178</v>
      </c>
      <c r="BN23" s="29" t="s">
        <v>179</v>
      </c>
      <c r="BO23" s="50">
        <f>ROUND((((AW23*AZ23)+(BN23*BM23))/(AW23+BN23)),5)</f>
        <v>146.93407</v>
      </c>
      <c r="BP23" s="55">
        <f>BN23+AW23</f>
        <v>689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X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/>
      <c r="Z24" s="42"/>
      <c r="AA24" s="42"/>
      <c r="AB24" s="33">
        <f t="shared" ref="AB24:AE24" si="2">SUM(AB23:AB23)</f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125</v>
      </c>
      <c r="C23" s="27" t="s">
        <v>125</v>
      </c>
      <c r="D23" s="27" t="s">
        <v>76</v>
      </c>
      <c r="E23" s="27" t="s">
        <v>76</v>
      </c>
      <c r="F23" s="28">
        <v>2</v>
      </c>
      <c r="G23" s="29" t="s">
        <v>172</v>
      </c>
      <c r="H23" s="28">
        <f>F23*G23</f>
        <v>400</v>
      </c>
      <c r="I23" s="29" t="s">
        <v>161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188.24</v>
      </c>
      <c r="AS23" s="50" t="s">
        <v>163</v>
      </c>
      <c r="AT23" s="50" t="s">
        <v>76</v>
      </c>
      <c r="AU23" s="29" t="s">
        <v>164</v>
      </c>
      <c r="AV23" s="29" t="s">
        <v>180</v>
      </c>
      <c r="AW23" s="50">
        <f>AM23</f>
        <v>2</v>
      </c>
      <c r="AX23" s="50">
        <f>AR23</f>
        <v>188.24</v>
      </c>
      <c r="AY23" s="50">
        <f>AU23+AW23</f>
        <v>2</v>
      </c>
      <c r="AZ23" s="50">
        <f>ROUND(((AU23*AV23)+(AW23*AX23))/(AU23+AW23),5)</f>
        <v>188.24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180</v>
      </c>
      <c r="BN23" s="29" t="s">
        <v>181</v>
      </c>
      <c r="BO23" s="50">
        <f>ROUND((((AW23*AZ23)+(BN23*BM23))/(AW23+BN23)),5)</f>
        <v>186.96</v>
      </c>
      <c r="BP23" s="55">
        <f>BN23+AW23</f>
        <v>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182</v>
      </c>
      <c r="C23" s="27" t="s">
        <v>182</v>
      </c>
      <c r="D23" s="27" t="s">
        <v>76</v>
      </c>
      <c r="E23" s="27" t="s">
        <v>106</v>
      </c>
      <c r="F23" s="28">
        <v>2</v>
      </c>
      <c r="G23" s="29" t="s">
        <v>172</v>
      </c>
      <c r="H23" s="28">
        <f>F23*G23</f>
        <v>400</v>
      </c>
      <c r="I23" s="29" t="s">
        <v>161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564.72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564.72</v>
      </c>
      <c r="AS23" s="50" t="s">
        <v>163</v>
      </c>
      <c r="AT23" s="50" t="s">
        <v>76</v>
      </c>
      <c r="AU23" s="29" t="s">
        <v>164</v>
      </c>
      <c r="AV23" s="29" t="s">
        <v>180</v>
      </c>
      <c r="AW23" s="50">
        <f>AM23</f>
        <v>0.666666666666667</v>
      </c>
      <c r="AX23" s="50">
        <f>AR23</f>
        <v>564.72</v>
      </c>
      <c r="AY23" s="50">
        <f>AU23+AW23</f>
        <v>0.666666666666667</v>
      </c>
      <c r="AZ23" s="50">
        <f>ROUND(((AU23*AV23)+(AW23*AX23))/(AU23+AW23),5)</f>
        <v>564.72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180</v>
      </c>
      <c r="BN23" s="29" t="s">
        <v>181</v>
      </c>
      <c r="BO23" s="50">
        <f>ROUND((((AW23*AZ23)+(BN23*BM23))/(AW23+BN23)),5)</f>
        <v>240.37714</v>
      </c>
      <c r="BP23" s="55">
        <f>BN23+AW23</f>
        <v>4.66666666666667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A10" workbookViewId="0">
      <selection activeCell="L19" sqref="L19"/>
    </sheetView>
  </sheetViews>
  <sheetFormatPr defaultColWidth="8.70909090909091" defaultRowHeight="14.5"/>
  <sheetData>
    <row r="1" ht="18.5" spans="1:69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129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90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130</v>
      </c>
      <c r="C4" s="7" t="s">
        <v>131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132</v>
      </c>
      <c r="C5" s="7" t="s">
        <v>133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134</v>
      </c>
      <c r="C6" s="7" t="s">
        <v>135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136</v>
      </c>
      <c r="C7" s="7" t="s">
        <v>137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138</v>
      </c>
      <c r="C8" s="7" t="s">
        <v>139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140</v>
      </c>
      <c r="C9" s="7" t="s">
        <v>141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142</v>
      </c>
      <c r="C10" s="7" t="s">
        <v>143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144</v>
      </c>
      <c r="C11" s="7" t="s">
        <v>145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146</v>
      </c>
      <c r="C12" s="7" t="s">
        <v>147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148</v>
      </c>
      <c r="C13" s="7" t="s">
        <v>149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150</v>
      </c>
      <c r="C14" s="7" t="s">
        <v>151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152</v>
      </c>
      <c r="C15" s="7" t="s">
        <v>153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154</v>
      </c>
      <c r="C16" s="7" t="s">
        <v>155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156</v>
      </c>
      <c r="C17" s="7" t="s">
        <v>157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158</v>
      </c>
      <c r="C18" s="12" t="s">
        <v>159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127</v>
      </c>
      <c r="C23" s="27" t="s">
        <v>127</v>
      </c>
      <c r="D23" s="27" t="s">
        <v>76</v>
      </c>
      <c r="E23" s="27" t="s">
        <v>76</v>
      </c>
      <c r="F23" s="28">
        <v>2</v>
      </c>
      <c r="G23" s="29" t="s">
        <v>172</v>
      </c>
      <c r="H23" s="28">
        <f>F23*G23</f>
        <v>400</v>
      </c>
      <c r="I23" s="29" t="s">
        <v>161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162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188.24</v>
      </c>
      <c r="AS23" s="50" t="s">
        <v>77</v>
      </c>
      <c r="AT23" s="50" t="s">
        <v>76</v>
      </c>
      <c r="AU23" s="29" t="s">
        <v>183</v>
      </c>
      <c r="AV23" s="29" t="s">
        <v>184</v>
      </c>
      <c r="AW23" s="50">
        <f>AM23</f>
        <v>2</v>
      </c>
      <c r="AX23" s="50">
        <f>AR23</f>
        <v>188.24</v>
      </c>
      <c r="AY23" s="50">
        <f>AU23+AW23</f>
        <v>18</v>
      </c>
      <c r="AZ23" s="50">
        <f>ROUND(((AU23*AV23)+(AW23*AX23))/(AU23+AW23),5)</f>
        <v>186.08428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185</v>
      </c>
      <c r="BN23" s="29" t="s">
        <v>186</v>
      </c>
      <c r="BO23" s="50">
        <f>ROUND((((AW23*AZ23)+(BN23*BM23))/(AW23+BN23)),5)</f>
        <v>184.80458</v>
      </c>
      <c r="BP23" s="55">
        <f>BN23+AW23</f>
        <v>20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2025-12-11T12:33:02Z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