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920" firstSheet="13" activeTab="13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<sst xmlns="http://schemas.openxmlformats.org/spreadsheetml/2006/main" count="2403" uniqueCount="181">
  <si>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</si>
  <si>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</si>
  <si>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</si>
  <si>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</si>
  <si>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</si>
  <si>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</si>
  <si>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</si>
  <si>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</si>
  <si>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</si>
  <si>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</si>
  <si>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</si>
  <si>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</si>
  <si>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</si>
  <si>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</si>
  <si>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</si>
  <si>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</si>
  <si>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</si>
  <si>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</si>
  <si>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</si>
  <si>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</si>
  <si>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</si>
  <si>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</si>
  <si>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</si>
  <si>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</si>
  <si>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</si>
  <si>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</si>
  <si>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</si>
  <si>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</si>
  <si>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</si>
  <si>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</si>
  <si>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</si>
  <si>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</si>
  <si>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</si>
  <si>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</si>
  <si>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</si>
  <si>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</si>
  <si>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</si>
  <si>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</si>
  <si>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</si>
  <si>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</si>
  <si>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</si>
  <si>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</si>
  <si>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</si>
  <si>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</si>
  <si>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</si>
  <si>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</si>
  <si>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</si>
  <si>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</si>
  <si>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</si>
  <si>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</si>
  <si>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</si>
  <si>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</si>
  <si>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</si>
  <si>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</si>
  <si>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</si>
  <si>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</si>
  <si>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</si>
  <si>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</si>
  <si>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</si>
  <si>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</si>
  <si>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</si>
  <si>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</si>
  <si>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</si>
  <si>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</si>
  <si>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</si>
  <si>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</si>
  <si>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</si>
  <si>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</si>
  <si>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</si>
  <si>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</si>
  <si>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</si>
  <si>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</si>
  <si>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</si>
  <si>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</si>
  <si>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</si>
  <si>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</si>
  <si>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</si>
  <si>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</si>
  <si>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</si>
  <si>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</si>
  <si>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</si>
  <si>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</si>
  <si>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</si>
  <si>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</si>
  <si>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</si>
  <si>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</si>
  <si>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</si>
  <si>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</si>
  <si>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</si>
  <si>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</si>
  <si>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</si>
  <si>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</si>
  <si>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</si>
  <si>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</si>
  <si>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</si>
  <si>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</si>
  <si>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</si>
  <si>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</si>
  <si>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</si>
  <si>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</si>
  <si>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</si>
  <si>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</si>
  <si>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</si>
  <si>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</si>
  <si>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</si>
  <si>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</si>
  <si>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</si>
  <si>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</si>
  <si>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</si>
  <si>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</si>
  <si>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</si>
  <si>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</si>
  <si>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</si>
  <si>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</si>
  <si>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</si>
  <si>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</si>
  <si>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</si>
  <si>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</si>
  <si>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</si>
  <si>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</si>
  <si>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8046.0574</t>
  </si>
  <si>
    <t>568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</si>
  <si>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</si>
  <si>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</si>
  <si>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</si>
  <si>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</si>
  <si>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</si>
  <si>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</si>
  <si>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</si>
  <si>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</si>
  <si>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</si>
  <si>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</si>
  <si>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</si>
  <si>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</si>
  <si>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</si>
  <si>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20060.85597</t>
  </si>
  <si>
    <t>534</t>
  </si>
  <si>
    <t>ITEM-GWL-SERVICE-RC-02</t>
  </si>
  <si>
    <t>ITEM-GWL-SIMILAR-PL-02</t>
  </si>
  <si>
    <t>1</t>
  </si>
  <si>
    <t>20039.01536</t>
  </si>
  <si>
    <t>502</t>
  </si>
  <si>
    <t>ITEM-GWL-SERVICE-PL-02</t>
  </si>
  <si>
    <t>ITEM-GWL-DISSIMILAR-04</t>
  </si>
  <si>
    <t>KGS</t>
  </si>
  <si>
    <t>59375.9</t>
  </si>
  <si>
    <t>60085.70678</t>
  </si>
  <si>
    <t>248</t>
  </si>
  <si>
    <t>ITEM-GWL-DISSIMILAR-RC-04</t>
  </si>
  <si>
    <t>60279.89292</t>
  </si>
  <si>
    <t>238</t>
  </si>
  <si>
    <t>ITEM-GWL-DISSIMILAR-PL-04</t>
  </si>
  <si>
    <t>60231.61152</t>
  </si>
  <si>
    <t>240</t>
  </si>
  <si>
    <t>INS WH-1</t>
  </si>
  <si>
    <t>2</t>
  </si>
  <si>
    <t>18387.625</t>
  </si>
  <si>
    <t>RM WH-49</t>
  </si>
  <si>
    <t>17578.05921</t>
  </si>
  <si>
    <t>531</t>
  </si>
  <si>
    <t>No.</t>
  </si>
  <si>
    <t>Item Desc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</si>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</sst>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sz val="9"/>
      <color rgb="FF004153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4" applyNumberFormat="0" applyFill="0" applyAlignment="0" applyProtection="0">
      <alignment vertical="center"/>
    </xf>
    <xf numFmtId="0" fontId="16" fillId="0" borderId="24" applyNumberFormat="0" applyFill="0" applyAlignment="0" applyProtection="0">
      <alignment vertical="center"/>
    </xf>
    <xf numFmtId="0" fontId="17" fillId="0" borderId="2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6" applyNumberFormat="0" applyAlignment="0" applyProtection="0">
      <alignment vertical="center"/>
    </xf>
    <xf numFmtId="0" fontId="19" fillId="17" borderId="27" applyNumberFormat="0" applyAlignment="0" applyProtection="0">
      <alignment vertical="center"/>
    </xf>
    <xf numFmtId="0" fontId="20" fillId="17" borderId="26" applyNumberFormat="0" applyAlignment="0" applyProtection="0">
      <alignment vertical="center"/>
    </xf>
    <xf numFmtId="0" fontId="21" fillId="18" borderId="28" applyNumberFormat="0" applyAlignment="0" applyProtection="0">
      <alignment vertical="center"/>
    </xf>
    <xf numFmtId="0" fontId="22" fillId="0" borderId="29" applyNumberFormat="0" applyFill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0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5" xfId="49" applyNumberFormat="1" applyFont="1" applyFill="1" applyBorder="1" applyAlignment="1"/>
    <xf numFmtId="0" fontId="0" fillId="0" borderId="5" xfId="49" applyNumberFormat="1" applyFill="1" applyBorder="1" applyAlignment="1"/>
    <xf numFmtId="0" fontId="0" fillId="0" borderId="6" xfId="49" applyFill="1" applyBorder="1" applyAlignment="1">
      <alignment vertical="center"/>
    </xf>
    <xf numFmtId="0" fontId="0" fillId="0" borderId="6" xfId="49" applyNumberFormat="1" applyFont="1" applyFill="1" applyBorder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8" borderId="7" xfId="49" applyFont="1" applyFill="1" applyBorder="1" applyAlignment="1"/>
    <xf numFmtId="0" fontId="1" fillId="8" borderId="8" xfId="49" applyFont="1" applyFill="1" applyBorder="1" applyAlignment="1"/>
    <xf numFmtId="0" fontId="1" fillId="8" borderId="1" xfId="49" applyNumberFormat="1" applyFont="1" applyFill="1" applyBorder="1" applyAlignment="1"/>
    <xf numFmtId="0" fontId="1" fillId="8" borderId="1" xfId="49" applyFont="1" applyFill="1" applyBorder="1" applyAlignment="1"/>
    <xf numFmtId="2" fontId="1" fillId="8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4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9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2" fillId="0" borderId="9" xfId="49" applyFont="1" applyFill="1" applyBorder="1" applyAlignment="1">
      <alignment horizontal="left"/>
    </xf>
    <xf numFmtId="0" fontId="2" fillId="0" borderId="8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0" borderId="9" xfId="49" applyFont="1" applyFill="1" applyBorder="1" applyAlignment="1">
      <alignment horizontal="center"/>
    </xf>
    <xf numFmtId="0" fontId="1" fillId="10" borderId="7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5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0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2" xfId="0" applyFont="1" applyFill="1" applyBorder="1" applyAlignment="1"/>
    <xf numFmtId="0" fontId="2" fillId="0" borderId="5" xfId="0" applyFont="1" applyFill="1" applyBorder="1" applyAlignment="1"/>
    <xf numFmtId="180" fontId="2" fillId="0" borderId="5" xfId="0" applyNumberFormat="1" applyFont="1" applyFill="1" applyBorder="1" applyAlignment="1"/>
    <xf numFmtId="2" fontId="2" fillId="0" borderId="5" xfId="0" applyNumberFormat="1" applyFont="1" applyFill="1" applyBorder="1" applyAlignment="1"/>
    <xf numFmtId="2" fontId="2" fillId="0" borderId="13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6" fillId="0" borderId="0" xfId="0" applyFont="1" applyFill="1" applyAlignment="1"/>
    <xf numFmtId="0" fontId="2" fillId="0" borderId="14" xfId="0" applyFont="1" applyFill="1" applyBorder="1" applyAlignment="1"/>
    <xf numFmtId="0" fontId="2" fillId="0" borderId="15" xfId="0" applyFont="1" applyFill="1" applyBorder="1" applyAlignment="1"/>
    <xf numFmtId="180" fontId="2" fillId="0" borderId="15" xfId="0" applyNumberFormat="1" applyFont="1" applyFill="1" applyBorder="1" applyAlignment="1"/>
    <xf numFmtId="2" fontId="2" fillId="0" borderId="15" xfId="0" applyNumberFormat="1" applyFont="1" applyFill="1" applyBorder="1" applyAlignment="1"/>
    <xf numFmtId="2" fontId="2" fillId="0" borderId="16" xfId="0" applyNumberFormat="1" applyFont="1" applyFill="1" applyBorder="1" applyAlignment="1"/>
    <xf numFmtId="0" fontId="1" fillId="8" borderId="17" xfId="0" applyFont="1" applyFill="1" applyBorder="1" applyAlignment="1">
      <alignment horizontal="center" vertical="top"/>
    </xf>
    <xf numFmtId="0" fontId="1" fillId="8" borderId="18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left" vertical="top"/>
    </xf>
    <xf numFmtId="0" fontId="1" fillId="0" borderId="6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left" vertical="top"/>
    </xf>
    <xf numFmtId="0" fontId="1" fillId="0" borderId="6" xfId="0" applyFont="1" applyFill="1" applyBorder="1" applyAlignment="1">
      <alignment vertical="top"/>
    </xf>
    <xf numFmtId="0" fontId="2" fillId="0" borderId="6" xfId="0" applyFont="1" applyFill="1" applyBorder="1" applyAlignment="1">
      <alignment vertical="top"/>
    </xf>
    <xf numFmtId="0" fontId="0" fillId="0" borderId="6" xfId="0" applyFill="1" applyBorder="1" applyAlignment="1">
      <alignment vertical="top"/>
    </xf>
    <xf numFmtId="0" fontId="1" fillId="2" borderId="6" xfId="0" applyFont="1" applyFill="1" applyBorder="1" applyAlignment="1">
      <alignment horizontal="left" vertical="top"/>
    </xf>
    <xf numFmtId="0" fontId="1" fillId="3" borderId="6" xfId="0" applyFont="1" applyFill="1" applyBorder="1" applyAlignment="1">
      <alignment horizontal="left" vertical="top"/>
    </xf>
    <xf numFmtId="0" fontId="1" fillId="11" borderId="6" xfId="0" applyFont="1" applyFill="1" applyBorder="1" applyAlignment="1">
      <alignment horizontal="left" vertical="top"/>
    </xf>
    <xf numFmtId="0" fontId="1" fillId="5" borderId="6" xfId="0" applyFont="1" applyFill="1" applyBorder="1" applyAlignment="1">
      <alignment horizontal="left" vertical="top"/>
    </xf>
    <xf numFmtId="0" fontId="1" fillId="6" borderId="6" xfId="0" applyFont="1" applyFill="1" applyBorder="1" applyAlignment="1">
      <alignment horizontal="left" vertical="top"/>
    </xf>
    <xf numFmtId="0" fontId="1" fillId="7" borderId="6" xfId="0" applyFont="1" applyFill="1" applyBorder="1" applyAlignment="1">
      <alignment horizontal="left" vertical="top"/>
    </xf>
    <xf numFmtId="0" fontId="7" fillId="12" borderId="6" xfId="0" applyFont="1" applyFill="1" applyBorder="1" applyAlignment="1">
      <alignment horizontal="center" vertical="top"/>
    </xf>
    <xf numFmtId="0" fontId="2" fillId="2" borderId="6" xfId="0" applyFont="1" applyFill="1" applyBorder="1"/>
    <xf numFmtId="0" fontId="2" fillId="2" borderId="6" xfId="0" applyFont="1" applyFill="1" applyBorder="1" applyAlignment="1"/>
    <xf numFmtId="0" fontId="2" fillId="0" borderId="6" xfId="0" applyNumberFormat="1" applyFont="1" applyFill="1" applyBorder="1" applyAlignment="1">
      <alignment horizontal="left" vertical="top"/>
    </xf>
    <xf numFmtId="0" fontId="2" fillId="0" borderId="6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6" xfId="0" applyNumberFormat="1" applyBorder="1" applyAlignment="1">
      <alignment vertical="top"/>
    </xf>
    <xf numFmtId="0" fontId="0" fillId="0" borderId="6" xfId="0" applyNumberFormat="1" applyFon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0" fillId="0" borderId="6" xfId="0" applyNumberFormat="1" applyBorder="1" applyAlignment="1">
      <alignment horizontal="center" vertical="top"/>
    </xf>
    <xf numFmtId="0" fontId="1" fillId="8" borderId="6" xfId="0" applyFont="1" applyFill="1" applyBorder="1" applyAlignment="1">
      <alignment vertical="top"/>
    </xf>
    <xf numFmtId="0" fontId="1" fillId="8" borderId="6" xfId="0" applyNumberFormat="1" applyFont="1" applyFill="1" applyBorder="1" applyAlignment="1">
      <alignment vertical="top"/>
    </xf>
    <xf numFmtId="2" fontId="1" fillId="8" borderId="6" xfId="0" applyNumberFormat="1" applyFont="1" applyFill="1" applyBorder="1" applyAlignment="1">
      <alignment vertical="top"/>
    </xf>
    <xf numFmtId="0" fontId="1" fillId="6" borderId="6" xfId="0" applyFont="1" applyFill="1" applyBorder="1" applyAlignment="1">
      <alignment vertical="top"/>
    </xf>
    <xf numFmtId="2" fontId="1" fillId="6" borderId="6" xfId="0" applyNumberFormat="1" applyFont="1" applyFill="1" applyBorder="1" applyAlignment="1">
      <alignment vertical="top"/>
    </xf>
    <xf numFmtId="0" fontId="2" fillId="0" borderId="6" xfId="0" applyNumberFormat="1" applyFont="1" applyFill="1" applyBorder="1" applyAlignment="1">
      <alignment vertical="top"/>
    </xf>
    <xf numFmtId="0" fontId="0" fillId="0" borderId="6" xfId="0" applyNumberFormat="1" applyFill="1" applyBorder="1" applyAlignment="1">
      <alignment vertical="top"/>
    </xf>
    <xf numFmtId="0" fontId="0" fillId="0" borderId="6" xfId="0" applyBorder="1" applyAlignment="1">
      <alignment vertical="top"/>
    </xf>
    <xf numFmtId="0" fontId="1" fillId="8" borderId="19" xfId="0" applyFont="1" applyFill="1" applyBorder="1" applyAlignment="1">
      <alignment horizontal="center" vertical="top"/>
    </xf>
    <xf numFmtId="0" fontId="1" fillId="8" borderId="20" xfId="0" applyFont="1" applyFill="1" applyBorder="1" applyAlignment="1">
      <alignment horizontal="center" vertical="top"/>
    </xf>
    <xf numFmtId="0" fontId="1" fillId="8" borderId="21" xfId="0" applyFont="1" applyFill="1" applyBorder="1" applyAlignment="1">
      <alignment horizontal="center" vertical="top"/>
    </xf>
    <xf numFmtId="0" fontId="2" fillId="0" borderId="6" xfId="0" applyNumberFormat="1" applyFont="1" applyBorder="1" applyAlignment="1">
      <alignment horizontal="left" vertical="top"/>
    </xf>
    <xf numFmtId="0" fontId="1" fillId="4" borderId="6" xfId="0" applyFont="1" applyFill="1" applyBorder="1" applyAlignment="1">
      <alignment horizontal="left" vertical="top"/>
    </xf>
    <xf numFmtId="2" fontId="2" fillId="0" borderId="6" xfId="0" applyNumberFormat="1" applyFont="1" applyFill="1" applyBorder="1" applyAlignment="1">
      <alignment vertical="top"/>
    </xf>
    <xf numFmtId="181" fontId="2" fillId="0" borderId="6" xfId="0" applyNumberFormat="1" applyFont="1" applyFill="1" applyBorder="1" applyAlignment="1">
      <alignment vertical="top"/>
    </xf>
    <xf numFmtId="180" fontId="2" fillId="0" borderId="6" xfId="0" applyNumberFormat="1" applyFont="1" applyFill="1" applyBorder="1" applyAlignment="1">
      <alignment vertical="top"/>
    </xf>
    <xf numFmtId="0" fontId="8" fillId="13" borderId="6" xfId="0" applyFont="1" applyFill="1" applyBorder="1" applyAlignment="1">
      <alignment vertical="top"/>
    </xf>
    <xf numFmtId="182" fontId="2" fillId="0" borderId="6" xfId="0" applyNumberFormat="1" applyFont="1" applyFill="1" applyBorder="1" applyAlignment="1">
      <alignment vertical="top"/>
    </xf>
    <xf numFmtId="0" fontId="0" fillId="0" borderId="6" xfId="0" applyNumberFormat="1" applyFont="1" applyFill="1" applyBorder="1" applyAlignment="1">
      <alignment vertical="top"/>
    </xf>
    <xf numFmtId="0" fontId="8" fillId="0" borderId="6" xfId="0" applyFont="1" applyFill="1" applyBorder="1" applyAlignment="1">
      <alignment vertical="top"/>
    </xf>
    <xf numFmtId="0" fontId="0" fillId="0" borderId="6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14" borderId="6" xfId="0" applyFont="1" applyFill="1" applyBorder="1" applyAlignment="1">
      <alignment horizontal="left" vertical="top"/>
    </xf>
    <xf numFmtId="0" fontId="1" fillId="2" borderId="6" xfId="0" applyFont="1" applyFill="1" applyBorder="1" applyAlignment="1">
      <alignment horizontal="center" vertical="center"/>
    </xf>
    <xf numFmtId="0" fontId="2" fillId="0" borderId="22" xfId="0" applyFont="1" applyFill="1" applyBorder="1"/>
    <xf numFmtId="0" fontId="0" fillId="0" borderId="6" xfId="0" applyNumberFormat="1" applyBorder="1" applyAlignment="1">
      <alignment horizontal="left" vertical="top"/>
    </xf>
    <xf numFmtId="0" fontId="0" fillId="0" borderId="6" xfId="0" applyNumberFormat="1" applyFont="1" applyBorder="1" applyAlignment="1">
      <alignment horizontal="left" vertical="top"/>
    </xf>
    <xf numFmtId="0" fontId="1" fillId="8" borderId="6" xfId="0" applyFont="1" applyFill="1" applyBorder="1" applyAlignment="1">
      <alignment horizontal="left" vertical="top"/>
    </xf>
    <xf numFmtId="0" fontId="1" fillId="8" borderId="6" xfId="0" applyNumberFormat="1" applyFont="1" applyFill="1" applyBorder="1" applyAlignment="1">
      <alignment horizontal="left" vertical="top"/>
    </xf>
    <xf numFmtId="2" fontId="1" fillId="8" borderId="6" xfId="0" applyNumberFormat="1" applyFont="1" applyFill="1" applyBorder="1" applyAlignment="1">
      <alignment horizontal="left" vertical="top"/>
    </xf>
    <xf numFmtId="2" fontId="1" fillId="6" borderId="6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H6" workbookViewId="0">
      <selection activeCell="P18" sqref="P18"/>
    </sheetView>
  </sheetViews>
  <sheetFormatPr defaultColWidth="8.71818181818182" defaultRowHeight="14.5"/>
  <cols>
    <col min="1" max="1" width="25.5727272727273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  <col min="70" max="70" width="5.42727272727273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O16" s="57"/>
      <c r="BP16" s="57"/>
      <c r="BQ16" s="57"/>
    </row>
    <row r="17" spans="1:70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O17" s="57"/>
      <c r="BP17" s="57"/>
      <c r="BQ17" s="57"/>
    </row>
    <row r="18" ht="15.25" spans="1:70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O18" s="57"/>
      <c r="BP18" s="57"/>
      <c r="BQ18" s="57"/>
    </row>
    <row r="19" ht="15.25" spans="1:70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O19" s="57"/>
      <c r="BP19" s="57"/>
      <c r="BQ19" s="57"/>
    </row>
    <row r="20" s="124" customFormat="1" spans="1:70">
      <c r="A20" s="126" t="s">
        <v>42</v>
      </c>
      <c r="B20" s="126"/>
      <c r="C20" s="126"/>
      <c r="D20" s="126"/>
      <c r="E20" s="126"/>
      <c r="F20" s="126"/>
      <c r="G20" s="126"/>
      <c r="H20" s="126"/>
      <c r="I20" s="127"/>
      <c r="J20" s="127"/>
      <c r="K20" s="127"/>
      <c r="L20" s="127"/>
      <c r="M20" s="127"/>
      <c r="N20" s="127"/>
      <c r="O20" s="127"/>
      <c r="P20" s="127"/>
      <c r="Q20" s="127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6"/>
      <c r="AQ20" s="126"/>
      <c r="AR20" s="126"/>
      <c r="AS20" s="128"/>
    </row>
    <row r="21" s="124" customFormat="1" spans="1:70">
      <c r="A21" s="81" t="s">
        <v>43</v>
      </c>
      <c r="B21" s="81"/>
      <c r="C21" s="83">
        <v>3</v>
      </c>
      <c r="D21" s="83" t="s">
        <v>44</v>
      </c>
      <c r="E21" s="83"/>
      <c r="F21" s="83"/>
      <c r="G21" s="83"/>
      <c r="H21" s="83"/>
      <c r="I21" s="81" t="s">
        <v>45</v>
      </c>
      <c r="J21" s="81" t="s">
        <v>46</v>
      </c>
      <c r="K21" s="81"/>
      <c r="L21" s="81" t="s">
        <v>47</v>
      </c>
      <c r="M21" s="81">
        <v>85</v>
      </c>
      <c r="N21" s="81"/>
      <c r="O21" s="81" t="s">
        <v>48</v>
      </c>
      <c r="P21" s="81">
        <v>1</v>
      </c>
      <c r="Q21" s="81" t="s">
        <v>49</v>
      </c>
      <c r="R21" s="83"/>
      <c r="S21" s="83"/>
      <c r="T21" s="83"/>
      <c r="U21" s="83"/>
      <c r="V21" s="83">
        <v>1</v>
      </c>
      <c r="W21" s="83" t="s">
        <v>50</v>
      </c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129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130"/>
      <c r="BN21" s="130"/>
      <c r="BO21" s="130"/>
      <c r="BP21" s="130"/>
      <c r="BQ21" s="130"/>
    </row>
    <row r="22" s="125" customFormat="1" ht="15.25" spans="1:70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131" t="s">
        <v>55</v>
      </c>
      <c r="M22" s="131" t="s">
        <v>56</v>
      </c>
      <c r="N22" s="131" t="s">
        <v>57</v>
      </c>
      <c r="O22" s="131" t="s">
        <v>58</v>
      </c>
      <c r="P22" s="131" t="s">
        <v>59</v>
      </c>
      <c r="Q22" s="131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132" t="s">
        <v>88</v>
      </c>
      <c r="AT22" s="132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  <c r="BR22" s="133"/>
    </row>
    <row r="23" s="124" customFormat="1" ht="15.25" spans="1:70">
      <c r="A23" s="81">
        <v>1</v>
      </c>
      <c r="B23" s="81" t="s">
        <v>110</v>
      </c>
      <c r="C23" s="81" t="s">
        <v>110</v>
      </c>
      <c r="D23" s="81" t="s">
        <v>12</v>
      </c>
      <c r="E23" s="81" t="s">
        <v>12</v>
      </c>
      <c r="F23" s="96">
        <v>2</v>
      </c>
      <c r="G23" s="96">
        <v>100</v>
      </c>
      <c r="H23" s="114">
        <f>F23*G23</f>
        <v>200</v>
      </c>
      <c r="I23" s="130">
        <v>1</v>
      </c>
      <c r="J23" s="114">
        <v>2</v>
      </c>
      <c r="K23" s="114">
        <v>4</v>
      </c>
      <c r="L23" s="114">
        <f>H23</f>
        <v>200</v>
      </c>
      <c r="M23" s="114">
        <f>ROUND(L23*I23%,2)</f>
        <v>2</v>
      </c>
      <c r="N23" s="114">
        <f>H23-M23</f>
        <v>198</v>
      </c>
      <c r="O23" s="114">
        <f>ROUND(N23*J23%,2)</f>
        <v>3.96</v>
      </c>
      <c r="P23" s="114">
        <f>ROUND(N23-O23,2)</f>
        <v>194.04</v>
      </c>
      <c r="Q23" s="114">
        <f>ROUND(P23*K23%,2)</f>
        <v>7.76</v>
      </c>
      <c r="R23" s="114">
        <f>M23+O23+Q23</f>
        <v>13.72</v>
      </c>
      <c r="S23" s="114">
        <f>(H23-R23)</f>
        <v>186.28</v>
      </c>
      <c r="T23" s="114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114">
        <f>IF($V21=1,S23+AB23,S23)</f>
        <v>186.28</v>
      </c>
      <c r="AD23" s="114">
        <v>120</v>
      </c>
      <c r="AE23" s="114">
        <f>IF($P$21=1,(S23/$S$24)*$E$35,AD23/$AD$24*$E$35)</f>
        <v>0</v>
      </c>
      <c r="AF23" s="114"/>
      <c r="AG23" s="114">
        <f>IF($P$21=1,(S23/$S$24)*$E$37,AD23/$AD$24*$E$37)</f>
        <v>0</v>
      </c>
      <c r="AH23" s="114">
        <f>IF($P$21=1,(S23/$S$24)*$E$37,AD23/$AD$24*$E$37)</f>
        <v>0</v>
      </c>
      <c r="AI23" s="114">
        <f>S23*$M$21</f>
        <v>15833.8</v>
      </c>
      <c r="AJ23" s="114">
        <f>IF($C$21=3,0,AG23+AH23)</f>
        <v>0</v>
      </c>
      <c r="AK23" s="114">
        <f>IF($C$21=3,AE23+AG23+AH23,0)</f>
        <v>0</v>
      </c>
      <c r="AL23" s="114">
        <v>1</v>
      </c>
      <c r="AM23" s="114">
        <f>F23/AL23</f>
        <v>2</v>
      </c>
      <c r="AN23" s="114">
        <f>AI23/AM23</f>
        <v>7916.9</v>
      </c>
      <c r="AO23" s="114">
        <f>AJ23/AM23</f>
        <v>0</v>
      </c>
      <c r="AP23" s="114">
        <f>AK23/AM23</f>
        <v>0</v>
      </c>
      <c r="AQ23" s="114" t="s">
        <v>12</v>
      </c>
      <c r="AR23" s="114">
        <f>AN23+AO23+AP23</f>
        <v>7916.9</v>
      </c>
      <c r="AS23" s="114" t="s">
        <v>112</v>
      </c>
      <c r="AT23" s="114" t="s">
        <v>12</v>
      </c>
      <c r="AU23" t="s">
        <v>113</v>
      </c>
      <c r="AV23" t="s">
        <v>114</v>
      </c>
      <c r="AW23" s="114">
        <f>AM23</f>
        <v>2</v>
      </c>
      <c r="AX23" s="114">
        <f>AR23</f>
        <v>7916.9</v>
      </c>
      <c r="AY23" s="114">
        <f>AU23+AW23</f>
        <v>2</v>
      </c>
      <c r="AZ23" s="114">
        <f>ROUND(((AU23*AV23)+(AW23*AX23))/(AU23+AW23),5)</f>
        <v>7916.9</v>
      </c>
      <c r="BA23" s="134"/>
      <c r="BB23" s="134" t="s">
        <v>115</v>
      </c>
      <c r="BC23" s="134" t="s">
        <v>116</v>
      </c>
      <c r="BD23" s="135" t="s">
        <v>117</v>
      </c>
      <c r="BE23" s="135" t="s">
        <v>118</v>
      </c>
      <c r="BF23" s="134"/>
      <c r="BG23" s="134"/>
      <c r="BH23" s="134"/>
      <c r="BI23" s="114"/>
      <c r="BJ23" s="114"/>
      <c r="BK23" s="114"/>
      <c r="BL23" s="114" t="s">
        <v>119</v>
      </c>
      <c r="BM23" t="s">
        <v>120</v>
      </c>
      <c r="BN23" t="s">
        <v>121</v>
      </c>
      <c r="BO23" s="114">
        <f>ROUND((((AW23*AZ23)+(BN23*BM23))/(AW23+BN23)),5)</f>
        <v>8051.75552</v>
      </c>
      <c r="BP23" s="134">
        <f>BN23+AW23</f>
        <v>4</v>
      </c>
      <c r="BQ23" s="134">
        <v>88363222</v>
      </c>
    </row>
    <row r="24" s="124" customFormat="1" spans="1:70">
      <c r="A24" s="129"/>
      <c r="B24" s="130"/>
      <c r="C24" s="130"/>
      <c r="D24" s="136" t="s">
        <v>41</v>
      </c>
      <c r="E24" s="136"/>
      <c r="F24" s="136"/>
      <c r="G24" s="136"/>
      <c r="H24" s="136">
        <f>SUM(H23:H23)</f>
        <v>200</v>
      </c>
      <c r="I24" s="129"/>
      <c r="J24" s="129"/>
      <c r="K24" s="129"/>
      <c r="L24" s="129"/>
      <c r="M24" s="129"/>
      <c r="N24" s="129"/>
      <c r="O24" s="129"/>
      <c r="P24" s="129"/>
      <c r="Q24" s="129"/>
      <c r="R24" s="136">
        <f t="shared" ref="R24:Y24" si="1">SUM(R23:R23)</f>
        <v>13.72</v>
      </c>
      <c r="S24" s="137">
        <f t="shared" si="1"/>
        <v>186.28</v>
      </c>
      <c r="T24" s="136"/>
      <c r="U24" s="136"/>
      <c r="V24" s="138">
        <f t="shared" si="1"/>
        <v>0</v>
      </c>
      <c r="W24" s="138">
        <f t="shared" si="1"/>
        <v>0</v>
      </c>
      <c r="X24" s="138">
        <f t="shared" si="1"/>
        <v>0</v>
      </c>
      <c r="Y24" s="138">
        <f t="shared" si="1"/>
        <v>0</v>
      </c>
      <c r="Z24" s="138"/>
      <c r="AA24" s="138">
        <f t="shared" ref="AA24:AE24" si="2">SUM(AA23:AA23)</f>
        <v>0</v>
      </c>
      <c r="AB24" s="136">
        <f t="shared" si="2"/>
        <v>0</v>
      </c>
      <c r="AC24" s="91">
        <f t="shared" si="2"/>
        <v>186.28</v>
      </c>
      <c r="AD24" s="139">
        <f t="shared" si="2"/>
        <v>120</v>
      </c>
      <c r="AE24" s="139">
        <f t="shared" si="2"/>
        <v>0</v>
      </c>
      <c r="AF24" s="91"/>
      <c r="AG24" s="139">
        <f t="shared" ref="AG24:AK24" si="3">SUM(AG23:AG23)</f>
        <v>0</v>
      </c>
      <c r="AH24" s="139">
        <f t="shared" si="3"/>
        <v>0</v>
      </c>
      <c r="AI24" s="139">
        <f t="shared" si="3"/>
        <v>15833.8</v>
      </c>
      <c r="AJ24" s="139">
        <f t="shared" si="3"/>
        <v>0</v>
      </c>
      <c r="AK24" s="139">
        <f t="shared" si="3"/>
        <v>0</v>
      </c>
      <c r="AL24" s="91"/>
      <c r="AM24" s="91"/>
      <c r="AN24" s="91"/>
      <c r="AO24" s="91"/>
      <c r="AP24" s="91"/>
      <c r="AQ24" s="91"/>
      <c r="AR24" s="91"/>
      <c r="AS24" s="129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  <c r="BJ24" s="130"/>
      <c r="BK24" s="130"/>
      <c r="BL24" s="130"/>
      <c r="BM24" s="130"/>
      <c r="BN24" s="130"/>
      <c r="BO24" s="130"/>
      <c r="BP24" s="130"/>
      <c r="BQ24" s="1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M9" workbookViewId="0">
      <selection activeCell="Q27" sqref="Q27"/>
    </sheetView>
  </sheetViews>
  <sheetFormatPr defaultColWidth="8.71818181818182" defaultRowHeight="14.5"/>
  <cols>
    <col min="1" max="1" width="7.57272727272727" customWidth="1"/>
    <col min="2" max="3" width="2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10.7181818181818" customWidth="1"/>
    <col min="21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49.1454545454545" customWidth="1"/>
    <col min="66" max="66" width="43.8545454545455" customWidth="1"/>
    <col min="67" max="67" width="22.7181818181818" customWidth="1"/>
    <col min="68" max="68" width="40.8545454545455" customWidth="1"/>
    <col min="69" max="69" width="7.57272727272727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54</v>
      </c>
      <c r="K22" s="88" t="s">
        <v>53</v>
      </c>
      <c r="L22" s="115" t="s">
        <v>55</v>
      </c>
      <c r="M22" s="115" t="s">
        <v>56</v>
      </c>
      <c r="N22" s="115" t="s">
        <v>59</v>
      </c>
      <c r="O22" s="115" t="s">
        <v>60</v>
      </c>
      <c r="P22" s="115" t="s">
        <v>122</v>
      </c>
      <c r="Q22" s="115" t="s">
        <v>58</v>
      </c>
      <c r="R22" s="88" t="s">
        <v>61</v>
      </c>
      <c r="S22" s="87" t="s">
        <v>123</v>
      </c>
      <c r="T22" s="87" t="s">
        <v>63</v>
      </c>
      <c r="U22" s="90" t="s">
        <v>124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125</v>
      </c>
      <c r="AS22" s="87" t="s">
        <v>88</v>
      </c>
      <c r="AT22" s="87" t="s">
        <v>86</v>
      </c>
      <c r="AU22" s="87" t="s">
        <v>89</v>
      </c>
      <c r="AV22" s="87" t="s">
        <v>90</v>
      </c>
      <c r="AW22" s="87" t="s">
        <v>91</v>
      </c>
      <c r="AX22" s="87" t="s">
        <v>92</v>
      </c>
      <c r="AY22" s="87" t="s">
        <v>93</v>
      </c>
      <c r="AZ22" s="87" t="s">
        <v>94</v>
      </c>
      <c r="BA22" s="87" t="s">
        <v>95</v>
      </c>
      <c r="BB22" s="87" t="s">
        <v>96</v>
      </c>
      <c r="BC22" s="87" t="s">
        <v>97</v>
      </c>
      <c r="BD22" s="87" t="s">
        <v>98</v>
      </c>
      <c r="BE22" s="87" t="s">
        <v>99</v>
      </c>
      <c r="BF22" s="87" t="s">
        <v>100</v>
      </c>
      <c r="BG22" s="87" t="s">
        <v>101</v>
      </c>
      <c r="BH22" s="87" t="s">
        <v>102</v>
      </c>
      <c r="BI22" s="87" t="s">
        <v>103</v>
      </c>
      <c r="BJ22" s="87" t="s">
        <v>104</v>
      </c>
      <c r="BK22" s="87" t="s">
        <v>105</v>
      </c>
      <c r="BL22" s="87" t="s">
        <v>106</v>
      </c>
      <c r="BM22" s="87" t="s">
        <v>107</v>
      </c>
      <c r="BN22" s="87" t="s">
        <v>108</v>
      </c>
      <c r="BO22" s="87" t="s">
        <v>94</v>
      </c>
      <c r="BP22" s="87" t="s">
        <v>109</v>
      </c>
      <c r="BQ22" s="87" t="s">
        <v>63</v>
      </c>
    </row>
    <row r="23" ht="15.25" spans="1:69">
      <c r="A23" s="81">
        <v>1</v>
      </c>
      <c r="B23" s="38" t="s">
        <v>126</v>
      </c>
      <c r="C23" s="38" t="s">
        <v>126</v>
      </c>
      <c r="D23" s="81" t="s">
        <v>12</v>
      </c>
      <c r="E23" s="81" t="s">
        <v>12</v>
      </c>
      <c r="F23" s="96">
        <v>2</v>
      </c>
      <c r="G23" s="96">
        <v>100</v>
      </c>
      <c r="H23" s="108">
        <f>F23*G23</f>
        <v>200</v>
      </c>
      <c r="I23" s="86">
        <v>1</v>
      </c>
      <c r="J23" s="108">
        <v>2</v>
      </c>
      <c r="K23" s="108">
        <v>4</v>
      </c>
      <c r="L23" s="108">
        <f>IF(OR(I23=0,I23="0"),0,H23)</f>
        <v>200</v>
      </c>
      <c r="M23" s="108">
        <f>ROUND(L23*I23%,3)</f>
        <v>2</v>
      </c>
      <c r="N23" s="108">
        <f>H23-M23</f>
        <v>198</v>
      </c>
      <c r="O23" s="108">
        <f>ROUND(N23*J23%,3)</f>
        <v>3.96</v>
      </c>
      <c r="P23" s="108">
        <f>ROUND(N23-O23,2)</f>
        <v>194.04</v>
      </c>
      <c r="Q23" s="108">
        <f>ROUND(P23*K23%,2)</f>
        <v>7.76</v>
      </c>
      <c r="R23" s="116">
        <f>ROUND(M23+O23+Q23,3)</f>
        <v>13.72</v>
      </c>
      <c r="S23" s="108">
        <f>(H23-R23)</f>
        <v>186.28</v>
      </c>
      <c r="T23" s="108">
        <v>88363222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117">
        <f>IF($V21=1,S23+AB23,S23)</f>
        <v>186.28</v>
      </c>
      <c r="AD23" s="116">
        <v>120</v>
      </c>
      <c r="AE23" s="116">
        <f>IF($P$21=1,(S23/$S$23)*$E$30,AD23/$AD$4*$E$30)</f>
        <v>0</v>
      </c>
      <c r="AF23" s="116"/>
      <c r="AG23" s="116">
        <f>IF($P$21=1,(S23/$S$23)*$E$20,AD23/$AD$23*$E$20)</f>
        <v>0</v>
      </c>
      <c r="AH23" s="116">
        <f>IF($P$21=1,(S23/$S$23)*$E$21,AD23/$AD$23*$E$21)</f>
        <v>0</v>
      </c>
      <c r="AI23" s="116">
        <f>S23*$M21</f>
        <v>15833.8</v>
      </c>
      <c r="AJ23" s="116">
        <f>IF($C$2=3,0,AG23+AH23)</f>
        <v>0</v>
      </c>
      <c r="AK23" s="116">
        <f>IF($C$2=3,AE23+AG23+AH23,0)</f>
        <v>0</v>
      </c>
      <c r="AL23" s="118">
        <v>3</v>
      </c>
      <c r="AM23" s="116">
        <f>F23/AL23</f>
        <v>0.666666666666667</v>
      </c>
      <c r="AN23" s="116">
        <f>ROUND(AI23/AM23,5)</f>
        <v>23750.7</v>
      </c>
      <c r="AO23" s="116">
        <f>AJ23/AM23</f>
        <v>0</v>
      </c>
      <c r="AP23" s="116">
        <f>AK23/AM23</f>
        <v>0</v>
      </c>
      <c r="AQ23" s="116" t="s">
        <v>12</v>
      </c>
      <c r="AR23" s="116">
        <f>ROUND(AN23+AO23+AP23,5)</f>
        <v>23750.7</v>
      </c>
      <c r="AS23" s="119" t="s">
        <v>112</v>
      </c>
      <c r="AT23" s="108" t="s">
        <v>12</v>
      </c>
      <c r="AU23" s="110" t="s">
        <v>127</v>
      </c>
      <c r="AV23" s="110" t="s">
        <v>128</v>
      </c>
      <c r="AW23" s="108">
        <f>AM23</f>
        <v>0.666666666666667</v>
      </c>
      <c r="AX23" s="116">
        <f>AR23</f>
        <v>23750.7</v>
      </c>
      <c r="AY23" s="108">
        <f>AU23+AW23</f>
        <v>117.000666666667</v>
      </c>
      <c r="AZ23" s="120">
        <f>ROUND(((AU23*AV23)+(AW23*AX23))/(AU23+AW23),5)</f>
        <v>6394.32854</v>
      </c>
      <c r="BA23" s="109"/>
      <c r="BB23" s="109" t="s">
        <v>115</v>
      </c>
      <c r="BC23" s="109" t="s">
        <v>116</v>
      </c>
      <c r="BD23" s="121" t="s">
        <v>117</v>
      </c>
      <c r="BE23" s="121" t="s">
        <v>118</v>
      </c>
      <c r="BF23" s="109"/>
      <c r="BG23" s="109"/>
      <c r="BH23" s="109"/>
      <c r="BI23" s="108"/>
      <c r="BJ23" s="108"/>
      <c r="BK23" s="108"/>
      <c r="BL23" s="122" t="s">
        <v>119</v>
      </c>
      <c r="BM23" s="110" t="s">
        <v>129</v>
      </c>
      <c r="BN23" s="110" t="s">
        <v>130</v>
      </c>
      <c r="BO23" s="108">
        <f>ROUND((((AW23*AZ23)+(BN23*BM23))/(AW23+BN23)),5)</f>
        <v>280.32668</v>
      </c>
      <c r="BP23" s="109">
        <f>ROUND(BN23+AW23,3)</f>
        <v>120.667</v>
      </c>
      <c r="BQ23" s="123">
        <v>123562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200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13.72</v>
      </c>
      <c r="S24" s="104">
        <f t="shared" si="1"/>
        <v>186.28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186.28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15833.8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O9" workbookViewId="0">
      <selection activeCell="U23" sqref="U23"/>
    </sheetView>
  </sheetViews>
  <sheetFormatPr defaultColWidth="8.71818181818182" defaultRowHeight="14.5"/>
  <cols>
    <col min="1" max="1" width="7.57272727272727" customWidth="1"/>
    <col min="2" max="3" width="25.281818181818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38" t="s">
        <v>133</v>
      </c>
      <c r="C23" s="38" t="s">
        <v>133</v>
      </c>
      <c r="D23" s="81" t="s">
        <v>12</v>
      </c>
      <c r="E23" s="81" t="s">
        <v>12</v>
      </c>
      <c r="F23" s="96">
        <v>2</v>
      </c>
      <c r="G23" s="96">
        <v>250</v>
      </c>
      <c r="H23" s="97">
        <f>F23*G23</f>
        <v>500</v>
      </c>
      <c r="I23" s="110">
        <v>1</v>
      </c>
      <c r="J23" s="97">
        <v>2</v>
      </c>
      <c r="K23" s="97">
        <v>4</v>
      </c>
      <c r="L23" s="97">
        <f>H23</f>
        <v>500</v>
      </c>
      <c r="M23" s="97">
        <f>ROUND(L23*I23%,2)</f>
        <v>5</v>
      </c>
      <c r="N23" s="97">
        <f>H23-M23</f>
        <v>495</v>
      </c>
      <c r="O23" s="97">
        <f>ROUND(N23*J23%,2)</f>
        <v>9.9</v>
      </c>
      <c r="P23" s="97">
        <f>ROUND(N23-O23,2)</f>
        <v>485.1</v>
      </c>
      <c r="Q23" s="97">
        <f>ROUND(P23*K23%,2)</f>
        <v>19.4</v>
      </c>
      <c r="R23" s="97">
        <f>M23+O23+Q23</f>
        <v>34.3</v>
      </c>
      <c r="S23" s="97">
        <f>(H23-R23)</f>
        <v>465.7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465.7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39584.5</v>
      </c>
      <c r="AJ23" s="97">
        <f>IF($C$21=3,0,AG23+AH23)</f>
        <v>0</v>
      </c>
      <c r="AK23" s="97">
        <f>IF($C$21=3,AE23+AG23+AH23,0)</f>
        <v>0</v>
      </c>
      <c r="AL23" s="97">
        <v>1</v>
      </c>
      <c r="AM23" s="97">
        <f>F23/AL23</f>
        <v>2</v>
      </c>
      <c r="AN23" s="97">
        <f>AI23/AM23</f>
        <v>19792.25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19792.25</v>
      </c>
      <c r="AS23" s="97" t="s">
        <v>112</v>
      </c>
      <c r="AT23" s="97" t="s">
        <v>12</v>
      </c>
      <c r="AU23" t="s">
        <v>113</v>
      </c>
      <c r="AV23" t="s">
        <v>134</v>
      </c>
      <c r="AW23" s="97">
        <f>AM23</f>
        <v>2</v>
      </c>
      <c r="AX23" s="97">
        <f>AR23</f>
        <v>19792.25</v>
      </c>
      <c r="AY23" s="97">
        <f>AU23+AW23</f>
        <v>2</v>
      </c>
      <c r="AZ23" s="97">
        <f>ROUND(((AU23*AV23)+(AW23*AX23))/(AU23+AW23),5)</f>
        <v>19792.25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114" t="s">
        <v>119</v>
      </c>
      <c r="BM23" t="s">
        <v>135</v>
      </c>
      <c r="BN23" t="s">
        <v>136</v>
      </c>
      <c r="BO23" s="97">
        <f>ROUND((((AW23*AZ23)+(BN23*BM23))/(AW23+BN23)),5)</f>
        <v>20068.08768</v>
      </c>
      <c r="BP23" s="99">
        <f>BN23+AW23</f>
        <v>2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500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34.3</v>
      </c>
      <c r="S24" s="104">
        <f t="shared" si="1"/>
        <v>465.7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465.7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39584.5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O12" workbookViewId="0">
      <selection activeCell="U29" sqref="U29"/>
    </sheetView>
  </sheetViews>
  <sheetFormatPr defaultColWidth="8.71818181818182" defaultRowHeight="14.5"/>
  <cols>
    <col min="1" max="1" width="7.57272727272727" customWidth="1"/>
    <col min="2" max="3" width="25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111" t="s">
        <v>41</v>
      </c>
      <c r="C19" s="112"/>
      <c r="D19" s="112"/>
      <c r="E19" s="112"/>
      <c r="F19" s="112"/>
      <c r="G19" s="113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38" t="s">
        <v>137</v>
      </c>
      <c r="C23" s="38" t="s">
        <v>137</v>
      </c>
      <c r="D23" s="81" t="s">
        <v>12</v>
      </c>
      <c r="E23" s="81" t="s">
        <v>12</v>
      </c>
      <c r="F23" s="96">
        <v>2</v>
      </c>
      <c r="G23" s="96">
        <v>250</v>
      </c>
      <c r="H23" s="97">
        <f>F23*G23</f>
        <v>500</v>
      </c>
      <c r="I23" s="110">
        <v>1</v>
      </c>
      <c r="J23" s="97">
        <v>2</v>
      </c>
      <c r="K23" s="97">
        <v>4</v>
      </c>
      <c r="L23" s="97">
        <f>H23</f>
        <v>500</v>
      </c>
      <c r="M23" s="97">
        <f>ROUND(L23*I23%,2)</f>
        <v>5</v>
      </c>
      <c r="N23" s="97">
        <f>H23-M23</f>
        <v>495</v>
      </c>
      <c r="O23" s="97">
        <f>ROUND(N23*J23%,2)</f>
        <v>9.9</v>
      </c>
      <c r="P23" s="97">
        <f>ROUND(N23-O23,2)</f>
        <v>485.1</v>
      </c>
      <c r="Q23" s="97">
        <f>ROUND(P23*K23%,2)</f>
        <v>19.4</v>
      </c>
      <c r="R23" s="97">
        <f>M23+O23+Q23</f>
        <v>34.3</v>
      </c>
      <c r="S23" s="97">
        <f>(H23-R23)</f>
        <v>465.7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465.7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39584.5</v>
      </c>
      <c r="AJ23" s="97">
        <f>IF($C$21=3,0,AG23+AH23)</f>
        <v>0</v>
      </c>
      <c r="AK23" s="97">
        <f>IF($C$21=3,AE23+AG23+AH23,0)</f>
        <v>0</v>
      </c>
      <c r="AL23" s="97">
        <v>1</v>
      </c>
      <c r="AM23" s="97">
        <f>F23/AL23</f>
        <v>2</v>
      </c>
      <c r="AN23" s="97">
        <f>AI23/AM23</f>
        <v>19792.25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19792.25</v>
      </c>
      <c r="AS23" s="97" t="s">
        <v>112</v>
      </c>
      <c r="AT23" s="97" t="s">
        <v>12</v>
      </c>
      <c r="AU23" s="110"/>
      <c r="AV23" s="110"/>
      <c r="AW23" s="97">
        <f>AM23</f>
        <v>2</v>
      </c>
      <c r="AX23" s="97">
        <f>AR23</f>
        <v>19792.25</v>
      </c>
      <c r="AY23" s="97">
        <f>AU23+AW23</f>
        <v>2</v>
      </c>
      <c r="AZ23" s="97">
        <f>ROUND(((AU23*AV23)+(AW23*AX23))/(AU23+AW23),5)</f>
        <v>19792.25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97" t="s">
        <v>119</v>
      </c>
      <c r="BM23" s="110"/>
      <c r="BN23" s="110"/>
      <c r="BO23" s="97">
        <f>ROUND((((AW23*AZ23)+(BN23*BM23))/(AW23+BN23)),5)</f>
        <v>19792.25</v>
      </c>
      <c r="BP23" s="99">
        <f>BN23+AW23</f>
        <v>2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500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X24" si="1">SUM(R23:R23)</f>
        <v>34.3</v>
      </c>
      <c r="S24" s="104">
        <f t="shared" si="1"/>
        <v>465.7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/>
      <c r="Z24" s="105"/>
      <c r="AA24" s="105"/>
      <c r="AB24" s="103">
        <f t="shared" ref="AB24:AE24" si="2">SUM(AB23:AB23)</f>
        <v>0</v>
      </c>
      <c r="AC24" s="106">
        <f t="shared" si="2"/>
        <v>465.7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39584.5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Q9" workbookViewId="0">
      <selection activeCell="W27" sqref="W27"/>
    </sheetView>
  </sheetViews>
  <sheetFormatPr defaultColWidth="8.71818181818182" defaultRowHeight="14.5"/>
  <cols>
    <col min="1" max="1" width="7.57272727272727" customWidth="1"/>
    <col min="2" max="3" width="24.718181818181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81" t="s">
        <v>138</v>
      </c>
      <c r="C23" s="81" t="s">
        <v>138</v>
      </c>
      <c r="D23" s="81" t="s">
        <v>12</v>
      </c>
      <c r="E23" s="81" t="s">
        <v>12</v>
      </c>
      <c r="F23" s="96">
        <v>2</v>
      </c>
      <c r="G23">
        <v>250</v>
      </c>
      <c r="H23" s="97">
        <f>F23*G23</f>
        <v>500</v>
      </c>
      <c r="I23" t="s">
        <v>139</v>
      </c>
      <c r="J23" s="97">
        <v>2</v>
      </c>
      <c r="K23" s="97">
        <v>4</v>
      </c>
      <c r="L23" s="97">
        <f>H23</f>
        <v>500</v>
      </c>
      <c r="M23" s="97">
        <f>ROUND(L23*I23%,2)</f>
        <v>5</v>
      </c>
      <c r="N23" s="97">
        <f>H23-M23</f>
        <v>495</v>
      </c>
      <c r="O23" s="97">
        <f>ROUND(N23*J23%,2)</f>
        <v>9.9</v>
      </c>
      <c r="P23" s="97">
        <f>ROUND(N23-O23,2)</f>
        <v>485.1</v>
      </c>
      <c r="Q23" s="97">
        <f>ROUND(P23*K23%,2)</f>
        <v>19.4</v>
      </c>
      <c r="R23" s="97">
        <f>M23+O23+Q23</f>
        <v>34.3</v>
      </c>
      <c r="S23" s="97">
        <f>(H23-R23)</f>
        <v>465.7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465.7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39584.5</v>
      </c>
      <c r="AJ23" s="97">
        <f>IF($C$21=3,0,AG23+AH23)</f>
        <v>0</v>
      </c>
      <c r="AK23" s="97">
        <f>IF($C$21=3,AE23+AG23+AH23,0)</f>
        <v>0</v>
      </c>
      <c r="AL23" s="97">
        <v>1</v>
      </c>
      <c r="AM23" s="97">
        <f>F23/AL23</f>
        <v>2</v>
      </c>
      <c r="AN23" s="97">
        <f>AI23/AM23</f>
        <v>19792.25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19792.25</v>
      </c>
      <c r="AS23" s="97" t="s">
        <v>112</v>
      </c>
      <c r="AT23" s="97" t="s">
        <v>12</v>
      </c>
      <c r="AU23" t="s">
        <v>113</v>
      </c>
      <c r="AV23" t="s">
        <v>134</v>
      </c>
      <c r="AW23" s="97">
        <f>AM23</f>
        <v>2</v>
      </c>
      <c r="AX23" s="97">
        <f>AR23</f>
        <v>19792.25</v>
      </c>
      <c r="AY23" s="97">
        <f>AU23+AW23</f>
        <v>2</v>
      </c>
      <c r="AZ23" s="97">
        <f>ROUND(((AU23*AV23)+(AW23*AX23))/(AU23+AW23),5)</f>
        <v>19792.25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97" t="s">
        <v>119</v>
      </c>
      <c r="BM23" t="s">
        <v>140</v>
      </c>
      <c r="BN23" t="s">
        <v>141</v>
      </c>
      <c r="BO23" s="97">
        <f>ROUND((((AW23*AZ23)+(BN23*BM23))/(AW23+BN23)),5)</f>
        <v>20046.0947</v>
      </c>
      <c r="BP23" s="99">
        <f>BN23+AW23</f>
        <v>2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500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34.3</v>
      </c>
      <c r="S24" s="104">
        <f t="shared" si="1"/>
        <v>465.7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465.7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39584.5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R15" workbookViewId="0">
      <selection activeCell="W30" sqref="W30"/>
    </sheetView>
  </sheetViews>
  <sheetFormatPr defaultColWidth="8.71818181818182" defaultRowHeight="14.5"/>
  <cols>
    <col min="1" max="1" width="7.57272727272727" customWidth="1"/>
    <col min="2" max="3" width="25.1454545454545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81" t="s">
        <v>142</v>
      </c>
      <c r="C23" s="81" t="s">
        <v>142</v>
      </c>
      <c r="D23" s="81" t="s">
        <v>12</v>
      </c>
      <c r="E23" s="81" t="s">
        <v>12</v>
      </c>
      <c r="F23" s="96">
        <v>2</v>
      </c>
      <c r="G23">
        <v>250</v>
      </c>
      <c r="H23" s="97">
        <f>F23*G23</f>
        <v>500</v>
      </c>
      <c r="I23" t="s">
        <v>139</v>
      </c>
      <c r="J23" s="97">
        <v>2</v>
      </c>
      <c r="K23" s="97">
        <v>4</v>
      </c>
      <c r="L23" s="97">
        <f>H23</f>
        <v>500</v>
      </c>
      <c r="M23" s="97">
        <f>ROUND(L23*I23%,2)</f>
        <v>5</v>
      </c>
      <c r="N23" s="97">
        <f>H23-M23</f>
        <v>495</v>
      </c>
      <c r="O23" s="97">
        <f>ROUND(N23*J23%,2)</f>
        <v>9.9</v>
      </c>
      <c r="P23" s="97">
        <f>ROUND(N23-O23,2)</f>
        <v>485.1</v>
      </c>
      <c r="Q23" s="97">
        <f>ROUND(P23*K23%,2)</f>
        <v>19.4</v>
      </c>
      <c r="R23" s="97">
        <f>M23+O23+Q23</f>
        <v>34.3</v>
      </c>
      <c r="S23" s="97">
        <f>(H23-R23)</f>
        <v>465.7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465.7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39584.5</v>
      </c>
      <c r="AJ23" s="97">
        <f>IF($C$21=3,0,AG23+AH23)</f>
        <v>0</v>
      </c>
      <c r="AK23" s="97">
        <f>IF($C$21=3,AE23+AG23+AH23,0)</f>
        <v>0</v>
      </c>
      <c r="AL23" s="97">
        <v>1</v>
      </c>
      <c r="AM23" s="97">
        <f>F23/AL23</f>
        <v>2</v>
      </c>
      <c r="AN23" s="97">
        <f>AI23/AM23</f>
        <v>19792.25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19792.25</v>
      </c>
      <c r="AS23" s="97" t="s">
        <v>112</v>
      </c>
      <c r="AT23" s="97" t="s">
        <v>12</v>
      </c>
      <c r="AU23" s="110"/>
      <c r="AV23" s="110"/>
      <c r="AW23" s="97">
        <f>AM23</f>
        <v>2</v>
      </c>
      <c r="AX23" s="97">
        <f>AR23</f>
        <v>19792.25</v>
      </c>
      <c r="AY23" s="97">
        <f>AU23+AW23</f>
        <v>2</v>
      </c>
      <c r="AZ23" s="97">
        <f>ROUND(((AU23*AV23)+(AW23*AX23))/(AU23+AW23),5)</f>
        <v>19792.25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97" t="s">
        <v>119</v>
      </c>
      <c r="BM23" s="110"/>
      <c r="BN23" s="110"/>
      <c r="BO23" s="97">
        <f>ROUND((((AW23*AZ23)+(BN23*BM23))/(AW23+BN23)),5)</f>
        <v>19792.25</v>
      </c>
      <c r="BP23" s="99">
        <f>BN23+AW23</f>
        <v>2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500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34.3</v>
      </c>
      <c r="S24" s="104">
        <f t="shared" si="1"/>
        <v>465.7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465.7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39584.5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L6" workbookViewId="0">
      <selection activeCell="S18" sqref="S18"/>
    </sheetView>
  </sheetViews>
  <sheetFormatPr defaultColWidth="8.71818181818182" defaultRowHeight="14.5"/>
  <cols>
    <col min="1" max="1" width="7.57272727272727" customWidth="1"/>
    <col min="2" max="3" width="24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87" t="s">
        <v>91</v>
      </c>
      <c r="AX22" s="87" t="s">
        <v>92</v>
      </c>
      <c r="AY22" s="87" t="s">
        <v>93</v>
      </c>
      <c r="AZ22" s="87" t="s">
        <v>94</v>
      </c>
      <c r="BA22" s="87" t="s">
        <v>95</v>
      </c>
      <c r="BB22" s="87" t="s">
        <v>96</v>
      </c>
      <c r="BC22" s="87" t="s">
        <v>97</v>
      </c>
      <c r="BD22" s="87" t="s">
        <v>98</v>
      </c>
      <c r="BE22" s="87" t="s">
        <v>99</v>
      </c>
      <c r="BF22" s="87" t="s">
        <v>100</v>
      </c>
      <c r="BG22" s="87" t="s">
        <v>101</v>
      </c>
      <c r="BH22" s="87" t="s">
        <v>102</v>
      </c>
      <c r="BI22" s="87" t="s">
        <v>103</v>
      </c>
      <c r="BJ22" s="87" t="s">
        <v>104</v>
      </c>
      <c r="BK22" s="87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38" t="s">
        <v>143</v>
      </c>
      <c r="C23" s="38" t="s">
        <v>143</v>
      </c>
      <c r="D23" s="81" t="s">
        <v>12</v>
      </c>
      <c r="E23" s="81" t="s">
        <v>144</v>
      </c>
      <c r="F23" s="96">
        <v>3</v>
      </c>
      <c r="G23" s="96">
        <v>250</v>
      </c>
      <c r="H23" s="97">
        <f>F23*G23</f>
        <v>750</v>
      </c>
      <c r="I23" s="110">
        <v>1</v>
      </c>
      <c r="J23" s="97">
        <v>2</v>
      </c>
      <c r="K23" s="97">
        <v>4</v>
      </c>
      <c r="L23" s="97">
        <f>H23</f>
        <v>750</v>
      </c>
      <c r="M23" s="97">
        <f>ROUND(L23*I23%,2)</f>
        <v>7.5</v>
      </c>
      <c r="N23" s="97">
        <f>H23-M23</f>
        <v>742.5</v>
      </c>
      <c r="O23" s="97">
        <f>ROUND(N23*J23%,2)</f>
        <v>14.85</v>
      </c>
      <c r="P23" s="97">
        <f>ROUND(N23-O23,2)</f>
        <v>727.65</v>
      </c>
      <c r="Q23" s="97">
        <f>ROUND(P23*K23%,2)</f>
        <v>29.11</v>
      </c>
      <c r="R23" s="97">
        <f>M23+O23+Q23</f>
        <v>51.46</v>
      </c>
      <c r="S23" s="97">
        <f>(H23-R23)</f>
        <v>698.54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698.54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59375.9</v>
      </c>
      <c r="AJ23" s="97">
        <f>IF($C$21=3,0,AG23+AH23)</f>
        <v>0</v>
      </c>
      <c r="AK23" s="97">
        <f>IF($C$21=3,AE23+AG23+AH23,0)</f>
        <v>0</v>
      </c>
      <c r="AL23" s="97">
        <v>3</v>
      </c>
      <c r="AM23" s="97">
        <f>F23/AL23</f>
        <v>1</v>
      </c>
      <c r="AN23" s="97">
        <f>AI23/AM23</f>
        <v>59375.9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59375.9</v>
      </c>
      <c r="AS23" s="97" t="s">
        <v>112</v>
      </c>
      <c r="AT23" s="97" t="s">
        <v>12</v>
      </c>
      <c r="AU23" t="s">
        <v>113</v>
      </c>
      <c r="AV23" t="s">
        <v>145</v>
      </c>
      <c r="AW23" s="97">
        <f>AM23</f>
        <v>1</v>
      </c>
      <c r="AX23" s="97">
        <f>AR23</f>
        <v>59375.9</v>
      </c>
      <c r="AY23" s="97">
        <f>AU23+AW23</f>
        <v>1</v>
      </c>
      <c r="AZ23" s="97">
        <f>ROUND(((AU23*AV23)+(AW23*AX23))/(AU23+AW23),5)</f>
        <v>59375.9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97" t="s">
        <v>119</v>
      </c>
      <c r="BM23" t="s">
        <v>146</v>
      </c>
      <c r="BN23" t="s">
        <v>147</v>
      </c>
      <c r="BO23" s="97">
        <f>ROUND((((AW23*AZ23)+(BN23*BM23))/(AW23+BN23)),5)</f>
        <v>60106.32358</v>
      </c>
      <c r="BP23" s="99">
        <f>BN23+AW23</f>
        <v>4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750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51.46</v>
      </c>
      <c r="S24" s="104">
        <f t="shared" si="1"/>
        <v>698.54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698.54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59375.9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P9" workbookViewId="0">
      <selection activeCell="U26" sqref="U26"/>
    </sheetView>
  </sheetViews>
  <sheetFormatPr defaultColWidth="8.71818181818182" defaultRowHeight="14.5"/>
  <cols>
    <col min="1" max="1" width="7.57272727272727" customWidth="1"/>
    <col min="2" max="3" width="2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38" t="s">
        <v>148</v>
      </c>
      <c r="C23" s="38" t="s">
        <v>148</v>
      </c>
      <c r="D23" s="81" t="s">
        <v>12</v>
      </c>
      <c r="E23" s="81" t="s">
        <v>12</v>
      </c>
      <c r="F23" s="96">
        <v>3</v>
      </c>
      <c r="G23" s="96">
        <v>250</v>
      </c>
      <c r="H23" s="97">
        <f>F23*G23</f>
        <v>750</v>
      </c>
      <c r="I23" s="110">
        <v>1</v>
      </c>
      <c r="J23" s="97">
        <v>2</v>
      </c>
      <c r="K23" s="97">
        <v>4</v>
      </c>
      <c r="L23" s="97">
        <f>H23</f>
        <v>750</v>
      </c>
      <c r="M23" s="97">
        <f>ROUND(L23*I23%,2)</f>
        <v>7.5</v>
      </c>
      <c r="N23" s="97">
        <f>H23-M23</f>
        <v>742.5</v>
      </c>
      <c r="O23" s="97">
        <f>ROUND(N23*J23%,2)</f>
        <v>14.85</v>
      </c>
      <c r="P23" s="97">
        <f>ROUND(N23-O23,2)</f>
        <v>727.65</v>
      </c>
      <c r="Q23" s="97">
        <f>ROUND(P23*K23%,2)</f>
        <v>29.11</v>
      </c>
      <c r="R23" s="97">
        <f>M23+O23+Q23</f>
        <v>51.46</v>
      </c>
      <c r="S23" s="97">
        <f>(H23-R23)</f>
        <v>698.54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698.54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59375.9</v>
      </c>
      <c r="AJ23" s="97">
        <f>IF($C$21=3,0,AG23+AH23)</f>
        <v>0</v>
      </c>
      <c r="AK23" s="97">
        <f>IF($C$21=3,AE23+AG23+AH23,0)</f>
        <v>0</v>
      </c>
      <c r="AL23" s="97">
        <v>3</v>
      </c>
      <c r="AM23" s="97">
        <f>F23/AL23</f>
        <v>1</v>
      </c>
      <c r="AN23" s="97">
        <f>AI23/AM23</f>
        <v>59375.9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59375.9</v>
      </c>
      <c r="AS23" s="97" t="s">
        <v>112</v>
      </c>
      <c r="AT23" s="97" t="s">
        <v>12</v>
      </c>
      <c r="AU23" t="s">
        <v>113</v>
      </c>
      <c r="AV23" t="s">
        <v>145</v>
      </c>
      <c r="AW23" s="97">
        <f>AM23</f>
        <v>1</v>
      </c>
      <c r="AX23" s="97">
        <f>AR23</f>
        <v>59375.9</v>
      </c>
      <c r="AY23" s="97">
        <f>AU23+AW23</f>
        <v>1</v>
      </c>
      <c r="AZ23" s="97">
        <f>ROUND(((AU23*AV23)+(AW23*AX23))/(AU23+AW23),5)</f>
        <v>59375.9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97" t="s">
        <v>119</v>
      </c>
      <c r="BM23" t="s">
        <v>149</v>
      </c>
      <c r="BN23" t="s">
        <v>150</v>
      </c>
      <c r="BO23" s="97">
        <f>ROUND((((AW23*AZ23)+(BN23*BM23))/(AW23+BN23)),5)</f>
        <v>60307.28666</v>
      </c>
      <c r="BP23" s="99">
        <f>BN23+AW23</f>
        <v>4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750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51.46</v>
      </c>
      <c r="S24" s="104">
        <f t="shared" si="1"/>
        <v>698.54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698.54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59375.9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85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Q26" sqref="Q26"/>
    </sheetView>
  </sheetViews>
  <sheetFormatPr defaultColWidth="8.71818181818182" defaultRowHeight="14.5"/>
  <cols>
    <col min="1" max="1" width="7.57272727272727" customWidth="1"/>
    <col min="2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8.57272727272727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5.28181818181818" customWidth="1"/>
  </cols>
  <sheetData>
    <row r="1" ht="18.5" spans="1:69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6"/>
      <c r="AS1" s="56"/>
      <c r="AT1" s="57"/>
      <c r="AU1" s="57"/>
      <c r="AV1" s="57"/>
      <c r="AW1" s="57"/>
      <c r="AX1" s="57"/>
      <c r="AY1" s="57"/>
      <c r="AZ1" s="57"/>
      <c r="BA1" s="57"/>
      <c r="BB1" s="57"/>
      <c r="BC1" s="57"/>
      <c r="BD1" s="57"/>
      <c r="BE1" s="57"/>
      <c r="BF1" s="57"/>
      <c r="BG1" s="57"/>
      <c r="BH1" s="57"/>
      <c r="BI1" s="57"/>
      <c r="BJ1" s="57"/>
      <c r="BK1" s="57"/>
      <c r="BL1" s="57"/>
      <c r="BM1" s="57"/>
      <c r="BN1" s="57"/>
      <c r="BO1" s="57"/>
      <c r="BP1" s="57"/>
      <c r="BQ1" s="57"/>
    </row>
    <row r="2" ht="19.25" spans="1:69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6"/>
      <c r="AS2" s="56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ht="15.25" spans="1:69">
      <c r="A3" s="58" t="s">
        <v>2</v>
      </c>
      <c r="B3" s="59" t="s">
        <v>3</v>
      </c>
      <c r="C3" s="60" t="s">
        <v>4</v>
      </c>
      <c r="D3" s="59" t="s">
        <v>5</v>
      </c>
      <c r="E3" s="59" t="s">
        <v>6</v>
      </c>
      <c r="F3" s="59" t="s">
        <v>7</v>
      </c>
      <c r="G3" s="59" t="s">
        <v>8</v>
      </c>
      <c r="H3" s="61" t="s">
        <v>9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56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1:69">
      <c r="A4" s="63">
        <v>1</v>
      </c>
      <c r="B4" s="64" t="s">
        <v>10</v>
      </c>
      <c r="C4" s="64" t="s">
        <v>11</v>
      </c>
      <c r="D4" s="64" t="s">
        <v>12</v>
      </c>
      <c r="E4" s="64" t="s">
        <v>12</v>
      </c>
      <c r="F4" s="65">
        <v>25</v>
      </c>
      <c r="G4" s="66">
        <v>257.63</v>
      </c>
      <c r="H4" s="67">
        <f t="shared" ref="H4:H18" si="0"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8"/>
      <c r="Z4" s="68"/>
      <c r="AA4" s="68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56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1:69">
      <c r="A5" s="63">
        <v>2</v>
      </c>
      <c r="B5" s="64" t="s">
        <v>13</v>
      </c>
      <c r="C5" s="64" t="s">
        <v>14</v>
      </c>
      <c r="D5" s="64" t="s">
        <v>12</v>
      </c>
      <c r="E5" s="64" t="s">
        <v>12</v>
      </c>
      <c r="F5" s="65">
        <v>35</v>
      </c>
      <c r="G5" s="66">
        <v>125.45</v>
      </c>
      <c r="H5" s="67">
        <f t="shared" si="0"/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8"/>
      <c r="AA5" s="68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56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</row>
    <row r="6" spans="1:69">
      <c r="A6" s="63">
        <v>3</v>
      </c>
      <c r="B6" s="64" t="s">
        <v>15</v>
      </c>
      <c r="C6" s="64" t="s">
        <v>16</v>
      </c>
      <c r="D6" s="64" t="s">
        <v>12</v>
      </c>
      <c r="E6" s="64" t="s">
        <v>12</v>
      </c>
      <c r="F6" s="65">
        <v>45</v>
      </c>
      <c r="G6" s="66">
        <v>125.36</v>
      </c>
      <c r="H6" s="67">
        <f t="shared" si="0"/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8"/>
      <c r="Z6" s="68"/>
      <c r="AA6" s="68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56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</row>
    <row r="7" spans="1:69">
      <c r="A7" s="63">
        <v>4</v>
      </c>
      <c r="B7" s="64" t="s">
        <v>17</v>
      </c>
      <c r="C7" s="64" t="s">
        <v>18</v>
      </c>
      <c r="D7" s="64" t="s">
        <v>12</v>
      </c>
      <c r="E7" s="64" t="s">
        <v>12</v>
      </c>
      <c r="F7" s="65">
        <v>55</v>
      </c>
      <c r="G7" s="66">
        <v>45.25</v>
      </c>
      <c r="H7" s="67">
        <f t="shared" si="0"/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8"/>
      <c r="Z7" s="68"/>
      <c r="AA7" s="68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56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</row>
    <row r="8" spans="1:69">
      <c r="A8" s="63">
        <v>5</v>
      </c>
      <c r="B8" s="64" t="s">
        <v>19</v>
      </c>
      <c r="C8" s="64" t="s">
        <v>20</v>
      </c>
      <c r="D8" s="64" t="s">
        <v>12</v>
      </c>
      <c r="E8" s="64" t="s">
        <v>12</v>
      </c>
      <c r="F8" s="65">
        <v>60</v>
      </c>
      <c r="G8" s="66">
        <v>45.5</v>
      </c>
      <c r="H8" s="67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8"/>
      <c r="Z8" s="68"/>
      <c r="AA8" s="68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56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</row>
    <row r="9" spans="1:69">
      <c r="A9" s="63">
        <v>6</v>
      </c>
      <c r="B9" s="64" t="s">
        <v>21</v>
      </c>
      <c r="C9" s="64" t="s">
        <v>22</v>
      </c>
      <c r="D9" s="64" t="s">
        <v>12</v>
      </c>
      <c r="E9" s="64" t="s">
        <v>12</v>
      </c>
      <c r="F9" s="65">
        <v>75</v>
      </c>
      <c r="G9" s="66">
        <v>125.25</v>
      </c>
      <c r="H9" s="67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8"/>
      <c r="Z9" s="68"/>
      <c r="AA9" s="68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56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</row>
    <row r="10" spans="1:69">
      <c r="A10" s="63">
        <v>7</v>
      </c>
      <c r="B10" s="64" t="s">
        <v>23</v>
      </c>
      <c r="C10" s="64" t="s">
        <v>24</v>
      </c>
      <c r="D10" s="64" t="s">
        <v>12</v>
      </c>
      <c r="E10" s="64" t="s">
        <v>12</v>
      </c>
      <c r="F10" s="65">
        <v>28</v>
      </c>
      <c r="G10" s="66">
        <v>150.5</v>
      </c>
      <c r="H10" s="67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8"/>
      <c r="Z10" s="68"/>
      <c r="AA10" s="68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56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</row>
    <row r="11" spans="1:69">
      <c r="A11" s="63">
        <v>8</v>
      </c>
      <c r="B11" s="64" t="s">
        <v>25</v>
      </c>
      <c r="C11" s="64" t="s">
        <v>26</v>
      </c>
      <c r="D11" s="64" t="s">
        <v>12</v>
      </c>
      <c r="E11" s="64" t="s">
        <v>12</v>
      </c>
      <c r="F11" s="65">
        <v>30</v>
      </c>
      <c r="G11" s="66">
        <v>65.32</v>
      </c>
      <c r="H11" s="67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8"/>
      <c r="Z11" s="68"/>
      <c r="AA11" s="68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56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</row>
    <row r="12" spans="1:69">
      <c r="A12" s="63">
        <v>9</v>
      </c>
      <c r="B12" s="64" t="s">
        <v>27</v>
      </c>
      <c r="C12" s="64" t="s">
        <v>28</v>
      </c>
      <c r="D12" s="64" t="s">
        <v>12</v>
      </c>
      <c r="E12" s="64" t="s">
        <v>12</v>
      </c>
      <c r="F12" s="65">
        <v>25</v>
      </c>
      <c r="G12" s="66">
        <v>74.89</v>
      </c>
      <c r="H12" s="67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8"/>
      <c r="Z12" s="68"/>
      <c r="AA12" s="68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56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</row>
    <row r="13" spans="1:69">
      <c r="A13" s="63">
        <v>10</v>
      </c>
      <c r="B13" s="64" t="s">
        <v>29</v>
      </c>
      <c r="C13" s="64" t="s">
        <v>30</v>
      </c>
      <c r="D13" s="64" t="s">
        <v>12</v>
      </c>
      <c r="E13" s="64" t="s">
        <v>12</v>
      </c>
      <c r="F13" s="65">
        <v>28</v>
      </c>
      <c r="G13" s="66">
        <v>89.56</v>
      </c>
      <c r="H13" s="67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8"/>
      <c r="Z13" s="68"/>
      <c r="AA13" s="68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56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</row>
    <row r="14" spans="1:69">
      <c r="A14" s="63">
        <v>11</v>
      </c>
      <c r="B14" s="64" t="s">
        <v>31</v>
      </c>
      <c r="C14" s="64" t="s">
        <v>32</v>
      </c>
      <c r="D14" s="64" t="s">
        <v>12</v>
      </c>
      <c r="E14" s="64" t="s">
        <v>12</v>
      </c>
      <c r="F14" s="65">
        <v>37</v>
      </c>
      <c r="G14" s="66">
        <v>89.54</v>
      </c>
      <c r="H14" s="67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8"/>
      <c r="Z14" s="68"/>
      <c r="AA14" s="68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56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</row>
    <row r="15" spans="1:69">
      <c r="A15" s="63">
        <v>12</v>
      </c>
      <c r="B15" s="64" t="s">
        <v>33</v>
      </c>
      <c r="C15" s="64" t="s">
        <v>34</v>
      </c>
      <c r="D15" s="64" t="s">
        <v>12</v>
      </c>
      <c r="E15" s="64" t="s">
        <v>12</v>
      </c>
      <c r="F15" s="65">
        <v>39</v>
      </c>
      <c r="G15" s="66">
        <v>98.25</v>
      </c>
      <c r="H15" s="67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8"/>
      <c r="Z15" s="68"/>
      <c r="AA15" s="68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56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</row>
    <row r="16" spans="1:69">
      <c r="A16" s="63">
        <v>13</v>
      </c>
      <c r="B16" s="64" t="s">
        <v>35</v>
      </c>
      <c r="C16" s="64" t="s">
        <v>36</v>
      </c>
      <c r="D16" s="64" t="s">
        <v>12</v>
      </c>
      <c r="E16" s="64" t="s">
        <v>12</v>
      </c>
      <c r="F16" s="65">
        <v>70</v>
      </c>
      <c r="G16" s="66">
        <v>102.25</v>
      </c>
      <c r="H16" s="67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8"/>
      <c r="Z16" s="68"/>
      <c r="AA16" s="68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56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</row>
    <row r="17" spans="1:69">
      <c r="A17" s="63">
        <v>14</v>
      </c>
      <c r="B17" s="64" t="s">
        <v>37</v>
      </c>
      <c r="C17" s="64" t="s">
        <v>38</v>
      </c>
      <c r="D17" s="64" t="s">
        <v>12</v>
      </c>
      <c r="E17" s="64" t="s">
        <v>12</v>
      </c>
      <c r="F17" s="65">
        <v>100</v>
      </c>
      <c r="G17" s="66">
        <v>103.5</v>
      </c>
      <c r="H17" s="67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0"/>
      <c r="T17" s="69"/>
      <c r="U17" s="68"/>
      <c r="V17" s="68"/>
      <c r="W17" s="68"/>
      <c r="X17" s="68"/>
      <c r="Y17" s="68"/>
      <c r="Z17" s="68"/>
      <c r="AA17" s="68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56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</row>
    <row r="18" ht="15.2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8"/>
      <c r="Z18" s="68"/>
      <c r="AA18" s="68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56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</row>
    <row r="19" ht="15.25" spans="1:69">
      <c r="A19" s="56"/>
      <c r="B19" s="76" t="s">
        <v>41</v>
      </c>
      <c r="C19" s="76"/>
      <c r="D19" s="76"/>
      <c r="E19" s="76"/>
      <c r="F19" s="76"/>
      <c r="G19" s="76"/>
      <c r="H19" s="77">
        <f>SUM(H4:H18)</f>
        <v>71856.76</v>
      </c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56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56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5" t="s">
        <v>45</v>
      </c>
      <c r="J21" s="85" t="s">
        <v>46</v>
      </c>
      <c r="K21" s="85"/>
      <c r="L21" s="85" t="s">
        <v>47</v>
      </c>
      <c r="M21" s="85">
        <v>85</v>
      </c>
      <c r="N21" s="85"/>
      <c r="O21" s="85" t="s">
        <v>48</v>
      </c>
      <c r="P21" s="85">
        <v>1</v>
      </c>
      <c r="Q21" s="85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5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</row>
    <row r="22" ht="15.25" spans="1:69">
      <c r="A22" s="87" t="s">
        <v>2</v>
      </c>
      <c r="B22" s="87" t="s">
        <v>3</v>
      </c>
      <c r="C22" s="87" t="s">
        <v>4</v>
      </c>
      <c r="D22" s="87" t="s">
        <v>5</v>
      </c>
      <c r="E22" s="87" t="s">
        <v>6</v>
      </c>
      <c r="F22" s="87" t="s">
        <v>51</v>
      </c>
      <c r="G22" s="87" t="s">
        <v>8</v>
      </c>
      <c r="H22" s="87" t="s">
        <v>9</v>
      </c>
      <c r="I22" s="88" t="s">
        <v>52</v>
      </c>
      <c r="J22" s="88" t="s">
        <v>53</v>
      </c>
      <c r="K22" s="88" t="s">
        <v>54</v>
      </c>
      <c r="L22" s="89" t="s">
        <v>55</v>
      </c>
      <c r="M22" s="89" t="s">
        <v>56</v>
      </c>
      <c r="N22" s="89" t="s">
        <v>57</v>
      </c>
      <c r="O22" s="89" t="s">
        <v>58</v>
      </c>
      <c r="P22" s="89" t="s">
        <v>59</v>
      </c>
      <c r="Q22" s="89" t="s">
        <v>60</v>
      </c>
      <c r="R22" s="88" t="s">
        <v>61</v>
      </c>
      <c r="S22" s="87" t="s">
        <v>62</v>
      </c>
      <c r="T22" s="87" t="s">
        <v>63</v>
      </c>
      <c r="U22" s="90" t="s">
        <v>64</v>
      </c>
      <c r="V22" s="90" t="s">
        <v>65</v>
      </c>
      <c r="W22" s="90" t="s">
        <v>66</v>
      </c>
      <c r="X22" s="90" t="s">
        <v>67</v>
      </c>
      <c r="Y22" s="90" t="s">
        <v>68</v>
      </c>
      <c r="Z22" s="90" t="s">
        <v>69</v>
      </c>
      <c r="AA22" s="90" t="s">
        <v>70</v>
      </c>
      <c r="AB22" s="90" t="s">
        <v>71</v>
      </c>
      <c r="AC22" s="91" t="s">
        <v>72</v>
      </c>
      <c r="AD22" s="91" t="s">
        <v>73</v>
      </c>
      <c r="AE22" s="91" t="s">
        <v>74</v>
      </c>
      <c r="AF22" s="91" t="s">
        <v>75</v>
      </c>
      <c r="AG22" s="91" t="s">
        <v>76</v>
      </c>
      <c r="AH22" s="91" t="s">
        <v>77</v>
      </c>
      <c r="AI22" s="91" t="s">
        <v>78</v>
      </c>
      <c r="AJ22" s="91" t="s">
        <v>79</v>
      </c>
      <c r="AK22" s="91" t="s">
        <v>80</v>
      </c>
      <c r="AL22" s="91" t="s">
        <v>81</v>
      </c>
      <c r="AM22" s="91" t="s">
        <v>82</v>
      </c>
      <c r="AN22" s="91" t="s">
        <v>83</v>
      </c>
      <c r="AO22" s="91" t="s">
        <v>84</v>
      </c>
      <c r="AP22" s="91" t="s">
        <v>85</v>
      </c>
      <c r="AQ22" s="91" t="s">
        <v>86</v>
      </c>
      <c r="AR22" s="92" t="s">
        <v>87</v>
      </c>
      <c r="AS22" s="87" t="s">
        <v>88</v>
      </c>
      <c r="AT22" s="87" t="s">
        <v>86</v>
      </c>
      <c r="AU22" s="93" t="s">
        <v>131</v>
      </c>
      <c r="AV22" s="93" t="s">
        <v>132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4" t="s">
        <v>106</v>
      </c>
      <c r="BM22" s="95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25" spans="1:69">
      <c r="A23" s="81">
        <v>1</v>
      </c>
      <c r="B23" s="21" t="s">
        <v>151</v>
      </c>
      <c r="C23" s="21" t="s">
        <v>151</v>
      </c>
      <c r="D23" s="81" t="s">
        <v>12</v>
      </c>
      <c r="E23" s="81" t="s">
        <v>12</v>
      </c>
      <c r="F23" s="96">
        <v>3</v>
      </c>
      <c r="G23">
        <v>250</v>
      </c>
      <c r="H23" s="97">
        <f>F23*G23</f>
        <v>750</v>
      </c>
      <c r="I23" t="s">
        <v>139</v>
      </c>
      <c r="J23" s="97">
        <v>2</v>
      </c>
      <c r="K23" s="97">
        <v>4</v>
      </c>
      <c r="L23" s="97">
        <f>H23</f>
        <v>750</v>
      </c>
      <c r="M23" s="97">
        <f>ROUND(L23*I23%,2)</f>
        <v>7.5</v>
      </c>
      <c r="N23" s="97">
        <f>H23-M23</f>
        <v>742.5</v>
      </c>
      <c r="O23" s="97">
        <f>ROUND(N23*J23%,2)</f>
        <v>14.85</v>
      </c>
      <c r="P23" s="97">
        <f>ROUND(N23-O23,2)</f>
        <v>727.65</v>
      </c>
      <c r="Q23" s="97">
        <f>ROUND(P23*K23%,2)</f>
        <v>29.11</v>
      </c>
      <c r="R23" s="97">
        <f>M23+O23+Q23</f>
        <v>51.46</v>
      </c>
      <c r="S23" s="97">
        <f>(H23-R23)</f>
        <v>698.54</v>
      </c>
      <c r="T23" s="97" t="s">
        <v>111</v>
      </c>
      <c r="U23" s="98">
        <v>0</v>
      </c>
      <c r="V23" s="98">
        <f>IF(OR($C$21=1,$C$21=4),ROUND((((S23*U23)/100)/2),2),0)</f>
        <v>0</v>
      </c>
      <c r="W23" s="98">
        <f>IF($C$21=1,ROUND((((S23*U23)/100)/2),2),0)</f>
        <v>0</v>
      </c>
      <c r="X23" s="98">
        <f>IF($C$21=2,ROUND(((S23*U23)/100),2),0)</f>
        <v>0</v>
      </c>
      <c r="Y23" s="98">
        <f>IF($C$21=4,ROUND((((S23*U23)/100)/2),2),0)</f>
        <v>0</v>
      </c>
      <c r="Z23" s="98">
        <v>0</v>
      </c>
      <c r="AA23" s="98">
        <f>IF($C21=3,0,(S23*Z23)/100)</f>
        <v>0</v>
      </c>
      <c r="AB23" s="98">
        <f>V23+W23+X23+Y23+AA23</f>
        <v>0</v>
      </c>
      <c r="AC23" s="97">
        <f>IF($V21=1,S23+AB23,S23)</f>
        <v>698.54</v>
      </c>
      <c r="AD23" s="97">
        <v>120</v>
      </c>
      <c r="AE23" s="97">
        <f>IF($P$21=1,(S23/$S$24)*$E$35,AD23/$AD$24*$E$35)</f>
        <v>0</v>
      </c>
      <c r="AF23" s="97"/>
      <c r="AG23" s="97">
        <f>IF($P$21=1,(S23/$S$24)*$E$37,AD23/$AD$24*$E$37)</f>
        <v>0</v>
      </c>
      <c r="AH23" s="97">
        <f>IF($P$21=1,(S23/$S$24)*$E$37,AD23/$AD$24*$E$37)</f>
        <v>0</v>
      </c>
      <c r="AI23" s="97">
        <f>S23*$M$21</f>
        <v>59375.9</v>
      </c>
      <c r="AJ23" s="97">
        <f>IF($C$21=3,0,AG23+AH23)</f>
        <v>0</v>
      </c>
      <c r="AK23" s="97">
        <f>IF($C$21=3,AE23+AG23+AH23,0)</f>
        <v>0</v>
      </c>
      <c r="AL23" s="97">
        <v>3</v>
      </c>
      <c r="AM23" s="97">
        <f>F23/AL23</f>
        <v>1</v>
      </c>
      <c r="AN23" s="97">
        <f>AI23/AM23</f>
        <v>59375.9</v>
      </c>
      <c r="AO23" s="97">
        <f>AJ23/AM23</f>
        <v>0</v>
      </c>
      <c r="AP23" s="97">
        <f>AK23/AM23</f>
        <v>0</v>
      </c>
      <c r="AQ23" s="97" t="s">
        <v>12</v>
      </c>
      <c r="AR23" s="97">
        <f>AN23+AO23+AP23</f>
        <v>59375.9</v>
      </c>
      <c r="AS23" s="97" t="s">
        <v>112</v>
      </c>
      <c r="AT23" s="97" t="s">
        <v>12</v>
      </c>
      <c r="AU23" t="s">
        <v>113</v>
      </c>
      <c r="AV23" t="s">
        <v>145</v>
      </c>
      <c r="AW23" s="97">
        <f>AM23</f>
        <v>1</v>
      </c>
      <c r="AX23" s="97">
        <f>AR23</f>
        <v>59375.9</v>
      </c>
      <c r="AY23" s="97">
        <f>AU23+AW23</f>
        <v>1</v>
      </c>
      <c r="AZ23" s="97">
        <f>ROUND(((AU23*AV23)+(AW23*AX23))/(AU23+AW23),5)</f>
        <v>59375.9</v>
      </c>
      <c r="BA23" s="99"/>
      <c r="BB23" s="99" t="s">
        <v>115</v>
      </c>
      <c r="BC23" s="99" t="s">
        <v>116</v>
      </c>
      <c r="BD23" s="100" t="s">
        <v>117</v>
      </c>
      <c r="BE23" s="100" t="s">
        <v>118</v>
      </c>
      <c r="BF23" s="99"/>
      <c r="BG23" s="99"/>
      <c r="BH23" s="99"/>
      <c r="BI23" s="97"/>
      <c r="BJ23" s="97"/>
      <c r="BK23" s="97"/>
      <c r="BL23" s="97" t="s">
        <v>119</v>
      </c>
      <c r="BM23" t="s">
        <v>152</v>
      </c>
      <c r="BN23" t="s">
        <v>153</v>
      </c>
      <c r="BO23" s="97">
        <f>ROUND((((AW23*AZ23)+(BN23*BM23))/(AW23+BN23)),5)</f>
        <v>60257.31958</v>
      </c>
      <c r="BP23" s="101">
        <f>BN23+AW23</f>
        <v>4</v>
      </c>
      <c r="BQ23" s="102">
        <v>88363222</v>
      </c>
    </row>
    <row r="24" spans="1:69">
      <c r="A24" s="85"/>
      <c r="B24" s="86"/>
      <c r="C24" s="86"/>
      <c r="D24" s="103" t="s">
        <v>41</v>
      </c>
      <c r="E24" s="103"/>
      <c r="F24" s="103"/>
      <c r="G24" s="103"/>
      <c r="H24" s="103">
        <f>SUM(H23:H23)</f>
        <v>750</v>
      </c>
      <c r="I24" s="85"/>
      <c r="J24" s="85"/>
      <c r="K24" s="85"/>
      <c r="L24" s="85"/>
      <c r="M24" s="85"/>
      <c r="N24" s="85"/>
      <c r="O24" s="85"/>
      <c r="P24" s="85"/>
      <c r="Q24" s="85"/>
      <c r="R24" s="103">
        <f t="shared" ref="R24:Y24" si="1">SUM(R23:R23)</f>
        <v>51.46</v>
      </c>
      <c r="S24" s="104">
        <f t="shared" si="1"/>
        <v>698.54</v>
      </c>
      <c r="T24" s="103"/>
      <c r="U24" s="103"/>
      <c r="V24" s="105">
        <f t="shared" si="1"/>
        <v>0</v>
      </c>
      <c r="W24" s="105">
        <f t="shared" si="1"/>
        <v>0</v>
      </c>
      <c r="X24" s="105">
        <f t="shared" si="1"/>
        <v>0</v>
      </c>
      <c r="Y24" s="105">
        <f t="shared" si="1"/>
        <v>0</v>
      </c>
      <c r="Z24" s="105"/>
      <c r="AA24" s="105">
        <f t="shared" ref="AA24:AE24" si="2">SUM(AA23:AA23)</f>
        <v>0</v>
      </c>
      <c r="AB24" s="103">
        <f t="shared" si="2"/>
        <v>0</v>
      </c>
      <c r="AC24" s="106">
        <f t="shared" si="2"/>
        <v>698.54</v>
      </c>
      <c r="AD24" s="107">
        <f t="shared" si="2"/>
        <v>120</v>
      </c>
      <c r="AE24" s="107">
        <f t="shared" si="2"/>
        <v>0</v>
      </c>
      <c r="AF24" s="106"/>
      <c r="AG24" s="107">
        <f t="shared" ref="AG24:AK24" si="3">SUM(AG23:AG23)</f>
        <v>0</v>
      </c>
      <c r="AH24" s="107">
        <f t="shared" si="3"/>
        <v>0</v>
      </c>
      <c r="AI24" s="107">
        <f t="shared" si="3"/>
        <v>59375.9</v>
      </c>
      <c r="AJ24" s="107">
        <f t="shared" si="3"/>
        <v>0</v>
      </c>
      <c r="AK24" s="107">
        <f t="shared" si="3"/>
        <v>0</v>
      </c>
      <c r="AL24" s="106"/>
      <c r="AM24" s="106"/>
      <c r="AN24" s="106"/>
      <c r="AO24" s="106"/>
      <c r="AP24" s="106"/>
      <c r="AQ24" s="106"/>
      <c r="AR24" s="106"/>
      <c r="AS24" s="108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109"/>
      <c r="BQ24" s="86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BQ4" sqref="L4:BQ4"/>
    </sheetView>
  </sheetViews>
  <sheetFormatPr defaultColWidth="9.85454545454546" defaultRowHeight="14.5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454545454545" style="1" customWidth="1"/>
    <col min="21" max="34" width="9.85454545454546" style="1"/>
    <col min="35" max="35" width="11.4272727272727" style="1"/>
    <col min="36" max="38" width="9.85454545454546" style="1"/>
    <col min="39" max="39" width="17.4272727272727" style="1" customWidth="1"/>
    <col min="40" max="43" width="9.85454545454546" style="1"/>
    <col min="44" max="44" width="25.7181818181818" style="1" customWidth="1"/>
    <col min="45" max="45" width="9.85454545454546" style="1" customWidth="1"/>
    <col min="46" max="47" width="9.85454545454546" style="1"/>
    <col min="48" max="48" width="21.1454545454545" style="1" customWidth="1"/>
    <col min="49" max="49" width="9.85454545454546" style="1"/>
    <col min="50" max="50" width="16.7181818181818" style="1" customWidth="1"/>
    <col min="51" max="51" width="9.85454545454546" style="1"/>
    <col min="52" max="52" width="19.4272727272727" style="1" customWidth="1"/>
    <col min="53" max="63" width="9.85454545454546" style="1"/>
    <col min="64" max="64" width="11.2818181818182" style="1" customWidth="1"/>
    <col min="65" max="65" width="42.5727272727273" style="1" customWidth="1"/>
    <col min="66" max="66" width="9.85454545454546" style="1"/>
    <col min="67" max="67" width="19.4272727272727" style="1" customWidth="1"/>
    <col min="68" max="68" width="35.4272727272727" style="1" customWidth="1"/>
    <col min="69" max="16384" width="9.8545454545454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45" spans="1:69">
      <c r="A3" s="39" t="s">
        <v>2</v>
      </c>
      <c r="B3" s="39" t="s">
        <v>3</v>
      </c>
      <c r="C3" s="40" t="s">
        <v>4</v>
      </c>
      <c r="D3" s="39" t="s">
        <v>5</v>
      </c>
      <c r="E3" s="39" t="s">
        <v>6</v>
      </c>
      <c r="F3" s="41" t="s">
        <v>51</v>
      </c>
      <c r="G3" s="39" t="s">
        <v>8</v>
      </c>
      <c r="H3" s="39" t="s">
        <v>9</v>
      </c>
      <c r="I3" s="42" t="s">
        <v>52</v>
      </c>
      <c r="J3" s="42" t="s">
        <v>53</v>
      </c>
      <c r="K3" s="42" t="s">
        <v>54</v>
      </c>
      <c r="L3" s="43" t="s">
        <v>55</v>
      </c>
      <c r="M3" s="43" t="s">
        <v>56</v>
      </c>
      <c r="N3" s="43" t="s">
        <v>57</v>
      </c>
      <c r="O3" s="43" t="s">
        <v>58</v>
      </c>
      <c r="P3" s="43" t="s">
        <v>59</v>
      </c>
      <c r="Q3" s="43" t="s">
        <v>60</v>
      </c>
      <c r="R3" s="42" t="s">
        <v>61</v>
      </c>
      <c r="S3" s="39" t="s">
        <v>62</v>
      </c>
      <c r="T3" s="39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44" t="s">
        <v>72</v>
      </c>
      <c r="AD3" s="44" t="s">
        <v>73</v>
      </c>
      <c r="AE3" s="45" t="s">
        <v>74</v>
      </c>
      <c r="AF3" s="45" t="s">
        <v>75</v>
      </c>
      <c r="AG3" s="45" t="s">
        <v>76</v>
      </c>
      <c r="AH3" s="44" t="s">
        <v>77</v>
      </c>
      <c r="AI3" s="44" t="s">
        <v>78</v>
      </c>
      <c r="AJ3" s="45" t="s">
        <v>79</v>
      </c>
      <c r="AK3" s="45" t="s">
        <v>80</v>
      </c>
      <c r="AL3" s="44" t="s">
        <v>81</v>
      </c>
      <c r="AM3" s="44" t="s">
        <v>82</v>
      </c>
      <c r="AN3" s="45" t="s">
        <v>83</v>
      </c>
      <c r="AO3" s="45" t="s">
        <v>84</v>
      </c>
      <c r="AP3" s="45" t="s">
        <v>85</v>
      </c>
      <c r="AQ3" s="44" t="s">
        <v>86</v>
      </c>
      <c r="AR3" s="46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2</v>
      </c>
      <c r="AX4" s="24">
        <f>AR4</f>
        <v>18386.775</v>
      </c>
      <c r="AY4" s="24">
        <f>AU4+AW4</f>
        <v>2</v>
      </c>
      <c r="AZ4" s="24">
        <f>ROUND(((AU4*AV4)+(AW4*AX4))/(AU4+AW4),5)</f>
        <v>18387.2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17581.09539</v>
      </c>
      <c r="BP4" s="28">
        <f>BN4+AW4</f>
        <v>529</v>
      </c>
      <c r="BQ4" s="29">
        <v>123562</v>
      </c>
    </row>
    <row r="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67.37</v>
      </c>
      <c r="S5" s="33">
        <f t="shared" si="0"/>
        <v>432.63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432.63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 t="shared" si="2"/>
        <v>0</v>
      </c>
      <c r="AI5" s="37">
        <f t="shared" si="2"/>
        <v>36773.55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  <row r="9" spans="1:69">
      <c r="AT9" s="21" t="s">
        <v>154</v>
      </c>
    </row>
    <row r="10" spans="1:69">
      <c r="AT10" s="21">
        <v>18387.625</v>
      </c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D1" workbookViewId="0">
      <selection activeCell="L4" sqref="L4:BQ4"/>
    </sheetView>
  </sheetViews>
  <sheetFormatPr defaultColWidth="8.71818181818182" defaultRowHeight="14.5"/>
  <cols>
    <col min="1" max="1" width="8.71818181818182" style="1"/>
    <col min="2" max="2" width="19.1454545454545" style="1" customWidth="1"/>
    <col min="3" max="3" width="25.8545454545455" style="1" customWidth="1"/>
    <col min="4" max="19" width="8.71818181818182" style="1"/>
    <col min="20" max="20" width="10.1454545454545" style="1" customWidth="1"/>
    <col min="21" max="51" width="8.71818181818182" style="1"/>
    <col min="52" max="52" width="12" style="1"/>
    <col min="53" max="66" width="8.71818181818182" style="1"/>
    <col min="67" max="67" width="1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38" t="s">
        <v>126</v>
      </c>
      <c r="C4" s="38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2</v>
      </c>
      <c r="AX4" s="24">
        <f>AR4</f>
        <v>18386.775</v>
      </c>
      <c r="AY4" s="24">
        <f>AU4+AW4</f>
        <v>4</v>
      </c>
      <c r="AZ4" s="24">
        <f>ROUND(((AU4*AV4)+(AW4*AX4))/(AU4+AW4),5)</f>
        <v>18387.2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17581.09539</v>
      </c>
      <c r="BP4" s="28">
        <f>BN4+AW4</f>
        <v>533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67.37</v>
      </c>
      <c r="S5" s="33">
        <f t="shared" si="0"/>
        <v>432.63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432.63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36773.55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2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25" spans="1:69">
      <c r="A7" s="5"/>
      <c r="B7" s="5"/>
      <c r="C7" s="5"/>
      <c r="D7" s="5"/>
      <c r="E7" s="5"/>
      <c r="F7" s="5"/>
      <c r="G7" s="47" t="s">
        <v>162</v>
      </c>
      <c r="H7" s="48"/>
      <c r="I7" s="49">
        <f>H5</f>
        <v>500</v>
      </c>
      <c r="J7" s="49"/>
      <c r="K7" s="5"/>
      <c r="L7" s="5"/>
      <c r="M7" s="50" t="s">
        <v>163</v>
      </c>
      <c r="N7" s="51"/>
      <c r="O7" s="51"/>
      <c r="P7" s="52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164</v>
      </c>
      <c r="BI7" s="140" t="s">
        <v>165</v>
      </c>
      <c r="BJ7" s="5"/>
      <c r="BK7" s="5"/>
      <c r="BL7" s="5"/>
      <c r="BM7" s="5"/>
      <c r="BN7" s="5"/>
      <c r="BO7" s="5"/>
      <c r="BP7" s="6"/>
      <c r="BQ7" s="6"/>
    </row>
    <row r="8" ht="15.25" spans="1:69">
      <c r="A8" s="5"/>
      <c r="B8" s="5"/>
      <c r="C8" s="5"/>
      <c r="D8" s="5"/>
      <c r="E8" s="5"/>
      <c r="F8" s="5"/>
      <c r="G8" s="47" t="s">
        <v>166</v>
      </c>
      <c r="H8" s="48"/>
      <c r="I8" s="49">
        <f>R5</f>
        <v>67.37</v>
      </c>
      <c r="J8" s="49"/>
      <c r="K8" s="5"/>
      <c r="L8" s="5"/>
      <c r="M8" s="53">
        <v>1</v>
      </c>
      <c r="N8" s="53" t="s">
        <v>12</v>
      </c>
      <c r="O8" s="53">
        <v>2</v>
      </c>
      <c r="P8" s="53" t="s">
        <v>144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167</v>
      </c>
      <c r="BI8" s="140" t="s">
        <v>168</v>
      </c>
      <c r="BJ8" s="5"/>
      <c r="BK8" s="5"/>
      <c r="BL8" s="5"/>
      <c r="BM8" s="5"/>
      <c r="BN8" s="5"/>
      <c r="BO8" s="5"/>
      <c r="BP8" s="6"/>
      <c r="BQ8" s="6"/>
    </row>
    <row r="9" ht="15.25" spans="1:69">
      <c r="A9" s="5"/>
      <c r="B9" s="5"/>
      <c r="C9" s="5"/>
      <c r="D9" s="5"/>
      <c r="E9" s="5"/>
      <c r="F9" s="5"/>
      <c r="G9" s="47" t="s">
        <v>169</v>
      </c>
      <c r="H9" s="48"/>
      <c r="I9" s="49">
        <f>S5</f>
        <v>432.63</v>
      </c>
      <c r="J9" s="49"/>
      <c r="K9" s="5"/>
      <c r="L9" s="5"/>
      <c r="M9" s="20">
        <v>1</v>
      </c>
      <c r="N9" s="20" t="s">
        <v>12</v>
      </c>
      <c r="O9" s="20">
        <v>2.5</v>
      </c>
      <c r="P9" s="20" t="s">
        <v>170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25" spans="1:69">
      <c r="A10" s="5"/>
      <c r="B10" s="5"/>
      <c r="C10" s="5"/>
      <c r="D10" s="5"/>
      <c r="E10" s="5"/>
      <c r="F10" s="5"/>
      <c r="G10" s="47" t="s">
        <v>171</v>
      </c>
      <c r="H10" s="48"/>
      <c r="I10" s="49">
        <f>AB5</f>
        <v>0</v>
      </c>
      <c r="J10" s="49"/>
      <c r="K10" s="5"/>
      <c r="L10" s="5"/>
      <c r="M10" s="20">
        <v>1</v>
      </c>
      <c r="N10" s="20" t="s">
        <v>144</v>
      </c>
      <c r="O10" s="20">
        <v>0.001</v>
      </c>
      <c r="P10" s="20" t="s">
        <v>172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25" spans="1:69">
      <c r="A11" s="5"/>
      <c r="B11" s="5"/>
      <c r="C11" s="5"/>
      <c r="D11" s="5"/>
      <c r="E11" s="5"/>
      <c r="F11" s="5"/>
      <c r="G11" s="47" t="s">
        <v>173</v>
      </c>
      <c r="H11" s="48"/>
      <c r="I11" s="54">
        <f>I9+I10</f>
        <v>432.63</v>
      </c>
      <c r="J11" s="5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174</v>
      </c>
      <c r="BN12" s="5" t="s">
        <v>175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176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177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178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179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L4" sqref="L4:BQ4"/>
    </sheetView>
  </sheetViews>
  <sheetFormatPr defaultColWidth="8.71818181818182" defaultRowHeight="14.5" outlineLevelRow="4"/>
  <cols>
    <col min="1" max="1" width="8.71818181818182" style="1"/>
    <col min="2" max="2" width="21.1454545454545" style="1" customWidth="1"/>
    <col min="3" max="3" width="21.2818181818182" style="1" customWidth="1"/>
    <col min="4" max="18" width="8.71818181818182" style="1"/>
    <col min="19" max="19" width="9.28181818181818" style="1"/>
    <col min="20" max="20" width="10.1454545454545" style="1" customWidth="1"/>
    <col min="21" max="28" width="8.71818181818182" style="1"/>
    <col min="29" max="29" width="9.28181818181818" style="1"/>
    <col min="30" max="39" width="8.71818181818182" style="1"/>
    <col min="40" max="40" width="10.1454545454545" style="1"/>
    <col min="41" max="43" width="8.71818181818182" style="1"/>
    <col min="44" max="44" width="10.1454545454545" style="1"/>
    <col min="45" max="49" width="8.71818181818182" style="1"/>
    <col min="50" max="50" width="10.1454545454545" style="1"/>
    <col min="51" max="51" width="8.71818181818182" style="1"/>
    <col min="52" max="52" width="12" style="1"/>
    <col min="53" max="66" width="8.71818181818182" style="1"/>
    <col min="67" max="67" width="13.281818181818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38" t="s">
        <v>133</v>
      </c>
      <c r="C4" s="38" t="s">
        <v>133</v>
      </c>
      <c r="D4" s="20" t="s">
        <v>12</v>
      </c>
      <c r="E4" s="20" t="s">
        <v>12</v>
      </c>
      <c r="F4" s="22">
        <v>2</v>
      </c>
      <c r="G4" s="1" t="s">
        <v>180</v>
      </c>
      <c r="H4" s="22">
        <f>F4*G4</f>
        <v>500</v>
      </c>
      <c r="I4" s="1" t="s">
        <v>139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2</v>
      </c>
      <c r="AX4" s="24">
        <f>AR4</f>
        <v>18386.775</v>
      </c>
      <c r="AY4" s="24">
        <f>AU4+AW4</f>
        <v>4</v>
      </c>
      <c r="AZ4" s="24">
        <f>ROUND(((AU4*AV4)+(AW4*AX4))/(AU4+AW4),5)</f>
        <v>18387.2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17581.09539</v>
      </c>
      <c r="BP4" s="28">
        <f>BN4+AW4</f>
        <v>533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67.37</v>
      </c>
      <c r="S5" s="33">
        <f t="shared" si="0"/>
        <v>432.63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432.63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36773.55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L4" sqref="L4:BQ4"/>
    </sheetView>
  </sheetViews>
  <sheetFormatPr defaultColWidth="8.71818181818182" defaultRowHeight="14.5" outlineLevelRow="4"/>
  <cols>
    <col min="1" max="1" width="8.71818181818182" style="1"/>
    <col min="2" max="2" width="23.4272727272727" style="1" customWidth="1"/>
    <col min="3" max="3" width="29.4272727272727" style="1" customWidth="1"/>
    <col min="4" max="18" width="8.71818181818182" style="1"/>
    <col min="19" max="19" width="9.28181818181818" style="1"/>
    <col min="20" max="20" width="10.1454545454545" style="1" customWidth="1"/>
    <col min="21" max="51" width="8.71818181818182" style="1"/>
    <col min="52" max="52" width="10.7181818181818" style="1"/>
    <col min="53" max="66" width="8.71818181818182" style="1"/>
    <col min="67" max="67" width="10.5727272727273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38" t="s">
        <v>137</v>
      </c>
      <c r="C4" s="38" t="s">
        <v>137</v>
      </c>
      <c r="D4" s="20" t="s">
        <v>12</v>
      </c>
      <c r="E4" s="20" t="s">
        <v>12</v>
      </c>
      <c r="F4" s="22">
        <v>2</v>
      </c>
      <c r="G4" s="1" t="s">
        <v>180</v>
      </c>
      <c r="H4" s="22">
        <f>F4*G4</f>
        <v>500</v>
      </c>
      <c r="I4" s="1" t="s">
        <v>139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2</v>
      </c>
      <c r="AX4" s="24">
        <f>AR4</f>
        <v>18386.775</v>
      </c>
      <c r="AY4" s="24">
        <f>AU4+AW4</f>
        <v>4</v>
      </c>
      <c r="AZ4" s="24">
        <f>ROUND(((AU4*AV4)+(AW4*AX4))/(AU4+AW4),5)</f>
        <v>18387.2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17581.09539</v>
      </c>
      <c r="BP4" s="28">
        <f>BN4+AW4</f>
        <v>533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67.37</v>
      </c>
      <c r="S5" s="33">
        <f t="shared" si="0"/>
        <v>432.63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432.63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36773.55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AZ1" workbookViewId="0">
      <selection activeCell="BI8" sqref="BI8"/>
    </sheetView>
  </sheetViews>
  <sheetFormatPr defaultColWidth="8.71818181818182" defaultRowHeight="14.5" outlineLevelRow="4"/>
  <cols>
    <col min="1" max="1" width="8.71818181818182" style="1"/>
    <col min="2" max="2" width="27.2818181818182" style="1" customWidth="1"/>
    <col min="3" max="3" width="25.4272727272727" style="1" customWidth="1"/>
    <col min="4" max="18" width="8.71818181818182" style="1"/>
    <col min="19" max="19" width="9.28181818181818" style="1"/>
    <col min="20" max="20" width="10.1454545454545" style="1" customWidth="1"/>
    <col min="21" max="34" width="8.71818181818182" style="1"/>
    <col min="35" max="35" width="11.4272727272727" style="1"/>
    <col min="36" max="39" width="8.71818181818182" style="1"/>
    <col min="40" max="40" width="10.1454545454545" style="1"/>
    <col min="41" max="43" width="8.71818181818182" style="1"/>
    <col min="44" max="44" width="10.1454545454545" style="1"/>
    <col min="45" max="49" width="8.71818181818182" style="1"/>
    <col min="50" max="50" width="10.1454545454545" style="1"/>
    <col min="51" max="51" width="8.71818181818182" style="1"/>
    <col min="52" max="52" width="12" style="1"/>
    <col min="53" max="66" width="8.71818181818182" style="1"/>
    <col min="67" max="67" width="1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138</v>
      </c>
      <c r="C4" s="20" t="s">
        <v>138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2</v>
      </c>
      <c r="AX4" s="24">
        <f>AR4</f>
        <v>18386.775</v>
      </c>
      <c r="AY4" s="24">
        <f>AU4+AW4</f>
        <v>4</v>
      </c>
      <c r="AZ4" s="24">
        <f>ROUND(((AU4*AV4)+(AW4*AX4))/(AU4+AW4),5)</f>
        <v>18387.2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17581.09539</v>
      </c>
      <c r="BP4" s="28">
        <f>BN4+AW4</f>
        <v>533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67.37</v>
      </c>
      <c r="S5" s="33">
        <f t="shared" si="0"/>
        <v>432.63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432.63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36773.55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D1" workbookViewId="0">
      <selection activeCell="L4" sqref="L4:BQ4"/>
    </sheetView>
  </sheetViews>
  <sheetFormatPr defaultColWidth="8.85454545454546" defaultRowHeight="14.5"/>
  <cols>
    <col min="1" max="1" width="8.85454545454546" style="23"/>
    <col min="2" max="2" width="28" style="23" customWidth="1"/>
    <col min="3" max="3" width="23" style="23" customWidth="1"/>
    <col min="4" max="11" width="8.85454545454546" style="23"/>
    <col min="12" max="12" width="15.7181818181818" style="23" customWidth="1"/>
    <col min="13" max="13" width="9.14545454545454" style="23" customWidth="1"/>
    <col min="14" max="14" width="13.8545454545455" style="23" customWidth="1"/>
    <col min="15" max="15" width="11.2818181818182" style="23" customWidth="1"/>
    <col min="16" max="16" width="17.8545454545455" style="23" customWidth="1"/>
    <col min="17" max="18" width="8.85454545454546" style="23"/>
    <col min="19" max="19" width="9.28181818181818" style="23"/>
    <col min="20" max="20" width="10.1454545454545" style="23" customWidth="1"/>
    <col min="21" max="51" width="8.85454545454546" style="23"/>
    <col min="52" max="52" width="10.7181818181818" style="23"/>
    <col min="53" max="63" width="8.85454545454546" style="23"/>
    <col min="64" max="64" width="11" style="23" customWidth="1"/>
    <col min="65" max="66" width="8.85454545454546" style="23"/>
    <col min="67" max="67" width="10.7181818181818" style="23"/>
    <col min="68" max="16384" width="8.85454545454546" style="23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0" t="s">
        <v>142</v>
      </c>
      <c r="C4" s="20" t="s">
        <v>142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2</v>
      </c>
      <c r="AX4" s="24">
        <f>AR4</f>
        <v>18386.775</v>
      </c>
      <c r="AY4" s="24">
        <f>AU4+AW4</f>
        <v>4</v>
      </c>
      <c r="AZ4" s="24">
        <f>ROUND(((AU4*AV4)+(AW4*AX4))/(AU4+AW4),5)</f>
        <v>18387.2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17581.09539</v>
      </c>
      <c r="BP4" s="28">
        <f>BN4+AW4</f>
        <v>533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67.37</v>
      </c>
      <c r="S5" s="33">
        <f t="shared" si="0"/>
        <v>432.63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432.63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36773.55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2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25" spans="1:69">
      <c r="A7" s="5"/>
      <c r="B7" s="5"/>
      <c r="C7" s="5"/>
      <c r="D7" s="5"/>
      <c r="E7" s="5"/>
      <c r="F7" s="5"/>
      <c r="G7" s="47" t="s">
        <v>162</v>
      </c>
      <c r="H7" s="48"/>
      <c r="I7" s="49">
        <f>H5</f>
        <v>500</v>
      </c>
      <c r="J7" s="49"/>
      <c r="K7" s="5"/>
      <c r="L7" s="5"/>
      <c r="M7" s="50" t="s">
        <v>163</v>
      </c>
      <c r="N7" s="51"/>
      <c r="O7" s="51"/>
      <c r="P7" s="52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164</v>
      </c>
      <c r="BI7" s="140" t="s">
        <v>165</v>
      </c>
      <c r="BJ7" s="5"/>
      <c r="BK7" s="5"/>
      <c r="BL7" s="5"/>
      <c r="BM7" s="5"/>
      <c r="BN7" s="5"/>
      <c r="BO7" s="5"/>
      <c r="BP7" s="6"/>
      <c r="BQ7" s="6"/>
    </row>
    <row r="8" ht="15.25" spans="1:69">
      <c r="A8" s="5"/>
      <c r="B8" s="5"/>
      <c r="C8" s="5"/>
      <c r="D8" s="5"/>
      <c r="E8" s="5"/>
      <c r="F8" s="5"/>
      <c r="G8" s="47" t="s">
        <v>166</v>
      </c>
      <c r="H8" s="48"/>
      <c r="I8" s="49">
        <f>R5</f>
        <v>67.37</v>
      </c>
      <c r="J8" s="49"/>
      <c r="K8" s="5"/>
      <c r="L8" s="5"/>
      <c r="M8" s="53">
        <v>1</v>
      </c>
      <c r="N8" s="53" t="s">
        <v>12</v>
      </c>
      <c r="O8" s="53">
        <v>2</v>
      </c>
      <c r="P8" s="53" t="s">
        <v>144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167</v>
      </c>
      <c r="BI8" s="140" t="s">
        <v>168</v>
      </c>
      <c r="BJ8" s="5"/>
      <c r="BK8" s="5"/>
      <c r="BL8" s="5"/>
      <c r="BM8" s="5"/>
      <c r="BN8" s="5"/>
      <c r="BO8" s="5"/>
      <c r="BP8" s="6"/>
      <c r="BQ8" s="6"/>
    </row>
    <row r="9" ht="15.25" spans="1:69">
      <c r="A9" s="5"/>
      <c r="B9" s="5"/>
      <c r="C9" s="5"/>
      <c r="D9" s="5"/>
      <c r="E9" s="5"/>
      <c r="F9" s="5"/>
      <c r="G9" s="47" t="s">
        <v>169</v>
      </c>
      <c r="H9" s="48"/>
      <c r="I9" s="49">
        <f>S5</f>
        <v>432.63</v>
      </c>
      <c r="J9" s="49"/>
      <c r="K9" s="5"/>
      <c r="L9" s="5"/>
      <c r="M9" s="20">
        <v>1</v>
      </c>
      <c r="N9" s="20" t="s">
        <v>12</v>
      </c>
      <c r="O9" s="20">
        <v>2.5</v>
      </c>
      <c r="P9" s="20" t="s">
        <v>170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25" spans="1:69">
      <c r="A10" s="5"/>
      <c r="B10" s="5"/>
      <c r="C10" s="5"/>
      <c r="D10" s="5"/>
      <c r="E10" s="5"/>
      <c r="F10" s="5"/>
      <c r="G10" s="47" t="s">
        <v>171</v>
      </c>
      <c r="H10" s="48"/>
      <c r="I10" s="49">
        <f>AB5</f>
        <v>0</v>
      </c>
      <c r="J10" s="49"/>
      <c r="K10" s="5"/>
      <c r="L10" s="5"/>
      <c r="M10" s="20">
        <v>1</v>
      </c>
      <c r="N10" s="20" t="s">
        <v>144</v>
      </c>
      <c r="O10" s="20">
        <v>0.001</v>
      </c>
      <c r="P10" s="20" t="s">
        <v>172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25" spans="1:69">
      <c r="A11" s="5"/>
      <c r="B11" s="5"/>
      <c r="C11" s="5"/>
      <c r="D11" s="5"/>
      <c r="E11" s="5"/>
      <c r="F11" s="5"/>
      <c r="G11" s="47" t="s">
        <v>173</v>
      </c>
      <c r="H11" s="48"/>
      <c r="I11" s="54">
        <f>I9+I10</f>
        <v>432.63</v>
      </c>
      <c r="J11" s="5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174</v>
      </c>
      <c r="BN12" s="5" t="s">
        <v>175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176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177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178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179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Q1" workbookViewId="0">
      <selection activeCell="L4" sqref="L4:BQ4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454545454545" style="1" customWidth="1"/>
    <col min="21" max="16384" width="9.8545454545454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45" spans="1:69">
      <c r="A3" s="39" t="s">
        <v>2</v>
      </c>
      <c r="B3" s="39" t="s">
        <v>3</v>
      </c>
      <c r="C3" s="40" t="s">
        <v>4</v>
      </c>
      <c r="D3" s="39" t="s">
        <v>5</v>
      </c>
      <c r="E3" s="39" t="s">
        <v>6</v>
      </c>
      <c r="F3" s="41" t="s">
        <v>51</v>
      </c>
      <c r="G3" s="39" t="s">
        <v>8</v>
      </c>
      <c r="H3" s="39" t="s">
        <v>9</v>
      </c>
      <c r="I3" s="42" t="s">
        <v>52</v>
      </c>
      <c r="J3" s="42" t="s">
        <v>53</v>
      </c>
      <c r="K3" s="42" t="s">
        <v>54</v>
      </c>
      <c r="L3" s="43" t="s">
        <v>55</v>
      </c>
      <c r="M3" s="43" t="s">
        <v>56</v>
      </c>
      <c r="N3" s="43" t="s">
        <v>57</v>
      </c>
      <c r="O3" s="43" t="s">
        <v>58</v>
      </c>
      <c r="P3" s="43" t="s">
        <v>59</v>
      </c>
      <c r="Q3" s="43" t="s">
        <v>60</v>
      </c>
      <c r="R3" s="42" t="s">
        <v>61</v>
      </c>
      <c r="S3" s="39" t="s">
        <v>62</v>
      </c>
      <c r="T3" s="39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44" t="s">
        <v>72</v>
      </c>
      <c r="AD3" s="44" t="s">
        <v>73</v>
      </c>
      <c r="AE3" s="45" t="s">
        <v>74</v>
      </c>
      <c r="AF3" s="45" t="s">
        <v>75</v>
      </c>
      <c r="AG3" s="45" t="s">
        <v>76</v>
      </c>
      <c r="AH3" s="44" t="s">
        <v>77</v>
      </c>
      <c r="AI3" s="44" t="s">
        <v>78</v>
      </c>
      <c r="AJ3" s="45" t="s">
        <v>79</v>
      </c>
      <c r="AK3" s="45" t="s">
        <v>80</v>
      </c>
      <c r="AL3" s="44" t="s">
        <v>81</v>
      </c>
      <c r="AM3" s="44" t="s">
        <v>82</v>
      </c>
      <c r="AN3" s="45" t="s">
        <v>83</v>
      </c>
      <c r="AO3" s="45" t="s">
        <v>84</v>
      </c>
      <c r="AP3" s="45" t="s">
        <v>85</v>
      </c>
      <c r="AQ3" s="44" t="s">
        <v>86</v>
      </c>
      <c r="AR3" s="46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38" t="s">
        <v>143</v>
      </c>
      <c r="C4" s="20" t="s">
        <v>143</v>
      </c>
      <c r="D4" s="20" t="s">
        <v>12</v>
      </c>
      <c r="E4" s="20" t="s">
        <v>144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1</v>
      </c>
      <c r="AX4" s="24">
        <f>AR4</f>
        <v>55159.9</v>
      </c>
      <c r="AY4" s="24">
        <f>AU4+AW4</f>
        <v>3</v>
      </c>
      <c r="AZ4" s="24">
        <f>ROUND(((AU4*AV4)+(AW4*AX4))/(AU4+AW4),5)</f>
        <v>30645.05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17602.62122</v>
      </c>
      <c r="BP4" s="28">
        <f>BN4+AW4</f>
        <v>532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101.06</v>
      </c>
      <c r="S5" s="33">
        <f t="shared" si="0"/>
        <v>648.94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648.94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 t="shared" si="2"/>
        <v>0</v>
      </c>
      <c r="AI5" s="37">
        <f t="shared" si="2"/>
        <v>55159.9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L4" sqref="L4:BQ4"/>
    </sheetView>
  </sheetViews>
  <sheetFormatPr defaultColWidth="8.71818181818182" defaultRowHeight="14.5" outlineLevelRow="4"/>
  <cols>
    <col min="1" max="1" width="8.71818181818182" style="1"/>
    <col min="2" max="3" width="26.5454545454545" style="1" customWidth="1"/>
    <col min="4" max="18" width="8.71818181818182" style="1"/>
    <col min="19" max="19" width="9.28181818181818" style="1"/>
    <col min="20" max="20" width="10.1454545454545" style="1" customWidth="1"/>
    <col min="21" max="66" width="8.71818181818182" style="1"/>
    <col min="67" max="67" width="13.2818181818182" style="1"/>
    <col min="68" max="68" width="12.8545454545455" style="1"/>
    <col min="69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38" t="s">
        <v>148</v>
      </c>
      <c r="C4" s="38" t="s">
        <v>148</v>
      </c>
      <c r="D4" s="20" t="s">
        <v>12</v>
      </c>
      <c r="E4" s="20" t="s">
        <v>144</v>
      </c>
      <c r="F4" s="22">
        <v>3</v>
      </c>
      <c r="G4" s="1" t="s">
        <v>180</v>
      </c>
      <c r="H4" s="22">
        <f>F4*G4</f>
        <v>750</v>
      </c>
      <c r="I4" s="1" t="s">
        <v>139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1</v>
      </c>
      <c r="AX4" s="24">
        <f>AR4</f>
        <v>55159.9</v>
      </c>
      <c r="AY4" s="24">
        <f>AU4+AW4</f>
        <v>3</v>
      </c>
      <c r="AZ4" s="24">
        <f>ROUND(((AU4*AV4)+(AW4*AX4))/(AU4+AW4),5)</f>
        <v>30645.05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17602.62122</v>
      </c>
      <c r="BP4" s="28">
        <f>BN4+AW4</f>
        <v>532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101.06</v>
      </c>
      <c r="S5" s="33">
        <f t="shared" si="0"/>
        <v>648.94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648.94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55159.9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K12" sqref="AK12"/>
    </sheetView>
  </sheetViews>
  <sheetFormatPr defaultColWidth="8.71818181818182" defaultRowHeight="14.5" outlineLevelRow="4"/>
  <cols>
    <col min="1" max="1" width="8.71818181818182" style="1"/>
    <col min="2" max="2" width="27.2818181818182" style="1" customWidth="1"/>
    <col min="3" max="3" width="25.4272727272727" style="1" customWidth="1"/>
    <col min="4" max="18" width="8.71818181818182" style="1"/>
    <col min="19" max="19" width="9.28181818181818" style="1"/>
    <col min="20" max="20" width="10.1454545454545" style="1" customWidth="1"/>
    <col min="21" max="51" width="8.71818181818182" style="1"/>
    <col min="52" max="52" width="9" style="1"/>
    <col min="53" max="66" width="8.71818181818182" style="1"/>
    <col min="67" max="67" width="13.2818181818182" style="1"/>
    <col min="68" max="16384" width="8.71818181818182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2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25" spans="1:69">
      <c r="A4" s="20">
        <v>1</v>
      </c>
      <c r="B4" s="21" t="s">
        <v>151</v>
      </c>
      <c r="C4" s="21" t="s">
        <v>151</v>
      </c>
      <c r="D4" s="20" t="s">
        <v>12</v>
      </c>
      <c r="E4" s="20" t="s">
        <v>144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154</v>
      </c>
      <c r="AT4" s="24" t="s">
        <v>12</v>
      </c>
      <c r="AU4" s="1" t="s">
        <v>155</v>
      </c>
      <c r="AV4" s="1" t="s">
        <v>156</v>
      </c>
      <c r="AW4" s="24">
        <f>AM4</f>
        <v>1</v>
      </c>
      <c r="AX4" s="24">
        <f>AR4</f>
        <v>55159.9</v>
      </c>
      <c r="AY4" s="24">
        <f>AU4+AW4</f>
        <v>3</v>
      </c>
      <c r="AZ4" s="24">
        <f>ROUND(((AU4*AV4)+(AW4*AX4))/(AU4+AW4),5)</f>
        <v>30645.05</v>
      </c>
      <c r="BA4" s="25"/>
      <c r="BB4" s="25" t="s">
        <v>115</v>
      </c>
      <c r="BC4" s="26" t="s">
        <v>116</v>
      </c>
      <c r="BD4" s="27" t="s">
        <v>117</v>
      </c>
      <c r="BE4" s="27" t="s">
        <v>118</v>
      </c>
      <c r="BF4" s="25"/>
      <c r="BG4" s="25"/>
      <c r="BH4" s="25"/>
      <c r="BI4" s="24"/>
      <c r="BJ4" s="6"/>
      <c r="BK4" s="6"/>
      <c r="BL4" s="24" t="s">
        <v>157</v>
      </c>
      <c r="BM4" s="1" t="s">
        <v>158</v>
      </c>
      <c r="BN4" s="1" t="s">
        <v>159</v>
      </c>
      <c r="BO4" s="24">
        <f>ROUND((((AW4*AZ4)+(BN4*BM4))/(AW4+BN4)),5)</f>
        <v>17602.62122</v>
      </c>
      <c r="BP4" s="28">
        <f>BN4+AW4</f>
        <v>532</v>
      </c>
      <c r="BQ4" s="29">
        <v>123562</v>
      </c>
    </row>
    <row r="5" ht="15.25" spans="1:69">
      <c r="A5" s="5"/>
      <c r="B5" s="30"/>
      <c r="C5" s="30"/>
      <c r="D5" s="31" t="s">
        <v>41</v>
      </c>
      <c r="E5" s="31"/>
      <c r="F5" s="31"/>
      <c r="G5" s="32"/>
      <c r="H5" s="33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34">
        <f t="shared" ref="R5:X5" si="0">SUM(R4:R4)</f>
        <v>101.06</v>
      </c>
      <c r="S5" s="33">
        <f t="shared" si="0"/>
        <v>648.94</v>
      </c>
      <c r="T5" s="34"/>
      <c r="U5" s="34"/>
      <c r="V5" s="35">
        <f t="shared" si="0"/>
        <v>0</v>
      </c>
      <c r="W5" s="35">
        <f t="shared" si="0"/>
        <v>0</v>
      </c>
      <c r="X5" s="35">
        <f t="shared" si="0"/>
        <v>0</v>
      </c>
      <c r="Y5" s="35"/>
      <c r="Z5" s="35"/>
      <c r="AA5" s="35"/>
      <c r="AB5" s="34">
        <f t="shared" ref="AB5:AE5" si="1">SUM(AB4:AB4)</f>
        <v>0</v>
      </c>
      <c r="AC5" s="36">
        <f t="shared" si="1"/>
        <v>648.94</v>
      </c>
      <c r="AD5" s="37">
        <f t="shared" si="1"/>
        <v>120</v>
      </c>
      <c r="AE5" s="37">
        <f t="shared" si="1"/>
        <v>0</v>
      </c>
      <c r="AF5" s="36"/>
      <c r="AG5" s="37">
        <f t="shared" ref="AG5:AK5" si="2">SUM(AG4:AG4)</f>
        <v>0</v>
      </c>
      <c r="AH5" s="37">
        <f>IF($P$2=1,(S5/$S$5)*$E$19,AD5/$AD$5*$E$19)</f>
        <v>0</v>
      </c>
      <c r="AI5" s="37">
        <f t="shared" si="2"/>
        <v>55159.9</v>
      </c>
      <c r="AJ5" s="37">
        <f t="shared" si="2"/>
        <v>0</v>
      </c>
      <c r="AK5" s="37">
        <f t="shared" si="2"/>
        <v>0</v>
      </c>
      <c r="AL5" s="36"/>
      <c r="AM5" s="36"/>
      <c r="AN5" s="36"/>
      <c r="AO5" s="36"/>
      <c r="AP5" s="36"/>
      <c r="AQ5" s="36"/>
      <c r="AR5" s="36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galaxy</cp:lastModifiedBy>
  <dcterms:created xsi:type="dcterms:W3CDTF">2025-12-11T12:04:00Z</dcterms:created>
  <dcterms:modified xsi:type="dcterms:W3CDTF">2026-09-23T14:10:41Z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