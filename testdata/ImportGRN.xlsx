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420" firstSheet="9" activeTab="9"/>
  </bookViews>
  <sheets>
    <sheet name="ImportDirectGRNUDGeneralSameUOM" sheetId="2" r:id="rId1"/>
    <sheet name="ImportDirectGRNUDServiceSameUOM" sheetId="4" r:id="rId2"/>
    <sheet name="ImportDirectGRNRCGeneralSameUOM" sheetId="5" r:id="rId3"/>
    <sheet name="ImportDirectGRNRCServiceSameUOM" sheetId="7" r:id="rId4"/>
    <sheet name="ImportDirectGRNPLGeneralSameUOM" sheetId="8" r:id="rId5"/>
    <sheet name="ImportDirectGRNPLServiceSameUOM" sheetId="1" r:id="rId6"/>
    <sheet name="ImportDirectGRNUDGeneralDiffUOM" sheetId="3" r:id="rId7"/>
    <sheet name="ImportDirectGRNRCGeneralDiffUOM" sheetId="6" r:id="rId8"/>
    <sheet name="ImportDirectGRNPLGeneralDiffUOM" sheetId="9" r:id="rId9"/>
    <sheet name="ImportPoToGRNUDGeneralSameUOM" sheetId="11" r:id="rId10"/>
    <sheet name="ImportPoToGRNUDServiceSameUOM" sheetId="12" r:id="rId11"/>
    <sheet name="ImportPoToGRNRCGeneralSameUOM" sheetId="13" r:id="rId12"/>
    <sheet name="ImportPoToGRNRCServiceSameUOM" sheetId="14" r:id="rId13"/>
    <sheet name="ImportPoToGRNPLGeneralSameUOM" sheetId="15" r:id="rId14"/>
    <sheet name="ImportPoToGRNPLServiceSameUOM" sheetId="16" r:id="rId15"/>
    <sheet name="ImportPoToGRNUDGeneralDiffUOM" sheetId="17" r:id="rId16"/>
    <sheet name="ImportPoToGRNRCGeneralDiffUOM" sheetId="18" r:id="rId17"/>
    <sheet name="ImportPoToGRNPLGeneralDiffUOM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<sst xmlns="http://schemas.openxmlformats.org/spreadsheetml/2006/main" count="2418" uniqueCount="201">
  <si>
    <t>Scenario  : Local Purchase - Stock UOM and Purchase UOM (Similar)</t>
  </si>
  <si>
    <t xml:space="preserve">Purchase Request </t>
  </si>
  <si>
    <t>S. No.</t>
  </si>
  <si>
    <t>Item</t>
  </si>
  <si>
    <t>Item Desc.</t>
  </si>
  <si>
    <t>Stk. UOM</t>
  </si>
  <si>
    <t>Pur. UOM</t>
  </si>
  <si>
    <t>Qty</t>
  </si>
  <si>
    <t>Unit Cost</t>
  </si>
  <si>
    <t>Gross Amt.</t>
  </si>
  <si>
    <t>RM1001</t>
  </si>
  <si>
    <t>Raw Material - 1001</t>
  </si>
  <si>
    <t>NOS</t>
  </si>
  <si>
    <t>RM1002</t>
  </si>
  <si>
    <t>Raw Material - 1002</t>
  </si>
  <si>
    <t>RM1003</t>
  </si>
  <si>
    <t>Raw Material - 1003</t>
  </si>
  <si>
    <t>RM1004</t>
  </si>
  <si>
    <t>Raw Material - 1004</t>
  </si>
  <si>
    <t>RM1005</t>
  </si>
  <si>
    <t>Raw Material - 1005</t>
  </si>
  <si>
    <t>RM1006</t>
  </si>
  <si>
    <t>Raw Material - 1006</t>
  </si>
  <si>
    <t>RM1007</t>
  </si>
  <si>
    <t>Raw Material - 1007</t>
  </si>
  <si>
    <t>RM1008</t>
  </si>
  <si>
    <t>Raw Material - 1008</t>
  </si>
  <si>
    <t>RM1009</t>
  </si>
  <si>
    <t>Raw Material - 1009</t>
  </si>
  <si>
    <t>RM1010</t>
  </si>
  <si>
    <t>Raw Material - 1010</t>
  </si>
  <si>
    <t>RM1011</t>
  </si>
  <si>
    <t>Raw Material - 1011</t>
  </si>
  <si>
    <t>RM1012</t>
  </si>
  <si>
    <t>Raw Material - 1012</t>
  </si>
  <si>
    <t>RM1013</t>
  </si>
  <si>
    <t>Raw Material - 1013</t>
  </si>
  <si>
    <t>RM1014</t>
  </si>
  <si>
    <t>Raw Material - 1014</t>
  </si>
  <si>
    <t>RM1015</t>
  </si>
  <si>
    <t>Raw Material - 1015</t>
  </si>
  <si>
    <t>Total</t>
  </si>
  <si>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</si>
  <si>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</si>
  <si>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</si>
  <si>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</si>
  <si>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</si>
  <si>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</si>
  <si>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</si>
  <si>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</si>
  <si>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</si>
  <si>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Order Qty (Pur UOM)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</si>
  <si>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</si>
  <si>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</si>
  <si>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</si>
  <si>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</si>
  <si>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</si>
  <si>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</si>
  <si>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</si>
  <si>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</si>
  <si>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</si>
  <si>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</si>
  <si>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</si>
  <si>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</si>
  <si>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</si>
  <si>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</si>
  <si>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</si>
  <si>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</si>
  <si>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</si>
  <si>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</si>
  <si>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</si>
  <si>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</si>
  <si>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</si>
  <si>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</si>
  <si>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</si>
  <si>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</si>
  <si>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</si>
  <si>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</si>
  <si>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</si>
  <si>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</si>
  <si>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</si>
  <si>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</si>
  <si>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</si>
  <si>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</si>
  <si>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</si>
  <si>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</si>
  <si>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</si>
  <si>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</si>
  <si>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</si>
  <si>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</si>
  <si>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</si>
  <si>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</si>
  <si>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</si>
  <si>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</si>
  <si>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</si>
  <si>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</si>
  <si>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</si>
  <si>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</si>
  <si>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</si>
  <si>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</si>
  <si>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</si>
  <si>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</si>
  <si>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</si>
  <si>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</si>
  <si>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</si>
  <si>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</si>
  <si>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</si>
  <si>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</si>
  <si>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</si>
  <si>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</si>
  <si>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ITEM-GWL-SIMILAR-02</t>
  </si>
  <si>
    <t>HSN1</t>
  </si>
  <si>
    <t>INS</t>
  </si>
  <si>
    <t>0</t>
  </si>
  <si>
    <t>7916.9</t>
  </si>
  <si>
    <t>Receipt Qty &amp; Unit cost</t>
  </si>
  <si>
    <t>LOT</t>
  </si>
  <si>
    <t>RM</t>
  </si>
  <si>
    <t>RMS</t>
  </si>
  <si>
    <t>RM KD</t>
  </si>
  <si>
    <t>8046.0574</t>
  </si>
  <si>
    <t>568</t>
  </si>
  <si>
    <t>VD Asbl. Val.</t>
  </si>
  <si>
    <t>Pur. Value</t>
  </si>
  <si>
    <t>Tax%</t>
  </si>
  <si>
    <t>Unit cost (Stk. UOM)</t>
  </si>
  <si>
    <t>ITEM-GWL-SERVICE-02</t>
  </si>
  <si>
    <t>116.334</t>
  </si>
  <si>
    <t>6294.86566</t>
  </si>
  <si>
    <t>246.36</t>
  </si>
  <si>
    <t>120</t>
  </si>
  <si>
    <t>Before Qty</t>
  </si>
  <si>
    <t>Before Unit Cost</t>
  </si>
  <si>
    <t>ITEM-GWL-SIMILAR-RC-02</t>
  </si>
  <si>
    <t>19792.25</t>
  </si>
  <si>
    <t>20060.85597</t>
  </si>
  <si>
    <t>534</t>
  </si>
  <si>
    <t>ITEM-GWL-SERVICE-RC-02</t>
  </si>
  <si>
    <t>ITEM-GWL-SIMILAR-PL-02</t>
  </si>
  <si>
    <t>1</t>
  </si>
  <si>
    <t>20039.01536</t>
  </si>
  <si>
    <t>502</t>
  </si>
  <si>
    <t>ITEM-GWL-SERVICE-PL-02</t>
  </si>
  <si>
    <t>ITEM-GWL-DISSIMILAR-04</t>
  </si>
  <si>
    <t>KGS</t>
  </si>
  <si>
    <t>59375.9</t>
  </si>
  <si>
    <t>60085.70678</t>
  </si>
  <si>
    <t>248</t>
  </si>
  <si>
    <t>ITEM-GWL-DISSIMILAR-RC-04</t>
  </si>
  <si>
    <t>60279.89292</t>
  </si>
  <si>
    <t>238</t>
  </si>
  <si>
    <t>ITEM-GWL-DISSIMILAR-PL-04</t>
  </si>
  <si>
    <t>60231.61152</t>
  </si>
  <si>
    <t>240</t>
  </si>
  <si>
    <t>INS WH-1</t>
  </si>
  <si>
    <t>18387.625</t>
  </si>
  <si>
    <t>RM WH-49</t>
  </si>
  <si>
    <t>17571.9145</t>
  </si>
  <si>
    <t>No.</t>
  </si>
  <si>
    <t>Item Desc</t>
  </si>
  <si>
    <t>110</t>
  </si>
  <si>
    <t>124.545</t>
  </si>
  <si>
    <t>5</t>
  </si>
  <si>
    <t>Gross Purchase</t>
  </si>
  <si>
    <t>Conv factor</t>
  </si>
  <si>
    <t>ACPT</t>
  </si>
  <si>
    <t>Acpt Qty. * Insp. Unit Cost + OLD. Qty in GRN WH * OLD Unitcost in GRN WH / Acpt. Qty + OLD. Qty in GRN WH</t>
  </si>
  <si>
    <t>Disc amt</t>
  </si>
  <si>
    <t>REJ</t>
  </si>
  <si>
    <t>Rej Qty. * Insp. Unit Cost + OLD. Qty in REJ WH * OLD Unitcost in REJ WH / Acpt. Qty + OLD. Qty in REJ WH</t>
  </si>
  <si>
    <t>Net Purchase</t>
  </si>
  <si>
    <t>MTR</t>
  </si>
  <si>
    <t>Tax Amt</t>
  </si>
  <si>
    <t>MT</t>
  </si>
  <si>
    <t>Gross Amont</t>
  </si>
  <si>
    <t>old</t>
  </si>
  <si>
    <t>new</t>
  </si>
  <si>
    <t>acpt Qty</t>
  </si>
  <si>
    <t>Inspection Unit Cost</t>
  </si>
  <si>
    <t>old Qty</t>
  </si>
  <si>
    <t>old UnitCost</t>
  </si>
  <si>
    <t>250</t>
  </si>
  <si>
    <t>18386.96093</t>
  </si>
  <si>
    <t>256</t>
  </si>
  <si>
    <t>15</t>
  </si>
  <si>
    <t>41.515</t>
  </si>
  <si>
    <t>18510.62634</t>
  </si>
  <si>
    <t>294</t>
  </si>
  <si>
    <t>10</t>
  </si>
  <si>
    <t>55162.875</t>
  </si>
  <si>
    <t>55383.66379</t>
  </si>
  <si>
    <t>163</t>
  </si>
  <si>
    <t>55160.56114</t>
  </si>
  <si>
    <t>126</t>
  </si>
  <si>
    <t>55160.64375</t>
  </si>
  <si>
    <t>128</t>
  </si>
  <si>
    <t>529</t>
  </si>
  <si>
    <t>17574.99847</t>
  </si>
  <si>
    <t>2</t>
  </si>
  <si>
    <t>531</t>
  </si>
  <si>
    <t>17578.05921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</si>
</sst>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0.000"/>
    <numFmt numFmtId="182" formatCode="0.00000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9"/>
      <color rgb="FF000000"/>
      <name val="Arial"/>
      <charset val="134"/>
    </font>
    <font>
      <sz val="9"/>
      <color rgb="FF004153"/>
      <name val="Arial"/>
      <charset val="134"/>
    </font>
    <font>
      <sz val="9"/>
      <color rgb="FF000000"/>
      <name val="Times New Roman"/>
      <charset val="134"/>
    </font>
    <font>
      <b/>
      <u/>
      <sz val="14"/>
      <color theme="1"/>
      <name val="Calibri Light"/>
      <charset val="134"/>
      <scheme val="major"/>
    </font>
    <font>
      <sz val="10"/>
      <color rgb="FF000000"/>
      <name val="Consolas"/>
      <charset val="134"/>
    </font>
    <font>
      <b/>
      <sz val="11"/>
      <color rgb="FF000000"/>
      <name val="Calibri Light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/>
      <right style="medium">
        <color rgb="FF0070C0"/>
      </right>
      <top style="double">
        <color rgb="FF0070C0"/>
      </top>
      <bottom/>
      <diagonal/>
    </border>
    <border>
      <left/>
      <right style="thin">
        <color rgb="FF0070C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27" applyNumberFormat="0" applyAlignment="0" applyProtection="0">
      <alignment vertical="center"/>
    </xf>
    <xf numFmtId="0" fontId="19" fillId="17" borderId="28" applyNumberFormat="0" applyAlignment="0" applyProtection="0">
      <alignment vertical="center"/>
    </xf>
    <xf numFmtId="0" fontId="20" fillId="17" borderId="27" applyNumberFormat="0" applyAlignment="0" applyProtection="0">
      <alignment vertical="center"/>
    </xf>
    <xf numFmtId="0" fontId="21" fillId="18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9">
    <xf numFmtId="0" fontId="0" fillId="0" borderId="0" xfId="0"/>
    <xf numFmtId="0" fontId="0" fillId="0" borderId="0" xfId="49">
      <alignment vertical="center"/>
    </xf>
    <xf numFmtId="0" fontId="1" fillId="0" borderId="0" xfId="49" applyFont="1" applyFill="1" applyBorder="1" applyAlignment="1"/>
    <xf numFmtId="0" fontId="1" fillId="0" borderId="0" xfId="49" applyFont="1" applyFill="1" applyBorder="1" applyAlignment="1">
      <alignment horizontal="center"/>
    </xf>
    <xf numFmtId="0" fontId="2" fillId="0" borderId="0" xfId="49" applyFont="1" applyFill="1" applyBorder="1" applyAlignment="1"/>
    <xf numFmtId="0" fontId="2" fillId="0" borderId="0" xfId="49" applyFont="1" applyFill="1" applyAlignment="1"/>
    <xf numFmtId="0" fontId="0" fillId="0" borderId="0" xfId="49" applyFill="1" applyAlignment="1"/>
    <xf numFmtId="0" fontId="2" fillId="0" borderId="0" xfId="49" applyFont="1" applyFill="1" applyBorder="1" applyAlignment="1">
      <alignment horizontal="left"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left" vertic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/>
    </xf>
    <xf numFmtId="0" fontId="1" fillId="5" borderId="2" xfId="49" applyFont="1" applyFill="1" applyBorder="1" applyAlignment="1">
      <alignment horizontal="center" vertical="center"/>
    </xf>
    <xf numFmtId="0" fontId="1" fillId="6" borderId="1" xfId="49" applyFont="1" applyFill="1" applyBorder="1" applyAlignment="1">
      <alignment horizontal="center" vertical="center"/>
    </xf>
    <xf numFmtId="0" fontId="1" fillId="7" borderId="1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/>
    </xf>
    <xf numFmtId="0" fontId="2" fillId="2" borderId="3" xfId="49" applyFont="1" applyFill="1" applyBorder="1" applyAlignment="1"/>
    <xf numFmtId="0" fontId="2" fillId="2" borderId="4" xfId="49" applyFont="1" applyFill="1" applyBorder="1" applyAlignment="1"/>
    <xf numFmtId="0" fontId="2" fillId="0" borderId="1" xfId="49" applyFont="1" applyFill="1" applyBorder="1" applyAlignment="1"/>
    <xf numFmtId="0" fontId="3" fillId="0" borderId="0" xfId="0" applyFont="1"/>
    <xf numFmtId="0" fontId="2" fillId="0" borderId="1" xfId="49" applyNumberFormat="1" applyFont="1" applyFill="1" applyBorder="1" applyAlignment="1"/>
    <xf numFmtId="0" fontId="0" fillId="0" borderId="0" xfId="49" applyFill="1" applyAlignment="1">
      <alignment vertical="center"/>
    </xf>
    <xf numFmtId="2" fontId="2" fillId="0" borderId="1" xfId="49" applyNumberFormat="1" applyFont="1" applyFill="1" applyBorder="1" applyAlignment="1"/>
    <xf numFmtId="180" fontId="2" fillId="0" borderId="1" xfId="49" applyNumberFormat="1" applyFont="1" applyFill="1" applyBorder="1" applyAlignment="1"/>
    <xf numFmtId="181" fontId="2" fillId="0" borderId="1" xfId="49" applyNumberFormat="1" applyFont="1" applyFill="1" applyBorder="1" applyAlignment="1"/>
    <xf numFmtId="0" fontId="4" fillId="8" borderId="5" xfId="49" applyFont="1" applyFill="1" applyBorder="1" applyAlignment="1">
      <alignment vertical="center"/>
    </xf>
    <xf numFmtId="0" fontId="2" fillId="0" borderId="6" xfId="49" applyNumberFormat="1" applyFont="1" applyFill="1" applyBorder="1" applyAlignment="1"/>
    <xf numFmtId="2" fontId="2" fillId="0" borderId="6" xfId="49" applyNumberFormat="1" applyFont="1" applyFill="1" applyBorder="1" applyAlignment="1"/>
    <xf numFmtId="0" fontId="0" fillId="0" borderId="6" xfId="49" applyNumberFormat="1" applyFill="1" applyBorder="1" applyAlignment="1"/>
    <xf numFmtId="0" fontId="0" fillId="0" borderId="7" xfId="49" applyNumberFormat="1" applyFill="1" applyBorder="1" applyAlignment="1"/>
    <xf numFmtId="0" fontId="0" fillId="0" borderId="7" xfId="49" applyNumberFormat="1" applyFont="1" applyFill="1" applyBorder="1" applyAlignment="1">
      <alignment vertical="center"/>
    </xf>
    <xf numFmtId="0" fontId="4" fillId="0" borderId="0" xfId="49" applyFont="1" applyFill="1" applyAlignment="1">
      <alignment vertical="center"/>
    </xf>
    <xf numFmtId="0" fontId="0" fillId="0" borderId="0" xfId="49" applyNumberFormat="1" applyFill="1" applyAlignment="1"/>
    <xf numFmtId="0" fontId="0" fillId="0" borderId="0" xfId="49" applyNumberFormat="1" applyFill="1" applyAlignment="1">
      <alignment horizontal="center"/>
    </xf>
    <xf numFmtId="0" fontId="0" fillId="0" borderId="0" xfId="49" applyFill="1" applyBorder="1" applyAlignment="1"/>
    <xf numFmtId="0" fontId="1" fillId="9" borderId="8" xfId="49" applyFont="1" applyFill="1" applyBorder="1" applyAlignment="1"/>
    <xf numFmtId="0" fontId="1" fillId="9" borderId="9" xfId="49" applyFont="1" applyFill="1" applyBorder="1" applyAlignment="1"/>
    <xf numFmtId="0" fontId="1" fillId="9" borderId="1" xfId="49" applyNumberFormat="1" applyFont="1" applyFill="1" applyBorder="1" applyAlignment="1"/>
    <xf numFmtId="0" fontId="1" fillId="9" borderId="1" xfId="49" applyFont="1" applyFill="1" applyBorder="1" applyAlignment="1"/>
    <xf numFmtId="2" fontId="1" fillId="9" borderId="1" xfId="49" applyNumberFormat="1" applyFont="1" applyFill="1" applyBorder="1" applyAlignment="1"/>
    <xf numFmtId="0" fontId="1" fillId="6" borderId="1" xfId="49" applyFont="1" applyFill="1" applyBorder="1" applyAlignment="1"/>
    <xf numFmtId="2" fontId="1" fillId="6" borderId="1" xfId="49" applyNumberFormat="1" applyFont="1" applyFill="1" applyBorder="1" applyAlignment="1"/>
    <xf numFmtId="0" fontId="5" fillId="0" borderId="0" xfId="0" applyFont="1"/>
    <xf numFmtId="0" fontId="1" fillId="2" borderId="2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left" vertical="center"/>
    </xf>
    <xf numFmtId="0" fontId="1" fillId="2" borderId="2" xfId="49" applyFont="1" applyFill="1" applyBorder="1" applyAlignment="1">
      <alignment horizontal="center" vertical="center" wrapText="1"/>
    </xf>
    <xf numFmtId="0" fontId="1" fillId="3" borderId="2" xfId="49" applyFont="1" applyFill="1" applyBorder="1" applyAlignment="1">
      <alignment horizontal="center" vertical="center"/>
    </xf>
    <xf numFmtId="0" fontId="1" fillId="10" borderId="2" xfId="49" applyFont="1" applyFill="1" applyBorder="1" applyAlignment="1">
      <alignment horizontal="center" vertical="center"/>
    </xf>
    <xf numFmtId="0" fontId="1" fillId="6" borderId="2" xfId="49" applyFont="1" applyFill="1" applyBorder="1" applyAlignment="1">
      <alignment horizontal="center" vertical="center"/>
    </xf>
    <xf numFmtId="0" fontId="1" fillId="6" borderId="2" xfId="49" applyFont="1" applyFill="1" applyBorder="1" applyAlignment="1">
      <alignment horizontal="center" vertical="center" wrapText="1"/>
    </xf>
    <xf numFmtId="0" fontId="1" fillId="7" borderId="2" xfId="49" applyFont="1" applyFill="1" applyBorder="1" applyAlignment="1">
      <alignment horizontal="center" vertical="center"/>
    </xf>
    <xf numFmtId="0" fontId="0" fillId="0" borderId="7" xfId="49" applyFill="1" applyBorder="1" applyAlignment="1">
      <alignment vertical="center"/>
    </xf>
    <xf numFmtId="0" fontId="2" fillId="0" borderId="10" xfId="49" applyFont="1" applyFill="1" applyBorder="1" applyAlignment="1">
      <alignment horizontal="left"/>
    </xf>
    <xf numFmtId="0" fontId="2" fillId="0" borderId="9" xfId="49" applyFont="1" applyFill="1" applyBorder="1" applyAlignment="1">
      <alignment horizontal="left"/>
    </xf>
    <xf numFmtId="0" fontId="1" fillId="0" borderId="1" xfId="49" applyFont="1" applyFill="1" applyBorder="1" applyAlignment="1">
      <alignment horizontal="right"/>
    </xf>
    <xf numFmtId="0" fontId="1" fillId="11" borderId="10" xfId="49" applyFont="1" applyFill="1" applyBorder="1" applyAlignment="1">
      <alignment horizontal="center"/>
    </xf>
    <xf numFmtId="0" fontId="1" fillId="11" borderId="8" xfId="49" applyFont="1" applyFill="1" applyBorder="1" applyAlignment="1">
      <alignment horizontal="center"/>
    </xf>
    <xf numFmtId="0" fontId="1" fillId="11" borderId="9" xfId="49" applyFont="1" applyFill="1" applyBorder="1" applyAlignment="1">
      <alignment horizontal="center"/>
    </xf>
    <xf numFmtId="0" fontId="2" fillId="0" borderId="2" xfId="49" applyFont="1" applyFill="1" applyBorder="1" applyAlignment="1"/>
    <xf numFmtId="0" fontId="1" fillId="6" borderId="1" xfId="49" applyFont="1" applyFill="1" applyBorder="1" applyAlignment="1">
      <alignment horizontal="right"/>
    </xf>
    <xf numFmtId="0" fontId="3" fillId="0" borderId="0" xfId="0" applyFont="1"/>
    <xf numFmtId="0" fontId="6" fillId="0" borderId="0" xfId="0" applyFont="1" applyFill="1" applyBorder="1" applyAlignment="1">
      <alignment horizontal="left" vertical="top"/>
    </xf>
    <xf numFmtId="0" fontId="2" fillId="0" borderId="0" xfId="0" applyFont="1" applyFill="1" applyAlignment="1"/>
    <xf numFmtId="0" fontId="0" fillId="0" borderId="0" xfId="0" applyFill="1" applyAlignment="1"/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3" xfId="0" applyFont="1" applyFill="1" applyBorder="1" applyAlignment="1"/>
    <xf numFmtId="0" fontId="2" fillId="0" borderId="6" xfId="0" applyFont="1" applyFill="1" applyBorder="1" applyAlignment="1"/>
    <xf numFmtId="181" fontId="2" fillId="0" borderId="6" xfId="0" applyNumberFormat="1" applyFont="1" applyFill="1" applyBorder="1" applyAlignment="1"/>
    <xf numFmtId="2" fontId="2" fillId="0" borderId="6" xfId="0" applyNumberFormat="1" applyFont="1" applyFill="1" applyBorder="1" applyAlignment="1"/>
    <xf numFmtId="2" fontId="2" fillId="0" borderId="14" xfId="0" applyNumberFormat="1" applyFont="1" applyFill="1" applyBorder="1" applyAlignment="1"/>
    <xf numFmtId="10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0" fontId="7" fillId="0" borderId="0" xfId="0" applyFont="1" applyFill="1" applyAlignment="1"/>
    <xf numFmtId="0" fontId="2" fillId="0" borderId="15" xfId="0" applyFont="1" applyFill="1" applyBorder="1" applyAlignment="1"/>
    <xf numFmtId="0" fontId="2" fillId="0" borderId="16" xfId="0" applyFont="1" applyFill="1" applyBorder="1" applyAlignment="1"/>
    <xf numFmtId="181" fontId="2" fillId="0" borderId="16" xfId="0" applyNumberFormat="1" applyFont="1" applyFill="1" applyBorder="1" applyAlignment="1"/>
    <xf numFmtId="2" fontId="2" fillId="0" borderId="16" xfId="0" applyNumberFormat="1" applyFont="1" applyFill="1" applyBorder="1" applyAlignment="1"/>
    <xf numFmtId="2" fontId="2" fillId="0" borderId="17" xfId="0" applyNumberFormat="1" applyFont="1" applyFill="1" applyBorder="1" applyAlignment="1"/>
    <xf numFmtId="0" fontId="1" fillId="9" borderId="18" xfId="0" applyFont="1" applyFill="1" applyBorder="1" applyAlignment="1">
      <alignment horizontal="center" vertical="top"/>
    </xf>
    <xf numFmtId="0" fontId="1" fillId="9" borderId="19" xfId="0" applyFont="1" applyFill="1" applyBorder="1" applyAlignment="1">
      <alignment vertical="top"/>
    </xf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center" vertical="top"/>
    </xf>
    <xf numFmtId="0" fontId="1" fillId="0" borderId="7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vertical="top"/>
    </xf>
    <xf numFmtId="0" fontId="2" fillId="0" borderId="7" xfId="0" applyFont="1" applyFill="1" applyBorder="1" applyAlignment="1">
      <alignment vertical="top"/>
    </xf>
    <xf numFmtId="0" fontId="0" fillId="0" borderId="7" xfId="0" applyFill="1" applyBorder="1" applyAlignment="1">
      <alignment vertical="top"/>
    </xf>
    <xf numFmtId="0" fontId="1" fillId="2" borderId="7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1" fillId="12" borderId="7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horizontal="left" vertical="top"/>
    </xf>
    <xf numFmtId="0" fontId="1" fillId="6" borderId="7" xfId="0" applyFont="1" applyFill="1" applyBorder="1" applyAlignment="1">
      <alignment horizontal="left" vertical="top"/>
    </xf>
    <xf numFmtId="0" fontId="1" fillId="7" borderId="7" xfId="0" applyFont="1" applyFill="1" applyBorder="1" applyAlignment="1">
      <alignment horizontal="left" vertical="top"/>
    </xf>
    <xf numFmtId="0" fontId="8" fillId="13" borderId="7" xfId="0" applyFont="1" applyFill="1" applyBorder="1" applyAlignment="1">
      <alignment horizontal="center" vertical="top"/>
    </xf>
    <xf numFmtId="0" fontId="2" fillId="2" borderId="7" xfId="0" applyFont="1" applyFill="1" applyBorder="1"/>
    <xf numFmtId="0" fontId="2" fillId="2" borderId="7" xfId="0" applyFont="1" applyFill="1" applyBorder="1" applyAlignment="1"/>
    <xf numFmtId="0" fontId="2" fillId="0" borderId="7" xfId="0" applyNumberFormat="1" applyFont="1" applyFill="1" applyBorder="1" applyAlignment="1">
      <alignment horizontal="left" vertical="top"/>
    </xf>
    <xf numFmtId="0" fontId="2" fillId="0" borderId="7" xfId="0" applyNumberFormat="1" applyFont="1" applyBorder="1" applyAlignment="1">
      <alignment vertical="top"/>
    </xf>
    <xf numFmtId="0" fontId="2" fillId="0" borderId="1" xfId="0" applyNumberFormat="1" applyFont="1" applyFill="1" applyBorder="1" applyAlignment="1"/>
    <xf numFmtId="0" fontId="0" fillId="0" borderId="7" xfId="0" applyNumberForma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horizontal="center" vertical="top"/>
    </xf>
    <xf numFmtId="0" fontId="1" fillId="9" borderId="7" xfId="0" applyFont="1" applyFill="1" applyBorder="1" applyAlignment="1">
      <alignment vertical="top"/>
    </xf>
    <xf numFmtId="0" fontId="1" fillId="9" borderId="7" xfId="0" applyNumberFormat="1" applyFont="1" applyFill="1" applyBorder="1" applyAlignment="1">
      <alignment vertical="top"/>
    </xf>
    <xf numFmtId="2" fontId="1" fillId="9" borderId="7" xfId="0" applyNumberFormat="1" applyFont="1" applyFill="1" applyBorder="1" applyAlignment="1">
      <alignment vertical="top"/>
    </xf>
    <xf numFmtId="0" fontId="1" fillId="6" borderId="7" xfId="0" applyFont="1" applyFill="1" applyBorder="1" applyAlignment="1">
      <alignment vertical="top"/>
    </xf>
    <xf numFmtId="2" fontId="1" fillId="6" borderId="7" xfId="0" applyNumberFormat="1" applyFont="1" applyFill="1" applyBorder="1" applyAlignment="1">
      <alignment vertical="top"/>
    </xf>
    <xf numFmtId="0" fontId="2" fillId="0" borderId="7" xfId="0" applyNumberFormat="1" applyFont="1" applyFill="1" applyBorder="1" applyAlignment="1">
      <alignment vertical="top"/>
    </xf>
    <xf numFmtId="0" fontId="0" fillId="0" borderId="7" xfId="0" applyNumberFormat="1" applyFill="1" applyBorder="1" applyAlignment="1">
      <alignment vertical="top"/>
    </xf>
    <xf numFmtId="0" fontId="0" fillId="0" borderId="7" xfId="0" applyBorder="1" applyAlignment="1">
      <alignment vertical="top"/>
    </xf>
    <xf numFmtId="0" fontId="1" fillId="9" borderId="20" xfId="0" applyFont="1" applyFill="1" applyBorder="1" applyAlignment="1">
      <alignment horizontal="center" vertical="top"/>
    </xf>
    <xf numFmtId="0" fontId="1" fillId="9" borderId="21" xfId="0" applyFont="1" applyFill="1" applyBorder="1" applyAlignment="1">
      <alignment horizontal="center" vertical="top"/>
    </xf>
    <xf numFmtId="0" fontId="1" fillId="9" borderId="22" xfId="0" applyFont="1" applyFill="1" applyBorder="1" applyAlignment="1">
      <alignment horizontal="center" vertical="top"/>
    </xf>
    <xf numFmtId="0" fontId="2" fillId="0" borderId="7" xfId="0" applyNumberFormat="1" applyFont="1" applyBorder="1" applyAlignment="1">
      <alignment horizontal="left" vertical="top"/>
    </xf>
    <xf numFmtId="0" fontId="1" fillId="4" borderId="7" xfId="0" applyFont="1" applyFill="1" applyBorder="1" applyAlignment="1">
      <alignment horizontal="left" vertical="top"/>
    </xf>
    <xf numFmtId="2" fontId="2" fillId="0" borderId="7" xfId="0" applyNumberFormat="1" applyFont="1" applyFill="1" applyBorder="1" applyAlignment="1">
      <alignment vertical="top"/>
    </xf>
    <xf numFmtId="180" fontId="2" fillId="0" borderId="7" xfId="0" applyNumberFormat="1" applyFont="1" applyFill="1" applyBorder="1" applyAlignment="1">
      <alignment vertical="top"/>
    </xf>
    <xf numFmtId="181" fontId="2" fillId="0" borderId="7" xfId="0" applyNumberFormat="1" applyFont="1" applyFill="1" applyBorder="1" applyAlignment="1">
      <alignment vertical="top"/>
    </xf>
    <xf numFmtId="0" fontId="4" fillId="8" borderId="7" xfId="0" applyFont="1" applyFill="1" applyBorder="1" applyAlignment="1">
      <alignment vertical="top"/>
    </xf>
    <xf numFmtId="182" fontId="2" fillId="0" borderId="7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4" fillId="0" borderId="7" xfId="0" applyFont="1" applyFill="1" applyBorder="1" applyAlignment="1">
      <alignment vertical="top"/>
    </xf>
    <xf numFmtId="0" fontId="0" fillId="0" borderId="7" xfId="0" applyNumberForma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14" borderId="7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center" vertical="center"/>
    </xf>
    <xf numFmtId="0" fontId="2" fillId="0" borderId="23" xfId="0" applyFont="1" applyFill="1" applyBorder="1"/>
    <xf numFmtId="0" fontId="0" fillId="0" borderId="7" xfId="0" applyNumberFormat="1" applyBorder="1" applyAlignment="1">
      <alignment horizontal="left" vertical="top"/>
    </xf>
    <xf numFmtId="0" fontId="0" fillId="0" borderId="7" xfId="0" applyNumberFormat="1" applyFont="1" applyBorder="1" applyAlignment="1">
      <alignment horizontal="left" vertical="top"/>
    </xf>
    <xf numFmtId="0" fontId="1" fillId="9" borderId="7" xfId="0" applyFont="1" applyFill="1" applyBorder="1" applyAlignment="1">
      <alignment horizontal="left" vertical="top"/>
    </xf>
    <xf numFmtId="0" fontId="1" fillId="9" borderId="7" xfId="0" applyNumberFormat="1" applyFont="1" applyFill="1" applyBorder="1" applyAlignment="1">
      <alignment horizontal="left" vertical="top"/>
    </xf>
    <xf numFmtId="2" fontId="1" fillId="9" borderId="7" xfId="0" applyNumberFormat="1" applyFont="1" applyFill="1" applyBorder="1" applyAlignment="1">
      <alignment horizontal="left" vertical="top"/>
    </xf>
    <xf numFmtId="2" fontId="1" fillId="6" borderId="7" xfId="0" applyNumberFormat="1" applyFont="1" applyFill="1" applyBorder="1" applyAlignment="1">
      <alignment horizontal="left" vertical="top"/>
    </xf>
    <xf numFmtId="0" fontId="2" fillId="0" borderId="0" xfId="49" applyFont="1" applyFill="1" applyAlignmen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21" Target="styles.xml" Type="http://schemas.openxmlformats.org/officeDocument/2006/relationships/style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1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2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3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4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5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7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_rels/sheet18.xml.rels><?xml version="1.0" encoding="UTF-8" standalone="yes"?><Relationships xmlns="http://schemas.openxmlformats.org/package/2006/relationships"><Relationship Id="rId1" Target="http://invalid.uri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4"/>
  <sheetViews>
    <sheetView topLeftCell="H6" workbookViewId="0">
      <selection activeCell="P18" sqref="P18"/>
    </sheetView>
  </sheetViews>
  <sheetFormatPr defaultColWidth="8.71428571428571" defaultRowHeight="15"/>
  <cols>
    <col min="1" max="1" customWidth="true" width="25.5714285714286"/>
    <col min="2" max="2" customWidth="true" width="21.8571428571429"/>
    <col min="3" max="3" customWidth="true" width="27.5714285714286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10" customWidth="true" width="5.85714285714286"/>
    <col min="11" max="11" customWidth="true" width="6.0"/>
    <col min="12" max="12" customWidth="true" width="14.2857142857143"/>
    <col min="13" max="13" customWidth="true" width="9.42857142857143"/>
    <col min="14" max="14" customWidth="true" width="14.2857142857143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0.0"/>
    <col min="20" max="20" customWidth="true" width="6.42857142857143"/>
    <col min="21" max="21" customWidth="true" width="9.85714285714286"/>
    <col min="22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5.7142857142857"/>
    <col min="45" max="45" customWidth="true" width="9.28571428571429"/>
    <col min="46" max="46" customWidth="true" width="13.0"/>
    <col min="47" max="47" customWidth="true" width="15.5714285714286"/>
    <col min="48" max="48" customWidth="true" width="21.1428571428571"/>
    <col min="49" max="49" customWidth="true" width="11.5714285714286"/>
    <col min="50" max="50" customWidth="true" width="16.7142857142857"/>
    <col min="51" max="51" customWidth="true" width="14.0"/>
    <col min="52" max="52" customWidth="true" width="19.4285714285714"/>
    <col min="53" max="53" customWidth="true" width="18.8571428571429"/>
    <col min="54" max="54" customWidth="true" width="23.2857142857143"/>
    <col min="55" max="55" customWidth="true" width="15.5714285714286"/>
    <col min="56" max="56" customWidth="true" width="14.2857142857143"/>
    <col min="57" max="57" customWidth="true" width="17.0"/>
    <col min="58" max="58" customWidth="true" width="16.2857142857143"/>
    <col min="59" max="59" customWidth="true" width="13.5714285714286"/>
    <col min="60" max="61" customWidth="true" width="12.7142857142857"/>
    <col min="62" max="62" customWidth="true" width="21.8571428571429"/>
    <col min="63" max="63" customWidth="true" width="30.5714285714286"/>
    <col min="64" max="64" customWidth="true" width="8.5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9.57142857142857"/>
    <col min="70" max="70" customWidth="true" width="5.42857142857143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O16" s="65"/>
      <c r="BP16" s="65"/>
      <c r="BQ16" s="65"/>
    </row>
    <row r="17" spans="1:70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O17" s="65"/>
      <c r="BP17" s="65"/>
      <c r="BQ17" s="65"/>
    </row>
    <row r="18" ht="15.75" spans="1:70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O18" s="65"/>
      <c r="BP18" s="65"/>
      <c r="BQ18" s="65"/>
    </row>
    <row r="19" ht="15.75" spans="1:70">
      <c r="A19" s="64"/>
      <c r="B19" s="84" t="s">
        <v>41</v>
      </c>
      <c r="C19" s="84"/>
      <c r="D19" s="84"/>
      <c r="E19" s="84"/>
      <c r="F19" s="84"/>
      <c r="G19" s="84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O19" s="65"/>
      <c r="BP19" s="65"/>
      <c r="BQ19" s="65"/>
    </row>
    <row r="20" s="132" customFormat="1" spans="1:70">
      <c r="A20" s="134" t="s">
        <v>42</v>
      </c>
      <c r="B20" s="134"/>
      <c r="C20" s="134"/>
      <c r="D20" s="134"/>
      <c r="E20" s="134"/>
      <c r="F20" s="134"/>
      <c r="G20" s="134"/>
      <c r="H20" s="134"/>
      <c r="I20" s="135"/>
      <c r="J20" s="135"/>
      <c r="K20" s="135"/>
      <c r="L20" s="135"/>
      <c r="M20" s="135"/>
      <c r="N20" s="135"/>
      <c r="O20" s="135"/>
      <c r="P20" s="135"/>
      <c r="Q20" s="135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6"/>
    </row>
    <row r="21" s="132" customFormat="1" spans="1:70">
      <c r="A21" s="89" t="s">
        <v>43</v>
      </c>
      <c r="B21" s="89"/>
      <c r="C21" s="91">
        <v>3</v>
      </c>
      <c r="D21" s="91" t="s">
        <v>44</v>
      </c>
      <c r="E21" s="91"/>
      <c r="F21" s="91"/>
      <c r="G21" s="91"/>
      <c r="H21" s="91"/>
      <c r="I21" s="89" t="s">
        <v>45</v>
      </c>
      <c r="J21" s="89" t="s">
        <v>46</v>
      </c>
      <c r="K21" s="89"/>
      <c r="L21" s="89" t="s">
        <v>47</v>
      </c>
      <c r="M21" s="89">
        <v>85</v>
      </c>
      <c r="N21" s="89"/>
      <c r="O21" s="89" t="s">
        <v>48</v>
      </c>
      <c r="P21" s="89">
        <v>1</v>
      </c>
      <c r="Q21" s="89" t="s">
        <v>49</v>
      </c>
      <c r="R21" s="91"/>
      <c r="S21" s="91"/>
      <c r="T21" s="91"/>
      <c r="U21" s="91"/>
      <c r="V21" s="91">
        <v>1</v>
      </c>
      <c r="W21" s="91" t="s">
        <v>50</v>
      </c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137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</row>
    <row r="22" s="133" customFormat="1" ht="15.75" spans="1:70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53</v>
      </c>
      <c r="K22" s="96" t="s">
        <v>54</v>
      </c>
      <c r="L22" s="139" t="s">
        <v>55</v>
      </c>
      <c r="M22" s="139" t="s">
        <v>56</v>
      </c>
      <c r="N22" s="139" t="s">
        <v>57</v>
      </c>
      <c r="O22" s="139" t="s">
        <v>58</v>
      </c>
      <c r="P22" s="139" t="s">
        <v>59</v>
      </c>
      <c r="Q22" s="139" t="s">
        <v>60</v>
      </c>
      <c r="R22" s="96" t="s">
        <v>61</v>
      </c>
      <c r="S22" s="95" t="s">
        <v>62</v>
      </c>
      <c r="T22" s="95" t="s">
        <v>63</v>
      </c>
      <c r="U22" s="98" t="s">
        <v>64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87</v>
      </c>
      <c r="AS22" s="140" t="s">
        <v>88</v>
      </c>
      <c r="AT22" s="140" t="s">
        <v>86</v>
      </c>
      <c r="AU22" s="102" t="s">
        <v>89</v>
      </c>
      <c r="AV22" s="102" t="s">
        <v>90</v>
      </c>
      <c r="AW22" s="102" t="s">
        <v>91</v>
      </c>
      <c r="AX22" s="102" t="s">
        <v>92</v>
      </c>
      <c r="AY22" s="102" t="s">
        <v>93</v>
      </c>
      <c r="AZ22" s="102" t="s">
        <v>94</v>
      </c>
      <c r="BA22" s="102" t="s">
        <v>95</v>
      </c>
      <c r="BB22" s="102" t="s">
        <v>96</v>
      </c>
      <c r="BC22" s="102" t="s">
        <v>97</v>
      </c>
      <c r="BD22" s="102" t="s">
        <v>98</v>
      </c>
      <c r="BE22" s="102" t="s">
        <v>99</v>
      </c>
      <c r="BF22" s="102" t="s">
        <v>100</v>
      </c>
      <c r="BG22" s="102" t="s">
        <v>101</v>
      </c>
      <c r="BH22" s="102" t="s">
        <v>102</v>
      </c>
      <c r="BI22" s="102" t="s">
        <v>103</v>
      </c>
      <c r="BJ22" s="102" t="s">
        <v>104</v>
      </c>
      <c r="BK22" s="102" t="s">
        <v>105</v>
      </c>
      <c r="BL22" s="102" t="s">
        <v>106</v>
      </c>
      <c r="BM22" s="103" t="s">
        <v>107</v>
      </c>
      <c r="BN22" s="102" t="s">
        <v>108</v>
      </c>
      <c r="BO22" s="102" t="s">
        <v>94</v>
      </c>
      <c r="BP22" s="102" t="s">
        <v>109</v>
      </c>
      <c r="BQ22" s="102" t="s">
        <v>63</v>
      </c>
      <c r="BR22" s="141"/>
    </row>
    <row r="23" s="132" customFormat="1" ht="15.75" spans="1:70">
      <c r="A23" s="89">
        <v>1</v>
      </c>
      <c r="B23" s="89" t="s">
        <v>110</v>
      </c>
      <c r="C23" s="89" t="s">
        <v>110</v>
      </c>
      <c r="D23" s="89" t="s">
        <v>12</v>
      </c>
      <c r="E23" s="89" t="s">
        <v>12</v>
      </c>
      <c r="F23" s="104">
        <v>2</v>
      </c>
      <c r="G23" s="104">
        <v>100</v>
      </c>
      <c r="H23" s="122">
        <f>F23*G23</f>
        <v>200</v>
      </c>
      <c r="I23" s="138">
        <v>1</v>
      </c>
      <c r="J23" s="122">
        <v>2</v>
      </c>
      <c r="K23" s="122">
        <v>4</v>
      </c>
      <c r="L23" s="122">
        <f>H23</f>
        <v>200</v>
      </c>
      <c r="M23" s="122">
        <f>ROUND(L23*I23%,2)</f>
        <v>2</v>
      </c>
      <c r="N23" s="122">
        <f>H23-M23</f>
        <v>198</v>
      </c>
      <c r="O23" s="122">
        <f>ROUND(N23*J23%,2)</f>
        <v>3.96</v>
      </c>
      <c r="P23" s="122">
        <f>ROUND(N23-O23,2)</f>
        <v>194.04</v>
      </c>
      <c r="Q23" s="122">
        <f>ROUND(P23*K23%,2)</f>
        <v>7.76</v>
      </c>
      <c r="R23" s="122">
        <f>M23+O23+Q23</f>
        <v>13.72</v>
      </c>
      <c r="S23" s="122">
        <f>(H23-R23)</f>
        <v>186.28</v>
      </c>
      <c r="T23" s="122" t="s">
        <v>111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22">
        <f>IF($V21=1,S23+AB23,S23)</f>
        <v>186.28</v>
      </c>
      <c r="AD23" s="122">
        <v>120</v>
      </c>
      <c r="AE23" s="122">
        <f>IF($P$21=1,(S23/$S$24)*$E$35,AD23/$AD$24*$E$35)</f>
        <v>0</v>
      </c>
      <c r="AF23" s="122"/>
      <c r="AG23" s="122">
        <f>IF($P$21=1,(S23/$S$24)*$E$37,AD23/$AD$24*$E$37)</f>
        <v>0</v>
      </c>
      <c r="AH23" s="122">
        <f>IF($P$21=1,(S23/$S$24)*$E$37,AD23/$AD$24*$E$37)</f>
        <v>0</v>
      </c>
      <c r="AI23" s="122">
        <f>S23*$M$21</f>
        <v>15833.8</v>
      </c>
      <c r="AJ23" s="122">
        <f>IF($C$21=3,0,AG23+AH23)</f>
        <v>0</v>
      </c>
      <c r="AK23" s="122">
        <f>IF($C$21=3,AE23+AG23+AH23,0)</f>
        <v>0</v>
      </c>
      <c r="AL23" s="122">
        <v>1</v>
      </c>
      <c r="AM23" s="122">
        <f>F23/AL23</f>
        <v>2</v>
      </c>
      <c r="AN23" s="122">
        <f>AI23/AM23</f>
        <v>7916.9</v>
      </c>
      <c r="AO23" s="122">
        <f>AJ23/AM23</f>
        <v>0</v>
      </c>
      <c r="AP23" s="122">
        <f>AK23/AM23</f>
        <v>0</v>
      </c>
      <c r="AQ23" s="122" t="s">
        <v>12</v>
      </c>
      <c r="AR23" s="122">
        <f>AN23+AO23+AP23</f>
        <v>7916.9</v>
      </c>
      <c r="AS23" s="122" t="s">
        <v>112</v>
      </c>
      <c r="AT23" s="122" t="s">
        <v>12</v>
      </c>
      <c r="AU23" t="s" s="0">
        <v>113</v>
      </c>
      <c r="AV23" t="s" s="0">
        <v>114</v>
      </c>
      <c r="AW23" s="122">
        <f>AM23</f>
        <v>2</v>
      </c>
      <c r="AX23" s="122">
        <f>AR23</f>
        <v>7916.9</v>
      </c>
      <c r="AY23" s="122">
        <f>AU23+AW23</f>
        <v>2</v>
      </c>
      <c r="AZ23" s="122">
        <f>ROUND(((AU23*AV23)+(AW23*AX23))/(AU23+AW23),5)</f>
        <v>7916.9</v>
      </c>
      <c r="BA23" s="142"/>
      <c r="BB23" s="142" t="s">
        <v>115</v>
      </c>
      <c r="BC23" s="142" t="s">
        <v>116</v>
      </c>
      <c r="BD23" s="143" t="s">
        <v>117</v>
      </c>
      <c r="BE23" s="143" t="s">
        <v>118</v>
      </c>
      <c r="BF23" s="142"/>
      <c r="BG23" s="142"/>
      <c r="BH23" s="142"/>
      <c r="BI23" s="122"/>
      <c r="BJ23" s="122"/>
      <c r="BK23" s="122"/>
      <c r="BL23" s="122" t="s">
        <v>119</v>
      </c>
      <c r="BM23" t="s" s="0">
        <v>120</v>
      </c>
      <c r="BN23" t="s" s="0">
        <v>121</v>
      </c>
      <c r="BO23" s="122">
        <f>ROUND((((AW23*AZ23)+(BN23*BM23))/(AW23+BN23)),5)</f>
        <v>8051.75552</v>
      </c>
      <c r="BP23" s="142">
        <f>BN23+AW23</f>
        <v>4</v>
      </c>
      <c r="BQ23" s="142">
        <v>88363222</v>
      </c>
    </row>
    <row r="24" s="132" customFormat="1" spans="1:70">
      <c r="A24" s="137"/>
      <c r="B24" s="138"/>
      <c r="C24" s="138"/>
      <c r="D24" s="144" t="s">
        <v>41</v>
      </c>
      <c r="E24" s="144"/>
      <c r="F24" s="144"/>
      <c r="G24" s="144"/>
      <c r="H24" s="144">
        <f>SUM(H23:H23)</f>
        <v>200</v>
      </c>
      <c r="I24" s="137"/>
      <c r="J24" s="137"/>
      <c r="K24" s="137"/>
      <c r="L24" s="137"/>
      <c r="M24" s="137"/>
      <c r="N24" s="137"/>
      <c r="O24" s="137"/>
      <c r="P24" s="137"/>
      <c r="Q24" s="137"/>
      <c r="R24" s="144">
        <f t="shared" ref="R24:Y24" si="1">SUM(R23:R23)</f>
        <v>13.72</v>
      </c>
      <c r="S24" s="145">
        <f t="shared" si="1"/>
        <v>186.28</v>
      </c>
      <c r="T24" s="144"/>
      <c r="U24" s="144"/>
      <c r="V24" s="146">
        <f t="shared" si="1"/>
        <v>0</v>
      </c>
      <c r="W24" s="146">
        <f t="shared" si="1"/>
        <v>0</v>
      </c>
      <c r="X24" s="146">
        <f t="shared" si="1"/>
        <v>0</v>
      </c>
      <c r="Y24" s="146">
        <f t="shared" si="1"/>
        <v>0</v>
      </c>
      <c r="Z24" s="146"/>
      <c r="AA24" s="146">
        <f t="shared" ref="AA24:AE24" si="2">SUM(AA23:AA23)</f>
        <v>0</v>
      </c>
      <c r="AB24" s="144">
        <f t="shared" si="2"/>
        <v>0</v>
      </c>
      <c r="AC24" s="99">
        <f t="shared" si="2"/>
        <v>186.28</v>
      </c>
      <c r="AD24" s="147">
        <f t="shared" si="2"/>
        <v>120</v>
      </c>
      <c r="AE24" s="147">
        <f t="shared" si="2"/>
        <v>0</v>
      </c>
      <c r="AF24" s="99"/>
      <c r="AG24" s="147">
        <f t="shared" ref="AG24:AK24" si="3">SUM(AG23:AG23)</f>
        <v>0</v>
      </c>
      <c r="AH24" s="147">
        <f t="shared" si="3"/>
        <v>0</v>
      </c>
      <c r="AI24" s="147">
        <f t="shared" si="3"/>
        <v>15833.8</v>
      </c>
      <c r="AJ24" s="147">
        <f t="shared" si="3"/>
        <v>0</v>
      </c>
      <c r="AK24" s="147">
        <f t="shared" si="3"/>
        <v>0</v>
      </c>
      <c r="AL24" s="99"/>
      <c r="AM24" s="99"/>
      <c r="AN24" s="99"/>
      <c r="AO24" s="99"/>
      <c r="AP24" s="99"/>
      <c r="AQ24" s="99"/>
      <c r="AR24" s="99"/>
      <c r="AS24" s="137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M9" workbookViewId="0">
      <selection activeCell="Q27" sqref="Q27"/>
    </sheetView>
  </sheetViews>
  <sheetFormatPr defaultColWidth="8.71428571428571" defaultRowHeight="15"/>
  <cols>
    <col min="1" max="1" customWidth="true" width="7.57142857142857"/>
    <col min="2" max="3" customWidth="true" width="22.0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9" customWidth="true" width="5.85714285714286"/>
    <col min="10" max="10" customWidth="true" width="6.0"/>
    <col min="11" max="11" customWidth="true" width="5.85714285714286"/>
    <col min="12" max="12" customWidth="true" width="14.2857142857143"/>
    <col min="13" max="13" customWidth="true" width="9.42857142857143"/>
    <col min="14" max="14" customWidth="true" width="14.4285714285714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1.8571428571429"/>
    <col min="20" max="20" customWidth="true" width="10.7142857142857"/>
    <col min="21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3.7142857142857"/>
    <col min="45" max="45" customWidth="true" width="9.28571428571429"/>
    <col min="46" max="46" customWidth="true" width="13.0"/>
    <col min="47" max="47" customWidth="true" width="18.0"/>
    <col min="48" max="48" customWidth="true" width="24.4285714285714"/>
    <col min="49" max="49" customWidth="true" width="14.5714285714286"/>
    <col min="50" max="50" customWidth="true" width="19.4285714285714"/>
    <col min="51" max="51" customWidth="true" width="16.2857142857143"/>
    <col min="52" max="52" customWidth="true" width="22.7142857142857"/>
    <col min="53" max="53" customWidth="true" width="21.7142857142857"/>
    <col min="54" max="54" customWidth="true" width="23.2857142857143"/>
    <col min="55" max="55" customWidth="true" width="18.2857142857143"/>
    <col min="56" max="56" customWidth="true" width="16.0"/>
    <col min="57" max="58" customWidth="true" width="19.1428571428571"/>
    <col min="59" max="59" customWidth="true" width="15.5714285714286"/>
    <col min="60" max="61" customWidth="true" width="14.7142857142857"/>
    <col min="62" max="62" customWidth="true" width="25.4285714285714"/>
    <col min="63" max="63" customWidth="true" width="35.4285714285714"/>
    <col min="64" max="64" customWidth="true" width="9.42857142857143"/>
    <col min="65" max="65" customWidth="true" width="49.1428571428571"/>
    <col min="66" max="66" customWidth="true" width="43.8571428571429"/>
    <col min="67" max="67" customWidth="true" width="22.7142857142857"/>
    <col min="68" max="68" customWidth="true" width="40.8571428571429"/>
    <col min="69" max="69" customWidth="true" width="7.57142857142857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</row>
    <row r="17" spans="1:69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ht="15.75" spans="1:69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ht="15.75" spans="1:69">
      <c r="A19" s="64"/>
      <c r="B19" s="84" t="s">
        <v>41</v>
      </c>
      <c r="C19" s="84"/>
      <c r="D19" s="84"/>
      <c r="E19" s="84"/>
      <c r="F19" s="84"/>
      <c r="G19" s="84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69">
      <c r="A20" s="87" t="s">
        <v>42</v>
      </c>
      <c r="B20" s="88"/>
      <c r="C20" s="88"/>
      <c r="D20" s="88"/>
      <c r="E20" s="88"/>
      <c r="F20" s="88"/>
      <c r="G20" s="88"/>
      <c r="H20" s="87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</row>
    <row r="21" spans="1:69">
      <c r="A21" s="89" t="s">
        <v>43</v>
      </c>
      <c r="B21" s="89"/>
      <c r="C21" s="90">
        <v>3</v>
      </c>
      <c r="D21" s="91" t="s">
        <v>44</v>
      </c>
      <c r="E21" s="90"/>
      <c r="F21" s="90"/>
      <c r="G21" s="90"/>
      <c r="H21" s="92"/>
      <c r="I21" s="93" t="s">
        <v>45</v>
      </c>
      <c r="J21" s="93" t="s">
        <v>46</v>
      </c>
      <c r="K21" s="93"/>
      <c r="L21" s="93" t="s">
        <v>47</v>
      </c>
      <c r="M21" s="93">
        <v>85</v>
      </c>
      <c r="N21" s="93"/>
      <c r="O21" s="93" t="s">
        <v>48</v>
      </c>
      <c r="P21" s="93">
        <v>1</v>
      </c>
      <c r="Q21" s="93" t="s">
        <v>49</v>
      </c>
      <c r="R21" s="92"/>
      <c r="S21" s="92"/>
      <c r="T21" s="92"/>
      <c r="U21" s="92"/>
      <c r="V21" s="92">
        <v>1</v>
      </c>
      <c r="W21" s="92" t="s">
        <v>50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</row>
    <row r="22" ht="15.75" spans="1:69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54</v>
      </c>
      <c r="K22" s="96" t="s">
        <v>53</v>
      </c>
      <c r="L22" s="123" t="s">
        <v>55</v>
      </c>
      <c r="M22" s="123" t="s">
        <v>56</v>
      </c>
      <c r="N22" s="123" t="s">
        <v>59</v>
      </c>
      <c r="O22" s="123" t="s">
        <v>60</v>
      </c>
      <c r="P22" s="123" t="s">
        <v>122</v>
      </c>
      <c r="Q22" s="123" t="s">
        <v>58</v>
      </c>
      <c r="R22" s="96" t="s">
        <v>61</v>
      </c>
      <c r="S22" s="95" t="s">
        <v>123</v>
      </c>
      <c r="T22" s="95" t="s">
        <v>63</v>
      </c>
      <c r="U22" s="98" t="s">
        <v>124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125</v>
      </c>
      <c r="AS22" s="95" t="s">
        <v>88</v>
      </c>
      <c r="AT22" s="95" t="s">
        <v>86</v>
      </c>
      <c r="AU22" s="95" t="s">
        <v>89</v>
      </c>
      <c r="AV22" s="95" t="s">
        <v>90</v>
      </c>
      <c r="AW22" s="95" t="s">
        <v>91</v>
      </c>
      <c r="AX22" s="95" t="s">
        <v>92</v>
      </c>
      <c r="AY22" s="95" t="s">
        <v>93</v>
      </c>
      <c r="AZ22" s="95" t="s">
        <v>94</v>
      </c>
      <c r="BA22" s="95" t="s">
        <v>95</v>
      </c>
      <c r="BB22" s="95" t="s">
        <v>96</v>
      </c>
      <c r="BC22" s="95" t="s">
        <v>97</v>
      </c>
      <c r="BD22" s="95" t="s">
        <v>98</v>
      </c>
      <c r="BE22" s="95" t="s">
        <v>99</v>
      </c>
      <c r="BF22" s="95" t="s">
        <v>100</v>
      </c>
      <c r="BG22" s="95" t="s">
        <v>101</v>
      </c>
      <c r="BH22" s="95" t="s">
        <v>102</v>
      </c>
      <c r="BI22" s="95" t="s">
        <v>103</v>
      </c>
      <c r="BJ22" s="95" t="s">
        <v>104</v>
      </c>
      <c r="BK22" s="95" t="s">
        <v>105</v>
      </c>
      <c r="BL22" s="95" t="s">
        <v>106</v>
      </c>
      <c r="BM22" s="95" t="s">
        <v>107</v>
      </c>
      <c r="BN22" s="95" t="s">
        <v>108</v>
      </c>
      <c r="BO22" s="95" t="s">
        <v>94</v>
      </c>
      <c r="BP22" s="95" t="s">
        <v>109</v>
      </c>
      <c r="BQ22" s="95" t="s">
        <v>63</v>
      </c>
    </row>
    <row r="23" ht="15.75" spans="1:69">
      <c r="A23" s="89">
        <v>1</v>
      </c>
      <c r="B23" s="44" t="s">
        <v>126</v>
      </c>
      <c r="C23" s="44" t="s">
        <v>126</v>
      </c>
      <c r="D23" s="89" t="s">
        <v>12</v>
      </c>
      <c r="E23" s="89" t="s">
        <v>12</v>
      </c>
      <c r="F23" s="104">
        <v>2</v>
      </c>
      <c r="G23" s="104">
        <v>100</v>
      </c>
      <c r="H23" s="116">
        <f>F23*G23</f>
        <v>200</v>
      </c>
      <c r="I23" s="94">
        <v>1</v>
      </c>
      <c r="J23" s="116">
        <v>2</v>
      </c>
      <c r="K23" s="116">
        <v>4</v>
      </c>
      <c r="L23" s="116">
        <f>IF(OR(I23=0,I23="0"),0,H23)</f>
        <v>200</v>
      </c>
      <c r="M23" s="116">
        <f>ROUND(L23*I23%,3)</f>
        <v>2</v>
      </c>
      <c r="N23" s="116">
        <f>H23-M23</f>
        <v>198</v>
      </c>
      <c r="O23" s="116">
        <f>ROUND(N23*J23%,3)</f>
        <v>3.96</v>
      </c>
      <c r="P23" s="116">
        <f>ROUND(N23-O23,2)</f>
        <v>194.04</v>
      </c>
      <c r="Q23" s="116">
        <f>ROUND(P23*K23%,2)</f>
        <v>7.76</v>
      </c>
      <c r="R23" s="124">
        <f>ROUND(M23+O23+Q23,3)</f>
        <v>13.72</v>
      </c>
      <c r="S23" s="116">
        <f>(H23-R23)</f>
        <v>186.28</v>
      </c>
      <c r="T23" s="116">
        <v>88363222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25">
        <f>IF($V21=1,S23+AB23,S23)</f>
        <v>186.28</v>
      </c>
      <c r="AD23" s="124">
        <v>120</v>
      </c>
      <c r="AE23" s="124">
        <f>IF($P$21=1,(S23/$S$23)*$E$30,AD23/$AD$4*$E$30)</f>
        <v>0</v>
      </c>
      <c r="AF23" s="124"/>
      <c r="AG23" s="124">
        <f>IF($P$21=1,(S23/$S$23)*$E$20,AD23/$AD$23*$E$20)</f>
        <v>0</v>
      </c>
      <c r="AH23" s="124">
        <f>IF($P$21=1,(S23/$S$23)*$E$21,AD23/$AD$23*$E$21)</f>
        <v>0</v>
      </c>
      <c r="AI23" s="124">
        <f>S23*$M21</f>
        <v>15833.8</v>
      </c>
      <c r="AJ23" s="124">
        <f>IF($C$2=3,0,AG23+AH23)</f>
        <v>0</v>
      </c>
      <c r="AK23" s="124">
        <f>IF($C$2=3,AE23+AG23+AH23,0)</f>
        <v>0</v>
      </c>
      <c r="AL23" s="126">
        <v>3</v>
      </c>
      <c r="AM23" s="124">
        <f>F23/AL23</f>
        <v>0.666666666666667</v>
      </c>
      <c r="AN23" s="124">
        <f>ROUND(AI23/AM23,5)</f>
        <v>23750.7</v>
      </c>
      <c r="AO23" s="124">
        <f>AJ23/AM23</f>
        <v>0</v>
      </c>
      <c r="AP23" s="124">
        <f>AK23/AM23</f>
        <v>0</v>
      </c>
      <c r="AQ23" s="124" t="s">
        <v>12</v>
      </c>
      <c r="AR23" s="124">
        <f>ROUND(AN23+AO23+AP23,5)</f>
        <v>23750.7</v>
      </c>
      <c r="AS23" s="127" t="s">
        <v>112</v>
      </c>
      <c r="AT23" s="116" t="s">
        <v>12</v>
      </c>
      <c r="AU23" s="118" t="s">
        <v>127</v>
      </c>
      <c r="AV23" s="118" t="s">
        <v>128</v>
      </c>
      <c r="AW23" s="116">
        <f>AM23</f>
        <v>0.666666666666667</v>
      </c>
      <c r="AX23" s="124">
        <f>AR23</f>
        <v>23750.7</v>
      </c>
      <c r="AY23" s="116">
        <f>AU23+AW23</f>
        <v>117.000666666667</v>
      </c>
      <c r="AZ23" s="128">
        <f>ROUND(((AU23*AV23)+(AW23*AX23))/(AU23+AW23),5)</f>
        <v>6394.32854</v>
      </c>
      <c r="BA23" s="117"/>
      <c r="BB23" s="117" t="s">
        <v>115</v>
      </c>
      <c r="BC23" s="117" t="s">
        <v>116</v>
      </c>
      <c r="BD23" s="129" t="s">
        <v>117</v>
      </c>
      <c r="BE23" s="129" t="s">
        <v>118</v>
      </c>
      <c r="BF23" s="117"/>
      <c r="BG23" s="117"/>
      <c r="BH23" s="117"/>
      <c r="BI23" s="116"/>
      <c r="BJ23" s="116"/>
      <c r="BK23" s="116"/>
      <c r="BL23" s="130" t="s">
        <v>119</v>
      </c>
      <c r="BM23" s="118" t="s">
        <v>129</v>
      </c>
      <c r="BN23" s="118" t="s">
        <v>130</v>
      </c>
      <c r="BO23" s="116">
        <f>ROUND((((AW23*AZ23)+(BN23*BM23))/(AW23+BN23)),5)</f>
        <v>280.32668</v>
      </c>
      <c r="BP23" s="117">
        <f>ROUND(BN23+AW23,3)</f>
        <v>120.667</v>
      </c>
      <c r="BQ23" s="131">
        <v>123562</v>
      </c>
    </row>
    <row r="24" spans="1:69">
      <c r="A24" s="93"/>
      <c r="B24" s="94"/>
      <c r="C24" s="94"/>
      <c r="D24" s="111" t="s">
        <v>41</v>
      </c>
      <c r="E24" s="111"/>
      <c r="F24" s="111"/>
      <c r="G24" s="111"/>
      <c r="H24" s="111">
        <f>SUM(H23:H23)</f>
        <v>200</v>
      </c>
      <c r="I24" s="93"/>
      <c r="J24" s="93"/>
      <c r="K24" s="93"/>
      <c r="L24" s="93"/>
      <c r="M24" s="93"/>
      <c r="N24" s="93"/>
      <c r="O24" s="93"/>
      <c r="P24" s="93"/>
      <c r="Q24" s="93"/>
      <c r="R24" s="111">
        <f t="shared" ref="R24:Y24" si="1">SUM(R23:R23)</f>
        <v>13.72</v>
      </c>
      <c r="S24" s="112">
        <f t="shared" si="1"/>
        <v>186.28</v>
      </c>
      <c r="T24" s="111"/>
      <c r="U24" s="111"/>
      <c r="V24" s="113">
        <f t="shared" si="1"/>
        <v>0</v>
      </c>
      <c r="W24" s="113">
        <f t="shared" si="1"/>
        <v>0</v>
      </c>
      <c r="X24" s="113">
        <f t="shared" si="1"/>
        <v>0</v>
      </c>
      <c r="Y24" s="113">
        <f t="shared" si="1"/>
        <v>0</v>
      </c>
      <c r="Z24" s="113"/>
      <c r="AA24" s="113">
        <f t="shared" ref="AA24:AE24" si="2">SUM(AA23:AA23)</f>
        <v>0</v>
      </c>
      <c r="AB24" s="111">
        <f t="shared" si="2"/>
        <v>0</v>
      </c>
      <c r="AC24" s="114">
        <f t="shared" si="2"/>
        <v>186.28</v>
      </c>
      <c r="AD24" s="115">
        <f t="shared" si="2"/>
        <v>120</v>
      </c>
      <c r="AE24" s="115">
        <f t="shared" si="2"/>
        <v>0</v>
      </c>
      <c r="AF24" s="114"/>
      <c r="AG24" s="115">
        <f t="shared" ref="AG24:AK24" si="3">SUM(AG23:AG23)</f>
        <v>0</v>
      </c>
      <c r="AH24" s="115">
        <f t="shared" si="3"/>
        <v>0</v>
      </c>
      <c r="AI24" s="115">
        <f t="shared" si="3"/>
        <v>15833.8</v>
      </c>
      <c r="AJ24" s="115">
        <f t="shared" si="3"/>
        <v>0</v>
      </c>
      <c r="AK24" s="115">
        <f t="shared" si="3"/>
        <v>0</v>
      </c>
      <c r="AL24" s="114"/>
      <c r="AM24" s="114"/>
      <c r="AN24" s="114"/>
      <c r="AO24" s="114"/>
      <c r="AP24" s="114"/>
      <c r="AQ24" s="114"/>
      <c r="AR24" s="114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</row>
  </sheetData>
  <mergeCells count="3">
    <mergeCell ref="A1:AC1"/>
    <mergeCell ref="B19:G19"/>
    <mergeCell ref="A21:B21"/>
  </mergeCells>
  <hyperlinks>
    <hyperlink ref="AS23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O9" workbookViewId="0">
      <selection activeCell="U23" sqref="U23"/>
    </sheetView>
  </sheetViews>
  <sheetFormatPr defaultColWidth="8.71428571428571" defaultRowHeight="15"/>
  <cols>
    <col min="1" max="1" customWidth="true" width="7.57142857142857"/>
    <col min="2" max="3" customWidth="true" width="25.2857142857143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10" customWidth="true" width="5.85714285714286"/>
    <col min="11" max="11" customWidth="true" width="6.0"/>
    <col min="12" max="12" customWidth="true" width="14.2857142857143"/>
    <col min="13" max="13" customWidth="true" width="9.42857142857143"/>
    <col min="14" max="14" customWidth="true" width="14.2857142857143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0.0"/>
    <col min="20" max="20" customWidth="true" width="6.42857142857143"/>
    <col min="21" max="21" customWidth="true" width="9.85714285714286"/>
    <col min="22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5.7142857142857"/>
    <col min="45" max="45" customWidth="true" width="9.28571428571429"/>
    <col min="46" max="46" customWidth="true" width="13.0"/>
    <col min="47" max="47" customWidth="true" width="12.4285714285714"/>
    <col min="48" max="48" customWidth="true" width="18.8571428571429"/>
    <col min="49" max="49" customWidth="true" width="13.4285714285714"/>
    <col min="50" max="50" customWidth="true" width="19.4285714285714"/>
    <col min="51" max="51" customWidth="true" width="16.2857142857143"/>
    <col min="52" max="52" customWidth="true" width="22.7142857142857"/>
    <col min="53" max="53" customWidth="true" width="21.7142857142857"/>
    <col min="54" max="54" customWidth="true" width="23.2857142857143"/>
    <col min="55" max="55" customWidth="true" width="18.2857142857143"/>
    <col min="56" max="56" customWidth="true" width="16.0"/>
    <col min="57" max="58" customWidth="true" width="19.1428571428571"/>
    <col min="59" max="59" customWidth="true" width="15.5714285714286"/>
    <col min="60" max="61" customWidth="true" width="14.7142857142857"/>
    <col min="62" max="62" customWidth="true" width="25.4285714285714"/>
    <col min="63" max="63" customWidth="true" width="35.4285714285714"/>
    <col min="64" max="64" customWidth="true" width="8.5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5.28571428571429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</row>
    <row r="17" spans="1:69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ht="15.75" spans="1:69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ht="15.75" spans="1:69">
      <c r="A19" s="64"/>
      <c r="B19" s="84" t="s">
        <v>41</v>
      </c>
      <c r="C19" s="84"/>
      <c r="D19" s="84"/>
      <c r="E19" s="84"/>
      <c r="F19" s="84"/>
      <c r="G19" s="84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69">
      <c r="A20" s="87" t="s">
        <v>42</v>
      </c>
      <c r="B20" s="88"/>
      <c r="C20" s="88"/>
      <c r="D20" s="88"/>
      <c r="E20" s="88"/>
      <c r="F20" s="88"/>
      <c r="G20" s="88"/>
      <c r="H20" s="87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</row>
    <row r="21" spans="1:69">
      <c r="A21" s="89" t="s">
        <v>43</v>
      </c>
      <c r="B21" s="89"/>
      <c r="C21" s="90">
        <v>3</v>
      </c>
      <c r="D21" s="91" t="s">
        <v>44</v>
      </c>
      <c r="E21" s="90"/>
      <c r="F21" s="90"/>
      <c r="G21" s="90"/>
      <c r="H21" s="92"/>
      <c r="I21" s="93" t="s">
        <v>45</v>
      </c>
      <c r="J21" s="93" t="s">
        <v>46</v>
      </c>
      <c r="K21" s="93"/>
      <c r="L21" s="93" t="s">
        <v>47</v>
      </c>
      <c r="M21" s="93">
        <v>85</v>
      </c>
      <c r="N21" s="93"/>
      <c r="O21" s="93" t="s">
        <v>48</v>
      </c>
      <c r="P21" s="93">
        <v>1</v>
      </c>
      <c r="Q21" s="93" t="s">
        <v>49</v>
      </c>
      <c r="R21" s="92"/>
      <c r="S21" s="92"/>
      <c r="T21" s="92"/>
      <c r="U21" s="92"/>
      <c r="V21" s="92">
        <v>1</v>
      </c>
      <c r="W21" s="92" t="s">
        <v>50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</row>
    <row r="22" ht="15.75" spans="1:69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53</v>
      </c>
      <c r="K22" s="96" t="s">
        <v>54</v>
      </c>
      <c r="L22" s="97" t="s">
        <v>55</v>
      </c>
      <c r="M22" s="97" t="s">
        <v>56</v>
      </c>
      <c r="N22" s="97" t="s">
        <v>57</v>
      </c>
      <c r="O22" s="97" t="s">
        <v>58</v>
      </c>
      <c r="P22" s="97" t="s">
        <v>59</v>
      </c>
      <c r="Q22" s="97" t="s">
        <v>60</v>
      </c>
      <c r="R22" s="96" t="s">
        <v>61</v>
      </c>
      <c r="S22" s="95" t="s">
        <v>62</v>
      </c>
      <c r="T22" s="95" t="s">
        <v>63</v>
      </c>
      <c r="U22" s="98" t="s">
        <v>64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87</v>
      </c>
      <c r="AS22" s="95" t="s">
        <v>88</v>
      </c>
      <c r="AT22" s="95" t="s">
        <v>86</v>
      </c>
      <c r="AU22" s="101" t="s">
        <v>131</v>
      </c>
      <c r="AV22" s="101" t="s">
        <v>132</v>
      </c>
      <c r="AW22" s="101" t="s">
        <v>91</v>
      </c>
      <c r="AX22" s="101" t="s">
        <v>92</v>
      </c>
      <c r="AY22" s="101" t="s">
        <v>93</v>
      </c>
      <c r="AZ22" s="101" t="s">
        <v>94</v>
      </c>
      <c r="BA22" s="101" t="s">
        <v>95</v>
      </c>
      <c r="BB22" s="101" t="s">
        <v>96</v>
      </c>
      <c r="BC22" s="101" t="s">
        <v>97</v>
      </c>
      <c r="BD22" s="101" t="s">
        <v>98</v>
      </c>
      <c r="BE22" s="101" t="s">
        <v>99</v>
      </c>
      <c r="BF22" s="101" t="s">
        <v>100</v>
      </c>
      <c r="BG22" s="101" t="s">
        <v>101</v>
      </c>
      <c r="BH22" s="101" t="s">
        <v>102</v>
      </c>
      <c r="BI22" s="101" t="s">
        <v>103</v>
      </c>
      <c r="BJ22" s="101" t="s">
        <v>104</v>
      </c>
      <c r="BK22" s="101" t="s">
        <v>105</v>
      </c>
      <c r="BL22" s="102" t="s">
        <v>106</v>
      </c>
      <c r="BM22" s="103" t="s">
        <v>107</v>
      </c>
      <c r="BN22" s="102" t="s">
        <v>108</v>
      </c>
      <c r="BO22" s="102" t="s">
        <v>94</v>
      </c>
      <c r="BP22" s="102" t="s">
        <v>109</v>
      </c>
      <c r="BQ22" s="102" t="s">
        <v>63</v>
      </c>
    </row>
    <row r="23" ht="15.75" spans="1:69">
      <c r="A23" s="89">
        <v>1</v>
      </c>
      <c r="B23" s="44" t="s">
        <v>133</v>
      </c>
      <c r="C23" s="44" t="s">
        <v>133</v>
      </c>
      <c r="D23" s="89" t="s">
        <v>12</v>
      </c>
      <c r="E23" s="89" t="s">
        <v>12</v>
      </c>
      <c r="F23" s="104">
        <v>2</v>
      </c>
      <c r="G23" s="104">
        <v>250</v>
      </c>
      <c r="H23" s="105">
        <f>F23*G23</f>
        <v>500</v>
      </c>
      <c r="I23" s="118">
        <v>1</v>
      </c>
      <c r="J23" s="105">
        <v>2</v>
      </c>
      <c r="K23" s="105">
        <v>4</v>
      </c>
      <c r="L23" s="105">
        <f>H23</f>
        <v>500</v>
      </c>
      <c r="M23" s="105">
        <f>ROUND(L23*I23%,2)</f>
        <v>5</v>
      </c>
      <c r="N23" s="105">
        <f>H23-M23</f>
        <v>495</v>
      </c>
      <c r="O23" s="105">
        <f>ROUND(N23*J23%,2)</f>
        <v>9.9</v>
      </c>
      <c r="P23" s="105">
        <f>ROUND(N23-O23,2)</f>
        <v>485.1</v>
      </c>
      <c r="Q23" s="105">
        <f>ROUND(P23*K23%,2)</f>
        <v>19.4</v>
      </c>
      <c r="R23" s="105">
        <f>M23+O23+Q23</f>
        <v>34.3</v>
      </c>
      <c r="S23" s="105">
        <f>(H23-R23)</f>
        <v>465.7</v>
      </c>
      <c r="T23" s="105" t="s">
        <v>111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05">
        <f>IF($V21=1,S23+AB23,S23)</f>
        <v>465.7</v>
      </c>
      <c r="AD23" s="105">
        <v>120</v>
      </c>
      <c r="AE23" s="105">
        <f>IF($P$21=1,(S23/$S$24)*$E$35,AD23/$AD$24*$E$35)</f>
        <v>0</v>
      </c>
      <c r="AF23" s="105"/>
      <c r="AG23" s="105">
        <f>IF($P$21=1,(S23/$S$24)*$E$37,AD23/$AD$24*$E$37)</f>
        <v>0</v>
      </c>
      <c r="AH23" s="105">
        <f>IF($P$21=1,(S23/$S$24)*$E$37,AD23/$AD$24*$E$37)</f>
        <v>0</v>
      </c>
      <c r="AI23" s="105">
        <f>S23*$M$21</f>
        <v>39584.5</v>
      </c>
      <c r="AJ23" s="105">
        <f>IF($C$21=3,0,AG23+AH23)</f>
        <v>0</v>
      </c>
      <c r="AK23" s="105">
        <f>IF($C$21=3,AE23+AG23+AH23,0)</f>
        <v>0</v>
      </c>
      <c r="AL23" s="105">
        <v>1</v>
      </c>
      <c r="AM23" s="105">
        <f>F23/AL23</f>
        <v>2</v>
      </c>
      <c r="AN23" s="105">
        <f>AI23/AM23</f>
        <v>19792.25</v>
      </c>
      <c r="AO23" s="105">
        <f>AJ23/AM23</f>
        <v>0</v>
      </c>
      <c r="AP23" s="105">
        <f>AK23/AM23</f>
        <v>0</v>
      </c>
      <c r="AQ23" s="105" t="s">
        <v>12</v>
      </c>
      <c r="AR23" s="105">
        <f>AN23+AO23+AP23</f>
        <v>19792.25</v>
      </c>
      <c r="AS23" s="105" t="s">
        <v>112</v>
      </c>
      <c r="AT23" s="105" t="s">
        <v>12</v>
      </c>
      <c r="AU23" t="s" s="0">
        <v>113</v>
      </c>
      <c r="AV23" t="s" s="0">
        <v>134</v>
      </c>
      <c r="AW23" s="105">
        <f>AM23</f>
        <v>2</v>
      </c>
      <c r="AX23" s="105">
        <f>AR23</f>
        <v>19792.25</v>
      </c>
      <c r="AY23" s="105">
        <f>AU23+AW23</f>
        <v>2</v>
      </c>
      <c r="AZ23" s="105">
        <f>ROUND(((AU23*AV23)+(AW23*AX23))/(AU23+AW23),5)</f>
        <v>19792.25</v>
      </c>
      <c r="BA23" s="107"/>
      <c r="BB23" s="107" t="s">
        <v>115</v>
      </c>
      <c r="BC23" s="107" t="s">
        <v>116</v>
      </c>
      <c r="BD23" s="108" t="s">
        <v>117</v>
      </c>
      <c r="BE23" s="108" t="s">
        <v>118</v>
      </c>
      <c r="BF23" s="107"/>
      <c r="BG23" s="107"/>
      <c r="BH23" s="107"/>
      <c r="BI23" s="105"/>
      <c r="BJ23" s="105"/>
      <c r="BK23" s="105"/>
      <c r="BL23" s="122" t="s">
        <v>119</v>
      </c>
      <c r="BM23" t="s" s="0">
        <v>135</v>
      </c>
      <c r="BN23" t="s" s="0">
        <v>136</v>
      </c>
      <c r="BO23" s="105">
        <f>ROUND((((AW23*AZ23)+(BN23*BM23))/(AW23+BN23)),5)</f>
        <v>20068.08768</v>
      </c>
      <c r="BP23" s="107">
        <f>BN23+AW23</f>
        <v>2</v>
      </c>
      <c r="BQ23" s="110">
        <v>88363222</v>
      </c>
    </row>
    <row r="24" spans="1:69">
      <c r="A24" s="93"/>
      <c r="B24" s="94"/>
      <c r="C24" s="94"/>
      <c r="D24" s="111" t="s">
        <v>41</v>
      </c>
      <c r="E24" s="111"/>
      <c r="F24" s="111"/>
      <c r="G24" s="111"/>
      <c r="H24" s="111">
        <f>SUM(H23:H23)</f>
        <v>500</v>
      </c>
      <c r="I24" s="93"/>
      <c r="J24" s="93"/>
      <c r="K24" s="93"/>
      <c r="L24" s="93"/>
      <c r="M24" s="93"/>
      <c r="N24" s="93"/>
      <c r="O24" s="93"/>
      <c r="P24" s="93"/>
      <c r="Q24" s="93"/>
      <c r="R24" s="111">
        <f t="shared" ref="R24:Y24" si="1">SUM(R23:R23)</f>
        <v>34.3</v>
      </c>
      <c r="S24" s="112">
        <f t="shared" si="1"/>
        <v>465.7</v>
      </c>
      <c r="T24" s="111"/>
      <c r="U24" s="111"/>
      <c r="V24" s="113">
        <f t="shared" si="1"/>
        <v>0</v>
      </c>
      <c r="W24" s="113">
        <f t="shared" si="1"/>
        <v>0</v>
      </c>
      <c r="X24" s="113">
        <f t="shared" si="1"/>
        <v>0</v>
      </c>
      <c r="Y24" s="113">
        <f t="shared" si="1"/>
        <v>0</v>
      </c>
      <c r="Z24" s="113"/>
      <c r="AA24" s="113">
        <f t="shared" ref="AA24:AE24" si="2">SUM(AA23:AA23)</f>
        <v>0</v>
      </c>
      <c r="AB24" s="111">
        <f t="shared" si="2"/>
        <v>0</v>
      </c>
      <c r="AC24" s="114">
        <f t="shared" si="2"/>
        <v>465.7</v>
      </c>
      <c r="AD24" s="115">
        <f t="shared" si="2"/>
        <v>120</v>
      </c>
      <c r="AE24" s="115">
        <f t="shared" si="2"/>
        <v>0</v>
      </c>
      <c r="AF24" s="114"/>
      <c r="AG24" s="115">
        <f t="shared" ref="AG24:AK24" si="3">SUM(AG23:AG23)</f>
        <v>0</v>
      </c>
      <c r="AH24" s="115">
        <f t="shared" si="3"/>
        <v>0</v>
      </c>
      <c r="AI24" s="115">
        <f t="shared" si="3"/>
        <v>39584.5</v>
      </c>
      <c r="AJ24" s="115">
        <f t="shared" si="3"/>
        <v>0</v>
      </c>
      <c r="AK24" s="115">
        <f t="shared" si="3"/>
        <v>0</v>
      </c>
      <c r="AL24" s="114"/>
      <c r="AM24" s="114"/>
      <c r="AN24" s="114"/>
      <c r="AO24" s="114"/>
      <c r="AP24" s="114"/>
      <c r="AQ24" s="114"/>
      <c r="AR24" s="114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O12" workbookViewId="0">
      <selection activeCell="U29" sqref="U29"/>
    </sheetView>
  </sheetViews>
  <sheetFormatPr defaultColWidth="8.71428571428571" defaultRowHeight="15"/>
  <cols>
    <col min="1" max="1" customWidth="true" width="7.57142857142857"/>
    <col min="2" max="3" customWidth="true" width="25.5714285714286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10" customWidth="true" width="5.85714285714286"/>
    <col min="11" max="11" customWidth="true" width="6.0"/>
    <col min="12" max="12" customWidth="true" width="14.2857142857143"/>
    <col min="13" max="13" customWidth="true" width="9.42857142857143"/>
    <col min="14" max="14" customWidth="true" width="14.2857142857143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0.0"/>
    <col min="20" max="20" customWidth="true" width="6.42857142857143"/>
    <col min="21" max="21" customWidth="true" width="9.85714285714286"/>
    <col min="22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5.7142857142857"/>
    <col min="45" max="45" customWidth="true" width="9.28571428571429"/>
    <col min="46" max="46" customWidth="true" width="13.0"/>
    <col min="47" max="47" customWidth="true" width="12.4285714285714"/>
    <col min="48" max="48" customWidth="true" width="18.8571428571429"/>
    <col min="49" max="49" customWidth="true" width="13.4285714285714"/>
    <col min="50" max="50" customWidth="true" width="19.4285714285714"/>
    <col min="51" max="51" customWidth="true" width="16.2857142857143"/>
    <col min="52" max="52" customWidth="true" width="22.7142857142857"/>
    <col min="53" max="53" customWidth="true" width="21.7142857142857"/>
    <col min="54" max="54" customWidth="true" width="23.2857142857143"/>
    <col min="55" max="55" customWidth="true" width="18.2857142857143"/>
    <col min="56" max="56" customWidth="true" width="16.0"/>
    <col min="57" max="58" customWidth="true" width="19.1428571428571"/>
    <col min="59" max="59" customWidth="true" width="15.5714285714286"/>
    <col min="60" max="61" customWidth="true" width="14.7142857142857"/>
    <col min="62" max="62" customWidth="true" width="25.4285714285714"/>
    <col min="63" max="63" customWidth="true" width="35.4285714285714"/>
    <col min="64" max="64" customWidth="true" width="8.5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5.28571428571429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</row>
    <row r="17" spans="1:69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ht="15.75" spans="1:69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ht="15.75" spans="1:69">
      <c r="A19" s="64"/>
      <c r="B19" s="119" t="s">
        <v>41</v>
      </c>
      <c r="C19" s="120"/>
      <c r="D19" s="120"/>
      <c r="E19" s="120"/>
      <c r="F19" s="120"/>
      <c r="G19" s="121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69">
      <c r="A20" s="87" t="s">
        <v>42</v>
      </c>
      <c r="B20" s="88"/>
      <c r="C20" s="88"/>
      <c r="D20" s="88"/>
      <c r="E20" s="88"/>
      <c r="F20" s="88"/>
      <c r="G20" s="88"/>
      <c r="H20" s="87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</row>
    <row r="21" spans="1:69">
      <c r="A21" s="89" t="s">
        <v>43</v>
      </c>
      <c r="B21" s="89"/>
      <c r="C21" s="90">
        <v>3</v>
      </c>
      <c r="D21" s="91" t="s">
        <v>44</v>
      </c>
      <c r="E21" s="90"/>
      <c r="F21" s="90"/>
      <c r="G21" s="90"/>
      <c r="H21" s="92"/>
      <c r="I21" s="93" t="s">
        <v>45</v>
      </c>
      <c r="J21" s="93" t="s">
        <v>46</v>
      </c>
      <c r="K21" s="93"/>
      <c r="L21" s="93" t="s">
        <v>47</v>
      </c>
      <c r="M21" s="93">
        <v>85</v>
      </c>
      <c r="N21" s="93"/>
      <c r="O21" s="93" t="s">
        <v>48</v>
      </c>
      <c r="P21" s="93">
        <v>1</v>
      </c>
      <c r="Q21" s="93" t="s">
        <v>49</v>
      </c>
      <c r="R21" s="92"/>
      <c r="S21" s="92"/>
      <c r="T21" s="92"/>
      <c r="U21" s="92"/>
      <c r="V21" s="92">
        <v>1</v>
      </c>
      <c r="W21" s="92" t="s">
        <v>50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</row>
    <row r="22" ht="15.75" spans="1:69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53</v>
      </c>
      <c r="K22" s="96" t="s">
        <v>54</v>
      </c>
      <c r="L22" s="97" t="s">
        <v>55</v>
      </c>
      <c r="M22" s="97" t="s">
        <v>56</v>
      </c>
      <c r="N22" s="97" t="s">
        <v>57</v>
      </c>
      <c r="O22" s="97" t="s">
        <v>58</v>
      </c>
      <c r="P22" s="97" t="s">
        <v>59</v>
      </c>
      <c r="Q22" s="97" t="s">
        <v>60</v>
      </c>
      <c r="R22" s="96" t="s">
        <v>61</v>
      </c>
      <c r="S22" s="95" t="s">
        <v>62</v>
      </c>
      <c r="T22" s="95" t="s">
        <v>63</v>
      </c>
      <c r="U22" s="98" t="s">
        <v>64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87</v>
      </c>
      <c r="AS22" s="95" t="s">
        <v>88</v>
      </c>
      <c r="AT22" s="95" t="s">
        <v>86</v>
      </c>
      <c r="AU22" s="101" t="s">
        <v>131</v>
      </c>
      <c r="AV22" s="101" t="s">
        <v>132</v>
      </c>
      <c r="AW22" s="101" t="s">
        <v>91</v>
      </c>
      <c r="AX22" s="101" t="s">
        <v>92</v>
      </c>
      <c r="AY22" s="101" t="s">
        <v>93</v>
      </c>
      <c r="AZ22" s="101" t="s">
        <v>94</v>
      </c>
      <c r="BA22" s="101" t="s">
        <v>95</v>
      </c>
      <c r="BB22" s="101" t="s">
        <v>96</v>
      </c>
      <c r="BC22" s="101" t="s">
        <v>97</v>
      </c>
      <c r="BD22" s="101" t="s">
        <v>98</v>
      </c>
      <c r="BE22" s="101" t="s">
        <v>99</v>
      </c>
      <c r="BF22" s="101" t="s">
        <v>100</v>
      </c>
      <c r="BG22" s="101" t="s">
        <v>101</v>
      </c>
      <c r="BH22" s="101" t="s">
        <v>102</v>
      </c>
      <c r="BI22" s="101" t="s">
        <v>103</v>
      </c>
      <c r="BJ22" s="101" t="s">
        <v>104</v>
      </c>
      <c r="BK22" s="101" t="s">
        <v>105</v>
      </c>
      <c r="BL22" s="102" t="s">
        <v>106</v>
      </c>
      <c r="BM22" s="103" t="s">
        <v>107</v>
      </c>
      <c r="BN22" s="102" t="s">
        <v>108</v>
      </c>
      <c r="BO22" s="102" t="s">
        <v>94</v>
      </c>
      <c r="BP22" s="102" t="s">
        <v>109</v>
      </c>
      <c r="BQ22" s="102" t="s">
        <v>63</v>
      </c>
    </row>
    <row r="23" ht="15.75" spans="1:69">
      <c r="A23" s="89">
        <v>1</v>
      </c>
      <c r="B23" s="44" t="s">
        <v>137</v>
      </c>
      <c r="C23" s="44" t="s">
        <v>137</v>
      </c>
      <c r="D23" s="89" t="s">
        <v>12</v>
      </c>
      <c r="E23" s="89" t="s">
        <v>12</v>
      </c>
      <c r="F23" s="104">
        <v>2</v>
      </c>
      <c r="G23" s="104">
        <v>250</v>
      </c>
      <c r="H23" s="105">
        <f>F23*G23</f>
        <v>500</v>
      </c>
      <c r="I23" s="118">
        <v>1</v>
      </c>
      <c r="J23" s="105">
        <v>2</v>
      </c>
      <c r="K23" s="105">
        <v>4</v>
      </c>
      <c r="L23" s="105">
        <f>H23</f>
        <v>500</v>
      </c>
      <c r="M23" s="105">
        <f>ROUND(L23*I23%,2)</f>
        <v>5</v>
      </c>
      <c r="N23" s="105">
        <f>H23-M23</f>
        <v>495</v>
      </c>
      <c r="O23" s="105">
        <f>ROUND(N23*J23%,2)</f>
        <v>9.9</v>
      </c>
      <c r="P23" s="105">
        <f>ROUND(N23-O23,2)</f>
        <v>485.1</v>
      </c>
      <c r="Q23" s="105">
        <f>ROUND(P23*K23%,2)</f>
        <v>19.4</v>
      </c>
      <c r="R23" s="105">
        <f>M23+O23+Q23</f>
        <v>34.3</v>
      </c>
      <c r="S23" s="105">
        <f>(H23-R23)</f>
        <v>465.7</v>
      </c>
      <c r="T23" s="105" t="s">
        <v>111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05">
        <f>IF($V21=1,S23+AB23,S23)</f>
        <v>465.7</v>
      </c>
      <c r="AD23" s="105">
        <v>120</v>
      </c>
      <c r="AE23" s="105">
        <f>IF($P$21=1,(S23/$S$24)*$E$35,AD23/$AD$24*$E$35)</f>
        <v>0</v>
      </c>
      <c r="AF23" s="105"/>
      <c r="AG23" s="105">
        <f>IF($P$21=1,(S23/$S$24)*$E$37,AD23/$AD$24*$E$37)</f>
        <v>0</v>
      </c>
      <c r="AH23" s="105">
        <f>IF($P$21=1,(S23/$S$24)*$E$37,AD23/$AD$24*$E$37)</f>
        <v>0</v>
      </c>
      <c r="AI23" s="105">
        <f>S23*$M$21</f>
        <v>39584.5</v>
      </c>
      <c r="AJ23" s="105">
        <f>IF($C$21=3,0,AG23+AH23)</f>
        <v>0</v>
      </c>
      <c r="AK23" s="105">
        <f>IF($C$21=3,AE23+AG23+AH23,0)</f>
        <v>0</v>
      </c>
      <c r="AL23" s="105">
        <v>1</v>
      </c>
      <c r="AM23" s="105">
        <f>F23/AL23</f>
        <v>2</v>
      </c>
      <c r="AN23" s="105">
        <f>AI23/AM23</f>
        <v>19792.25</v>
      </c>
      <c r="AO23" s="105">
        <f>AJ23/AM23</f>
        <v>0</v>
      </c>
      <c r="AP23" s="105">
        <f>AK23/AM23</f>
        <v>0</v>
      </c>
      <c r="AQ23" s="105" t="s">
        <v>12</v>
      </c>
      <c r="AR23" s="105">
        <f>AN23+AO23+AP23</f>
        <v>19792.25</v>
      </c>
      <c r="AS23" s="105" t="s">
        <v>112</v>
      </c>
      <c r="AT23" s="105" t="s">
        <v>12</v>
      </c>
      <c r="AU23" s="118"/>
      <c r="AV23" s="118"/>
      <c r="AW23" s="105">
        <f>AM23</f>
        <v>2</v>
      </c>
      <c r="AX23" s="105">
        <f>AR23</f>
        <v>19792.25</v>
      </c>
      <c r="AY23" s="105">
        <f>AU23+AW23</f>
        <v>2</v>
      </c>
      <c r="AZ23" s="105">
        <f>ROUND(((AU23*AV23)+(AW23*AX23))/(AU23+AW23),5)</f>
        <v>19792.25</v>
      </c>
      <c r="BA23" s="107"/>
      <c r="BB23" s="107" t="s">
        <v>115</v>
      </c>
      <c r="BC23" s="107" t="s">
        <v>116</v>
      </c>
      <c r="BD23" s="108" t="s">
        <v>117</v>
      </c>
      <c r="BE23" s="108" t="s">
        <v>118</v>
      </c>
      <c r="BF23" s="107"/>
      <c r="BG23" s="107"/>
      <c r="BH23" s="107"/>
      <c r="BI23" s="105"/>
      <c r="BJ23" s="105"/>
      <c r="BK23" s="105"/>
      <c r="BL23" s="105" t="s">
        <v>119</v>
      </c>
      <c r="BM23" s="118"/>
      <c r="BN23" s="118"/>
      <c r="BO23" s="105">
        <f>ROUND((((AW23*AZ23)+(BN23*BM23))/(AW23+BN23)),5)</f>
        <v>19792.25</v>
      </c>
      <c r="BP23" s="107">
        <f>BN23+AW23</f>
        <v>2</v>
      </c>
      <c r="BQ23" s="110">
        <v>88363222</v>
      </c>
    </row>
    <row r="24" spans="1:69">
      <c r="A24" s="93"/>
      <c r="B24" s="94"/>
      <c r="C24" s="94"/>
      <c r="D24" s="111" t="s">
        <v>41</v>
      </c>
      <c r="E24" s="111"/>
      <c r="F24" s="111"/>
      <c r="G24" s="111"/>
      <c r="H24" s="111">
        <f>SUM(H23:H23)</f>
        <v>500</v>
      </c>
      <c r="I24" s="93"/>
      <c r="J24" s="93"/>
      <c r="K24" s="93"/>
      <c r="L24" s="93"/>
      <c r="M24" s="93"/>
      <c r="N24" s="93"/>
      <c r="O24" s="93"/>
      <c r="P24" s="93"/>
      <c r="Q24" s="93"/>
      <c r="R24" s="111">
        <f t="shared" ref="R24:X24" si="1">SUM(R23:R23)</f>
        <v>34.3</v>
      </c>
      <c r="S24" s="112">
        <f t="shared" si="1"/>
        <v>465.7</v>
      </c>
      <c r="T24" s="111"/>
      <c r="U24" s="111"/>
      <c r="V24" s="113">
        <f t="shared" si="1"/>
        <v>0</v>
      </c>
      <c r="W24" s="113">
        <f t="shared" si="1"/>
        <v>0</v>
      </c>
      <c r="X24" s="113">
        <f t="shared" si="1"/>
        <v>0</v>
      </c>
      <c r="Y24" s="113"/>
      <c r="Z24" s="113"/>
      <c r="AA24" s="113"/>
      <c r="AB24" s="111">
        <f t="shared" ref="AB24:AE24" si="2">SUM(AB23:AB23)</f>
        <v>0</v>
      </c>
      <c r="AC24" s="114">
        <f t="shared" si="2"/>
        <v>465.7</v>
      </c>
      <c r="AD24" s="115">
        <f t="shared" si="2"/>
        <v>120</v>
      </c>
      <c r="AE24" s="115">
        <f t="shared" si="2"/>
        <v>0</v>
      </c>
      <c r="AF24" s="114"/>
      <c r="AG24" s="115">
        <f t="shared" ref="AG24:AK24" si="3">SUM(AG23:AG23)</f>
        <v>0</v>
      </c>
      <c r="AH24" s="115">
        <f t="shared" si="3"/>
        <v>0</v>
      </c>
      <c r="AI24" s="115">
        <f t="shared" si="3"/>
        <v>39584.5</v>
      </c>
      <c r="AJ24" s="115">
        <f t="shared" si="3"/>
        <v>0</v>
      </c>
      <c r="AK24" s="115">
        <f t="shared" si="3"/>
        <v>0</v>
      </c>
      <c r="AL24" s="114"/>
      <c r="AM24" s="114"/>
      <c r="AN24" s="114"/>
      <c r="AO24" s="114"/>
      <c r="AP24" s="114"/>
      <c r="AQ24" s="114"/>
      <c r="AR24" s="114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Q9" workbookViewId="0">
      <selection activeCell="W27" sqref="W27"/>
    </sheetView>
  </sheetViews>
  <sheetFormatPr defaultColWidth="8.71428571428571" defaultRowHeight="15"/>
  <cols>
    <col min="1" max="1" customWidth="true" width="7.57142857142857"/>
    <col min="2" max="3" customWidth="true" width="24.7142857142857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10" customWidth="true" width="5.85714285714286"/>
    <col min="11" max="11" customWidth="true" width="6.0"/>
    <col min="12" max="12" customWidth="true" width="14.2857142857143"/>
    <col min="13" max="13" customWidth="true" width="9.42857142857143"/>
    <col min="14" max="14" customWidth="true" width="14.2857142857143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0.0"/>
    <col min="20" max="20" customWidth="true" width="6.42857142857143"/>
    <col min="21" max="21" customWidth="true" width="9.85714285714286"/>
    <col min="22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5.7142857142857"/>
    <col min="45" max="45" customWidth="true" width="9.28571428571429"/>
    <col min="46" max="46" customWidth="true" width="13.0"/>
    <col min="47" max="47" customWidth="true" width="12.4285714285714"/>
    <col min="48" max="48" customWidth="true" width="18.8571428571429"/>
    <col min="49" max="49" customWidth="true" width="13.4285714285714"/>
    <col min="50" max="50" customWidth="true" width="19.4285714285714"/>
    <col min="51" max="51" customWidth="true" width="16.2857142857143"/>
    <col min="52" max="52" customWidth="true" width="22.7142857142857"/>
    <col min="53" max="53" customWidth="true" width="21.7142857142857"/>
    <col min="54" max="54" customWidth="true" width="23.2857142857143"/>
    <col min="55" max="55" customWidth="true" width="18.2857142857143"/>
    <col min="56" max="56" customWidth="true" width="16.0"/>
    <col min="57" max="58" customWidth="true" width="19.1428571428571"/>
    <col min="59" max="59" customWidth="true" width="15.5714285714286"/>
    <col min="60" max="61" customWidth="true" width="14.7142857142857"/>
    <col min="62" max="62" customWidth="true" width="25.4285714285714"/>
    <col min="63" max="63" customWidth="true" width="35.4285714285714"/>
    <col min="64" max="64" customWidth="true" width="8.5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5.28571428571429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</row>
    <row r="17" spans="1:69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ht="15.75" spans="1:69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ht="15.75" spans="1:69">
      <c r="A19" s="64"/>
      <c r="B19" s="84" t="s">
        <v>41</v>
      </c>
      <c r="C19" s="84"/>
      <c r="D19" s="84"/>
      <c r="E19" s="84"/>
      <c r="F19" s="84"/>
      <c r="G19" s="84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69">
      <c r="A20" s="87" t="s">
        <v>42</v>
      </c>
      <c r="B20" s="88"/>
      <c r="C20" s="88"/>
      <c r="D20" s="88"/>
      <c r="E20" s="88"/>
      <c r="F20" s="88"/>
      <c r="G20" s="88"/>
      <c r="H20" s="87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</row>
    <row r="21" spans="1:69">
      <c r="A21" s="89" t="s">
        <v>43</v>
      </c>
      <c r="B21" s="89"/>
      <c r="C21" s="90">
        <v>3</v>
      </c>
      <c r="D21" s="91" t="s">
        <v>44</v>
      </c>
      <c r="E21" s="90"/>
      <c r="F21" s="90"/>
      <c r="G21" s="90"/>
      <c r="H21" s="92"/>
      <c r="I21" s="93" t="s">
        <v>45</v>
      </c>
      <c r="J21" s="93" t="s">
        <v>46</v>
      </c>
      <c r="K21" s="93"/>
      <c r="L21" s="93" t="s">
        <v>47</v>
      </c>
      <c r="M21" s="93">
        <v>85</v>
      </c>
      <c r="N21" s="93"/>
      <c r="O21" s="93" t="s">
        <v>48</v>
      </c>
      <c r="P21" s="93">
        <v>1</v>
      </c>
      <c r="Q21" s="93" t="s">
        <v>49</v>
      </c>
      <c r="R21" s="92"/>
      <c r="S21" s="92"/>
      <c r="T21" s="92"/>
      <c r="U21" s="92"/>
      <c r="V21" s="92">
        <v>1</v>
      </c>
      <c r="W21" s="92" t="s">
        <v>50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</row>
    <row r="22" ht="15.75" spans="1:69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53</v>
      </c>
      <c r="K22" s="96" t="s">
        <v>54</v>
      </c>
      <c r="L22" s="97" t="s">
        <v>55</v>
      </c>
      <c r="M22" s="97" t="s">
        <v>56</v>
      </c>
      <c r="N22" s="97" t="s">
        <v>57</v>
      </c>
      <c r="O22" s="97" t="s">
        <v>58</v>
      </c>
      <c r="P22" s="97" t="s">
        <v>59</v>
      </c>
      <c r="Q22" s="97" t="s">
        <v>60</v>
      </c>
      <c r="R22" s="96" t="s">
        <v>61</v>
      </c>
      <c r="S22" s="95" t="s">
        <v>62</v>
      </c>
      <c r="T22" s="95" t="s">
        <v>63</v>
      </c>
      <c r="U22" s="98" t="s">
        <v>64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87</v>
      </c>
      <c r="AS22" s="95" t="s">
        <v>88</v>
      </c>
      <c r="AT22" s="95" t="s">
        <v>86</v>
      </c>
      <c r="AU22" s="101" t="s">
        <v>131</v>
      </c>
      <c r="AV22" s="101" t="s">
        <v>132</v>
      </c>
      <c r="AW22" s="101" t="s">
        <v>91</v>
      </c>
      <c r="AX22" s="101" t="s">
        <v>92</v>
      </c>
      <c r="AY22" s="101" t="s">
        <v>93</v>
      </c>
      <c r="AZ22" s="101" t="s">
        <v>94</v>
      </c>
      <c r="BA22" s="101" t="s">
        <v>95</v>
      </c>
      <c r="BB22" s="101" t="s">
        <v>96</v>
      </c>
      <c r="BC22" s="101" t="s">
        <v>97</v>
      </c>
      <c r="BD22" s="101" t="s">
        <v>98</v>
      </c>
      <c r="BE22" s="101" t="s">
        <v>99</v>
      </c>
      <c r="BF22" s="101" t="s">
        <v>100</v>
      </c>
      <c r="BG22" s="101" t="s">
        <v>101</v>
      </c>
      <c r="BH22" s="101" t="s">
        <v>102</v>
      </c>
      <c r="BI22" s="101" t="s">
        <v>103</v>
      </c>
      <c r="BJ22" s="101" t="s">
        <v>104</v>
      </c>
      <c r="BK22" s="101" t="s">
        <v>105</v>
      </c>
      <c r="BL22" s="102" t="s">
        <v>106</v>
      </c>
      <c r="BM22" s="103" t="s">
        <v>107</v>
      </c>
      <c r="BN22" s="102" t="s">
        <v>108</v>
      </c>
      <c r="BO22" s="102" t="s">
        <v>94</v>
      </c>
      <c r="BP22" s="102" t="s">
        <v>109</v>
      </c>
      <c r="BQ22" s="102" t="s">
        <v>63</v>
      </c>
    </row>
    <row r="23" ht="15.75" spans="1:69">
      <c r="A23" s="89">
        <v>1</v>
      </c>
      <c r="B23" s="89" t="s">
        <v>138</v>
      </c>
      <c r="C23" s="89" t="s">
        <v>138</v>
      </c>
      <c r="D23" s="89" t="s">
        <v>12</v>
      </c>
      <c r="E23" s="89" t="s">
        <v>12</v>
      </c>
      <c r="F23" s="104">
        <v>2</v>
      </c>
      <c r="G23" s="0">
        <v>250</v>
      </c>
      <c r="H23" s="105">
        <f>F23*G23</f>
        <v>500</v>
      </c>
      <c r="I23" t="s" s="0">
        <v>139</v>
      </c>
      <c r="J23" s="105">
        <v>2</v>
      </c>
      <c r="K23" s="105">
        <v>4</v>
      </c>
      <c r="L23" s="105">
        <f>H23</f>
        <v>500</v>
      </c>
      <c r="M23" s="105">
        <f>ROUND(L23*I23%,2)</f>
        <v>5</v>
      </c>
      <c r="N23" s="105">
        <f>H23-M23</f>
        <v>495</v>
      </c>
      <c r="O23" s="105">
        <f>ROUND(N23*J23%,2)</f>
        <v>9.9</v>
      </c>
      <c r="P23" s="105">
        <f>ROUND(N23-O23,2)</f>
        <v>485.1</v>
      </c>
      <c r="Q23" s="105">
        <f>ROUND(P23*K23%,2)</f>
        <v>19.4</v>
      </c>
      <c r="R23" s="105">
        <f>M23+O23+Q23</f>
        <v>34.3</v>
      </c>
      <c r="S23" s="105">
        <f>(H23-R23)</f>
        <v>465.7</v>
      </c>
      <c r="T23" s="105" t="s">
        <v>111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05">
        <f>IF($V21=1,S23+AB23,S23)</f>
        <v>465.7</v>
      </c>
      <c r="AD23" s="105">
        <v>120</v>
      </c>
      <c r="AE23" s="105">
        <f>IF($P$21=1,(S23/$S$24)*$E$35,AD23/$AD$24*$E$35)</f>
        <v>0</v>
      </c>
      <c r="AF23" s="105"/>
      <c r="AG23" s="105">
        <f>IF($P$21=1,(S23/$S$24)*$E$37,AD23/$AD$24*$E$37)</f>
        <v>0</v>
      </c>
      <c r="AH23" s="105">
        <f>IF($P$21=1,(S23/$S$24)*$E$37,AD23/$AD$24*$E$37)</f>
        <v>0</v>
      </c>
      <c r="AI23" s="105">
        <f>S23*$M$21</f>
        <v>39584.5</v>
      </c>
      <c r="AJ23" s="105">
        <f>IF($C$21=3,0,AG23+AH23)</f>
        <v>0</v>
      </c>
      <c r="AK23" s="105">
        <f>IF($C$21=3,AE23+AG23+AH23,0)</f>
        <v>0</v>
      </c>
      <c r="AL23" s="105">
        <v>1</v>
      </c>
      <c r="AM23" s="105">
        <f>F23/AL23</f>
        <v>2</v>
      </c>
      <c r="AN23" s="105">
        <f>AI23/AM23</f>
        <v>19792.25</v>
      </c>
      <c r="AO23" s="105">
        <f>AJ23/AM23</f>
        <v>0</v>
      </c>
      <c r="AP23" s="105">
        <f>AK23/AM23</f>
        <v>0</v>
      </c>
      <c r="AQ23" s="105" t="s">
        <v>12</v>
      </c>
      <c r="AR23" s="105">
        <f>AN23+AO23+AP23</f>
        <v>19792.25</v>
      </c>
      <c r="AS23" s="105" t="s">
        <v>112</v>
      </c>
      <c r="AT23" s="105" t="s">
        <v>12</v>
      </c>
      <c r="AU23" t="s" s="0">
        <v>113</v>
      </c>
      <c r="AV23" t="s" s="0">
        <v>134</v>
      </c>
      <c r="AW23" s="105">
        <f>AM23</f>
        <v>2</v>
      </c>
      <c r="AX23" s="105">
        <f>AR23</f>
        <v>19792.25</v>
      </c>
      <c r="AY23" s="105">
        <f>AU23+AW23</f>
        <v>2</v>
      </c>
      <c r="AZ23" s="105">
        <f>ROUND(((AU23*AV23)+(AW23*AX23))/(AU23+AW23),5)</f>
        <v>19792.25</v>
      </c>
      <c r="BA23" s="107"/>
      <c r="BB23" s="107" t="s">
        <v>115</v>
      </c>
      <c r="BC23" s="107" t="s">
        <v>116</v>
      </c>
      <c r="BD23" s="108" t="s">
        <v>117</v>
      </c>
      <c r="BE23" s="108" t="s">
        <v>118</v>
      </c>
      <c r="BF23" s="107"/>
      <c r="BG23" s="107"/>
      <c r="BH23" s="107"/>
      <c r="BI23" s="105"/>
      <c r="BJ23" s="105"/>
      <c r="BK23" s="105"/>
      <c r="BL23" s="105" t="s">
        <v>119</v>
      </c>
      <c r="BM23" t="s" s="0">
        <v>140</v>
      </c>
      <c r="BN23" t="s" s="0">
        <v>141</v>
      </c>
      <c r="BO23" s="105">
        <f>ROUND((((AW23*AZ23)+(BN23*BM23))/(AW23+BN23)),5)</f>
        <v>20046.0947</v>
      </c>
      <c r="BP23" s="107">
        <f>BN23+AW23</f>
        <v>2</v>
      </c>
      <c r="BQ23" s="110">
        <v>88363222</v>
      </c>
    </row>
    <row r="24" spans="1:69">
      <c r="A24" s="93"/>
      <c r="B24" s="94"/>
      <c r="C24" s="94"/>
      <c r="D24" s="111" t="s">
        <v>41</v>
      </c>
      <c r="E24" s="111"/>
      <c r="F24" s="111"/>
      <c r="G24" s="111"/>
      <c r="H24" s="111">
        <f>SUM(H23:H23)</f>
        <v>500</v>
      </c>
      <c r="I24" s="93"/>
      <c r="J24" s="93"/>
      <c r="K24" s="93"/>
      <c r="L24" s="93"/>
      <c r="M24" s="93"/>
      <c r="N24" s="93"/>
      <c r="O24" s="93"/>
      <c r="P24" s="93"/>
      <c r="Q24" s="93"/>
      <c r="R24" s="111">
        <f t="shared" ref="R24:Y24" si="1">SUM(R23:R23)</f>
        <v>34.3</v>
      </c>
      <c r="S24" s="112">
        <f t="shared" si="1"/>
        <v>465.7</v>
      </c>
      <c r="T24" s="111"/>
      <c r="U24" s="111"/>
      <c r="V24" s="113">
        <f t="shared" si="1"/>
        <v>0</v>
      </c>
      <c r="W24" s="113">
        <f t="shared" si="1"/>
        <v>0</v>
      </c>
      <c r="X24" s="113">
        <f t="shared" si="1"/>
        <v>0</v>
      </c>
      <c r="Y24" s="113">
        <f t="shared" si="1"/>
        <v>0</v>
      </c>
      <c r="Z24" s="113"/>
      <c r="AA24" s="113">
        <f t="shared" ref="AA24:AE24" si="2">SUM(AA23:AA23)</f>
        <v>0</v>
      </c>
      <c r="AB24" s="111">
        <f t="shared" si="2"/>
        <v>0</v>
      </c>
      <c r="AC24" s="114">
        <f t="shared" si="2"/>
        <v>465.7</v>
      </c>
      <c r="AD24" s="115">
        <f t="shared" si="2"/>
        <v>120</v>
      </c>
      <c r="AE24" s="115">
        <f t="shared" si="2"/>
        <v>0</v>
      </c>
      <c r="AF24" s="114"/>
      <c r="AG24" s="115">
        <f t="shared" ref="AG24:AK24" si="3">SUM(AG23:AG23)</f>
        <v>0</v>
      </c>
      <c r="AH24" s="115">
        <f t="shared" si="3"/>
        <v>0</v>
      </c>
      <c r="AI24" s="115">
        <f t="shared" si="3"/>
        <v>39584.5</v>
      </c>
      <c r="AJ24" s="115">
        <f t="shared" si="3"/>
        <v>0</v>
      </c>
      <c r="AK24" s="115">
        <f t="shared" si="3"/>
        <v>0</v>
      </c>
      <c r="AL24" s="114"/>
      <c r="AM24" s="114"/>
      <c r="AN24" s="114"/>
      <c r="AO24" s="114"/>
      <c r="AP24" s="114"/>
      <c r="AQ24" s="114"/>
      <c r="AR24" s="114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R15" workbookViewId="0">
      <selection activeCell="W30" sqref="W30"/>
    </sheetView>
  </sheetViews>
  <sheetFormatPr defaultColWidth="8.71428571428571" defaultRowHeight="15"/>
  <cols>
    <col min="1" max="1" customWidth="true" width="7.57142857142857"/>
    <col min="2" max="3" customWidth="true" width="25.1428571428571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10" customWidth="true" width="5.85714285714286"/>
    <col min="11" max="11" customWidth="true" width="6.0"/>
    <col min="12" max="12" customWidth="true" width="14.2857142857143"/>
    <col min="13" max="13" customWidth="true" width="9.42857142857143"/>
    <col min="14" max="14" customWidth="true" width="14.2857142857143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0.0"/>
    <col min="20" max="20" customWidth="true" width="6.42857142857143"/>
    <col min="21" max="21" customWidth="true" width="9.85714285714286"/>
    <col min="22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5.7142857142857"/>
    <col min="45" max="45" customWidth="true" width="9.28571428571429"/>
    <col min="46" max="46" customWidth="true" width="13.0"/>
    <col min="47" max="47" customWidth="true" width="12.4285714285714"/>
    <col min="48" max="48" customWidth="true" width="18.8571428571429"/>
    <col min="49" max="49" customWidth="true" width="13.4285714285714"/>
    <col min="50" max="50" customWidth="true" width="19.4285714285714"/>
    <col min="51" max="51" customWidth="true" width="16.2857142857143"/>
    <col min="52" max="52" customWidth="true" width="22.7142857142857"/>
    <col min="53" max="53" customWidth="true" width="21.7142857142857"/>
    <col min="54" max="54" customWidth="true" width="23.2857142857143"/>
    <col min="55" max="55" customWidth="true" width="18.2857142857143"/>
    <col min="56" max="56" customWidth="true" width="16.0"/>
    <col min="57" max="58" customWidth="true" width="19.1428571428571"/>
    <col min="59" max="59" customWidth="true" width="15.5714285714286"/>
    <col min="60" max="61" customWidth="true" width="14.7142857142857"/>
    <col min="62" max="62" customWidth="true" width="25.4285714285714"/>
    <col min="63" max="63" customWidth="true" width="35.4285714285714"/>
    <col min="64" max="64" customWidth="true" width="8.5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5.28571428571429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</row>
    <row r="17" spans="1:69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ht="15.75" spans="1:69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ht="15.75" spans="1:69">
      <c r="A19" s="64"/>
      <c r="B19" s="84" t="s">
        <v>41</v>
      </c>
      <c r="C19" s="84"/>
      <c r="D19" s="84"/>
      <c r="E19" s="84"/>
      <c r="F19" s="84"/>
      <c r="G19" s="84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69">
      <c r="A20" s="87" t="s">
        <v>42</v>
      </c>
      <c r="B20" s="88"/>
      <c r="C20" s="88"/>
      <c r="D20" s="88"/>
      <c r="E20" s="88"/>
      <c r="F20" s="88"/>
      <c r="G20" s="88"/>
      <c r="H20" s="87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</row>
    <row r="21" spans="1:69">
      <c r="A21" s="89" t="s">
        <v>43</v>
      </c>
      <c r="B21" s="89"/>
      <c r="C21" s="90">
        <v>3</v>
      </c>
      <c r="D21" s="91" t="s">
        <v>44</v>
      </c>
      <c r="E21" s="90"/>
      <c r="F21" s="90"/>
      <c r="G21" s="90"/>
      <c r="H21" s="92"/>
      <c r="I21" s="93" t="s">
        <v>45</v>
      </c>
      <c r="J21" s="93" t="s">
        <v>46</v>
      </c>
      <c r="K21" s="93"/>
      <c r="L21" s="93" t="s">
        <v>47</v>
      </c>
      <c r="M21" s="93">
        <v>85</v>
      </c>
      <c r="N21" s="93"/>
      <c r="O21" s="93" t="s">
        <v>48</v>
      </c>
      <c r="P21" s="93">
        <v>1</v>
      </c>
      <c r="Q21" s="93" t="s">
        <v>49</v>
      </c>
      <c r="R21" s="92"/>
      <c r="S21" s="92"/>
      <c r="T21" s="92"/>
      <c r="U21" s="92"/>
      <c r="V21" s="92">
        <v>1</v>
      </c>
      <c r="W21" s="92" t="s">
        <v>50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</row>
    <row r="22" ht="15.75" spans="1:69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53</v>
      </c>
      <c r="K22" s="96" t="s">
        <v>54</v>
      </c>
      <c r="L22" s="97" t="s">
        <v>55</v>
      </c>
      <c r="M22" s="97" t="s">
        <v>56</v>
      </c>
      <c r="N22" s="97" t="s">
        <v>57</v>
      </c>
      <c r="O22" s="97" t="s">
        <v>58</v>
      </c>
      <c r="P22" s="97" t="s">
        <v>59</v>
      </c>
      <c r="Q22" s="97" t="s">
        <v>60</v>
      </c>
      <c r="R22" s="96" t="s">
        <v>61</v>
      </c>
      <c r="S22" s="95" t="s">
        <v>62</v>
      </c>
      <c r="T22" s="95" t="s">
        <v>63</v>
      </c>
      <c r="U22" s="98" t="s">
        <v>64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87</v>
      </c>
      <c r="AS22" s="95" t="s">
        <v>88</v>
      </c>
      <c r="AT22" s="95" t="s">
        <v>86</v>
      </c>
      <c r="AU22" s="101" t="s">
        <v>131</v>
      </c>
      <c r="AV22" s="101" t="s">
        <v>132</v>
      </c>
      <c r="AW22" s="101" t="s">
        <v>91</v>
      </c>
      <c r="AX22" s="101" t="s">
        <v>92</v>
      </c>
      <c r="AY22" s="101" t="s">
        <v>93</v>
      </c>
      <c r="AZ22" s="101" t="s">
        <v>94</v>
      </c>
      <c r="BA22" s="101" t="s">
        <v>95</v>
      </c>
      <c r="BB22" s="101" t="s">
        <v>96</v>
      </c>
      <c r="BC22" s="101" t="s">
        <v>97</v>
      </c>
      <c r="BD22" s="101" t="s">
        <v>98</v>
      </c>
      <c r="BE22" s="101" t="s">
        <v>99</v>
      </c>
      <c r="BF22" s="101" t="s">
        <v>100</v>
      </c>
      <c r="BG22" s="101" t="s">
        <v>101</v>
      </c>
      <c r="BH22" s="101" t="s">
        <v>102</v>
      </c>
      <c r="BI22" s="101" t="s">
        <v>103</v>
      </c>
      <c r="BJ22" s="101" t="s">
        <v>104</v>
      </c>
      <c r="BK22" s="101" t="s">
        <v>105</v>
      </c>
      <c r="BL22" s="102" t="s">
        <v>106</v>
      </c>
      <c r="BM22" s="103" t="s">
        <v>107</v>
      </c>
      <c r="BN22" s="102" t="s">
        <v>108</v>
      </c>
      <c r="BO22" s="102" t="s">
        <v>94</v>
      </c>
      <c r="BP22" s="102" t="s">
        <v>109</v>
      </c>
      <c r="BQ22" s="102" t="s">
        <v>63</v>
      </c>
    </row>
    <row r="23" ht="15.75" spans="1:69">
      <c r="A23" s="89">
        <v>1</v>
      </c>
      <c r="B23" s="89" t="s">
        <v>142</v>
      </c>
      <c r="C23" s="89" t="s">
        <v>142</v>
      </c>
      <c r="D23" s="89" t="s">
        <v>12</v>
      </c>
      <c r="E23" s="89" t="s">
        <v>12</v>
      </c>
      <c r="F23" s="104">
        <v>2</v>
      </c>
      <c r="G23" s="0">
        <v>250</v>
      </c>
      <c r="H23" s="105">
        <f>F23*G23</f>
        <v>500</v>
      </c>
      <c r="I23" t="s" s="0">
        <v>139</v>
      </c>
      <c r="J23" s="105">
        <v>2</v>
      </c>
      <c r="K23" s="105">
        <v>4</v>
      </c>
      <c r="L23" s="105">
        <f>H23</f>
        <v>500</v>
      </c>
      <c r="M23" s="105">
        <f>ROUND(L23*I23%,2)</f>
        <v>5</v>
      </c>
      <c r="N23" s="105">
        <f>H23-M23</f>
        <v>495</v>
      </c>
      <c r="O23" s="105">
        <f>ROUND(N23*J23%,2)</f>
        <v>9.9</v>
      </c>
      <c r="P23" s="105">
        <f>ROUND(N23-O23,2)</f>
        <v>485.1</v>
      </c>
      <c r="Q23" s="105">
        <f>ROUND(P23*K23%,2)</f>
        <v>19.4</v>
      </c>
      <c r="R23" s="105">
        <f>M23+O23+Q23</f>
        <v>34.3</v>
      </c>
      <c r="S23" s="105">
        <f>(H23-R23)</f>
        <v>465.7</v>
      </c>
      <c r="T23" s="105" t="s">
        <v>111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05">
        <f>IF($V21=1,S23+AB23,S23)</f>
        <v>465.7</v>
      </c>
      <c r="AD23" s="105">
        <v>120</v>
      </c>
      <c r="AE23" s="105">
        <f>IF($P$21=1,(S23/$S$24)*$E$35,AD23/$AD$24*$E$35)</f>
        <v>0</v>
      </c>
      <c r="AF23" s="105"/>
      <c r="AG23" s="105">
        <f>IF($P$21=1,(S23/$S$24)*$E$37,AD23/$AD$24*$E$37)</f>
        <v>0</v>
      </c>
      <c r="AH23" s="105">
        <f>IF($P$21=1,(S23/$S$24)*$E$37,AD23/$AD$24*$E$37)</f>
        <v>0</v>
      </c>
      <c r="AI23" s="105">
        <f>S23*$M$21</f>
        <v>39584.5</v>
      </c>
      <c r="AJ23" s="105">
        <f>IF($C$21=3,0,AG23+AH23)</f>
        <v>0</v>
      </c>
      <c r="AK23" s="105">
        <f>IF($C$21=3,AE23+AG23+AH23,0)</f>
        <v>0</v>
      </c>
      <c r="AL23" s="105">
        <v>1</v>
      </c>
      <c r="AM23" s="105">
        <f>F23/AL23</f>
        <v>2</v>
      </c>
      <c r="AN23" s="105">
        <f>AI23/AM23</f>
        <v>19792.25</v>
      </c>
      <c r="AO23" s="105">
        <f>AJ23/AM23</f>
        <v>0</v>
      </c>
      <c r="AP23" s="105">
        <f>AK23/AM23</f>
        <v>0</v>
      </c>
      <c r="AQ23" s="105" t="s">
        <v>12</v>
      </c>
      <c r="AR23" s="105">
        <f>AN23+AO23+AP23</f>
        <v>19792.25</v>
      </c>
      <c r="AS23" s="105" t="s">
        <v>112</v>
      </c>
      <c r="AT23" s="105" t="s">
        <v>12</v>
      </c>
      <c r="AU23" s="118"/>
      <c r="AV23" s="118"/>
      <c r="AW23" s="105">
        <f>AM23</f>
        <v>2</v>
      </c>
      <c r="AX23" s="105">
        <f>AR23</f>
        <v>19792.25</v>
      </c>
      <c r="AY23" s="105">
        <f>AU23+AW23</f>
        <v>2</v>
      </c>
      <c r="AZ23" s="105">
        <f>ROUND(((AU23*AV23)+(AW23*AX23))/(AU23+AW23),5)</f>
        <v>19792.25</v>
      </c>
      <c r="BA23" s="107"/>
      <c r="BB23" s="107" t="s">
        <v>115</v>
      </c>
      <c r="BC23" s="107" t="s">
        <v>116</v>
      </c>
      <c r="BD23" s="108" t="s">
        <v>117</v>
      </c>
      <c r="BE23" s="108" t="s">
        <v>118</v>
      </c>
      <c r="BF23" s="107"/>
      <c r="BG23" s="107"/>
      <c r="BH23" s="107"/>
      <c r="BI23" s="105"/>
      <c r="BJ23" s="105"/>
      <c r="BK23" s="105"/>
      <c r="BL23" s="105" t="s">
        <v>119</v>
      </c>
      <c r="BM23" s="118"/>
      <c r="BN23" s="118"/>
      <c r="BO23" s="105">
        <f>ROUND((((AW23*AZ23)+(BN23*BM23))/(AW23+BN23)),5)</f>
        <v>19792.25</v>
      </c>
      <c r="BP23" s="107">
        <f>BN23+AW23</f>
        <v>2</v>
      </c>
      <c r="BQ23" s="110">
        <v>88363222</v>
      </c>
    </row>
    <row r="24" spans="1:69">
      <c r="A24" s="93"/>
      <c r="B24" s="94"/>
      <c r="C24" s="94"/>
      <c r="D24" s="111" t="s">
        <v>41</v>
      </c>
      <c r="E24" s="111"/>
      <c r="F24" s="111"/>
      <c r="G24" s="111"/>
      <c r="H24" s="111">
        <f>SUM(H23:H23)</f>
        <v>500</v>
      </c>
      <c r="I24" s="93"/>
      <c r="J24" s="93"/>
      <c r="K24" s="93"/>
      <c r="L24" s="93"/>
      <c r="M24" s="93"/>
      <c r="N24" s="93"/>
      <c r="O24" s="93"/>
      <c r="P24" s="93"/>
      <c r="Q24" s="93"/>
      <c r="R24" s="111">
        <f t="shared" ref="R24:Y24" si="1">SUM(R23:R23)</f>
        <v>34.3</v>
      </c>
      <c r="S24" s="112">
        <f t="shared" si="1"/>
        <v>465.7</v>
      </c>
      <c r="T24" s="111"/>
      <c r="U24" s="111"/>
      <c r="V24" s="113">
        <f t="shared" si="1"/>
        <v>0</v>
      </c>
      <c r="W24" s="113">
        <f t="shared" si="1"/>
        <v>0</v>
      </c>
      <c r="X24" s="113">
        <f t="shared" si="1"/>
        <v>0</v>
      </c>
      <c r="Y24" s="113">
        <f t="shared" si="1"/>
        <v>0</v>
      </c>
      <c r="Z24" s="113"/>
      <c r="AA24" s="113">
        <f t="shared" ref="AA24:AE24" si="2">SUM(AA23:AA23)</f>
        <v>0</v>
      </c>
      <c r="AB24" s="111">
        <f t="shared" si="2"/>
        <v>0</v>
      </c>
      <c r="AC24" s="114">
        <f t="shared" si="2"/>
        <v>465.7</v>
      </c>
      <c r="AD24" s="115">
        <f t="shared" si="2"/>
        <v>120</v>
      </c>
      <c r="AE24" s="115">
        <f t="shared" si="2"/>
        <v>0</v>
      </c>
      <c r="AF24" s="114"/>
      <c r="AG24" s="115">
        <f t="shared" ref="AG24:AK24" si="3">SUM(AG23:AG23)</f>
        <v>0</v>
      </c>
      <c r="AH24" s="115">
        <f t="shared" si="3"/>
        <v>0</v>
      </c>
      <c r="AI24" s="115">
        <f t="shared" si="3"/>
        <v>39584.5</v>
      </c>
      <c r="AJ24" s="115">
        <f t="shared" si="3"/>
        <v>0</v>
      </c>
      <c r="AK24" s="115">
        <f t="shared" si="3"/>
        <v>0</v>
      </c>
      <c r="AL24" s="114"/>
      <c r="AM24" s="114"/>
      <c r="AN24" s="114"/>
      <c r="AO24" s="114"/>
      <c r="AP24" s="114"/>
      <c r="AQ24" s="114"/>
      <c r="AR24" s="114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L6" workbookViewId="0">
      <selection activeCell="S18" sqref="S18"/>
    </sheetView>
  </sheetViews>
  <sheetFormatPr defaultColWidth="8.71428571428571" defaultRowHeight="15"/>
  <cols>
    <col min="1" max="1" customWidth="true" width="7.57142857142857"/>
    <col min="2" max="3" customWidth="true" width="24.5714285714286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10" customWidth="true" width="5.85714285714286"/>
    <col min="11" max="11" customWidth="true" width="6.0"/>
    <col min="12" max="12" customWidth="true" width="14.2857142857143"/>
    <col min="13" max="13" customWidth="true" width="9.42857142857143"/>
    <col min="14" max="14" customWidth="true" width="14.2857142857143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0.0"/>
    <col min="20" max="20" customWidth="true" width="6.42857142857143"/>
    <col min="21" max="21" customWidth="true" width="9.85714285714286"/>
    <col min="22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5.7142857142857"/>
    <col min="45" max="45" customWidth="true" width="9.28571428571429"/>
    <col min="46" max="46" customWidth="true" width="13.0"/>
    <col min="47" max="47" customWidth="true" width="12.4285714285714"/>
    <col min="48" max="48" customWidth="true" width="18.8571428571429"/>
    <col min="49" max="49" customWidth="true" width="14.5714285714286"/>
    <col min="50" max="50" customWidth="true" width="19.4285714285714"/>
    <col min="51" max="51" customWidth="true" width="16.2857142857143"/>
    <col min="52" max="52" customWidth="true" width="22.7142857142857"/>
    <col min="53" max="53" customWidth="true" width="21.7142857142857"/>
    <col min="54" max="54" customWidth="true" width="23.2857142857143"/>
    <col min="55" max="55" customWidth="true" width="18.2857142857143"/>
    <col min="56" max="56" customWidth="true" width="16.0"/>
    <col min="57" max="58" customWidth="true" width="19.1428571428571"/>
    <col min="59" max="59" customWidth="true" width="15.5714285714286"/>
    <col min="60" max="61" customWidth="true" width="14.7142857142857"/>
    <col min="62" max="62" customWidth="true" width="25.4285714285714"/>
    <col min="63" max="63" customWidth="true" width="35.4285714285714"/>
    <col min="64" max="64" customWidth="true" width="8.5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5.28571428571429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</row>
    <row r="17" spans="1:69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ht="15.75" spans="1:69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ht="15.75" spans="1:69">
      <c r="A19" s="64"/>
      <c r="B19" s="84" t="s">
        <v>41</v>
      </c>
      <c r="C19" s="84"/>
      <c r="D19" s="84"/>
      <c r="E19" s="84"/>
      <c r="F19" s="84"/>
      <c r="G19" s="84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69">
      <c r="A20" s="87" t="s">
        <v>42</v>
      </c>
      <c r="B20" s="88"/>
      <c r="C20" s="88"/>
      <c r="D20" s="88"/>
      <c r="E20" s="88"/>
      <c r="F20" s="88"/>
      <c r="G20" s="88"/>
      <c r="H20" s="87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</row>
    <row r="21" spans="1:69">
      <c r="A21" s="89" t="s">
        <v>43</v>
      </c>
      <c r="B21" s="89"/>
      <c r="C21" s="90">
        <v>3</v>
      </c>
      <c r="D21" s="91" t="s">
        <v>44</v>
      </c>
      <c r="E21" s="90"/>
      <c r="F21" s="90"/>
      <c r="G21" s="90"/>
      <c r="H21" s="92"/>
      <c r="I21" s="93" t="s">
        <v>45</v>
      </c>
      <c r="J21" s="93" t="s">
        <v>46</v>
      </c>
      <c r="K21" s="93"/>
      <c r="L21" s="93" t="s">
        <v>47</v>
      </c>
      <c r="M21" s="93">
        <v>85</v>
      </c>
      <c r="N21" s="93"/>
      <c r="O21" s="93" t="s">
        <v>48</v>
      </c>
      <c r="P21" s="93">
        <v>1</v>
      </c>
      <c r="Q21" s="93" t="s">
        <v>49</v>
      </c>
      <c r="R21" s="92"/>
      <c r="S21" s="92"/>
      <c r="T21" s="92"/>
      <c r="U21" s="92"/>
      <c r="V21" s="92">
        <v>1</v>
      </c>
      <c r="W21" s="92" t="s">
        <v>50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</row>
    <row r="22" ht="15.75" spans="1:69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53</v>
      </c>
      <c r="K22" s="96" t="s">
        <v>54</v>
      </c>
      <c r="L22" s="97" t="s">
        <v>55</v>
      </c>
      <c r="M22" s="97" t="s">
        <v>56</v>
      </c>
      <c r="N22" s="97" t="s">
        <v>57</v>
      </c>
      <c r="O22" s="97" t="s">
        <v>58</v>
      </c>
      <c r="P22" s="97" t="s">
        <v>59</v>
      </c>
      <c r="Q22" s="97" t="s">
        <v>60</v>
      </c>
      <c r="R22" s="96" t="s">
        <v>61</v>
      </c>
      <c r="S22" s="95" t="s">
        <v>62</v>
      </c>
      <c r="T22" s="95" t="s">
        <v>63</v>
      </c>
      <c r="U22" s="98" t="s">
        <v>64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87</v>
      </c>
      <c r="AS22" s="95" t="s">
        <v>88</v>
      </c>
      <c r="AT22" s="95" t="s">
        <v>86</v>
      </c>
      <c r="AU22" s="101" t="s">
        <v>131</v>
      </c>
      <c r="AV22" s="101" t="s">
        <v>132</v>
      </c>
      <c r="AW22" s="95" t="s">
        <v>91</v>
      </c>
      <c r="AX22" s="95" t="s">
        <v>92</v>
      </c>
      <c r="AY22" s="95" t="s">
        <v>93</v>
      </c>
      <c r="AZ22" s="95" t="s">
        <v>94</v>
      </c>
      <c r="BA22" s="95" t="s">
        <v>95</v>
      </c>
      <c r="BB22" s="95" t="s">
        <v>96</v>
      </c>
      <c r="BC22" s="95" t="s">
        <v>97</v>
      </c>
      <c r="BD22" s="95" t="s">
        <v>98</v>
      </c>
      <c r="BE22" s="95" t="s">
        <v>99</v>
      </c>
      <c r="BF22" s="95" t="s">
        <v>100</v>
      </c>
      <c r="BG22" s="95" t="s">
        <v>101</v>
      </c>
      <c r="BH22" s="95" t="s">
        <v>102</v>
      </c>
      <c r="BI22" s="95" t="s">
        <v>103</v>
      </c>
      <c r="BJ22" s="95" t="s">
        <v>104</v>
      </c>
      <c r="BK22" s="95" t="s">
        <v>105</v>
      </c>
      <c r="BL22" s="102" t="s">
        <v>106</v>
      </c>
      <c r="BM22" s="103" t="s">
        <v>107</v>
      </c>
      <c r="BN22" s="102" t="s">
        <v>108</v>
      </c>
      <c r="BO22" s="102" t="s">
        <v>94</v>
      </c>
      <c r="BP22" s="102" t="s">
        <v>109</v>
      </c>
      <c r="BQ22" s="102" t="s">
        <v>63</v>
      </c>
    </row>
    <row r="23" ht="15.75" spans="1:69">
      <c r="A23" s="89">
        <v>1</v>
      </c>
      <c r="B23" s="44" t="s">
        <v>143</v>
      </c>
      <c r="C23" s="44" t="s">
        <v>143</v>
      </c>
      <c r="D23" s="89" t="s">
        <v>12</v>
      </c>
      <c r="E23" s="89" t="s">
        <v>144</v>
      </c>
      <c r="F23" s="104">
        <v>3</v>
      </c>
      <c r="G23" s="104">
        <v>250</v>
      </c>
      <c r="H23" s="105">
        <f>F23*G23</f>
        <v>750</v>
      </c>
      <c r="I23" s="118">
        <v>1</v>
      </c>
      <c r="J23" s="105">
        <v>2</v>
      </c>
      <c r="K23" s="105">
        <v>4</v>
      </c>
      <c r="L23" s="105">
        <f>H23</f>
        <v>750</v>
      </c>
      <c r="M23" s="105">
        <f>ROUND(L23*I23%,2)</f>
        <v>7.5</v>
      </c>
      <c r="N23" s="105">
        <f>H23-M23</f>
        <v>742.5</v>
      </c>
      <c r="O23" s="105">
        <f>ROUND(N23*J23%,2)</f>
        <v>14.85</v>
      </c>
      <c r="P23" s="105">
        <f>ROUND(N23-O23,2)</f>
        <v>727.65</v>
      </c>
      <c r="Q23" s="105">
        <f>ROUND(P23*K23%,2)</f>
        <v>29.11</v>
      </c>
      <c r="R23" s="105">
        <f>M23+O23+Q23</f>
        <v>51.46</v>
      </c>
      <c r="S23" s="105">
        <f>(H23-R23)</f>
        <v>698.54</v>
      </c>
      <c r="T23" s="105" t="s">
        <v>111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05">
        <f>IF($V21=1,S23+AB23,S23)</f>
        <v>698.54</v>
      </c>
      <c r="AD23" s="105">
        <v>120</v>
      </c>
      <c r="AE23" s="105">
        <f>IF($P$21=1,(S23/$S$24)*$E$35,AD23/$AD$24*$E$35)</f>
        <v>0</v>
      </c>
      <c r="AF23" s="105"/>
      <c r="AG23" s="105">
        <f>IF($P$21=1,(S23/$S$24)*$E$37,AD23/$AD$24*$E$37)</f>
        <v>0</v>
      </c>
      <c r="AH23" s="105">
        <f>IF($P$21=1,(S23/$S$24)*$E$37,AD23/$AD$24*$E$37)</f>
        <v>0</v>
      </c>
      <c r="AI23" s="105">
        <f>S23*$M$21</f>
        <v>59375.9</v>
      </c>
      <c r="AJ23" s="105">
        <f>IF($C$21=3,0,AG23+AH23)</f>
        <v>0</v>
      </c>
      <c r="AK23" s="105">
        <f>IF($C$21=3,AE23+AG23+AH23,0)</f>
        <v>0</v>
      </c>
      <c r="AL23" s="105">
        <v>3</v>
      </c>
      <c r="AM23" s="105">
        <f>F23/AL23</f>
        <v>1</v>
      </c>
      <c r="AN23" s="105">
        <f>AI23/AM23</f>
        <v>59375.9</v>
      </c>
      <c r="AO23" s="105">
        <f>AJ23/AM23</f>
        <v>0</v>
      </c>
      <c r="AP23" s="105">
        <f>AK23/AM23</f>
        <v>0</v>
      </c>
      <c r="AQ23" s="105" t="s">
        <v>12</v>
      </c>
      <c r="AR23" s="105">
        <f>AN23+AO23+AP23</f>
        <v>59375.9</v>
      </c>
      <c r="AS23" s="105" t="s">
        <v>112</v>
      </c>
      <c r="AT23" s="105" t="s">
        <v>12</v>
      </c>
      <c r="AU23" t="s" s="0">
        <v>113</v>
      </c>
      <c r="AV23" t="s" s="0">
        <v>145</v>
      </c>
      <c r="AW23" s="105">
        <f>AM23</f>
        <v>1</v>
      </c>
      <c r="AX23" s="105">
        <f>AR23</f>
        <v>59375.9</v>
      </c>
      <c r="AY23" s="105">
        <f>AU23+AW23</f>
        <v>1</v>
      </c>
      <c r="AZ23" s="105">
        <f>ROUND(((AU23*AV23)+(AW23*AX23))/(AU23+AW23),5)</f>
        <v>59375.9</v>
      </c>
      <c r="BA23" s="107"/>
      <c r="BB23" s="107" t="s">
        <v>115</v>
      </c>
      <c r="BC23" s="107" t="s">
        <v>116</v>
      </c>
      <c r="BD23" s="108" t="s">
        <v>117</v>
      </c>
      <c r="BE23" s="108" t="s">
        <v>118</v>
      </c>
      <c r="BF23" s="107"/>
      <c r="BG23" s="107"/>
      <c r="BH23" s="107"/>
      <c r="BI23" s="105"/>
      <c r="BJ23" s="105"/>
      <c r="BK23" s="105"/>
      <c r="BL23" s="105" t="s">
        <v>119</v>
      </c>
      <c r="BM23" t="s" s="0">
        <v>146</v>
      </c>
      <c r="BN23" t="s" s="0">
        <v>147</v>
      </c>
      <c r="BO23" s="105">
        <f>ROUND((((AW23*AZ23)+(BN23*BM23))/(AW23+BN23)),5)</f>
        <v>60106.32358</v>
      </c>
      <c r="BP23" s="107">
        <f>BN23+AW23</f>
        <v>4</v>
      </c>
      <c r="BQ23" s="110">
        <v>88363222</v>
      </c>
    </row>
    <row r="24" spans="1:69">
      <c r="A24" s="93"/>
      <c r="B24" s="94"/>
      <c r="C24" s="94"/>
      <c r="D24" s="111" t="s">
        <v>41</v>
      </c>
      <c r="E24" s="111"/>
      <c r="F24" s="111"/>
      <c r="G24" s="111"/>
      <c r="H24" s="111">
        <f>SUM(H23:H23)</f>
        <v>750</v>
      </c>
      <c r="I24" s="93"/>
      <c r="J24" s="93"/>
      <c r="K24" s="93"/>
      <c r="L24" s="93"/>
      <c r="M24" s="93"/>
      <c r="N24" s="93"/>
      <c r="O24" s="93"/>
      <c r="P24" s="93"/>
      <c r="Q24" s="93"/>
      <c r="R24" s="111">
        <f t="shared" ref="R24:Y24" si="1">SUM(R23:R23)</f>
        <v>51.46</v>
      </c>
      <c r="S24" s="112">
        <f t="shared" si="1"/>
        <v>698.54</v>
      </c>
      <c r="T24" s="111"/>
      <c r="U24" s="111"/>
      <c r="V24" s="113">
        <f t="shared" si="1"/>
        <v>0</v>
      </c>
      <c r="W24" s="113">
        <f t="shared" si="1"/>
        <v>0</v>
      </c>
      <c r="X24" s="113">
        <f t="shared" si="1"/>
        <v>0</v>
      </c>
      <c r="Y24" s="113">
        <f t="shared" si="1"/>
        <v>0</v>
      </c>
      <c r="Z24" s="113"/>
      <c r="AA24" s="113">
        <f t="shared" ref="AA24:AE24" si="2">SUM(AA23:AA23)</f>
        <v>0</v>
      </c>
      <c r="AB24" s="111">
        <f t="shared" si="2"/>
        <v>0</v>
      </c>
      <c r="AC24" s="114">
        <f t="shared" si="2"/>
        <v>698.54</v>
      </c>
      <c r="AD24" s="115">
        <f t="shared" si="2"/>
        <v>120</v>
      </c>
      <c r="AE24" s="115">
        <f t="shared" si="2"/>
        <v>0</v>
      </c>
      <c r="AF24" s="114"/>
      <c r="AG24" s="115">
        <f t="shared" ref="AG24:AK24" si="3">SUM(AG23:AG23)</f>
        <v>0</v>
      </c>
      <c r="AH24" s="115">
        <f t="shared" si="3"/>
        <v>0</v>
      </c>
      <c r="AI24" s="115">
        <f t="shared" si="3"/>
        <v>59375.9</v>
      </c>
      <c r="AJ24" s="115">
        <f t="shared" si="3"/>
        <v>0</v>
      </c>
      <c r="AK24" s="115">
        <f t="shared" si="3"/>
        <v>0</v>
      </c>
      <c r="AL24" s="114"/>
      <c r="AM24" s="114"/>
      <c r="AN24" s="114"/>
      <c r="AO24" s="114"/>
      <c r="AP24" s="114"/>
      <c r="AQ24" s="114"/>
      <c r="AR24" s="114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P9" workbookViewId="0">
      <selection activeCell="U26" sqref="U26"/>
    </sheetView>
  </sheetViews>
  <sheetFormatPr defaultColWidth="8.71428571428571" defaultRowHeight="15"/>
  <cols>
    <col min="1" max="1" customWidth="true" width="7.57142857142857"/>
    <col min="2" max="3" customWidth="true" width="28.0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10" customWidth="true" width="5.85714285714286"/>
    <col min="11" max="11" customWidth="true" width="6.0"/>
    <col min="12" max="12" customWidth="true" width="14.2857142857143"/>
    <col min="13" max="13" customWidth="true" width="9.42857142857143"/>
    <col min="14" max="14" customWidth="true" width="14.2857142857143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0.0"/>
    <col min="20" max="20" customWidth="true" width="6.42857142857143"/>
    <col min="21" max="21" customWidth="true" width="9.85714285714286"/>
    <col min="22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5.7142857142857"/>
    <col min="45" max="45" customWidth="true" width="9.28571428571429"/>
    <col min="46" max="46" customWidth="true" width="13.0"/>
    <col min="47" max="47" customWidth="true" width="12.4285714285714"/>
    <col min="48" max="48" customWidth="true" width="18.8571428571429"/>
    <col min="49" max="49" customWidth="true" width="14.5714285714286"/>
    <col min="50" max="50" customWidth="true" width="19.4285714285714"/>
    <col min="51" max="51" customWidth="true" width="16.2857142857143"/>
    <col min="52" max="52" customWidth="true" width="22.7142857142857"/>
    <col min="53" max="53" customWidth="true" width="21.7142857142857"/>
    <col min="54" max="54" customWidth="true" width="23.2857142857143"/>
    <col min="55" max="55" customWidth="true" width="18.2857142857143"/>
    <col min="56" max="56" customWidth="true" width="16.0"/>
    <col min="57" max="58" customWidth="true" width="19.1428571428571"/>
    <col min="59" max="59" customWidth="true" width="15.5714285714286"/>
    <col min="60" max="61" customWidth="true" width="14.7142857142857"/>
    <col min="62" max="62" customWidth="true" width="25.4285714285714"/>
    <col min="63" max="63" customWidth="true" width="35.4285714285714"/>
    <col min="64" max="64" customWidth="true" width="8.5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5.28571428571429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</row>
    <row r="17" spans="1:69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ht="15.75" spans="1:69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ht="15.75" spans="1:69">
      <c r="A19" s="64"/>
      <c r="B19" s="84" t="s">
        <v>41</v>
      </c>
      <c r="C19" s="84"/>
      <c r="D19" s="84"/>
      <c r="E19" s="84"/>
      <c r="F19" s="84"/>
      <c r="G19" s="84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69">
      <c r="A20" s="87" t="s">
        <v>42</v>
      </c>
      <c r="B20" s="88"/>
      <c r="C20" s="88"/>
      <c r="D20" s="88"/>
      <c r="E20" s="88"/>
      <c r="F20" s="88"/>
      <c r="G20" s="88"/>
      <c r="H20" s="87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</row>
    <row r="21" spans="1:69">
      <c r="A21" s="89" t="s">
        <v>43</v>
      </c>
      <c r="B21" s="89"/>
      <c r="C21" s="90">
        <v>3</v>
      </c>
      <c r="D21" s="91" t="s">
        <v>44</v>
      </c>
      <c r="E21" s="90"/>
      <c r="F21" s="90"/>
      <c r="G21" s="90"/>
      <c r="H21" s="92"/>
      <c r="I21" s="93" t="s">
        <v>45</v>
      </c>
      <c r="J21" s="93" t="s">
        <v>46</v>
      </c>
      <c r="K21" s="93"/>
      <c r="L21" s="93" t="s">
        <v>47</v>
      </c>
      <c r="M21" s="93">
        <v>85</v>
      </c>
      <c r="N21" s="93"/>
      <c r="O21" s="93" t="s">
        <v>48</v>
      </c>
      <c r="P21" s="93">
        <v>1</v>
      </c>
      <c r="Q21" s="93" t="s">
        <v>49</v>
      </c>
      <c r="R21" s="92"/>
      <c r="S21" s="92"/>
      <c r="T21" s="92"/>
      <c r="U21" s="92"/>
      <c r="V21" s="92">
        <v>1</v>
      </c>
      <c r="W21" s="92" t="s">
        <v>50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</row>
    <row r="22" ht="15.75" spans="1:69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53</v>
      </c>
      <c r="K22" s="96" t="s">
        <v>54</v>
      </c>
      <c r="L22" s="97" t="s">
        <v>55</v>
      </c>
      <c r="M22" s="97" t="s">
        <v>56</v>
      </c>
      <c r="N22" s="97" t="s">
        <v>57</v>
      </c>
      <c r="O22" s="97" t="s">
        <v>58</v>
      </c>
      <c r="P22" s="97" t="s">
        <v>59</v>
      </c>
      <c r="Q22" s="97" t="s">
        <v>60</v>
      </c>
      <c r="R22" s="96" t="s">
        <v>61</v>
      </c>
      <c r="S22" s="95" t="s">
        <v>62</v>
      </c>
      <c r="T22" s="95" t="s">
        <v>63</v>
      </c>
      <c r="U22" s="98" t="s">
        <v>64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87</v>
      </c>
      <c r="AS22" s="95" t="s">
        <v>88</v>
      </c>
      <c r="AT22" s="95" t="s">
        <v>86</v>
      </c>
      <c r="AU22" s="101" t="s">
        <v>131</v>
      </c>
      <c r="AV22" s="101" t="s">
        <v>132</v>
      </c>
      <c r="AW22" s="101" t="s">
        <v>91</v>
      </c>
      <c r="AX22" s="101" t="s">
        <v>92</v>
      </c>
      <c r="AY22" s="101" t="s">
        <v>93</v>
      </c>
      <c r="AZ22" s="101" t="s">
        <v>94</v>
      </c>
      <c r="BA22" s="101" t="s">
        <v>95</v>
      </c>
      <c r="BB22" s="101" t="s">
        <v>96</v>
      </c>
      <c r="BC22" s="101" t="s">
        <v>97</v>
      </c>
      <c r="BD22" s="101" t="s">
        <v>98</v>
      </c>
      <c r="BE22" s="101" t="s">
        <v>99</v>
      </c>
      <c r="BF22" s="101" t="s">
        <v>100</v>
      </c>
      <c r="BG22" s="101" t="s">
        <v>101</v>
      </c>
      <c r="BH22" s="101" t="s">
        <v>102</v>
      </c>
      <c r="BI22" s="101" t="s">
        <v>103</v>
      </c>
      <c r="BJ22" s="101" t="s">
        <v>104</v>
      </c>
      <c r="BK22" s="101" t="s">
        <v>105</v>
      </c>
      <c r="BL22" s="102" t="s">
        <v>106</v>
      </c>
      <c r="BM22" s="103" t="s">
        <v>107</v>
      </c>
      <c r="BN22" s="102" t="s">
        <v>108</v>
      </c>
      <c r="BO22" s="102" t="s">
        <v>94</v>
      </c>
      <c r="BP22" s="102" t="s">
        <v>109</v>
      </c>
      <c r="BQ22" s="102" t="s">
        <v>63</v>
      </c>
    </row>
    <row r="23" ht="15.75" spans="1:69">
      <c r="A23" s="89">
        <v>1</v>
      </c>
      <c r="B23" s="44" t="s">
        <v>148</v>
      </c>
      <c r="C23" s="44" t="s">
        <v>148</v>
      </c>
      <c r="D23" s="89" t="s">
        <v>12</v>
      </c>
      <c r="E23" s="89" t="s">
        <v>12</v>
      </c>
      <c r="F23" s="104">
        <v>3</v>
      </c>
      <c r="G23" s="104">
        <v>250</v>
      </c>
      <c r="H23" s="105">
        <f>F23*G23</f>
        <v>750</v>
      </c>
      <c r="I23" s="118">
        <v>1</v>
      </c>
      <c r="J23" s="105">
        <v>2</v>
      </c>
      <c r="K23" s="105">
        <v>4</v>
      </c>
      <c r="L23" s="105">
        <f>H23</f>
        <v>750</v>
      </c>
      <c r="M23" s="105">
        <f>ROUND(L23*I23%,2)</f>
        <v>7.5</v>
      </c>
      <c r="N23" s="105">
        <f>H23-M23</f>
        <v>742.5</v>
      </c>
      <c r="O23" s="105">
        <f>ROUND(N23*J23%,2)</f>
        <v>14.85</v>
      </c>
      <c r="P23" s="105">
        <f>ROUND(N23-O23,2)</f>
        <v>727.65</v>
      </c>
      <c r="Q23" s="105">
        <f>ROUND(P23*K23%,2)</f>
        <v>29.11</v>
      </c>
      <c r="R23" s="105">
        <f>M23+O23+Q23</f>
        <v>51.46</v>
      </c>
      <c r="S23" s="105">
        <f>(H23-R23)</f>
        <v>698.54</v>
      </c>
      <c r="T23" s="105" t="s">
        <v>111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05">
        <f>IF($V21=1,S23+AB23,S23)</f>
        <v>698.54</v>
      </c>
      <c r="AD23" s="105">
        <v>120</v>
      </c>
      <c r="AE23" s="105">
        <f>IF($P$21=1,(S23/$S$24)*$E$35,AD23/$AD$24*$E$35)</f>
        <v>0</v>
      </c>
      <c r="AF23" s="105"/>
      <c r="AG23" s="105">
        <f>IF($P$21=1,(S23/$S$24)*$E$37,AD23/$AD$24*$E$37)</f>
        <v>0</v>
      </c>
      <c r="AH23" s="105">
        <f>IF($P$21=1,(S23/$S$24)*$E$37,AD23/$AD$24*$E$37)</f>
        <v>0</v>
      </c>
      <c r="AI23" s="105">
        <f>S23*$M$21</f>
        <v>59375.9</v>
      </c>
      <c r="AJ23" s="105">
        <f>IF($C$21=3,0,AG23+AH23)</f>
        <v>0</v>
      </c>
      <c r="AK23" s="105">
        <f>IF($C$21=3,AE23+AG23+AH23,0)</f>
        <v>0</v>
      </c>
      <c r="AL23" s="105">
        <v>3</v>
      </c>
      <c r="AM23" s="105">
        <f>F23/AL23</f>
        <v>1</v>
      </c>
      <c r="AN23" s="105">
        <f>AI23/AM23</f>
        <v>59375.9</v>
      </c>
      <c r="AO23" s="105">
        <f>AJ23/AM23</f>
        <v>0</v>
      </c>
      <c r="AP23" s="105">
        <f>AK23/AM23</f>
        <v>0</v>
      </c>
      <c r="AQ23" s="105" t="s">
        <v>12</v>
      </c>
      <c r="AR23" s="105">
        <f>AN23+AO23+AP23</f>
        <v>59375.9</v>
      </c>
      <c r="AS23" s="105" t="s">
        <v>112</v>
      </c>
      <c r="AT23" s="105" t="s">
        <v>12</v>
      </c>
      <c r="AU23" t="s" s="0">
        <v>113</v>
      </c>
      <c r="AV23" t="s" s="0">
        <v>145</v>
      </c>
      <c r="AW23" s="105">
        <f>AM23</f>
        <v>1</v>
      </c>
      <c r="AX23" s="105">
        <f>AR23</f>
        <v>59375.9</v>
      </c>
      <c r="AY23" s="105">
        <f>AU23+AW23</f>
        <v>1</v>
      </c>
      <c r="AZ23" s="105">
        <f>ROUND(((AU23*AV23)+(AW23*AX23))/(AU23+AW23),5)</f>
        <v>59375.9</v>
      </c>
      <c r="BA23" s="107"/>
      <c r="BB23" s="107" t="s">
        <v>115</v>
      </c>
      <c r="BC23" s="107" t="s">
        <v>116</v>
      </c>
      <c r="BD23" s="108" t="s">
        <v>117</v>
      </c>
      <c r="BE23" s="108" t="s">
        <v>118</v>
      </c>
      <c r="BF23" s="107"/>
      <c r="BG23" s="107"/>
      <c r="BH23" s="107"/>
      <c r="BI23" s="105"/>
      <c r="BJ23" s="105"/>
      <c r="BK23" s="105"/>
      <c r="BL23" s="105" t="s">
        <v>119</v>
      </c>
      <c r="BM23" t="s" s="0">
        <v>149</v>
      </c>
      <c r="BN23" t="s" s="0">
        <v>150</v>
      </c>
      <c r="BO23" s="105">
        <f>ROUND((((AW23*AZ23)+(BN23*BM23))/(AW23+BN23)),5)</f>
        <v>60307.28666</v>
      </c>
      <c r="BP23" s="107">
        <f>BN23+AW23</f>
        <v>4</v>
      </c>
      <c r="BQ23" s="110">
        <v>88363222</v>
      </c>
    </row>
    <row r="24" spans="1:69">
      <c r="A24" s="93"/>
      <c r="B24" s="94"/>
      <c r="C24" s="94"/>
      <c r="D24" s="111" t="s">
        <v>41</v>
      </c>
      <c r="E24" s="111"/>
      <c r="F24" s="111"/>
      <c r="G24" s="111"/>
      <c r="H24" s="111">
        <f>SUM(H23:H23)</f>
        <v>750</v>
      </c>
      <c r="I24" s="93"/>
      <c r="J24" s="93"/>
      <c r="K24" s="93"/>
      <c r="L24" s="93"/>
      <c r="M24" s="93"/>
      <c r="N24" s="93"/>
      <c r="O24" s="93"/>
      <c r="P24" s="93"/>
      <c r="Q24" s="93"/>
      <c r="R24" s="111">
        <f t="shared" ref="R24:Y24" si="1">SUM(R23:R23)</f>
        <v>51.46</v>
      </c>
      <c r="S24" s="112">
        <f t="shared" si="1"/>
        <v>698.54</v>
      </c>
      <c r="T24" s="111"/>
      <c r="U24" s="111"/>
      <c r="V24" s="113">
        <f t="shared" si="1"/>
        <v>0</v>
      </c>
      <c r="W24" s="113">
        <f t="shared" si="1"/>
        <v>0</v>
      </c>
      <c r="X24" s="113">
        <f t="shared" si="1"/>
        <v>0</v>
      </c>
      <c r="Y24" s="113">
        <f t="shared" si="1"/>
        <v>0</v>
      </c>
      <c r="Z24" s="113"/>
      <c r="AA24" s="113">
        <f t="shared" ref="AA24:AE24" si="2">SUM(AA23:AA23)</f>
        <v>0</v>
      </c>
      <c r="AB24" s="111">
        <f t="shared" si="2"/>
        <v>0</v>
      </c>
      <c r="AC24" s="114">
        <f t="shared" si="2"/>
        <v>698.54</v>
      </c>
      <c r="AD24" s="115">
        <f t="shared" si="2"/>
        <v>120</v>
      </c>
      <c r="AE24" s="115">
        <f t="shared" si="2"/>
        <v>0</v>
      </c>
      <c r="AF24" s="114"/>
      <c r="AG24" s="115">
        <f t="shared" ref="AG24:AK24" si="3">SUM(AG23:AG23)</f>
        <v>0</v>
      </c>
      <c r="AH24" s="115">
        <f t="shared" si="3"/>
        <v>0</v>
      </c>
      <c r="AI24" s="115">
        <f t="shared" si="3"/>
        <v>59375.9</v>
      </c>
      <c r="AJ24" s="115">
        <f t="shared" si="3"/>
        <v>0</v>
      </c>
      <c r="AK24" s="115">
        <f t="shared" si="3"/>
        <v>0</v>
      </c>
      <c r="AL24" s="114"/>
      <c r="AM24" s="114"/>
      <c r="AN24" s="114"/>
      <c r="AO24" s="114"/>
      <c r="AP24" s="114"/>
      <c r="AQ24" s="114"/>
      <c r="AR24" s="114"/>
      <c r="AS24" s="93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4"/>
  <sheetViews>
    <sheetView topLeftCell="G12" workbookViewId="0">
      <selection activeCell="Q26" sqref="Q26"/>
    </sheetView>
  </sheetViews>
  <sheetFormatPr defaultColWidth="8.71428571428571" defaultRowHeight="15"/>
  <cols>
    <col min="1" max="1" customWidth="true" width="7.57142857142857"/>
    <col min="2" max="3" customWidth="true" width="27.5714285714286"/>
    <col min="4" max="4" customWidth="true" width="79.4285714285714"/>
    <col min="5" max="5" customWidth="true" width="11.5714285714286"/>
    <col min="6" max="6" customWidth="true" width="24.1428571428571"/>
    <col min="7" max="7" customWidth="true" width="11.0"/>
    <col min="8" max="8" customWidth="true" width="12.7142857142857"/>
    <col min="9" max="10" customWidth="true" width="5.85714285714286"/>
    <col min="11" max="11" customWidth="true" width="6.0"/>
    <col min="12" max="12" customWidth="true" width="14.2857142857143"/>
    <col min="13" max="13" customWidth="true" width="9.42857142857143"/>
    <col min="14" max="14" customWidth="true" width="14.2857142857143"/>
    <col min="15" max="15" customWidth="true" width="15.5714285714286"/>
    <col min="16" max="16" customWidth="true" width="14.4285714285714"/>
    <col min="17" max="17" customWidth="true" width="39.4285714285714"/>
    <col min="18" max="18" customWidth="true" width="11.7142857142857"/>
    <col min="19" max="19" customWidth="true" width="10.0"/>
    <col min="20" max="20" customWidth="true" width="6.42857142857143"/>
    <col min="21" max="21" customWidth="true" width="9.85714285714286"/>
    <col min="22" max="22" customWidth="true" width="6.57142857142857"/>
    <col min="23" max="23" customWidth="true" width="37.1428571428571"/>
    <col min="24" max="24" customWidth="true" width="6.14285714285714"/>
    <col min="25" max="25" customWidth="true" width="8.0"/>
    <col min="26" max="26" customWidth="true" width="7.71428571428571"/>
    <col min="27" max="27" customWidth="true" width="6.28571428571429"/>
    <col min="28" max="28" customWidth="true" width="9.28571428571429"/>
    <col min="29" max="29" customWidth="true" width="9.71428571428571"/>
    <col min="30" max="30" customWidth="true" width="12.8571428571429"/>
    <col min="31" max="31" customWidth="true" width="16.1428571428571"/>
    <col min="32" max="32" customWidth="true" width="15.4285714285714"/>
    <col min="33" max="33" customWidth="true" width="24.5714285714286"/>
    <col min="34" max="34" customWidth="true" width="8.57142857142857"/>
    <col min="35" max="35" customWidth="true" width="14.7142857142857"/>
    <col min="36" max="36" customWidth="true" width="18.5714285714286"/>
    <col min="37" max="37" customWidth="true" width="14.1428571428571"/>
    <col min="38" max="38" customWidth="true" width="14.7142857142857"/>
    <col min="39" max="39" customWidth="true" width="17.4285714285714"/>
    <col min="40" max="40" customWidth="true" width="22.0"/>
    <col min="41" max="41" customWidth="true" width="17.5714285714286"/>
    <col min="42" max="42" customWidth="true" width="25.2857142857143"/>
    <col min="43" max="43" customWidth="true" width="13.0"/>
    <col min="44" max="44" customWidth="true" width="25.7142857142857"/>
    <col min="45" max="45" customWidth="true" width="9.28571428571429"/>
    <col min="46" max="46" customWidth="true" width="13.0"/>
    <col min="47" max="47" customWidth="true" width="12.4285714285714"/>
    <col min="48" max="48" customWidth="true" width="18.8571428571429"/>
    <col min="49" max="49" customWidth="true" width="14.5714285714286"/>
    <col min="50" max="50" customWidth="true" width="19.4285714285714"/>
    <col min="51" max="51" customWidth="true" width="16.2857142857143"/>
    <col min="52" max="52" customWidth="true" width="22.7142857142857"/>
    <col min="53" max="53" customWidth="true" width="21.7142857142857"/>
    <col min="54" max="54" customWidth="true" width="23.2857142857143"/>
    <col min="55" max="55" customWidth="true" width="18.2857142857143"/>
    <col min="56" max="56" customWidth="true" width="16.0"/>
    <col min="57" max="58" customWidth="true" width="19.1428571428571"/>
    <col min="59" max="59" customWidth="true" width="15.5714285714286"/>
    <col min="60" max="61" customWidth="true" width="14.7142857142857"/>
    <col min="62" max="62" customWidth="true" width="25.4285714285714"/>
    <col min="63" max="63" customWidth="true" width="35.4285714285714"/>
    <col min="64" max="64" customWidth="true" width="8.57142857142857"/>
    <col min="65" max="65" customWidth="true" width="42.5714285714286"/>
    <col min="66" max="66" customWidth="true" width="38.1428571428571"/>
    <col min="67" max="67" customWidth="true" width="19.4285714285714"/>
    <col min="68" max="68" customWidth="true" width="35.4285714285714"/>
    <col min="69" max="69" customWidth="true" width="5.28571428571429"/>
  </cols>
  <sheetData>
    <row r="1" ht="18.75" spans="1:69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4"/>
      <c r="AS1" s="64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</row>
    <row r="2" ht="19.5" spans="1:69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4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</row>
    <row r="3" ht="15.75" spans="1:69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9" t="s">
        <v>9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64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</row>
    <row r="4" spans="1:69">
      <c r="A4" s="71">
        <v>1</v>
      </c>
      <c r="B4" s="72" t="s">
        <v>10</v>
      </c>
      <c r="C4" s="72" t="s">
        <v>11</v>
      </c>
      <c r="D4" s="72" t="s">
        <v>12</v>
      </c>
      <c r="E4" s="72" t="s">
        <v>12</v>
      </c>
      <c r="F4" s="73">
        <v>25</v>
      </c>
      <c r="G4" s="74">
        <v>257.63</v>
      </c>
      <c r="H4" s="75">
        <f t="shared" ref="H4:H18" si="0">F4*G4</f>
        <v>6440.75</v>
      </c>
      <c r="I4" s="76"/>
      <c r="J4" s="76"/>
      <c r="K4" s="76"/>
      <c r="L4" s="77"/>
      <c r="M4" s="77"/>
      <c r="N4" s="77"/>
      <c r="O4" s="77"/>
      <c r="P4" s="77"/>
      <c r="Q4" s="77"/>
      <c r="R4" s="77"/>
      <c r="S4" s="77"/>
      <c r="T4" s="77"/>
      <c r="U4" s="76"/>
      <c r="V4" s="76"/>
      <c r="W4" s="76"/>
      <c r="X4" s="76"/>
      <c r="Y4" s="76"/>
      <c r="Z4" s="76"/>
      <c r="AA4" s="76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64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</row>
    <row r="5" spans="1:69">
      <c r="A5" s="71">
        <v>2</v>
      </c>
      <c r="B5" s="72" t="s">
        <v>13</v>
      </c>
      <c r="C5" s="72" t="s">
        <v>14</v>
      </c>
      <c r="D5" s="72" t="s">
        <v>12</v>
      </c>
      <c r="E5" s="72" t="s">
        <v>12</v>
      </c>
      <c r="F5" s="73">
        <v>35</v>
      </c>
      <c r="G5" s="74">
        <v>125.45</v>
      </c>
      <c r="H5" s="75">
        <f t="shared" si="0"/>
        <v>4390.75</v>
      </c>
      <c r="I5" s="76"/>
      <c r="J5" s="76"/>
      <c r="K5" s="76"/>
      <c r="L5" s="77"/>
      <c r="M5" s="77"/>
      <c r="N5" s="77"/>
      <c r="O5" s="77"/>
      <c r="P5" s="77"/>
      <c r="Q5" s="77"/>
      <c r="R5" s="77"/>
      <c r="S5" s="77"/>
      <c r="T5" s="77"/>
      <c r="U5" s="76"/>
      <c r="V5" s="76"/>
      <c r="W5" s="76"/>
      <c r="X5" s="76"/>
      <c r="Y5" s="76"/>
      <c r="Z5" s="76"/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64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</row>
    <row r="6" spans="1:69">
      <c r="A6" s="71">
        <v>3</v>
      </c>
      <c r="B6" s="72" t="s">
        <v>15</v>
      </c>
      <c r="C6" s="72" t="s">
        <v>16</v>
      </c>
      <c r="D6" s="72" t="s">
        <v>12</v>
      </c>
      <c r="E6" s="72" t="s">
        <v>12</v>
      </c>
      <c r="F6" s="73">
        <v>45</v>
      </c>
      <c r="G6" s="74">
        <v>125.36</v>
      </c>
      <c r="H6" s="75">
        <f t="shared" si="0"/>
        <v>5641.2</v>
      </c>
      <c r="I6" s="76"/>
      <c r="J6" s="76"/>
      <c r="K6" s="76"/>
      <c r="L6" s="77"/>
      <c r="M6" s="77"/>
      <c r="N6" s="77"/>
      <c r="O6" s="77"/>
      <c r="P6" s="77"/>
      <c r="Q6" s="77"/>
      <c r="R6" s="77"/>
      <c r="S6" s="77"/>
      <c r="T6" s="77"/>
      <c r="U6" s="76"/>
      <c r="V6" s="76"/>
      <c r="W6" s="76"/>
      <c r="X6" s="76"/>
      <c r="Y6" s="76"/>
      <c r="Z6" s="76"/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</row>
    <row r="7" spans="1:69">
      <c r="A7" s="71">
        <v>4</v>
      </c>
      <c r="B7" s="72" t="s">
        <v>17</v>
      </c>
      <c r="C7" s="72" t="s">
        <v>18</v>
      </c>
      <c r="D7" s="72" t="s">
        <v>12</v>
      </c>
      <c r="E7" s="72" t="s">
        <v>12</v>
      </c>
      <c r="F7" s="73">
        <v>55</v>
      </c>
      <c r="G7" s="74">
        <v>45.25</v>
      </c>
      <c r="H7" s="75">
        <f t="shared" si="0"/>
        <v>2488.75</v>
      </c>
      <c r="I7" s="76"/>
      <c r="J7" s="76"/>
      <c r="K7" s="76"/>
      <c r="L7" s="77"/>
      <c r="M7" s="77"/>
      <c r="N7" s="77"/>
      <c r="O7" s="77"/>
      <c r="P7" s="77"/>
      <c r="Q7" s="77"/>
      <c r="R7" s="77"/>
      <c r="S7" s="77"/>
      <c r="T7" s="77"/>
      <c r="U7" s="76"/>
      <c r="V7" s="76"/>
      <c r="W7" s="76"/>
      <c r="X7" s="76"/>
      <c r="Y7" s="76"/>
      <c r="Z7" s="76"/>
      <c r="AA7" s="76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</row>
    <row r="8" spans="1:69">
      <c r="A8" s="71">
        <v>5</v>
      </c>
      <c r="B8" s="72" t="s">
        <v>19</v>
      </c>
      <c r="C8" s="72" t="s">
        <v>20</v>
      </c>
      <c r="D8" s="72" t="s">
        <v>12</v>
      </c>
      <c r="E8" s="72" t="s">
        <v>12</v>
      </c>
      <c r="F8" s="73">
        <v>60</v>
      </c>
      <c r="G8" s="74">
        <v>45.5</v>
      </c>
      <c r="H8" s="75">
        <f t="shared" si="0"/>
        <v>2730</v>
      </c>
      <c r="I8" s="76"/>
      <c r="J8" s="76"/>
      <c r="K8" s="76"/>
      <c r="L8" s="77"/>
      <c r="M8" s="77"/>
      <c r="N8" s="77"/>
      <c r="O8" s="77"/>
      <c r="P8" s="77"/>
      <c r="Q8" s="77"/>
      <c r="R8" s="77"/>
      <c r="S8" s="77"/>
      <c r="T8" s="77"/>
      <c r="U8" s="76"/>
      <c r="V8" s="76"/>
      <c r="W8" s="76"/>
      <c r="X8" s="76"/>
      <c r="Y8" s="76"/>
      <c r="Z8" s="76"/>
      <c r="AA8" s="76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64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</row>
    <row r="9" spans="1:69">
      <c r="A9" s="71">
        <v>6</v>
      </c>
      <c r="B9" s="72" t="s">
        <v>21</v>
      </c>
      <c r="C9" s="72" t="s">
        <v>22</v>
      </c>
      <c r="D9" s="72" t="s">
        <v>12</v>
      </c>
      <c r="E9" s="72" t="s">
        <v>12</v>
      </c>
      <c r="F9" s="73">
        <v>75</v>
      </c>
      <c r="G9" s="74">
        <v>125.25</v>
      </c>
      <c r="H9" s="75">
        <f t="shared" si="0"/>
        <v>9393.75</v>
      </c>
      <c r="I9" s="76"/>
      <c r="J9" s="76"/>
      <c r="K9" s="76"/>
      <c r="L9" s="77"/>
      <c r="M9" s="77"/>
      <c r="N9" s="77"/>
      <c r="O9" s="77"/>
      <c r="P9" s="77"/>
      <c r="Q9" s="77"/>
      <c r="R9" s="77"/>
      <c r="S9" s="77"/>
      <c r="T9" s="77"/>
      <c r="U9" s="76"/>
      <c r="V9" s="76"/>
      <c r="W9" s="76"/>
      <c r="X9" s="76"/>
      <c r="Y9" s="76"/>
      <c r="Z9" s="76"/>
      <c r="AA9" s="76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</row>
    <row r="10" spans="1:69">
      <c r="A10" s="71">
        <v>7</v>
      </c>
      <c r="B10" s="72" t="s">
        <v>23</v>
      </c>
      <c r="C10" s="72" t="s">
        <v>24</v>
      </c>
      <c r="D10" s="72" t="s">
        <v>12</v>
      </c>
      <c r="E10" s="72" t="s">
        <v>12</v>
      </c>
      <c r="F10" s="73">
        <v>28</v>
      </c>
      <c r="G10" s="74">
        <v>150.5</v>
      </c>
      <c r="H10" s="75">
        <f t="shared" si="0"/>
        <v>4214</v>
      </c>
      <c r="I10" s="76"/>
      <c r="J10" s="76"/>
      <c r="K10" s="76"/>
      <c r="L10" s="77"/>
      <c r="M10" s="77"/>
      <c r="N10" s="77"/>
      <c r="O10" s="77"/>
      <c r="P10" s="77"/>
      <c r="Q10" s="77"/>
      <c r="R10" s="77"/>
      <c r="S10" s="77"/>
      <c r="T10" s="77"/>
      <c r="U10" s="76"/>
      <c r="V10" s="76"/>
      <c r="W10" s="76"/>
      <c r="X10" s="76"/>
      <c r="Y10" s="76"/>
      <c r="Z10" s="76"/>
      <c r="AA10" s="76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69">
      <c r="A11" s="71">
        <v>8</v>
      </c>
      <c r="B11" s="72" t="s">
        <v>25</v>
      </c>
      <c r="C11" s="72" t="s">
        <v>26</v>
      </c>
      <c r="D11" s="72" t="s">
        <v>12</v>
      </c>
      <c r="E11" s="72" t="s">
        <v>12</v>
      </c>
      <c r="F11" s="73">
        <v>30</v>
      </c>
      <c r="G11" s="74">
        <v>65.32</v>
      </c>
      <c r="H11" s="75">
        <f t="shared" si="0"/>
        <v>1959.6</v>
      </c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6"/>
      <c r="V11" s="76"/>
      <c r="W11" s="76"/>
      <c r="X11" s="76"/>
      <c r="Y11" s="76"/>
      <c r="Z11" s="76"/>
      <c r="AA11" s="76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69">
      <c r="A12" s="71">
        <v>9</v>
      </c>
      <c r="B12" s="72" t="s">
        <v>27</v>
      </c>
      <c r="C12" s="72" t="s">
        <v>28</v>
      </c>
      <c r="D12" s="72" t="s">
        <v>12</v>
      </c>
      <c r="E12" s="72" t="s">
        <v>12</v>
      </c>
      <c r="F12" s="73">
        <v>25</v>
      </c>
      <c r="G12" s="74">
        <v>74.89</v>
      </c>
      <c r="H12" s="75">
        <f t="shared" si="0"/>
        <v>1872.25</v>
      </c>
      <c r="I12" s="76"/>
      <c r="J12" s="76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6"/>
      <c r="V12" s="76"/>
      <c r="W12" s="76"/>
      <c r="X12" s="76"/>
      <c r="Y12" s="76"/>
      <c r="Z12" s="76"/>
      <c r="AA12" s="76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69">
      <c r="A13" s="71">
        <v>10</v>
      </c>
      <c r="B13" s="72" t="s">
        <v>29</v>
      </c>
      <c r="C13" s="72" t="s">
        <v>30</v>
      </c>
      <c r="D13" s="72" t="s">
        <v>12</v>
      </c>
      <c r="E13" s="72" t="s">
        <v>12</v>
      </c>
      <c r="F13" s="73">
        <v>28</v>
      </c>
      <c r="G13" s="74">
        <v>89.56</v>
      </c>
      <c r="H13" s="75">
        <f t="shared" si="0"/>
        <v>2507.68</v>
      </c>
      <c r="I13" s="76"/>
      <c r="J13" s="76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6"/>
      <c r="V13" s="76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</row>
    <row r="14" spans="1:69">
      <c r="A14" s="71">
        <v>11</v>
      </c>
      <c r="B14" s="72" t="s">
        <v>31</v>
      </c>
      <c r="C14" s="72" t="s">
        <v>32</v>
      </c>
      <c r="D14" s="72" t="s">
        <v>12</v>
      </c>
      <c r="E14" s="72" t="s">
        <v>12</v>
      </c>
      <c r="F14" s="73">
        <v>37</v>
      </c>
      <c r="G14" s="74">
        <v>89.54</v>
      </c>
      <c r="H14" s="75">
        <f t="shared" si="0"/>
        <v>3312.98</v>
      </c>
      <c r="I14" s="76"/>
      <c r="J14" s="76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6"/>
      <c r="V14" s="76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64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</row>
    <row r="15" spans="1:69">
      <c r="A15" s="71">
        <v>12</v>
      </c>
      <c r="B15" s="72" t="s">
        <v>33</v>
      </c>
      <c r="C15" s="72" t="s">
        <v>34</v>
      </c>
      <c r="D15" s="72" t="s">
        <v>12</v>
      </c>
      <c r="E15" s="72" t="s">
        <v>12</v>
      </c>
      <c r="F15" s="73">
        <v>39</v>
      </c>
      <c r="G15" s="74">
        <v>98.25</v>
      </c>
      <c r="H15" s="75">
        <f t="shared" si="0"/>
        <v>3831.75</v>
      </c>
      <c r="I15" s="76"/>
      <c r="J15" s="76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6"/>
      <c r="V15" s="76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64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</row>
    <row r="16" spans="1:69">
      <c r="A16" s="71">
        <v>13</v>
      </c>
      <c r="B16" s="72" t="s">
        <v>35</v>
      </c>
      <c r="C16" s="72" t="s">
        <v>36</v>
      </c>
      <c r="D16" s="72" t="s">
        <v>12</v>
      </c>
      <c r="E16" s="72" t="s">
        <v>12</v>
      </c>
      <c r="F16" s="73">
        <v>70</v>
      </c>
      <c r="G16" s="74">
        <v>102.25</v>
      </c>
      <c r="H16" s="75">
        <f t="shared" si="0"/>
        <v>7157.5</v>
      </c>
      <c r="I16" s="76"/>
      <c r="J16" s="76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6"/>
      <c r="V16" s="76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64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</row>
    <row r="17" spans="1:69">
      <c r="A17" s="71">
        <v>14</v>
      </c>
      <c r="B17" s="72" t="s">
        <v>37</v>
      </c>
      <c r="C17" s="72" t="s">
        <v>38</v>
      </c>
      <c r="D17" s="72" t="s">
        <v>12</v>
      </c>
      <c r="E17" s="72" t="s">
        <v>12</v>
      </c>
      <c r="F17" s="73">
        <v>100</v>
      </c>
      <c r="G17" s="74">
        <v>103.5</v>
      </c>
      <c r="H17" s="75">
        <f t="shared" si="0"/>
        <v>10350</v>
      </c>
      <c r="I17" s="76"/>
      <c r="J17" s="76"/>
      <c r="K17" s="76"/>
      <c r="L17" s="77"/>
      <c r="M17" s="77"/>
      <c r="N17" s="77"/>
      <c r="O17" s="77"/>
      <c r="P17" s="77"/>
      <c r="Q17" s="77"/>
      <c r="R17" s="77"/>
      <c r="S17" s="78"/>
      <c r="T17" s="77"/>
      <c r="U17" s="76"/>
      <c r="V17" s="76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</row>
    <row r="18" ht="15.75" spans="1:69">
      <c r="A18" s="79">
        <v>15</v>
      </c>
      <c r="B18" s="80" t="s">
        <v>39</v>
      </c>
      <c r="C18" s="80" t="s">
        <v>40</v>
      </c>
      <c r="D18" s="80" t="s">
        <v>12</v>
      </c>
      <c r="E18" s="80" t="s">
        <v>12</v>
      </c>
      <c r="F18" s="81">
        <v>85</v>
      </c>
      <c r="G18" s="82">
        <v>65.48</v>
      </c>
      <c r="H18" s="83">
        <f t="shared" si="0"/>
        <v>5565.8</v>
      </c>
      <c r="I18" s="76"/>
      <c r="J18" s="76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6"/>
      <c r="V18" s="76"/>
      <c r="W18" s="76"/>
      <c r="X18" s="76"/>
      <c r="Y18" s="76"/>
      <c r="Z18" s="76"/>
      <c r="AA18" s="76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</row>
    <row r="19" ht="15.75" spans="1:69">
      <c r="A19" s="64"/>
      <c r="B19" s="84" t="s">
        <v>41</v>
      </c>
      <c r="C19" s="84"/>
      <c r="D19" s="84"/>
      <c r="E19" s="84"/>
      <c r="F19" s="84"/>
      <c r="G19" s="84"/>
      <c r="H19" s="85">
        <f>SUM(H4:H18)</f>
        <v>71856.76</v>
      </c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</row>
    <row r="20" spans="1:69">
      <c r="A20" s="87" t="s">
        <v>42</v>
      </c>
      <c r="B20" s="88"/>
      <c r="C20" s="88"/>
      <c r="D20" s="88"/>
      <c r="E20" s="88"/>
      <c r="F20" s="88"/>
      <c r="G20" s="88"/>
      <c r="H20" s="87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</row>
    <row r="21" spans="1:69">
      <c r="A21" s="89" t="s">
        <v>43</v>
      </c>
      <c r="B21" s="89"/>
      <c r="C21" s="90">
        <v>3</v>
      </c>
      <c r="D21" s="91" t="s">
        <v>44</v>
      </c>
      <c r="E21" s="90"/>
      <c r="F21" s="90"/>
      <c r="G21" s="90"/>
      <c r="H21" s="92"/>
      <c r="I21" s="93" t="s">
        <v>45</v>
      </c>
      <c r="J21" s="93" t="s">
        <v>46</v>
      </c>
      <c r="K21" s="93"/>
      <c r="L21" s="93" t="s">
        <v>47</v>
      </c>
      <c r="M21" s="93">
        <v>85</v>
      </c>
      <c r="N21" s="93"/>
      <c r="O21" s="93" t="s">
        <v>48</v>
      </c>
      <c r="P21" s="93">
        <v>1</v>
      </c>
      <c r="Q21" s="93" t="s">
        <v>49</v>
      </c>
      <c r="R21" s="92"/>
      <c r="S21" s="92"/>
      <c r="T21" s="92"/>
      <c r="U21" s="92"/>
      <c r="V21" s="92">
        <v>1</v>
      </c>
      <c r="W21" s="92" t="s">
        <v>50</v>
      </c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</row>
    <row r="22" ht="15.75" spans="1:69">
      <c r="A22" s="95" t="s">
        <v>2</v>
      </c>
      <c r="B22" s="95" t="s">
        <v>3</v>
      </c>
      <c r="C22" s="95" t="s">
        <v>4</v>
      </c>
      <c r="D22" s="95" t="s">
        <v>5</v>
      </c>
      <c r="E22" s="95" t="s">
        <v>6</v>
      </c>
      <c r="F22" s="95" t="s">
        <v>51</v>
      </c>
      <c r="G22" s="95" t="s">
        <v>8</v>
      </c>
      <c r="H22" s="95" t="s">
        <v>9</v>
      </c>
      <c r="I22" s="96" t="s">
        <v>52</v>
      </c>
      <c r="J22" s="96" t="s">
        <v>53</v>
      </c>
      <c r="K22" s="96" t="s">
        <v>54</v>
      </c>
      <c r="L22" s="97" t="s">
        <v>55</v>
      </c>
      <c r="M22" s="97" t="s">
        <v>56</v>
      </c>
      <c r="N22" s="97" t="s">
        <v>57</v>
      </c>
      <c r="O22" s="97" t="s">
        <v>58</v>
      </c>
      <c r="P22" s="97" t="s">
        <v>59</v>
      </c>
      <c r="Q22" s="97" t="s">
        <v>60</v>
      </c>
      <c r="R22" s="96" t="s">
        <v>61</v>
      </c>
      <c r="S22" s="95" t="s">
        <v>62</v>
      </c>
      <c r="T22" s="95" t="s">
        <v>63</v>
      </c>
      <c r="U22" s="98" t="s">
        <v>64</v>
      </c>
      <c r="V22" s="98" t="s">
        <v>65</v>
      </c>
      <c r="W22" s="98" t="s">
        <v>66</v>
      </c>
      <c r="X22" s="98" t="s">
        <v>67</v>
      </c>
      <c r="Y22" s="98" t="s">
        <v>68</v>
      </c>
      <c r="Z22" s="98" t="s">
        <v>69</v>
      </c>
      <c r="AA22" s="98" t="s">
        <v>70</v>
      </c>
      <c r="AB22" s="98" t="s">
        <v>71</v>
      </c>
      <c r="AC22" s="99" t="s">
        <v>72</v>
      </c>
      <c r="AD22" s="99" t="s">
        <v>73</v>
      </c>
      <c r="AE22" s="99" t="s">
        <v>74</v>
      </c>
      <c r="AF22" s="99" t="s">
        <v>75</v>
      </c>
      <c r="AG22" s="99" t="s">
        <v>76</v>
      </c>
      <c r="AH22" s="99" t="s">
        <v>77</v>
      </c>
      <c r="AI22" s="99" t="s">
        <v>78</v>
      </c>
      <c r="AJ22" s="99" t="s">
        <v>79</v>
      </c>
      <c r="AK22" s="99" t="s">
        <v>80</v>
      </c>
      <c r="AL22" s="99" t="s">
        <v>81</v>
      </c>
      <c r="AM22" s="99" t="s">
        <v>82</v>
      </c>
      <c r="AN22" s="99" t="s">
        <v>83</v>
      </c>
      <c r="AO22" s="99" t="s">
        <v>84</v>
      </c>
      <c r="AP22" s="99" t="s">
        <v>85</v>
      </c>
      <c r="AQ22" s="99" t="s">
        <v>86</v>
      </c>
      <c r="AR22" s="100" t="s">
        <v>87</v>
      </c>
      <c r="AS22" s="95" t="s">
        <v>88</v>
      </c>
      <c r="AT22" s="95" t="s">
        <v>86</v>
      </c>
      <c r="AU22" s="101" t="s">
        <v>131</v>
      </c>
      <c r="AV22" s="101" t="s">
        <v>132</v>
      </c>
      <c r="AW22" s="101" t="s">
        <v>91</v>
      </c>
      <c r="AX22" s="101" t="s">
        <v>92</v>
      </c>
      <c r="AY22" s="101" t="s">
        <v>93</v>
      </c>
      <c r="AZ22" s="101" t="s">
        <v>94</v>
      </c>
      <c r="BA22" s="101" t="s">
        <v>95</v>
      </c>
      <c r="BB22" s="101" t="s">
        <v>96</v>
      </c>
      <c r="BC22" s="101" t="s">
        <v>97</v>
      </c>
      <c r="BD22" s="101" t="s">
        <v>98</v>
      </c>
      <c r="BE22" s="101" t="s">
        <v>99</v>
      </c>
      <c r="BF22" s="101" t="s">
        <v>100</v>
      </c>
      <c r="BG22" s="101" t="s">
        <v>101</v>
      </c>
      <c r="BH22" s="101" t="s">
        <v>102</v>
      </c>
      <c r="BI22" s="101" t="s">
        <v>103</v>
      </c>
      <c r="BJ22" s="101" t="s">
        <v>104</v>
      </c>
      <c r="BK22" s="101" t="s">
        <v>105</v>
      </c>
      <c r="BL22" s="102" t="s">
        <v>106</v>
      </c>
      <c r="BM22" s="103" t="s">
        <v>107</v>
      </c>
      <c r="BN22" s="102" t="s">
        <v>108</v>
      </c>
      <c r="BO22" s="102" t="s">
        <v>94</v>
      </c>
      <c r="BP22" s="102" t="s">
        <v>109</v>
      </c>
      <c r="BQ22" s="102" t="s">
        <v>63</v>
      </c>
    </row>
    <row r="23" ht="15.75" spans="1:69">
      <c r="A23" s="89">
        <v>1</v>
      </c>
      <c r="B23" s="21" t="s">
        <v>151</v>
      </c>
      <c r="C23" s="21" t="s">
        <v>151</v>
      </c>
      <c r="D23" s="89" t="s">
        <v>12</v>
      </c>
      <c r="E23" s="89" t="s">
        <v>12</v>
      </c>
      <c r="F23" s="104">
        <v>3</v>
      </c>
      <c r="G23" s="0">
        <v>250</v>
      </c>
      <c r="H23" s="105">
        <f>F23*G23</f>
        <v>750</v>
      </c>
      <c r="I23" t="s" s="0">
        <v>139</v>
      </c>
      <c r="J23" s="105">
        <v>2</v>
      </c>
      <c r="K23" s="105">
        <v>4</v>
      </c>
      <c r="L23" s="105">
        <f>H23</f>
        <v>750</v>
      </c>
      <c r="M23" s="105">
        <f>ROUND(L23*I23%,2)</f>
        <v>7.5</v>
      </c>
      <c r="N23" s="105">
        <f>H23-M23</f>
        <v>742.5</v>
      </c>
      <c r="O23" s="105">
        <f>ROUND(N23*J23%,2)</f>
        <v>14.85</v>
      </c>
      <c r="P23" s="105">
        <f>ROUND(N23-O23,2)</f>
        <v>727.65</v>
      </c>
      <c r="Q23" s="105">
        <f>ROUND(P23*K23%,2)</f>
        <v>29.11</v>
      </c>
      <c r="R23" s="105">
        <f>M23+O23+Q23</f>
        <v>51.46</v>
      </c>
      <c r="S23" s="105">
        <f>(H23-R23)</f>
        <v>698.54</v>
      </c>
      <c r="T23" s="105" t="s">
        <v>111</v>
      </c>
      <c r="U23" s="106">
        <v>0</v>
      </c>
      <c r="V23" s="106">
        <f>IF(OR($C$21=1,$C$21=4),ROUND((((S23*U23)/100)/2),2),0)</f>
        <v>0</v>
      </c>
      <c r="W23" s="106">
        <f>IF($C$21=1,ROUND((((S23*U23)/100)/2),2),0)</f>
        <v>0</v>
      </c>
      <c r="X23" s="106">
        <f>IF($C$21=2,ROUND(((S23*U23)/100),2),0)</f>
        <v>0</v>
      </c>
      <c r="Y23" s="106">
        <f>IF($C$21=4,ROUND((((S23*U23)/100)/2),2),0)</f>
        <v>0</v>
      </c>
      <c r="Z23" s="106">
        <v>0</v>
      </c>
      <c r="AA23" s="106">
        <f>IF($C21=3,0,(S23*Z23)/100)</f>
        <v>0</v>
      </c>
      <c r="AB23" s="106">
        <f>V23+W23+X23+Y23+AA23</f>
        <v>0</v>
      </c>
      <c r="AC23" s="105">
        <f>IF($V21=1,S23+AB23,S23)</f>
        <v>698.54</v>
      </c>
      <c r="AD23" s="105">
        <v>120</v>
      </c>
      <c r="AE23" s="105">
        <f>IF($P$21=1,(S23/$S$24)*$E$35,AD23/$AD$24*$E$35)</f>
        <v>0</v>
      </c>
      <c r="AF23" s="105"/>
      <c r="AG23" s="105">
        <f>IF($P$21=1,(S23/$S$24)*$E$37,AD23/$AD$24*$E$37)</f>
        <v>0</v>
      </c>
      <c r="AH23" s="105">
        <f>IF($P$21=1,(S23/$S$24)*$E$37,AD23/$AD$24*$E$37)</f>
        <v>0</v>
      </c>
      <c r="AI23" s="105">
        <f>S23*$M$21</f>
        <v>59375.9</v>
      </c>
      <c r="AJ23" s="105">
        <f>IF($C$21=3,0,AG23+AH23)</f>
        <v>0</v>
      </c>
      <c r="AK23" s="105">
        <f>IF($C$21=3,AE23+AG23+AH23,0)</f>
        <v>0</v>
      </c>
      <c r="AL23" s="105">
        <v>3</v>
      </c>
      <c r="AM23" s="105">
        <f>F23/AL23</f>
        <v>1</v>
      </c>
      <c r="AN23" s="105">
        <f>AI23/AM23</f>
        <v>59375.9</v>
      </c>
      <c r="AO23" s="105">
        <f>AJ23/AM23</f>
        <v>0</v>
      </c>
      <c r="AP23" s="105">
        <f>AK23/AM23</f>
        <v>0</v>
      </c>
      <c r="AQ23" s="105" t="s">
        <v>12</v>
      </c>
      <c r="AR23" s="105">
        <f>AN23+AO23+AP23</f>
        <v>59375.9</v>
      </c>
      <c r="AS23" s="105" t="s">
        <v>112</v>
      </c>
      <c r="AT23" s="105" t="s">
        <v>12</v>
      </c>
      <c r="AU23" t="s" s="0">
        <v>113</v>
      </c>
      <c r="AV23" t="s" s="0">
        <v>145</v>
      </c>
      <c r="AW23" s="105">
        <f>AM23</f>
        <v>1</v>
      </c>
      <c r="AX23" s="105">
        <f>AR23</f>
        <v>59375.9</v>
      </c>
      <c r="AY23" s="105">
        <f>AU23+AW23</f>
        <v>1</v>
      </c>
      <c r="AZ23" s="105">
        <f>ROUND(((AU23*AV23)+(AW23*AX23))/(AU23+AW23),5)</f>
        <v>59375.9</v>
      </c>
      <c r="BA23" s="107"/>
      <c r="BB23" s="107" t="s">
        <v>115</v>
      </c>
      <c r="BC23" s="107" t="s">
        <v>116</v>
      </c>
      <c r="BD23" s="108" t="s">
        <v>117</v>
      </c>
      <c r="BE23" s="108" t="s">
        <v>118</v>
      </c>
      <c r="BF23" s="107"/>
      <c r="BG23" s="107"/>
      <c r="BH23" s="107"/>
      <c r="BI23" s="105"/>
      <c r="BJ23" s="105"/>
      <c r="BK23" s="105"/>
      <c r="BL23" s="105" t="s">
        <v>119</v>
      </c>
      <c r="BM23" t="s" s="0">
        <v>152</v>
      </c>
      <c r="BN23" t="s" s="0">
        <v>153</v>
      </c>
      <c r="BO23" s="105">
        <f>ROUND((((AW23*AZ23)+(BN23*BM23))/(AW23+BN23)),5)</f>
        <v>60257.31958</v>
      </c>
      <c r="BP23" s="109">
        <f>BN23+AW23</f>
        <v>4</v>
      </c>
      <c r="BQ23" s="110">
        <v>88363222</v>
      </c>
    </row>
    <row r="24" spans="1:69">
      <c r="A24" s="93"/>
      <c r="B24" s="94"/>
      <c r="C24" s="94"/>
      <c r="D24" s="111" t="s">
        <v>41</v>
      </c>
      <c r="E24" s="111"/>
      <c r="F24" s="111"/>
      <c r="G24" s="111"/>
      <c r="H24" s="111">
        <f>SUM(H23:H23)</f>
        <v>750</v>
      </c>
      <c r="I24" s="93"/>
      <c r="J24" s="93"/>
      <c r="K24" s="93"/>
      <c r="L24" s="93"/>
      <c r="M24" s="93"/>
      <c r="N24" s="93"/>
      <c r="O24" s="93"/>
      <c r="P24" s="93"/>
      <c r="Q24" s="93"/>
      <c r="R24" s="111">
        <f t="shared" ref="R24:Y24" si="1">SUM(R23:R23)</f>
        <v>51.46</v>
      </c>
      <c r="S24" s="112">
        <f t="shared" si="1"/>
        <v>698.54</v>
      </c>
      <c r="T24" s="111"/>
      <c r="U24" s="111"/>
      <c r="V24" s="113">
        <f t="shared" si="1"/>
        <v>0</v>
      </c>
      <c r="W24" s="113">
        <f t="shared" si="1"/>
        <v>0</v>
      </c>
      <c r="X24" s="113">
        <f t="shared" si="1"/>
        <v>0</v>
      </c>
      <c r="Y24" s="113">
        <f t="shared" si="1"/>
        <v>0</v>
      </c>
      <c r="Z24" s="113"/>
      <c r="AA24" s="113">
        <f t="shared" ref="AA24:AE24" si="2">SUM(AA23:AA23)</f>
        <v>0</v>
      </c>
      <c r="AB24" s="111">
        <f t="shared" si="2"/>
        <v>0</v>
      </c>
      <c r="AC24" s="114">
        <f t="shared" si="2"/>
        <v>698.54</v>
      </c>
      <c r="AD24" s="115">
        <f t="shared" si="2"/>
        <v>120</v>
      </c>
      <c r="AE24" s="115">
        <f t="shared" si="2"/>
        <v>0</v>
      </c>
      <c r="AF24" s="114"/>
      <c r="AG24" s="115">
        <f t="shared" ref="AG24:AK24" si="3">SUM(AG23:AG23)</f>
        <v>0</v>
      </c>
      <c r="AH24" s="115">
        <f t="shared" si="3"/>
        <v>0</v>
      </c>
      <c r="AI24" s="115">
        <f t="shared" si="3"/>
        <v>59375.9</v>
      </c>
      <c r="AJ24" s="115">
        <f t="shared" si="3"/>
        <v>0</v>
      </c>
      <c r="AK24" s="115">
        <f t="shared" si="3"/>
        <v>0</v>
      </c>
      <c r="AL24" s="114"/>
      <c r="AM24" s="114"/>
      <c r="AN24" s="114"/>
      <c r="AO24" s="114"/>
      <c r="AP24" s="114"/>
      <c r="AQ24" s="114"/>
      <c r="AR24" s="114"/>
      <c r="AS24" s="116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117"/>
      <c r="BQ24" s="94"/>
    </row>
  </sheetData>
  <mergeCells count="3">
    <mergeCell ref="A1:AC1"/>
    <mergeCell ref="B19:G19"/>
    <mergeCell ref="A21:B2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"/>
  <sheetViews>
    <sheetView tabSelected="1" topLeftCell="AQ1" workbookViewId="0">
      <selection activeCell="AZ4" sqref="AZ4"/>
    </sheetView>
  </sheetViews>
  <sheetFormatPr defaultColWidth="9.85714285714286" defaultRowHeight="15"/>
  <cols>
    <col min="1" max="1" style="1" width="9.85714285714286"/>
    <col min="2" max="2" customWidth="true" style="1" width="25.5714285714286"/>
    <col min="3" max="3" customWidth="true" style="1" width="26.0"/>
    <col min="4" max="19" style="1" width="9.85714285714286"/>
    <col min="20" max="20" customWidth="true" style="1" width="10.1428571428571"/>
    <col min="21" max="34" style="1" width="9.85714285714286"/>
    <col min="35" max="35" style="1" width="11.4285714285714"/>
    <col min="36" max="38" style="1" width="9.85714285714286"/>
    <col min="39" max="39" customWidth="true" style="1" width="17.4285714285714"/>
    <col min="40" max="43" style="1" width="9.85714285714286"/>
    <col min="44" max="44" customWidth="true" style="1" width="25.7142857142857"/>
    <col min="45" max="45" customWidth="true" style="1" width="9.85714285714286"/>
    <col min="46" max="47" style="1" width="9.85714285714286"/>
    <col min="48" max="48" customWidth="true" style="1" width="21.1428571428571"/>
    <col min="49" max="49" style="1" width="9.85714285714286"/>
    <col min="50" max="50" customWidth="true" style="1" width="16.7142857142857"/>
    <col min="51" max="51" style="1" width="9.85714285714286"/>
    <col min="52" max="52" customWidth="true" style="1" width="19.4285714285714"/>
    <col min="53" max="63" style="1" width="9.85714285714286"/>
    <col min="64" max="64" customWidth="true" style="1" width="11.2857142857143"/>
    <col min="65" max="65" customWidth="true" style="1" width="42.5714285714286"/>
    <col min="66" max="66" style="1" width="9.85714285714286"/>
    <col min="67" max="67" customWidth="true" style="1" width="19.4285714285714"/>
    <col min="68" max="68" customWidth="true" style="1" width="35.4285714285714"/>
    <col min="69" max="16384" style="1" width="9.85714285714286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5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1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5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</row>
    <row r="3" ht="61.5" spans="1:69">
      <c r="A3" s="45" t="s">
        <v>2</v>
      </c>
      <c r="B3" s="45" t="s">
        <v>3</v>
      </c>
      <c r="C3" s="46" t="s">
        <v>4</v>
      </c>
      <c r="D3" s="45" t="s">
        <v>5</v>
      </c>
      <c r="E3" s="45" t="s">
        <v>6</v>
      </c>
      <c r="F3" s="47" t="s">
        <v>51</v>
      </c>
      <c r="G3" s="45" t="s">
        <v>8</v>
      </c>
      <c r="H3" s="45" t="s">
        <v>9</v>
      </c>
      <c r="I3" s="48" t="s">
        <v>52</v>
      </c>
      <c r="J3" s="48" t="s">
        <v>53</v>
      </c>
      <c r="K3" s="48" t="s">
        <v>54</v>
      </c>
      <c r="L3" s="49" t="s">
        <v>55</v>
      </c>
      <c r="M3" s="49" t="s">
        <v>56</v>
      </c>
      <c r="N3" s="49" t="s">
        <v>57</v>
      </c>
      <c r="O3" s="49" t="s">
        <v>58</v>
      </c>
      <c r="P3" s="49" t="s">
        <v>59</v>
      </c>
      <c r="Q3" s="49" t="s">
        <v>60</v>
      </c>
      <c r="R3" s="48" t="s">
        <v>61</v>
      </c>
      <c r="S3" s="45" t="s">
        <v>62</v>
      </c>
      <c r="T3" s="45" t="s">
        <v>63</v>
      </c>
      <c r="U3" s="14" t="s">
        <v>64</v>
      </c>
      <c r="V3" s="14" t="s">
        <v>65</v>
      </c>
      <c r="W3" s="14" t="s">
        <v>66</v>
      </c>
      <c r="X3" s="14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50" t="s">
        <v>72</v>
      </c>
      <c r="AD3" s="50" t="s">
        <v>73</v>
      </c>
      <c r="AE3" s="51" t="s">
        <v>74</v>
      </c>
      <c r="AF3" s="51" t="s">
        <v>75</v>
      </c>
      <c r="AG3" s="51" t="s">
        <v>76</v>
      </c>
      <c r="AH3" s="50" t="s">
        <v>77</v>
      </c>
      <c r="AI3" s="50" t="s">
        <v>78</v>
      </c>
      <c r="AJ3" s="51" t="s">
        <v>79</v>
      </c>
      <c r="AK3" s="51" t="s">
        <v>80</v>
      </c>
      <c r="AL3" s="50" t="s">
        <v>81</v>
      </c>
      <c r="AM3" s="50" t="s">
        <v>82</v>
      </c>
      <c r="AN3" s="51" t="s">
        <v>83</v>
      </c>
      <c r="AO3" s="51" t="s">
        <v>84</v>
      </c>
      <c r="AP3" s="51" t="s">
        <v>85</v>
      </c>
      <c r="AQ3" s="50" t="s">
        <v>86</v>
      </c>
      <c r="AR3" s="52" t="s">
        <v>87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20" t="s">
        <v>110</v>
      </c>
      <c r="C4" s="20" t="s">
        <v>110</v>
      </c>
      <c r="D4" s="20" t="s">
        <v>12</v>
      </c>
      <c r="E4" s="20" t="s">
        <v>12</v>
      </c>
      <c r="F4" s="22">
        <v>2</v>
      </c>
      <c r="G4" s="22">
        <v>250</v>
      </c>
      <c r="H4" s="22">
        <f>F4*G4</f>
        <v>500</v>
      </c>
      <c r="I4" s="22">
        <v>1</v>
      </c>
      <c r="J4" s="22">
        <v>8</v>
      </c>
      <c r="K4" s="22">
        <v>5</v>
      </c>
      <c r="L4" s="22">
        <f>H4</f>
        <v>500</v>
      </c>
      <c r="M4" s="22">
        <f>ROUND(L4*I4%,2)</f>
        <v>5</v>
      </c>
      <c r="N4" s="22">
        <f>H4-M4</f>
        <v>495</v>
      </c>
      <c r="O4" s="22">
        <f>ROUND(N4*J4%,2)</f>
        <v>39.6</v>
      </c>
      <c r="P4" s="22">
        <f>ROUND(N4-O4,2)</f>
        <v>455.4</v>
      </c>
      <c r="Q4" s="22">
        <f>ROUND(P4*K4%,2)</f>
        <v>22.77</v>
      </c>
      <c r="R4" s="22">
        <f>M4+O4+Q4</f>
        <v>67.37</v>
      </c>
      <c r="S4" s="22">
        <f>(H4-R4)</f>
        <v>432.63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4</v>
      </c>
      <c r="AA4" s="22">
        <f>IF($C2=3,0,(S4*Z4)/100)</f>
        <v>0</v>
      </c>
      <c r="AB4" s="22">
        <f>V4+W4+X4+Y4+AA4</f>
        <v>0</v>
      </c>
      <c r="AC4" s="22">
        <f>IF($V2=1,S4+AB4,S4)</f>
        <v>432.63</v>
      </c>
      <c r="AD4" s="22">
        <v>120</v>
      </c>
      <c r="AE4" s="22">
        <f>IF($P$2=1,(S4/$S$5)*$E$16,AD4/$AD$5*$E$16)</f>
        <v>0</v>
      </c>
      <c r="AF4" s="22"/>
      <c r="AG4" s="22">
        <f>IF($P$2=1,(S4/$S$5)*$E$18,AD4/$AD$5*$E$18)</f>
        <v>0</v>
      </c>
      <c r="AH4" s="22">
        <f>IF($P$2=1,(S4/$S$5)*$E$18,AD4/$AD$5*$E$18)</f>
        <v>0</v>
      </c>
      <c r="AI4" s="22">
        <f>S4*$M$2</f>
        <v>36773.55</v>
      </c>
      <c r="AJ4" s="22">
        <f>IF($C$2=3,0,AG4+AH4)</f>
        <v>0</v>
      </c>
      <c r="AK4" s="22">
        <f>IF($C$2=3,AE4+AG4+AH4,0)</f>
        <v>0</v>
      </c>
      <c r="AL4" s="22">
        <v>1</v>
      </c>
      <c r="AM4" s="22">
        <f>F4/AL4</f>
        <v>2</v>
      </c>
      <c r="AN4" s="22">
        <f>AI4/AM4</f>
        <v>18386.775</v>
      </c>
      <c r="AO4" s="22">
        <f>AJ4/AM4</f>
        <v>0</v>
      </c>
      <c r="AP4" s="22">
        <f>AK4/AM4</f>
        <v>0</v>
      </c>
      <c r="AQ4" s="22" t="s">
        <v>12</v>
      </c>
      <c r="AR4" s="6">
        <f>ROUND(AN4+AO4+AP4,5)</f>
        <v>18386.775</v>
      </c>
      <c r="AS4" s="6" t="s">
        <v>154</v>
      </c>
      <c r="AT4" s="28" t="s">
        <v>12</v>
      </c>
      <c r="AU4" t="s" s="1">
        <v>198</v>
      </c>
      <c r="AV4" t="s" s="1">
        <v>155</v>
      </c>
      <c r="AW4" s="28">
        <f>AM4</f>
        <v>2</v>
      </c>
      <c r="AX4" s="28">
        <f>AR4</f>
        <v>18386.775</v>
      </c>
      <c r="AY4" s="28">
        <f>AU4+AW4</f>
        <v>2</v>
      </c>
      <c r="AZ4" s="28">
        <f>ROUND(((AU4*AV4)+(AW4*AX4))/(AU4+AW4),5)</f>
        <v>18386.775</v>
      </c>
      <c r="BA4" s="30"/>
      <c r="BB4" s="30" t="s">
        <v>115</v>
      </c>
      <c r="BC4" s="53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6"/>
      <c r="BK4" s="6"/>
      <c r="BL4" s="28" t="s">
        <v>156</v>
      </c>
      <c r="BM4" t="s" s="1">
        <v>200</v>
      </c>
      <c r="BN4" t="s" s="1">
        <v>199</v>
      </c>
      <c r="BO4" s="28">
        <f>ROUND((((AW4*AZ4)+(BN4*BM4))/(AW4+BN4)),5)</f>
        <v>17574.99526</v>
      </c>
      <c r="BP4" s="34">
        <f>BN4+AW4</f>
        <v>529</v>
      </c>
      <c r="BQ4" s="35">
        <v>123562</v>
      </c>
    </row>
    <row r="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500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67.37</v>
      </c>
      <c r="S5" s="39">
        <f t="shared" si="0"/>
        <v>432.63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432.63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 t="shared" si="2"/>
        <v>0</v>
      </c>
      <c r="AI5" s="43">
        <f t="shared" si="2"/>
        <v>36773.55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</row>
    <row r="9" spans="1:69">
      <c r="AT9" s="62" t="s">
        <v>154</v>
      </c>
    </row>
    <row r="10" spans="1:69">
      <c r="AT10" s="62">
        <v>18387.625</v>
      </c>
    </row>
  </sheetData>
  <mergeCells count="1">
    <mergeCell ref="A2:B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7"/>
  <sheetViews>
    <sheetView topLeftCell="G1" workbookViewId="0">
      <selection activeCell="U11" sqref="U11"/>
    </sheetView>
  </sheetViews>
  <sheetFormatPr defaultColWidth="8.71428571428571" defaultRowHeight="15"/>
  <cols>
    <col min="1" max="1" style="1" width="8.71428571428571"/>
    <col min="2" max="2" customWidth="true" style="1" width="19.1428571428571"/>
    <col min="3" max="3" customWidth="true" style="1" width="25.8571428571429"/>
    <col min="4" max="19" style="1" width="8.71428571428571"/>
    <col min="20" max="20" customWidth="true" style="1" width="10.1428571428571"/>
    <col min="21" max="51" style="1" width="8.71428571428571"/>
    <col min="52" max="52" style="1" width="12.0"/>
    <col min="53" max="66" style="1" width="8.71428571428571"/>
    <col min="67" max="67" style="1" width="12.0"/>
    <col min="68" max="16384" style="1" width="8.71428571428571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2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6"/>
      <c r="BQ2" s="6"/>
    </row>
    <row r="3" ht="61.5" spans="1:69">
      <c r="A3" s="10" t="s">
        <v>158</v>
      </c>
      <c r="B3" s="10" t="s">
        <v>3</v>
      </c>
      <c r="C3" s="10" t="s">
        <v>159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52</v>
      </c>
      <c r="J3" s="11" t="s">
        <v>54</v>
      </c>
      <c r="K3" s="11" t="s">
        <v>53</v>
      </c>
      <c r="L3" s="12" t="s">
        <v>55</v>
      </c>
      <c r="M3" s="12" t="s">
        <v>56</v>
      </c>
      <c r="N3" s="12" t="s">
        <v>59</v>
      </c>
      <c r="O3" s="12" t="s">
        <v>60</v>
      </c>
      <c r="P3" s="12" t="s">
        <v>122</v>
      </c>
      <c r="Q3" s="12" t="s">
        <v>58</v>
      </c>
      <c r="R3" s="11" t="s">
        <v>61</v>
      </c>
      <c r="S3" s="10" t="s">
        <v>123</v>
      </c>
      <c r="T3" s="10" t="s">
        <v>63</v>
      </c>
      <c r="U3" s="13" t="s">
        <v>124</v>
      </c>
      <c r="V3" s="13" t="s">
        <v>65</v>
      </c>
      <c r="W3" s="13" t="s">
        <v>66</v>
      </c>
      <c r="X3" s="13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15" t="s">
        <v>72</v>
      </c>
      <c r="AD3" s="15" t="s">
        <v>73</v>
      </c>
      <c r="AE3" s="15" t="s">
        <v>74</v>
      </c>
      <c r="AF3" s="15" t="s">
        <v>75</v>
      </c>
      <c r="AG3" s="15" t="s">
        <v>76</v>
      </c>
      <c r="AH3" s="15" t="s">
        <v>77</v>
      </c>
      <c r="AI3" s="15" t="s">
        <v>78</v>
      </c>
      <c r="AJ3" s="15" t="s">
        <v>79</v>
      </c>
      <c r="AK3" s="15" t="s">
        <v>80</v>
      </c>
      <c r="AL3" s="15" t="s">
        <v>81</v>
      </c>
      <c r="AM3" s="15" t="s">
        <v>82</v>
      </c>
      <c r="AN3" s="15" t="s">
        <v>83</v>
      </c>
      <c r="AO3" s="15" t="s">
        <v>84</v>
      </c>
      <c r="AP3" s="15" t="s">
        <v>85</v>
      </c>
      <c r="AQ3" s="15" t="s">
        <v>86</v>
      </c>
      <c r="AR3" s="16" t="s">
        <v>125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44" t="s">
        <v>126</v>
      </c>
      <c r="C4" s="44" t="s">
        <v>126</v>
      </c>
      <c r="D4" s="20" t="s">
        <v>12</v>
      </c>
      <c r="E4" s="20" t="s">
        <v>12</v>
      </c>
      <c r="F4" s="22">
        <v>2</v>
      </c>
      <c r="G4" s="22">
        <v>250</v>
      </c>
      <c r="H4" s="22">
        <f>F4*G4</f>
        <v>500</v>
      </c>
      <c r="I4" s="22">
        <v>1</v>
      </c>
      <c r="J4" s="22">
        <v>8</v>
      </c>
      <c r="K4" s="22">
        <v>5</v>
      </c>
      <c r="L4" s="22">
        <f>H4</f>
        <v>500</v>
      </c>
      <c r="M4" s="22">
        <f>ROUND(L4*I4%,2)</f>
        <v>5</v>
      </c>
      <c r="N4" s="22">
        <f>H4-M4</f>
        <v>495</v>
      </c>
      <c r="O4" s="22">
        <f>ROUND(N4*J4%,2)</f>
        <v>39.6</v>
      </c>
      <c r="P4" s="22">
        <f>ROUND(N4-O4,2)</f>
        <v>455.4</v>
      </c>
      <c r="Q4" s="22">
        <f>ROUND(P4*K4%,2)</f>
        <v>22.77</v>
      </c>
      <c r="R4" s="22">
        <f>M4+O4+Q4</f>
        <v>67.37</v>
      </c>
      <c r="S4" s="22">
        <f>(H4-R4)</f>
        <v>432.63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0</v>
      </c>
      <c r="AA4" s="22">
        <f>IF($C2=3,0,(S4*Z4)/100)</f>
        <v>0</v>
      </c>
      <c r="AB4" s="22">
        <f>V4+W4+X4+Y4+AA4</f>
        <v>0</v>
      </c>
      <c r="AC4" s="25">
        <f>IF($V2=1,S4+AB4,S4)</f>
        <v>432.63</v>
      </c>
      <c r="AD4" s="24">
        <v>120</v>
      </c>
      <c r="AE4" s="24">
        <f>IF($P$2=1,(S4/$S$5)*$E$16,AD4/$AD$5*$E$16)</f>
        <v>0</v>
      </c>
      <c r="AF4" s="24"/>
      <c r="AG4" s="24">
        <f>IF($P$2=1,(S4/$S$5)*$E$18,AD4/$AD$5*$E$18)</f>
        <v>0</v>
      </c>
      <c r="AH4" s="24">
        <f>IF($P$2=1,(S4/$S$5)*$E$19,AD4/$AD$5*$E$19)</f>
        <v>0</v>
      </c>
      <c r="AI4" s="24">
        <f>S4*$M$2</f>
        <v>36773.55</v>
      </c>
      <c r="AJ4" s="24">
        <f>IF($C$2=3,0,AG4+AH4)</f>
        <v>0</v>
      </c>
      <c r="AK4" s="24">
        <f>IF($C$2=3,AE4+AG4+AH4,0)</f>
        <v>0</v>
      </c>
      <c r="AL4" s="26">
        <v>1</v>
      </c>
      <c r="AM4" s="24">
        <f>F4/AL4</f>
        <v>2</v>
      </c>
      <c r="AN4" s="24">
        <f>ROUND(AI4/AM4,5)</f>
        <v>18386.775</v>
      </c>
      <c r="AO4" s="24">
        <f>AJ4/AM4</f>
        <v>0</v>
      </c>
      <c r="AP4" s="24">
        <f>AK4/AM4</f>
        <v>0</v>
      </c>
      <c r="AQ4" s="24" t="s">
        <v>12</v>
      </c>
      <c r="AR4" s="24">
        <f>ROUND(AN4+AO4+AP4,5)</f>
        <v>18386.775</v>
      </c>
      <c r="AS4" s="27" t="s">
        <v>154</v>
      </c>
      <c r="AT4" s="28" t="s">
        <v>12</v>
      </c>
      <c r="AU4" s="23" t="s">
        <v>160</v>
      </c>
      <c r="AV4" s="23" t="s">
        <v>161</v>
      </c>
      <c r="AW4" s="28">
        <f>AM4</f>
        <v>2</v>
      </c>
      <c r="AX4" s="28">
        <f>AR4</f>
        <v>18386.775</v>
      </c>
      <c r="AY4" s="28">
        <f>AU4+AW4</f>
        <v>112</v>
      </c>
      <c r="AZ4" s="28">
        <f>ROUND(((AU4*AV4)+(AW4*AX4))/(AU4+AW4),5)</f>
        <v>450.65625</v>
      </c>
      <c r="BA4" s="30"/>
      <c r="BB4" s="30" t="s">
        <v>115</v>
      </c>
      <c r="BC4" s="31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28"/>
      <c r="BK4" s="28"/>
      <c r="BL4" s="33" t="s">
        <v>156</v>
      </c>
      <c r="BM4" s="23" t="s">
        <v>161</v>
      </c>
      <c r="BN4" s="23" t="s">
        <v>162</v>
      </c>
      <c r="BO4" s="28">
        <f>ROUND((((AW4*AZ4)+(BN4*BM4))/(AW4+BN4)),5)</f>
        <v>217.71964</v>
      </c>
      <c r="BP4" s="34">
        <f>BN4+AW4</f>
        <v>7</v>
      </c>
      <c r="BQ4" s="35">
        <v>123562</v>
      </c>
    </row>
    <row r="5" ht="15.7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500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67.37</v>
      </c>
      <c r="S5" s="39">
        <f t="shared" si="0"/>
        <v>432.63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432.63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>IF($P$2=1,(S5/$S$5)*$E$19,AD5/$AD$5*$E$19)</f>
        <v>0</v>
      </c>
      <c r="AI5" s="43">
        <f t="shared" si="2"/>
        <v>36773.55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5"/>
      <c r="AU5" s="6"/>
      <c r="AV5" s="6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6"/>
      <c r="BQ5" s="6"/>
    </row>
    <row r="6" ht="15.75" spans="1:69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6"/>
      <c r="BQ6" s="6"/>
    </row>
    <row r="7" ht="15.75" spans="1:69">
      <c r="A7" s="5"/>
      <c r="B7" s="5"/>
      <c r="C7" s="5"/>
      <c r="D7" s="5"/>
      <c r="E7" s="5"/>
      <c r="F7" s="5"/>
      <c r="G7" s="54" t="s">
        <v>163</v>
      </c>
      <c r="H7" s="55"/>
      <c r="I7" s="56">
        <f>H5</f>
        <v>500</v>
      </c>
      <c r="J7" s="56"/>
      <c r="K7" s="5"/>
      <c r="L7" s="5"/>
      <c r="M7" s="57" t="s">
        <v>164</v>
      </c>
      <c r="N7" s="58"/>
      <c r="O7" s="58"/>
      <c r="P7" s="59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 t="s">
        <v>165</v>
      </c>
      <c r="BI7" s="148" t="s">
        <v>166</v>
      </c>
      <c r="BJ7" s="5"/>
      <c r="BK7" s="5"/>
      <c r="BL7" s="5"/>
      <c r="BM7" s="5"/>
      <c r="BN7" s="5"/>
      <c r="BO7" s="5"/>
      <c r="BP7" s="6"/>
      <c r="BQ7" s="6"/>
    </row>
    <row r="8" ht="15.75" spans="1:69">
      <c r="A8" s="5"/>
      <c r="B8" s="5"/>
      <c r="C8" s="5"/>
      <c r="D8" s="5"/>
      <c r="E8" s="5"/>
      <c r="F8" s="5"/>
      <c r="G8" s="54" t="s">
        <v>167</v>
      </c>
      <c r="H8" s="55"/>
      <c r="I8" s="56">
        <f>R5</f>
        <v>67.37</v>
      </c>
      <c r="J8" s="56"/>
      <c r="K8" s="5"/>
      <c r="L8" s="5"/>
      <c r="M8" s="60">
        <v>1</v>
      </c>
      <c r="N8" s="60" t="s">
        <v>12</v>
      </c>
      <c r="O8" s="60">
        <v>2</v>
      </c>
      <c r="P8" s="60" t="s">
        <v>144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 t="s">
        <v>168</v>
      </c>
      <c r="BI8" s="148" t="s">
        <v>169</v>
      </c>
      <c r="BJ8" s="5"/>
      <c r="BK8" s="5"/>
      <c r="BL8" s="5"/>
      <c r="BM8" s="5"/>
      <c r="BN8" s="5"/>
      <c r="BO8" s="5"/>
      <c r="BP8" s="6"/>
      <c r="BQ8" s="6"/>
    </row>
    <row r="9" ht="15.75" spans="1:69">
      <c r="A9" s="5"/>
      <c r="B9" s="5"/>
      <c r="C9" s="5"/>
      <c r="D9" s="5"/>
      <c r="E9" s="5"/>
      <c r="F9" s="5"/>
      <c r="G9" s="54" t="s">
        <v>170</v>
      </c>
      <c r="H9" s="55"/>
      <c r="I9" s="56">
        <f>S5</f>
        <v>432.63</v>
      </c>
      <c r="J9" s="56"/>
      <c r="K9" s="5"/>
      <c r="L9" s="5"/>
      <c r="M9" s="20">
        <v>1</v>
      </c>
      <c r="N9" s="20" t="s">
        <v>12</v>
      </c>
      <c r="O9" s="20">
        <v>2.5</v>
      </c>
      <c r="P9" s="20" t="s">
        <v>171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6"/>
      <c r="BQ9" s="6"/>
    </row>
    <row r="10" ht="15.75" spans="1:69">
      <c r="A10" s="5"/>
      <c r="B10" s="5"/>
      <c r="C10" s="5"/>
      <c r="D10" s="5"/>
      <c r="E10" s="5"/>
      <c r="F10" s="5"/>
      <c r="G10" s="54" t="s">
        <v>172</v>
      </c>
      <c r="H10" s="55"/>
      <c r="I10" s="56">
        <f>AB5</f>
        <v>0</v>
      </c>
      <c r="J10" s="56"/>
      <c r="K10" s="5"/>
      <c r="L10" s="5"/>
      <c r="M10" s="20">
        <v>1</v>
      </c>
      <c r="N10" s="20" t="s">
        <v>144</v>
      </c>
      <c r="O10" s="20">
        <v>0.001</v>
      </c>
      <c r="P10" s="20" t="s">
        <v>173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6"/>
      <c r="BQ10" s="6"/>
    </row>
    <row r="11" ht="15.75" spans="1:69">
      <c r="A11" s="5"/>
      <c r="B11" s="5"/>
      <c r="C11" s="5"/>
      <c r="D11" s="5"/>
      <c r="E11" s="5"/>
      <c r="F11" s="5"/>
      <c r="G11" s="54" t="s">
        <v>174</v>
      </c>
      <c r="H11" s="55"/>
      <c r="I11" s="61">
        <f>I9+I10</f>
        <v>432.63</v>
      </c>
      <c r="J11" s="6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6"/>
      <c r="BQ11" s="6"/>
    </row>
    <row r="12" spans="1:6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 t="s">
        <v>175</v>
      </c>
      <c r="BN12" s="5" t="s">
        <v>176</v>
      </c>
      <c r="BO12" s="5"/>
      <c r="BP12" s="6"/>
      <c r="BQ12" s="6"/>
    </row>
    <row r="13" spans="1:6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 t="s">
        <v>177</v>
      </c>
      <c r="BL13" s="5">
        <v>12.5</v>
      </c>
      <c r="BM13" s="5">
        <f>BL15*BL16</f>
        <v>18277.77</v>
      </c>
      <c r="BN13" s="5">
        <f>BL13*BL14</f>
        <v>6092.59</v>
      </c>
      <c r="BO13" s="5"/>
      <c r="BP13" s="6"/>
      <c r="BQ13" s="6"/>
    </row>
    <row r="14" spans="1:6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 t="s">
        <v>178</v>
      </c>
      <c r="BL14" s="5">
        <v>487.4072</v>
      </c>
      <c r="BM14" s="5">
        <f>BL13+BL15</f>
        <v>50</v>
      </c>
      <c r="BN14" s="5"/>
      <c r="BO14" s="5"/>
      <c r="BP14" s="6"/>
      <c r="BQ14" s="6"/>
    </row>
    <row r="15" spans="1:6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 t="s">
        <v>179</v>
      </c>
      <c r="BL15" s="5">
        <v>37.5</v>
      </c>
      <c r="BM15" s="5"/>
      <c r="BN15" s="5"/>
      <c r="BO15" s="5"/>
      <c r="BP15" s="6"/>
      <c r="BQ15" s="6"/>
    </row>
    <row r="16" spans="1:6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 t="s">
        <v>180</v>
      </c>
      <c r="BL16" s="5">
        <v>487.4072</v>
      </c>
      <c r="BM16" s="5"/>
      <c r="BN16" s="5"/>
      <c r="BO16" s="5"/>
      <c r="BP16" s="6"/>
      <c r="BQ16" s="6"/>
    </row>
    <row r="17" spans="1:6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f>BM13+BN13</f>
        <v>24370.36</v>
      </c>
      <c r="BN17" s="5">
        <f>BM17/BM14</f>
        <v>487.4072</v>
      </c>
      <c r="BO17" s="5"/>
      <c r="BP17" s="6"/>
      <c r="BQ17" s="6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P1" workbookViewId="0">
      <selection activeCell="W11" sqref="W11"/>
    </sheetView>
  </sheetViews>
  <sheetFormatPr defaultColWidth="8.71428571428571" defaultRowHeight="15" outlineLevelRow="4"/>
  <cols>
    <col min="1" max="1" style="1" width="8.71428571428571"/>
    <col min="2" max="2" customWidth="true" style="1" width="21.1428571428571"/>
    <col min="3" max="3" customWidth="true" style="1" width="21.2857142857143"/>
    <col min="4" max="18" style="1" width="8.71428571428571"/>
    <col min="19" max="19" style="1" width="9.28571428571429"/>
    <col min="20" max="20" customWidth="true" style="1" width="10.1428571428571"/>
    <col min="21" max="28" style="1" width="8.71428571428571"/>
    <col min="29" max="29" style="1" width="9.28571428571429"/>
    <col min="30" max="39" style="1" width="8.71428571428571"/>
    <col min="40" max="40" style="1" width="10.1428571428571"/>
    <col min="41" max="43" style="1" width="8.71428571428571"/>
    <col min="44" max="44" style="1" width="10.1428571428571"/>
    <col min="45" max="49" style="1" width="8.71428571428571"/>
    <col min="50" max="50" style="1" width="10.1428571428571"/>
    <col min="51" max="51" style="1" width="8.71428571428571"/>
    <col min="52" max="52" style="1" width="12.0"/>
    <col min="53" max="66" style="1" width="8.71428571428571"/>
    <col min="67" max="67" style="1" width="13.2857142857143"/>
    <col min="68" max="16384" style="1" width="8.71428571428571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2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6"/>
      <c r="BQ2" s="6"/>
    </row>
    <row r="3" ht="46.5" spans="1:69">
      <c r="A3" s="10" t="s">
        <v>158</v>
      </c>
      <c r="B3" s="10" t="s">
        <v>3</v>
      </c>
      <c r="C3" s="10" t="s">
        <v>159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52</v>
      </c>
      <c r="J3" s="11" t="s">
        <v>54</v>
      </c>
      <c r="K3" s="11" t="s">
        <v>53</v>
      </c>
      <c r="L3" s="12" t="s">
        <v>55</v>
      </c>
      <c r="M3" s="12" t="s">
        <v>56</v>
      </c>
      <c r="N3" s="12" t="s">
        <v>59</v>
      </c>
      <c r="O3" s="12" t="s">
        <v>60</v>
      </c>
      <c r="P3" s="12" t="s">
        <v>122</v>
      </c>
      <c r="Q3" s="12" t="s">
        <v>58</v>
      </c>
      <c r="R3" s="11" t="s">
        <v>61</v>
      </c>
      <c r="S3" s="10" t="s">
        <v>123</v>
      </c>
      <c r="T3" s="10" t="s">
        <v>63</v>
      </c>
      <c r="U3" s="13" t="s">
        <v>124</v>
      </c>
      <c r="V3" s="13" t="s">
        <v>65</v>
      </c>
      <c r="W3" s="13" t="s">
        <v>66</v>
      </c>
      <c r="X3" s="13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15" t="s">
        <v>72</v>
      </c>
      <c r="AD3" s="15" t="s">
        <v>73</v>
      </c>
      <c r="AE3" s="15" t="s">
        <v>74</v>
      </c>
      <c r="AF3" s="15" t="s">
        <v>75</v>
      </c>
      <c r="AG3" s="15" t="s">
        <v>76</v>
      </c>
      <c r="AH3" s="15" t="s">
        <v>77</v>
      </c>
      <c r="AI3" s="15" t="s">
        <v>78</v>
      </c>
      <c r="AJ3" s="15" t="s">
        <v>79</v>
      </c>
      <c r="AK3" s="15" t="s">
        <v>80</v>
      </c>
      <c r="AL3" s="15" t="s">
        <v>81</v>
      </c>
      <c r="AM3" s="15" t="s">
        <v>82</v>
      </c>
      <c r="AN3" s="15" t="s">
        <v>83</v>
      </c>
      <c r="AO3" s="15" t="s">
        <v>84</v>
      </c>
      <c r="AP3" s="15" t="s">
        <v>85</v>
      </c>
      <c r="AQ3" s="15" t="s">
        <v>86</v>
      </c>
      <c r="AR3" s="16" t="s">
        <v>125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44" t="s">
        <v>133</v>
      </c>
      <c r="C4" s="44" t="s">
        <v>133</v>
      </c>
      <c r="D4" s="20" t="s">
        <v>12</v>
      </c>
      <c r="E4" s="20" t="s">
        <v>12</v>
      </c>
      <c r="F4" s="22">
        <v>2</v>
      </c>
      <c r="G4" s="1" t="s">
        <v>181</v>
      </c>
      <c r="H4" s="22">
        <f>F4*G4</f>
        <v>500</v>
      </c>
      <c r="I4" s="1" t="s">
        <v>139</v>
      </c>
      <c r="J4" s="22">
        <v>8</v>
      </c>
      <c r="K4" s="22">
        <v>5</v>
      </c>
      <c r="L4" s="22">
        <f>IF(OR(I4=0,I4="0"),0,H4)</f>
        <v>500</v>
      </c>
      <c r="M4" s="22">
        <f>ROUND(L4*I4%,3)</f>
        <v>5</v>
      </c>
      <c r="N4" s="22">
        <f>H4-M4</f>
        <v>495</v>
      </c>
      <c r="O4" s="22">
        <f>ROUND(N4*J4%,3)</f>
        <v>39.6</v>
      </c>
      <c r="P4" s="22">
        <f>ROUND(N4-O4,2)</f>
        <v>455.4</v>
      </c>
      <c r="Q4" s="22">
        <f>ROUND(P4*K4%,2)</f>
        <v>22.77</v>
      </c>
      <c r="R4" s="24">
        <f>ROUND(M4+O4+Q4,3)</f>
        <v>67.37</v>
      </c>
      <c r="S4" s="22">
        <f>(H4-R4)</f>
        <v>432.63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0</v>
      </c>
      <c r="AA4" s="22">
        <f>IF($C2=3,0,(S4*Z4)/100)</f>
        <v>0</v>
      </c>
      <c r="AB4" s="22">
        <f>V4+W4+X4+Y4+AA4</f>
        <v>0</v>
      </c>
      <c r="AC4" s="25">
        <f>IF($V2=1,S4+AB4,S4)</f>
        <v>432.63</v>
      </c>
      <c r="AD4" s="24">
        <v>120</v>
      </c>
      <c r="AE4" s="24">
        <f>IF($P$2=1,(S4/$S$5)*$E$16,AD4/$AD$5*$E$16)</f>
        <v>0</v>
      </c>
      <c r="AF4" s="24"/>
      <c r="AG4" s="24">
        <f>IF($P$2=1,(S4/$S$5)*$E$18,AD4/$AD$5*$E$18)</f>
        <v>0</v>
      </c>
      <c r="AH4" s="24">
        <f>IF($P$2=1,(S4/$S$5)*$E$19,AD4/$AD$5*$E$19)</f>
        <v>0</v>
      </c>
      <c r="AI4" s="24">
        <f>S4*$M2</f>
        <v>36773.55</v>
      </c>
      <c r="AJ4" s="24">
        <f>IF($C$2=3,0,AG4+AH4)</f>
        <v>0</v>
      </c>
      <c r="AK4" s="24">
        <f>IF($C$2=3,AE4+AG4+AH4,0)</f>
        <v>0</v>
      </c>
      <c r="AL4" s="26">
        <v>1</v>
      </c>
      <c r="AM4" s="24">
        <f>F4/AL4</f>
        <v>2</v>
      </c>
      <c r="AN4" s="24">
        <f>ROUND(AI4/AM4,5)</f>
        <v>18386.775</v>
      </c>
      <c r="AO4" s="24">
        <f>AJ4/AM4</f>
        <v>0</v>
      </c>
      <c r="AP4" s="24">
        <f>AK4/AM4</f>
        <v>0</v>
      </c>
      <c r="AQ4" s="24" t="s">
        <v>12</v>
      </c>
      <c r="AR4" s="24">
        <f>ROUND(AN4+AO4+AP4,5)</f>
        <v>18386.775</v>
      </c>
      <c r="AS4" s="27" t="s">
        <v>154</v>
      </c>
      <c r="AT4" s="28" t="s">
        <v>12</v>
      </c>
      <c r="AU4" s="1" t="s">
        <v>113</v>
      </c>
      <c r="AV4" s="1" t="s">
        <v>155</v>
      </c>
      <c r="AW4" s="28">
        <f>AM4</f>
        <v>2</v>
      </c>
      <c r="AX4" s="29">
        <f>AR4</f>
        <v>18386.775</v>
      </c>
      <c r="AY4" s="28">
        <f>AU4+AW4</f>
        <v>2</v>
      </c>
      <c r="AZ4" s="28">
        <f>ROUND(((AU4*AV4)+(AW4*AX4))/(AU4+AW4),5)</f>
        <v>18386.775</v>
      </c>
      <c r="BA4" s="30"/>
      <c r="BB4" s="30" t="s">
        <v>115</v>
      </c>
      <c r="BC4" s="31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28"/>
      <c r="BK4" s="28"/>
      <c r="BL4" s="33" t="s">
        <v>156</v>
      </c>
      <c r="BM4" s="1" t="s">
        <v>182</v>
      </c>
      <c r="BN4" s="1" t="s">
        <v>183</v>
      </c>
      <c r="BO4" s="28">
        <f>ROUND((((AW4*AZ4)+(BN4*BM4))/(AW4+BN4)),5)</f>
        <v>18386.80739</v>
      </c>
      <c r="BP4" s="34">
        <f>BN4+AW4</f>
        <v>1152</v>
      </c>
      <c r="BQ4" s="35">
        <v>123562</v>
      </c>
    </row>
    <row r="5" ht="15.7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500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67.37</v>
      </c>
      <c r="S5" s="39">
        <f t="shared" si="0"/>
        <v>432.63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432.63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>IF($P$2=1,(S5/$S$5)*$E$19,AD5/$AD$5*$E$19)</f>
        <v>0</v>
      </c>
      <c r="AI5" s="43">
        <f t="shared" si="2"/>
        <v>36773.55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5"/>
      <c r="AU5" s="6"/>
      <c r="AV5" s="6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6"/>
      <c r="BQ5" s="6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O1" workbookViewId="0">
      <selection activeCell="W14" sqref="W14"/>
    </sheetView>
  </sheetViews>
  <sheetFormatPr defaultColWidth="8.71428571428571" defaultRowHeight="15" outlineLevelRow="4"/>
  <cols>
    <col min="1" max="1" style="1" width="8.71428571428571"/>
    <col min="2" max="2" customWidth="true" style="1" width="23.4285714285714"/>
    <col min="3" max="3" customWidth="true" style="1" width="29.4285714285714"/>
    <col min="4" max="18" style="1" width="8.71428571428571"/>
    <col min="19" max="19" style="1" width="9.28571428571429"/>
    <col min="20" max="20" customWidth="true" style="1" width="10.1428571428571"/>
    <col min="21" max="51" style="1" width="8.71428571428571"/>
    <col min="52" max="52" style="1" width="10.7142857142857"/>
    <col min="53" max="66" style="1" width="8.71428571428571"/>
    <col min="67" max="67" style="1" width="10.5714285714286"/>
    <col min="68" max="16384" style="1" width="8.71428571428571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2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6"/>
      <c r="BQ2" s="6"/>
    </row>
    <row r="3" ht="61.5" spans="1:69">
      <c r="A3" s="10" t="s">
        <v>158</v>
      </c>
      <c r="B3" s="10" t="s">
        <v>3</v>
      </c>
      <c r="C3" s="10" t="s">
        <v>159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52</v>
      </c>
      <c r="J3" s="11" t="s">
        <v>54</v>
      </c>
      <c r="K3" s="11" t="s">
        <v>53</v>
      </c>
      <c r="L3" s="12" t="s">
        <v>55</v>
      </c>
      <c r="M3" s="12" t="s">
        <v>56</v>
      </c>
      <c r="N3" s="12" t="s">
        <v>59</v>
      </c>
      <c r="O3" s="12" t="s">
        <v>60</v>
      </c>
      <c r="P3" s="12" t="s">
        <v>122</v>
      </c>
      <c r="Q3" s="12" t="s">
        <v>58</v>
      </c>
      <c r="R3" s="11" t="s">
        <v>61</v>
      </c>
      <c r="S3" s="10" t="s">
        <v>123</v>
      </c>
      <c r="T3" s="10" t="s">
        <v>63</v>
      </c>
      <c r="U3" s="13" t="s">
        <v>124</v>
      </c>
      <c r="V3" s="13" t="s">
        <v>65</v>
      </c>
      <c r="W3" s="13" t="s">
        <v>66</v>
      </c>
      <c r="X3" s="13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15" t="s">
        <v>72</v>
      </c>
      <c r="AD3" s="15" t="s">
        <v>73</v>
      </c>
      <c r="AE3" s="15" t="s">
        <v>74</v>
      </c>
      <c r="AF3" s="15" t="s">
        <v>75</v>
      </c>
      <c r="AG3" s="15" t="s">
        <v>76</v>
      </c>
      <c r="AH3" s="15" t="s">
        <v>77</v>
      </c>
      <c r="AI3" s="15" t="s">
        <v>78</v>
      </c>
      <c r="AJ3" s="15" t="s">
        <v>79</v>
      </c>
      <c r="AK3" s="15" t="s">
        <v>80</v>
      </c>
      <c r="AL3" s="15" t="s">
        <v>81</v>
      </c>
      <c r="AM3" s="15" t="s">
        <v>82</v>
      </c>
      <c r="AN3" s="15" t="s">
        <v>83</v>
      </c>
      <c r="AO3" s="15" t="s">
        <v>84</v>
      </c>
      <c r="AP3" s="15" t="s">
        <v>85</v>
      </c>
      <c r="AQ3" s="15" t="s">
        <v>86</v>
      </c>
      <c r="AR3" s="16" t="s">
        <v>125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44" t="s">
        <v>137</v>
      </c>
      <c r="C4" s="44" t="s">
        <v>137</v>
      </c>
      <c r="D4" s="20" t="s">
        <v>12</v>
      </c>
      <c r="E4" s="20" t="s">
        <v>12</v>
      </c>
      <c r="F4" s="22">
        <v>2</v>
      </c>
      <c r="G4" s="1" t="s">
        <v>181</v>
      </c>
      <c r="H4" s="22">
        <f>F4*G4</f>
        <v>500</v>
      </c>
      <c r="I4" s="1" t="s">
        <v>139</v>
      </c>
      <c r="J4" s="22">
        <v>8</v>
      </c>
      <c r="K4" s="22">
        <v>5</v>
      </c>
      <c r="L4" s="22">
        <f>IF(OR(I4=0,I4="0"),0,H4)</f>
        <v>500</v>
      </c>
      <c r="M4" s="22">
        <f>ROUND(L4*I4%,3)</f>
        <v>5</v>
      </c>
      <c r="N4" s="22">
        <f>H4-M4</f>
        <v>495</v>
      </c>
      <c r="O4" s="22">
        <f>ROUND(N4*J4%,3)</f>
        <v>39.6</v>
      </c>
      <c r="P4" s="22">
        <f>ROUND(N4-O4,2)</f>
        <v>455.4</v>
      </c>
      <c r="Q4" s="22">
        <f>ROUND(P4*K4%,2)</f>
        <v>22.77</v>
      </c>
      <c r="R4" s="24">
        <f>ROUND(M4+O4+Q4,3)</f>
        <v>67.37</v>
      </c>
      <c r="S4" s="22">
        <f>(H4-R4)</f>
        <v>432.63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0</v>
      </c>
      <c r="AA4" s="22">
        <f>IF($C2=3,0,(S4*Z4)/100)</f>
        <v>0</v>
      </c>
      <c r="AB4" s="22">
        <f>V4+W4+X4+Y4+AA4</f>
        <v>0</v>
      </c>
      <c r="AC4" s="25">
        <f>IF($V2=1,S4+AB4,S4)</f>
        <v>432.63</v>
      </c>
      <c r="AD4" s="24">
        <v>120</v>
      </c>
      <c r="AE4" s="24">
        <f>IF($P$2=1,(S4/$S$5)*$E$16,AD4/$AD$5*$E$16)</f>
        <v>0</v>
      </c>
      <c r="AF4" s="24"/>
      <c r="AG4" s="24">
        <f>IF($P$2=1,(S4/$S$5)*$E$18,AD4/$AD$5*$E$18)</f>
        <v>0</v>
      </c>
      <c r="AH4" s="24">
        <f>IF($P$2=1,(S4/$S$5)*$E$19,AD4/$AD$5*$E$19)</f>
        <v>0</v>
      </c>
      <c r="AI4" s="24">
        <f>S4*$M2</f>
        <v>36773.55</v>
      </c>
      <c r="AJ4" s="24">
        <f>IF($C$2=3,0,AG4+AH4)</f>
        <v>0</v>
      </c>
      <c r="AK4" s="24">
        <f>IF($C$2=3,AE4+AG4+AH4,0)</f>
        <v>0</v>
      </c>
      <c r="AL4" s="26">
        <v>1</v>
      </c>
      <c r="AM4" s="24">
        <f>F4/AL4</f>
        <v>2</v>
      </c>
      <c r="AN4" s="24">
        <f>ROUND(AI4/AM4,5)</f>
        <v>18386.775</v>
      </c>
      <c r="AO4" s="24">
        <f>AJ4/AM4</f>
        <v>0</v>
      </c>
      <c r="AP4" s="24">
        <f>AK4/AM4</f>
        <v>0</v>
      </c>
      <c r="AQ4" s="24" t="s">
        <v>12</v>
      </c>
      <c r="AR4" s="24">
        <f>ROUND(AN4+AO4+AP4,5)</f>
        <v>18386.775</v>
      </c>
      <c r="AS4" s="27" t="s">
        <v>154</v>
      </c>
      <c r="AT4" s="28" t="s">
        <v>12</v>
      </c>
      <c r="AU4" s="23" t="s">
        <v>184</v>
      </c>
      <c r="AV4" s="23" t="s">
        <v>185</v>
      </c>
      <c r="AW4" s="28">
        <f>AM4</f>
        <v>2</v>
      </c>
      <c r="AX4" s="29">
        <f>AR4</f>
        <v>18386.775</v>
      </c>
      <c r="AY4" s="28">
        <f>AU4+AW4</f>
        <v>17</v>
      </c>
      <c r="AZ4" s="28">
        <f>ROUND(((AU4*AV4)+(AW4*AX4))/(AU4+AW4),5)</f>
        <v>2199.78088</v>
      </c>
      <c r="BA4" s="30"/>
      <c r="BB4" s="30" t="s">
        <v>115</v>
      </c>
      <c r="BC4" s="31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28"/>
      <c r="BK4" s="28"/>
      <c r="BL4" s="33" t="s">
        <v>156</v>
      </c>
      <c r="BM4" s="23" t="s">
        <v>185</v>
      </c>
      <c r="BN4" s="23" t="s">
        <v>162</v>
      </c>
      <c r="BO4" s="28">
        <f>ROUND((((AW4*AZ4)+(BN4*BM4))/(AW4+BN4)),5)</f>
        <v>658.16239</v>
      </c>
      <c r="BP4" s="34">
        <f>BN4+AW4</f>
        <v>7</v>
      </c>
      <c r="BQ4" s="35">
        <v>123562</v>
      </c>
    </row>
    <row r="5" ht="15.7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500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67.37</v>
      </c>
      <c r="S5" s="39">
        <f t="shared" si="0"/>
        <v>432.63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432.63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>IF($P$2=1,(S5/$S$5)*$E$19,AD5/$AD$5*$E$19)</f>
        <v>0</v>
      </c>
      <c r="AI5" s="43">
        <f t="shared" si="2"/>
        <v>36773.55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5"/>
      <c r="AU5" s="6"/>
      <c r="AV5" s="6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6"/>
      <c r="BQ5" s="6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M1" workbookViewId="0">
      <selection activeCell="V11" sqref="V11:V12"/>
    </sheetView>
  </sheetViews>
  <sheetFormatPr defaultColWidth="8.71428571428571" defaultRowHeight="15" outlineLevelRow="4"/>
  <cols>
    <col min="1" max="1" style="1" width="8.71428571428571"/>
    <col min="2" max="2" customWidth="true" style="1" width="27.2857142857143"/>
    <col min="3" max="3" customWidth="true" style="1" width="25.4285714285714"/>
    <col min="4" max="18" style="1" width="8.71428571428571"/>
    <col min="19" max="19" style="1" width="9.28571428571429"/>
    <col min="20" max="20" customWidth="true" style="1" width="10.1428571428571"/>
    <col min="21" max="34" style="1" width="8.71428571428571"/>
    <col min="35" max="35" style="1" width="11.4285714285714"/>
    <col min="36" max="39" style="1" width="8.71428571428571"/>
    <col min="40" max="40" style="1" width="10.1428571428571"/>
    <col min="41" max="43" style="1" width="8.71428571428571"/>
    <col min="44" max="44" style="1" width="10.1428571428571"/>
    <col min="45" max="49" style="1" width="8.71428571428571"/>
    <col min="50" max="50" style="1" width="10.1428571428571"/>
    <col min="51" max="51" style="1" width="8.71428571428571"/>
    <col min="52" max="52" style="1" width="12.0"/>
    <col min="53" max="66" style="1" width="8.71428571428571"/>
    <col min="67" max="67" style="1" width="12.0"/>
    <col min="68" max="16384" style="1" width="8.71428571428571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2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6"/>
      <c r="BQ2" s="6"/>
    </row>
    <row r="3" ht="46.5" spans="1:69">
      <c r="A3" s="10" t="s">
        <v>158</v>
      </c>
      <c r="B3" s="10" t="s">
        <v>3</v>
      </c>
      <c r="C3" s="10" t="s">
        <v>159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52</v>
      </c>
      <c r="J3" s="11" t="s">
        <v>54</v>
      </c>
      <c r="K3" s="11" t="s">
        <v>53</v>
      </c>
      <c r="L3" s="12" t="s">
        <v>55</v>
      </c>
      <c r="M3" s="12" t="s">
        <v>56</v>
      </c>
      <c r="N3" s="12" t="s">
        <v>59</v>
      </c>
      <c r="O3" s="12" t="s">
        <v>60</v>
      </c>
      <c r="P3" s="12" t="s">
        <v>122</v>
      </c>
      <c r="Q3" s="12" t="s">
        <v>58</v>
      </c>
      <c r="R3" s="11" t="s">
        <v>61</v>
      </c>
      <c r="S3" s="10" t="s">
        <v>123</v>
      </c>
      <c r="T3" s="10" t="s">
        <v>63</v>
      </c>
      <c r="U3" s="13" t="s">
        <v>124</v>
      </c>
      <c r="V3" s="13" t="s">
        <v>65</v>
      </c>
      <c r="W3" s="13" t="s">
        <v>66</v>
      </c>
      <c r="X3" s="13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15" t="s">
        <v>72</v>
      </c>
      <c r="AD3" s="15" t="s">
        <v>73</v>
      </c>
      <c r="AE3" s="15" t="s">
        <v>74</v>
      </c>
      <c r="AF3" s="15" t="s">
        <v>75</v>
      </c>
      <c r="AG3" s="15" t="s">
        <v>76</v>
      </c>
      <c r="AH3" s="15" t="s">
        <v>77</v>
      </c>
      <c r="AI3" s="15" t="s">
        <v>78</v>
      </c>
      <c r="AJ3" s="15" t="s">
        <v>79</v>
      </c>
      <c r="AK3" s="15" t="s">
        <v>80</v>
      </c>
      <c r="AL3" s="15" t="s">
        <v>81</v>
      </c>
      <c r="AM3" s="15" t="s">
        <v>82</v>
      </c>
      <c r="AN3" s="15" t="s">
        <v>83</v>
      </c>
      <c r="AO3" s="15" t="s">
        <v>84</v>
      </c>
      <c r="AP3" s="15" t="s">
        <v>85</v>
      </c>
      <c r="AQ3" s="15" t="s">
        <v>86</v>
      </c>
      <c r="AR3" s="16" t="s">
        <v>125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20" t="s">
        <v>138</v>
      </c>
      <c r="C4" s="20" t="s">
        <v>138</v>
      </c>
      <c r="D4" s="20" t="s">
        <v>12</v>
      </c>
      <c r="E4" s="20" t="s">
        <v>12</v>
      </c>
      <c r="F4" s="22">
        <v>2</v>
      </c>
      <c r="G4" s="23">
        <v>250</v>
      </c>
      <c r="H4" s="22">
        <f>F4*G4</f>
        <v>500</v>
      </c>
      <c r="I4" s="23">
        <v>1</v>
      </c>
      <c r="J4" s="22">
        <v>8</v>
      </c>
      <c r="K4" s="22">
        <v>5</v>
      </c>
      <c r="L4" s="22">
        <f>IF(OR(I4=0,I4="0"),0,H4)</f>
        <v>500</v>
      </c>
      <c r="M4" s="22">
        <f>ROUND(L4*I4%,3)</f>
        <v>5</v>
      </c>
      <c r="N4" s="22">
        <f>H4-M4</f>
        <v>495</v>
      </c>
      <c r="O4" s="22">
        <f>ROUND(N4*J4%,3)</f>
        <v>39.6</v>
      </c>
      <c r="P4" s="22">
        <f>ROUND(N4-O4,2)</f>
        <v>455.4</v>
      </c>
      <c r="Q4" s="22">
        <f>ROUND(P4*K4%,2)</f>
        <v>22.77</v>
      </c>
      <c r="R4" s="24">
        <f>ROUND(M4+O4+Q4,3)</f>
        <v>67.37</v>
      </c>
      <c r="S4" s="22">
        <f>(H4-R4)</f>
        <v>432.63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0</v>
      </c>
      <c r="AA4" s="22">
        <f>IF($C2=3,0,(S4*Z4)/100)</f>
        <v>0</v>
      </c>
      <c r="AB4" s="22">
        <f>V4+W4+X4+Y4+AA4</f>
        <v>0</v>
      </c>
      <c r="AC4" s="25">
        <f>IF($V2=1,S4+AB4,S4)</f>
        <v>432.63</v>
      </c>
      <c r="AD4" s="24">
        <v>120</v>
      </c>
      <c r="AE4" s="24">
        <f>IF($P$2=1,(S4/$S$5)*$E$16,AD4/$AD$5*$E$16)</f>
        <v>0</v>
      </c>
      <c r="AF4" s="24"/>
      <c r="AG4" s="24">
        <f>IF($P$2=1,(S4/$S$5)*$E$18,AD4/$AD$5*$E$18)</f>
        <v>0</v>
      </c>
      <c r="AH4" s="24">
        <f>IF($P$2=1,(S4/$S$5)*$E$19,AD4/$AD$5*$E$19)</f>
        <v>0</v>
      </c>
      <c r="AI4" s="24">
        <f>S4*$M2</f>
        <v>36773.55</v>
      </c>
      <c r="AJ4" s="24">
        <f>IF($C$2=3,0,AG4+AH4)</f>
        <v>0</v>
      </c>
      <c r="AK4" s="24">
        <f>IF($C$2=3,AE4+AG4+AH4,0)</f>
        <v>0</v>
      </c>
      <c r="AL4" s="26">
        <v>1</v>
      </c>
      <c r="AM4" s="24">
        <f>F4/AL4</f>
        <v>2</v>
      </c>
      <c r="AN4" s="24">
        <f>ROUND(AI4/AM4,5)</f>
        <v>18386.775</v>
      </c>
      <c r="AO4" s="24">
        <f>AJ4/AM4</f>
        <v>0</v>
      </c>
      <c r="AP4" s="24">
        <f>AK4/AM4</f>
        <v>0</v>
      </c>
      <c r="AQ4" s="24" t="s">
        <v>12</v>
      </c>
      <c r="AR4" s="24">
        <f>ROUND(AN4+AO4+AP4,5)</f>
        <v>18386.775</v>
      </c>
      <c r="AS4" s="27" t="s">
        <v>154</v>
      </c>
      <c r="AT4" s="28" t="s">
        <v>12</v>
      </c>
      <c r="AU4" s="1" t="s">
        <v>113</v>
      </c>
      <c r="AV4" s="1" t="s">
        <v>155</v>
      </c>
      <c r="AW4" s="28">
        <f>AM4</f>
        <v>2</v>
      </c>
      <c r="AX4" s="29">
        <f>AR4</f>
        <v>18386.775</v>
      </c>
      <c r="AY4" s="28">
        <f>AU4+AW4</f>
        <v>2</v>
      </c>
      <c r="AZ4" s="28">
        <f>ROUND(((AU4*AV4)+(AW4*AX4))/(AU4+AW4),5)</f>
        <v>18386.775</v>
      </c>
      <c r="BA4" s="30"/>
      <c r="BB4" s="30" t="s">
        <v>115</v>
      </c>
      <c r="BC4" s="31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28"/>
      <c r="BK4" s="28"/>
      <c r="BL4" s="33" t="s">
        <v>156</v>
      </c>
      <c r="BM4" s="1" t="s">
        <v>186</v>
      </c>
      <c r="BN4" s="1" t="s">
        <v>187</v>
      </c>
      <c r="BO4" s="28">
        <f>ROUND((((AW4*AZ4)+(BN4*BM4))/(AW4+BN4)),5)</f>
        <v>18386.79818</v>
      </c>
      <c r="BP4" s="34">
        <f>BN4+AW4</f>
        <v>1107</v>
      </c>
      <c r="BQ4" s="35">
        <v>123562</v>
      </c>
    </row>
    <row r="5" ht="15.7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500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67.37</v>
      </c>
      <c r="S5" s="39">
        <f t="shared" si="0"/>
        <v>432.63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432.63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>IF($P$2=1,(S5/$S$5)*$E$19,AD5/$AD$5*$E$19)</f>
        <v>0</v>
      </c>
      <c r="AI5" s="43">
        <f t="shared" si="2"/>
        <v>36773.55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5"/>
      <c r="AU5" s="6"/>
      <c r="AV5" s="6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6"/>
      <c r="BQ5" s="6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topLeftCell="L1" workbookViewId="0">
      <selection activeCell="T13" sqref="T13"/>
    </sheetView>
  </sheetViews>
  <sheetFormatPr defaultColWidth="8.85714285714286" defaultRowHeight="15"/>
  <cols>
    <col min="1" max="1" style="23" width="8.85714285714286"/>
    <col min="2" max="2" customWidth="true" style="23" width="28.0"/>
    <col min="3" max="3" customWidth="true" style="23" width="23.0"/>
    <col min="4" max="11" style="23" width="8.85714285714286"/>
    <col min="12" max="12" customWidth="true" style="23" width="15.7142857142857"/>
    <col min="13" max="13" customWidth="true" style="23" width="9.14285714285714"/>
    <col min="14" max="14" customWidth="true" style="23" width="13.8571428571429"/>
    <col min="15" max="15" customWidth="true" style="23" width="11.2857142857143"/>
    <col min="16" max="16" customWidth="true" style="23" width="17.8571428571429"/>
    <col min="17" max="18" style="23" width="8.85714285714286"/>
    <col min="19" max="19" style="23" width="9.28571428571429"/>
    <col min="20" max="20" customWidth="true" style="23" width="10.1428571428571"/>
    <col min="21" max="51" style="23" width="8.85714285714286"/>
    <col min="52" max="52" style="23" width="10.7142857142857"/>
    <col min="53" max="63" style="23" width="8.85714285714286"/>
    <col min="64" max="64" customWidth="true" style="23" width="11.0"/>
    <col min="65" max="66" style="23" width="8.85714285714286"/>
    <col min="67" max="67" style="23" width="10.7142857142857"/>
    <col min="68" max="16384" style="23" width="8.85714285714286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2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6"/>
      <c r="BQ2" s="6"/>
    </row>
    <row r="3" ht="61.5" spans="1:69">
      <c r="A3" s="10" t="s">
        <v>158</v>
      </c>
      <c r="B3" s="10" t="s">
        <v>3</v>
      </c>
      <c r="C3" s="10" t="s">
        <v>159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52</v>
      </c>
      <c r="J3" s="11" t="s">
        <v>54</v>
      </c>
      <c r="K3" s="11" t="s">
        <v>53</v>
      </c>
      <c r="L3" s="12" t="s">
        <v>55</v>
      </c>
      <c r="M3" s="12" t="s">
        <v>56</v>
      </c>
      <c r="N3" s="12" t="s">
        <v>59</v>
      </c>
      <c r="O3" s="12" t="s">
        <v>60</v>
      </c>
      <c r="P3" s="12" t="s">
        <v>122</v>
      </c>
      <c r="Q3" s="12" t="s">
        <v>58</v>
      </c>
      <c r="R3" s="11" t="s">
        <v>61</v>
      </c>
      <c r="S3" s="10" t="s">
        <v>123</v>
      </c>
      <c r="T3" s="10" t="s">
        <v>63</v>
      </c>
      <c r="U3" s="13" t="s">
        <v>124</v>
      </c>
      <c r="V3" s="13" t="s">
        <v>65</v>
      </c>
      <c r="W3" s="13" t="s">
        <v>66</v>
      </c>
      <c r="X3" s="13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15" t="s">
        <v>72</v>
      </c>
      <c r="AD3" s="15" t="s">
        <v>73</v>
      </c>
      <c r="AE3" s="15" t="s">
        <v>74</v>
      </c>
      <c r="AF3" s="15" t="s">
        <v>75</v>
      </c>
      <c r="AG3" s="15" t="s">
        <v>76</v>
      </c>
      <c r="AH3" s="15" t="s">
        <v>77</v>
      </c>
      <c r="AI3" s="15" t="s">
        <v>78</v>
      </c>
      <c r="AJ3" s="15" t="s">
        <v>79</v>
      </c>
      <c r="AK3" s="15" t="s">
        <v>80</v>
      </c>
      <c r="AL3" s="15" t="s">
        <v>81</v>
      </c>
      <c r="AM3" s="15" t="s">
        <v>82</v>
      </c>
      <c r="AN3" s="15" t="s">
        <v>83</v>
      </c>
      <c r="AO3" s="15" t="s">
        <v>84</v>
      </c>
      <c r="AP3" s="15" t="s">
        <v>85</v>
      </c>
      <c r="AQ3" s="15" t="s">
        <v>86</v>
      </c>
      <c r="AR3" s="16" t="s">
        <v>125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20" t="s">
        <v>142</v>
      </c>
      <c r="C4" s="20" t="s">
        <v>142</v>
      </c>
      <c r="D4" s="20" t="s">
        <v>12</v>
      </c>
      <c r="E4" s="20" t="s">
        <v>12</v>
      </c>
      <c r="F4" s="22">
        <v>2</v>
      </c>
      <c r="G4" s="23">
        <v>250</v>
      </c>
      <c r="H4" s="22">
        <f>F4*G4</f>
        <v>500</v>
      </c>
      <c r="I4" s="23">
        <v>1</v>
      </c>
      <c r="J4" s="22">
        <v>8</v>
      </c>
      <c r="K4" s="22">
        <v>5</v>
      </c>
      <c r="L4" s="22">
        <f>IF(OR(I4=0,I4="0"),0,H4)</f>
        <v>500</v>
      </c>
      <c r="M4" s="22">
        <f>ROUND(L4*I4%,3)</f>
        <v>5</v>
      </c>
      <c r="N4" s="22">
        <f>H4-M4</f>
        <v>495</v>
      </c>
      <c r="O4" s="22">
        <f>ROUND(N4*J4%,3)</f>
        <v>39.6</v>
      </c>
      <c r="P4" s="22">
        <f>ROUND(N4-O4,2)</f>
        <v>455.4</v>
      </c>
      <c r="Q4" s="22">
        <f>ROUND(P4*K4%,2)</f>
        <v>22.77</v>
      </c>
      <c r="R4" s="24">
        <f>ROUND(M4+O4+Q4,3)</f>
        <v>67.37</v>
      </c>
      <c r="S4" s="22">
        <f>(H4-R4)</f>
        <v>432.63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0</v>
      </c>
      <c r="AA4" s="22">
        <f>IF($C2=3,0,(S4*Z4)/100)</f>
        <v>0</v>
      </c>
      <c r="AB4" s="22">
        <f>V4+W4+X4+Y4+AA4</f>
        <v>0</v>
      </c>
      <c r="AC4" s="25">
        <f>IF($V2=1,S4+AB4,S4)</f>
        <v>432.63</v>
      </c>
      <c r="AD4" s="24">
        <v>120</v>
      </c>
      <c r="AE4" s="24">
        <f>IF($P$2=1,(S4/$S$5)*$E$16,AD4/$AD$5*$E$16)</f>
        <v>0</v>
      </c>
      <c r="AF4" s="24"/>
      <c r="AG4" s="24">
        <f>IF($P$2=1,(S4/$S$5)*$E$18,AD4/$AD$5*$E$18)</f>
        <v>0</v>
      </c>
      <c r="AH4" s="24">
        <f>IF($P$2=1,(S4/$S$5)*$E$19,AD4/$AD$5*$E$19)</f>
        <v>0</v>
      </c>
      <c r="AI4" s="24">
        <f>S4*$M2</f>
        <v>36773.55</v>
      </c>
      <c r="AJ4" s="24">
        <f>IF($C$2=3,0,AG4+AH4)</f>
        <v>0</v>
      </c>
      <c r="AK4" s="24">
        <f>IF($C$2=3,AE4+AG4+AH4,0)</f>
        <v>0</v>
      </c>
      <c r="AL4" s="26">
        <v>1</v>
      </c>
      <c r="AM4" s="24">
        <f>F4/AL4</f>
        <v>2</v>
      </c>
      <c r="AN4" s="24">
        <f>ROUND(AI4/AM4,5)</f>
        <v>18386.775</v>
      </c>
      <c r="AO4" s="24">
        <f>AJ4/AM4</f>
        <v>0</v>
      </c>
      <c r="AP4" s="24">
        <f>AK4/AM4</f>
        <v>0</v>
      </c>
      <c r="AQ4" s="24" t="s">
        <v>12</v>
      </c>
      <c r="AR4" s="24">
        <f>ROUND(AN4+AO4+AP4,5)</f>
        <v>18386.775</v>
      </c>
      <c r="AS4" s="27" t="s">
        <v>154</v>
      </c>
      <c r="AT4" s="28" t="s">
        <v>12</v>
      </c>
      <c r="AU4" s="23" t="s">
        <v>188</v>
      </c>
      <c r="AV4" s="23" t="s">
        <v>185</v>
      </c>
      <c r="AW4" s="28">
        <f>AM4</f>
        <v>2</v>
      </c>
      <c r="AX4" s="29">
        <f>AR4</f>
        <v>18386.775</v>
      </c>
      <c r="AY4" s="28">
        <f>AU4+AW4</f>
        <v>12</v>
      </c>
      <c r="AZ4" s="28">
        <f>ROUND(((AU4*AV4)+(AW4*AX4))/(AU4+AW4),5)</f>
        <v>3099.05833</v>
      </c>
      <c r="BA4" s="30"/>
      <c r="BB4" s="30" t="s">
        <v>115</v>
      </c>
      <c r="BC4" s="31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28"/>
      <c r="BK4" s="28"/>
      <c r="BL4" s="33" t="s">
        <v>156</v>
      </c>
      <c r="BM4" s="23" t="s">
        <v>185</v>
      </c>
      <c r="BN4" s="23" t="s">
        <v>162</v>
      </c>
      <c r="BO4" s="28">
        <f>ROUND((((AW4*AZ4)+(BN4*BM4))/(AW4+BN4)),5)</f>
        <v>915.09881</v>
      </c>
      <c r="BP4" s="34">
        <f>BN4+AW4</f>
        <v>7</v>
      </c>
      <c r="BQ4" s="35">
        <v>123562</v>
      </c>
    </row>
    <row r="5" ht="15.7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500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67.37</v>
      </c>
      <c r="S5" s="39">
        <f t="shared" si="0"/>
        <v>432.63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432.63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>IF($P$2=1,(S5/$S$5)*$E$19,AD5/$AD$5*$E$19)</f>
        <v>0</v>
      </c>
      <c r="AI5" s="43">
        <f t="shared" si="2"/>
        <v>36773.55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5"/>
      <c r="AU5" s="6"/>
      <c r="AV5" s="6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6"/>
      <c r="BQ5" s="6"/>
    </row>
    <row r="6" ht="15.75" spans="1:69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6"/>
      <c r="BQ6" s="6"/>
    </row>
    <row r="7" ht="15.75" spans="1:69">
      <c r="A7" s="5"/>
      <c r="B7" s="5"/>
      <c r="C7" s="5"/>
      <c r="D7" s="5"/>
      <c r="E7" s="5"/>
      <c r="F7" s="5"/>
      <c r="G7" s="54" t="s">
        <v>163</v>
      </c>
      <c r="H7" s="55"/>
      <c r="I7" s="56">
        <f>H5</f>
        <v>500</v>
      </c>
      <c r="J7" s="56"/>
      <c r="K7" s="5"/>
      <c r="L7" s="5"/>
      <c r="M7" s="57" t="s">
        <v>164</v>
      </c>
      <c r="N7" s="58"/>
      <c r="O7" s="58"/>
      <c r="P7" s="59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 t="s">
        <v>165</v>
      </c>
      <c r="BI7" s="148" t="s">
        <v>166</v>
      </c>
      <c r="BJ7" s="5"/>
      <c r="BK7" s="5"/>
      <c r="BL7" s="5"/>
      <c r="BM7" s="5"/>
      <c r="BN7" s="5"/>
      <c r="BO7" s="5"/>
      <c r="BP7" s="6"/>
      <c r="BQ7" s="6"/>
    </row>
    <row r="8" ht="15.75" spans="1:69">
      <c r="A8" s="5"/>
      <c r="B8" s="5"/>
      <c r="C8" s="5"/>
      <c r="D8" s="5"/>
      <c r="E8" s="5"/>
      <c r="F8" s="5"/>
      <c r="G8" s="54" t="s">
        <v>167</v>
      </c>
      <c r="H8" s="55"/>
      <c r="I8" s="56">
        <f>R5</f>
        <v>67.37</v>
      </c>
      <c r="J8" s="56"/>
      <c r="K8" s="5"/>
      <c r="L8" s="5"/>
      <c r="M8" s="60">
        <v>1</v>
      </c>
      <c r="N8" s="60" t="s">
        <v>12</v>
      </c>
      <c r="O8" s="60">
        <v>2</v>
      </c>
      <c r="P8" s="60" t="s">
        <v>144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 t="s">
        <v>168</v>
      </c>
      <c r="BI8" s="148" t="s">
        <v>169</v>
      </c>
      <c r="BJ8" s="5"/>
      <c r="BK8" s="5"/>
      <c r="BL8" s="5"/>
      <c r="BM8" s="5"/>
      <c r="BN8" s="5"/>
      <c r="BO8" s="5"/>
      <c r="BP8" s="6"/>
      <c r="BQ8" s="6"/>
    </row>
    <row r="9" ht="15.75" spans="1:69">
      <c r="A9" s="5"/>
      <c r="B9" s="5"/>
      <c r="C9" s="5"/>
      <c r="D9" s="5"/>
      <c r="E9" s="5"/>
      <c r="F9" s="5"/>
      <c r="G9" s="54" t="s">
        <v>170</v>
      </c>
      <c r="H9" s="55"/>
      <c r="I9" s="56">
        <f>S5</f>
        <v>432.63</v>
      </c>
      <c r="J9" s="56"/>
      <c r="K9" s="5"/>
      <c r="L9" s="5"/>
      <c r="M9" s="20">
        <v>1</v>
      </c>
      <c r="N9" s="20" t="s">
        <v>12</v>
      </c>
      <c r="O9" s="20">
        <v>2.5</v>
      </c>
      <c r="P9" s="20" t="s">
        <v>171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6"/>
      <c r="BQ9" s="6"/>
    </row>
    <row r="10" ht="15.75" spans="1:69">
      <c r="A10" s="5"/>
      <c r="B10" s="5"/>
      <c r="C10" s="5"/>
      <c r="D10" s="5"/>
      <c r="E10" s="5"/>
      <c r="F10" s="5"/>
      <c r="G10" s="54" t="s">
        <v>172</v>
      </c>
      <c r="H10" s="55"/>
      <c r="I10" s="56">
        <f>AB5</f>
        <v>0</v>
      </c>
      <c r="J10" s="56"/>
      <c r="K10" s="5"/>
      <c r="L10" s="5"/>
      <c r="M10" s="20">
        <v>1</v>
      </c>
      <c r="N10" s="20" t="s">
        <v>144</v>
      </c>
      <c r="O10" s="20">
        <v>0.001</v>
      </c>
      <c r="P10" s="20" t="s">
        <v>173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6"/>
      <c r="BQ10" s="6"/>
    </row>
    <row r="11" ht="15.75" spans="1:69">
      <c r="A11" s="5"/>
      <c r="B11" s="5"/>
      <c r="C11" s="5"/>
      <c r="D11" s="5"/>
      <c r="E11" s="5"/>
      <c r="F11" s="5"/>
      <c r="G11" s="54" t="s">
        <v>174</v>
      </c>
      <c r="H11" s="55"/>
      <c r="I11" s="61">
        <f>I9+I10</f>
        <v>432.63</v>
      </c>
      <c r="J11" s="6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6"/>
      <c r="BQ11" s="6"/>
    </row>
    <row r="12" spans="1:6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 t="s">
        <v>175</v>
      </c>
      <c r="BN12" s="5" t="s">
        <v>176</v>
      </c>
      <c r="BO12" s="5"/>
      <c r="BP12" s="6"/>
      <c r="BQ12" s="6"/>
    </row>
    <row r="13" spans="1:6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 t="s">
        <v>177</v>
      </c>
      <c r="BL13" s="5">
        <v>12.5</v>
      </c>
      <c r="BM13" s="5">
        <f>BL15*BL16</f>
        <v>18277.77</v>
      </c>
      <c r="BN13" s="5">
        <f>BL13*BL14</f>
        <v>6092.59</v>
      </c>
      <c r="BO13" s="5"/>
      <c r="BP13" s="6"/>
      <c r="BQ13" s="6"/>
    </row>
    <row r="14" spans="1:6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 t="s">
        <v>178</v>
      </c>
      <c r="BL14" s="5">
        <v>487.4072</v>
      </c>
      <c r="BM14" s="5">
        <f>BL13+BL15</f>
        <v>50</v>
      </c>
      <c r="BN14" s="5"/>
      <c r="BO14" s="5"/>
      <c r="BP14" s="6"/>
      <c r="BQ14" s="6"/>
    </row>
    <row r="15" spans="1:6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 t="s">
        <v>179</v>
      </c>
      <c r="BL15" s="5">
        <v>37.5</v>
      </c>
      <c r="BM15" s="5"/>
      <c r="BN15" s="5"/>
      <c r="BO15" s="5"/>
      <c r="BP15" s="6"/>
      <c r="BQ15" s="6"/>
    </row>
    <row r="16" spans="1:6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 t="s">
        <v>180</v>
      </c>
      <c r="BL16" s="5">
        <v>487.4072</v>
      </c>
      <c r="BM16" s="5"/>
      <c r="BN16" s="5"/>
      <c r="BO16" s="5"/>
      <c r="BP16" s="6"/>
      <c r="BQ16" s="6"/>
    </row>
    <row r="17" spans="1:6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f>BM13+BN13</f>
        <v>24370.36</v>
      </c>
      <c r="BN17" s="5">
        <f>BM17/BM14</f>
        <v>487.4072</v>
      </c>
      <c r="BO17" s="5"/>
      <c r="BP17" s="6"/>
      <c r="BQ17" s="6"/>
    </row>
    <row r="18" spans="1:6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6"/>
      <c r="BQ18" s="6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R1" workbookViewId="0">
      <selection activeCell="W12" sqref="W12"/>
    </sheetView>
  </sheetViews>
  <sheetFormatPr defaultColWidth="9.85714285714286" defaultRowHeight="15" outlineLevelRow="4"/>
  <cols>
    <col min="1" max="1" style="1" width="9.85714285714286"/>
    <col min="2" max="2" customWidth="true" style="1" width="25.5714285714286"/>
    <col min="3" max="3" customWidth="true" style="1" width="26.0"/>
    <col min="4" max="19" style="1" width="9.85714285714286"/>
    <col min="20" max="20" customWidth="true" style="1" width="10.1428571428571"/>
    <col min="21" max="16384" style="1" width="9.85714285714286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5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1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5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</row>
    <row r="3" ht="61.5" spans="1:69">
      <c r="A3" s="45" t="s">
        <v>2</v>
      </c>
      <c r="B3" s="45" t="s">
        <v>3</v>
      </c>
      <c r="C3" s="46" t="s">
        <v>4</v>
      </c>
      <c r="D3" s="45" t="s">
        <v>5</v>
      </c>
      <c r="E3" s="45" t="s">
        <v>6</v>
      </c>
      <c r="F3" s="47" t="s">
        <v>51</v>
      </c>
      <c r="G3" s="45" t="s">
        <v>8</v>
      </c>
      <c r="H3" s="45" t="s">
        <v>9</v>
      </c>
      <c r="I3" s="48" t="s">
        <v>52</v>
      </c>
      <c r="J3" s="48" t="s">
        <v>53</v>
      </c>
      <c r="K3" s="48" t="s">
        <v>54</v>
      </c>
      <c r="L3" s="49" t="s">
        <v>55</v>
      </c>
      <c r="M3" s="49" t="s">
        <v>56</v>
      </c>
      <c r="N3" s="49" t="s">
        <v>57</v>
      </c>
      <c r="O3" s="49" t="s">
        <v>58</v>
      </c>
      <c r="P3" s="49" t="s">
        <v>59</v>
      </c>
      <c r="Q3" s="49" t="s">
        <v>60</v>
      </c>
      <c r="R3" s="48" t="s">
        <v>61</v>
      </c>
      <c r="S3" s="45" t="s">
        <v>62</v>
      </c>
      <c r="T3" s="45" t="s">
        <v>63</v>
      </c>
      <c r="U3" s="14" t="s">
        <v>64</v>
      </c>
      <c r="V3" s="14" t="s">
        <v>65</v>
      </c>
      <c r="W3" s="14" t="s">
        <v>66</v>
      </c>
      <c r="X3" s="14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50" t="s">
        <v>72</v>
      </c>
      <c r="AD3" s="50" t="s">
        <v>73</v>
      </c>
      <c r="AE3" s="51" t="s">
        <v>74</v>
      </c>
      <c r="AF3" s="51" t="s">
        <v>75</v>
      </c>
      <c r="AG3" s="51" t="s">
        <v>76</v>
      </c>
      <c r="AH3" s="50" t="s">
        <v>77</v>
      </c>
      <c r="AI3" s="50" t="s">
        <v>78</v>
      </c>
      <c r="AJ3" s="51" t="s">
        <v>79</v>
      </c>
      <c r="AK3" s="51" t="s">
        <v>80</v>
      </c>
      <c r="AL3" s="50" t="s">
        <v>81</v>
      </c>
      <c r="AM3" s="50" t="s">
        <v>82</v>
      </c>
      <c r="AN3" s="51" t="s">
        <v>83</v>
      </c>
      <c r="AO3" s="51" t="s">
        <v>84</v>
      </c>
      <c r="AP3" s="51" t="s">
        <v>85</v>
      </c>
      <c r="AQ3" s="50" t="s">
        <v>86</v>
      </c>
      <c r="AR3" s="52" t="s">
        <v>87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44" t="s">
        <v>143</v>
      </c>
      <c r="C4" s="20" t="s">
        <v>143</v>
      </c>
      <c r="D4" s="20" t="s">
        <v>12</v>
      </c>
      <c r="E4" s="20" t="s">
        <v>144</v>
      </c>
      <c r="F4" s="22">
        <v>3</v>
      </c>
      <c r="G4" s="22">
        <v>250</v>
      </c>
      <c r="H4" s="22">
        <f>F4*G4</f>
        <v>750</v>
      </c>
      <c r="I4" s="22">
        <v>1</v>
      </c>
      <c r="J4" s="22">
        <v>8</v>
      </c>
      <c r="K4" s="22">
        <v>5</v>
      </c>
      <c r="L4" s="22">
        <f>H4</f>
        <v>750</v>
      </c>
      <c r="M4" s="22">
        <f>ROUND(L4*I4%,2)</f>
        <v>7.5</v>
      </c>
      <c r="N4" s="22">
        <f>H4-M4</f>
        <v>742.5</v>
      </c>
      <c r="O4" s="22">
        <f>ROUND(N4*J4%,2)</f>
        <v>59.4</v>
      </c>
      <c r="P4" s="22">
        <f>ROUND(N4-O4,2)</f>
        <v>683.1</v>
      </c>
      <c r="Q4" s="22">
        <f>ROUND(P4*K4%,2)</f>
        <v>34.16</v>
      </c>
      <c r="R4" s="22">
        <f>M4+O4+Q4</f>
        <v>101.06</v>
      </c>
      <c r="S4" s="22">
        <f>(H4-R4)</f>
        <v>648.94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4</v>
      </c>
      <c r="AA4" s="22">
        <f>IF($C2=3,0,(S4*Z4)/100)</f>
        <v>0</v>
      </c>
      <c r="AB4" s="22">
        <f>V4+W4+X4+Y4+AA4</f>
        <v>0</v>
      </c>
      <c r="AC4" s="22">
        <f>IF($V2=1,S4+AB4,S4)</f>
        <v>648.94</v>
      </c>
      <c r="AD4" s="22">
        <v>120</v>
      </c>
      <c r="AE4" s="22">
        <f>IF($P$2=1,(S4/$S$5)*$E$16,AD4/$AD$5*$E$16)</f>
        <v>0</v>
      </c>
      <c r="AF4" s="22"/>
      <c r="AG4" s="22">
        <f>IF($P$2=1,(S4/$S$5)*$E$18,AD4/$AD$5*$E$18)</f>
        <v>0</v>
      </c>
      <c r="AH4" s="22">
        <f>IF($P$2=1,(S4/$S$5)*$E$18,AD4/$AD$5*$E$18)</f>
        <v>0</v>
      </c>
      <c r="AI4" s="22">
        <f>S4*$M$2</f>
        <v>55159.9</v>
      </c>
      <c r="AJ4" s="22">
        <f>IF($C$2=3,0,AG4+AH4)</f>
        <v>0</v>
      </c>
      <c r="AK4" s="22">
        <f>IF($C$2=3,AE4+AG4+AH4,0)</f>
        <v>0</v>
      </c>
      <c r="AL4" s="22">
        <v>3</v>
      </c>
      <c r="AM4" s="22">
        <f>F4/AL4</f>
        <v>1</v>
      </c>
      <c r="AN4" s="22">
        <f>AI4/AM4</f>
        <v>55159.9</v>
      </c>
      <c r="AO4" s="22">
        <f>AJ4/AM4</f>
        <v>0</v>
      </c>
      <c r="AP4" s="22">
        <f>AK4/AM4</f>
        <v>0</v>
      </c>
      <c r="AQ4" s="22" t="s">
        <v>12</v>
      </c>
      <c r="AR4" s="6">
        <f>ROUND(AN4+AO4+AP4,5)</f>
        <v>55159.9</v>
      </c>
      <c r="AS4" s="6" t="s">
        <v>154</v>
      </c>
      <c r="AT4" s="28" t="s">
        <v>12</v>
      </c>
      <c r="AU4" s="1" t="s">
        <v>113</v>
      </c>
      <c r="AV4" s="1" t="s">
        <v>189</v>
      </c>
      <c r="AW4" s="28">
        <f>AM4</f>
        <v>1</v>
      </c>
      <c r="AX4" s="28">
        <f>AR4</f>
        <v>55159.9</v>
      </c>
      <c r="AY4" s="28">
        <f>AU4+AW4</f>
        <v>1</v>
      </c>
      <c r="AZ4" s="28">
        <f>ROUND(((AU4*AV4)+(AW4*AX4))/(AU4+AW4),5)</f>
        <v>55159.9</v>
      </c>
      <c r="BA4" s="30"/>
      <c r="BB4" s="30" t="s">
        <v>115</v>
      </c>
      <c r="BC4" s="53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6"/>
      <c r="BK4" s="6"/>
      <c r="BL4" s="28" t="s">
        <v>156</v>
      </c>
      <c r="BM4" s="1" t="s">
        <v>190</v>
      </c>
      <c r="BN4" s="1" t="s">
        <v>191</v>
      </c>
      <c r="BO4" s="28">
        <f>ROUND((((AW4*AZ4)+(BN4*BM4))/(AW4+BN4)),5)</f>
        <v>55159.94877</v>
      </c>
      <c r="BP4" s="34">
        <f>BN4+AW4</f>
        <v>1</v>
      </c>
      <c r="BQ4" s="35">
        <v>123562</v>
      </c>
    </row>
    <row r="5" ht="15.7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101.06</v>
      </c>
      <c r="S5" s="39">
        <f t="shared" si="0"/>
        <v>648.94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648.94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 t="shared" si="2"/>
        <v>0</v>
      </c>
      <c r="AI5" s="43">
        <f t="shared" si="2"/>
        <v>55159.9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</row>
  </sheetData>
  <mergeCells count="1">
    <mergeCell ref="A2:B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H1" workbookViewId="0">
      <selection activeCell="U11" sqref="U11"/>
    </sheetView>
  </sheetViews>
  <sheetFormatPr defaultColWidth="8.71428571428571" defaultRowHeight="15" outlineLevelRow="4"/>
  <cols>
    <col min="1" max="1" style="1" width="8.71428571428571"/>
    <col min="2" max="3" customWidth="true" style="1" width="26.5428571428571"/>
    <col min="4" max="18" style="1" width="8.71428571428571"/>
    <col min="19" max="19" style="1" width="9.28571428571429"/>
    <col min="20" max="20" customWidth="true" style="1" width="10.1428571428571"/>
    <col min="21" max="66" style="1" width="8.71428571428571"/>
    <col min="67" max="67" style="1" width="13.2857142857143"/>
    <col min="68" max="68" style="1" width="12.8571428571429"/>
    <col min="69" max="16384" style="1" width="8.71428571428571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2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6"/>
      <c r="BQ2" s="6"/>
    </row>
    <row r="3" ht="61.5" spans="1:69">
      <c r="A3" s="10" t="s">
        <v>158</v>
      </c>
      <c r="B3" s="10" t="s">
        <v>3</v>
      </c>
      <c r="C3" s="10" t="s">
        <v>159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52</v>
      </c>
      <c r="J3" s="11" t="s">
        <v>54</v>
      </c>
      <c r="K3" s="11" t="s">
        <v>53</v>
      </c>
      <c r="L3" s="12" t="s">
        <v>55</v>
      </c>
      <c r="M3" s="12" t="s">
        <v>56</v>
      </c>
      <c r="N3" s="12" t="s">
        <v>59</v>
      </c>
      <c r="O3" s="12" t="s">
        <v>60</v>
      </c>
      <c r="P3" s="12" t="s">
        <v>122</v>
      </c>
      <c r="Q3" s="12" t="s">
        <v>58</v>
      </c>
      <c r="R3" s="11" t="s">
        <v>61</v>
      </c>
      <c r="S3" s="10" t="s">
        <v>123</v>
      </c>
      <c r="T3" s="10" t="s">
        <v>63</v>
      </c>
      <c r="U3" s="13" t="s">
        <v>124</v>
      </c>
      <c r="V3" s="13" t="s">
        <v>65</v>
      </c>
      <c r="W3" s="13" t="s">
        <v>66</v>
      </c>
      <c r="X3" s="13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15" t="s">
        <v>72</v>
      </c>
      <c r="AD3" s="15" t="s">
        <v>73</v>
      </c>
      <c r="AE3" s="15" t="s">
        <v>74</v>
      </c>
      <c r="AF3" s="15" t="s">
        <v>75</v>
      </c>
      <c r="AG3" s="15" t="s">
        <v>76</v>
      </c>
      <c r="AH3" s="15" t="s">
        <v>77</v>
      </c>
      <c r="AI3" s="15" t="s">
        <v>78</v>
      </c>
      <c r="AJ3" s="15" t="s">
        <v>79</v>
      </c>
      <c r="AK3" s="15" t="s">
        <v>80</v>
      </c>
      <c r="AL3" s="15" t="s">
        <v>81</v>
      </c>
      <c r="AM3" s="15" t="s">
        <v>82</v>
      </c>
      <c r="AN3" s="15" t="s">
        <v>83</v>
      </c>
      <c r="AO3" s="15" t="s">
        <v>84</v>
      </c>
      <c r="AP3" s="15" t="s">
        <v>85</v>
      </c>
      <c r="AQ3" s="15" t="s">
        <v>86</v>
      </c>
      <c r="AR3" s="16" t="s">
        <v>125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44" t="s">
        <v>148</v>
      </c>
      <c r="C4" s="44" t="s">
        <v>148</v>
      </c>
      <c r="D4" s="20" t="s">
        <v>12</v>
      </c>
      <c r="E4" s="20" t="s">
        <v>144</v>
      </c>
      <c r="F4" s="22">
        <v>3</v>
      </c>
      <c r="G4" s="1" t="s">
        <v>181</v>
      </c>
      <c r="H4" s="22">
        <f>F4*G4</f>
        <v>750</v>
      </c>
      <c r="I4" s="1" t="s">
        <v>139</v>
      </c>
      <c r="J4" s="22">
        <v>8</v>
      </c>
      <c r="K4" s="22">
        <v>5</v>
      </c>
      <c r="L4" s="22">
        <f>IF(OR(I4=0,I4="0"),0,H4)</f>
        <v>750</v>
      </c>
      <c r="M4" s="22">
        <f>ROUND(L4*I4%,3)</f>
        <v>7.5</v>
      </c>
      <c r="N4" s="22">
        <f>H4-M4</f>
        <v>742.5</v>
      </c>
      <c r="O4" s="22">
        <f>ROUND(N4*J4%,3)</f>
        <v>59.4</v>
      </c>
      <c r="P4" s="22">
        <f>ROUND(N4-O4,2)</f>
        <v>683.1</v>
      </c>
      <c r="Q4" s="22">
        <f>ROUND(P4*K4%,2)</f>
        <v>34.16</v>
      </c>
      <c r="R4" s="24">
        <f>ROUND(M4+O4+Q4,3)</f>
        <v>101.06</v>
      </c>
      <c r="S4" s="22">
        <f>(H4-R4)</f>
        <v>648.94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0</v>
      </c>
      <c r="AA4" s="22">
        <f>IF($C2=3,0,(S4*Z4)/100)</f>
        <v>0</v>
      </c>
      <c r="AB4" s="22">
        <f>V4+W4+X4+Y4+AA4</f>
        <v>0</v>
      </c>
      <c r="AC4" s="25">
        <f>IF($V2=1,S4+AB4,S4)</f>
        <v>648.94</v>
      </c>
      <c r="AD4" s="24">
        <v>120</v>
      </c>
      <c r="AE4" s="24">
        <f>IF($P$2=1,(S4/$S$5)*$E$16,AD4/$AD$5*$E$16)</f>
        <v>0</v>
      </c>
      <c r="AF4" s="24"/>
      <c r="AG4" s="24">
        <f>IF($P$2=1,(S4/$S$5)*$E$18,AD4/$AD$5*$E$18)</f>
        <v>0</v>
      </c>
      <c r="AH4" s="24">
        <f>IF($P$2=1,(S4/$S$5)*$E$19,AD4/$AD$5*$E$19)</f>
        <v>0</v>
      </c>
      <c r="AI4" s="24">
        <f>S4*$M2</f>
        <v>55159.9</v>
      </c>
      <c r="AJ4" s="24">
        <f>IF($C$2=3,0,AG4+AH4)</f>
        <v>0</v>
      </c>
      <c r="AK4" s="24">
        <f>IF($C$2=3,AE4+AG4+AH4,0)</f>
        <v>0</v>
      </c>
      <c r="AL4" s="26">
        <v>3</v>
      </c>
      <c r="AM4" s="24">
        <f>F4/AL4</f>
        <v>1</v>
      </c>
      <c r="AN4" s="24">
        <f>ROUND(AI4/AM4,5)</f>
        <v>55159.9</v>
      </c>
      <c r="AO4" s="24">
        <f>AJ4/AM4</f>
        <v>0</v>
      </c>
      <c r="AP4" s="24">
        <f>AK4/AM4</f>
        <v>0</v>
      </c>
      <c r="AQ4" s="24" t="s">
        <v>12</v>
      </c>
      <c r="AR4" s="24">
        <f>ROUND(AN4+AO4+AP4,5)</f>
        <v>55159.9</v>
      </c>
      <c r="AS4" s="27" t="s">
        <v>154</v>
      </c>
      <c r="AT4" s="28" t="s">
        <v>12</v>
      </c>
      <c r="AU4" s="1" t="s">
        <v>113</v>
      </c>
      <c r="AV4" s="1" t="s">
        <v>189</v>
      </c>
      <c r="AW4" s="28">
        <f>AM4</f>
        <v>1</v>
      </c>
      <c r="AX4" s="29">
        <f>AR4</f>
        <v>55159.9</v>
      </c>
      <c r="AY4" s="28">
        <f>AU4+AW4</f>
        <v>1</v>
      </c>
      <c r="AZ4" s="28">
        <f>ROUND(((AU4*AV4)+(AW4*AX4))/(AU4+AW4),5)</f>
        <v>55159.9</v>
      </c>
      <c r="BA4" s="30"/>
      <c r="BB4" s="30" t="s">
        <v>115</v>
      </c>
      <c r="BC4" s="31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28"/>
      <c r="BK4" s="28"/>
      <c r="BL4" s="33" t="s">
        <v>156</v>
      </c>
      <c r="BM4" s="1" t="s">
        <v>192</v>
      </c>
      <c r="BN4" s="1" t="s">
        <v>193</v>
      </c>
      <c r="BO4" s="28">
        <f>ROUND((((AW4*AZ4)+(BN4*BM4))/(AW4+BN4)),5)</f>
        <v>55159.9875</v>
      </c>
      <c r="BP4" s="34">
        <f>BN4+AW4</f>
        <v>192.66</v>
      </c>
      <c r="BQ4" s="35">
        <v>123562</v>
      </c>
    </row>
    <row r="5" ht="15.7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101.06</v>
      </c>
      <c r="S5" s="39">
        <f t="shared" si="0"/>
        <v>648.94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648.94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>IF($P$2=1,(S5/$S$5)*$E$19,AD5/$AD$5*$E$19)</f>
        <v>0</v>
      </c>
      <c r="AI5" s="43">
        <f t="shared" si="2"/>
        <v>55159.9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5"/>
      <c r="AU5" s="6"/>
      <c r="AV5" s="6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6"/>
      <c r="BQ5" s="6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E1" workbookViewId="0">
      <selection activeCell="N11" sqref="N11"/>
    </sheetView>
  </sheetViews>
  <sheetFormatPr defaultColWidth="8.71428571428571" defaultRowHeight="15" outlineLevelRow="4"/>
  <cols>
    <col min="1" max="1" style="1" width="8.71428571428571"/>
    <col min="2" max="2" customWidth="true" style="1" width="27.2857142857143"/>
    <col min="3" max="3" customWidth="true" style="1" width="25.4285714285714"/>
    <col min="4" max="18" style="1" width="8.71428571428571"/>
    <col min="19" max="19" style="1" width="9.28571428571429"/>
    <col min="20" max="20" customWidth="true" style="1" width="10.1428571428571"/>
    <col min="21" max="51" style="1" width="8.71428571428571"/>
    <col min="52" max="52" style="1" width="9.0"/>
    <col min="53" max="66" style="1" width="8.71428571428571"/>
    <col min="67" max="67" style="1" width="13.2857142857143"/>
    <col min="68" max="16384" style="1" width="8.71428571428571"/>
  </cols>
  <sheetData>
    <row r="1" spans="1:69">
      <c r="A1" s="2" t="s">
        <v>42</v>
      </c>
      <c r="B1" s="3"/>
      <c r="C1" s="3"/>
      <c r="D1" s="3"/>
      <c r="E1" s="3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6"/>
      <c r="BQ1" s="6"/>
    </row>
    <row r="2" ht="15.75" spans="1:69">
      <c r="A2" s="7" t="s">
        <v>43</v>
      </c>
      <c r="B2" s="7"/>
      <c r="C2" s="8">
        <v>3</v>
      </c>
      <c r="D2" s="9" t="s">
        <v>44</v>
      </c>
      <c r="E2" s="3"/>
      <c r="F2" s="3"/>
      <c r="G2" s="3"/>
      <c r="H2" s="2"/>
      <c r="I2" s="4" t="s">
        <v>45</v>
      </c>
      <c r="J2" s="4" t="s">
        <v>46</v>
      </c>
      <c r="K2" s="4"/>
      <c r="L2" s="4" t="s">
        <v>47</v>
      </c>
      <c r="M2" s="4">
        <v>85</v>
      </c>
      <c r="N2" s="4"/>
      <c r="O2" s="4" t="s">
        <v>48</v>
      </c>
      <c r="P2" s="4">
        <v>2</v>
      </c>
      <c r="Q2" s="4" t="s">
        <v>49</v>
      </c>
      <c r="R2" s="2"/>
      <c r="S2" s="2"/>
      <c r="T2" s="2"/>
      <c r="U2" s="2"/>
      <c r="V2" s="2">
        <v>1</v>
      </c>
      <c r="W2" s="2" t="s">
        <v>50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6"/>
      <c r="BQ2" s="6"/>
    </row>
    <row r="3" ht="61.5" spans="1:69">
      <c r="A3" s="10" t="s">
        <v>158</v>
      </c>
      <c r="B3" s="10" t="s">
        <v>3</v>
      </c>
      <c r="C3" s="10" t="s">
        <v>159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52</v>
      </c>
      <c r="J3" s="11" t="s">
        <v>54</v>
      </c>
      <c r="K3" s="11" t="s">
        <v>53</v>
      </c>
      <c r="L3" s="12" t="s">
        <v>55</v>
      </c>
      <c r="M3" s="12" t="s">
        <v>56</v>
      </c>
      <c r="N3" s="12" t="s">
        <v>59</v>
      </c>
      <c r="O3" s="12" t="s">
        <v>60</v>
      </c>
      <c r="P3" s="12" t="s">
        <v>122</v>
      </c>
      <c r="Q3" s="12" t="s">
        <v>58</v>
      </c>
      <c r="R3" s="11" t="s">
        <v>61</v>
      </c>
      <c r="S3" s="10" t="s">
        <v>123</v>
      </c>
      <c r="T3" s="10" t="s">
        <v>63</v>
      </c>
      <c r="U3" s="13" t="s">
        <v>124</v>
      </c>
      <c r="V3" s="13" t="s">
        <v>65</v>
      </c>
      <c r="W3" s="13" t="s">
        <v>66</v>
      </c>
      <c r="X3" s="13" t="s">
        <v>67</v>
      </c>
      <c r="Y3" s="14" t="s">
        <v>68</v>
      </c>
      <c r="Z3" s="14" t="s">
        <v>69</v>
      </c>
      <c r="AA3" s="14" t="s">
        <v>70</v>
      </c>
      <c r="AB3" s="14" t="s">
        <v>71</v>
      </c>
      <c r="AC3" s="15" t="s">
        <v>72</v>
      </c>
      <c r="AD3" s="15" t="s">
        <v>73</v>
      </c>
      <c r="AE3" s="15" t="s">
        <v>74</v>
      </c>
      <c r="AF3" s="15" t="s">
        <v>75</v>
      </c>
      <c r="AG3" s="15" t="s">
        <v>76</v>
      </c>
      <c r="AH3" s="15" t="s">
        <v>77</v>
      </c>
      <c r="AI3" s="15" t="s">
        <v>78</v>
      </c>
      <c r="AJ3" s="15" t="s">
        <v>79</v>
      </c>
      <c r="AK3" s="15" t="s">
        <v>80</v>
      </c>
      <c r="AL3" s="15" t="s">
        <v>81</v>
      </c>
      <c r="AM3" s="15" t="s">
        <v>82</v>
      </c>
      <c r="AN3" s="15" t="s">
        <v>83</v>
      </c>
      <c r="AO3" s="15" t="s">
        <v>84</v>
      </c>
      <c r="AP3" s="15" t="s">
        <v>85</v>
      </c>
      <c r="AQ3" s="15" t="s">
        <v>86</v>
      </c>
      <c r="AR3" s="16" t="s">
        <v>125</v>
      </c>
      <c r="AS3" s="17" t="s">
        <v>88</v>
      </c>
      <c r="AT3" s="17" t="s">
        <v>86</v>
      </c>
      <c r="AU3" s="18" t="s">
        <v>89</v>
      </c>
      <c r="AV3" s="18" t="s">
        <v>90</v>
      </c>
      <c r="AW3" s="18" t="s">
        <v>91</v>
      </c>
      <c r="AX3" s="18" t="s">
        <v>92</v>
      </c>
      <c r="AY3" s="18" t="s">
        <v>93</v>
      </c>
      <c r="AZ3" s="18" t="s">
        <v>94</v>
      </c>
      <c r="BA3" s="18" t="s">
        <v>95</v>
      </c>
      <c r="BB3" s="18" t="s">
        <v>96</v>
      </c>
      <c r="BC3" s="19" t="s">
        <v>97</v>
      </c>
      <c r="BD3" s="19" t="s">
        <v>98</v>
      </c>
      <c r="BE3" s="19" t="s">
        <v>99</v>
      </c>
      <c r="BF3" s="18" t="s">
        <v>100</v>
      </c>
      <c r="BG3" s="18" t="s">
        <v>101</v>
      </c>
      <c r="BH3" s="18" t="s">
        <v>102</v>
      </c>
      <c r="BI3" s="18" t="s">
        <v>103</v>
      </c>
      <c r="BJ3" s="18" t="s">
        <v>104</v>
      </c>
      <c r="BK3" s="18" t="s">
        <v>105</v>
      </c>
      <c r="BL3" s="18" t="s">
        <v>106</v>
      </c>
      <c r="BM3" s="18" t="s">
        <v>107</v>
      </c>
      <c r="BN3" s="18" t="s">
        <v>108</v>
      </c>
      <c r="BO3" s="18" t="s">
        <v>94</v>
      </c>
      <c r="BP3" s="18" t="s">
        <v>109</v>
      </c>
      <c r="BQ3" s="18" t="s">
        <v>63</v>
      </c>
    </row>
    <row r="4" ht="15.75" spans="1:69">
      <c r="A4" s="20">
        <v>1</v>
      </c>
      <c r="B4" s="21" t="s">
        <v>151</v>
      </c>
      <c r="C4" s="21" t="s">
        <v>151</v>
      </c>
      <c r="D4" s="20" t="s">
        <v>12</v>
      </c>
      <c r="E4" s="20" t="s">
        <v>144</v>
      </c>
      <c r="F4" s="22">
        <v>3</v>
      </c>
      <c r="G4" s="23">
        <v>250</v>
      </c>
      <c r="H4" s="22">
        <f>F4*G4</f>
        <v>750</v>
      </c>
      <c r="I4" s="23">
        <v>1</v>
      </c>
      <c r="J4" s="22">
        <v>8</v>
      </c>
      <c r="K4" s="22">
        <v>5</v>
      </c>
      <c r="L4" s="22">
        <f>IF(OR(I4=0,I4="0"),0,H4)</f>
        <v>750</v>
      </c>
      <c r="M4" s="22">
        <f>ROUND(L4*I4%,3)</f>
        <v>7.5</v>
      </c>
      <c r="N4" s="22">
        <f>H4-M4</f>
        <v>742.5</v>
      </c>
      <c r="O4" s="22">
        <f>ROUND(N4*J4%,3)</f>
        <v>59.4</v>
      </c>
      <c r="P4" s="22">
        <f>ROUND(N4-O4,2)</f>
        <v>683.1</v>
      </c>
      <c r="Q4" s="22">
        <f>ROUND(P4*K4%,2)</f>
        <v>34.16</v>
      </c>
      <c r="R4" s="24">
        <f>ROUND(M4+O4+Q4,3)</f>
        <v>101.06</v>
      </c>
      <c r="S4" s="22">
        <f>(H4-R4)</f>
        <v>648.94</v>
      </c>
      <c r="T4" s="22">
        <v>88363222</v>
      </c>
      <c r="U4" s="22">
        <v>0</v>
      </c>
      <c r="V4" s="22">
        <f>IF(OR($C$2=1,$C$2=4),ROUND((((S4*U4)/100)/2),2),0)</f>
        <v>0</v>
      </c>
      <c r="W4" s="22">
        <f>IF($C$2=1,ROUND((((S4*U4)/100)/2),2),0)</f>
        <v>0</v>
      </c>
      <c r="X4" s="22">
        <f>IF($C$2=2,ROUND(((S4*U4)/100),2),0)</f>
        <v>0</v>
      </c>
      <c r="Y4" s="22">
        <f>IF($C$2=4,ROUND((((S4*U4)/100)/2),2),0)</f>
        <v>0</v>
      </c>
      <c r="Z4" s="22">
        <v>0</v>
      </c>
      <c r="AA4" s="22">
        <f>IF($C2=3,0,(S4*Z4)/100)</f>
        <v>0</v>
      </c>
      <c r="AB4" s="22">
        <f>V4+W4+X4+Y4+AA4</f>
        <v>0</v>
      </c>
      <c r="AC4" s="25">
        <f>IF($V2=1,S4+AB4,S4)</f>
        <v>648.94</v>
      </c>
      <c r="AD4" s="24">
        <v>120</v>
      </c>
      <c r="AE4" s="24">
        <f>IF($P$2=1,(S4/$S$5)*$E$16,AD4/$AD$5*$E$16)</f>
        <v>0</v>
      </c>
      <c r="AF4" s="24"/>
      <c r="AG4" s="24">
        <f>IF($P$2=1,(S4/$S$5)*$E$18,AD4/$AD$5*$E$18)</f>
        <v>0</v>
      </c>
      <c r="AH4" s="24">
        <f>IF($P$2=1,(S4/$S$5)*$E$19,AD4/$AD$5*$E$19)</f>
        <v>0</v>
      </c>
      <c r="AI4" s="24">
        <f>S4*$M2</f>
        <v>55159.9</v>
      </c>
      <c r="AJ4" s="24">
        <f>IF($C$2=3,0,AG4+AH4)</f>
        <v>0</v>
      </c>
      <c r="AK4" s="24">
        <f>IF($C$2=3,AE4+AG4+AH4,0)</f>
        <v>0</v>
      </c>
      <c r="AL4" s="26">
        <v>3</v>
      </c>
      <c r="AM4" s="24">
        <f>F4/AL4</f>
        <v>1</v>
      </c>
      <c r="AN4" s="24">
        <f>ROUND(AI4/AM4,5)</f>
        <v>55159.9</v>
      </c>
      <c r="AO4" s="24">
        <f>AJ4/AM4</f>
        <v>0</v>
      </c>
      <c r="AP4" s="24">
        <f>AK4/AM4</f>
        <v>0</v>
      </c>
      <c r="AQ4" s="24" t="s">
        <v>12</v>
      </c>
      <c r="AR4" s="24">
        <f>ROUND(AN4+AO4+AP4,5)</f>
        <v>55159.9</v>
      </c>
      <c r="AS4" s="27" t="s">
        <v>154</v>
      </c>
      <c r="AT4" s="28" t="s">
        <v>12</v>
      </c>
      <c r="AU4" s="1" t="s">
        <v>113</v>
      </c>
      <c r="AV4" s="1" t="s">
        <v>189</v>
      </c>
      <c r="AW4" s="28">
        <f>AM4</f>
        <v>1</v>
      </c>
      <c r="AX4" s="29">
        <f>AR4</f>
        <v>55159.9</v>
      </c>
      <c r="AY4" s="28">
        <f>AU4+AW4</f>
        <v>1</v>
      </c>
      <c r="AZ4" s="28">
        <f>ROUND(((AU4*AV4)+(AW4*AX4))/(AU4+AW4),5)</f>
        <v>55159.9</v>
      </c>
      <c r="BA4" s="30"/>
      <c r="BB4" s="30" t="s">
        <v>115</v>
      </c>
      <c r="BC4" s="31" t="s">
        <v>116</v>
      </c>
      <c r="BD4" s="32" t="s">
        <v>117</v>
      </c>
      <c r="BE4" s="32" t="s">
        <v>118</v>
      </c>
      <c r="BF4" s="30"/>
      <c r="BG4" s="30"/>
      <c r="BH4" s="30"/>
      <c r="BI4" s="28"/>
      <c r="BJ4" s="28"/>
      <c r="BK4" s="28"/>
      <c r="BL4" s="33" t="s">
        <v>156</v>
      </c>
      <c r="BM4" s="1" t="s">
        <v>194</v>
      </c>
      <c r="BN4" s="1" t="s">
        <v>195</v>
      </c>
      <c r="BO4" s="28">
        <f>ROUND((((AW4*AZ4)+(BN4*BM4))/(AW4+BN4)),5)</f>
        <v>55159.9601</v>
      </c>
      <c r="BP4" s="34">
        <f>BN4+AW4</f>
        <v>154.331</v>
      </c>
      <c r="BQ4" s="35">
        <v>123562</v>
      </c>
    </row>
    <row r="5" ht="15.75" spans="1:69">
      <c r="A5" s="5"/>
      <c r="B5" s="36"/>
      <c r="C5" s="36"/>
      <c r="D5" s="37" t="s">
        <v>41</v>
      </c>
      <c r="E5" s="37"/>
      <c r="F5" s="37"/>
      <c r="G5" s="38"/>
      <c r="H5" s="39">
        <f>SUM(H4:H4)</f>
        <v>750</v>
      </c>
      <c r="I5" s="20"/>
      <c r="J5" s="20"/>
      <c r="K5" s="20"/>
      <c r="L5" s="20"/>
      <c r="M5" s="20"/>
      <c r="N5" s="20"/>
      <c r="O5" s="20"/>
      <c r="P5" s="20"/>
      <c r="Q5" s="20"/>
      <c r="R5" s="40">
        <f t="shared" ref="R5:X5" si="0">SUM(R4:R4)</f>
        <v>101.06</v>
      </c>
      <c r="S5" s="39">
        <f t="shared" si="0"/>
        <v>648.94</v>
      </c>
      <c r="T5" s="40"/>
      <c r="U5" s="40"/>
      <c r="V5" s="41">
        <f t="shared" si="0"/>
        <v>0</v>
      </c>
      <c r="W5" s="41">
        <f t="shared" si="0"/>
        <v>0</v>
      </c>
      <c r="X5" s="41">
        <f t="shared" si="0"/>
        <v>0</v>
      </c>
      <c r="Y5" s="41"/>
      <c r="Z5" s="41"/>
      <c r="AA5" s="41"/>
      <c r="AB5" s="40">
        <f t="shared" ref="AB5:AE5" si="1">SUM(AB4:AB4)</f>
        <v>0</v>
      </c>
      <c r="AC5" s="42">
        <f t="shared" si="1"/>
        <v>648.94</v>
      </c>
      <c r="AD5" s="43">
        <f t="shared" si="1"/>
        <v>120</v>
      </c>
      <c r="AE5" s="43">
        <f t="shared" si="1"/>
        <v>0</v>
      </c>
      <c r="AF5" s="42"/>
      <c r="AG5" s="43">
        <f t="shared" ref="AG5:AK5" si="2">SUM(AG4:AG4)</f>
        <v>0</v>
      </c>
      <c r="AH5" s="43">
        <f>IF($P$2=1,(S5/$S$5)*$E$19,AD5/$AD$5*$E$19)</f>
        <v>0</v>
      </c>
      <c r="AI5" s="43">
        <f t="shared" si="2"/>
        <v>55159.9</v>
      </c>
      <c r="AJ5" s="43">
        <f t="shared" si="2"/>
        <v>0</v>
      </c>
      <c r="AK5" s="43">
        <f t="shared" si="2"/>
        <v>0</v>
      </c>
      <c r="AL5" s="42"/>
      <c r="AM5" s="42"/>
      <c r="AN5" s="42"/>
      <c r="AO5" s="42"/>
      <c r="AP5" s="42"/>
      <c r="AQ5" s="42"/>
      <c r="AR5" s="42"/>
      <c r="AS5" s="5"/>
      <c r="AT5" s="5"/>
      <c r="AU5" s="6"/>
      <c r="AV5" s="6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6"/>
      <c r="BQ5" s="6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ImportDirectGRNUDGeneralSameUOM</vt:lpstr>
      <vt:lpstr>ImportDirectGRNUDServiceSameUOM</vt:lpstr>
      <vt:lpstr>ImportDirectGRNRCGeneralSameUOM</vt:lpstr>
      <vt:lpstr>ImportDirectGRNRCServiceSameUOM</vt:lpstr>
      <vt:lpstr>ImportDirectGRNPLGeneralSameUOM</vt:lpstr>
      <vt:lpstr>ImportDirectGRNPLServiceSameUOM</vt:lpstr>
      <vt:lpstr>ImportDirectGRNUDGeneralDiffUOM</vt:lpstr>
      <vt:lpstr>ImportDirectGRNRCGeneralDiffUOM</vt:lpstr>
      <vt:lpstr>ImportDirectGRNPLGeneralDiffUOM</vt:lpstr>
      <vt:lpstr>ImportPoToGRNUDGeneralSameUOM</vt:lpstr>
      <vt:lpstr>ImportPoToGRNUDServiceSameUOM</vt:lpstr>
      <vt:lpstr>ImportPoToGRNRCGeneralSameUOM</vt:lpstr>
      <vt:lpstr>ImportPoToGRNRCServiceSameUOM</vt:lpstr>
      <vt:lpstr>ImportPoToGRNPLGeneralSameUOM</vt:lpstr>
      <vt:lpstr>ImportPoToGRNPLServiceSameUOM</vt:lpstr>
      <vt:lpstr>ImportPoToGRNUDGeneralDiffUOM</vt:lpstr>
      <vt:lpstr>ImportPoToGRNRCGeneralDiffUOM</vt:lpstr>
      <vt:lpstr>ImportPoToGRNPLGeneralDiffUOM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2025-12-11T12:04:00Z</dcterms:created>
  <dc:creator>Administrator</dc:creator>
  <cp:lastModifiedBy>Administrator</cp:lastModifiedBy>
  <dcterms:modified xsi:type="dcterms:W3CDTF">2026-09-21T13:59:27Z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4E9ECC40A3E54A168E585F45F91ADEB2_12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