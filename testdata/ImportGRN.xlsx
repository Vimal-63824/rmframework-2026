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2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<sst xmlns="http://schemas.openxmlformats.org/spreadsheetml/2006/main" count="2788" uniqueCount="211">
  <si>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</si>
  <si>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</si>
  <si>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</si>
  <si>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</si>
  <si>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</si>
  <si>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</si>
  <si>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</si>
  <si>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</si>
  <si>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</si>
  <si>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</si>
  <si>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</si>
  <si>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</si>
  <si>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</si>
  <si>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</si>
  <si>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</si>
  <si>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</si>
  <si>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</si>
  <si>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</si>
  <si>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</si>
  <si>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</si>
  <si>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</si>
  <si>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</si>
  <si>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</si>
  <si>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</si>
  <si>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</si>
  <si>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</si>
  <si>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</si>
  <si>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</si>
  <si>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</si>
  <si>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</si>
  <si>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</si>
  <si>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</si>
  <si>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</si>
  <si>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</si>
  <si>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</si>
  <si>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</si>
  <si>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</si>
  <si>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</si>
  <si>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</si>
  <si>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</si>
  <si>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</si>
  <si>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</si>
  <si>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</si>
  <si>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</si>
  <si>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</si>
  <si>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</si>
  <si>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</si>
  <si>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</si>
  <si>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</si>
  <si>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</si>
  <si>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</si>
  <si>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</si>
  <si>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</si>
  <si>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</si>
  <si>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</si>
  <si>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</si>
  <si>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</si>
  <si>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</si>
  <si>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</si>
  <si>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</si>
  <si>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</si>
  <si>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</si>
  <si>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</si>
  <si>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</si>
  <si>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</si>
  <si>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</si>
  <si>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</si>
  <si>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</si>
  <si>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</si>
  <si>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</si>
  <si>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</si>
  <si>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</si>
  <si>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</si>
  <si>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</si>
  <si>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</si>
  <si>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</si>
  <si>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</si>
  <si>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</si>
  <si>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</si>
  <si>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</si>
  <si>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</si>
  <si>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</si>
  <si>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</si>
  <si>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</si>
  <si>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</si>
  <si>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</si>
  <si>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</si>
  <si>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</si>
  <si>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</si>
  <si>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</si>
  <si>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</si>
  <si>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</si>
  <si>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</si>
  <si>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</si>
  <si>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</si>
  <si>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</si>
  <si>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</si>
  <si>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</si>
  <si>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</si>
  <si>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</si>
  <si>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</si>
  <si>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</si>
  <si>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</si>
  <si>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</si>
  <si>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</si>
  <si>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</si>
  <si>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</si>
  <si>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</si>
  <si>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</si>
  <si>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</si>
  <si>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</si>
  <si>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</si>
  <si>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</si>
  <si>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</si>
  <si>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</si>
  <si>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</si>
  <si>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</si>
  <si>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</si>
  <si>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</si>
  <si>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</si>
  <si>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8033.52</t>
  </si>
  <si>
    <t>70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</si>
  <si>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</si>
  <si>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</si>
  <si>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</si>
  <si>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</si>
  <si>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</si>
  <si>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</si>
  <si>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</si>
  <si>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</si>
  <si>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</si>
  <si>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</si>
  <si>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</si>
  <si>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</si>
  <si>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</si>
  <si>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62</t>
  </si>
  <si>
    <t>ITEM-GWL-SERVICE-RC-02</t>
  </si>
  <si>
    <t>ITEM-GWL-SIMILAR-PL-02</t>
  </si>
  <si>
    <t>1</t>
  </si>
  <si>
    <t>44</t>
  </si>
  <si>
    <t>ITEM-GWL-SERVICE-PL-02</t>
  </si>
  <si>
    <t>ITEM-GWL-DISSIMILAR-04</t>
  </si>
  <si>
    <t>KGS</t>
  </si>
  <si>
    <t>59375.9</t>
  </si>
  <si>
    <t>25</t>
  </si>
  <si>
    <t>ITEM-GWL-DISSIMILAR-RC-04</t>
  </si>
  <si>
    <t>ITEM-GWL-DISSIMILAR-PL-04</t>
  </si>
  <si>
    <t>20</t>
  </si>
  <si>
    <t>INS WH-1</t>
  </si>
  <si>
    <t>18386.775</t>
  </si>
  <si>
    <t>RM WH-49</t>
  </si>
  <si>
    <t>14156.1407</t>
  </si>
  <si>
    <t>113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</si>
  <si>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</si>
  <si>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</si>
  <si>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</si>
  <si>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</si>
  <si>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</si>
  <si>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</si>
  <si>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</si>
  <si>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</si>
  <si>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</si>
  <si>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</si>
  <si>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</si>
  <si>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</si>
  <si>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</si>
  <si>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</si>
  <si>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</si>
  <si>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</si>
  <si>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</si>
  <si>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</si>
  <si>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</si>
  <si>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</si>
  <si>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</si>
  <si>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</si>
  <si>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</si>
  <si>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</si>
  <si>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</si>
  <si>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</si>
  <si>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16</t>
  </si>
  <si>
    <t>10</t>
  </si>
  <si>
    <t>55159.9</t>
  </si>
  <si>
    <t>282</t>
  </si>
  <si>
    <t>7945.84822</t>
  </si>
  <si>
    <t>276</t>
  </si>
  <si>
    <t>254</t>
  </si>
  <si>
    <t>132</t>
  </si>
  <si>
    <t>127</t>
  </si>
  <si>
    <t>124</t>
  </si>
  <si>
    <t>323</t>
  </si>
  <si>
    <t>16906.70787</t>
  </si>
  <si>
    <t>200</t>
  </si>
  <si>
    <t>212</t>
  </si>
  <si>
    <t>119</t>
  </si>
  <si>
    <t>98</t>
  </si>
  <si>
    <t>96</t>
  </si>
  <si>
    <t>284</t>
  </si>
  <si>
    <t>7945.64436</t>
  </si>
  <si>
    <t>256</t>
  </si>
  <si>
    <t>133</t>
  </si>
  <si>
    <t>286</t>
  </si>
  <si>
    <t>7945.44335</t>
  </si>
  <si>
    <t>288</t>
  </si>
  <si>
    <t>7945.24513</t>
  </si>
  <si>
    <t>278</t>
  </si>
  <si>
    <t>258</t>
  </si>
  <si>
    <t>290</t>
  </si>
  <si>
    <t>7945.04965</t>
  </si>
  <si>
    <t>280</t>
  </si>
  <si>
    <t>260</t>
  </si>
  <si>
    <t>134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</si>
</sst>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 s="0">
        <v>207</v>
      </c>
      <c r="BN23" t="s" s="0">
        <v>206</v>
      </c>
      <c r="BO23" s="121">
        <f>ROUND((((AW23*AZ23)+(BN23*BM23))/(AW23+BN23)),5)</f>
        <v>5978.94273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7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 s="0">
        <v>134</v>
      </c>
      <c r="BN23" t="s" s="0">
        <v>208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136</v>
      </c>
      <c r="C23" s="44" t="s">
        <v>136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137</v>
      </c>
      <c r="C23" s="88" t="s">
        <v>137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134</v>
      </c>
      <c r="BN23" t="s" s="0">
        <v>209</v>
      </c>
      <c r="BO23" s="104">
        <f>ROUND((((AW23*AZ23)+(BN23*BM23))/(AW23+BN23)),5)</f>
        <v>8482.8221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" workbookViewId="0">
      <selection activeCell="BP23" sqref="BP23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140</v>
      </c>
      <c r="C23" s="88" t="s">
        <v>140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6" workbookViewId="0">
      <selection activeCell="O19" sqref="O19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141</v>
      </c>
      <c r="C23" s="44" t="s">
        <v>141</v>
      </c>
      <c r="D23" s="88" t="s">
        <v>12</v>
      </c>
      <c r="E23" s="88" t="s">
        <v>142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210</v>
      </c>
      <c r="BO23" s="104">
        <f>ROUND((((AW23*AZ23)+(BN23*BM23))/(AW23+BN23)),5)</f>
        <v>9181.28366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P25" sqref="BP25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145</v>
      </c>
      <c r="C23" s="44" t="s">
        <v>145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187</v>
      </c>
      <c r="BO23" s="104">
        <f>ROUND((((AW23*AZ23)+(BN23*BM23))/(AW23+BN23)),5)</f>
        <v>26398.17586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M21" sqref="M21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21" t="s">
        <v>146</v>
      </c>
      <c r="C23" s="21" t="s">
        <v>146</v>
      </c>
      <c r="D23" s="88" t="s">
        <v>12</v>
      </c>
      <c r="E23" s="88" t="s">
        <v>12</v>
      </c>
      <c r="F23" s="103">
        <v>3</v>
      </c>
      <c r="G23" s="0">
        <v>250</v>
      </c>
      <c r="H23" s="104">
        <f>F23*G23</f>
        <v>750</v>
      </c>
      <c r="I23" t="s" s="0">
        <v>138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188</v>
      </c>
      <c r="BO23" s="104">
        <f>ROUND((((AW23*AZ23)+(BN23*BM23))/(AW23+BN23)),5)</f>
        <v>25610.66503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AT14" sqref="AT1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34" style="1" width="9.85714285714286"/>
    <col min="35" max="35" style="1" width="11.4285714285714"/>
    <col min="36" max="38" style="1" width="9.85714285714286"/>
    <col min="39" max="39" customWidth="true" style="1" width="17.4285714285714"/>
    <col min="40" max="43" style="1" width="9.85714285714286"/>
    <col min="44" max="44" customWidth="true" style="1" width="25.7142857142857"/>
    <col min="45" max="49" style="1" width="9.85714285714286"/>
    <col min="50" max="50" customWidth="true" style="1" width="16.7142857142857"/>
    <col min="5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148</v>
      </c>
      <c r="AT4" s="28" t="s">
        <v>12</v>
      </c>
      <c r="AU4" t="s" s="1">
        <v>113</v>
      </c>
      <c r="AV4" t="s" s="1">
        <v>149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t="s" s="1">
        <v>190</v>
      </c>
      <c r="BN4" t="s" s="1">
        <v>189</v>
      </c>
      <c r="BO4" s="28">
        <f>ROUND((((AW4*AZ4)+(BN4*BM4))/(AW4+BN4)),5)</f>
        <v>13833.80666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P1" workbookViewId="0">
      <selection activeCell="M3" sqref="M3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155</v>
      </c>
      <c r="AV4" s="23" t="s">
        <v>156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156</v>
      </c>
      <c r="BN4" s="23" t="s">
        <v>157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W1" workbookViewId="0">
      <selection activeCell="BF13" sqref="BF13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8" style="1" width="8.71428571428571"/>
    <col min="19" max="19" style="1" width="9.28571428571429"/>
    <col min="20" max="20" customWidth="true" style="1" width="10.1428571428571"/>
    <col min="21" max="28" style="1" width="8.71428571428571"/>
    <col min="29" max="29" style="1" width="9.28571428571429"/>
    <col min="30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149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149</v>
      </c>
      <c r="BN4" t="s" s="1">
        <v>191</v>
      </c>
      <c r="BO4" s="28">
        <f>ROUND((((AW4*AZ4)+(BN4*BM4))/(AW4+BN4)),5)</f>
        <v>18386.775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Y9" sqref="Y9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136</v>
      </c>
      <c r="C4" s="44" t="s">
        <v>136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177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AO1" workbookViewId="0">
      <selection activeCell="BA10" sqref="BA10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34" style="1" width="8.71428571428571"/>
    <col min="35" max="35" style="1" width="11.4285714285714"/>
    <col min="36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149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149</v>
      </c>
      <c r="BN4" t="s" s="1">
        <v>192</v>
      </c>
      <c r="BO4" s="28">
        <f>ROUND((((AW4*AZ4)+(BN4*BM4))/(AW4+BN4)),5)</f>
        <v>18386.775</v>
      </c>
      <c r="BP4" s="34">
        <f>BN4+AW4</f>
        <v>1107</v>
      </c>
      <c r="BQ4" s="35">
        <v>123562</v>
      </c>
    </row>
    <row r="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8" style="23" width="8.85714285714286"/>
    <col min="19" max="19" style="23" width="9.28571428571429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180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S4" sqref="S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148</v>
      </c>
      <c r="AT4" s="28" t="s">
        <v>12</v>
      </c>
      <c r="AU4" t="s" s="1">
        <v>113</v>
      </c>
      <c r="AV4" t="s" s="1">
        <v>181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t="s" s="1">
        <v>181</v>
      </c>
      <c r="BN4" t="s" s="1">
        <v>193</v>
      </c>
      <c r="BO4" s="28">
        <f>ROUND((((AW4*AZ4)+(BN4*BM4))/(AW4+BN4)),5)</f>
        <v>55159.9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U12" sqref="U12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8" style="1" width="8.71428571428571"/>
    <col min="19" max="19" style="1" width="9.28571428571429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145</v>
      </c>
      <c r="C4" s="44" t="s">
        <v>145</v>
      </c>
      <c r="D4" s="20" t="s">
        <v>12</v>
      </c>
      <c r="E4" s="20" t="s">
        <v>142</v>
      </c>
      <c r="F4" s="22">
        <v>3</v>
      </c>
      <c r="G4" s="1" t="s">
        <v>176</v>
      </c>
      <c r="H4" s="22">
        <f>F4*G4</f>
        <v>750</v>
      </c>
      <c r="I4" s="1" t="s">
        <v>138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t="s" s="1">
        <v>113</v>
      </c>
      <c r="AV4" t="s" s="1">
        <v>181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181</v>
      </c>
      <c r="BN4" t="s" s="1">
        <v>194</v>
      </c>
      <c r="BO4" s="28">
        <f>ROUND((((AW4*AZ4)+(BN4*BM4))/(AW4+BN4)),5)</f>
        <v>55159.9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AE11" sqref="AE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t="s" s="1">
        <v>113</v>
      </c>
      <c r="AV4" t="s" s="1">
        <v>181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181</v>
      </c>
      <c r="BN4" t="s" s="1">
        <v>195</v>
      </c>
      <c r="BO4" s="28">
        <f>ROUND((((AW4*AZ4)+(BN4*BM4))/(AW4+BN4)),5)</f>
        <v>55159.9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2026-04-30T14:02:13Z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