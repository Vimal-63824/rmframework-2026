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 firstSheet="12" activeTab="13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  <sheet name="ImportPoToGRNUDGeneralSameUOM" sheetId="11" r:id="rId10"/>
    <sheet name="ImportPoToGRNUDServiceSameUOM" sheetId="12" r:id="rId11"/>
    <sheet name="ImportPoToGRNRCGeneralSameUOM" sheetId="13" r:id="rId12"/>
    <sheet name="ImportPoToGRNRCServiceSameUOM" sheetId="14" r:id="rId13"/>
    <sheet name="ImportPoToGRNPLGeneralSameUOM" sheetId="15" r:id="rId14"/>
    <sheet name="ImportPoToGRNPLServiceSameUOM" sheetId="16" r:id="rId15"/>
    <sheet name="ImportPoToGRNUDGeneralDiffUOM" sheetId="17" r:id="rId16"/>
    <sheet name="ImportPoToGRNRCGeneralDiffUOM" sheetId="18" r:id="rId17"/>
    <sheet name="ImportPoToGRNPLGeneralDiffUOM" sheetId="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<sst xmlns="http://schemas.openxmlformats.org/spreadsheetml/2006/main" count="3344" uniqueCount="272">
  <si>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</si>
  <si>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</si>
  <si>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</si>
  <si>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</si>
  <si>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</si>
  <si>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</si>
  <si>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</si>
  <si>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</si>
  <si>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</si>
  <si>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</si>
  <si>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</si>
  <si>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</si>
  <si>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</si>
  <si>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</si>
  <si>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</si>
  <si>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</si>
  <si>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</si>
  <si>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</si>
  <si>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</si>
  <si>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</si>
  <si>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</si>
  <si>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</si>
  <si>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</si>
  <si>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</si>
  <si>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</si>
  <si>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</si>
  <si>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</si>
  <si>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</si>
  <si>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</si>
  <si>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</si>
  <si>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</si>
  <si>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</si>
  <si>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</si>
  <si>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</si>
  <si>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</si>
  <si>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</si>
  <si>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</si>
  <si>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</si>
  <si>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</si>
  <si>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</si>
  <si>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</si>
  <si>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</si>
  <si>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</si>
  <si>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</si>
  <si>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</si>
  <si>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</si>
  <si>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</si>
  <si>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</si>
  <si>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</si>
  <si>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</si>
  <si>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</si>
  <si>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</si>
  <si>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</si>
  <si>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</si>
  <si>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</si>
  <si>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</si>
  <si>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</si>
  <si>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</si>
  <si>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</si>
  <si>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</si>
  <si>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</si>
  <si>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</si>
  <si>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</si>
  <si>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</si>
  <si>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</si>
  <si>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</si>
  <si>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</si>
  <si>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</si>
  <si>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</si>
  <si>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</si>
  <si>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</si>
  <si>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</si>
  <si>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</si>
  <si>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</si>
  <si>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</si>
  <si>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</si>
  <si>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</si>
  <si>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</si>
  <si>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</si>
  <si>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</si>
  <si>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</si>
  <si>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</si>
  <si>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</si>
  <si>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</si>
  <si>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</si>
  <si>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</si>
  <si>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</si>
  <si>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</si>
  <si>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</si>
  <si>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</si>
  <si>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</si>
  <si>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</si>
  <si>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</si>
  <si>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</si>
  <si>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</si>
  <si>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</si>
  <si>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</si>
  <si>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</si>
  <si>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</si>
  <si>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</si>
  <si>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</si>
  <si>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</si>
  <si>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</si>
  <si>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</si>
  <si>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</si>
  <si>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</si>
  <si>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</si>
  <si>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</si>
  <si>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</si>
  <si>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</si>
  <si>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ITEM-GWL-SIMILAR-02</t>
  </si>
  <si>
    <t>HSN1</t>
  </si>
  <si>
    <t>INS</t>
  </si>
  <si>
    <t>0</t>
  </si>
  <si>
    <t>7916.9</t>
  </si>
  <si>
    <t>Receipt Qty &amp; Unit cost</t>
  </si>
  <si>
    <t>LOT</t>
  </si>
  <si>
    <t>RM</t>
  </si>
  <si>
    <t>RMS</t>
  </si>
  <si>
    <t>RM KD</t>
  </si>
  <si>
    <t>8033.52</t>
  </si>
  <si>
    <t>70</t>
  </si>
  <si>
    <t>VD Asbl. Val.</t>
  </si>
  <si>
    <t>Pur. Value</t>
  </si>
  <si>
    <t>Tax%</t>
  </si>
  <si>
    <t>Unit cost (Stk. UOM)</t>
  </si>
  <si>
    <t>ITEM-GWL-SERVICE-02</t>
  </si>
  <si>
    <t>116.334</t>
  </si>
  <si>
    <t>6294.86566</t>
  </si>
  <si>
    <t>246.36</t>
  </si>
  <si>
    <t>120</t>
  </si>
  <si>
    <t>Before Qty</t>
  </si>
  <si>
    <t>Before Unit Cost</t>
  </si>
  <si>
    <t>ITEM-GWL-SIMILAR-RC-02</t>
  </si>
  <si>
    <t>19792.25</t>
  </si>
  <si>
    <t>62</t>
  </si>
  <si>
    <t>ITEM-GWL-SERVICE-RC-02</t>
  </si>
  <si>
    <t>ITEM-GWL-SIMILAR-PL-02</t>
  </si>
  <si>
    <t>1</t>
  </si>
  <si>
    <t>44</t>
  </si>
  <si>
    <t>ITEM-GWL-SERVICE-PL-02</t>
  </si>
  <si>
    <t>ITEM-GWL-DISSIMILAR-04</t>
  </si>
  <si>
    <t>KGS</t>
  </si>
  <si>
    <t>59375.9</t>
  </si>
  <si>
    <t>25</t>
  </si>
  <si>
    <t>ITEM-GWL-DISSIMILAR-RC-04</t>
  </si>
  <si>
    <t>ITEM-GWL-DISSIMILAR-PL-04</t>
  </si>
  <si>
    <t>20</t>
  </si>
  <si>
    <t>INS WH-1</t>
  </si>
  <si>
    <t>18386.775</t>
  </si>
  <si>
    <t>RM WH-49</t>
  </si>
  <si>
    <t>14156.1407</t>
  </si>
  <si>
    <t>113</t>
  </si>
  <si>
    <t>No.</t>
  </si>
  <si>
    <t>Item Desc</t>
  </si>
  <si>
    <t>110</t>
  </si>
  <si>
    <t>124.545</t>
  </si>
  <si>
    <t>5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</si>
  <si>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</si>
  <si>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</si>
  <si>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</si>
  <si>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</si>
  <si>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</si>
  <si>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</si>
  <si>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</si>
  <si>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</si>
  <si>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</si>
  <si>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</si>
  <si>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</si>
  <si>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</si>
  <si>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</si>
  <si>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</si>
  <si>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</si>
  <si>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</si>
  <si>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</si>
  <si>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</si>
  <si>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250</t>
  </si>
  <si>
    <t>15</t>
  </si>
  <si>
    <t>41.515</t>
  </si>
  <si>
    <t>16</t>
  </si>
  <si>
    <t>10</t>
  </si>
  <si>
    <t>55159.9</t>
  </si>
  <si>
    <t>282</t>
  </si>
  <si>
    <t>7945.84822</t>
  </si>
  <si>
    <t>276</t>
  </si>
  <si>
    <t>254</t>
  </si>
  <si>
    <t>132</t>
  </si>
  <si>
    <t>127</t>
  </si>
  <si>
    <t>124</t>
  </si>
  <si>
    <t>323</t>
  </si>
  <si>
    <t>16906.70787</t>
  </si>
  <si>
    <t>200</t>
  </si>
  <si>
    <t>212</t>
  </si>
  <si>
    <t>119</t>
  </si>
  <si>
    <t>98</t>
  </si>
  <si>
    <t>96</t>
  </si>
  <si>
    <t>284</t>
  </si>
  <si>
    <t>7945.64436</t>
  </si>
  <si>
    <t>256</t>
  </si>
  <si>
    <t>133</t>
  </si>
  <si>
    <t>286</t>
  </si>
  <si>
    <t>7945.44335</t>
  </si>
  <si>
    <t>288</t>
  </si>
  <si>
    <t>7945.24513</t>
  </si>
  <si>
    <t>278</t>
  </si>
  <si>
    <t>258</t>
  </si>
  <si>
    <t>290</t>
  </si>
  <si>
    <t>7945.04965</t>
  </si>
  <si>
    <t>280</t>
  </si>
  <si>
    <t>260</t>
  </si>
  <si>
    <t>134</t>
  </si>
  <si>
    <t>292</t>
  </si>
  <si>
    <t>7944.85684</t>
  </si>
  <si>
    <t>294</t>
  </si>
  <si>
    <t>7944.66666</t>
  </si>
  <si>
    <t>262</t>
  </si>
  <si>
    <t>135</t>
  </si>
  <si>
    <t>136</t>
  </si>
  <si>
    <t>128</t>
  </si>
  <si>
    <t>129</t>
  </si>
  <si>
    <t>125</t>
  </si>
  <si>
    <t>126</t>
  </si>
  <si>
    <t>296</t>
  </si>
  <si>
    <t>7944.47905</t>
  </si>
  <si>
    <t>298</t>
  </si>
  <si>
    <t>7944.29396</t>
  </si>
  <si>
    <t>264</t>
  </si>
  <si>
    <t>266</t>
  </si>
  <si>
    <t>137</t>
  </si>
  <si>
    <t>138</t>
  </si>
  <si>
    <t>130</t>
  </si>
  <si>
    <t>131</t>
  </si>
  <si>
    <t>18387.625</t>
  </si>
  <si>
    <t>325</t>
  </si>
  <si>
    <t>16915.82121</t>
  </si>
  <si>
    <t>327</t>
  </si>
  <si>
    <t>16924.82307</t>
  </si>
  <si>
    <t>202</t>
  </si>
  <si>
    <t>18386.78342</t>
  </si>
  <si>
    <t>300</t>
  </si>
  <si>
    <t>7944.11133</t>
  </si>
  <si>
    <t>302</t>
  </si>
  <si>
    <t>7943.93112</t>
  </si>
  <si>
    <t>268</t>
  </si>
  <si>
    <t>270</t>
  </si>
  <si>
    <t>141</t>
  </si>
  <si>
    <t>142</t>
  </si>
  <si>
    <t>329</t>
  </si>
  <si>
    <t>16933.71548</t>
  </si>
  <si>
    <t>208</t>
  </si>
  <si>
    <t>18386.8077</t>
  </si>
  <si>
    <t>214</t>
  </si>
  <si>
    <t>18386.78294</t>
  </si>
  <si>
    <t>216</t>
  </si>
  <si>
    <t>18386.79074</t>
  </si>
  <si>
    <t>55162.875</t>
  </si>
  <si>
    <t>121</t>
  </si>
  <si>
    <t>55159.94917</t>
  </si>
  <si>
    <t>101</t>
  </si>
  <si>
    <t>55159.98837</t>
  </si>
  <si>
    <t>55159.96071</t>
  </si>
  <si>
    <t>304</t>
  </si>
  <si>
    <t>7943.75328</t>
  </si>
  <si>
    <t>306</t>
  </si>
  <si>
    <t>7943.57777</t>
  </si>
  <si>
    <t>272</t>
  </si>
  <si>
    <t>218</t>
  </si>
  <si>
    <t>18386.79839</t>
  </si>
  <si>
    <t>308</t>
  </si>
  <si>
    <t>7943.40454</t>
  </si>
  <si>
    <t>274</t>
  </si>
  <si>
    <t>143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</si>
</sst>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000_ "/>
  </numFmts>
  <fonts count="29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0000"/>
      <name val="Arial"/>
      <charset val="134"/>
    </font>
    <font>
      <sz val="9"/>
      <color rgb="FF004153"/>
      <name val="Arial"/>
      <charset val="134"/>
    </font>
    <font>
      <sz val="9"/>
      <color rgb="FF000000"/>
      <name val="Times New Roman"/>
      <charset val="134"/>
    </font>
    <font>
      <b/>
      <u/>
      <sz val="14"/>
      <color theme="1"/>
      <name val="Calibri Light"/>
      <charset val="134"/>
      <scheme val="major"/>
    </font>
    <font>
      <sz val="10"/>
      <color rgb="FF000000"/>
      <name val="Consolas"/>
      <charset val="134"/>
    </font>
    <font>
      <b/>
      <sz val="11"/>
      <color rgb="FF000000"/>
      <name val="Calibri Light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/>
      <right style="thin">
        <color rgb="FF0070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5" borderId="2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5" applyNumberFormat="0" applyFill="0" applyAlignment="0" applyProtection="0">
      <alignment vertical="center"/>
    </xf>
    <xf numFmtId="0" fontId="16" fillId="0" borderId="25" applyNumberFormat="0" applyFill="0" applyAlignment="0" applyProtection="0">
      <alignment vertical="center"/>
    </xf>
    <xf numFmtId="0" fontId="17" fillId="0" borderId="2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6" borderId="27" applyNumberFormat="0" applyAlignment="0" applyProtection="0">
      <alignment vertical="center"/>
    </xf>
    <xf numFmtId="0" fontId="19" fillId="17" borderId="28" applyNumberFormat="0" applyAlignment="0" applyProtection="0">
      <alignment vertical="center"/>
    </xf>
    <xf numFmtId="0" fontId="20" fillId="17" borderId="27" applyNumberFormat="0" applyAlignment="0" applyProtection="0">
      <alignment vertical="center"/>
    </xf>
    <xf numFmtId="0" fontId="21" fillId="18" borderId="29" applyNumberFormat="0" applyAlignment="0" applyProtection="0">
      <alignment vertical="center"/>
    </xf>
    <xf numFmtId="0" fontId="22" fillId="0" borderId="30" applyNumberFormat="0" applyFill="0" applyAlignment="0" applyProtection="0">
      <alignment vertical="center"/>
    </xf>
    <xf numFmtId="0" fontId="23" fillId="0" borderId="31" applyNumberFormat="0" applyFill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48">
    <xf numFmtId="0" fontId="0" fillId="0" borderId="0" xfId="0"/>
    <xf numFmtId="0" fontId="0" fillId="0" borderId="0" xfId="49">
      <alignment vertical="center"/>
    </xf>
    <xf numFmtId="0" fontId="1" fillId="0" borderId="0" xfId="49" applyFont="1" applyFill="1" applyBorder="1" applyAlignment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/>
    <xf numFmtId="0" fontId="2" fillId="0" borderId="0" xfId="49" applyFont="1" applyFill="1" applyAlignment="1"/>
    <xf numFmtId="0" fontId="0" fillId="0" borderId="0" xfId="49" applyFill="1" applyAlignme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4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 applyAlignment="1"/>
    <xf numFmtId="0" fontId="2" fillId="2" borderId="4" xfId="49" applyFont="1" applyFill="1" applyBorder="1" applyAlignment="1"/>
    <xf numFmtId="0" fontId="2" fillId="0" borderId="1" xfId="49" applyFont="1" applyFill="1" applyBorder="1" applyAlignment="1"/>
    <xf numFmtId="0" fontId="3" fillId="0" borderId="0" xfId="0" applyFont="1"/>
    <xf numFmtId="0" fontId="2" fillId="0" borderId="1" xfId="49" applyNumberFormat="1" applyFont="1" applyFill="1" applyBorder="1" applyAlignment="1"/>
    <xf numFmtId="0" fontId="0" fillId="0" borderId="0" xfId="49" applyFill="1" applyAlignment="1">
      <alignment vertical="center"/>
    </xf>
    <xf numFmtId="2" fontId="2" fillId="0" borderId="1" xfId="49" applyNumberFormat="1" applyFont="1" applyFill="1" applyBorder="1" applyAlignment="1"/>
    <xf numFmtId="180" fontId="2" fillId="0" borderId="1" xfId="49" applyNumberFormat="1" applyFont="1" applyFill="1" applyBorder="1" applyAlignment="1"/>
    <xf numFmtId="181" fontId="2" fillId="0" borderId="1" xfId="49" applyNumberFormat="1" applyFont="1" applyFill="1" applyBorder="1" applyAlignment="1"/>
    <xf numFmtId="0" fontId="4" fillId="8" borderId="5" xfId="49" applyFont="1" applyFill="1" applyBorder="1" applyAlignment="1">
      <alignment vertical="center"/>
    </xf>
    <xf numFmtId="0" fontId="2" fillId="0" borderId="6" xfId="49" applyNumberFormat="1" applyFont="1" applyFill="1" applyBorder="1" applyAlignment="1"/>
    <xf numFmtId="2" fontId="2" fillId="0" borderId="6" xfId="49" applyNumberFormat="1" applyFont="1" applyFill="1" applyBorder="1" applyAlignment="1"/>
    <xf numFmtId="0" fontId="0" fillId="0" borderId="6" xfId="49" applyNumberFormat="1" applyFill="1" applyBorder="1" applyAlignment="1"/>
    <xf numFmtId="0" fontId="0" fillId="0" borderId="7" xfId="49" applyNumberFormat="1" applyFill="1" applyBorder="1" applyAlignment="1"/>
    <xf numFmtId="0" fontId="0" fillId="0" borderId="7" xfId="49" applyNumberFormat="1" applyFont="1" applyFill="1" applyBorder="1" applyAlignment="1">
      <alignment vertical="center"/>
    </xf>
    <xf numFmtId="0" fontId="4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0" fillId="0" borderId="0" xfId="49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NumberFormat="1" applyFont="1" applyFill="1" applyBorder="1" applyAlignment="1"/>
    <xf numFmtId="0" fontId="1" fillId="9" borderId="1" xfId="49" applyFont="1" applyFill="1" applyBorder="1" applyAlignment="1"/>
    <xf numFmtId="2" fontId="1" fillId="9" borderId="1" xfId="49" applyNumberFormat="1" applyFont="1" applyFill="1" applyBorder="1" applyAlignment="1"/>
    <xf numFmtId="0" fontId="1" fillId="6" borderId="1" xfId="49" applyFont="1" applyFill="1" applyBorder="1" applyAlignment="1"/>
    <xf numFmtId="2" fontId="1" fillId="6" borderId="1" xfId="49" applyNumberFormat="1" applyFont="1" applyFill="1" applyBorder="1" applyAlignment="1"/>
    <xf numFmtId="0" fontId="5" fillId="0" borderId="0" xfId="0" applyFont="1"/>
    <xf numFmtId="0" fontId="1" fillId="2" borderId="2" xfId="49" applyFont="1" applyFill="1" applyBorder="1" applyAlignment="1">
      <alignment horizontal="center" vertical="center"/>
    </xf>
    <xf numFmtId="0" fontId="1" fillId="2" borderId="2" xfId="49" applyFont="1" applyFill="1" applyBorder="1" applyAlignment="1">
      <alignment horizontal="left" vertical="center"/>
    </xf>
    <xf numFmtId="0" fontId="1" fillId="2" borderId="2" xfId="49" applyFont="1" applyFill="1" applyBorder="1" applyAlignment="1">
      <alignment horizontal="center" vertical="center" wrapText="1"/>
    </xf>
    <xf numFmtId="0" fontId="1" fillId="3" borderId="2" xfId="49" applyFont="1" applyFill="1" applyBorder="1" applyAlignment="1">
      <alignment horizontal="center" vertical="center"/>
    </xf>
    <xf numFmtId="0" fontId="1" fillId="10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 wrapText="1"/>
    </xf>
    <xf numFmtId="0" fontId="1" fillId="7" borderId="2" xfId="49" applyFont="1" applyFill="1" applyBorder="1" applyAlignment="1">
      <alignment horizontal="center" vertical="center"/>
    </xf>
    <xf numFmtId="0" fontId="0" fillId="0" borderId="7" xfId="49" applyFill="1" applyBorder="1" applyAlignment="1">
      <alignment vertical="center"/>
    </xf>
    <xf numFmtId="0" fontId="2" fillId="0" borderId="10" xfId="49" applyFont="1" applyFill="1" applyBorder="1" applyAlignment="1">
      <alignment horizontal="left"/>
    </xf>
    <xf numFmtId="0" fontId="2" fillId="0" borderId="9" xfId="49" applyFont="1" applyFill="1" applyBorder="1" applyAlignment="1">
      <alignment horizontal="left"/>
    </xf>
    <xf numFmtId="0" fontId="1" fillId="0" borderId="1" xfId="49" applyFont="1" applyFill="1" applyBorder="1" applyAlignment="1">
      <alignment horizontal="right"/>
    </xf>
    <xf numFmtId="0" fontId="1" fillId="11" borderId="10" xfId="49" applyFont="1" applyFill="1" applyBorder="1" applyAlignment="1">
      <alignment horizontal="center"/>
    </xf>
    <xf numFmtId="0" fontId="1" fillId="11" borderId="8" xfId="49" applyFont="1" applyFill="1" applyBorder="1" applyAlignment="1">
      <alignment horizontal="center"/>
    </xf>
    <xf numFmtId="0" fontId="1" fillId="11" borderId="9" xfId="49" applyFont="1" applyFill="1" applyBorder="1" applyAlignment="1">
      <alignment horizontal="center"/>
    </xf>
    <xf numFmtId="0" fontId="2" fillId="0" borderId="2" xfId="49" applyFont="1" applyFill="1" applyBorder="1" applyAlignment="1"/>
    <xf numFmtId="0" fontId="1" fillId="6" borderId="1" xfId="49" applyFont="1" applyFill="1" applyBorder="1" applyAlignment="1">
      <alignment horizontal="right"/>
    </xf>
    <xf numFmtId="0" fontId="6" fillId="0" borderId="0" xfId="0" applyFont="1" applyFill="1" applyBorder="1" applyAlignment="1">
      <alignment horizontal="left" vertical="top"/>
    </xf>
    <xf numFmtId="0" fontId="2" fillId="0" borderId="0" xfId="0" applyFont="1" applyFill="1" applyAlignment="1"/>
    <xf numFmtId="0" fontId="0" fillId="0" borderId="0" xfId="0" applyFill="1" applyAlignment="1"/>
    <xf numFmtId="0" fontId="1" fillId="2" borderId="1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13" xfId="0" applyFont="1" applyFill="1" applyBorder="1" applyAlignment="1"/>
    <xf numFmtId="0" fontId="2" fillId="0" borderId="6" xfId="0" applyFont="1" applyFill="1" applyBorder="1" applyAlignment="1"/>
    <xf numFmtId="181" fontId="2" fillId="0" borderId="6" xfId="0" applyNumberFormat="1" applyFont="1" applyFill="1" applyBorder="1" applyAlignment="1"/>
    <xf numFmtId="2" fontId="2" fillId="0" borderId="6" xfId="0" applyNumberFormat="1" applyFont="1" applyFill="1" applyBorder="1" applyAlignment="1"/>
    <xf numFmtId="2" fontId="2" fillId="0" borderId="14" xfId="0" applyNumberFormat="1" applyFont="1" applyFill="1" applyBorder="1" applyAlignment="1"/>
    <xf numFmtId="10" fontId="2" fillId="0" borderId="0" xfId="0" applyNumberFormat="1" applyFont="1" applyFill="1" applyBorder="1" applyAlignment="1"/>
    <xf numFmtId="2" fontId="2" fillId="0" borderId="0" xfId="0" applyNumberFormat="1" applyFont="1" applyFill="1" applyBorder="1" applyAlignment="1"/>
    <xf numFmtId="0" fontId="7" fillId="0" borderId="0" xfId="0" applyFont="1" applyFill="1" applyAlignment="1"/>
    <xf numFmtId="0" fontId="2" fillId="0" borderId="15" xfId="0" applyFont="1" applyFill="1" applyBorder="1" applyAlignment="1"/>
    <xf numFmtId="0" fontId="2" fillId="0" borderId="16" xfId="0" applyFont="1" applyFill="1" applyBorder="1" applyAlignment="1"/>
    <xf numFmtId="181" fontId="2" fillId="0" borderId="16" xfId="0" applyNumberFormat="1" applyFont="1" applyFill="1" applyBorder="1" applyAlignment="1"/>
    <xf numFmtId="2" fontId="2" fillId="0" borderId="16" xfId="0" applyNumberFormat="1" applyFont="1" applyFill="1" applyBorder="1" applyAlignment="1"/>
    <xf numFmtId="2" fontId="2" fillId="0" borderId="17" xfId="0" applyNumberFormat="1" applyFont="1" applyFill="1" applyBorder="1" applyAlignment="1"/>
    <xf numFmtId="0" fontId="1" fillId="9" borderId="18" xfId="0" applyFont="1" applyFill="1" applyBorder="1" applyAlignment="1">
      <alignment horizontal="center" vertical="top"/>
    </xf>
    <xf numFmtId="0" fontId="1" fillId="9" borderId="19" xfId="0" applyFont="1" applyFill="1" applyBorder="1" applyAlignment="1">
      <alignment vertical="top"/>
    </xf>
    <xf numFmtId="0" fontId="2" fillId="0" borderId="0" xfId="0" applyFont="1" applyFill="1" applyBorder="1" applyAlignment="1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horizontal="center" vertical="top"/>
    </xf>
    <xf numFmtId="0" fontId="1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vertical="top"/>
    </xf>
    <xf numFmtId="0" fontId="2" fillId="0" borderId="7" xfId="0" applyFont="1" applyFill="1" applyBorder="1" applyAlignment="1">
      <alignment vertical="top"/>
    </xf>
    <xf numFmtId="0" fontId="0" fillId="0" borderId="7" xfId="0" applyFill="1" applyBorder="1" applyAlignment="1">
      <alignment vertical="top"/>
    </xf>
    <xf numFmtId="0" fontId="1" fillId="2" borderId="7" xfId="0" applyFont="1" applyFill="1" applyBorder="1" applyAlignment="1">
      <alignment horizontal="left" vertical="top"/>
    </xf>
    <xf numFmtId="0" fontId="1" fillId="3" borderId="7" xfId="0" applyFont="1" applyFill="1" applyBorder="1" applyAlignment="1">
      <alignment horizontal="left" vertical="top"/>
    </xf>
    <xf numFmtId="0" fontId="1" fillId="12" borderId="7" xfId="0" applyFont="1" applyFill="1" applyBorder="1" applyAlignment="1">
      <alignment horizontal="left" vertical="top"/>
    </xf>
    <xf numFmtId="0" fontId="1" fillId="5" borderId="7" xfId="0" applyFont="1" applyFill="1" applyBorder="1" applyAlignment="1">
      <alignment horizontal="left" vertical="top"/>
    </xf>
    <xf numFmtId="0" fontId="1" fillId="6" borderId="7" xfId="0" applyFont="1" applyFill="1" applyBorder="1" applyAlignment="1">
      <alignment horizontal="left" vertical="top"/>
    </xf>
    <xf numFmtId="0" fontId="1" fillId="7" borderId="7" xfId="0" applyFont="1" applyFill="1" applyBorder="1" applyAlignment="1">
      <alignment horizontal="left" vertical="top"/>
    </xf>
    <xf numFmtId="0" fontId="8" fillId="13" borderId="7" xfId="0" applyFont="1" applyFill="1" applyBorder="1" applyAlignment="1">
      <alignment horizontal="center" vertical="top"/>
    </xf>
    <xf numFmtId="0" fontId="2" fillId="2" borderId="7" xfId="0" applyFont="1" applyFill="1" applyBorder="1"/>
    <xf numFmtId="0" fontId="2" fillId="2" borderId="7" xfId="0" applyFont="1" applyFill="1" applyBorder="1" applyAlignment="1"/>
    <xf numFmtId="0" fontId="2" fillId="0" borderId="7" xfId="0" applyNumberFormat="1" applyFont="1" applyFill="1" applyBorder="1" applyAlignment="1">
      <alignment horizontal="left" vertical="top"/>
    </xf>
    <xf numFmtId="0" fontId="2" fillId="0" borderId="7" xfId="0" applyNumberFormat="1" applyFont="1" applyBorder="1" applyAlignment="1">
      <alignment vertical="top"/>
    </xf>
    <xf numFmtId="0" fontId="2" fillId="0" borderId="1" xfId="0" applyNumberFormat="1" applyFont="1" applyFill="1" applyBorder="1" applyAlignment="1"/>
    <xf numFmtId="0" fontId="0" fillId="0" borderId="7" xfId="0" applyNumberFormat="1" applyBorder="1" applyAlignment="1">
      <alignment vertical="top"/>
    </xf>
    <xf numFmtId="0" fontId="0" fillId="0" borderId="7" xfId="0" applyNumberFormat="1" applyFont="1" applyBorder="1" applyAlignment="1">
      <alignment vertical="top"/>
    </xf>
    <xf numFmtId="1" fontId="0" fillId="0" borderId="7" xfId="0" applyNumberFormat="1" applyBorder="1" applyAlignment="1">
      <alignment vertical="top"/>
    </xf>
    <xf numFmtId="0" fontId="0" fillId="0" borderId="7" xfId="0" applyNumberFormat="1" applyBorder="1" applyAlignment="1">
      <alignment horizontal="center" vertical="top"/>
    </xf>
    <xf numFmtId="0" fontId="1" fillId="9" borderId="7" xfId="0" applyFont="1" applyFill="1" applyBorder="1" applyAlignment="1">
      <alignment vertical="top"/>
    </xf>
    <xf numFmtId="0" fontId="1" fillId="9" borderId="7" xfId="0" applyNumberFormat="1" applyFont="1" applyFill="1" applyBorder="1" applyAlignment="1">
      <alignment vertical="top"/>
    </xf>
    <xf numFmtId="2" fontId="1" fillId="9" borderId="7" xfId="0" applyNumberFormat="1" applyFont="1" applyFill="1" applyBorder="1" applyAlignment="1">
      <alignment vertical="top"/>
    </xf>
    <xf numFmtId="0" fontId="1" fillId="6" borderId="7" xfId="0" applyFont="1" applyFill="1" applyBorder="1" applyAlignment="1">
      <alignment vertical="top"/>
    </xf>
    <xf numFmtId="2" fontId="1" fillId="6" borderId="7" xfId="0" applyNumberFormat="1" applyFont="1" applyFill="1" applyBorder="1" applyAlignment="1">
      <alignment vertical="top"/>
    </xf>
    <xf numFmtId="0" fontId="2" fillId="0" borderId="7" xfId="0" applyNumberFormat="1" applyFont="1" applyFill="1" applyBorder="1" applyAlignment="1">
      <alignment vertical="top"/>
    </xf>
    <xf numFmtId="0" fontId="0" fillId="0" borderId="7" xfId="0" applyNumberFormat="1" applyFill="1" applyBorder="1" applyAlignment="1">
      <alignment vertical="top"/>
    </xf>
    <xf numFmtId="0" fontId="0" fillId="0" borderId="7" xfId="0" applyBorder="1" applyAlignment="1">
      <alignment vertical="top"/>
    </xf>
    <xf numFmtId="0" fontId="1" fillId="9" borderId="20" xfId="0" applyFont="1" applyFill="1" applyBorder="1" applyAlignment="1">
      <alignment horizontal="center" vertical="top"/>
    </xf>
    <xf numFmtId="0" fontId="1" fillId="9" borderId="21" xfId="0" applyFont="1" applyFill="1" applyBorder="1" applyAlignment="1">
      <alignment horizontal="center" vertical="top"/>
    </xf>
    <xf numFmtId="0" fontId="1" fillId="9" borderId="22" xfId="0" applyFont="1" applyFill="1" applyBorder="1" applyAlignment="1">
      <alignment horizontal="center" vertical="top"/>
    </xf>
    <xf numFmtId="0" fontId="2" fillId="0" borderId="7" xfId="0" applyNumberFormat="1" applyFont="1" applyBorder="1" applyAlignment="1">
      <alignment horizontal="left" vertical="top"/>
    </xf>
    <xf numFmtId="0" fontId="1" fillId="4" borderId="7" xfId="0" applyFont="1" applyFill="1" applyBorder="1" applyAlignment="1">
      <alignment horizontal="left" vertical="top"/>
    </xf>
    <xf numFmtId="2" fontId="2" fillId="0" borderId="7" xfId="0" applyNumberFormat="1" applyFont="1" applyFill="1" applyBorder="1" applyAlignment="1">
      <alignment vertical="top"/>
    </xf>
    <xf numFmtId="180" fontId="2" fillId="0" borderId="7" xfId="0" applyNumberFormat="1" applyFont="1" applyFill="1" applyBorder="1" applyAlignment="1">
      <alignment vertical="top"/>
    </xf>
    <xf numFmtId="181" fontId="2" fillId="0" borderId="7" xfId="0" applyNumberFormat="1" applyFont="1" applyFill="1" applyBorder="1" applyAlignment="1">
      <alignment vertical="top"/>
    </xf>
    <xf numFmtId="0" fontId="4" fillId="8" borderId="7" xfId="0" applyFont="1" applyFill="1" applyBorder="1" applyAlignment="1">
      <alignment vertical="top"/>
    </xf>
    <xf numFmtId="182" fontId="2" fillId="0" borderId="7" xfId="0" applyNumberFormat="1" applyFont="1" applyFill="1" applyBorder="1" applyAlignment="1">
      <alignment vertical="top"/>
    </xf>
    <xf numFmtId="0" fontId="0" fillId="0" borderId="7" xfId="0" applyNumberFormat="1" applyFont="1" applyFill="1" applyBorder="1" applyAlignment="1">
      <alignment vertical="top"/>
    </xf>
    <xf numFmtId="0" fontId="4" fillId="0" borderId="7" xfId="0" applyFont="1" applyFill="1" applyBorder="1" applyAlignment="1">
      <alignment vertical="top"/>
    </xf>
    <xf numFmtId="0" fontId="0" fillId="0" borderId="7" xfId="0" applyNumberFormat="1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0" fontId="9" fillId="0" borderId="0" xfId="0" applyFont="1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1" fillId="14" borderId="7" xfId="0" applyFont="1" applyFill="1" applyBorder="1" applyAlignment="1">
      <alignment horizontal="left" vertical="top"/>
    </xf>
    <xf numFmtId="0" fontId="1" fillId="2" borderId="7" xfId="0" applyFont="1" applyFill="1" applyBorder="1" applyAlignment="1">
      <alignment horizontal="center" vertical="center"/>
    </xf>
    <xf numFmtId="0" fontId="2" fillId="0" borderId="23" xfId="0" applyFont="1" applyFill="1" applyBorder="1"/>
    <xf numFmtId="0" fontId="0" fillId="0" borderId="7" xfId="0" applyNumberFormat="1" applyBorder="1" applyAlignment="1">
      <alignment horizontal="left" vertical="top"/>
    </xf>
    <xf numFmtId="0" fontId="0" fillId="0" borderId="7" xfId="0" applyNumberFormat="1" applyFont="1" applyBorder="1" applyAlignment="1">
      <alignment horizontal="left" vertical="top"/>
    </xf>
    <xf numFmtId="0" fontId="1" fillId="9" borderId="7" xfId="0" applyFont="1" applyFill="1" applyBorder="1" applyAlignment="1">
      <alignment horizontal="left" vertical="top"/>
    </xf>
    <xf numFmtId="0" fontId="1" fillId="9" borderId="7" xfId="0" applyNumberFormat="1" applyFont="1" applyFill="1" applyBorder="1" applyAlignment="1">
      <alignment horizontal="left" vertical="top"/>
    </xf>
    <xf numFmtId="2" fontId="1" fillId="9" borderId="7" xfId="0" applyNumberFormat="1" applyFont="1" applyFill="1" applyBorder="1" applyAlignment="1">
      <alignment horizontal="left" vertical="top"/>
    </xf>
    <xf numFmtId="2" fontId="1" fillId="6" borderId="7" xfId="0" applyNumberFormat="1" applyFont="1" applyFill="1" applyBorder="1" applyAlignment="1">
      <alignment horizontal="left" vertical="top"/>
    </xf>
    <xf numFmtId="0" fontId="2" fillId="0" borderId="0" xfId="49" applyFont="1" applyFill="1" applyAlignment="1" quotePrefix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theme/theme1.xml" Type="http://schemas.openxmlformats.org/officeDocument/2006/relationships/theme"/><Relationship Id="rId2" Target="worksheets/sheet2.xml" Type="http://schemas.openxmlformats.org/officeDocument/2006/relationships/worksheet"/><Relationship Id="rId20" Target="sharedStrings.xml" Type="http://schemas.openxmlformats.org/officeDocument/2006/relationships/sharedStrings"/><Relationship Id="rId21" Target="styles.xml" Type="http://schemas.openxmlformats.org/officeDocument/2006/relationships/styles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4"/>
  <sheetViews>
    <sheetView topLeftCell="E6" workbookViewId="0">
      <selection activeCell="AP25" sqref="AP25"/>
    </sheetView>
  </sheetViews>
  <sheetFormatPr defaultColWidth="8.71428571428571" defaultRowHeight="15"/>
  <cols>
    <col min="1" max="1" customWidth="true" width="25.5714285714286"/>
    <col min="2" max="2" customWidth="true" width="21.8571428571429"/>
    <col min="3" max="3" customWidth="true" width="27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  <col min="70" max="70" customWidth="true" width="5.42857142857143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O16" s="64"/>
      <c r="BP16" s="64"/>
      <c r="BQ16" s="64"/>
    </row>
    <row r="17" spans="1:70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O17" s="64"/>
      <c r="BP17" s="64"/>
      <c r="BQ17" s="64"/>
    </row>
    <row r="18" ht="15.75" spans="1:70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O18" s="64"/>
      <c r="BP18" s="64"/>
      <c r="BQ18" s="64"/>
    </row>
    <row r="19" ht="15.75" spans="1:70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O19" s="64"/>
      <c r="BP19" s="64"/>
      <c r="BQ19" s="64"/>
    </row>
    <row r="20" s="131" customFormat="1" spans="1:70">
      <c r="A20" s="133" t="s">
        <v>42</v>
      </c>
      <c r="B20" s="133"/>
      <c r="C20" s="133"/>
      <c r="D20" s="133"/>
      <c r="E20" s="133"/>
      <c r="F20" s="133"/>
      <c r="G20" s="133"/>
      <c r="H20" s="133"/>
      <c r="I20" s="134"/>
      <c r="J20" s="134"/>
      <c r="K20" s="134"/>
      <c r="L20" s="134"/>
      <c r="M20" s="134"/>
      <c r="N20" s="134"/>
      <c r="O20" s="134"/>
      <c r="P20" s="134"/>
      <c r="Q20" s="134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  <c r="AO20" s="133"/>
      <c r="AP20" s="133"/>
      <c r="AQ20" s="133"/>
      <c r="AR20" s="133"/>
      <c r="AS20" s="135"/>
    </row>
    <row r="21" s="131" customFormat="1" spans="1:70">
      <c r="A21" s="88" t="s">
        <v>43</v>
      </c>
      <c r="B21" s="88"/>
      <c r="C21" s="90">
        <v>3</v>
      </c>
      <c r="D21" s="90" t="s">
        <v>44</v>
      </c>
      <c r="E21" s="90"/>
      <c r="F21" s="90"/>
      <c r="G21" s="90"/>
      <c r="H21" s="90"/>
      <c r="I21" s="88" t="s">
        <v>45</v>
      </c>
      <c r="J21" s="88" t="s">
        <v>46</v>
      </c>
      <c r="K21" s="88"/>
      <c r="L21" s="88" t="s">
        <v>47</v>
      </c>
      <c r="M21" s="88">
        <v>85</v>
      </c>
      <c r="N21" s="88"/>
      <c r="O21" s="88" t="s">
        <v>48</v>
      </c>
      <c r="P21" s="88">
        <v>1</v>
      </c>
      <c r="Q21" s="88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136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P21" s="137"/>
      <c r="BQ21" s="137"/>
    </row>
    <row r="22" s="132" customFormat="1" ht="15.75" spans="1:70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138" t="s">
        <v>55</v>
      </c>
      <c r="M22" s="138" t="s">
        <v>56</v>
      </c>
      <c r="N22" s="138" t="s">
        <v>57</v>
      </c>
      <c r="O22" s="138" t="s">
        <v>58</v>
      </c>
      <c r="P22" s="138" t="s">
        <v>59</v>
      </c>
      <c r="Q22" s="138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139" t="s">
        <v>88</v>
      </c>
      <c r="AT22" s="139" t="s">
        <v>86</v>
      </c>
      <c r="AU22" s="101" t="s">
        <v>89</v>
      </c>
      <c r="AV22" s="101" t="s">
        <v>90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  <c r="BR22" s="140"/>
    </row>
    <row r="23" s="131" customFormat="1" ht="15.75" spans="1:70">
      <c r="A23" s="88">
        <v>1</v>
      </c>
      <c r="B23" s="88" t="s">
        <v>110</v>
      </c>
      <c r="C23" s="88" t="s">
        <v>110</v>
      </c>
      <c r="D23" s="88" t="s">
        <v>12</v>
      </c>
      <c r="E23" s="88" t="s">
        <v>12</v>
      </c>
      <c r="F23" s="103">
        <v>2</v>
      </c>
      <c r="G23" s="103">
        <v>100</v>
      </c>
      <c r="H23" s="121">
        <f>F23*G23</f>
        <v>200</v>
      </c>
      <c r="I23" s="137">
        <v>1</v>
      </c>
      <c r="J23" s="121">
        <v>2</v>
      </c>
      <c r="K23" s="121">
        <v>4</v>
      </c>
      <c r="L23" s="121">
        <f>H23</f>
        <v>200</v>
      </c>
      <c r="M23" s="121">
        <f>ROUND(L23*I23%,2)</f>
        <v>2</v>
      </c>
      <c r="N23" s="121">
        <f>H23-M23</f>
        <v>198</v>
      </c>
      <c r="O23" s="121">
        <f>ROUND(N23*J23%,2)</f>
        <v>3.96</v>
      </c>
      <c r="P23" s="121">
        <f>ROUND(N23-O23,2)</f>
        <v>194.04</v>
      </c>
      <c r="Q23" s="121">
        <f>ROUND(P23*K23%,2)</f>
        <v>7.76</v>
      </c>
      <c r="R23" s="121">
        <f>M23+O23+Q23</f>
        <v>13.72</v>
      </c>
      <c r="S23" s="121">
        <f>(H23-R23)</f>
        <v>186.28</v>
      </c>
      <c r="T23" s="121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21">
        <f>IF($V21=1,S23+AB23,S23)</f>
        <v>186.28</v>
      </c>
      <c r="AD23" s="121">
        <v>120</v>
      </c>
      <c r="AE23" s="121">
        <f>IF($P$21=1,(S23/$S$24)*$E$35,AD23/$AD$24*$E$35)</f>
        <v>0</v>
      </c>
      <c r="AF23" s="121"/>
      <c r="AG23" s="121">
        <f>IF($P$21=1,(S23/$S$24)*$E$37,AD23/$AD$24*$E$37)</f>
        <v>0</v>
      </c>
      <c r="AH23" s="121">
        <f>IF($P$21=1,(S23/$S$24)*$E$37,AD23/$AD$24*$E$37)</f>
        <v>0</v>
      </c>
      <c r="AI23" s="121">
        <f>S23*$M$21</f>
        <v>15833.8</v>
      </c>
      <c r="AJ23" s="121">
        <f>IF($C$21=3,0,AG23+AH23)</f>
        <v>0</v>
      </c>
      <c r="AK23" s="121">
        <f>IF($C$21=3,AE23+AG23+AH23,0)</f>
        <v>0</v>
      </c>
      <c r="AL23" s="121">
        <v>1</v>
      </c>
      <c r="AM23" s="121">
        <f>F23/AL23</f>
        <v>2</v>
      </c>
      <c r="AN23" s="121">
        <f>AI23/AM23</f>
        <v>7916.9</v>
      </c>
      <c r="AO23" s="121">
        <f>AJ23/AM23</f>
        <v>0</v>
      </c>
      <c r="AP23" s="121">
        <f>AK23/AM23</f>
        <v>0</v>
      </c>
      <c r="AQ23" s="121" t="s">
        <v>12</v>
      </c>
      <c r="AR23" s="121">
        <f>AN23+AO23+AP23</f>
        <v>7916.9</v>
      </c>
      <c r="AS23" s="121" t="s">
        <v>112</v>
      </c>
      <c r="AT23" s="121" t="s">
        <v>12</v>
      </c>
      <c r="AU23" t="s" s="0">
        <v>113</v>
      </c>
      <c r="AV23" t="s" s="0">
        <v>114</v>
      </c>
      <c r="AW23" s="121">
        <f>AM23</f>
        <v>2</v>
      </c>
      <c r="AX23" s="121">
        <f>AR23</f>
        <v>7916.9</v>
      </c>
      <c r="AY23" s="121">
        <f>AU23+AW23</f>
        <v>2</v>
      </c>
      <c r="AZ23" s="121">
        <f>ROUND(((AU23*AV23)+(AW23*AX23))/(AU23+AW23),5)</f>
        <v>7916.9</v>
      </c>
      <c r="BA23" s="141"/>
      <c r="BB23" s="141" t="s">
        <v>115</v>
      </c>
      <c r="BC23" s="141" t="s">
        <v>116</v>
      </c>
      <c r="BD23" s="142" t="s">
        <v>117</v>
      </c>
      <c r="BE23" s="142" t="s">
        <v>118</v>
      </c>
      <c r="BF23" s="141"/>
      <c r="BG23" s="141"/>
      <c r="BH23" s="141"/>
      <c r="BI23" s="121"/>
      <c r="BJ23" s="121"/>
      <c r="BK23" s="121"/>
      <c r="BL23" s="121" t="s">
        <v>119</v>
      </c>
      <c r="BM23" t="s" s="0">
        <v>269</v>
      </c>
      <c r="BN23" t="s" s="0">
        <v>268</v>
      </c>
      <c r="BO23" s="121">
        <f>ROUND((((AW23*AZ23)+(BN23*BM23))/(AW23+BN23)),5)</f>
        <v>5978.94273</v>
      </c>
      <c r="BP23" s="141">
        <f>BN23+AW23</f>
        <v>4</v>
      </c>
      <c r="BQ23" s="141">
        <v>88363222</v>
      </c>
    </row>
    <row r="24" s="131" customFormat="1" spans="1:70">
      <c r="A24" s="136"/>
      <c r="B24" s="137"/>
      <c r="C24" s="137"/>
      <c r="D24" s="143" t="s">
        <v>41</v>
      </c>
      <c r="E24" s="143"/>
      <c r="F24" s="143"/>
      <c r="G24" s="143"/>
      <c r="H24" s="143">
        <f>SUM(H23:H23)</f>
        <v>200</v>
      </c>
      <c r="I24" s="136"/>
      <c r="J24" s="136"/>
      <c r="K24" s="136"/>
      <c r="L24" s="136"/>
      <c r="M24" s="136"/>
      <c r="N24" s="136"/>
      <c r="O24" s="136"/>
      <c r="P24" s="136"/>
      <c r="Q24" s="136"/>
      <c r="R24" s="143">
        <f t="shared" ref="R24:Y24" si="1">SUM(R23:R23)</f>
        <v>13.72</v>
      </c>
      <c r="S24" s="144">
        <f t="shared" si="1"/>
        <v>186.28</v>
      </c>
      <c r="T24" s="143"/>
      <c r="U24" s="143"/>
      <c r="V24" s="145">
        <f t="shared" si="1"/>
        <v>0</v>
      </c>
      <c r="W24" s="145">
        <f t="shared" si="1"/>
        <v>0</v>
      </c>
      <c r="X24" s="145">
        <f t="shared" si="1"/>
        <v>0</v>
      </c>
      <c r="Y24" s="145">
        <f t="shared" si="1"/>
        <v>0</v>
      </c>
      <c r="Z24" s="145"/>
      <c r="AA24" s="145">
        <f t="shared" ref="AA24:AE24" si="2">SUM(AA23:AA23)</f>
        <v>0</v>
      </c>
      <c r="AB24" s="143">
        <f t="shared" si="2"/>
        <v>0</v>
      </c>
      <c r="AC24" s="98">
        <f t="shared" si="2"/>
        <v>186.28</v>
      </c>
      <c r="AD24" s="146">
        <f t="shared" si="2"/>
        <v>120</v>
      </c>
      <c r="AE24" s="146">
        <f t="shared" si="2"/>
        <v>0</v>
      </c>
      <c r="AF24" s="98"/>
      <c r="AG24" s="146">
        <f t="shared" ref="AG24:AK24" si="3">SUM(AG23:AG23)</f>
        <v>0</v>
      </c>
      <c r="AH24" s="146">
        <f t="shared" si="3"/>
        <v>0</v>
      </c>
      <c r="AI24" s="146">
        <f t="shared" si="3"/>
        <v>15833.8</v>
      </c>
      <c r="AJ24" s="146">
        <f t="shared" si="3"/>
        <v>0</v>
      </c>
      <c r="AK24" s="146">
        <f t="shared" si="3"/>
        <v>0</v>
      </c>
      <c r="AL24" s="98"/>
      <c r="AM24" s="98"/>
      <c r="AN24" s="98"/>
      <c r="AO24" s="98"/>
      <c r="AP24" s="98"/>
      <c r="AQ24" s="98"/>
      <c r="AR24" s="98"/>
      <c r="AS24" s="136"/>
      <c r="AT24" s="137"/>
      <c r="AU24" s="137"/>
      <c r="AV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P24" s="137"/>
      <c r="BQ24" s="13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J9" workbookViewId="0">
      <selection activeCell="BL23" sqref="BL23"/>
    </sheetView>
  </sheetViews>
  <sheetFormatPr defaultColWidth="8.71428571428571" defaultRowHeight="15"/>
  <cols>
    <col min="1" max="1" customWidth="true" width="7.57142857142857"/>
    <col min="2" max="3" customWidth="true" width="22.0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9.28571428571429"/>
    <col min="46" max="46" customWidth="true" width="13.0"/>
    <col min="47" max="47" customWidth="true" width="18.0"/>
    <col min="48" max="48" customWidth="true" width="24.4285714285714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9.42857142857143"/>
    <col min="65" max="65" customWidth="true" width="49.1428571428571"/>
    <col min="66" max="66" customWidth="true" width="43.8571428571429"/>
    <col min="67" max="67" customWidth="true" width="22.7142857142857"/>
    <col min="68" max="68" customWidth="true" width="40.8571428571429"/>
    <col min="69" max="69" customWidth="true" width="7.57142857142857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54</v>
      </c>
      <c r="K22" s="95" t="s">
        <v>53</v>
      </c>
      <c r="L22" s="122" t="s">
        <v>55</v>
      </c>
      <c r="M22" s="122" t="s">
        <v>56</v>
      </c>
      <c r="N22" s="122" t="s">
        <v>59</v>
      </c>
      <c r="O22" s="122" t="s">
        <v>60</v>
      </c>
      <c r="P22" s="122" t="s">
        <v>122</v>
      </c>
      <c r="Q22" s="122" t="s">
        <v>58</v>
      </c>
      <c r="R22" s="95" t="s">
        <v>61</v>
      </c>
      <c r="S22" s="94" t="s">
        <v>123</v>
      </c>
      <c r="T22" s="94" t="s">
        <v>63</v>
      </c>
      <c r="U22" s="97" t="s">
        <v>124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125</v>
      </c>
      <c r="AS22" s="94" t="s">
        <v>88</v>
      </c>
      <c r="AT22" s="94" t="s">
        <v>86</v>
      </c>
      <c r="AU22" s="94" t="s">
        <v>89</v>
      </c>
      <c r="AV22" s="94" t="s">
        <v>90</v>
      </c>
      <c r="AW22" s="94" t="s">
        <v>91</v>
      </c>
      <c r="AX22" s="94" t="s">
        <v>92</v>
      </c>
      <c r="AY22" s="94" t="s">
        <v>93</v>
      </c>
      <c r="AZ22" s="94" t="s">
        <v>94</v>
      </c>
      <c r="BA22" s="94" t="s">
        <v>95</v>
      </c>
      <c r="BB22" s="94" t="s">
        <v>96</v>
      </c>
      <c r="BC22" s="94" t="s">
        <v>97</v>
      </c>
      <c r="BD22" s="94" t="s">
        <v>98</v>
      </c>
      <c r="BE22" s="94" t="s">
        <v>99</v>
      </c>
      <c r="BF22" s="94" t="s">
        <v>100</v>
      </c>
      <c r="BG22" s="94" t="s">
        <v>101</v>
      </c>
      <c r="BH22" s="94" t="s">
        <v>102</v>
      </c>
      <c r="BI22" s="94" t="s">
        <v>103</v>
      </c>
      <c r="BJ22" s="94" t="s">
        <v>104</v>
      </c>
      <c r="BK22" s="94" t="s">
        <v>105</v>
      </c>
      <c r="BL22" s="94" t="s">
        <v>106</v>
      </c>
      <c r="BM22" s="94" t="s">
        <v>107</v>
      </c>
      <c r="BN22" s="94" t="s">
        <v>108</v>
      </c>
      <c r="BO22" s="94" t="s">
        <v>94</v>
      </c>
      <c r="BP22" s="94" t="s">
        <v>109</v>
      </c>
      <c r="BQ22" s="94" t="s">
        <v>63</v>
      </c>
    </row>
    <row r="23" ht="15.75" spans="1:69">
      <c r="A23" s="88">
        <v>1</v>
      </c>
      <c r="B23" s="44" t="s">
        <v>126</v>
      </c>
      <c r="C23" s="44" t="s">
        <v>126</v>
      </c>
      <c r="D23" s="88" t="s">
        <v>12</v>
      </c>
      <c r="E23" s="88" t="s">
        <v>12</v>
      </c>
      <c r="F23" s="103">
        <v>2</v>
      </c>
      <c r="G23" s="103">
        <v>100</v>
      </c>
      <c r="H23" s="115">
        <f>F23*G23</f>
        <v>200</v>
      </c>
      <c r="I23" s="93">
        <v>1</v>
      </c>
      <c r="J23" s="115">
        <v>2</v>
      </c>
      <c r="K23" s="115">
        <v>4</v>
      </c>
      <c r="L23" s="115">
        <f>IF(OR(I23=0,I23="0"),0,H23)</f>
        <v>200</v>
      </c>
      <c r="M23" s="115">
        <f>ROUND(L23*I23%,3)</f>
        <v>2</v>
      </c>
      <c r="N23" s="115">
        <f>H23-M23</f>
        <v>198</v>
      </c>
      <c r="O23" s="115">
        <f>ROUND(N23*J23%,3)</f>
        <v>3.96</v>
      </c>
      <c r="P23" s="115">
        <f>ROUND(N23-O23,2)</f>
        <v>194.04</v>
      </c>
      <c r="Q23" s="115">
        <f>ROUND(P23*K23%,2)</f>
        <v>7.76</v>
      </c>
      <c r="R23" s="123">
        <f>ROUND(M23+O23+Q23,3)</f>
        <v>13.72</v>
      </c>
      <c r="S23" s="115">
        <f>(H23-R23)</f>
        <v>186.28</v>
      </c>
      <c r="T23" s="115">
        <v>88363222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24">
        <f>IF($V21=1,S23+AB23,S23)</f>
        <v>186.28</v>
      </c>
      <c r="AD23" s="123">
        <v>120</v>
      </c>
      <c r="AE23" s="123">
        <f>IF($P$21=1,(S23/$S$23)*$E$30,AD23/$AD$4*$E$30)</f>
        <v>0</v>
      </c>
      <c r="AF23" s="123"/>
      <c r="AG23" s="123">
        <f>IF($P$21=1,(S23/$S$23)*$E$20,AD23/$AD$23*$E$20)</f>
        <v>0</v>
      </c>
      <c r="AH23" s="123">
        <f>IF($P$21=1,(S23/$S$23)*$E$21,AD23/$AD$23*$E$21)</f>
        <v>0</v>
      </c>
      <c r="AI23" s="123">
        <f>S23*$M21</f>
        <v>15833.8</v>
      </c>
      <c r="AJ23" s="123">
        <f>IF($C$2=3,0,AG23+AH23)</f>
        <v>0</v>
      </c>
      <c r="AK23" s="123">
        <f>IF($C$2=3,AE23+AG23+AH23,0)</f>
        <v>0</v>
      </c>
      <c r="AL23" s="125">
        <v>3</v>
      </c>
      <c r="AM23" s="123">
        <f>F23/AL23</f>
        <v>0.666666666666667</v>
      </c>
      <c r="AN23" s="123">
        <f>ROUND(AI23/AM23,5)</f>
        <v>23750.7</v>
      </c>
      <c r="AO23" s="123">
        <f>AJ23/AM23</f>
        <v>0</v>
      </c>
      <c r="AP23" s="123">
        <f>AK23/AM23</f>
        <v>0</v>
      </c>
      <c r="AQ23" s="123" t="s">
        <v>12</v>
      </c>
      <c r="AR23" s="123">
        <f>ROUND(AN23+AO23+AP23,5)</f>
        <v>23750.7</v>
      </c>
      <c r="AS23" s="126" t="s">
        <v>112</v>
      </c>
      <c r="AT23" s="115" t="s">
        <v>12</v>
      </c>
      <c r="AU23" s="117" t="s">
        <v>127</v>
      </c>
      <c r="AV23" s="117" t="s">
        <v>128</v>
      </c>
      <c r="AW23" s="115">
        <f>AM23</f>
        <v>0.666666666666667</v>
      </c>
      <c r="AX23" s="123">
        <f>AR23</f>
        <v>23750.7</v>
      </c>
      <c r="AY23" s="115">
        <f>AU23+AW23</f>
        <v>117.000666666667</v>
      </c>
      <c r="AZ23" s="127">
        <f>ROUND(((AU23*AV23)+(AW23*AX23))/(AU23+AW23),5)</f>
        <v>6394.32854</v>
      </c>
      <c r="BA23" s="116"/>
      <c r="BB23" s="116" t="s">
        <v>115</v>
      </c>
      <c r="BC23" s="116" t="s">
        <v>116</v>
      </c>
      <c r="BD23" s="128" t="s">
        <v>117</v>
      </c>
      <c r="BE23" s="128" t="s">
        <v>118</v>
      </c>
      <c r="BF23" s="116"/>
      <c r="BG23" s="116"/>
      <c r="BH23" s="116"/>
      <c r="BI23" s="115"/>
      <c r="BJ23" s="115"/>
      <c r="BK23" s="115"/>
      <c r="BL23" s="129" t="s">
        <v>119</v>
      </c>
      <c r="BM23" s="117" t="s">
        <v>129</v>
      </c>
      <c r="BN23" s="117" t="s">
        <v>130</v>
      </c>
      <c r="BO23" s="115">
        <f>ROUND((((AW23*AZ23)+(BN23*BM23))/(AW23+BN23)),5)</f>
        <v>280.32668</v>
      </c>
      <c r="BP23" s="116">
        <f>ROUND(BN23+AW23,3)</f>
        <v>120.667</v>
      </c>
      <c r="BQ23" s="130">
        <v>123562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200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13.72</v>
      </c>
      <c r="S24" s="111">
        <f t="shared" si="1"/>
        <v>186.28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186.28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15833.8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hyperlinks>
    <hyperlink ref="AS23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F9" workbookViewId="0">
      <selection activeCell="BL27" sqref="BL27"/>
    </sheetView>
  </sheetViews>
  <sheetFormatPr defaultColWidth="8.71428571428571" defaultRowHeight="15"/>
  <cols>
    <col min="1" max="1" customWidth="true" width="7.57142857142857"/>
    <col min="2" max="3" customWidth="true" width="25.2857142857143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44" t="s">
        <v>133</v>
      </c>
      <c r="C23" s="44" t="s">
        <v>133</v>
      </c>
      <c r="D23" s="88" t="s">
        <v>12</v>
      </c>
      <c r="E23" s="88" t="s">
        <v>12</v>
      </c>
      <c r="F23" s="103">
        <v>2</v>
      </c>
      <c r="G23" s="103">
        <v>250</v>
      </c>
      <c r="H23" s="104">
        <f>F23*G23</f>
        <v>500</v>
      </c>
      <c r="I23" s="117">
        <v>1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t="s" s="0">
        <v>113</v>
      </c>
      <c r="AV23" t="s" s="0">
        <v>134</v>
      </c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21" t="s">
        <v>119</v>
      </c>
      <c r="BM23" t="s" s="0">
        <v>134</v>
      </c>
      <c r="BN23" t="s" s="0">
        <v>224</v>
      </c>
      <c r="BO23" s="104">
        <f>ROUND((((AW23*AZ23)+(BN23*BM23))/(AW23+BN23)),5)</f>
        <v>8572.52323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H12" workbookViewId="0">
      <selection activeCell="BL24" sqref="BL24"/>
    </sheetView>
  </sheetViews>
  <sheetFormatPr defaultColWidth="8.71428571428571" defaultRowHeight="15"/>
  <cols>
    <col min="1" max="1" customWidth="true" width="7.57142857142857"/>
    <col min="2" max="3" customWidth="true" width="25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118" t="s">
        <v>41</v>
      </c>
      <c r="C19" s="119"/>
      <c r="D19" s="119"/>
      <c r="E19" s="119"/>
      <c r="F19" s="119"/>
      <c r="G19" s="120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44" t="s">
        <v>136</v>
      </c>
      <c r="C23" s="44" t="s">
        <v>136</v>
      </c>
      <c r="D23" s="88" t="s">
        <v>12</v>
      </c>
      <c r="E23" s="88" t="s">
        <v>12</v>
      </c>
      <c r="F23" s="103">
        <v>2</v>
      </c>
      <c r="G23" s="103">
        <v>250</v>
      </c>
      <c r="H23" s="104">
        <f>F23*G23</f>
        <v>500</v>
      </c>
      <c r="I23" s="117">
        <v>1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s="117"/>
      <c r="AV23" s="117"/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s="117"/>
      <c r="BN23" s="117"/>
      <c r="BO23" s="104">
        <f>ROUND((((AW23*AZ23)+(BN23*BM23))/(AW23+BN23)),5)</f>
        <v>19792.25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X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/>
      <c r="Z24" s="112"/>
      <c r="AA24" s="112"/>
      <c r="AB24" s="110">
        <f t="shared" ref="AB24:AE24" si="2">SUM(AB23:AB23)</f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I9" workbookViewId="0">
      <selection activeCell="BL23" sqref="BL23"/>
    </sheetView>
  </sheetViews>
  <sheetFormatPr defaultColWidth="8.71428571428571" defaultRowHeight="15"/>
  <cols>
    <col min="1" max="1" customWidth="true" width="7.57142857142857"/>
    <col min="2" max="3" customWidth="true" width="24.7142857142857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88" t="s">
        <v>137</v>
      </c>
      <c r="C23" s="88" t="s">
        <v>137</v>
      </c>
      <c r="D23" s="88" t="s">
        <v>12</v>
      </c>
      <c r="E23" s="88" t="s">
        <v>12</v>
      </c>
      <c r="F23" s="103">
        <v>2</v>
      </c>
      <c r="G23" s="0">
        <v>250</v>
      </c>
      <c r="H23" s="104">
        <f>F23*G23</f>
        <v>500</v>
      </c>
      <c r="I23" t="s" s="0">
        <v>138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t="s" s="0">
        <v>113</v>
      </c>
      <c r="AV23" t="s" s="0">
        <v>134</v>
      </c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 s="0">
        <v>134</v>
      </c>
      <c r="BN23" t="s" s="0">
        <v>270</v>
      </c>
      <c r="BO23" s="104">
        <f>ROUND((((AW23*AZ23)+(BN23*BM23))/(AW23+BN23)),5)</f>
        <v>8482.8221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G1" workbookViewId="0">
      <selection activeCell="BP23" sqref="BP23"/>
    </sheetView>
  </sheetViews>
  <sheetFormatPr defaultColWidth="8.71428571428571" defaultRowHeight="15"/>
  <cols>
    <col min="1" max="1" customWidth="true" width="7.57142857142857"/>
    <col min="2" max="3" customWidth="true" width="25.1428571428571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88" t="s">
        <v>140</v>
      </c>
      <c r="C23" s="88" t="s">
        <v>140</v>
      </c>
      <c r="D23" s="88" t="s">
        <v>12</v>
      </c>
      <c r="E23" s="88" t="s">
        <v>12</v>
      </c>
      <c r="F23" s="103">
        <v>2</v>
      </c>
      <c r="G23" s="0">
        <v>250</v>
      </c>
      <c r="H23" s="104">
        <f>F23*G23</f>
        <v>500</v>
      </c>
      <c r="I23" t="s" s="0">
        <v>138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s="117"/>
      <c r="AV23" s="117"/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s="117"/>
      <c r="BN23" s="117"/>
      <c r="BO23" s="104">
        <f>ROUND((((AW23*AZ23)+(BN23*BM23))/(AW23+BN23)),5)</f>
        <v>19792.25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G6" workbookViewId="0">
      <selection activeCell="O19" sqref="O19"/>
    </sheetView>
  </sheetViews>
  <sheetFormatPr defaultColWidth="8.71428571428571" defaultRowHeight="15"/>
  <cols>
    <col min="1" max="1" customWidth="true" width="7.57142857142857"/>
    <col min="2" max="3" customWidth="true" width="24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94" t="s">
        <v>91</v>
      </c>
      <c r="AX22" s="94" t="s">
        <v>92</v>
      </c>
      <c r="AY22" s="94" t="s">
        <v>93</v>
      </c>
      <c r="AZ22" s="94" t="s">
        <v>94</v>
      </c>
      <c r="BA22" s="94" t="s">
        <v>95</v>
      </c>
      <c r="BB22" s="94" t="s">
        <v>96</v>
      </c>
      <c r="BC22" s="94" t="s">
        <v>97</v>
      </c>
      <c r="BD22" s="94" t="s">
        <v>98</v>
      </c>
      <c r="BE22" s="94" t="s">
        <v>99</v>
      </c>
      <c r="BF22" s="94" t="s">
        <v>100</v>
      </c>
      <c r="BG22" s="94" t="s">
        <v>101</v>
      </c>
      <c r="BH22" s="94" t="s">
        <v>102</v>
      </c>
      <c r="BI22" s="94" t="s">
        <v>103</v>
      </c>
      <c r="BJ22" s="94" t="s">
        <v>104</v>
      </c>
      <c r="BK22" s="94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44" t="s">
        <v>141</v>
      </c>
      <c r="C23" s="44" t="s">
        <v>141</v>
      </c>
      <c r="D23" s="88" t="s">
        <v>12</v>
      </c>
      <c r="E23" s="88" t="s">
        <v>142</v>
      </c>
      <c r="F23" s="103">
        <v>3</v>
      </c>
      <c r="G23" s="103">
        <v>250</v>
      </c>
      <c r="H23" s="104">
        <f>F23*G23</f>
        <v>750</v>
      </c>
      <c r="I23" s="117">
        <v>1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 s="0">
        <v>113</v>
      </c>
      <c r="AV23" t="s" s="0">
        <v>143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 s="0">
        <v>143</v>
      </c>
      <c r="BN23" t="s" s="0">
        <v>271</v>
      </c>
      <c r="BO23" s="104">
        <f>ROUND((((AW23*AZ23)+(BN23*BM23))/(AW23+BN23)),5)</f>
        <v>9181.28366</v>
      </c>
      <c r="BP23" s="106">
        <f>BN23+AW23</f>
        <v>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K9" workbookViewId="0">
      <selection activeCell="BP25" sqref="BP25"/>
    </sheetView>
  </sheetViews>
  <sheetFormatPr defaultColWidth="8.71428571428571" defaultRowHeight="15"/>
  <cols>
    <col min="1" max="1" customWidth="true" width="7.57142857142857"/>
    <col min="2" max="3" customWidth="true" width="28.0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44" t="s">
        <v>145</v>
      </c>
      <c r="C23" s="44" t="s">
        <v>145</v>
      </c>
      <c r="D23" s="88" t="s">
        <v>12</v>
      </c>
      <c r="E23" s="88" t="s">
        <v>12</v>
      </c>
      <c r="F23" s="103">
        <v>3</v>
      </c>
      <c r="G23" s="103">
        <v>250</v>
      </c>
      <c r="H23" s="104">
        <f>F23*G23</f>
        <v>750</v>
      </c>
      <c r="I23" s="117">
        <v>1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 s="0">
        <v>113</v>
      </c>
      <c r="AV23" t="s" s="0">
        <v>143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 s="0">
        <v>143</v>
      </c>
      <c r="BN23" t="s" s="0">
        <v>216</v>
      </c>
      <c r="BO23" s="104">
        <f>ROUND((((AW23*AZ23)+(BN23*BM23))/(AW23+BN23)),5)</f>
        <v>26398.17586</v>
      </c>
      <c r="BP23" s="106">
        <f>BN23+AW23</f>
        <v>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G12" workbookViewId="0">
      <selection activeCell="M21" sqref="M21"/>
    </sheetView>
  </sheetViews>
  <sheetFormatPr defaultColWidth="8.71428571428571" defaultRowHeight="15"/>
  <cols>
    <col min="1" max="1" customWidth="true" width="7.57142857142857"/>
    <col min="2" max="3" customWidth="true" width="27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21" t="s">
        <v>146</v>
      </c>
      <c r="C23" s="21" t="s">
        <v>146</v>
      </c>
      <c r="D23" s="88" t="s">
        <v>12</v>
      </c>
      <c r="E23" s="88" t="s">
        <v>12</v>
      </c>
      <c r="F23" s="103">
        <v>3</v>
      </c>
      <c r="G23" s="0">
        <v>250</v>
      </c>
      <c r="H23" s="104">
        <f>F23*G23</f>
        <v>750</v>
      </c>
      <c r="I23" t="s" s="0">
        <v>138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 s="0">
        <v>113</v>
      </c>
      <c r="AV23" t="s" s="0">
        <v>143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 s="0">
        <v>143</v>
      </c>
      <c r="BN23" t="s" s="0">
        <v>210</v>
      </c>
      <c r="BO23" s="104">
        <f>ROUND((((AW23*AZ23)+(BN23*BM23))/(AW23+BN23)),5)</f>
        <v>25610.66503</v>
      </c>
      <c r="BP23" s="108">
        <f>BN23+AW23</f>
        <v>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115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116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M1" workbookViewId="0">
      <selection activeCell="AT14" sqref="AT14"/>
    </sheetView>
  </sheetViews>
  <sheetFormatPr defaultColWidth="9.85714285714286" defaultRowHeight="15" outlineLevelRow="4"/>
  <cols>
    <col min="1" max="1" style="1" width="9.85714285714286"/>
    <col min="2" max="2" customWidth="true" style="1" width="25.5714285714286"/>
    <col min="3" max="3" customWidth="true" style="1" width="26.0"/>
    <col min="4" max="19" style="1" width="9.85714285714286"/>
    <col min="20" max="20" customWidth="true" style="1" width="10.1428571428571"/>
    <col min="21" max="34" style="1" width="9.85714285714286"/>
    <col min="35" max="35" style="1" width="11.4285714285714"/>
    <col min="36" max="38" style="1" width="9.85714285714286"/>
    <col min="39" max="39" customWidth="true" style="1" width="17.4285714285714"/>
    <col min="40" max="43" style="1" width="9.85714285714286"/>
    <col min="44" max="44" customWidth="true" style="1" width="25.7142857142857"/>
    <col min="45" max="49" style="1" width="9.85714285714286"/>
    <col min="50" max="50" customWidth="true" style="1" width="16.7142857142857"/>
    <col min="51" max="51" style="1" width="9.85714285714286"/>
    <col min="52" max="52" customWidth="true" style="1" width="11.5714285714286"/>
    <col min="53" max="66" style="1" width="9.85714285714286"/>
    <col min="67" max="67" style="1" width="12.0"/>
    <col min="68" max="16384" style="1" width="9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5" t="s">
        <v>2</v>
      </c>
      <c r="B3" s="45" t="s">
        <v>3</v>
      </c>
      <c r="C3" s="46" t="s">
        <v>4</v>
      </c>
      <c r="D3" s="45" t="s">
        <v>5</v>
      </c>
      <c r="E3" s="45" t="s">
        <v>6</v>
      </c>
      <c r="F3" s="47" t="s">
        <v>51</v>
      </c>
      <c r="G3" s="45" t="s">
        <v>8</v>
      </c>
      <c r="H3" s="45" t="s">
        <v>9</v>
      </c>
      <c r="I3" s="48" t="s">
        <v>52</v>
      </c>
      <c r="J3" s="48" t="s">
        <v>53</v>
      </c>
      <c r="K3" s="48" t="s">
        <v>54</v>
      </c>
      <c r="L3" s="49" t="s">
        <v>55</v>
      </c>
      <c r="M3" s="49" t="s">
        <v>56</v>
      </c>
      <c r="N3" s="49" t="s">
        <v>57</v>
      </c>
      <c r="O3" s="49" t="s">
        <v>58</v>
      </c>
      <c r="P3" s="49" t="s">
        <v>59</v>
      </c>
      <c r="Q3" s="49" t="s">
        <v>60</v>
      </c>
      <c r="R3" s="48" t="s">
        <v>61</v>
      </c>
      <c r="S3" s="45" t="s">
        <v>62</v>
      </c>
      <c r="T3" s="45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0" t="s">
        <v>72</v>
      </c>
      <c r="AD3" s="50" t="s">
        <v>73</v>
      </c>
      <c r="AE3" s="51" t="s">
        <v>74</v>
      </c>
      <c r="AF3" s="51" t="s">
        <v>75</v>
      </c>
      <c r="AG3" s="51" t="s">
        <v>76</v>
      </c>
      <c r="AH3" s="50" t="s">
        <v>77</v>
      </c>
      <c r="AI3" s="50" t="s">
        <v>78</v>
      </c>
      <c r="AJ3" s="51" t="s">
        <v>79</v>
      </c>
      <c r="AK3" s="51" t="s">
        <v>80</v>
      </c>
      <c r="AL3" s="50" t="s">
        <v>81</v>
      </c>
      <c r="AM3" s="50" t="s">
        <v>82</v>
      </c>
      <c r="AN3" s="51" t="s">
        <v>83</v>
      </c>
      <c r="AO3" s="51" t="s">
        <v>84</v>
      </c>
      <c r="AP3" s="51" t="s">
        <v>85</v>
      </c>
      <c r="AQ3" s="50" t="s">
        <v>86</v>
      </c>
      <c r="AR3" s="52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110</v>
      </c>
      <c r="C4" s="20" t="s">
        <v>110</v>
      </c>
      <c r="D4" s="20" t="s">
        <v>12</v>
      </c>
      <c r="E4" s="20" t="s">
        <v>12</v>
      </c>
      <c r="F4" s="22">
        <v>2</v>
      </c>
      <c r="G4" s="22">
        <v>250</v>
      </c>
      <c r="H4" s="22">
        <f>F4*G4</f>
        <v>500</v>
      </c>
      <c r="I4" s="22">
        <v>1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432.63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36773.55</v>
      </c>
      <c r="AJ4" s="22">
        <f>IF($C$2=3,0,AG4+AH4)</f>
        <v>0</v>
      </c>
      <c r="AK4" s="22">
        <f>IF($C$2=3,AE4+AG4+AH4,0)</f>
        <v>0</v>
      </c>
      <c r="AL4" s="22">
        <v>1</v>
      </c>
      <c r="AM4" s="22">
        <f>F4/AL4</f>
        <v>2</v>
      </c>
      <c r="AN4" s="22">
        <f>AI4/AM4</f>
        <v>18386.775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18386.775</v>
      </c>
      <c r="AS4" s="6" t="s">
        <v>148</v>
      </c>
      <c r="AT4" s="28" t="s">
        <v>12</v>
      </c>
      <c r="AU4" t="s" s="1">
        <v>113</v>
      </c>
      <c r="AV4" t="s" s="1">
        <v>232</v>
      </c>
      <c r="AW4" s="28">
        <f>AM4</f>
        <v>2</v>
      </c>
      <c r="AX4" s="28">
        <f>AR4</f>
        <v>18386.775</v>
      </c>
      <c r="AY4" s="28">
        <f>AU4+AW4</f>
        <v>2</v>
      </c>
      <c r="AZ4" s="28">
        <f>ROUND(((AU4*AV4)+(AW4*AX4))/(AU4+AW4),5)</f>
        <v>18386.775</v>
      </c>
      <c r="BA4" s="30"/>
      <c r="BB4" s="30" t="s">
        <v>115</v>
      </c>
      <c r="BC4" s="53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6"/>
      <c r="BK4" s="6"/>
      <c r="BL4" s="28" t="s">
        <v>150</v>
      </c>
      <c r="BM4" t="s" s="1">
        <v>248</v>
      </c>
      <c r="BN4" t="s" s="1">
        <v>247</v>
      </c>
      <c r="BO4" s="28">
        <f>ROUND((((AW4*AZ4)+(BN4*BM4))/(AW4+BN4)),5)</f>
        <v>13833.80666</v>
      </c>
      <c r="BP4" s="34">
        <f>BN4+AW4</f>
        <v>2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 t="shared" si="2"/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7"/>
  <sheetViews>
    <sheetView topLeftCell="P1" workbookViewId="0">
      <selection activeCell="M3" sqref="M3"/>
    </sheetView>
  </sheetViews>
  <sheetFormatPr defaultColWidth="8.71428571428571" defaultRowHeight="15"/>
  <cols>
    <col min="1" max="1" style="1" width="8.71428571428571"/>
    <col min="2" max="2" customWidth="true" style="1" width="19.1428571428571"/>
    <col min="3" max="3" customWidth="true" style="1" width="25.8571428571429"/>
    <col min="4" max="19" style="1" width="8.71428571428571"/>
    <col min="20" max="20" customWidth="true" style="1" width="10.1428571428571"/>
    <col min="21" max="51" style="1" width="8.71428571428571"/>
    <col min="52" max="52" style="1" width="12.0"/>
    <col min="53" max="66" style="1" width="8.71428571428571"/>
    <col min="67" max="67" style="1" width="12.0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126</v>
      </c>
      <c r="C4" s="44" t="s">
        <v>126</v>
      </c>
      <c r="D4" s="20" t="s">
        <v>12</v>
      </c>
      <c r="E4" s="20" t="s">
        <v>12</v>
      </c>
      <c r="F4" s="22">
        <v>2</v>
      </c>
      <c r="G4" s="22">
        <v>250</v>
      </c>
      <c r="H4" s="22">
        <f>F4*G4</f>
        <v>500</v>
      </c>
      <c r="I4" s="22">
        <v>1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S4*$M$2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s="23" t="s">
        <v>155</v>
      </c>
      <c r="AV4" s="23" t="s">
        <v>156</v>
      </c>
      <c r="AW4" s="28">
        <f>AM4</f>
        <v>2</v>
      </c>
      <c r="AX4" s="28">
        <f>AR4</f>
        <v>18386.775</v>
      </c>
      <c r="AY4" s="28">
        <f>AU4+AW4</f>
        <v>112</v>
      </c>
      <c r="AZ4" s="28">
        <f>ROUND(((AU4*AV4)+(AW4*AX4))/(AU4+AW4),5)</f>
        <v>450.65625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23" t="s">
        <v>156</v>
      </c>
      <c r="BN4" s="23" t="s">
        <v>157</v>
      </c>
      <c r="BO4" s="28">
        <f>ROUND((((AW4*AZ4)+(BN4*BM4))/(AW4+BN4)),5)</f>
        <v>217.71964</v>
      </c>
      <c r="BP4" s="34">
        <f>BN4+AW4</f>
        <v>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4" t="s">
        <v>158</v>
      </c>
      <c r="H7" s="55"/>
      <c r="I7" s="56">
        <f>H5</f>
        <v>500</v>
      </c>
      <c r="J7" s="56"/>
      <c r="K7" s="5"/>
      <c r="L7" s="5"/>
      <c r="M7" s="57" t="s">
        <v>159</v>
      </c>
      <c r="N7" s="58"/>
      <c r="O7" s="58"/>
      <c r="P7" s="59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160</v>
      </c>
      <c r="BI7" s="147" t="s">
        <v>161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4" t="s">
        <v>162</v>
      </c>
      <c r="H8" s="55"/>
      <c r="I8" s="56">
        <f>R5</f>
        <v>67.37</v>
      </c>
      <c r="J8" s="56"/>
      <c r="K8" s="5"/>
      <c r="L8" s="5"/>
      <c r="M8" s="60">
        <v>1</v>
      </c>
      <c r="N8" s="60" t="s">
        <v>12</v>
      </c>
      <c r="O8" s="60">
        <v>2</v>
      </c>
      <c r="P8" s="60" t="s">
        <v>142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163</v>
      </c>
      <c r="BI8" s="147" t="s">
        <v>164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4" t="s">
        <v>165</v>
      </c>
      <c r="H9" s="55"/>
      <c r="I9" s="56">
        <f>S5</f>
        <v>432.63</v>
      </c>
      <c r="J9" s="56"/>
      <c r="K9" s="5"/>
      <c r="L9" s="5"/>
      <c r="M9" s="20">
        <v>1</v>
      </c>
      <c r="N9" s="20" t="s">
        <v>12</v>
      </c>
      <c r="O9" s="20">
        <v>2.5</v>
      </c>
      <c r="P9" s="20" t="s">
        <v>166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4" t="s">
        <v>167</v>
      </c>
      <c r="H10" s="55"/>
      <c r="I10" s="56">
        <f>AB5</f>
        <v>0</v>
      </c>
      <c r="J10" s="56"/>
      <c r="K10" s="5"/>
      <c r="L10" s="5"/>
      <c r="M10" s="20">
        <v>1</v>
      </c>
      <c r="N10" s="20" t="s">
        <v>142</v>
      </c>
      <c r="O10" s="20">
        <v>0.001</v>
      </c>
      <c r="P10" s="20" t="s">
        <v>168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4" t="s">
        <v>169</v>
      </c>
      <c r="H11" s="55"/>
      <c r="I11" s="61">
        <f>I9+I10</f>
        <v>432.63</v>
      </c>
      <c r="J11" s="61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170</v>
      </c>
      <c r="BN12" s="5" t="s">
        <v>171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172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173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174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175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W1" workbookViewId="0">
      <selection activeCell="BF13" sqref="BF13"/>
    </sheetView>
  </sheetViews>
  <sheetFormatPr defaultColWidth="8.71428571428571" defaultRowHeight="15" outlineLevelRow="4"/>
  <cols>
    <col min="1" max="1" style="1" width="8.71428571428571"/>
    <col min="2" max="2" customWidth="true" style="1" width="21.1428571428571"/>
    <col min="3" max="3" customWidth="true" style="1" width="21.2857142857143"/>
    <col min="4" max="18" style="1" width="8.71428571428571"/>
    <col min="19" max="19" style="1" width="9.28571428571429"/>
    <col min="20" max="20" customWidth="true" style="1" width="10.1428571428571"/>
    <col min="21" max="28" style="1" width="8.71428571428571"/>
    <col min="29" max="29" style="1" width="9.28571428571429"/>
    <col min="30" max="39" style="1" width="8.71428571428571"/>
    <col min="40" max="40" style="1" width="10.1428571428571"/>
    <col min="41" max="43" style="1" width="8.71428571428571"/>
    <col min="44" max="44" style="1" width="10.1428571428571"/>
    <col min="45" max="49" style="1" width="8.71428571428571"/>
    <col min="50" max="50" style="1" width="10.1428571428571"/>
    <col min="51" max="51" style="1" width="8.71428571428571"/>
    <col min="52" max="52" style="1" width="12.0"/>
    <col min="53" max="66" style="1" width="8.71428571428571"/>
    <col min="67" max="67" style="1" width="13.2857142857143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6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133</v>
      </c>
      <c r="C4" s="44" t="s">
        <v>133</v>
      </c>
      <c r="D4" s="20" t="s">
        <v>12</v>
      </c>
      <c r="E4" s="20" t="s">
        <v>12</v>
      </c>
      <c r="F4" s="22">
        <v>2</v>
      </c>
      <c r="G4" s="1" t="s">
        <v>176</v>
      </c>
      <c r="H4" s="22">
        <f>F4*G4</f>
        <v>500</v>
      </c>
      <c r="I4" s="1" t="s">
        <v>138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t="s" s="1">
        <v>113</v>
      </c>
      <c r="AV4" t="s" s="1">
        <v>232</v>
      </c>
      <c r="AW4" s="28">
        <f>AM4</f>
        <v>2</v>
      </c>
      <c r="AX4" s="29">
        <f>AR4</f>
        <v>18386.775</v>
      </c>
      <c r="AY4" s="28">
        <f>AU4+AW4</f>
        <v>2</v>
      </c>
      <c r="AZ4" s="28">
        <f>ROUND(((AU4*AV4)+(AW4*AX4))/(AU4+AW4),5)</f>
        <v>18386.775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t="s" s="1">
        <v>250</v>
      </c>
      <c r="BN4" t="s" s="1">
        <v>249</v>
      </c>
      <c r="BO4" s="28">
        <f>ROUND((((AW4*AZ4)+(BN4*BM4))/(AW4+BN4)),5)</f>
        <v>18386.775</v>
      </c>
      <c r="BP4" s="34">
        <f>BN4+AW4</f>
        <v>1152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O1" workbookViewId="0">
      <selection activeCell="Y9" sqref="Y9"/>
    </sheetView>
  </sheetViews>
  <sheetFormatPr defaultColWidth="8.71428571428571" defaultRowHeight="15" outlineLevelRow="4"/>
  <cols>
    <col min="1" max="1" style="1" width="8.71428571428571"/>
    <col min="2" max="2" customWidth="true" style="1" width="23.4285714285714"/>
    <col min="3" max="3" customWidth="true" style="1" width="29.4285714285714"/>
    <col min="4" max="18" style="1" width="8.71428571428571"/>
    <col min="19" max="19" style="1" width="9.28571428571429"/>
    <col min="20" max="20" customWidth="true" style="1" width="10.1428571428571"/>
    <col min="21" max="51" style="1" width="8.71428571428571"/>
    <col min="52" max="52" style="1" width="10.7142857142857"/>
    <col min="53" max="66" style="1" width="8.71428571428571"/>
    <col min="67" max="67" style="1" width="10.5714285714286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136</v>
      </c>
      <c r="C4" s="44" t="s">
        <v>136</v>
      </c>
      <c r="D4" s="20" t="s">
        <v>12</v>
      </c>
      <c r="E4" s="20" t="s">
        <v>12</v>
      </c>
      <c r="F4" s="22">
        <v>2</v>
      </c>
      <c r="G4" s="1" t="s">
        <v>176</v>
      </c>
      <c r="H4" s="22">
        <f>F4*G4</f>
        <v>500</v>
      </c>
      <c r="I4" s="1" t="s">
        <v>138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s="23" t="s">
        <v>177</v>
      </c>
      <c r="AV4" s="23" t="s">
        <v>178</v>
      </c>
      <c r="AW4" s="28">
        <f>AM4</f>
        <v>2</v>
      </c>
      <c r="AX4" s="29">
        <f>AR4</f>
        <v>18386.775</v>
      </c>
      <c r="AY4" s="28">
        <f>AU4+AW4</f>
        <v>17</v>
      </c>
      <c r="AZ4" s="28">
        <f>ROUND(((AU4*AV4)+(AW4*AX4))/(AU4+AW4),5)</f>
        <v>2199.78088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23" t="s">
        <v>178</v>
      </c>
      <c r="BN4" s="23" t="s">
        <v>157</v>
      </c>
      <c r="BO4" s="28">
        <f>ROUND((((AW4*AZ4)+(BN4*BM4))/(AW4+BN4)),5)</f>
        <v>658.16239</v>
      </c>
      <c r="BP4" s="34">
        <f>BN4+AW4</f>
        <v>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topLeftCell="AO1" workbookViewId="0">
      <selection activeCell="BA10" sqref="BA10"/>
    </sheetView>
  </sheetViews>
  <sheetFormatPr defaultColWidth="8.71428571428571" defaultRowHeight="15" outlineLevelRow="4"/>
  <cols>
    <col min="1" max="1" style="1" width="8.71428571428571"/>
    <col min="2" max="2" customWidth="true" style="1" width="27.2857142857143"/>
    <col min="3" max="3" customWidth="true" style="1" width="25.4285714285714"/>
    <col min="4" max="18" style="1" width="8.71428571428571"/>
    <col min="19" max="19" style="1" width="9.28571428571429"/>
    <col min="20" max="20" customWidth="true" style="1" width="10.1428571428571"/>
    <col min="21" max="34" style="1" width="8.71428571428571"/>
    <col min="35" max="35" style="1" width="11.4285714285714"/>
    <col min="36" max="39" style="1" width="8.71428571428571"/>
    <col min="40" max="40" style="1" width="10.1428571428571"/>
    <col min="41" max="43" style="1" width="8.71428571428571"/>
    <col min="44" max="44" style="1" width="10.1428571428571"/>
    <col min="45" max="49" style="1" width="8.71428571428571"/>
    <col min="50" max="50" style="1" width="10.1428571428571"/>
    <col min="51" max="51" style="1" width="8.71428571428571"/>
    <col min="52" max="52" style="1" width="12.0"/>
    <col min="53" max="66" style="1" width="8.71428571428571"/>
    <col min="67" max="67" style="1" width="12.0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6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spans="1:69">
      <c r="A4" s="20">
        <v>1</v>
      </c>
      <c r="B4" s="20" t="s">
        <v>137</v>
      </c>
      <c r="C4" s="20" t="s">
        <v>137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t="s" s="1">
        <v>113</v>
      </c>
      <c r="AV4" t="s" s="1">
        <v>232</v>
      </c>
      <c r="AW4" s="28">
        <f>AM4</f>
        <v>2</v>
      </c>
      <c r="AX4" s="29">
        <f>AR4</f>
        <v>18386.775</v>
      </c>
      <c r="AY4" s="28">
        <f>AU4+AW4</f>
        <v>2</v>
      </c>
      <c r="AZ4" s="28">
        <f>ROUND(((AU4*AV4)+(AW4*AX4))/(AU4+AW4),5)</f>
        <v>18386.775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t="s" s="1">
        <v>267</v>
      </c>
      <c r="BN4" t="s" s="1">
        <v>266</v>
      </c>
      <c r="BO4" s="28">
        <f>ROUND((((AW4*AZ4)+(BN4*BM4))/(AW4+BN4)),5)</f>
        <v>18386.775</v>
      </c>
      <c r="BP4" s="34">
        <f>BN4+AW4</f>
        <v>1107</v>
      </c>
      <c r="BQ4" s="35">
        <v>123562</v>
      </c>
    </row>
    <row r="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L1" workbookViewId="0">
      <selection activeCell="T13" sqref="T13"/>
    </sheetView>
  </sheetViews>
  <sheetFormatPr defaultColWidth="8.85714285714286" defaultRowHeight="15"/>
  <cols>
    <col min="1" max="1" style="23" width="8.85714285714286"/>
    <col min="2" max="2" customWidth="true" style="23" width="28.0"/>
    <col min="3" max="3" customWidth="true" style="23" width="23.0"/>
    <col min="4" max="11" style="23" width="8.85714285714286"/>
    <col min="12" max="12" customWidth="true" style="23" width="15.7142857142857"/>
    <col min="13" max="13" customWidth="true" style="23" width="9.14285714285714"/>
    <col min="14" max="14" customWidth="true" style="23" width="13.8571428571429"/>
    <col min="15" max="15" customWidth="true" style="23" width="11.2857142857143"/>
    <col min="16" max="16" customWidth="true" style="23" width="17.8571428571429"/>
    <col min="17" max="18" style="23" width="8.85714285714286"/>
    <col min="19" max="19" style="23" width="9.28571428571429"/>
    <col min="20" max="20" customWidth="true" style="23" width="10.1428571428571"/>
    <col min="21" max="51" style="23" width="8.85714285714286"/>
    <col min="52" max="52" style="23" width="10.7142857142857"/>
    <col min="53" max="63" style="23" width="8.85714285714286"/>
    <col min="64" max="64" customWidth="true" style="23" width="11.0"/>
    <col min="65" max="66" style="23" width="8.85714285714286"/>
    <col min="67" max="67" style="23" width="10.7142857142857"/>
    <col min="68" max="16384" style="23" width="8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140</v>
      </c>
      <c r="C4" s="20" t="s">
        <v>140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s="23" t="s">
        <v>180</v>
      </c>
      <c r="AV4" s="23" t="s">
        <v>178</v>
      </c>
      <c r="AW4" s="28">
        <f>AM4</f>
        <v>2</v>
      </c>
      <c r="AX4" s="29">
        <f>AR4</f>
        <v>18386.775</v>
      </c>
      <c r="AY4" s="28">
        <f>AU4+AW4</f>
        <v>12</v>
      </c>
      <c r="AZ4" s="28">
        <f>ROUND(((AU4*AV4)+(AW4*AX4))/(AU4+AW4),5)</f>
        <v>3099.05833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23" t="s">
        <v>178</v>
      </c>
      <c r="BN4" s="23" t="s">
        <v>157</v>
      </c>
      <c r="BO4" s="28">
        <f>ROUND((((AW4*AZ4)+(BN4*BM4))/(AW4+BN4)),5)</f>
        <v>915.09881</v>
      </c>
      <c r="BP4" s="34">
        <f>BN4+AW4</f>
        <v>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4" t="s">
        <v>158</v>
      </c>
      <c r="H7" s="55"/>
      <c r="I7" s="56">
        <f>H5</f>
        <v>500</v>
      </c>
      <c r="J7" s="56"/>
      <c r="K7" s="5"/>
      <c r="L7" s="5"/>
      <c r="M7" s="57" t="s">
        <v>159</v>
      </c>
      <c r="N7" s="58"/>
      <c r="O7" s="58"/>
      <c r="P7" s="59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160</v>
      </c>
      <c r="BI7" s="147" t="s">
        <v>161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4" t="s">
        <v>162</v>
      </c>
      <c r="H8" s="55"/>
      <c r="I8" s="56">
        <f>R5</f>
        <v>67.37</v>
      </c>
      <c r="J8" s="56"/>
      <c r="K8" s="5"/>
      <c r="L8" s="5"/>
      <c r="M8" s="60">
        <v>1</v>
      </c>
      <c r="N8" s="60" t="s">
        <v>12</v>
      </c>
      <c r="O8" s="60">
        <v>2</v>
      </c>
      <c r="P8" s="60" t="s">
        <v>142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163</v>
      </c>
      <c r="BI8" s="147" t="s">
        <v>164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4" t="s">
        <v>165</v>
      </c>
      <c r="H9" s="55"/>
      <c r="I9" s="56">
        <f>S5</f>
        <v>432.63</v>
      </c>
      <c r="J9" s="56"/>
      <c r="K9" s="5"/>
      <c r="L9" s="5"/>
      <c r="M9" s="20">
        <v>1</v>
      </c>
      <c r="N9" s="20" t="s">
        <v>12</v>
      </c>
      <c r="O9" s="20">
        <v>2.5</v>
      </c>
      <c r="P9" s="20" t="s">
        <v>166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4" t="s">
        <v>167</v>
      </c>
      <c r="H10" s="55"/>
      <c r="I10" s="56">
        <f>AB5</f>
        <v>0</v>
      </c>
      <c r="J10" s="56"/>
      <c r="K10" s="5"/>
      <c r="L10" s="5"/>
      <c r="M10" s="20">
        <v>1</v>
      </c>
      <c r="N10" s="20" t="s">
        <v>142</v>
      </c>
      <c r="O10" s="20">
        <v>0.001</v>
      </c>
      <c r="P10" s="20" t="s">
        <v>168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4" t="s">
        <v>169</v>
      </c>
      <c r="H11" s="55"/>
      <c r="I11" s="61">
        <f>I9+I10</f>
        <v>432.63</v>
      </c>
      <c r="J11" s="61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170</v>
      </c>
      <c r="BN12" s="5" t="s">
        <v>171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172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173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174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175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  <row r="18" spans="1:69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6"/>
      <c r="BQ18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S4" sqref="S4"/>
    </sheetView>
  </sheetViews>
  <sheetFormatPr defaultColWidth="9.85714285714286" defaultRowHeight="15" outlineLevelRow="4"/>
  <cols>
    <col min="1" max="1" style="1" width="9.85714285714286"/>
    <col min="2" max="2" customWidth="true" style="1" width="25.5714285714286"/>
    <col min="3" max="3" customWidth="true" style="1" width="26.0"/>
    <col min="4" max="19" style="1" width="9.85714285714286"/>
    <col min="20" max="20" customWidth="true" style="1" width="10.1428571428571"/>
    <col min="21" max="16384" style="1" width="9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5" t="s">
        <v>2</v>
      </c>
      <c r="B3" s="45" t="s">
        <v>3</v>
      </c>
      <c r="C3" s="46" t="s">
        <v>4</v>
      </c>
      <c r="D3" s="45" t="s">
        <v>5</v>
      </c>
      <c r="E3" s="45" t="s">
        <v>6</v>
      </c>
      <c r="F3" s="47" t="s">
        <v>51</v>
      </c>
      <c r="G3" s="45" t="s">
        <v>8</v>
      </c>
      <c r="H3" s="45" t="s">
        <v>9</v>
      </c>
      <c r="I3" s="48" t="s">
        <v>52</v>
      </c>
      <c r="J3" s="48" t="s">
        <v>53</v>
      </c>
      <c r="K3" s="48" t="s">
        <v>54</v>
      </c>
      <c r="L3" s="49" t="s">
        <v>55</v>
      </c>
      <c r="M3" s="49" t="s">
        <v>56</v>
      </c>
      <c r="N3" s="49" t="s">
        <v>57</v>
      </c>
      <c r="O3" s="49" t="s">
        <v>58</v>
      </c>
      <c r="P3" s="49" t="s">
        <v>59</v>
      </c>
      <c r="Q3" s="49" t="s">
        <v>60</v>
      </c>
      <c r="R3" s="48" t="s">
        <v>61</v>
      </c>
      <c r="S3" s="45" t="s">
        <v>62</v>
      </c>
      <c r="T3" s="45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0" t="s">
        <v>72</v>
      </c>
      <c r="AD3" s="50" t="s">
        <v>73</v>
      </c>
      <c r="AE3" s="51" t="s">
        <v>74</v>
      </c>
      <c r="AF3" s="51" t="s">
        <v>75</v>
      </c>
      <c r="AG3" s="51" t="s">
        <v>76</v>
      </c>
      <c r="AH3" s="50" t="s">
        <v>77</v>
      </c>
      <c r="AI3" s="50" t="s">
        <v>78</v>
      </c>
      <c r="AJ3" s="51" t="s">
        <v>79</v>
      </c>
      <c r="AK3" s="51" t="s">
        <v>80</v>
      </c>
      <c r="AL3" s="50" t="s">
        <v>81</v>
      </c>
      <c r="AM3" s="50" t="s">
        <v>82</v>
      </c>
      <c r="AN3" s="51" t="s">
        <v>83</v>
      </c>
      <c r="AO3" s="51" t="s">
        <v>84</v>
      </c>
      <c r="AP3" s="51" t="s">
        <v>85</v>
      </c>
      <c r="AQ3" s="50" t="s">
        <v>86</v>
      </c>
      <c r="AR3" s="52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141</v>
      </c>
      <c r="C4" s="20" t="s">
        <v>141</v>
      </c>
      <c r="D4" s="20" t="s">
        <v>12</v>
      </c>
      <c r="E4" s="20" t="s">
        <v>142</v>
      </c>
      <c r="F4" s="22">
        <v>3</v>
      </c>
      <c r="G4" s="22">
        <v>250</v>
      </c>
      <c r="H4" s="22">
        <f>F4*G4</f>
        <v>750</v>
      </c>
      <c r="I4" s="22">
        <v>1</v>
      </c>
      <c r="J4" s="22">
        <v>8</v>
      </c>
      <c r="K4" s="22">
        <v>5</v>
      </c>
      <c r="L4" s="22">
        <f>H4</f>
        <v>750</v>
      </c>
      <c r="M4" s="22">
        <f>ROUND(L4*I4%,2)</f>
        <v>7.5</v>
      </c>
      <c r="N4" s="22">
        <f>H4-M4</f>
        <v>742.5</v>
      </c>
      <c r="O4" s="22">
        <f>ROUND(N4*J4%,2)</f>
        <v>59.4</v>
      </c>
      <c r="P4" s="22">
        <f>ROUND(N4-O4,2)</f>
        <v>683.1</v>
      </c>
      <c r="Q4" s="22">
        <f>ROUND(P4*K4%,2)</f>
        <v>34.16</v>
      </c>
      <c r="R4" s="22">
        <f>M4+O4+Q4</f>
        <v>101.06</v>
      </c>
      <c r="S4" s="22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648.94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55159.9</v>
      </c>
      <c r="AJ4" s="22">
        <f>IF($C$2=3,0,AG4+AH4)</f>
        <v>0</v>
      </c>
      <c r="AK4" s="22">
        <f>IF($C$2=3,AE4+AG4+AH4,0)</f>
        <v>0</v>
      </c>
      <c r="AL4" s="22">
        <v>3</v>
      </c>
      <c r="AM4" s="22">
        <f>F4/AL4</f>
        <v>1</v>
      </c>
      <c r="AN4" s="22">
        <f>AI4/AM4</f>
        <v>55159.9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55159.9</v>
      </c>
      <c r="AS4" s="6" t="s">
        <v>148</v>
      </c>
      <c r="AT4" s="28" t="s">
        <v>12</v>
      </c>
      <c r="AU4" t="s" s="1">
        <v>113</v>
      </c>
      <c r="AV4" t="s" s="1">
        <v>255</v>
      </c>
      <c r="AW4" s="28">
        <f>AM4</f>
        <v>1</v>
      </c>
      <c r="AX4" s="28">
        <f>AR4</f>
        <v>55159.9</v>
      </c>
      <c r="AY4" s="28">
        <f>AU4+AW4</f>
        <v>1</v>
      </c>
      <c r="AZ4" s="28">
        <f>ROUND(((AU4*AV4)+(AW4*AX4))/(AU4+AW4),5)</f>
        <v>55159.9</v>
      </c>
      <c r="BA4" s="30"/>
      <c r="BB4" s="30" t="s">
        <v>115</v>
      </c>
      <c r="BC4" s="53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6"/>
      <c r="BK4" s="6"/>
      <c r="BL4" s="28" t="s">
        <v>150</v>
      </c>
      <c r="BM4" t="s" s="1">
        <v>257</v>
      </c>
      <c r="BN4" t="s" s="1">
        <v>256</v>
      </c>
      <c r="BO4" s="28">
        <f>ROUND((((AW4*AZ4)+(BN4*BM4))/(AW4+BN4)),5)</f>
        <v>55159.9</v>
      </c>
      <c r="BP4" s="34">
        <f>BN4+AW4</f>
        <v>1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 t="shared" si="2"/>
        <v>0</v>
      </c>
      <c r="AI5" s="43">
        <f t="shared" si="2"/>
        <v>55159.9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Z1" workbookViewId="0">
      <selection activeCell="U12" sqref="U12"/>
    </sheetView>
  </sheetViews>
  <sheetFormatPr defaultColWidth="8.71428571428571" defaultRowHeight="15" outlineLevelRow="4"/>
  <cols>
    <col min="1" max="1" style="1" width="8.71428571428571"/>
    <col min="2" max="3" customWidth="true" style="1" width="26.5428571428571"/>
    <col min="4" max="18" style="1" width="8.71428571428571"/>
    <col min="19" max="19" style="1" width="9.28571428571429"/>
    <col min="20" max="20" customWidth="true" style="1" width="10.1428571428571"/>
    <col min="21" max="66" style="1" width="8.71428571428571"/>
    <col min="67" max="67" style="1" width="13.2857142857143"/>
    <col min="68" max="68" style="1" width="12.8571428571429"/>
    <col min="69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145</v>
      </c>
      <c r="C4" s="44" t="s">
        <v>145</v>
      </c>
      <c r="D4" s="20" t="s">
        <v>12</v>
      </c>
      <c r="E4" s="20" t="s">
        <v>142</v>
      </c>
      <c r="F4" s="22">
        <v>3</v>
      </c>
      <c r="G4" s="1" t="s">
        <v>176</v>
      </c>
      <c r="H4" s="22">
        <f>F4*G4</f>
        <v>750</v>
      </c>
      <c r="I4" s="1" t="s">
        <v>138</v>
      </c>
      <c r="J4" s="22">
        <v>8</v>
      </c>
      <c r="K4" s="22">
        <v>5</v>
      </c>
      <c r="L4" s="22">
        <f>IF(OR(I4=0,I4="0"),0,H4)</f>
        <v>750</v>
      </c>
      <c r="M4" s="22">
        <f>ROUND(L4*I4%,3)</f>
        <v>7.5</v>
      </c>
      <c r="N4" s="22">
        <f>H4-M4</f>
        <v>742.5</v>
      </c>
      <c r="O4" s="22">
        <f>ROUND(N4*J4%,3)</f>
        <v>59.4</v>
      </c>
      <c r="P4" s="22">
        <f>ROUND(N4-O4,2)</f>
        <v>683.1</v>
      </c>
      <c r="Q4" s="22">
        <f>ROUND(P4*K4%,2)</f>
        <v>34.16</v>
      </c>
      <c r="R4" s="24">
        <f>ROUND(M4+O4+Q4,3)</f>
        <v>101.06</v>
      </c>
      <c r="S4" s="22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648.94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55159.9</v>
      </c>
      <c r="AJ4" s="24">
        <f>IF($C$2=3,0,AG4+AH4)</f>
        <v>0</v>
      </c>
      <c r="AK4" s="24">
        <f>IF($C$2=3,AE4+AG4+AH4,0)</f>
        <v>0</v>
      </c>
      <c r="AL4" s="26">
        <v>3</v>
      </c>
      <c r="AM4" s="24">
        <f>F4/AL4</f>
        <v>1</v>
      </c>
      <c r="AN4" s="24">
        <f>ROUND(AI4/AM4,5)</f>
        <v>55159.9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55159.9</v>
      </c>
      <c r="AS4" s="27" t="s">
        <v>148</v>
      </c>
      <c r="AT4" s="28" t="s">
        <v>12</v>
      </c>
      <c r="AU4" t="s" s="1">
        <v>113</v>
      </c>
      <c r="AV4" t="s" s="1">
        <v>255</v>
      </c>
      <c r="AW4" s="28">
        <f>AM4</f>
        <v>1</v>
      </c>
      <c r="AX4" s="29">
        <f>AR4</f>
        <v>55159.9</v>
      </c>
      <c r="AY4" s="28">
        <f>AU4+AW4</f>
        <v>1</v>
      </c>
      <c r="AZ4" s="28">
        <f>ROUND(((AU4*AV4)+(AW4*AX4))/(AU4+AW4),5)</f>
        <v>55159.9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t="s" s="1">
        <v>259</v>
      </c>
      <c r="BN4" t="s" s="1">
        <v>258</v>
      </c>
      <c r="BO4" s="28">
        <f>ROUND((((AW4*AZ4)+(BN4*BM4))/(AW4+BN4)),5)</f>
        <v>55159.9</v>
      </c>
      <c r="BP4" s="34">
        <f>BN4+AW4</f>
        <v>192.66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55159.9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AE11" sqref="AE11"/>
    </sheetView>
  </sheetViews>
  <sheetFormatPr defaultColWidth="8.71428571428571" defaultRowHeight="15" outlineLevelRow="4"/>
  <cols>
    <col min="1" max="1" style="1" width="8.71428571428571"/>
    <col min="2" max="2" customWidth="true" style="1" width="27.2857142857143"/>
    <col min="3" max="3" customWidth="true" style="1" width="25.4285714285714"/>
    <col min="4" max="18" style="1" width="8.71428571428571"/>
    <col min="19" max="19" style="1" width="9.28571428571429"/>
    <col min="20" max="20" customWidth="true" style="1" width="10.1428571428571"/>
    <col min="21" max="51" style="1" width="8.71428571428571"/>
    <col min="52" max="52" style="1" width="9.0"/>
    <col min="53" max="66" style="1" width="8.71428571428571"/>
    <col min="67" max="67" style="1" width="13.2857142857143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1" t="s">
        <v>146</v>
      </c>
      <c r="C4" s="21" t="s">
        <v>146</v>
      </c>
      <c r="D4" s="20" t="s">
        <v>12</v>
      </c>
      <c r="E4" s="20" t="s">
        <v>142</v>
      </c>
      <c r="F4" s="22">
        <v>3</v>
      </c>
      <c r="G4" s="23">
        <v>250</v>
      </c>
      <c r="H4" s="22">
        <f>F4*G4</f>
        <v>750</v>
      </c>
      <c r="I4" s="23">
        <v>1</v>
      </c>
      <c r="J4" s="22">
        <v>8</v>
      </c>
      <c r="K4" s="22">
        <v>5</v>
      </c>
      <c r="L4" s="22">
        <f>IF(OR(I4=0,I4="0"),0,H4)</f>
        <v>750</v>
      </c>
      <c r="M4" s="22">
        <f>ROUND(L4*I4%,3)</f>
        <v>7.5</v>
      </c>
      <c r="N4" s="22">
        <f>H4-M4</f>
        <v>742.5</v>
      </c>
      <c r="O4" s="22">
        <f>ROUND(N4*J4%,3)</f>
        <v>59.4</v>
      </c>
      <c r="P4" s="22">
        <f>ROUND(N4-O4,2)</f>
        <v>683.1</v>
      </c>
      <c r="Q4" s="22">
        <f>ROUND(P4*K4%,2)</f>
        <v>34.16</v>
      </c>
      <c r="R4" s="24">
        <f>ROUND(M4+O4+Q4,3)</f>
        <v>101.06</v>
      </c>
      <c r="S4" s="22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648.94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55159.9</v>
      </c>
      <c r="AJ4" s="24">
        <f>IF($C$2=3,0,AG4+AH4)</f>
        <v>0</v>
      </c>
      <c r="AK4" s="24">
        <f>IF($C$2=3,AE4+AG4+AH4,0)</f>
        <v>0</v>
      </c>
      <c r="AL4" s="26">
        <v>3</v>
      </c>
      <c r="AM4" s="24">
        <f>F4/AL4</f>
        <v>1</v>
      </c>
      <c r="AN4" s="24">
        <f>ROUND(AI4/AM4,5)</f>
        <v>55159.9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55159.9</v>
      </c>
      <c r="AS4" s="27" t="s">
        <v>148</v>
      </c>
      <c r="AT4" s="28" t="s">
        <v>12</v>
      </c>
      <c r="AU4" t="s" s="1">
        <v>113</v>
      </c>
      <c r="AV4" t="s" s="1">
        <v>255</v>
      </c>
      <c r="AW4" s="28">
        <f>AM4</f>
        <v>1</v>
      </c>
      <c r="AX4" s="29">
        <f>AR4</f>
        <v>55159.9</v>
      </c>
      <c r="AY4" s="28">
        <f>AU4+AW4</f>
        <v>1</v>
      </c>
      <c r="AZ4" s="28">
        <f>ROUND(((AU4*AV4)+(AW4*AX4))/(AU4+AW4),5)</f>
        <v>55159.9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t="s" s="1">
        <v>260</v>
      </c>
      <c r="BN4" t="s" s="1">
        <v>194</v>
      </c>
      <c r="BO4" s="28">
        <f>ROUND((((AW4*AZ4)+(BN4*BM4))/(AW4+BN4)),5)</f>
        <v>55159.9</v>
      </c>
      <c r="BP4" s="34">
        <f>BN4+AW4</f>
        <v>154.331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55159.9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  <vt:lpstr>ImportPoToGRNUDGeneralSameUOM</vt:lpstr>
      <vt:lpstr>ImportPoToGRNUDServiceSameUOM</vt:lpstr>
      <vt:lpstr>ImportPoToGRNRCGeneralSameUOM</vt:lpstr>
      <vt:lpstr>ImportPoToGRNRCServiceSameUOM</vt:lpstr>
      <vt:lpstr>ImportPoToGRNPLGeneralSameUOM</vt:lpstr>
      <vt:lpstr>ImportPoToGRNPLServiceSameUOM</vt:lpstr>
      <vt:lpstr>ImportPoToGRNUDGeneralDiffUOM</vt:lpstr>
      <vt:lpstr>ImportPoToGRNRCGeneralDiffUOM</vt:lpstr>
      <vt:lpstr>ImportPoToGRNPLGeneralDiffUOM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2025-12-11T12:04:00Z</dcterms:created>
  <dc:creator>Administrator</dc:creator>
  <cp:lastModifiedBy>Administrator</cp:lastModifiedBy>
  <dcterms:modified xsi:type="dcterms:W3CDTF">2026-04-30T14:02:13Z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