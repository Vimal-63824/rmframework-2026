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ocuments\GitHub - Repos\roadmap\testdata\"/>
    </mc:Choice>
  </mc:AlternateContent>
  <bookViews>
    <workbookView xWindow="0" yWindow="0" windowWidth="19200" windowHeight="6915" firstSheet="2" activeTab="3"/>
  </bookViews>
  <sheets>
    <sheet name="ImportPoToGRNUDGeneralSameUOM" sheetId="11" r:id="rId1"/>
    <sheet name="ImportPoToGRNUDGeneralDiffUOM" sheetId="17" r:id="rId2"/>
    <sheet name="ImportPoToGRNUDServiceSameUOM" sheetId="12" r:id="rId3"/>
    <sheet name="ImportPoToGRNRCGeneralSameUOM" sheetId="13" r:id="rId4"/>
    <sheet name="ImportPoToGRNRCGeneralDiffUOM" sheetId="18" r:id="rId5"/>
    <sheet name="ImportPoToGRNRCServiceSameUOM" sheetId="14" r:id="rId6"/>
    <sheet name="ImportPoToGRNPLGeneralSameUOM" sheetId="15" r:id="rId7"/>
    <sheet name="ImportPoToGRNPLGeneralDiffUOM" sheetId="19" r:id="rId8"/>
    <sheet name="ImportPoToGRNPLServiceSameUOM" sheetId="16" r:id="rId9"/>
    <sheet name="ImportDirectGRNUDGeneralSameUOM" sheetId="2" r:id="rId10"/>
    <sheet name="ImportDirectGRNUDGeneralDiffUOM" sheetId="3" r:id="rId11"/>
    <sheet name="ImportDirectGRNUDServiceSameUOM" sheetId="4" r:id="rId12"/>
    <sheet name="ImportDirectGRNRCGeneralSameUOM" sheetId="5" r:id="rId13"/>
    <sheet name="ImportDirectGRNRCGeneralDiffUOM" sheetId="6" r:id="rId14"/>
    <sheet name="ImportDirectGRNRCServiceSameUOM" sheetId="7" r:id="rId15"/>
    <sheet name="ImportDirectGRNPLGeneralSameUOM" sheetId="8" r:id="rId16"/>
    <sheet name="ImportDirectGRNPLGeneralDiffUOM" sheetId="9" r:id="rId17"/>
    <sheet name="ImportDirectGRNPLServiceSameUOM" sheetId="1" r:id="rId18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" i="13" l="1"/>
  <c r="S4" i="14" l="1"/>
  <c r="S4" i="13"/>
  <c r="AK24" i="1" l="1"/>
  <c r="AJ24" i="1"/>
  <c r="AI24" i="1"/>
  <c r="AH24" i="1"/>
  <c r="AG24" i="1"/>
  <c r="AE24" i="1"/>
  <c r="AD24" i="1"/>
  <c r="AC24" i="1"/>
  <c r="AB24" i="1"/>
  <c r="AA24" i="1"/>
  <c r="Y24" i="1"/>
  <c r="X24" i="1"/>
  <c r="W24" i="1"/>
  <c r="V24" i="1"/>
  <c r="S24" i="1"/>
  <c r="R24" i="1"/>
  <c r="H24" i="1"/>
  <c r="BP23" i="1"/>
  <c r="BO23" i="1"/>
  <c r="AZ23" i="1"/>
  <c r="AY23" i="1"/>
  <c r="AX23" i="1"/>
  <c r="AW23" i="1"/>
  <c r="AR23" i="1"/>
  <c r="AP23" i="1"/>
  <c r="AO23" i="1"/>
  <c r="AN23" i="1"/>
  <c r="AM23" i="1"/>
  <c r="AK23" i="1"/>
  <c r="AJ23" i="1"/>
  <c r="AI23" i="1"/>
  <c r="AH23" i="1"/>
  <c r="AG23" i="1"/>
  <c r="AE23" i="1"/>
  <c r="AC23" i="1"/>
  <c r="AB23" i="1"/>
  <c r="AA23" i="1"/>
  <c r="Y23" i="1"/>
  <c r="X23" i="1"/>
  <c r="W23" i="1"/>
  <c r="V23" i="1"/>
  <c r="S23" i="1"/>
  <c r="R23" i="1"/>
  <c r="Q23" i="1"/>
  <c r="P23" i="1"/>
  <c r="O23" i="1"/>
  <c r="N23" i="1"/>
  <c r="M23" i="1"/>
  <c r="L23" i="1"/>
  <c r="H23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AK24" i="9"/>
  <c r="AJ24" i="9"/>
  <c r="AI24" i="9"/>
  <c r="AH24" i="9"/>
  <c r="AG24" i="9"/>
  <c r="AE24" i="9"/>
  <c r="AD24" i="9"/>
  <c r="AC24" i="9"/>
  <c r="AB24" i="9"/>
  <c r="AA24" i="9"/>
  <c r="Y24" i="9"/>
  <c r="X24" i="9"/>
  <c r="W24" i="9"/>
  <c r="V24" i="9"/>
  <c r="S24" i="9"/>
  <c r="R24" i="9"/>
  <c r="H24" i="9"/>
  <c r="BP23" i="9"/>
  <c r="BO23" i="9"/>
  <c r="AZ23" i="9"/>
  <c r="AY23" i="9"/>
  <c r="AX23" i="9"/>
  <c r="AW23" i="9"/>
  <c r="AR23" i="9"/>
  <c r="AP23" i="9"/>
  <c r="AO23" i="9"/>
  <c r="AN23" i="9"/>
  <c r="AM23" i="9"/>
  <c r="AK23" i="9"/>
  <c r="AJ23" i="9"/>
  <c r="AI23" i="9"/>
  <c r="AH23" i="9"/>
  <c r="AG23" i="9"/>
  <c r="AE23" i="9"/>
  <c r="AC23" i="9"/>
  <c r="AB23" i="9"/>
  <c r="AA23" i="9"/>
  <c r="Y23" i="9"/>
  <c r="X23" i="9"/>
  <c r="W23" i="9"/>
  <c r="V23" i="9"/>
  <c r="S23" i="9"/>
  <c r="R23" i="9"/>
  <c r="Q23" i="9"/>
  <c r="P23" i="9"/>
  <c r="O23" i="9"/>
  <c r="N23" i="9"/>
  <c r="M23" i="9"/>
  <c r="L23" i="9"/>
  <c r="H23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AK24" i="8"/>
  <c r="AJ24" i="8"/>
  <c r="AI24" i="8"/>
  <c r="AH24" i="8"/>
  <c r="AG24" i="8"/>
  <c r="AE24" i="8"/>
  <c r="AD24" i="8"/>
  <c r="AC24" i="8"/>
  <c r="AB24" i="8"/>
  <c r="AA24" i="8"/>
  <c r="Y24" i="8"/>
  <c r="X24" i="8"/>
  <c r="W24" i="8"/>
  <c r="V24" i="8"/>
  <c r="S24" i="8"/>
  <c r="R24" i="8"/>
  <c r="H24" i="8"/>
  <c r="BP23" i="8"/>
  <c r="BO23" i="8"/>
  <c r="AZ23" i="8"/>
  <c r="AY23" i="8"/>
  <c r="AX23" i="8"/>
  <c r="AW23" i="8"/>
  <c r="AR23" i="8"/>
  <c r="AP23" i="8"/>
  <c r="AO23" i="8"/>
  <c r="AN23" i="8"/>
  <c r="AM23" i="8"/>
  <c r="AK23" i="8"/>
  <c r="AJ23" i="8"/>
  <c r="AI23" i="8"/>
  <c r="AH23" i="8"/>
  <c r="AG23" i="8"/>
  <c r="AE23" i="8"/>
  <c r="AC23" i="8"/>
  <c r="AB23" i="8"/>
  <c r="AA23" i="8"/>
  <c r="Y23" i="8"/>
  <c r="X23" i="8"/>
  <c r="W23" i="8"/>
  <c r="V23" i="8"/>
  <c r="S23" i="8"/>
  <c r="R23" i="8"/>
  <c r="Q23" i="8"/>
  <c r="P23" i="8"/>
  <c r="O23" i="8"/>
  <c r="N23" i="8"/>
  <c r="M23" i="8"/>
  <c r="L23" i="8"/>
  <c r="H23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AK24" i="7"/>
  <c r="AJ24" i="7"/>
  <c r="AI24" i="7"/>
  <c r="AH24" i="7"/>
  <c r="AG24" i="7"/>
  <c r="AE24" i="7"/>
  <c r="AD24" i="7"/>
  <c r="AC24" i="7"/>
  <c r="AB24" i="7"/>
  <c r="X24" i="7"/>
  <c r="W24" i="7"/>
  <c r="V24" i="7"/>
  <c r="S24" i="7"/>
  <c r="R24" i="7"/>
  <c r="H24" i="7"/>
  <c r="BP23" i="7"/>
  <c r="BO23" i="7"/>
  <c r="AZ23" i="7"/>
  <c r="AY23" i="7"/>
  <c r="AX23" i="7"/>
  <c r="AW23" i="7"/>
  <c r="AR23" i="7"/>
  <c r="AP23" i="7"/>
  <c r="AO23" i="7"/>
  <c r="AN23" i="7"/>
  <c r="AM23" i="7"/>
  <c r="AK23" i="7"/>
  <c r="AJ23" i="7"/>
  <c r="AI23" i="7"/>
  <c r="AH23" i="7"/>
  <c r="AG23" i="7"/>
  <c r="AE23" i="7"/>
  <c r="AC23" i="7"/>
  <c r="AB23" i="7"/>
  <c r="AA23" i="7"/>
  <c r="Y23" i="7"/>
  <c r="X23" i="7"/>
  <c r="W23" i="7"/>
  <c r="V23" i="7"/>
  <c r="S23" i="7"/>
  <c r="R23" i="7"/>
  <c r="Q23" i="7"/>
  <c r="P23" i="7"/>
  <c r="O23" i="7"/>
  <c r="N23" i="7"/>
  <c r="M23" i="7"/>
  <c r="L23" i="7"/>
  <c r="H23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AK24" i="6"/>
  <c r="AJ24" i="6"/>
  <c r="AI24" i="6"/>
  <c r="AH24" i="6"/>
  <c r="AG24" i="6"/>
  <c r="AE24" i="6"/>
  <c r="AD24" i="6"/>
  <c r="AC24" i="6"/>
  <c r="AB24" i="6"/>
  <c r="AA24" i="6"/>
  <c r="Y24" i="6"/>
  <c r="X24" i="6"/>
  <c r="W24" i="6"/>
  <c r="V24" i="6"/>
  <c r="S24" i="6"/>
  <c r="R24" i="6"/>
  <c r="H24" i="6"/>
  <c r="BP23" i="6"/>
  <c r="BO23" i="6"/>
  <c r="AZ23" i="6"/>
  <c r="AY23" i="6"/>
  <c r="AX23" i="6"/>
  <c r="AW23" i="6"/>
  <c r="AR23" i="6"/>
  <c r="AP23" i="6"/>
  <c r="AO23" i="6"/>
  <c r="AN23" i="6"/>
  <c r="AM23" i="6"/>
  <c r="AK23" i="6"/>
  <c r="AJ23" i="6"/>
  <c r="AI23" i="6"/>
  <c r="AH23" i="6"/>
  <c r="AG23" i="6"/>
  <c r="AE23" i="6"/>
  <c r="AC23" i="6"/>
  <c r="AB23" i="6"/>
  <c r="AA23" i="6"/>
  <c r="Y23" i="6"/>
  <c r="X23" i="6"/>
  <c r="W23" i="6"/>
  <c r="V23" i="6"/>
  <c r="S23" i="6"/>
  <c r="R23" i="6"/>
  <c r="Q23" i="6"/>
  <c r="P23" i="6"/>
  <c r="O23" i="6"/>
  <c r="N23" i="6"/>
  <c r="M23" i="6"/>
  <c r="L23" i="6"/>
  <c r="H23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4" i="6"/>
  <c r="AK24" i="5"/>
  <c r="AJ24" i="5"/>
  <c r="AI24" i="5"/>
  <c r="AH24" i="5"/>
  <c r="AG24" i="5"/>
  <c r="AE24" i="5"/>
  <c r="AD24" i="5"/>
  <c r="AC24" i="5"/>
  <c r="AB24" i="5"/>
  <c r="AA24" i="5"/>
  <c r="Y24" i="5"/>
  <c r="X24" i="5"/>
  <c r="W24" i="5"/>
  <c r="V24" i="5"/>
  <c r="S24" i="5"/>
  <c r="R24" i="5"/>
  <c r="H24" i="5"/>
  <c r="BP23" i="5"/>
  <c r="BO23" i="5"/>
  <c r="AZ23" i="5"/>
  <c r="AY23" i="5"/>
  <c r="AX23" i="5"/>
  <c r="AW23" i="5"/>
  <c r="AR23" i="5"/>
  <c r="AP23" i="5"/>
  <c r="AO23" i="5"/>
  <c r="AN23" i="5"/>
  <c r="AM23" i="5"/>
  <c r="AK23" i="5"/>
  <c r="AJ23" i="5"/>
  <c r="AI23" i="5"/>
  <c r="AH23" i="5"/>
  <c r="AG23" i="5"/>
  <c r="AE23" i="5"/>
  <c r="AC23" i="5"/>
  <c r="AB23" i="5"/>
  <c r="AA23" i="5"/>
  <c r="Y23" i="5"/>
  <c r="X23" i="5"/>
  <c r="W23" i="5"/>
  <c r="V23" i="5"/>
  <c r="S23" i="5"/>
  <c r="R23" i="5"/>
  <c r="Q23" i="5"/>
  <c r="P23" i="5"/>
  <c r="O23" i="5"/>
  <c r="N23" i="5"/>
  <c r="M23" i="5"/>
  <c r="L23" i="5"/>
  <c r="H23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AK24" i="4"/>
  <c r="AJ24" i="4"/>
  <c r="AI24" i="4"/>
  <c r="AH24" i="4"/>
  <c r="AG24" i="4"/>
  <c r="AE24" i="4"/>
  <c r="AD24" i="4"/>
  <c r="AC24" i="4"/>
  <c r="AB24" i="4"/>
  <c r="AA24" i="4"/>
  <c r="Y24" i="4"/>
  <c r="X24" i="4"/>
  <c r="W24" i="4"/>
  <c r="V24" i="4"/>
  <c r="S24" i="4"/>
  <c r="R24" i="4"/>
  <c r="H24" i="4"/>
  <c r="BP23" i="4"/>
  <c r="BO23" i="4"/>
  <c r="AZ23" i="4"/>
  <c r="AY23" i="4"/>
  <c r="AX23" i="4"/>
  <c r="AW23" i="4"/>
  <c r="AR23" i="4"/>
  <c r="AP23" i="4"/>
  <c r="AO23" i="4"/>
  <c r="AN23" i="4"/>
  <c r="AM23" i="4"/>
  <c r="AK23" i="4"/>
  <c r="AJ23" i="4"/>
  <c r="AI23" i="4"/>
  <c r="AH23" i="4"/>
  <c r="AG23" i="4"/>
  <c r="AE23" i="4"/>
  <c r="AC23" i="4"/>
  <c r="AB23" i="4"/>
  <c r="AA23" i="4"/>
  <c r="Y23" i="4"/>
  <c r="X23" i="4"/>
  <c r="W23" i="4"/>
  <c r="V23" i="4"/>
  <c r="S23" i="4"/>
  <c r="R23" i="4"/>
  <c r="Q23" i="4"/>
  <c r="P23" i="4"/>
  <c r="O23" i="4"/>
  <c r="N23" i="4"/>
  <c r="M23" i="4"/>
  <c r="L23" i="4"/>
  <c r="H23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AK24" i="3"/>
  <c r="AJ24" i="3"/>
  <c r="AI24" i="3"/>
  <c r="AH24" i="3"/>
  <c r="AG24" i="3"/>
  <c r="AE24" i="3"/>
  <c r="AD24" i="3"/>
  <c r="AC24" i="3"/>
  <c r="AB24" i="3"/>
  <c r="AA24" i="3"/>
  <c r="Y24" i="3"/>
  <c r="X24" i="3"/>
  <c r="W24" i="3"/>
  <c r="V24" i="3"/>
  <c r="S24" i="3"/>
  <c r="R24" i="3"/>
  <c r="H24" i="3"/>
  <c r="BP23" i="3"/>
  <c r="BO23" i="3"/>
  <c r="AZ23" i="3"/>
  <c r="AY23" i="3"/>
  <c r="AX23" i="3"/>
  <c r="AW23" i="3"/>
  <c r="AR23" i="3"/>
  <c r="AP23" i="3"/>
  <c r="AO23" i="3"/>
  <c r="AN23" i="3"/>
  <c r="AM23" i="3"/>
  <c r="AK23" i="3"/>
  <c r="AJ23" i="3"/>
  <c r="AI23" i="3"/>
  <c r="AH23" i="3"/>
  <c r="AG23" i="3"/>
  <c r="AE23" i="3"/>
  <c r="AC23" i="3"/>
  <c r="AB23" i="3"/>
  <c r="AA23" i="3"/>
  <c r="Y23" i="3"/>
  <c r="X23" i="3"/>
  <c r="W23" i="3"/>
  <c r="V23" i="3"/>
  <c r="S23" i="3"/>
  <c r="R23" i="3"/>
  <c r="Q23" i="3"/>
  <c r="P23" i="3"/>
  <c r="O23" i="3"/>
  <c r="N23" i="3"/>
  <c r="M23" i="3"/>
  <c r="L23" i="3"/>
  <c r="H23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AK24" i="2"/>
  <c r="AJ24" i="2"/>
  <c r="AI24" i="2"/>
  <c r="AH24" i="2"/>
  <c r="AG24" i="2"/>
  <c r="AE24" i="2"/>
  <c r="AD24" i="2"/>
  <c r="AC24" i="2"/>
  <c r="AB24" i="2"/>
  <c r="AA24" i="2"/>
  <c r="Y24" i="2"/>
  <c r="X24" i="2"/>
  <c r="W24" i="2"/>
  <c r="V24" i="2"/>
  <c r="S24" i="2"/>
  <c r="R24" i="2"/>
  <c r="H24" i="2"/>
  <c r="BP23" i="2"/>
  <c r="BO23" i="2"/>
  <c r="AZ23" i="2"/>
  <c r="AY23" i="2"/>
  <c r="AX23" i="2"/>
  <c r="AW23" i="2"/>
  <c r="AR23" i="2"/>
  <c r="AP23" i="2"/>
  <c r="AO23" i="2"/>
  <c r="AN23" i="2"/>
  <c r="AM23" i="2"/>
  <c r="AK23" i="2"/>
  <c r="AJ23" i="2"/>
  <c r="AI23" i="2"/>
  <c r="AH23" i="2"/>
  <c r="AG23" i="2"/>
  <c r="AE23" i="2"/>
  <c r="AC23" i="2"/>
  <c r="AB23" i="2"/>
  <c r="AA23" i="2"/>
  <c r="Y23" i="2"/>
  <c r="X23" i="2"/>
  <c r="W23" i="2"/>
  <c r="V23" i="2"/>
  <c r="S23" i="2"/>
  <c r="R23" i="2"/>
  <c r="Q23" i="2"/>
  <c r="P23" i="2"/>
  <c r="O23" i="2"/>
  <c r="N23" i="2"/>
  <c r="M23" i="2"/>
  <c r="L23" i="2"/>
  <c r="H23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BN17" i="16"/>
  <c r="BM17" i="16"/>
  <c r="BM14" i="16"/>
  <c r="BN13" i="16"/>
  <c r="BM13" i="16"/>
  <c r="I7" i="16"/>
  <c r="AH5" i="16"/>
  <c r="AE5" i="16"/>
  <c r="AD5" i="16"/>
  <c r="X5" i="16"/>
  <c r="H5" i="16"/>
  <c r="BP4" i="16"/>
  <c r="AY4" i="16"/>
  <c r="AW4" i="16"/>
  <c r="AM4" i="16"/>
  <c r="AK4" i="16"/>
  <c r="AP4" i="16" s="1"/>
  <c r="AH4" i="16"/>
  <c r="AJ4" i="16" s="1"/>
  <c r="AG4" i="16"/>
  <c r="AG5" i="16" s="1"/>
  <c r="AE4" i="16"/>
  <c r="Y4" i="16"/>
  <c r="X4" i="16"/>
  <c r="L4" i="16"/>
  <c r="M4" i="16" s="1"/>
  <c r="H4" i="16"/>
  <c r="AJ5" i="19"/>
  <c r="AH5" i="19"/>
  <c r="AG5" i="19"/>
  <c r="AE5" i="19"/>
  <c r="AD5" i="19"/>
  <c r="X5" i="19"/>
  <c r="H5" i="19"/>
  <c r="BP4" i="19"/>
  <c r="AY4" i="19"/>
  <c r="AW4" i="19"/>
  <c r="AM4" i="19"/>
  <c r="AJ4" i="19"/>
  <c r="AO4" i="19" s="1"/>
  <c r="AH4" i="19"/>
  <c r="AG4" i="19"/>
  <c r="AE4" i="19"/>
  <c r="AK4" i="19" s="1"/>
  <c r="AA4" i="19"/>
  <c r="Y4" i="19"/>
  <c r="X4" i="19"/>
  <c r="W4" i="19"/>
  <c r="W5" i="19" s="1"/>
  <c r="V4" i="19"/>
  <c r="V5" i="19" s="1"/>
  <c r="M4" i="19"/>
  <c r="L4" i="19"/>
  <c r="H4" i="19"/>
  <c r="AJ5" i="15"/>
  <c r="AH5" i="15"/>
  <c r="AG5" i="15"/>
  <c r="AE5" i="15"/>
  <c r="AD5" i="15"/>
  <c r="X5" i="15"/>
  <c r="V5" i="15"/>
  <c r="H5" i="15"/>
  <c r="BP4" i="15"/>
  <c r="AY4" i="15"/>
  <c r="AW4" i="15"/>
  <c r="AM4" i="15"/>
  <c r="AJ4" i="15"/>
  <c r="AO4" i="15" s="1"/>
  <c r="AH4" i="15"/>
  <c r="AG4" i="15"/>
  <c r="AE4" i="15"/>
  <c r="AK4" i="15" s="1"/>
  <c r="AA4" i="15"/>
  <c r="Y4" i="15"/>
  <c r="X4" i="15"/>
  <c r="W4" i="15"/>
  <c r="W5" i="15" s="1"/>
  <c r="V4" i="15"/>
  <c r="M4" i="15"/>
  <c r="L4" i="15"/>
  <c r="H4" i="15"/>
  <c r="AJ5" i="14"/>
  <c r="AH5" i="14"/>
  <c r="AE5" i="14"/>
  <c r="AD5" i="14"/>
  <c r="X5" i="14"/>
  <c r="H5" i="14"/>
  <c r="BP4" i="14"/>
  <c r="AY4" i="14"/>
  <c r="AW4" i="14"/>
  <c r="AM4" i="14"/>
  <c r="AJ4" i="14"/>
  <c r="AO4" i="14" s="1"/>
  <c r="AH4" i="14"/>
  <c r="AG4" i="14"/>
  <c r="AG5" i="14" s="1"/>
  <c r="AE4" i="14"/>
  <c r="AK4" i="14" s="1"/>
  <c r="AA4" i="14"/>
  <c r="Y4" i="14"/>
  <c r="X4" i="14"/>
  <c r="W4" i="14"/>
  <c r="W5" i="14" s="1"/>
  <c r="V4" i="14"/>
  <c r="V5" i="14" s="1"/>
  <c r="M4" i="14"/>
  <c r="L4" i="14"/>
  <c r="H4" i="14"/>
  <c r="AJ5" i="18"/>
  <c r="AH5" i="18"/>
  <c r="AE5" i="18"/>
  <c r="AD5" i="18"/>
  <c r="X5" i="18"/>
  <c r="H5" i="18"/>
  <c r="BP4" i="18"/>
  <c r="AY4" i="18"/>
  <c r="AW4" i="18"/>
  <c r="AM4" i="18"/>
  <c r="AJ4" i="18"/>
  <c r="AO4" i="18" s="1"/>
  <c r="AH4" i="18"/>
  <c r="AG4" i="18"/>
  <c r="AG5" i="18" s="1"/>
  <c r="AE4" i="18"/>
  <c r="AK4" i="18" s="1"/>
  <c r="AA4" i="18"/>
  <c r="Y4" i="18"/>
  <c r="X4" i="18"/>
  <c r="W4" i="18"/>
  <c r="W5" i="18" s="1"/>
  <c r="V4" i="18"/>
  <c r="V5" i="18" s="1"/>
  <c r="M4" i="18"/>
  <c r="L4" i="18"/>
  <c r="H4" i="18"/>
  <c r="AH5" i="13"/>
  <c r="AD5" i="13"/>
  <c r="H5" i="13"/>
  <c r="BP4" i="13"/>
  <c r="AY4" i="13"/>
  <c r="AW4" i="13"/>
  <c r="AM4" i="13"/>
  <c r="AJ4" i="13"/>
  <c r="AO4" i="13" s="1"/>
  <c r="AH4" i="13"/>
  <c r="AG4" i="13"/>
  <c r="AG5" i="13" s="1"/>
  <c r="AE4" i="13"/>
  <c r="AK4" i="13" s="1"/>
  <c r="AA4" i="13"/>
  <c r="Y4" i="13"/>
  <c r="X4" i="13"/>
  <c r="X5" i="13" s="1"/>
  <c r="W4" i="13"/>
  <c r="W5" i="13" s="1"/>
  <c r="V5" i="13"/>
  <c r="L4" i="13"/>
  <c r="M4" i="13" s="1"/>
  <c r="H4" i="13"/>
  <c r="BN17" i="12"/>
  <c r="BM17" i="12"/>
  <c r="BM14" i="12"/>
  <c r="BN13" i="12"/>
  <c r="BM13" i="12"/>
  <c r="I11" i="12"/>
  <c r="I10" i="12"/>
  <c r="I9" i="12"/>
  <c r="I8" i="12"/>
  <c r="I7" i="12"/>
  <c r="AK5" i="12"/>
  <c r="AJ5" i="12"/>
  <c r="AI5" i="12"/>
  <c r="AH5" i="12"/>
  <c r="AG5" i="12"/>
  <c r="AE5" i="12"/>
  <c r="AD5" i="12"/>
  <c r="AC5" i="12"/>
  <c r="AB5" i="12"/>
  <c r="X5" i="12"/>
  <c r="W5" i="12"/>
  <c r="V5" i="12"/>
  <c r="S5" i="12"/>
  <c r="R5" i="12"/>
  <c r="H5" i="12"/>
  <c r="BP4" i="12"/>
  <c r="BO4" i="12"/>
  <c r="AZ4" i="12"/>
  <c r="AY4" i="12"/>
  <c r="AX4" i="12"/>
  <c r="AW4" i="12"/>
  <c r="AR4" i="12"/>
  <c r="AP4" i="12"/>
  <c r="AO4" i="12"/>
  <c r="AN4" i="12"/>
  <c r="AM4" i="12"/>
  <c r="AK4" i="12"/>
  <c r="AJ4" i="12"/>
  <c r="AI4" i="12"/>
  <c r="AH4" i="12"/>
  <c r="AG4" i="12"/>
  <c r="AE4" i="12"/>
  <c r="AC4" i="12"/>
  <c r="AB4" i="12"/>
  <c r="AA4" i="12"/>
  <c r="Y4" i="12"/>
  <c r="X4" i="12"/>
  <c r="W4" i="12"/>
  <c r="V4" i="12"/>
  <c r="S4" i="12"/>
  <c r="R4" i="12"/>
  <c r="Q4" i="12"/>
  <c r="P4" i="12"/>
  <c r="O4" i="12"/>
  <c r="N4" i="12"/>
  <c r="M4" i="12"/>
  <c r="L4" i="12"/>
  <c r="H4" i="12"/>
  <c r="AK5" i="17"/>
  <c r="AJ5" i="17"/>
  <c r="AI5" i="17"/>
  <c r="AH5" i="17"/>
  <c r="AG5" i="17"/>
  <c r="AE5" i="17"/>
  <c r="AD5" i="17"/>
  <c r="AC5" i="17"/>
  <c r="AB5" i="17"/>
  <c r="X5" i="17"/>
  <c r="W5" i="17"/>
  <c r="V5" i="17"/>
  <c r="S5" i="17"/>
  <c r="R5" i="17"/>
  <c r="H5" i="17"/>
  <c r="BP4" i="17"/>
  <c r="BO4" i="17"/>
  <c r="AZ4" i="17"/>
  <c r="AY4" i="17"/>
  <c r="AX4" i="17"/>
  <c r="AW4" i="17"/>
  <c r="AR4" i="17"/>
  <c r="AP4" i="17"/>
  <c r="AO4" i="17"/>
  <c r="AN4" i="17"/>
  <c r="AM4" i="17"/>
  <c r="AK4" i="17"/>
  <c r="AJ4" i="17"/>
  <c r="AI4" i="17"/>
  <c r="AH4" i="17"/>
  <c r="AG4" i="17"/>
  <c r="AE4" i="17"/>
  <c r="AC4" i="17"/>
  <c r="AB4" i="17"/>
  <c r="AA4" i="17"/>
  <c r="Y4" i="17"/>
  <c r="X4" i="17"/>
  <c r="W4" i="17"/>
  <c r="V4" i="17"/>
  <c r="S4" i="17"/>
  <c r="R4" i="17"/>
  <c r="Q4" i="17"/>
  <c r="P4" i="17"/>
  <c r="O4" i="17"/>
  <c r="N4" i="17"/>
  <c r="M4" i="17"/>
  <c r="L4" i="17"/>
  <c r="H4" i="17"/>
  <c r="AK5" i="11"/>
  <c r="AJ5" i="11"/>
  <c r="AI5" i="11"/>
  <c r="AH5" i="11"/>
  <c r="AG5" i="11"/>
  <c r="AE5" i="11"/>
  <c r="AD5" i="11"/>
  <c r="AC5" i="11"/>
  <c r="AB5" i="11"/>
  <c r="X5" i="11"/>
  <c r="W5" i="11"/>
  <c r="V5" i="11"/>
  <c r="S5" i="11"/>
  <c r="R5" i="11"/>
  <c r="H5" i="11"/>
  <c r="BP4" i="11"/>
  <c r="BO4" i="11"/>
  <c r="AZ4" i="11"/>
  <c r="AY4" i="11"/>
  <c r="AX4" i="11"/>
  <c r="AW4" i="11"/>
  <c r="AR4" i="11"/>
  <c r="AP4" i="11"/>
  <c r="AO4" i="11"/>
  <c r="AN4" i="11"/>
  <c r="AM4" i="11"/>
  <c r="AK4" i="11"/>
  <c r="AJ4" i="11"/>
  <c r="AI4" i="11"/>
  <c r="AH4" i="11"/>
  <c r="AG4" i="11"/>
  <c r="AE4" i="11"/>
  <c r="AC4" i="11"/>
  <c r="AB4" i="11"/>
  <c r="AA4" i="11"/>
  <c r="Y4" i="11"/>
  <c r="X4" i="11"/>
  <c r="W4" i="11"/>
  <c r="V4" i="11"/>
  <c r="S4" i="11"/>
  <c r="R4" i="11"/>
  <c r="Q4" i="11"/>
  <c r="P4" i="11"/>
  <c r="O4" i="11"/>
  <c r="N4" i="11"/>
  <c r="M4" i="11"/>
  <c r="L4" i="11"/>
  <c r="H4" i="11"/>
  <c r="N4" i="16" l="1"/>
  <c r="AO4" i="16"/>
  <c r="AJ5" i="16"/>
  <c r="AK5" i="16"/>
  <c r="AP4" i="19"/>
  <c r="AK5" i="19"/>
  <c r="N4" i="19"/>
  <c r="AB4" i="19"/>
  <c r="AB5" i="19" s="1"/>
  <c r="AP4" i="15"/>
  <c r="AK5" i="15"/>
  <c r="AB4" i="15"/>
  <c r="AB5" i="15" s="1"/>
  <c r="N4" i="15"/>
  <c r="AP4" i="14"/>
  <c r="AK5" i="14"/>
  <c r="AB4" i="14"/>
  <c r="AB5" i="14" s="1"/>
  <c r="N4" i="14"/>
  <c r="AP4" i="18"/>
  <c r="AK5" i="18"/>
  <c r="AB4" i="18"/>
  <c r="AB5" i="18" s="1"/>
  <c r="N4" i="18"/>
  <c r="AP4" i="13"/>
  <c r="AK5" i="13"/>
  <c r="N4" i="13"/>
  <c r="AB4" i="13"/>
  <c r="AB5" i="13" s="1"/>
  <c r="AE5" i="13"/>
  <c r="AJ5" i="13"/>
  <c r="O4" i="16" l="1"/>
  <c r="O4" i="19"/>
  <c r="O4" i="15"/>
  <c r="O4" i="14"/>
  <c r="P4" i="18"/>
  <c r="Q4" i="18" s="1"/>
  <c r="O4" i="18"/>
  <c r="O4" i="13"/>
  <c r="P4" i="13" s="1"/>
  <c r="Q4" i="13" s="1"/>
  <c r="P4" i="16" l="1"/>
  <c r="Q4" i="16" s="1"/>
  <c r="R4" i="16" s="1"/>
  <c r="P4" i="19"/>
  <c r="Q4" i="19" s="1"/>
  <c r="R4" i="19" s="1"/>
  <c r="P4" i="15"/>
  <c r="Q4" i="15" s="1"/>
  <c r="R4" i="15" s="1"/>
  <c r="P4" i="14"/>
  <c r="Q4" i="14" s="1"/>
  <c r="R4" i="14" s="1"/>
  <c r="R4" i="18"/>
  <c r="R4" i="13"/>
  <c r="S4" i="16" l="1"/>
  <c r="R5" i="16"/>
  <c r="I8" i="16" s="1"/>
  <c r="S4" i="19"/>
  <c r="R5" i="19"/>
  <c r="S4" i="15"/>
  <c r="R5" i="15"/>
  <c r="R5" i="14"/>
  <c r="S4" i="18"/>
  <c r="R5" i="18"/>
  <c r="R5" i="13"/>
  <c r="AA4" i="16" l="1"/>
  <c r="V4" i="16"/>
  <c r="S5" i="16"/>
  <c r="I9" i="16" s="1"/>
  <c r="AI4" i="16"/>
  <c r="W4" i="16"/>
  <c r="W5" i="16" s="1"/>
  <c r="S5" i="19"/>
  <c r="AI4" i="19"/>
  <c r="AC4" i="19"/>
  <c r="AC5" i="19" s="1"/>
  <c r="S5" i="15"/>
  <c r="AI4" i="15"/>
  <c r="AC4" i="15"/>
  <c r="AC5" i="15" s="1"/>
  <c r="S5" i="14"/>
  <c r="AI4" i="14"/>
  <c r="AC4" i="14"/>
  <c r="AC5" i="14" s="1"/>
  <c r="S5" i="18"/>
  <c r="AI4" i="18"/>
  <c r="AC4" i="18"/>
  <c r="AC5" i="18" s="1"/>
  <c r="S5" i="13"/>
  <c r="AI4" i="13"/>
  <c r="AC4" i="13"/>
  <c r="AC5" i="13" s="1"/>
  <c r="V5" i="16" l="1"/>
  <c r="AB4" i="16"/>
  <c r="AI5" i="16"/>
  <c r="AN4" i="16"/>
  <c r="AR4" i="16" s="1"/>
  <c r="AX4" i="16" s="1"/>
  <c r="AZ4" i="16" s="1"/>
  <c r="BO4" i="16" s="1"/>
  <c r="AI5" i="19"/>
  <c r="AN4" i="19"/>
  <c r="AR4" i="19" s="1"/>
  <c r="AX4" i="19" s="1"/>
  <c r="AZ4" i="19" s="1"/>
  <c r="BO4" i="19" s="1"/>
  <c r="AI5" i="15"/>
  <c r="AN4" i="15"/>
  <c r="AR4" i="15" s="1"/>
  <c r="AX4" i="15" s="1"/>
  <c r="AZ4" i="15" s="1"/>
  <c r="BO4" i="15" s="1"/>
  <c r="AI5" i="14"/>
  <c r="AN4" i="14"/>
  <c r="AR4" i="14" s="1"/>
  <c r="AX4" i="14" s="1"/>
  <c r="AZ4" i="14" s="1"/>
  <c r="BO4" i="14" s="1"/>
  <c r="AI5" i="18"/>
  <c r="AN4" i="18"/>
  <c r="AR4" i="18" s="1"/>
  <c r="AX4" i="18" s="1"/>
  <c r="AZ4" i="18" s="1"/>
  <c r="BO4" i="18" s="1"/>
  <c r="AI5" i="13"/>
  <c r="AN4" i="13"/>
  <c r="AR4" i="13" s="1"/>
  <c r="AX4" i="13" s="1"/>
  <c r="AZ4" i="13" s="1"/>
  <c r="BO4" i="13" s="1"/>
  <c r="AB5" i="16" l="1"/>
  <c r="I10" i="16" s="1"/>
  <c r="I11" i="16" s="1"/>
  <c r="AC4" i="16"/>
  <c r="AC5" i="16" s="1"/>
</calcChain>
</file>

<file path=xl/sharedStrings.xml><?xml version="1.0" encoding="utf-8"?>
<sst xmlns="http://schemas.openxmlformats.org/spreadsheetml/2006/main" count="2421" uniqueCount="196">
  <si>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</si>
  <si>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</si>
  <si>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</si>
  <si>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</si>
  <si>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</si>
  <si>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</si>
  <si>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</si>
  <si>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</si>
  <si>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</si>
  <si>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</si>
  <si>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</si>
  <si>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</si>
  <si>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</si>
  <si>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</si>
  <si>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</si>
  <si>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</si>
  <si>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</si>
  <si>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</si>
  <si>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</si>
  <si>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</si>
  <si>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</si>
  <si>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</si>
  <si>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</si>
  <si>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</si>
  <si>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</si>
  <si>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</si>
  <si>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</si>
  <si>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</si>
  <si>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</si>
  <si>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</si>
  <si>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</si>
  <si>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</si>
  <si>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</si>
  <si>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</si>
  <si>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</si>
  <si>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</si>
  <si>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</si>
  <si>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</si>
  <si>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</si>
  <si>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</si>
  <si>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</si>
  <si>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</si>
  <si>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</si>
  <si>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</si>
  <si>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</si>
  <si>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</si>
  <si>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</si>
  <si>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</si>
  <si>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</si>
  <si>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</si>
  <si>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</si>
  <si>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</si>
  <si>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</si>
  <si>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</si>
  <si>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</si>
  <si>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</si>
  <si>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</si>
  <si>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</si>
  <si>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</si>
  <si>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</si>
  <si>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</si>
  <si>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</si>
  <si>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</si>
  <si>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</si>
  <si>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</si>
  <si>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</si>
  <si>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</si>
  <si>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</si>
  <si>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</si>
  <si>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</si>
  <si>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</si>
  <si>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</si>
  <si>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</si>
  <si>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</si>
  <si>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</si>
  <si>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GWL-RM-WAL-FP-001</t>
  </si>
  <si>
    <t>NOS</t>
  </si>
  <si>
    <t>INS KD</t>
  </si>
  <si>
    <t>14090</t>
  </si>
  <si>
    <t>121.22038</t>
  </si>
  <si>
    <t>Receipt Qty &amp; Unit cost</t>
  </si>
  <si>
    <t>LOT</t>
  </si>
  <si>
    <t>RM</t>
  </si>
  <si>
    <t>RMS</t>
  </si>
  <si>
    <t>RM KD</t>
  </si>
  <si>
    <t>146.85967</t>
  </si>
  <si>
    <t>691</t>
  </si>
  <si>
    <t>Total</t>
  </si>
  <si>
    <t>GWL-RM-WAL-FP-001-DIS-UOM</t>
  </si>
  <si>
    <t>KGS</t>
  </si>
  <si>
    <t>No.</t>
  </si>
  <si>
    <t>Item Desc</t>
  </si>
  <si>
    <t>Qty</t>
  </si>
  <si>
    <t>VD Asbl. Val.</t>
  </si>
  <si>
    <t>Pur. Value</t>
  </si>
  <si>
    <t>Tax%</t>
  </si>
  <si>
    <t>Unit cost (Stk. UOM)</t>
  </si>
  <si>
    <t>GWL-WAL-SERVICE-01</t>
  </si>
  <si>
    <t>INS WH-1</t>
  </si>
  <si>
    <t>110</t>
  </si>
  <si>
    <t>124.545</t>
  </si>
  <si>
    <t>RM WH-49</t>
  </si>
  <si>
    <t>5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</si>
  <si>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</si>
  <si>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</si>
  <si>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</si>
  <si>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</si>
  <si>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</si>
  <si>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</si>
  <si>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</si>
  <si>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</si>
  <si>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</si>
  <si>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</si>
  <si>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</si>
  <si>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</si>
  <si>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</si>
  <si>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</si>
  <si>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</si>
  <si>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</si>
  <si>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</si>
  <si>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</si>
  <si>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GWL-RM-WAL-01 RateContract</t>
  </si>
  <si>
    <t>50</t>
  </si>
  <si>
    <t>15</t>
  </si>
  <si>
    <t>41.515</t>
  </si>
  <si>
    <t>GWL-RM-WAL-01 RateContract-DIS-UOM</t>
  </si>
  <si>
    <t>GWL-WAL-SERVICE-RATECONTRACT-01</t>
  </si>
  <si>
    <t>GWL-RM-WAL-01 PriceList</t>
  </si>
  <si>
    <t>10</t>
  </si>
  <si>
    <t>GWL-RM-WAL-01 PriceList-DIS-UOM</t>
  </si>
  <si>
    <t>GWL-WAL-SERVICE-PRICELIST-01</t>
  </si>
  <si>
    <t>Scenario  : Local Purchase - Stock UOM and Purchase UOM (Similar)</t>
  </si>
  <si>
    <t xml:space="preserve">Purchase Request </t>
  </si>
  <si>
    <t>RM1001</t>
  </si>
  <si>
    <t>Raw Material - 1001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</si>
  <si>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</si>
  <si>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</si>
  <si>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</si>
  <si>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</si>
  <si>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</si>
  <si>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</si>
  <si>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</si>
  <si>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</si>
  <si>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</si>
  <si>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</si>
  <si>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</si>
  <si>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</si>
  <si>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</si>
  <si>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</si>
  <si>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</si>
  <si>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</si>
  <si>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</si>
  <si>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</si>
  <si>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</si>
  <si>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</si>
  <si>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</si>
  <si>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</si>
  <si>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</si>
  <si>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</si>
  <si>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</si>
  <si>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</si>
  <si>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</si>
  <si>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</si>
  <si>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250</t>
  </si>
  <si>
    <t>2</t>
  </si>
  <si>
    <t>HSN1</t>
  </si>
  <si>
    <t>INS</t>
  </si>
  <si>
    <t>0</t>
  </si>
  <si>
    <t>455</t>
  </si>
  <si>
    <t>330.98625</t>
  </si>
  <si>
    <t>NA</t>
  </si>
  <si>
    <t>R100</t>
  </si>
  <si>
    <t>269.19614</t>
  </si>
  <si>
    <t>24</t>
  </si>
  <si>
    <t>200</t>
  </si>
  <si>
    <t>187.68</t>
  </si>
  <si>
    <t>186.89799</t>
  </si>
  <si>
    <t>80</t>
  </si>
  <si>
    <t>121.18128</t>
  </si>
  <si>
    <t>147.00901</t>
  </si>
  <si>
    <t>687</t>
  </si>
  <si>
    <t>186.32</t>
  </si>
  <si>
    <t>4</t>
  </si>
  <si>
    <t>16</t>
  </si>
  <si>
    <t>185.81481</t>
  </si>
  <si>
    <t>184.66239</t>
  </si>
  <si>
    <t>18</t>
  </si>
  <si>
    <t>GWL_Dissimilar_01</t>
  </si>
  <si>
    <t>GWL_Item_WoQ_UD_Similar_01</t>
  </si>
  <si>
    <t>GWL_Item_FP_service_01</t>
  </si>
  <si>
    <t>GWL_Item_FP_Rc_01</t>
  </si>
  <si>
    <t>GWL_Item_FP_Rc_Dissimilar_01</t>
  </si>
  <si>
    <t>GWL_Item_FP_Rc_Service_01</t>
  </si>
  <si>
    <t>GWL_Item_FP_Pl_Similar_01</t>
  </si>
  <si>
    <t>GWL_Item_FP_Pl_Dissimilar_01</t>
  </si>
  <si>
    <t>GWL_Item_Service_Pl_01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</si>
</sst>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00"/>
    <numFmt numFmtId="165" formatCode="0.00_);[Red]\(0.00\)"/>
    <numFmt numFmtId="166" formatCode="0.0"/>
  </numFmts>
  <fonts count="7">
    <font>
      <sz val="11"/>
      <color theme="1"/>
      <name val="Calibri"/>
      <charset val="134"/>
      <scheme val="minor"/>
    </font>
    <font>
      <b/>
      <u/>
      <sz val="14"/>
      <color theme="1"/>
      <name val="Calibri Light"/>
      <charset val="134"/>
      <scheme val="maj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10"/>
      <color rgb="FF000000"/>
      <name val="Consolas"/>
      <charset val="134"/>
    </font>
    <font>
      <sz val="9"/>
      <color rgb="FF004153"/>
      <name val="Arial"/>
      <charset val="134"/>
    </font>
    <font>
      <sz val="11"/>
      <color theme="1"/>
      <name val="Calibri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8901333658864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7985778374584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76805932798245"/>
        <bgColor indexed="64"/>
      </patternFill>
    </fill>
  </fills>
  <borders count="23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6" fillId="0" borderId="0">
      <alignment vertical="center"/>
    </xf>
  </cellStyleXfs>
  <cellXfs count="123">
    <xf numFmtId="0" fontId="0" fillId="0" borderId="0" xfId="0"/>
    <xf numFmtId="0" fontId="1" fillId="0" borderId="0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Fill="1" applyBorder="1" applyAlignment="1"/>
    <xf numFmtId="0" fontId="3" fillId="0" borderId="5" xfId="0" applyFont="1" applyFill="1" applyBorder="1" applyAlignment="1"/>
    <xf numFmtId="164" fontId="3" fillId="0" borderId="5" xfId="0" applyNumberFormat="1" applyFont="1" applyFill="1" applyBorder="1" applyAlignment="1"/>
    <xf numFmtId="2" fontId="3" fillId="0" borderId="5" xfId="0" applyNumberFormat="1" applyFont="1" applyFill="1" applyBorder="1" applyAlignment="1"/>
    <xf numFmtId="2" fontId="3" fillId="0" borderId="6" xfId="0" applyNumberFormat="1" applyFont="1" applyFill="1" applyBorder="1" applyAlignment="1"/>
    <xf numFmtId="0" fontId="3" fillId="0" borderId="7" xfId="0" applyFont="1" applyFill="1" applyBorder="1" applyAlignment="1"/>
    <xf numFmtId="0" fontId="3" fillId="0" borderId="8" xfId="0" applyFont="1" applyFill="1" applyBorder="1" applyAlignment="1"/>
    <xf numFmtId="164" fontId="3" fillId="0" borderId="8" xfId="0" applyNumberFormat="1" applyFont="1" applyFill="1" applyBorder="1" applyAlignment="1"/>
    <xf numFmtId="2" fontId="3" fillId="0" borderId="8" xfId="0" applyNumberFormat="1" applyFont="1" applyFill="1" applyBorder="1" applyAlignment="1"/>
    <xf numFmtId="2" fontId="3" fillId="0" borderId="9" xfId="0" applyNumberFormat="1" applyFont="1" applyFill="1" applyBorder="1" applyAlignment="1"/>
    <xf numFmtId="0" fontId="3" fillId="0" borderId="0" xfId="0" applyFont="1" applyFill="1" applyAlignment="1"/>
    <xf numFmtId="0" fontId="2" fillId="3" borderId="11" xfId="0" applyFont="1" applyFill="1" applyBorder="1" applyAlignment="1">
      <alignment vertical="top"/>
    </xf>
    <xf numFmtId="0" fontId="2" fillId="0" borderId="0" xfId="0" applyFont="1" applyFill="1" applyBorder="1" applyAlignment="1"/>
    <xf numFmtId="0" fontId="2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 wrapText="1"/>
    </xf>
    <xf numFmtId="0" fontId="3" fillId="0" borderId="13" xfId="0" applyFont="1" applyFill="1" applyBorder="1" applyAlignment="1"/>
    <xf numFmtId="0" fontId="3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2" fillId="3" borderId="14" xfId="0" applyFont="1" applyFill="1" applyBorder="1" applyAlignment="1"/>
    <xf numFmtId="0" fontId="2" fillId="3" borderId="15" xfId="0" applyFont="1" applyFill="1" applyBorder="1" applyAlignment="1"/>
    <xf numFmtId="0" fontId="2" fillId="3" borderId="13" xfId="0" applyFont="1" applyFill="1" applyBorder="1" applyAlignment="1"/>
    <xf numFmtId="10" fontId="3" fillId="0" borderId="0" xfId="0" applyNumberFormat="1" applyFont="1" applyFill="1" applyBorder="1" applyAlignment="1"/>
    <xf numFmtId="2" fontId="3" fillId="0" borderId="0" xfId="0" applyNumberFormat="1" applyFont="1" applyFill="1" applyBorder="1" applyAlignment="1"/>
    <xf numFmtId="0" fontId="3" fillId="0" borderId="0" xfId="0" applyFont="1" applyFill="1" applyBorder="1" applyAlignment="1"/>
    <xf numFmtId="0" fontId="2" fillId="4" borderId="1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4" fillId="0" borderId="0" xfId="0" applyFont="1" applyFill="1" applyAlignment="1"/>
    <xf numFmtId="0" fontId="2" fillId="6" borderId="12" xfId="0" applyFont="1" applyFill="1" applyBorder="1" applyAlignment="1">
      <alignment horizontal="center" vertical="center"/>
    </xf>
    <xf numFmtId="0" fontId="2" fillId="3" borderId="13" xfId="0" applyNumberFormat="1" applyFont="1" applyFill="1" applyBorder="1" applyAlignment="1"/>
    <xf numFmtId="2" fontId="2" fillId="3" borderId="13" xfId="0" applyNumberFormat="1" applyFont="1" applyFill="1" applyBorder="1" applyAlignment="1"/>
    <xf numFmtId="0" fontId="2" fillId="7" borderId="12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 wrapText="1"/>
    </xf>
    <xf numFmtId="10" fontId="3" fillId="0" borderId="13" xfId="0" applyNumberFormat="1" applyFont="1" applyFill="1" applyBorder="1" applyAlignment="1"/>
    <xf numFmtId="0" fontId="2" fillId="7" borderId="13" xfId="0" applyFont="1" applyFill="1" applyBorder="1" applyAlignment="1"/>
    <xf numFmtId="2" fontId="2" fillId="7" borderId="13" xfId="0" applyNumberFormat="1" applyFont="1" applyFill="1" applyBorder="1" applyAlignment="1"/>
    <xf numFmtId="0" fontId="2" fillId="8" borderId="12" xfId="0" applyFont="1" applyFill="1" applyBorder="1" applyAlignment="1">
      <alignment horizontal="center" vertical="center"/>
    </xf>
    <xf numFmtId="0" fontId="3" fillId="2" borderId="2" xfId="0" applyFont="1" applyFill="1" applyBorder="1" applyAlignment="1"/>
    <xf numFmtId="0" fontId="3" fillId="0" borderId="5" xfId="0" applyNumberFormat="1" applyFont="1" applyFill="1" applyBorder="1" applyAlignment="1"/>
    <xf numFmtId="0" fontId="3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6" fillId="0" borderId="0" xfId="1" applyFill="1" applyAlignment="1">
      <alignment vertical="center"/>
    </xf>
    <xf numFmtId="0" fontId="2" fillId="0" borderId="0" xfId="1" applyFont="1" applyFill="1" applyBorder="1" applyAlignment="1"/>
    <xf numFmtId="0" fontId="2" fillId="0" borderId="0" xfId="1" applyFont="1" applyFill="1" applyBorder="1" applyAlignment="1">
      <alignment horizontal="center"/>
    </xf>
    <xf numFmtId="0" fontId="2" fillId="0" borderId="0" xfId="1" applyFont="1" applyFill="1" applyBorder="1" applyAlignment="1">
      <alignment horizontal="center" vertical="center"/>
    </xf>
    <xf numFmtId="0" fontId="2" fillId="0" borderId="0" xfId="1" applyFont="1" applyFill="1" applyBorder="1" applyAlignment="1">
      <alignment horizontal="left" vertical="center"/>
    </xf>
    <xf numFmtId="0" fontId="2" fillId="2" borderId="13" xfId="1" applyFont="1" applyFill="1" applyBorder="1" applyAlignment="1">
      <alignment horizontal="center" vertical="center"/>
    </xf>
    <xf numFmtId="0" fontId="3" fillId="0" borderId="13" xfId="1" applyFont="1" applyFill="1" applyBorder="1" applyAlignment="1"/>
    <xf numFmtId="0" fontId="3" fillId="0" borderId="13" xfId="1" applyNumberFormat="1" applyFont="1" applyFill="1" applyBorder="1" applyAlignment="1"/>
    <xf numFmtId="0" fontId="3" fillId="0" borderId="0" xfId="1" applyFont="1" applyFill="1" applyAlignment="1"/>
    <xf numFmtId="0" fontId="6" fillId="0" borderId="0" xfId="1" applyFill="1" applyBorder="1" applyAlignment="1"/>
    <xf numFmtId="0" fontId="2" fillId="3" borderId="14" xfId="1" applyFont="1" applyFill="1" applyBorder="1" applyAlignment="1"/>
    <xf numFmtId="0" fontId="2" fillId="3" borderId="15" xfId="1" applyFont="1" applyFill="1" applyBorder="1" applyAlignment="1"/>
    <xf numFmtId="0" fontId="2" fillId="3" borderId="13" xfId="1" applyNumberFormat="1" applyFont="1" applyFill="1" applyBorder="1" applyAlignment="1"/>
    <xf numFmtId="0" fontId="3" fillId="0" borderId="0" xfId="1" applyFont="1" applyFill="1" applyBorder="1" applyAlignment="1"/>
    <xf numFmtId="0" fontId="2" fillId="4" borderId="13" xfId="1" applyFont="1" applyFill="1" applyBorder="1" applyAlignment="1">
      <alignment horizontal="center" vertical="center"/>
    </xf>
    <xf numFmtId="0" fontId="2" fillId="9" borderId="13" xfId="1" applyFont="1" applyFill="1" applyBorder="1" applyAlignment="1">
      <alignment horizontal="center" vertical="center"/>
    </xf>
    <xf numFmtId="0" fontId="3" fillId="0" borderId="12" xfId="1" applyFont="1" applyFill="1" applyBorder="1" applyAlignment="1"/>
    <xf numFmtId="0" fontId="2" fillId="6" borderId="13" xfId="1" applyFont="1" applyFill="1" applyBorder="1" applyAlignment="1">
      <alignment horizontal="center" vertical="center"/>
    </xf>
    <xf numFmtId="2" fontId="3" fillId="0" borderId="13" xfId="1" applyNumberFormat="1" applyFont="1" applyFill="1" applyBorder="1" applyAlignment="1"/>
    <xf numFmtId="0" fontId="2" fillId="3" borderId="13" xfId="1" applyFont="1" applyFill="1" applyBorder="1" applyAlignment="1"/>
    <xf numFmtId="2" fontId="2" fillId="3" borderId="13" xfId="1" applyNumberFormat="1" applyFont="1" applyFill="1" applyBorder="1" applyAlignment="1"/>
    <xf numFmtId="0" fontId="2" fillId="6" borderId="12" xfId="1" applyFont="1" applyFill="1" applyBorder="1" applyAlignment="1">
      <alignment horizontal="center" vertical="center"/>
    </xf>
    <xf numFmtId="0" fontId="2" fillId="7" borderId="13" xfId="1" applyFont="1" applyFill="1" applyBorder="1" applyAlignment="1">
      <alignment horizontal="center" vertical="center"/>
    </xf>
    <xf numFmtId="165" fontId="3" fillId="0" borderId="13" xfId="1" applyNumberFormat="1" applyFont="1" applyFill="1" applyBorder="1" applyAlignment="1"/>
    <xf numFmtId="0" fontId="2" fillId="7" borderId="13" xfId="1" applyFont="1" applyFill="1" applyBorder="1" applyAlignment="1"/>
    <xf numFmtId="2" fontId="2" fillId="7" borderId="13" xfId="1" applyNumberFormat="1" applyFont="1" applyFill="1" applyBorder="1" applyAlignment="1"/>
    <xf numFmtId="164" fontId="3" fillId="0" borderId="13" xfId="1" applyNumberFormat="1" applyFont="1" applyFill="1" applyBorder="1" applyAlignment="1"/>
    <xf numFmtId="0" fontId="2" fillId="8" borderId="13" xfId="1" applyFont="1" applyFill="1" applyBorder="1" applyAlignment="1">
      <alignment horizontal="center" vertical="center" wrapText="1"/>
    </xf>
    <xf numFmtId="0" fontId="2" fillId="2" borderId="2" xfId="1" applyFont="1" applyFill="1" applyBorder="1" applyAlignment="1">
      <alignment horizontal="center" vertical="center"/>
    </xf>
    <xf numFmtId="0" fontId="3" fillId="2" borderId="2" xfId="1" applyFont="1" applyFill="1" applyBorder="1" applyAlignment="1"/>
    <xf numFmtId="0" fontId="5" fillId="11" borderId="22" xfId="1" applyFont="1" applyFill="1" applyBorder="1" applyAlignment="1">
      <alignment vertical="center"/>
    </xf>
    <xf numFmtId="0" fontId="3" fillId="0" borderId="5" xfId="1" applyNumberFormat="1" applyFont="1" applyFill="1" applyBorder="1" applyAlignment="1"/>
    <xf numFmtId="0" fontId="6" fillId="0" borderId="0" xfId="1" applyFill="1" applyAlignment="1"/>
    <xf numFmtId="0" fontId="3" fillId="2" borderId="16" xfId="1" applyFont="1" applyFill="1" applyBorder="1" applyAlignment="1"/>
    <xf numFmtId="2" fontId="3" fillId="0" borderId="5" xfId="1" applyNumberFormat="1" applyFont="1" applyFill="1" applyBorder="1" applyAlignment="1"/>
    <xf numFmtId="164" fontId="3" fillId="0" borderId="5" xfId="1" applyNumberFormat="1" applyFont="1" applyFill="1" applyBorder="1" applyAlignment="1"/>
    <xf numFmtId="0" fontId="6" fillId="0" borderId="5" xfId="1" applyNumberFormat="1" applyFill="1" applyBorder="1" applyAlignment="1"/>
    <xf numFmtId="0" fontId="6" fillId="0" borderId="17" xfId="1" applyNumberFormat="1" applyFill="1" applyBorder="1" applyAlignment="1"/>
    <xf numFmtId="0" fontId="0" fillId="0" borderId="17" xfId="1" applyNumberFormat="1" applyFont="1" applyFill="1" applyBorder="1" applyAlignment="1">
      <alignment vertical="center"/>
    </xf>
    <xf numFmtId="0" fontId="5" fillId="0" borderId="0" xfId="1" applyFont="1" applyFill="1" applyAlignment="1">
      <alignment vertical="center"/>
    </xf>
    <xf numFmtId="0" fontId="6" fillId="0" borderId="0" xfId="1" applyNumberFormat="1" applyFill="1" applyAlignment="1"/>
    <xf numFmtId="0" fontId="6" fillId="0" borderId="0" xfId="1" applyNumberFormat="1" applyFill="1" applyAlignment="1">
      <alignment horizontal="center"/>
    </xf>
    <xf numFmtId="0" fontId="6" fillId="0" borderId="0" xfId="1">
      <alignment vertical="center"/>
    </xf>
    <xf numFmtId="0" fontId="2" fillId="2" borderId="12" xfId="1" applyFont="1" applyFill="1" applyBorder="1" applyAlignment="1">
      <alignment horizontal="center" vertical="center"/>
    </xf>
    <xf numFmtId="0" fontId="2" fillId="2" borderId="12" xfId="1" applyFont="1" applyFill="1" applyBorder="1" applyAlignment="1">
      <alignment horizontal="left" vertical="center"/>
    </xf>
    <xf numFmtId="0" fontId="2" fillId="2" borderId="12" xfId="1" applyFont="1" applyFill="1" applyBorder="1" applyAlignment="1">
      <alignment horizontal="center" vertical="center" wrapText="1"/>
    </xf>
    <xf numFmtId="0" fontId="2" fillId="4" borderId="12" xfId="1" applyFont="1" applyFill="1" applyBorder="1" applyAlignment="1">
      <alignment horizontal="center" vertical="center"/>
    </xf>
    <xf numFmtId="0" fontId="2" fillId="12" borderId="12" xfId="1" applyFont="1" applyFill="1" applyBorder="1" applyAlignment="1">
      <alignment horizontal="center" vertical="center"/>
    </xf>
    <xf numFmtId="0" fontId="2" fillId="7" borderId="12" xfId="1" applyFont="1" applyFill="1" applyBorder="1" applyAlignment="1">
      <alignment horizontal="center" vertical="center"/>
    </xf>
    <xf numFmtId="0" fontId="2" fillId="7" borderId="12" xfId="1" applyFont="1" applyFill="1" applyBorder="1" applyAlignment="1">
      <alignment horizontal="center" vertical="center" wrapText="1"/>
    </xf>
    <xf numFmtId="0" fontId="2" fillId="8" borderId="12" xfId="1" applyFont="1" applyFill="1" applyBorder="1" applyAlignment="1">
      <alignment horizontal="center" vertical="center"/>
    </xf>
    <xf numFmtId="0" fontId="6" fillId="0" borderId="17" xfId="1" applyFill="1" applyBorder="1" applyAlignment="1">
      <alignment vertical="center"/>
    </xf>
    <xf numFmtId="0" fontId="3" fillId="0" borderId="0" xfId="1" quotePrefix="1" applyFont="1" applyFill="1" applyAlignment="1"/>
    <xf numFmtId="166" fontId="3" fillId="0" borderId="13" xfId="1" applyNumberFormat="1" applyFont="1" applyFill="1" applyBorder="1" applyAlignment="1"/>
    <xf numFmtId="0" fontId="3" fillId="0" borderId="0" xfId="1" applyFont="1" applyFill="1" applyBorder="1" applyAlignment="1">
      <alignment horizontal="left" vertical="center"/>
    </xf>
    <xf numFmtId="0" fontId="3" fillId="0" borderId="21" xfId="1" applyFont="1" applyFill="1" applyBorder="1" applyAlignment="1">
      <alignment horizontal="left"/>
    </xf>
    <xf numFmtId="0" fontId="3" fillId="0" borderId="15" xfId="1" applyFont="1" applyFill="1" applyBorder="1" applyAlignment="1">
      <alignment horizontal="left"/>
    </xf>
    <xf numFmtId="0" fontId="2" fillId="0" borderId="13" xfId="1" applyFont="1" applyFill="1" applyBorder="1" applyAlignment="1">
      <alignment horizontal="right"/>
    </xf>
    <xf numFmtId="0" fontId="2" fillId="10" borderId="21" xfId="1" applyFont="1" applyFill="1" applyBorder="1" applyAlignment="1">
      <alignment horizontal="center"/>
    </xf>
    <xf numFmtId="0" fontId="2" fillId="10" borderId="14" xfId="1" applyFont="1" applyFill="1" applyBorder="1" applyAlignment="1">
      <alignment horizontal="center"/>
    </xf>
    <xf numFmtId="0" fontId="2" fillId="10" borderId="15" xfId="1" applyFont="1" applyFill="1" applyBorder="1" applyAlignment="1">
      <alignment horizontal="center"/>
    </xf>
    <xf numFmtId="0" fontId="2" fillId="7" borderId="13" xfId="1" applyFont="1" applyFill="1" applyBorder="1" applyAlignment="1">
      <alignment horizontal="right"/>
    </xf>
    <xf numFmtId="0" fontId="1" fillId="0" borderId="0" xfId="0" applyFont="1" applyFill="1" applyBorder="1" applyAlignment="1">
      <alignment horizontal="left" vertical="top"/>
    </xf>
    <xf numFmtId="0" fontId="2" fillId="3" borderId="10" xfId="0" applyFont="1" applyFill="1" applyBorder="1" applyAlignment="1">
      <alignment horizontal="center" vertical="top"/>
    </xf>
    <xf numFmtId="0" fontId="3" fillId="0" borderId="0" xfId="0" applyFont="1" applyFill="1" applyBorder="1" applyAlignment="1">
      <alignment horizontal="left" vertical="center"/>
    </xf>
    <xf numFmtId="0" fontId="2" fillId="3" borderId="18" xfId="0" applyFont="1" applyFill="1" applyBorder="1" applyAlignment="1">
      <alignment horizontal="center" vertical="top"/>
    </xf>
    <xf numFmtId="0" fontId="2" fillId="3" borderId="19" xfId="0" applyFont="1" applyFill="1" applyBorder="1" applyAlignment="1">
      <alignment horizontal="center" vertical="top"/>
    </xf>
    <xf numFmtId="0" fontId="2" fillId="3" borderId="20" xfId="0" applyFont="1" applyFill="1" applyBorder="1" applyAlignment="1">
      <alignment horizontal="center" vertical="top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invalid.uri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I4" sqref="I4"/>
    </sheetView>
  </sheetViews>
  <sheetFormatPr defaultColWidth="9.85546875" defaultRowHeight="15"/>
  <cols>
    <col min="1" max="1" width="9.85546875" style="97"/>
    <col min="2" max="2" width="25.5703125" style="97" customWidth="1"/>
    <col min="3" max="3" width="26" style="97" customWidth="1"/>
    <col min="4" max="19" width="9.85546875" style="97"/>
    <col min="20" max="20" width="10.140625" style="97" bestFit="1" customWidth="1"/>
    <col min="21" max="16384" width="9.85546875" style="97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63"/>
      <c r="AT1" s="87"/>
      <c r="AU1" s="87"/>
      <c r="AV1" s="87"/>
      <c r="AW1" s="87"/>
      <c r="AX1" s="87"/>
      <c r="AY1" s="87"/>
      <c r="AZ1" s="87"/>
      <c r="BA1" s="87"/>
      <c r="BB1" s="87"/>
      <c r="BC1" s="87"/>
      <c r="BD1" s="87"/>
      <c r="BE1" s="87"/>
      <c r="BF1" s="87"/>
      <c r="BG1" s="87"/>
      <c r="BH1" s="87"/>
      <c r="BI1" s="87"/>
      <c r="BJ1" s="87"/>
      <c r="BK1" s="87"/>
      <c r="BL1" s="87"/>
      <c r="BM1" s="87"/>
      <c r="BN1" s="87"/>
      <c r="BO1" s="87"/>
      <c r="BP1" s="87"/>
      <c r="BQ1" s="87"/>
    </row>
    <row r="2" spans="1:69">
      <c r="A2" s="109" t="s">
        <v>1</v>
      </c>
      <c r="B2" s="109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1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63"/>
      <c r="AT2" s="87"/>
      <c r="AU2" s="87"/>
      <c r="AV2" s="87"/>
      <c r="AW2" s="87"/>
      <c r="AX2" s="87"/>
      <c r="AY2" s="87"/>
      <c r="AZ2" s="87"/>
      <c r="BA2" s="87"/>
      <c r="BB2" s="87"/>
      <c r="BC2" s="87"/>
      <c r="BD2" s="87"/>
      <c r="BE2" s="87"/>
      <c r="BF2" s="87"/>
      <c r="BG2" s="87"/>
      <c r="BH2" s="87"/>
      <c r="BI2" s="87"/>
      <c r="BJ2" s="87"/>
      <c r="BK2" s="87"/>
      <c r="BL2" s="87"/>
      <c r="BM2" s="87"/>
      <c r="BN2" s="87"/>
      <c r="BO2" s="87"/>
      <c r="BP2" s="87"/>
      <c r="BQ2" s="87"/>
    </row>
    <row r="3" spans="1:69" ht="60">
      <c r="A3" s="98" t="s">
        <v>9</v>
      </c>
      <c r="B3" s="98" t="s">
        <v>10</v>
      </c>
      <c r="C3" s="99" t="s">
        <v>11</v>
      </c>
      <c r="D3" s="98" t="s">
        <v>12</v>
      </c>
      <c r="E3" s="98" t="s">
        <v>13</v>
      </c>
      <c r="F3" s="100" t="s">
        <v>14</v>
      </c>
      <c r="G3" s="98" t="s">
        <v>15</v>
      </c>
      <c r="H3" s="98" t="s">
        <v>16</v>
      </c>
      <c r="I3" s="101" t="s">
        <v>17</v>
      </c>
      <c r="J3" s="101" t="s">
        <v>18</v>
      </c>
      <c r="K3" s="101" t="s">
        <v>19</v>
      </c>
      <c r="L3" s="102" t="s">
        <v>20</v>
      </c>
      <c r="M3" s="102" t="s">
        <v>21</v>
      </c>
      <c r="N3" s="102" t="s">
        <v>22</v>
      </c>
      <c r="O3" s="102" t="s">
        <v>23</v>
      </c>
      <c r="P3" s="102" t="s">
        <v>24</v>
      </c>
      <c r="Q3" s="102" t="s">
        <v>25</v>
      </c>
      <c r="R3" s="101" t="s">
        <v>26</v>
      </c>
      <c r="S3" s="98" t="s">
        <v>27</v>
      </c>
      <c r="T3" s="98" t="s">
        <v>28</v>
      </c>
      <c r="U3" s="76" t="s">
        <v>29</v>
      </c>
      <c r="V3" s="76" t="s">
        <v>30</v>
      </c>
      <c r="W3" s="76" t="s">
        <v>31</v>
      </c>
      <c r="X3" s="76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103" t="s">
        <v>37</v>
      </c>
      <c r="AD3" s="103" t="s">
        <v>38</v>
      </c>
      <c r="AE3" s="104" t="s">
        <v>39</v>
      </c>
      <c r="AF3" s="104" t="s">
        <v>40</v>
      </c>
      <c r="AG3" s="104" t="s">
        <v>41</v>
      </c>
      <c r="AH3" s="103" t="s">
        <v>42</v>
      </c>
      <c r="AI3" s="103" t="s">
        <v>43</v>
      </c>
      <c r="AJ3" s="104" t="s">
        <v>44</v>
      </c>
      <c r="AK3" s="104" t="s">
        <v>45</v>
      </c>
      <c r="AL3" s="103" t="s">
        <v>46</v>
      </c>
      <c r="AM3" s="103" t="s">
        <v>47</v>
      </c>
      <c r="AN3" s="104" t="s">
        <v>48</v>
      </c>
      <c r="AO3" s="104" t="s">
        <v>49</v>
      </c>
      <c r="AP3" s="104" t="s">
        <v>50</v>
      </c>
      <c r="AQ3" s="103" t="s">
        <v>51</v>
      </c>
      <c r="AR3" s="105" t="s">
        <v>52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188</v>
      </c>
      <c r="C4" s="61" t="s">
        <v>188</v>
      </c>
      <c r="D4" s="61" t="s">
        <v>76</v>
      </c>
      <c r="E4" s="61" t="s">
        <v>76</v>
      </c>
      <c r="F4" s="62">
        <v>5</v>
      </c>
      <c r="G4" s="62">
        <v>150</v>
      </c>
      <c r="H4" s="62">
        <f>F4*G4</f>
        <v>750</v>
      </c>
      <c r="I4" s="62">
        <v>5</v>
      </c>
      <c r="J4" s="62">
        <v>8</v>
      </c>
      <c r="K4" s="62">
        <v>5</v>
      </c>
      <c r="L4" s="62">
        <f>H4</f>
        <v>750</v>
      </c>
      <c r="M4" s="62">
        <f>ROUND(L4*I4%,2)</f>
        <v>37.5</v>
      </c>
      <c r="N4" s="62">
        <f>H4-M4</f>
        <v>712.5</v>
      </c>
      <c r="O4" s="62">
        <f>ROUND(N4*J4%,2)</f>
        <v>57</v>
      </c>
      <c r="P4" s="62">
        <f>ROUND(N4-O4,2)</f>
        <v>655.5</v>
      </c>
      <c r="Q4" s="62">
        <f>ROUND(P4*K4%,2)</f>
        <v>32.78</v>
      </c>
      <c r="R4" s="62">
        <f>M4+O4+Q4</f>
        <v>127.28</v>
      </c>
      <c r="S4" s="62">
        <f>(H4-R4)</f>
        <v>622.72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4</v>
      </c>
      <c r="AA4" s="62">
        <f>IF($C2=3,0,(S4*Z4)/100)</f>
        <v>0</v>
      </c>
      <c r="AB4" s="62">
        <f>V4+W4+X4+Y4+AA4</f>
        <v>0</v>
      </c>
      <c r="AC4" s="62">
        <f>IF($V2=1,S4+AB4,S4)</f>
        <v>622.72</v>
      </c>
      <c r="AD4" s="62">
        <v>120</v>
      </c>
      <c r="AE4" s="62">
        <f>IF($P$2=1,(S4/$S$5)*$E$16,AD4/$AD$5*$E$16)</f>
        <v>0</v>
      </c>
      <c r="AF4" s="62"/>
      <c r="AG4" s="62">
        <f>IF($P$2=1,(S4/$S$5)*$E$18,AD4/$AD$5*$E$18)</f>
        <v>0</v>
      </c>
      <c r="AH4" s="62">
        <f>IF($P$2=1,(S4/$S$5)*$E$18,AD4/$AD$5*$E$18)</f>
        <v>0</v>
      </c>
      <c r="AI4" s="62">
        <f>S4*$M$2</f>
        <v>622.72</v>
      </c>
      <c r="AJ4" s="62">
        <f>IF($C$2=3,0,AG4+AH4)</f>
        <v>0</v>
      </c>
      <c r="AK4" s="62">
        <f>IF($C$2=3,AE4+AG4+AH4,0)</f>
        <v>0</v>
      </c>
      <c r="AL4" s="62">
        <v>1</v>
      </c>
      <c r="AM4" s="62">
        <f>F4/AL4</f>
        <v>5</v>
      </c>
      <c r="AN4" s="62">
        <f>AI4/AM4</f>
        <v>124.544</v>
      </c>
      <c r="AO4" s="62">
        <f>AJ4/AM4</f>
        <v>0</v>
      </c>
      <c r="AP4" s="62">
        <f>AK4/AM4</f>
        <v>0</v>
      </c>
      <c r="AQ4" s="62" t="s">
        <v>76</v>
      </c>
      <c r="AR4" s="87">
        <f>ROUND(AN4+AO4+AP4,5)</f>
        <v>124.544</v>
      </c>
      <c r="AS4" s="87" t="s">
        <v>77</v>
      </c>
      <c r="AT4" s="86" t="s">
        <v>76</v>
      </c>
      <c r="AU4" s="87" t="s">
        <v>78</v>
      </c>
      <c r="AV4" s="87" t="s">
        <v>79</v>
      </c>
      <c r="AW4" s="86">
        <f>AM4</f>
        <v>5</v>
      </c>
      <c r="AX4" s="86">
        <f>AR4</f>
        <v>124.544</v>
      </c>
      <c r="AY4" s="86">
        <f>AU4+AW4</f>
        <v>14095</v>
      </c>
      <c r="AZ4" s="86">
        <f>ROUND(((AU4*AV4)+(AW4*AX4))/(AU4+AW4),5)</f>
        <v>121.22156</v>
      </c>
      <c r="BA4" s="91"/>
      <c r="BB4" s="91" t="s">
        <v>80</v>
      </c>
      <c r="BC4" s="106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7"/>
      <c r="BK4" s="87"/>
      <c r="BL4" s="86" t="s">
        <v>84</v>
      </c>
      <c r="BM4" s="87" t="s">
        <v>85</v>
      </c>
      <c r="BN4" s="87" t="s">
        <v>86</v>
      </c>
      <c r="BO4" s="86">
        <f>ROUND((((AW4*AZ4)+(BN4*BM4))/(AW4+BN4)),5)</f>
        <v>146.67549</v>
      </c>
      <c r="BP4" s="95">
        <f>BN4+AW4</f>
        <v>696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750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127.28</v>
      </c>
      <c r="S5" s="67">
        <f t="shared" si="0"/>
        <v>622.72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622.72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 t="shared" si="2"/>
        <v>0</v>
      </c>
      <c r="AI5" s="80">
        <f t="shared" si="2"/>
        <v>622.72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87"/>
      <c r="AU5" s="87"/>
      <c r="AV5" s="87"/>
      <c r="AW5" s="87"/>
      <c r="AX5" s="87"/>
      <c r="AY5" s="87"/>
      <c r="AZ5" s="87"/>
      <c r="BA5" s="87"/>
      <c r="BB5" s="87"/>
      <c r="BC5" s="87"/>
      <c r="BD5" s="87"/>
      <c r="BE5" s="87"/>
      <c r="BF5" s="87"/>
      <c r="BG5" s="87"/>
      <c r="BH5" s="87"/>
      <c r="BI5" s="87"/>
      <c r="BJ5" s="87"/>
      <c r="BK5" s="87"/>
      <c r="BL5" s="87"/>
      <c r="BM5" s="87"/>
      <c r="BN5" s="87"/>
      <c r="BO5" s="87"/>
      <c r="BP5" s="87"/>
      <c r="BQ5" s="87"/>
    </row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C11" sqref="C11"/>
    </sheetView>
  </sheetViews>
  <sheetFormatPr defaultColWidth="9.85546875" defaultRowHeight="15"/>
  <cols>
    <col min="1" max="1" width="9.85546875" style="97"/>
    <col min="2" max="2" width="25.5703125" style="97" customWidth="1"/>
    <col min="3" max="3" width="26" style="97" customWidth="1"/>
    <col min="4" max="19" width="9.85546875" style="97"/>
    <col min="20" max="20" width="10.140625" style="97" bestFit="1" customWidth="1"/>
    <col min="21" max="16384" width="9.85546875" style="97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63"/>
      <c r="AT1" s="87"/>
      <c r="AU1" s="87"/>
      <c r="AV1" s="87"/>
      <c r="AW1" s="87"/>
      <c r="AX1" s="87"/>
      <c r="AY1" s="87"/>
      <c r="AZ1" s="87"/>
      <c r="BA1" s="87"/>
      <c r="BB1" s="87"/>
      <c r="BC1" s="87"/>
      <c r="BD1" s="87"/>
      <c r="BE1" s="87"/>
      <c r="BF1" s="87"/>
      <c r="BG1" s="87"/>
      <c r="BH1" s="87"/>
      <c r="BI1" s="87"/>
      <c r="BJ1" s="87"/>
      <c r="BK1" s="87"/>
      <c r="BL1" s="87"/>
      <c r="BM1" s="87"/>
      <c r="BN1" s="87"/>
      <c r="BO1" s="87"/>
      <c r="BP1" s="87"/>
      <c r="BQ1" s="87"/>
    </row>
    <row r="2" spans="1:69">
      <c r="A2" s="109" t="s">
        <v>1</v>
      </c>
      <c r="B2" s="109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1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63"/>
      <c r="AT2" s="87"/>
      <c r="AU2" s="87"/>
      <c r="AV2" s="87"/>
      <c r="AW2" s="87"/>
      <c r="AX2" s="87"/>
      <c r="AY2" s="87"/>
      <c r="AZ2" s="87"/>
      <c r="BA2" s="87"/>
      <c r="BB2" s="87"/>
      <c r="BC2" s="87"/>
      <c r="BD2" s="87"/>
      <c r="BE2" s="87"/>
      <c r="BF2" s="87"/>
      <c r="BG2" s="87"/>
      <c r="BH2" s="87"/>
      <c r="BI2" s="87"/>
      <c r="BJ2" s="87"/>
      <c r="BK2" s="87"/>
      <c r="BL2" s="87"/>
      <c r="BM2" s="87"/>
      <c r="BN2" s="87"/>
      <c r="BO2" s="87"/>
      <c r="BP2" s="87"/>
      <c r="BQ2" s="87"/>
    </row>
    <row r="3" spans="1:69" ht="60">
      <c r="A3" s="98" t="s">
        <v>9</v>
      </c>
      <c r="B3" s="98" t="s">
        <v>10</v>
      </c>
      <c r="C3" s="99" t="s">
        <v>11</v>
      </c>
      <c r="D3" s="98" t="s">
        <v>12</v>
      </c>
      <c r="E3" s="98" t="s">
        <v>13</v>
      </c>
      <c r="F3" s="100" t="s">
        <v>14</v>
      </c>
      <c r="G3" s="98" t="s">
        <v>15</v>
      </c>
      <c r="H3" s="98" t="s">
        <v>16</v>
      </c>
      <c r="I3" s="101" t="s">
        <v>17</v>
      </c>
      <c r="J3" s="101" t="s">
        <v>18</v>
      </c>
      <c r="K3" s="101" t="s">
        <v>19</v>
      </c>
      <c r="L3" s="102" t="s">
        <v>20</v>
      </c>
      <c r="M3" s="102" t="s">
        <v>21</v>
      </c>
      <c r="N3" s="102" t="s">
        <v>22</v>
      </c>
      <c r="O3" s="102" t="s">
        <v>23</v>
      </c>
      <c r="P3" s="102" t="s">
        <v>24</v>
      </c>
      <c r="Q3" s="102" t="s">
        <v>25</v>
      </c>
      <c r="R3" s="101" t="s">
        <v>26</v>
      </c>
      <c r="S3" s="98" t="s">
        <v>27</v>
      </c>
      <c r="T3" s="98" t="s">
        <v>28</v>
      </c>
      <c r="U3" s="76" t="s">
        <v>29</v>
      </c>
      <c r="V3" s="76" t="s">
        <v>30</v>
      </c>
      <c r="W3" s="76" t="s">
        <v>31</v>
      </c>
      <c r="X3" s="76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103" t="s">
        <v>37</v>
      </c>
      <c r="AD3" s="103" t="s">
        <v>38</v>
      </c>
      <c r="AE3" s="104" t="s">
        <v>39</v>
      </c>
      <c r="AF3" s="104" t="s">
        <v>40</v>
      </c>
      <c r="AG3" s="104" t="s">
        <v>41</v>
      </c>
      <c r="AH3" s="103" t="s">
        <v>42</v>
      </c>
      <c r="AI3" s="103" t="s">
        <v>43</v>
      </c>
      <c r="AJ3" s="104" t="s">
        <v>44</v>
      </c>
      <c r="AK3" s="104" t="s">
        <v>45</v>
      </c>
      <c r="AL3" s="103" t="s">
        <v>46</v>
      </c>
      <c r="AM3" s="103" t="s">
        <v>47</v>
      </c>
      <c r="AN3" s="104" t="s">
        <v>48</v>
      </c>
      <c r="AO3" s="104" t="s">
        <v>49</v>
      </c>
      <c r="AP3" s="104" t="s">
        <v>50</v>
      </c>
      <c r="AQ3" s="103" t="s">
        <v>51</v>
      </c>
      <c r="AR3" s="105" t="s">
        <v>52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187</v>
      </c>
      <c r="C4" s="61" t="s">
        <v>187</v>
      </c>
      <c r="D4" s="61" t="s">
        <v>76</v>
      </c>
      <c r="E4" s="61" t="s">
        <v>89</v>
      </c>
      <c r="F4" s="62">
        <v>5</v>
      </c>
      <c r="G4" s="62">
        <v>150</v>
      </c>
      <c r="H4" s="62">
        <f>F4*G4</f>
        <v>750</v>
      </c>
      <c r="I4" s="62">
        <v>5</v>
      </c>
      <c r="J4" s="62">
        <v>8</v>
      </c>
      <c r="K4" s="62">
        <v>5</v>
      </c>
      <c r="L4" s="62">
        <f>H4</f>
        <v>750</v>
      </c>
      <c r="M4" s="62">
        <f>ROUND(L4*I4%,2)</f>
        <v>37.5</v>
      </c>
      <c r="N4" s="62">
        <f>H4-M4</f>
        <v>712.5</v>
      </c>
      <c r="O4" s="62">
        <f>ROUND(N4*J4%,2)</f>
        <v>57</v>
      </c>
      <c r="P4" s="62">
        <f>ROUND(N4-O4,2)</f>
        <v>655.5</v>
      </c>
      <c r="Q4" s="62">
        <f>ROUND(P4*K4%,2)</f>
        <v>32.78</v>
      </c>
      <c r="R4" s="62">
        <f>M4+O4+Q4</f>
        <v>127.28</v>
      </c>
      <c r="S4" s="62">
        <f>(H4-R4)</f>
        <v>622.72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4</v>
      </c>
      <c r="AA4" s="62">
        <f>IF($C2=3,0,(S4*Z4)/100)</f>
        <v>0</v>
      </c>
      <c r="AB4" s="62">
        <f>V4+W4+X4+Y4+AA4</f>
        <v>0</v>
      </c>
      <c r="AC4" s="62">
        <f>IF($V2=1,S4+AB4,S4)</f>
        <v>622.72</v>
      </c>
      <c r="AD4" s="62">
        <v>120</v>
      </c>
      <c r="AE4" s="62">
        <f>IF($P$2=1,(S4/$S$5)*$E$16,AD4/$AD$5*$E$16)</f>
        <v>0</v>
      </c>
      <c r="AF4" s="62"/>
      <c r="AG4" s="62">
        <f>IF($P$2=1,(S4/$S$5)*$E$18,AD4/$AD$5*$E$18)</f>
        <v>0</v>
      </c>
      <c r="AH4" s="62">
        <f>IF($P$2=1,(S4/$S$5)*$E$18,AD4/$AD$5*$E$18)</f>
        <v>0</v>
      </c>
      <c r="AI4" s="62">
        <f>S4*$M$2</f>
        <v>622.72</v>
      </c>
      <c r="AJ4" s="62">
        <f>IF($C$2=3,0,AG4+AH4)</f>
        <v>0</v>
      </c>
      <c r="AK4" s="62">
        <f>IF($C$2=3,AE4+AG4+AH4,0)</f>
        <v>0</v>
      </c>
      <c r="AL4" s="62">
        <v>3</v>
      </c>
      <c r="AM4" s="62">
        <f>F4/AL4</f>
        <v>1.6666666666666701</v>
      </c>
      <c r="AN4" s="62">
        <f>AI4/AM4</f>
        <v>373.63200000000001</v>
      </c>
      <c r="AO4" s="62">
        <f>AJ4/AM4</f>
        <v>0</v>
      </c>
      <c r="AP4" s="62">
        <f>AK4/AM4</f>
        <v>0</v>
      </c>
      <c r="AQ4" s="62" t="s">
        <v>76</v>
      </c>
      <c r="AR4" s="87">
        <f>ROUND(AN4+AO4+AP4,5)</f>
        <v>373.63200000000001</v>
      </c>
      <c r="AS4" s="87" t="s">
        <v>77</v>
      </c>
      <c r="AT4" s="86" t="s">
        <v>76</v>
      </c>
      <c r="AU4" s="87" t="s">
        <v>78</v>
      </c>
      <c r="AV4" s="87" t="s">
        <v>79</v>
      </c>
      <c r="AW4" s="86">
        <f>AM4</f>
        <v>1.6666666666666701</v>
      </c>
      <c r="AX4" s="86">
        <f>AR4</f>
        <v>373.63200000000001</v>
      </c>
      <c r="AY4" s="86">
        <f>AU4+AW4</f>
        <v>14091.666666666701</v>
      </c>
      <c r="AZ4" s="86">
        <f>ROUND(((AU4*AV4)+(AW4*AX4))/(AU4+AW4),5)</f>
        <v>121.25023</v>
      </c>
      <c r="BA4" s="91"/>
      <c r="BB4" s="91" t="s">
        <v>80</v>
      </c>
      <c r="BC4" s="106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7"/>
      <c r="BK4" s="87"/>
      <c r="BL4" s="86" t="s">
        <v>84</v>
      </c>
      <c r="BM4" s="87" t="s">
        <v>85</v>
      </c>
      <c r="BN4" s="87" t="s">
        <v>86</v>
      </c>
      <c r="BO4" s="86">
        <f>ROUND((((AW4*AZ4)+(BN4*BM4))/(AW4+BN4)),5)</f>
        <v>146.79804999999999</v>
      </c>
      <c r="BP4" s="95">
        <f>BN4+AW4</f>
        <v>692.66666666666697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750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127.28</v>
      </c>
      <c r="S5" s="67">
        <f t="shared" si="0"/>
        <v>622.72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622.72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 t="shared" si="2"/>
        <v>0</v>
      </c>
      <c r="AI5" s="80">
        <f t="shared" si="2"/>
        <v>622.72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87"/>
      <c r="AU5" s="87"/>
      <c r="AV5" s="87"/>
      <c r="AW5" s="87"/>
      <c r="AX5" s="87"/>
      <c r="AY5" s="87"/>
      <c r="AZ5" s="87"/>
      <c r="BA5" s="87"/>
      <c r="BB5" s="87"/>
      <c r="BC5" s="87"/>
      <c r="BD5" s="87"/>
      <c r="BE5" s="87"/>
      <c r="BF5" s="87"/>
      <c r="BG5" s="87"/>
      <c r="BH5" s="87"/>
      <c r="BI5" s="87"/>
      <c r="BJ5" s="87"/>
      <c r="BK5" s="87"/>
      <c r="BL5" s="87"/>
      <c r="BM5" s="87"/>
      <c r="BN5" s="87"/>
      <c r="BO5" s="87"/>
      <c r="BP5" s="87"/>
      <c r="BQ5" s="87"/>
    </row>
  </sheetData>
  <mergeCells count="1">
    <mergeCell ref="A2:B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17"/>
  <sheetViews>
    <sheetView workbookViewId="0">
      <selection activeCell="C11" sqref="C11"/>
    </sheetView>
  </sheetViews>
  <sheetFormatPr defaultColWidth="8.7109375" defaultRowHeight="15"/>
  <cols>
    <col min="1" max="1" width="8.7109375" style="97"/>
    <col min="2" max="2" width="19.140625" style="97" customWidth="1"/>
    <col min="3" max="3" width="25.85546875" style="97" customWidth="1"/>
    <col min="4" max="19" width="8.7109375" style="97"/>
    <col min="20" max="20" width="10.140625" style="97" bestFit="1" customWidth="1"/>
    <col min="21" max="16384" width="8.7109375" style="97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87"/>
      <c r="BQ1" s="87"/>
    </row>
    <row r="2" spans="1:69">
      <c r="A2" s="109" t="s">
        <v>1</v>
      </c>
      <c r="B2" s="109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87"/>
      <c r="BQ2" s="87"/>
    </row>
    <row r="3" spans="1:69" ht="60">
      <c r="A3" s="60" t="s">
        <v>90</v>
      </c>
      <c r="B3" s="60" t="s">
        <v>10</v>
      </c>
      <c r="C3" s="60" t="s">
        <v>91</v>
      </c>
      <c r="D3" s="60" t="s">
        <v>12</v>
      </c>
      <c r="E3" s="60" t="s">
        <v>13</v>
      </c>
      <c r="F3" s="60" t="s">
        <v>92</v>
      </c>
      <c r="G3" s="60" t="s">
        <v>15</v>
      </c>
      <c r="H3" s="60" t="s">
        <v>16</v>
      </c>
      <c r="I3" s="69" t="s">
        <v>17</v>
      </c>
      <c r="J3" s="69" t="s">
        <v>19</v>
      </c>
      <c r="K3" s="69" t="s">
        <v>18</v>
      </c>
      <c r="L3" s="70" t="s">
        <v>20</v>
      </c>
      <c r="M3" s="70" t="s">
        <v>21</v>
      </c>
      <c r="N3" s="70" t="s">
        <v>24</v>
      </c>
      <c r="O3" s="70" t="s">
        <v>25</v>
      </c>
      <c r="P3" s="70" t="s">
        <v>93</v>
      </c>
      <c r="Q3" s="70" t="s">
        <v>23</v>
      </c>
      <c r="R3" s="69" t="s">
        <v>26</v>
      </c>
      <c r="S3" s="60" t="s">
        <v>94</v>
      </c>
      <c r="T3" s="60" t="s">
        <v>28</v>
      </c>
      <c r="U3" s="72" t="s">
        <v>95</v>
      </c>
      <c r="V3" s="72" t="s">
        <v>30</v>
      </c>
      <c r="W3" s="72" t="s">
        <v>31</v>
      </c>
      <c r="X3" s="72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77" t="s">
        <v>37</v>
      </c>
      <c r="AD3" s="77" t="s">
        <v>38</v>
      </c>
      <c r="AE3" s="77" t="s">
        <v>39</v>
      </c>
      <c r="AF3" s="77" t="s">
        <v>40</v>
      </c>
      <c r="AG3" s="77" t="s">
        <v>41</v>
      </c>
      <c r="AH3" s="77" t="s">
        <v>42</v>
      </c>
      <c r="AI3" s="77" t="s">
        <v>43</v>
      </c>
      <c r="AJ3" s="77" t="s">
        <v>44</v>
      </c>
      <c r="AK3" s="77" t="s">
        <v>45</v>
      </c>
      <c r="AL3" s="77" t="s">
        <v>46</v>
      </c>
      <c r="AM3" s="77" t="s">
        <v>47</v>
      </c>
      <c r="AN3" s="77" t="s">
        <v>48</v>
      </c>
      <c r="AO3" s="77" t="s">
        <v>49</v>
      </c>
      <c r="AP3" s="77" t="s">
        <v>50</v>
      </c>
      <c r="AQ3" s="77" t="s">
        <v>51</v>
      </c>
      <c r="AR3" s="82" t="s">
        <v>96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189</v>
      </c>
      <c r="C4" s="61" t="s">
        <v>189</v>
      </c>
      <c r="D4" s="61" t="s">
        <v>76</v>
      </c>
      <c r="E4" s="61" t="s">
        <v>76</v>
      </c>
      <c r="F4" s="62">
        <v>5</v>
      </c>
      <c r="G4" s="62">
        <v>150</v>
      </c>
      <c r="H4" s="62">
        <f>F4*G4</f>
        <v>750</v>
      </c>
      <c r="I4" s="62">
        <v>5</v>
      </c>
      <c r="J4" s="62">
        <v>8</v>
      </c>
      <c r="K4" s="62">
        <v>5</v>
      </c>
      <c r="L4" s="62">
        <f>H4</f>
        <v>750</v>
      </c>
      <c r="M4" s="62">
        <f>ROUND(L4*I4%,2)</f>
        <v>37.5</v>
      </c>
      <c r="N4" s="62">
        <f>H4-M4</f>
        <v>712.5</v>
      </c>
      <c r="O4" s="62">
        <f>ROUND(N4*J4%,2)</f>
        <v>57</v>
      </c>
      <c r="P4" s="62">
        <f>ROUND(N4-O4,2)</f>
        <v>655.5</v>
      </c>
      <c r="Q4" s="62">
        <f>ROUND(P4*K4%,2)</f>
        <v>32.78</v>
      </c>
      <c r="R4" s="62">
        <f>M4+O4+Q4</f>
        <v>127.28</v>
      </c>
      <c r="S4" s="62">
        <f>(H4-R4)</f>
        <v>622.72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0</v>
      </c>
      <c r="AA4" s="62">
        <f>IF($C2=3,0,(S4*Z4)/100)</f>
        <v>0</v>
      </c>
      <c r="AB4" s="62">
        <f>V4+W4+X4+Y4+AA4</f>
        <v>0</v>
      </c>
      <c r="AC4" s="78">
        <f>IF($V2=1,S4+AB4,S4)</f>
        <v>622.72</v>
      </c>
      <c r="AD4" s="73">
        <v>120</v>
      </c>
      <c r="AE4" s="73">
        <f>IF($P$2=1,(S4/$S$5)*$E$16,AD4/$AD$5*$E$16)</f>
        <v>0</v>
      </c>
      <c r="AF4" s="73"/>
      <c r="AG4" s="73">
        <f>IF($P$2=1,(S4/$S$5)*$E$18,AD4/$AD$5*$E$18)</f>
        <v>0</v>
      </c>
      <c r="AH4" s="73">
        <f>IF($P$2=1,(S4/$S$5)*$E$19,AD4/$AD$5*$E$19)</f>
        <v>0</v>
      </c>
      <c r="AI4" s="73">
        <f>S4*$M$2</f>
        <v>622.72</v>
      </c>
      <c r="AJ4" s="73">
        <f>IF($C$2=3,0,AG4+AH4)</f>
        <v>0</v>
      </c>
      <c r="AK4" s="73">
        <f>IF($C$2=3,AE4+AG4+AH4,0)</f>
        <v>0</v>
      </c>
      <c r="AL4" s="81">
        <v>1</v>
      </c>
      <c r="AM4" s="73">
        <f>F4/AL4</f>
        <v>5</v>
      </c>
      <c r="AN4" s="73">
        <f>ROUND(AI4/AM4,5)</f>
        <v>124.544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124.544</v>
      </c>
      <c r="AS4" s="85" t="s">
        <v>98</v>
      </c>
      <c r="AT4" s="86" t="s">
        <v>76</v>
      </c>
      <c r="AU4" s="55" t="s">
        <v>99</v>
      </c>
      <c r="AV4" s="55" t="s">
        <v>100</v>
      </c>
      <c r="AW4" s="86">
        <f>AM4</f>
        <v>5</v>
      </c>
      <c r="AX4" s="86">
        <f>AR4</f>
        <v>124.544</v>
      </c>
      <c r="AY4" s="86">
        <f>AU4+AW4</f>
        <v>115</v>
      </c>
      <c r="AZ4" s="86">
        <f>ROUND(((AU4*AV4)+(AW4*AX4))/(AU4+AW4),3)</f>
        <v>124.545</v>
      </c>
      <c r="BA4" s="91"/>
      <c r="BB4" s="91" t="s">
        <v>80</v>
      </c>
      <c r="BC4" s="92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6"/>
      <c r="BK4" s="86"/>
      <c r="BL4" s="94" t="s">
        <v>101</v>
      </c>
      <c r="BM4" s="55" t="s">
        <v>100</v>
      </c>
      <c r="BN4" s="55" t="s">
        <v>102</v>
      </c>
      <c r="BO4" s="86">
        <f>ROUND((((AW4*AZ4)+(BN4*BM4))/(AW4+BN4)),5)</f>
        <v>124.545</v>
      </c>
      <c r="BP4" s="95">
        <f>ROUND(BN4+AW4,3)</f>
        <v>10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750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127.28</v>
      </c>
      <c r="S5" s="67">
        <f t="shared" si="0"/>
        <v>622.72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622.72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>IF($P$2=1,(S5/$S$5)*$E$19,AD5/$AD$5*$E$19)</f>
        <v>0</v>
      </c>
      <c r="AI5" s="80">
        <f t="shared" si="2"/>
        <v>622.72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63"/>
      <c r="AU5" s="87"/>
      <c r="AV5" s="87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87"/>
      <c r="BQ5" s="87"/>
    </row>
    <row r="6" spans="1:69">
      <c r="A6" s="63"/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87"/>
      <c r="BQ6" s="87"/>
    </row>
    <row r="7" spans="1:69">
      <c r="A7" s="63"/>
      <c r="B7" s="63"/>
      <c r="C7" s="63"/>
      <c r="D7" s="63"/>
      <c r="E7" s="63"/>
      <c r="F7" s="63"/>
      <c r="G7" s="110" t="s">
        <v>103</v>
      </c>
      <c r="H7" s="111"/>
      <c r="I7" s="112">
        <f>H5</f>
        <v>750</v>
      </c>
      <c r="J7" s="112"/>
      <c r="K7" s="63"/>
      <c r="L7" s="63"/>
      <c r="M7" s="113" t="s">
        <v>104</v>
      </c>
      <c r="N7" s="114"/>
      <c r="O7" s="114"/>
      <c r="P7" s="115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 t="s">
        <v>105</v>
      </c>
      <c r="BI7" s="107" t="s">
        <v>106</v>
      </c>
      <c r="BJ7" s="63"/>
      <c r="BK7" s="63"/>
      <c r="BL7" s="63"/>
      <c r="BM7" s="63"/>
      <c r="BN7" s="63"/>
      <c r="BO7" s="63"/>
      <c r="BP7" s="87"/>
      <c r="BQ7" s="87"/>
    </row>
    <row r="8" spans="1:69">
      <c r="A8" s="63"/>
      <c r="B8" s="63"/>
      <c r="C8" s="63"/>
      <c r="D8" s="63"/>
      <c r="E8" s="63"/>
      <c r="F8" s="63"/>
      <c r="G8" s="110" t="s">
        <v>107</v>
      </c>
      <c r="H8" s="111"/>
      <c r="I8" s="112">
        <f>R5</f>
        <v>127.28</v>
      </c>
      <c r="J8" s="112"/>
      <c r="K8" s="63"/>
      <c r="L8" s="63"/>
      <c r="M8" s="71">
        <v>1</v>
      </c>
      <c r="N8" s="71" t="s">
        <v>76</v>
      </c>
      <c r="O8" s="71">
        <v>2</v>
      </c>
      <c r="P8" s="71" t="s">
        <v>89</v>
      </c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  <c r="AG8" s="63"/>
      <c r="AH8" s="63"/>
      <c r="AI8" s="63"/>
      <c r="AJ8" s="63"/>
      <c r="AK8" s="63"/>
      <c r="AL8" s="63"/>
      <c r="AM8" s="63"/>
      <c r="AN8" s="63"/>
      <c r="AO8" s="63"/>
      <c r="AP8" s="63"/>
      <c r="AQ8" s="63"/>
      <c r="AR8" s="63"/>
      <c r="AS8" s="63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 t="s">
        <v>108</v>
      </c>
      <c r="BI8" s="107" t="s">
        <v>109</v>
      </c>
      <c r="BJ8" s="63"/>
      <c r="BK8" s="63"/>
      <c r="BL8" s="63"/>
      <c r="BM8" s="63"/>
      <c r="BN8" s="63"/>
      <c r="BO8" s="63"/>
      <c r="BP8" s="87"/>
      <c r="BQ8" s="87"/>
    </row>
    <row r="9" spans="1:69">
      <c r="A9" s="63"/>
      <c r="B9" s="63"/>
      <c r="C9" s="63"/>
      <c r="D9" s="63"/>
      <c r="E9" s="63"/>
      <c r="F9" s="63"/>
      <c r="G9" s="110" t="s">
        <v>110</v>
      </c>
      <c r="H9" s="111"/>
      <c r="I9" s="112">
        <f>S5</f>
        <v>622.72</v>
      </c>
      <c r="J9" s="112"/>
      <c r="K9" s="63"/>
      <c r="L9" s="63"/>
      <c r="M9" s="61">
        <v>1</v>
      </c>
      <c r="N9" s="61" t="s">
        <v>76</v>
      </c>
      <c r="O9" s="61">
        <v>2.5</v>
      </c>
      <c r="P9" s="61" t="s">
        <v>111</v>
      </c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87"/>
      <c r="BQ9" s="87"/>
    </row>
    <row r="10" spans="1:69">
      <c r="A10" s="63"/>
      <c r="B10" s="63"/>
      <c r="C10" s="63"/>
      <c r="D10" s="63"/>
      <c r="E10" s="63"/>
      <c r="F10" s="63"/>
      <c r="G10" s="110" t="s">
        <v>112</v>
      </c>
      <c r="H10" s="111"/>
      <c r="I10" s="112">
        <f>AB5</f>
        <v>0</v>
      </c>
      <c r="J10" s="112"/>
      <c r="K10" s="63"/>
      <c r="L10" s="63"/>
      <c r="M10" s="61">
        <v>1</v>
      </c>
      <c r="N10" s="61" t="s">
        <v>89</v>
      </c>
      <c r="O10" s="61">
        <v>1E-3</v>
      </c>
      <c r="P10" s="61" t="s">
        <v>113</v>
      </c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87"/>
      <c r="BQ10" s="87"/>
    </row>
    <row r="11" spans="1:69">
      <c r="A11" s="63"/>
      <c r="B11" s="63"/>
      <c r="C11" s="63"/>
      <c r="D11" s="63"/>
      <c r="E11" s="63"/>
      <c r="F11" s="63"/>
      <c r="G11" s="110" t="s">
        <v>114</v>
      </c>
      <c r="H11" s="111"/>
      <c r="I11" s="116">
        <f>I9+I10</f>
        <v>622.72</v>
      </c>
      <c r="J11" s="116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87"/>
      <c r="BQ11" s="87"/>
    </row>
    <row r="12" spans="1:69">
      <c r="A12" s="63"/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 t="s">
        <v>115</v>
      </c>
      <c r="BN12" s="63" t="s">
        <v>116</v>
      </c>
      <c r="BO12" s="63"/>
      <c r="BP12" s="87"/>
      <c r="BQ12" s="87"/>
    </row>
    <row r="13" spans="1:69">
      <c r="A13" s="63"/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 t="s">
        <v>117</v>
      </c>
      <c r="BL13" s="63">
        <v>12.5</v>
      </c>
      <c r="BM13" s="63">
        <f>BL15*BL16</f>
        <v>18277.77</v>
      </c>
      <c r="BN13" s="63">
        <f>BL13*BL14</f>
        <v>6092.59</v>
      </c>
      <c r="BO13" s="63"/>
      <c r="BP13" s="87"/>
      <c r="BQ13" s="87"/>
    </row>
    <row r="14" spans="1:69">
      <c r="A14" s="63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 t="s">
        <v>118</v>
      </c>
      <c r="BL14" s="63">
        <v>487.40719999999999</v>
      </c>
      <c r="BM14" s="63">
        <f>BL13+BL15</f>
        <v>50</v>
      </c>
      <c r="BN14" s="63"/>
      <c r="BO14" s="63"/>
      <c r="BP14" s="87"/>
      <c r="BQ14" s="87"/>
    </row>
    <row r="15" spans="1:69">
      <c r="A15" s="63"/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 t="s">
        <v>119</v>
      </c>
      <c r="BL15" s="63">
        <v>37.5</v>
      </c>
      <c r="BM15" s="63"/>
      <c r="BN15" s="63"/>
      <c r="BO15" s="63"/>
      <c r="BP15" s="87"/>
      <c r="BQ15" s="87"/>
    </row>
    <row r="16" spans="1:69">
      <c r="A16" s="63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63"/>
      <c r="AS16" s="63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 t="s">
        <v>120</v>
      </c>
      <c r="BL16" s="63">
        <v>487.40719999999999</v>
      </c>
      <c r="BM16" s="63"/>
      <c r="BN16" s="63"/>
      <c r="BO16" s="63"/>
      <c r="BP16" s="87"/>
      <c r="BQ16" s="87"/>
    </row>
    <row r="17" spans="1:69">
      <c r="A17" s="63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>
        <f>BM13+BN13</f>
        <v>24370.36</v>
      </c>
      <c r="BN17" s="63">
        <f>BM17/BM14</f>
        <v>487.40719999999999</v>
      </c>
      <c r="BO17" s="63"/>
      <c r="BP17" s="87"/>
      <c r="BQ17" s="87"/>
    </row>
  </sheetData>
  <mergeCells count="12">
    <mergeCell ref="G9:H9"/>
    <mergeCell ref="I9:J9"/>
    <mergeCell ref="G10:H10"/>
    <mergeCell ref="I10:J10"/>
    <mergeCell ref="G11:H11"/>
    <mergeCell ref="I11:J11"/>
    <mergeCell ref="A2:B2"/>
    <mergeCell ref="G7:H7"/>
    <mergeCell ref="I7:J7"/>
    <mergeCell ref="M7:P7"/>
    <mergeCell ref="G8:H8"/>
    <mergeCell ref="I8:J8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tabSelected="1" topLeftCell="H1" workbookViewId="0">
      <selection activeCell="T12" sqref="T12"/>
    </sheetView>
  </sheetViews>
  <sheetFormatPr defaultColWidth="8.7109375" defaultRowHeight="15"/>
  <cols>
    <col min="1" max="1" width="8.7109375" style="97"/>
    <col min="2" max="2" width="21.140625" style="97" customWidth="1"/>
    <col min="3" max="3" width="21.28515625" style="97" customWidth="1"/>
    <col min="4" max="19" width="8.7109375" style="97"/>
    <col min="20" max="20" width="10.140625" style="97" bestFit="1" customWidth="1"/>
    <col min="21" max="16384" width="8.7109375" style="97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87"/>
      <c r="BQ1" s="87"/>
    </row>
    <row r="2" spans="1:69">
      <c r="A2" s="109" t="s">
        <v>1</v>
      </c>
      <c r="B2" s="109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87"/>
      <c r="BQ2" s="87"/>
    </row>
    <row r="3" spans="1:69" ht="60">
      <c r="A3" s="60" t="s">
        <v>90</v>
      </c>
      <c r="B3" s="60" t="s">
        <v>10</v>
      </c>
      <c r="C3" s="60" t="s">
        <v>91</v>
      </c>
      <c r="D3" s="60" t="s">
        <v>12</v>
      </c>
      <c r="E3" s="60" t="s">
        <v>13</v>
      </c>
      <c r="F3" s="60" t="s">
        <v>92</v>
      </c>
      <c r="G3" s="60" t="s">
        <v>15</v>
      </c>
      <c r="H3" s="60" t="s">
        <v>16</v>
      </c>
      <c r="I3" s="69" t="s">
        <v>17</v>
      </c>
      <c r="J3" s="69" t="s">
        <v>19</v>
      </c>
      <c r="K3" s="69" t="s">
        <v>18</v>
      </c>
      <c r="L3" s="70" t="s">
        <v>20</v>
      </c>
      <c r="M3" s="70" t="s">
        <v>21</v>
      </c>
      <c r="N3" s="70" t="s">
        <v>24</v>
      </c>
      <c r="O3" s="70" t="s">
        <v>25</v>
      </c>
      <c r="P3" s="70" t="s">
        <v>93</v>
      </c>
      <c r="Q3" s="70" t="s">
        <v>23</v>
      </c>
      <c r="R3" s="69" t="s">
        <v>26</v>
      </c>
      <c r="S3" s="60" t="s">
        <v>94</v>
      </c>
      <c r="T3" s="60" t="s">
        <v>28</v>
      </c>
      <c r="U3" s="72" t="s">
        <v>95</v>
      </c>
      <c r="V3" s="72" t="s">
        <v>30</v>
      </c>
      <c r="W3" s="72" t="s">
        <v>31</v>
      </c>
      <c r="X3" s="72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77" t="s">
        <v>37</v>
      </c>
      <c r="AD3" s="77" t="s">
        <v>38</v>
      </c>
      <c r="AE3" s="77" t="s">
        <v>39</v>
      </c>
      <c r="AF3" s="77" t="s">
        <v>40</v>
      </c>
      <c r="AG3" s="77" t="s">
        <v>41</v>
      </c>
      <c r="AH3" s="77" t="s">
        <v>42</v>
      </c>
      <c r="AI3" s="77" t="s">
        <v>43</v>
      </c>
      <c r="AJ3" s="77" t="s">
        <v>44</v>
      </c>
      <c r="AK3" s="77" t="s">
        <v>45</v>
      </c>
      <c r="AL3" s="77" t="s">
        <v>46</v>
      </c>
      <c r="AM3" s="77" t="s">
        <v>47</v>
      </c>
      <c r="AN3" s="77" t="s">
        <v>48</v>
      </c>
      <c r="AO3" s="77" t="s">
        <v>49</v>
      </c>
      <c r="AP3" s="77" t="s">
        <v>50</v>
      </c>
      <c r="AQ3" s="77" t="s">
        <v>51</v>
      </c>
      <c r="AR3" s="82" t="s">
        <v>96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190</v>
      </c>
      <c r="C4" s="61" t="s">
        <v>190</v>
      </c>
      <c r="D4" s="61" t="s">
        <v>76</v>
      </c>
      <c r="E4" s="61" t="s">
        <v>76</v>
      </c>
      <c r="F4" s="62">
        <v>5</v>
      </c>
      <c r="G4" s="55" t="s">
        <v>122</v>
      </c>
      <c r="H4" s="62">
        <f>F4*G4</f>
        <v>250</v>
      </c>
      <c r="I4" s="55">
        <v>0</v>
      </c>
      <c r="J4" s="62">
        <v>8</v>
      </c>
      <c r="K4" s="62">
        <v>5</v>
      </c>
      <c r="L4" s="62">
        <f>IF(OR(I4=0,I4="0"),0,H4)</f>
        <v>0</v>
      </c>
      <c r="M4" s="62">
        <f>ROUND(L4*I4%,3)</f>
        <v>0</v>
      </c>
      <c r="N4" s="62">
        <f>H4-M4</f>
        <v>250</v>
      </c>
      <c r="O4" s="62">
        <f>ROUND(N4*J4%,3)</f>
        <v>20</v>
      </c>
      <c r="P4" s="62">
        <f>ROUND(N4-O4,2)</f>
        <v>230</v>
      </c>
      <c r="Q4" s="62">
        <f>ROUND(P4*K4%,2)</f>
        <v>11.5</v>
      </c>
      <c r="R4" s="73">
        <f>ROUND(M4+O4+Q4,3)</f>
        <v>31.5</v>
      </c>
      <c r="S4" s="108">
        <f>(H4-R4)</f>
        <v>218.5</v>
      </c>
      <c r="T4" s="62">
        <v>88363222</v>
      </c>
      <c r="U4" s="62">
        <v>0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0</v>
      </c>
      <c r="AA4" s="62">
        <f>IF($C2=3,0,(S4*Z4)/100)</f>
        <v>0</v>
      </c>
      <c r="AB4" s="62">
        <f>V4+W4+X4+Y4+AA4</f>
        <v>0</v>
      </c>
      <c r="AC4" s="78">
        <f>IF($V2=1,S4+AB4,S4)</f>
        <v>218.5</v>
      </c>
      <c r="AD4" s="73">
        <v>120</v>
      </c>
      <c r="AE4" s="73">
        <f>IF($P$2=1,(S4/$S$5)*$E$16,AD4/$AD$5*$E$16)</f>
        <v>0</v>
      </c>
      <c r="AF4" s="73"/>
      <c r="AG4" s="73">
        <f>IF($P$2=1,(S4/$S$5)*$E$18,AD4/$AD$5*$E$18)</f>
        <v>0</v>
      </c>
      <c r="AH4" s="73">
        <f>IF($P$2=1,(S4/$S$5)*$E$19,AD4/$AD$5*$E$19)</f>
        <v>0</v>
      </c>
      <c r="AI4" s="73">
        <f>S4*$M2</f>
        <v>218.5</v>
      </c>
      <c r="AJ4" s="73">
        <f>IF($C$2=3,0,AG4+AH4)</f>
        <v>0</v>
      </c>
      <c r="AK4" s="73">
        <f>IF($C$2=3,AE4+AG4+AH4,0)</f>
        <v>0</v>
      </c>
      <c r="AL4" s="81">
        <v>1</v>
      </c>
      <c r="AM4" s="73">
        <f>F4/AL4</f>
        <v>5</v>
      </c>
      <c r="AN4" s="73">
        <f>ROUND(AI4/AM4,5)</f>
        <v>43.7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43.7</v>
      </c>
      <c r="AS4" s="85" t="s">
        <v>98</v>
      </c>
      <c r="AT4" s="86" t="s">
        <v>76</v>
      </c>
      <c r="AU4" s="55" t="s">
        <v>123</v>
      </c>
      <c r="AV4" s="55" t="s">
        <v>124</v>
      </c>
      <c r="AW4" s="86">
        <f>AM4</f>
        <v>5</v>
      </c>
      <c r="AX4" s="89">
        <f>AR4</f>
        <v>43.7</v>
      </c>
      <c r="AY4" s="86">
        <f>AU4+AW4</f>
        <v>20</v>
      </c>
      <c r="AZ4" s="86">
        <f>ROUND(((AU4*AV4)+(AW4*AX4))/(AU4+AW4),3)</f>
        <v>42.061</v>
      </c>
      <c r="BA4" s="91"/>
      <c r="BB4" s="91" t="s">
        <v>80</v>
      </c>
      <c r="BC4" s="92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6"/>
      <c r="BK4" s="86"/>
      <c r="BL4" s="94" t="s">
        <v>101</v>
      </c>
      <c r="BM4" s="55" t="s">
        <v>124</v>
      </c>
      <c r="BN4" s="55" t="s">
        <v>102</v>
      </c>
      <c r="BO4" s="86">
        <f>ROUND((((AW4*AZ4)+(BN4*BM4))/(AW4+BN4)),5)</f>
        <v>41.787999999999997</v>
      </c>
      <c r="BP4" s="95">
        <f>ROUND(BN4+AW4,3)</f>
        <v>10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250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31.5</v>
      </c>
      <c r="S5" s="67">
        <f t="shared" si="0"/>
        <v>218.5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218.5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>IF($P$2=1,(S5/$S$5)*$E$19,AD5/$AD$5*$E$19)</f>
        <v>0</v>
      </c>
      <c r="AI5" s="80">
        <f t="shared" si="2"/>
        <v>218.5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63"/>
      <c r="AU5" s="87"/>
      <c r="AV5" s="87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87"/>
      <c r="BQ5" s="87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topLeftCell="D1" workbookViewId="0">
      <selection activeCell="S4" sqref="S4"/>
    </sheetView>
  </sheetViews>
  <sheetFormatPr defaultColWidth="8.7109375" defaultRowHeight="15"/>
  <cols>
    <col min="1" max="1" width="8.7109375" style="97"/>
    <col min="2" max="2" width="21.140625" style="97" customWidth="1"/>
    <col min="3" max="3" width="21.28515625" style="97" customWidth="1"/>
    <col min="4" max="19" width="8.7109375" style="97"/>
    <col min="20" max="20" width="10.140625" style="97" bestFit="1" customWidth="1"/>
    <col min="21" max="16384" width="8.7109375" style="97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87"/>
      <c r="BQ1" s="87"/>
    </row>
    <row r="2" spans="1:69">
      <c r="A2" s="109" t="s">
        <v>1</v>
      </c>
      <c r="B2" s="109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87"/>
      <c r="BQ2" s="87"/>
    </row>
    <row r="3" spans="1:69" ht="60">
      <c r="A3" s="60" t="s">
        <v>90</v>
      </c>
      <c r="B3" s="60" t="s">
        <v>10</v>
      </c>
      <c r="C3" s="60" t="s">
        <v>91</v>
      </c>
      <c r="D3" s="60" t="s">
        <v>12</v>
      </c>
      <c r="E3" s="60" t="s">
        <v>13</v>
      </c>
      <c r="F3" s="60" t="s">
        <v>92</v>
      </c>
      <c r="G3" s="60" t="s">
        <v>15</v>
      </c>
      <c r="H3" s="60" t="s">
        <v>16</v>
      </c>
      <c r="I3" s="69" t="s">
        <v>17</v>
      </c>
      <c r="J3" s="69" t="s">
        <v>19</v>
      </c>
      <c r="K3" s="69" t="s">
        <v>18</v>
      </c>
      <c r="L3" s="70" t="s">
        <v>20</v>
      </c>
      <c r="M3" s="70" t="s">
        <v>21</v>
      </c>
      <c r="N3" s="70" t="s">
        <v>24</v>
      </c>
      <c r="O3" s="70" t="s">
        <v>25</v>
      </c>
      <c r="P3" s="70" t="s">
        <v>93</v>
      </c>
      <c r="Q3" s="70" t="s">
        <v>23</v>
      </c>
      <c r="R3" s="69" t="s">
        <v>26</v>
      </c>
      <c r="S3" s="60" t="s">
        <v>94</v>
      </c>
      <c r="T3" s="60" t="s">
        <v>28</v>
      </c>
      <c r="U3" s="72" t="s">
        <v>95</v>
      </c>
      <c r="V3" s="72" t="s">
        <v>30</v>
      </c>
      <c r="W3" s="72" t="s">
        <v>31</v>
      </c>
      <c r="X3" s="72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77" t="s">
        <v>37</v>
      </c>
      <c r="AD3" s="77" t="s">
        <v>38</v>
      </c>
      <c r="AE3" s="77" t="s">
        <v>39</v>
      </c>
      <c r="AF3" s="77" t="s">
        <v>40</v>
      </c>
      <c r="AG3" s="77" t="s">
        <v>41</v>
      </c>
      <c r="AH3" s="77" t="s">
        <v>42</v>
      </c>
      <c r="AI3" s="77" t="s">
        <v>43</v>
      </c>
      <c r="AJ3" s="77" t="s">
        <v>44</v>
      </c>
      <c r="AK3" s="77" t="s">
        <v>45</v>
      </c>
      <c r="AL3" s="77" t="s">
        <v>46</v>
      </c>
      <c r="AM3" s="77" t="s">
        <v>47</v>
      </c>
      <c r="AN3" s="77" t="s">
        <v>48</v>
      </c>
      <c r="AO3" s="77" t="s">
        <v>49</v>
      </c>
      <c r="AP3" s="77" t="s">
        <v>50</v>
      </c>
      <c r="AQ3" s="77" t="s">
        <v>51</v>
      </c>
      <c r="AR3" s="82" t="s">
        <v>96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191</v>
      </c>
      <c r="C4" s="61" t="s">
        <v>191</v>
      </c>
      <c r="D4" s="61" t="s">
        <v>76</v>
      </c>
      <c r="E4" s="61" t="s">
        <v>89</v>
      </c>
      <c r="F4" s="62">
        <v>5</v>
      </c>
      <c r="G4" s="55" t="s">
        <v>122</v>
      </c>
      <c r="H4" s="62">
        <f>F4*G4</f>
        <v>250</v>
      </c>
      <c r="I4" s="55">
        <v>0</v>
      </c>
      <c r="J4" s="62">
        <v>8</v>
      </c>
      <c r="K4" s="62">
        <v>5</v>
      </c>
      <c r="L4" s="62">
        <f>IF(OR(I4=0,I4="0"),0,H4)</f>
        <v>0</v>
      </c>
      <c r="M4" s="62">
        <f>ROUND(L4*I4%,3)</f>
        <v>0</v>
      </c>
      <c r="N4" s="62">
        <f>H4-M4</f>
        <v>250</v>
      </c>
      <c r="O4" s="62">
        <f>ROUND(N4*J4%,3)</f>
        <v>20</v>
      </c>
      <c r="P4" s="62">
        <f>ROUND(N4-O4,2)</f>
        <v>230</v>
      </c>
      <c r="Q4" s="62">
        <f>ROUND(P4*K4%,2)</f>
        <v>11.5</v>
      </c>
      <c r="R4" s="73">
        <f>ROUND(M4+O4+Q4,3)</f>
        <v>31.5</v>
      </c>
      <c r="S4" s="108">
        <f>(H4-R4)</f>
        <v>218.5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0</v>
      </c>
      <c r="AA4" s="62">
        <f>IF($C2=3,0,(S4*Z4)/100)</f>
        <v>0</v>
      </c>
      <c r="AB4" s="62">
        <f>V4+W4+X4+Y4+AA4</f>
        <v>0</v>
      </c>
      <c r="AC4" s="78">
        <f>IF($V2=1,S4+AB4,S4)</f>
        <v>218.5</v>
      </c>
      <c r="AD4" s="73">
        <v>120</v>
      </c>
      <c r="AE4" s="73">
        <f>IF($P$2=1,(S4/$S$5)*$E$16,AD4/$AD$5*$E$16)</f>
        <v>0</v>
      </c>
      <c r="AF4" s="73"/>
      <c r="AG4" s="73">
        <f>IF($P$2=1,(S4/$S$5)*$E$18,AD4/$AD$5*$E$18)</f>
        <v>0</v>
      </c>
      <c r="AH4" s="73">
        <f>IF($P$2=1,(S4/$S$5)*$E$19,AD4/$AD$5*$E$19)</f>
        <v>0</v>
      </c>
      <c r="AI4" s="73">
        <f>S4*$M2</f>
        <v>218.5</v>
      </c>
      <c r="AJ4" s="73">
        <f>IF($C$2=3,0,AG4+AH4)</f>
        <v>0</v>
      </c>
      <c r="AK4" s="73">
        <f>IF($C$2=3,AE4+AG4+AH4,0)</f>
        <v>0</v>
      </c>
      <c r="AL4" s="81">
        <v>3</v>
      </c>
      <c r="AM4" s="73">
        <f>F4/AL4</f>
        <v>1.6666666666666701</v>
      </c>
      <c r="AN4" s="73">
        <f>ROUND(AI4/AM4,5)</f>
        <v>131.1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131.1</v>
      </c>
      <c r="AS4" s="85" t="s">
        <v>98</v>
      </c>
      <c r="AT4" s="86" t="s">
        <v>76</v>
      </c>
      <c r="AU4" s="55" t="s">
        <v>123</v>
      </c>
      <c r="AV4" s="55" t="s">
        <v>124</v>
      </c>
      <c r="AW4" s="86">
        <f>AM4</f>
        <v>1.6666666666666701</v>
      </c>
      <c r="AX4" s="89">
        <f>AR4</f>
        <v>131.1</v>
      </c>
      <c r="AY4" s="86">
        <f>AU4+AW4</f>
        <v>16.6666666666667</v>
      </c>
      <c r="AZ4" s="86">
        <f>ROUND(((AU4*AV4)+(AW4*AX4))/(AU4+AW4),3)</f>
        <v>50.473999999999997</v>
      </c>
      <c r="BA4" s="91"/>
      <c r="BB4" s="91" t="s">
        <v>80</v>
      </c>
      <c r="BC4" s="92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6"/>
      <c r="BK4" s="86"/>
      <c r="BL4" s="94" t="s">
        <v>101</v>
      </c>
      <c r="BM4" s="55" t="s">
        <v>124</v>
      </c>
      <c r="BN4" s="55" t="s">
        <v>102</v>
      </c>
      <c r="BO4" s="86">
        <f>ROUND((((AW4*AZ4)+(BN4*BM4))/(AW4+BN4)),5)</f>
        <v>43.754750000000001</v>
      </c>
      <c r="BP4" s="95">
        <f>ROUND(BN4+AW4,3)</f>
        <v>6.6669999999999998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250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31.5</v>
      </c>
      <c r="S5" s="67">
        <f t="shared" si="0"/>
        <v>218.5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218.5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>IF($P$2=1,(S5/$S$5)*$E$19,AD5/$AD$5*$E$19)</f>
        <v>0</v>
      </c>
      <c r="AI5" s="80">
        <f t="shared" si="2"/>
        <v>218.5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63"/>
      <c r="AU5" s="87"/>
      <c r="AV5" s="87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87"/>
      <c r="BQ5" s="87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topLeftCell="G1" workbookViewId="0">
      <selection activeCell="S12" sqref="S12"/>
    </sheetView>
  </sheetViews>
  <sheetFormatPr defaultColWidth="8.7109375" defaultRowHeight="15"/>
  <cols>
    <col min="1" max="1" width="8.7109375" style="97"/>
    <col min="2" max="2" width="23.42578125" style="97" customWidth="1"/>
    <col min="3" max="3" width="29.42578125" style="97" customWidth="1"/>
    <col min="4" max="19" width="8.7109375" style="97"/>
    <col min="20" max="20" width="10.140625" style="97" bestFit="1" customWidth="1"/>
    <col min="21" max="16384" width="8.7109375" style="97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87"/>
      <c r="BQ1" s="87"/>
    </row>
    <row r="2" spans="1:69">
      <c r="A2" s="109" t="s">
        <v>1</v>
      </c>
      <c r="B2" s="109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87"/>
      <c r="BQ2" s="87"/>
    </row>
    <row r="3" spans="1:69" ht="60">
      <c r="A3" s="60" t="s">
        <v>90</v>
      </c>
      <c r="B3" s="60" t="s">
        <v>10</v>
      </c>
      <c r="C3" s="60" t="s">
        <v>91</v>
      </c>
      <c r="D3" s="60" t="s">
        <v>12</v>
      </c>
      <c r="E3" s="60" t="s">
        <v>13</v>
      </c>
      <c r="F3" s="60" t="s">
        <v>92</v>
      </c>
      <c r="G3" s="60" t="s">
        <v>15</v>
      </c>
      <c r="H3" s="60" t="s">
        <v>16</v>
      </c>
      <c r="I3" s="69" t="s">
        <v>17</v>
      </c>
      <c r="J3" s="69" t="s">
        <v>19</v>
      </c>
      <c r="K3" s="69" t="s">
        <v>18</v>
      </c>
      <c r="L3" s="70" t="s">
        <v>20</v>
      </c>
      <c r="M3" s="70" t="s">
        <v>21</v>
      </c>
      <c r="N3" s="70" t="s">
        <v>24</v>
      </c>
      <c r="O3" s="70" t="s">
        <v>25</v>
      </c>
      <c r="P3" s="70" t="s">
        <v>93</v>
      </c>
      <c r="Q3" s="70" t="s">
        <v>23</v>
      </c>
      <c r="R3" s="69" t="s">
        <v>26</v>
      </c>
      <c r="S3" s="60" t="s">
        <v>94</v>
      </c>
      <c r="T3" s="60" t="s">
        <v>28</v>
      </c>
      <c r="U3" s="72" t="s">
        <v>95</v>
      </c>
      <c r="V3" s="72" t="s">
        <v>30</v>
      </c>
      <c r="W3" s="72" t="s">
        <v>31</v>
      </c>
      <c r="X3" s="72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77" t="s">
        <v>37</v>
      </c>
      <c r="AD3" s="77" t="s">
        <v>38</v>
      </c>
      <c r="AE3" s="77" t="s">
        <v>39</v>
      </c>
      <c r="AF3" s="77" t="s">
        <v>40</v>
      </c>
      <c r="AG3" s="77" t="s">
        <v>41</v>
      </c>
      <c r="AH3" s="77" t="s">
        <v>42</v>
      </c>
      <c r="AI3" s="77" t="s">
        <v>43</v>
      </c>
      <c r="AJ3" s="77" t="s">
        <v>44</v>
      </c>
      <c r="AK3" s="77" t="s">
        <v>45</v>
      </c>
      <c r="AL3" s="77" t="s">
        <v>46</v>
      </c>
      <c r="AM3" s="77" t="s">
        <v>47</v>
      </c>
      <c r="AN3" s="77" t="s">
        <v>48</v>
      </c>
      <c r="AO3" s="77" t="s">
        <v>49</v>
      </c>
      <c r="AP3" s="77" t="s">
        <v>50</v>
      </c>
      <c r="AQ3" s="77" t="s">
        <v>51</v>
      </c>
      <c r="AR3" s="82" t="s">
        <v>96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192</v>
      </c>
      <c r="C4" s="61" t="s">
        <v>192</v>
      </c>
      <c r="D4" s="61" t="s">
        <v>76</v>
      </c>
      <c r="E4" s="61" t="s">
        <v>76</v>
      </c>
      <c r="F4" s="62">
        <v>5</v>
      </c>
      <c r="G4" s="55" t="s">
        <v>122</v>
      </c>
      <c r="H4" s="62">
        <f>F4*G4</f>
        <v>250</v>
      </c>
      <c r="I4" s="55">
        <v>0</v>
      </c>
      <c r="J4" s="62">
        <v>8</v>
      </c>
      <c r="K4" s="62">
        <v>5</v>
      </c>
      <c r="L4" s="62">
        <f>IF(OR(I4=0,I4="0"),0,H4)</f>
        <v>0</v>
      </c>
      <c r="M4" s="62">
        <f>ROUND(L4*I4%,3)</f>
        <v>0</v>
      </c>
      <c r="N4" s="62">
        <f>H4-M4</f>
        <v>250</v>
      </c>
      <c r="O4" s="62">
        <f>ROUND(N4*J4%,3)</f>
        <v>20</v>
      </c>
      <c r="P4" s="62">
        <f>ROUND(N4-O4,2)</f>
        <v>230</v>
      </c>
      <c r="Q4" s="62">
        <f>ROUND(P4*K4%,2)</f>
        <v>11.5</v>
      </c>
      <c r="R4" s="73">
        <f>ROUND(M4+O4+Q4,3)</f>
        <v>31.5</v>
      </c>
      <c r="S4" s="108">
        <f>(H4-R4)</f>
        <v>218.5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0</v>
      </c>
      <c r="AA4" s="62">
        <f>IF($C2=3,0,(S4*Z4)/100)</f>
        <v>0</v>
      </c>
      <c r="AB4" s="62">
        <f>V4+W4+X4+Y4+AA4</f>
        <v>0</v>
      </c>
      <c r="AC4" s="78">
        <f>IF($V2=1,S4+AB4,S4)</f>
        <v>218.5</v>
      </c>
      <c r="AD4" s="73">
        <v>120</v>
      </c>
      <c r="AE4" s="73">
        <f>IF($P$2=1,(S4/$S$5)*$E$16,AD4/$AD$5*$E$16)</f>
        <v>0</v>
      </c>
      <c r="AF4" s="73"/>
      <c r="AG4" s="73">
        <f>IF($P$2=1,(S4/$S$5)*$E$18,AD4/$AD$5*$E$18)</f>
        <v>0</v>
      </c>
      <c r="AH4" s="73">
        <f>IF($P$2=1,(S4/$S$5)*$E$19,AD4/$AD$5*$E$19)</f>
        <v>0</v>
      </c>
      <c r="AI4" s="73">
        <f>S4*$M2</f>
        <v>218.5</v>
      </c>
      <c r="AJ4" s="73">
        <f>IF($C$2=3,0,AG4+AH4)</f>
        <v>0</v>
      </c>
      <c r="AK4" s="73">
        <f>IF($C$2=3,AE4+AG4+AH4,0)</f>
        <v>0</v>
      </c>
      <c r="AL4" s="81">
        <v>1</v>
      </c>
      <c r="AM4" s="73">
        <f>F4/AL4</f>
        <v>5</v>
      </c>
      <c r="AN4" s="73">
        <f>ROUND(AI4/AM4,5)</f>
        <v>43.7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43.7</v>
      </c>
      <c r="AS4" s="85" t="s">
        <v>98</v>
      </c>
      <c r="AT4" s="86" t="s">
        <v>76</v>
      </c>
      <c r="AU4" s="55" t="s">
        <v>123</v>
      </c>
      <c r="AV4" s="55" t="s">
        <v>124</v>
      </c>
      <c r="AW4" s="86">
        <f>AM4</f>
        <v>5</v>
      </c>
      <c r="AX4" s="89">
        <f>AR4</f>
        <v>43.7</v>
      </c>
      <c r="AY4" s="86">
        <f>AU4+AW4</f>
        <v>20</v>
      </c>
      <c r="AZ4" s="86">
        <f>ROUND(((AU4*AV4)+(AW4*AX4))/(AU4+AW4),3)</f>
        <v>42.061</v>
      </c>
      <c r="BA4" s="91"/>
      <c r="BB4" s="91" t="s">
        <v>80</v>
      </c>
      <c r="BC4" s="92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6"/>
      <c r="BK4" s="86"/>
      <c r="BL4" s="94" t="s">
        <v>101</v>
      </c>
      <c r="BM4" s="55" t="s">
        <v>124</v>
      </c>
      <c r="BN4" s="55" t="s">
        <v>102</v>
      </c>
      <c r="BO4" s="86">
        <f>ROUND((((AW4*AZ4)+(BN4*BM4))/(AW4+BN4)),5)</f>
        <v>41.787999999999997</v>
      </c>
      <c r="BP4" s="95">
        <f>ROUND(BN4+AW4,3)</f>
        <v>10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250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31.5</v>
      </c>
      <c r="S5" s="67">
        <f t="shared" si="0"/>
        <v>218.5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218.5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>IF($P$2=1,(S5/$S$5)*$E$19,AD5/$AD$5*$E$19)</f>
        <v>0</v>
      </c>
      <c r="AI5" s="80">
        <f t="shared" si="2"/>
        <v>218.5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63"/>
      <c r="AU5" s="87"/>
      <c r="AV5" s="87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87"/>
      <c r="BQ5" s="87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topLeftCell="J1" workbookViewId="0">
      <selection activeCell="S4" sqref="S4"/>
    </sheetView>
  </sheetViews>
  <sheetFormatPr defaultColWidth="8.7109375" defaultRowHeight="15"/>
  <cols>
    <col min="1" max="1" width="8.7109375" style="97"/>
    <col min="2" max="2" width="27.28515625" style="97" customWidth="1"/>
    <col min="3" max="3" width="25.42578125" style="97" customWidth="1"/>
    <col min="4" max="19" width="8.7109375" style="97"/>
    <col min="20" max="20" width="10.140625" style="97" bestFit="1" customWidth="1"/>
    <col min="21" max="16384" width="8.7109375" style="97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87"/>
      <c r="BQ1" s="87"/>
    </row>
    <row r="2" spans="1:69">
      <c r="A2" s="109" t="s">
        <v>1</v>
      </c>
      <c r="B2" s="109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87"/>
      <c r="BQ2" s="87"/>
    </row>
    <row r="3" spans="1:69" ht="60">
      <c r="A3" s="60" t="s">
        <v>90</v>
      </c>
      <c r="B3" s="60" t="s">
        <v>10</v>
      </c>
      <c r="C3" s="60" t="s">
        <v>91</v>
      </c>
      <c r="D3" s="60" t="s">
        <v>12</v>
      </c>
      <c r="E3" s="60" t="s">
        <v>13</v>
      </c>
      <c r="F3" s="60" t="s">
        <v>92</v>
      </c>
      <c r="G3" s="60" t="s">
        <v>15</v>
      </c>
      <c r="H3" s="60" t="s">
        <v>16</v>
      </c>
      <c r="I3" s="69" t="s">
        <v>17</v>
      </c>
      <c r="J3" s="69" t="s">
        <v>19</v>
      </c>
      <c r="K3" s="69" t="s">
        <v>18</v>
      </c>
      <c r="L3" s="70" t="s">
        <v>20</v>
      </c>
      <c r="M3" s="70" t="s">
        <v>21</v>
      </c>
      <c r="N3" s="70" t="s">
        <v>24</v>
      </c>
      <c r="O3" s="70" t="s">
        <v>25</v>
      </c>
      <c r="P3" s="70" t="s">
        <v>93</v>
      </c>
      <c r="Q3" s="70" t="s">
        <v>23</v>
      </c>
      <c r="R3" s="69" t="s">
        <v>26</v>
      </c>
      <c r="S3" s="60" t="s">
        <v>94</v>
      </c>
      <c r="T3" s="60" t="s">
        <v>28</v>
      </c>
      <c r="U3" s="72" t="s">
        <v>95</v>
      </c>
      <c r="V3" s="72" t="s">
        <v>30</v>
      </c>
      <c r="W3" s="72" t="s">
        <v>31</v>
      </c>
      <c r="X3" s="72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77" t="s">
        <v>37</v>
      </c>
      <c r="AD3" s="77" t="s">
        <v>38</v>
      </c>
      <c r="AE3" s="77" t="s">
        <v>39</v>
      </c>
      <c r="AF3" s="77" t="s">
        <v>40</v>
      </c>
      <c r="AG3" s="77" t="s">
        <v>41</v>
      </c>
      <c r="AH3" s="77" t="s">
        <v>42</v>
      </c>
      <c r="AI3" s="77" t="s">
        <v>43</v>
      </c>
      <c r="AJ3" s="77" t="s">
        <v>44</v>
      </c>
      <c r="AK3" s="77" t="s">
        <v>45</v>
      </c>
      <c r="AL3" s="77" t="s">
        <v>46</v>
      </c>
      <c r="AM3" s="77" t="s">
        <v>47</v>
      </c>
      <c r="AN3" s="77" t="s">
        <v>48</v>
      </c>
      <c r="AO3" s="77" t="s">
        <v>49</v>
      </c>
      <c r="AP3" s="77" t="s">
        <v>50</v>
      </c>
      <c r="AQ3" s="77" t="s">
        <v>51</v>
      </c>
      <c r="AR3" s="82" t="s">
        <v>96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193</v>
      </c>
      <c r="C4" s="61" t="s">
        <v>193</v>
      </c>
      <c r="D4" s="61" t="s">
        <v>76</v>
      </c>
      <c r="E4" s="61" t="s">
        <v>76</v>
      </c>
      <c r="F4" s="62">
        <v>5</v>
      </c>
      <c r="G4" s="55" t="s">
        <v>122</v>
      </c>
      <c r="H4" s="62">
        <f>F4*G4</f>
        <v>250</v>
      </c>
      <c r="I4" s="55">
        <v>0</v>
      </c>
      <c r="J4" s="62">
        <v>8</v>
      </c>
      <c r="K4" s="62">
        <v>5</v>
      </c>
      <c r="L4" s="62">
        <f>IF(OR(I4=0,I4="0"),0,H4)</f>
        <v>0</v>
      </c>
      <c r="M4" s="62">
        <f>ROUND(L4*I4%,3)</f>
        <v>0</v>
      </c>
      <c r="N4" s="62">
        <f>H4-M4</f>
        <v>250</v>
      </c>
      <c r="O4" s="62">
        <f>ROUND(N4*J4%,3)</f>
        <v>20</v>
      </c>
      <c r="P4" s="62">
        <f>ROUND(N4-O4,2)</f>
        <v>230</v>
      </c>
      <c r="Q4" s="62">
        <f>ROUND(P4*K4%,2)</f>
        <v>11.5</v>
      </c>
      <c r="R4" s="73">
        <f>ROUND(M4+O4+Q4,3)</f>
        <v>31.5</v>
      </c>
      <c r="S4" s="108">
        <f>(H4-R4)</f>
        <v>218.5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0</v>
      </c>
      <c r="AA4" s="62">
        <f>IF($C2=3,0,(S4*Z4)/100)</f>
        <v>0</v>
      </c>
      <c r="AB4" s="62">
        <f>V4+W4+X4+Y4+AA4</f>
        <v>0</v>
      </c>
      <c r="AC4" s="78">
        <f>IF($V2=1,S4+AB4,S4)</f>
        <v>218.5</v>
      </c>
      <c r="AD4" s="73">
        <v>120</v>
      </c>
      <c r="AE4" s="73">
        <f>IF($P$2=1,(S4/$S$5)*$E$16,AD4/$AD$5*$E$16)</f>
        <v>0</v>
      </c>
      <c r="AF4" s="73"/>
      <c r="AG4" s="73">
        <f>IF($P$2=1,(S4/$S$5)*$E$18,AD4/$AD$5*$E$18)</f>
        <v>0</v>
      </c>
      <c r="AH4" s="73">
        <f>IF($P$2=1,(S4/$S$5)*$E$19,AD4/$AD$5*$E$19)</f>
        <v>0</v>
      </c>
      <c r="AI4" s="73">
        <f>S4*$M2</f>
        <v>218.5</v>
      </c>
      <c r="AJ4" s="73">
        <f>IF($C$2=3,0,AG4+AH4)</f>
        <v>0</v>
      </c>
      <c r="AK4" s="73">
        <f>IF($C$2=3,AE4+AG4+AH4,0)</f>
        <v>0</v>
      </c>
      <c r="AL4" s="81">
        <v>1</v>
      </c>
      <c r="AM4" s="73">
        <f>F4/AL4</f>
        <v>5</v>
      </c>
      <c r="AN4" s="73">
        <f>ROUND(AI4/AM4,5)</f>
        <v>43.7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43.7</v>
      </c>
      <c r="AS4" s="85" t="s">
        <v>98</v>
      </c>
      <c r="AT4" s="86" t="s">
        <v>76</v>
      </c>
      <c r="AU4" s="55" t="s">
        <v>128</v>
      </c>
      <c r="AV4" s="55" t="s">
        <v>124</v>
      </c>
      <c r="AW4" s="86">
        <f>AM4</f>
        <v>5</v>
      </c>
      <c r="AX4" s="89">
        <f>AR4</f>
        <v>43.7</v>
      </c>
      <c r="AY4" s="86">
        <f>AU4+AW4</f>
        <v>15</v>
      </c>
      <c r="AZ4" s="90">
        <f>ROUND(((AU4*AV4)+(AW4*AX4))/(AU4+AW4),3)</f>
        <v>42.243000000000002</v>
      </c>
      <c r="BA4" s="91"/>
      <c r="BB4" s="91" t="s">
        <v>80</v>
      </c>
      <c r="BC4" s="92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6"/>
      <c r="BK4" s="86"/>
      <c r="BL4" s="94" t="s">
        <v>101</v>
      </c>
      <c r="BM4" s="55" t="s">
        <v>124</v>
      </c>
      <c r="BN4" s="55" t="s">
        <v>102</v>
      </c>
      <c r="BO4" s="86">
        <f>ROUND((((AW4*AZ4)+(BN4*BM4))/(AW4+BN4)),5)</f>
        <v>41.878999999999998</v>
      </c>
      <c r="BP4" s="95">
        <f>ROUND(BN4+AW4,3)</f>
        <v>10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250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31.5</v>
      </c>
      <c r="S5" s="67">
        <f t="shared" si="0"/>
        <v>218.5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218.5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>IF($P$2=1,(S5/$S$5)*$E$19,AD5/$AD$5*$E$19)</f>
        <v>0</v>
      </c>
      <c r="AI5" s="80">
        <f t="shared" si="2"/>
        <v>218.5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63"/>
      <c r="AU5" s="87"/>
      <c r="AV5" s="87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87"/>
      <c r="BQ5" s="87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topLeftCell="J1" workbookViewId="0">
      <selection activeCell="S4" sqref="S4"/>
    </sheetView>
  </sheetViews>
  <sheetFormatPr defaultColWidth="8.7109375" defaultRowHeight="15"/>
  <cols>
    <col min="1" max="1" width="8.7109375" style="97"/>
    <col min="2" max="2" width="27.28515625" style="97" customWidth="1"/>
    <col min="3" max="3" width="25.42578125" style="97" customWidth="1"/>
    <col min="4" max="19" width="8.7109375" style="97"/>
    <col min="20" max="20" width="10.140625" style="97" bestFit="1" customWidth="1"/>
    <col min="21" max="16384" width="8.7109375" style="97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87"/>
      <c r="BQ1" s="87"/>
    </row>
    <row r="2" spans="1:69">
      <c r="A2" s="109" t="s">
        <v>1</v>
      </c>
      <c r="B2" s="109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87"/>
      <c r="BQ2" s="87"/>
    </row>
    <row r="3" spans="1:69" ht="60">
      <c r="A3" s="60" t="s">
        <v>90</v>
      </c>
      <c r="B3" s="60" t="s">
        <v>10</v>
      </c>
      <c r="C3" s="60" t="s">
        <v>91</v>
      </c>
      <c r="D3" s="60" t="s">
        <v>12</v>
      </c>
      <c r="E3" s="60" t="s">
        <v>13</v>
      </c>
      <c r="F3" s="60" t="s">
        <v>92</v>
      </c>
      <c r="G3" s="60" t="s">
        <v>15</v>
      </c>
      <c r="H3" s="60" t="s">
        <v>16</v>
      </c>
      <c r="I3" s="69" t="s">
        <v>17</v>
      </c>
      <c r="J3" s="69" t="s">
        <v>19</v>
      </c>
      <c r="K3" s="69" t="s">
        <v>18</v>
      </c>
      <c r="L3" s="70" t="s">
        <v>20</v>
      </c>
      <c r="M3" s="70" t="s">
        <v>21</v>
      </c>
      <c r="N3" s="70" t="s">
        <v>24</v>
      </c>
      <c r="O3" s="70" t="s">
        <v>25</v>
      </c>
      <c r="P3" s="70" t="s">
        <v>93</v>
      </c>
      <c r="Q3" s="70" t="s">
        <v>23</v>
      </c>
      <c r="R3" s="69" t="s">
        <v>26</v>
      </c>
      <c r="S3" s="60" t="s">
        <v>94</v>
      </c>
      <c r="T3" s="60" t="s">
        <v>28</v>
      </c>
      <c r="U3" s="72" t="s">
        <v>95</v>
      </c>
      <c r="V3" s="72" t="s">
        <v>30</v>
      </c>
      <c r="W3" s="72" t="s">
        <v>31</v>
      </c>
      <c r="X3" s="72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77" t="s">
        <v>37</v>
      </c>
      <c r="AD3" s="77" t="s">
        <v>38</v>
      </c>
      <c r="AE3" s="77" t="s">
        <v>39</v>
      </c>
      <c r="AF3" s="77" t="s">
        <v>40</v>
      </c>
      <c r="AG3" s="77" t="s">
        <v>41</v>
      </c>
      <c r="AH3" s="77" t="s">
        <v>42</v>
      </c>
      <c r="AI3" s="77" t="s">
        <v>43</v>
      </c>
      <c r="AJ3" s="77" t="s">
        <v>44</v>
      </c>
      <c r="AK3" s="77" t="s">
        <v>45</v>
      </c>
      <c r="AL3" s="77" t="s">
        <v>46</v>
      </c>
      <c r="AM3" s="77" t="s">
        <v>47</v>
      </c>
      <c r="AN3" s="77" t="s">
        <v>48</v>
      </c>
      <c r="AO3" s="77" t="s">
        <v>49</v>
      </c>
      <c r="AP3" s="77" t="s">
        <v>50</v>
      </c>
      <c r="AQ3" s="77" t="s">
        <v>51</v>
      </c>
      <c r="AR3" s="82" t="s">
        <v>96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194</v>
      </c>
      <c r="C4" s="61" t="s">
        <v>194</v>
      </c>
      <c r="D4" s="61" t="s">
        <v>76</v>
      </c>
      <c r="E4" s="61" t="s">
        <v>89</v>
      </c>
      <c r="F4" s="62">
        <v>5</v>
      </c>
      <c r="G4" s="55" t="s">
        <v>122</v>
      </c>
      <c r="H4" s="62">
        <f>F4*G4</f>
        <v>250</v>
      </c>
      <c r="I4" s="55">
        <v>0</v>
      </c>
      <c r="J4" s="62">
        <v>8</v>
      </c>
      <c r="K4" s="62">
        <v>5</v>
      </c>
      <c r="L4" s="62">
        <f>IF(OR(I4=0,I4="0"),0,H4)</f>
        <v>0</v>
      </c>
      <c r="M4" s="62">
        <f>ROUND(L4*I4%,3)</f>
        <v>0</v>
      </c>
      <c r="N4" s="62">
        <f>H4-M4</f>
        <v>250</v>
      </c>
      <c r="O4" s="62">
        <f>ROUND(N4*J4%,3)</f>
        <v>20</v>
      </c>
      <c r="P4" s="62">
        <f>ROUND(N4-O4,2)</f>
        <v>230</v>
      </c>
      <c r="Q4" s="62">
        <f>ROUND(P4*K4%,2)</f>
        <v>11.5</v>
      </c>
      <c r="R4" s="73">
        <f>ROUND(M4+O4+Q4,3)</f>
        <v>31.5</v>
      </c>
      <c r="S4" s="108">
        <f>(H4-R4)</f>
        <v>218.5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0</v>
      </c>
      <c r="AA4" s="62">
        <f>IF($C2=3,0,(S4*Z4)/100)</f>
        <v>0</v>
      </c>
      <c r="AB4" s="62">
        <f>V4+W4+X4+Y4+AA4</f>
        <v>0</v>
      </c>
      <c r="AC4" s="78">
        <f>IF($V2=1,S4+AB4,S4)</f>
        <v>218.5</v>
      </c>
      <c r="AD4" s="73">
        <v>120</v>
      </c>
      <c r="AE4" s="73">
        <f>IF($P$2=1,(S4/$S$5)*$E$16,AD4/$AD$5*$E$16)</f>
        <v>0</v>
      </c>
      <c r="AF4" s="73"/>
      <c r="AG4" s="73">
        <f>IF($P$2=1,(S4/$S$5)*$E$18,AD4/$AD$5*$E$18)</f>
        <v>0</v>
      </c>
      <c r="AH4" s="73">
        <f>IF($P$2=1,(S4/$S$5)*$E$19,AD4/$AD$5*$E$19)</f>
        <v>0</v>
      </c>
      <c r="AI4" s="73">
        <f>S4*$M2</f>
        <v>218.5</v>
      </c>
      <c r="AJ4" s="73">
        <f>IF($C$2=3,0,AG4+AH4)</f>
        <v>0</v>
      </c>
      <c r="AK4" s="73">
        <f>IF($C$2=3,AE4+AG4+AH4,0)</f>
        <v>0</v>
      </c>
      <c r="AL4" s="81">
        <v>3</v>
      </c>
      <c r="AM4" s="73">
        <f>F4/AL4</f>
        <v>1.6666666666666701</v>
      </c>
      <c r="AN4" s="73">
        <f>ROUND(AI4/AM4,5)</f>
        <v>131.1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131.1</v>
      </c>
      <c r="AS4" s="85" t="s">
        <v>98</v>
      </c>
      <c r="AT4" s="86" t="s">
        <v>76</v>
      </c>
      <c r="AU4" s="55" t="s">
        <v>128</v>
      </c>
      <c r="AV4" s="55" t="s">
        <v>124</v>
      </c>
      <c r="AW4" s="86">
        <f>AM4</f>
        <v>1.6666666666666701</v>
      </c>
      <c r="AX4" s="89">
        <f>AR4</f>
        <v>131.1</v>
      </c>
      <c r="AY4" s="86">
        <f>AU4+AW4</f>
        <v>11.6666666666667</v>
      </c>
      <c r="AZ4" s="90">
        <f>ROUND(((AU4*AV4)+(AW4*AX4))/(AU4+AW4),3)</f>
        <v>54.313000000000002</v>
      </c>
      <c r="BA4" s="91"/>
      <c r="BB4" s="91" t="s">
        <v>80</v>
      </c>
      <c r="BC4" s="92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6"/>
      <c r="BK4" s="86"/>
      <c r="BL4" s="94" t="s">
        <v>101</v>
      </c>
      <c r="BM4" s="55" t="s">
        <v>124</v>
      </c>
      <c r="BN4" s="55" t="s">
        <v>102</v>
      </c>
      <c r="BO4" s="86">
        <f>ROUND((((AW4*AZ4)+(BN4*BM4))/(AW4+BN4)),5)</f>
        <v>44.714500000000001</v>
      </c>
      <c r="BP4" s="95">
        <f>ROUND(BN4+AW4,3)</f>
        <v>6.6669999999999998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250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31.5</v>
      </c>
      <c r="S5" s="67">
        <f t="shared" si="0"/>
        <v>218.5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218.5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>IF($P$2=1,(S5/$S$5)*$E$19,AD5/$AD$5*$E$19)</f>
        <v>0</v>
      </c>
      <c r="AI5" s="80">
        <f t="shared" si="2"/>
        <v>218.5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63"/>
      <c r="AU5" s="87"/>
      <c r="AV5" s="87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87"/>
      <c r="BQ5" s="87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18"/>
  <sheetViews>
    <sheetView topLeftCell="O1" workbookViewId="0">
      <selection activeCell="W10" sqref="W10"/>
    </sheetView>
  </sheetViews>
  <sheetFormatPr defaultColWidth="8.85546875" defaultRowHeight="15"/>
  <cols>
    <col min="1" max="1" width="8.85546875" style="55"/>
    <col min="2" max="2" width="28" style="55" customWidth="1"/>
    <col min="3" max="3" width="23" style="55" customWidth="1"/>
    <col min="4" max="11" width="8.85546875" style="55"/>
    <col min="12" max="12" width="15.7109375" style="55" customWidth="1"/>
    <col min="13" max="13" width="9.140625" style="55" customWidth="1"/>
    <col min="14" max="14" width="13.85546875" style="55" customWidth="1"/>
    <col min="15" max="15" width="11.28515625" style="55" customWidth="1"/>
    <col min="16" max="16" width="17.85546875" style="55" customWidth="1"/>
    <col min="17" max="19" width="8.85546875" style="55"/>
    <col min="20" max="20" width="10.140625" style="55" bestFit="1" customWidth="1"/>
    <col min="21" max="63" width="8.85546875" style="55"/>
    <col min="64" max="64" width="11" style="55" customWidth="1"/>
    <col min="65" max="16384" width="8.85546875" style="55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87"/>
      <c r="BQ1" s="87"/>
    </row>
    <row r="2" spans="1:69">
      <c r="A2" s="109" t="s">
        <v>1</v>
      </c>
      <c r="B2" s="109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87"/>
      <c r="BQ2" s="87"/>
    </row>
    <row r="3" spans="1:69" ht="60">
      <c r="A3" s="60" t="s">
        <v>90</v>
      </c>
      <c r="B3" s="60" t="s">
        <v>10</v>
      </c>
      <c r="C3" s="60" t="s">
        <v>91</v>
      </c>
      <c r="D3" s="60" t="s">
        <v>12</v>
      </c>
      <c r="E3" s="60" t="s">
        <v>13</v>
      </c>
      <c r="F3" s="60" t="s">
        <v>92</v>
      </c>
      <c r="G3" s="60" t="s">
        <v>15</v>
      </c>
      <c r="H3" s="60" t="s">
        <v>16</v>
      </c>
      <c r="I3" s="69" t="s">
        <v>17</v>
      </c>
      <c r="J3" s="69" t="s">
        <v>19</v>
      </c>
      <c r="K3" s="69" t="s">
        <v>18</v>
      </c>
      <c r="L3" s="70" t="s">
        <v>20</v>
      </c>
      <c r="M3" s="70" t="s">
        <v>21</v>
      </c>
      <c r="N3" s="70" t="s">
        <v>24</v>
      </c>
      <c r="O3" s="70" t="s">
        <v>25</v>
      </c>
      <c r="P3" s="70" t="s">
        <v>93</v>
      </c>
      <c r="Q3" s="70" t="s">
        <v>23</v>
      </c>
      <c r="R3" s="69" t="s">
        <v>26</v>
      </c>
      <c r="S3" s="60" t="s">
        <v>94</v>
      </c>
      <c r="T3" s="60" t="s">
        <v>28</v>
      </c>
      <c r="U3" s="72" t="s">
        <v>95</v>
      </c>
      <c r="V3" s="72" t="s">
        <v>30</v>
      </c>
      <c r="W3" s="72" t="s">
        <v>31</v>
      </c>
      <c r="X3" s="72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77" t="s">
        <v>37</v>
      </c>
      <c r="AD3" s="77" t="s">
        <v>38</v>
      </c>
      <c r="AE3" s="77" t="s">
        <v>39</v>
      </c>
      <c r="AF3" s="77" t="s">
        <v>40</v>
      </c>
      <c r="AG3" s="77" t="s">
        <v>41</v>
      </c>
      <c r="AH3" s="77" t="s">
        <v>42</v>
      </c>
      <c r="AI3" s="77" t="s">
        <v>43</v>
      </c>
      <c r="AJ3" s="77" t="s">
        <v>44</v>
      </c>
      <c r="AK3" s="77" t="s">
        <v>45</v>
      </c>
      <c r="AL3" s="77" t="s">
        <v>46</v>
      </c>
      <c r="AM3" s="77" t="s">
        <v>47</v>
      </c>
      <c r="AN3" s="77" t="s">
        <v>48</v>
      </c>
      <c r="AO3" s="77" t="s">
        <v>49</v>
      </c>
      <c r="AP3" s="77" t="s">
        <v>50</v>
      </c>
      <c r="AQ3" s="77" t="s">
        <v>51</v>
      </c>
      <c r="AR3" s="82" t="s">
        <v>96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195</v>
      </c>
      <c r="C4" s="61" t="s">
        <v>195</v>
      </c>
      <c r="D4" s="61" t="s">
        <v>76</v>
      </c>
      <c r="E4" s="61" t="s">
        <v>76</v>
      </c>
      <c r="F4" s="62">
        <v>5</v>
      </c>
      <c r="G4" s="55" t="s">
        <v>122</v>
      </c>
      <c r="H4" s="62">
        <f>F4*G4</f>
        <v>250</v>
      </c>
      <c r="I4" s="55">
        <v>0</v>
      </c>
      <c r="J4" s="62">
        <v>8</v>
      </c>
      <c r="K4" s="62">
        <v>5</v>
      </c>
      <c r="L4" s="62">
        <f>IF(OR(I4=0,I4="0"),0,H4)</f>
        <v>0</v>
      </c>
      <c r="M4" s="62">
        <f>ROUND(L4*I4%,3)</f>
        <v>0</v>
      </c>
      <c r="N4" s="62">
        <f>H4-M4</f>
        <v>250</v>
      </c>
      <c r="O4" s="62">
        <f>ROUND(N4*J4%,3)</f>
        <v>20</v>
      </c>
      <c r="P4" s="62">
        <f>ROUND(N4-O4,2)</f>
        <v>230</v>
      </c>
      <c r="Q4" s="62">
        <f>ROUND(P4*K4%,2)</f>
        <v>11.5</v>
      </c>
      <c r="R4" s="73">
        <f>ROUND(M4+O4+Q4,3)</f>
        <v>31.5</v>
      </c>
      <c r="S4" s="108">
        <f>(H4-R4)</f>
        <v>218.5</v>
      </c>
      <c r="T4" s="62">
        <v>88363222</v>
      </c>
      <c r="U4" s="62">
        <v>0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0</v>
      </c>
      <c r="AA4" s="62">
        <f>IF($C2=3,0,(S4*Z4)/100)</f>
        <v>0</v>
      </c>
      <c r="AB4" s="62">
        <f>V4+W4+X4+Y4+AA4</f>
        <v>0</v>
      </c>
      <c r="AC4" s="78">
        <f>IF($V2=1,S4+AB4,S4)</f>
        <v>218.5</v>
      </c>
      <c r="AD4" s="73">
        <v>120</v>
      </c>
      <c r="AE4" s="73">
        <f>IF($P$2=1,(S4/$S$5)*$E$16,AD4/$AD$5*$E$16)</f>
        <v>0</v>
      </c>
      <c r="AF4" s="73"/>
      <c r="AG4" s="73">
        <f>IF($P$2=1,(S4/$S$5)*$E$18,AD4/$AD$5*$E$18)</f>
        <v>0</v>
      </c>
      <c r="AH4" s="73">
        <f>IF($P$2=1,(S4/$S$5)*$E$19,AD4/$AD$5*$E$19)</f>
        <v>0</v>
      </c>
      <c r="AI4" s="73">
        <f>S4*$M2</f>
        <v>218.5</v>
      </c>
      <c r="AJ4" s="73">
        <f>IF($C$2=3,0,AG4+AH4)</f>
        <v>0</v>
      </c>
      <c r="AK4" s="73">
        <f>IF($C$2=3,AE4+AG4+AH4,0)</f>
        <v>0</v>
      </c>
      <c r="AL4" s="81">
        <v>1</v>
      </c>
      <c r="AM4" s="73">
        <f>F4/AL4</f>
        <v>5</v>
      </c>
      <c r="AN4" s="73">
        <f>ROUND(AI4/AM4,5)</f>
        <v>43.7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43.7</v>
      </c>
      <c r="AS4" s="85" t="s">
        <v>98</v>
      </c>
      <c r="AT4" s="86" t="s">
        <v>76</v>
      </c>
      <c r="AU4" s="55" t="s">
        <v>128</v>
      </c>
      <c r="AV4" s="55" t="s">
        <v>124</v>
      </c>
      <c r="AW4" s="86">
        <f>AM4</f>
        <v>5</v>
      </c>
      <c r="AX4" s="89">
        <f>AR4</f>
        <v>43.7</v>
      </c>
      <c r="AY4" s="86">
        <f>AU4+AW4</f>
        <v>15</v>
      </c>
      <c r="AZ4" s="90">
        <f>ROUND(((AU4*AV4)+(AW4*AX4))/(AU4+AW4),3)</f>
        <v>42.243000000000002</v>
      </c>
      <c r="BA4" s="91"/>
      <c r="BB4" s="91" t="s">
        <v>80</v>
      </c>
      <c r="BC4" s="92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6"/>
      <c r="BK4" s="86"/>
      <c r="BL4" s="94" t="s">
        <v>101</v>
      </c>
      <c r="BM4" s="55" t="s">
        <v>124</v>
      </c>
      <c r="BN4" s="55" t="s">
        <v>102</v>
      </c>
      <c r="BO4" s="86">
        <f>ROUND((((AW4*AZ4)+(BN4*BM4))/(AW4+BN4)),5)</f>
        <v>41.878999999999998</v>
      </c>
      <c r="BP4" s="95">
        <f>ROUND(BN4+AW4,3)</f>
        <v>10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250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31.5</v>
      </c>
      <c r="S5" s="67">
        <f t="shared" si="0"/>
        <v>218.5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218.5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>IF($P$2=1,(S5/$S$5)*$E$19,AD5/$AD$5*$E$19)</f>
        <v>0</v>
      </c>
      <c r="AI5" s="80">
        <f t="shared" si="2"/>
        <v>218.5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63"/>
      <c r="AU5" s="87"/>
      <c r="AV5" s="87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87"/>
      <c r="BQ5" s="87"/>
    </row>
    <row r="6" spans="1:69">
      <c r="A6" s="63"/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87"/>
      <c r="BQ6" s="87"/>
    </row>
    <row r="7" spans="1:69">
      <c r="A7" s="63"/>
      <c r="B7" s="63"/>
      <c r="C7" s="63"/>
      <c r="D7" s="63"/>
      <c r="E7" s="63"/>
      <c r="F7" s="63"/>
      <c r="G7" s="110" t="s">
        <v>103</v>
      </c>
      <c r="H7" s="111"/>
      <c r="I7" s="112">
        <f>H5</f>
        <v>250</v>
      </c>
      <c r="J7" s="112"/>
      <c r="K7" s="63"/>
      <c r="L7" s="63"/>
      <c r="M7" s="113" t="s">
        <v>104</v>
      </c>
      <c r="N7" s="114"/>
      <c r="O7" s="114"/>
      <c r="P7" s="115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 t="s">
        <v>105</v>
      </c>
      <c r="BI7" s="107" t="s">
        <v>106</v>
      </c>
      <c r="BJ7" s="63"/>
      <c r="BK7" s="63"/>
      <c r="BL7" s="63"/>
      <c r="BM7" s="63"/>
      <c r="BN7" s="63"/>
      <c r="BO7" s="63"/>
      <c r="BP7" s="87"/>
      <c r="BQ7" s="87"/>
    </row>
    <row r="8" spans="1:69">
      <c r="A8" s="63"/>
      <c r="B8" s="63"/>
      <c r="C8" s="63"/>
      <c r="D8" s="63"/>
      <c r="E8" s="63"/>
      <c r="F8" s="63"/>
      <c r="G8" s="110" t="s">
        <v>107</v>
      </c>
      <c r="H8" s="111"/>
      <c r="I8" s="112">
        <f>R5</f>
        <v>31.5</v>
      </c>
      <c r="J8" s="112"/>
      <c r="K8" s="63"/>
      <c r="L8" s="63"/>
      <c r="M8" s="71">
        <v>1</v>
      </c>
      <c r="N8" s="71" t="s">
        <v>76</v>
      </c>
      <c r="O8" s="71">
        <v>2</v>
      </c>
      <c r="P8" s="71" t="s">
        <v>89</v>
      </c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  <c r="AG8" s="63"/>
      <c r="AH8" s="63"/>
      <c r="AI8" s="63"/>
      <c r="AJ8" s="63"/>
      <c r="AK8" s="63"/>
      <c r="AL8" s="63"/>
      <c r="AM8" s="63"/>
      <c r="AN8" s="63"/>
      <c r="AO8" s="63"/>
      <c r="AP8" s="63"/>
      <c r="AQ8" s="63"/>
      <c r="AR8" s="63"/>
      <c r="AS8" s="63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 t="s">
        <v>108</v>
      </c>
      <c r="BI8" s="107" t="s">
        <v>109</v>
      </c>
      <c r="BJ8" s="63"/>
      <c r="BK8" s="63"/>
      <c r="BL8" s="63"/>
      <c r="BM8" s="63"/>
      <c r="BN8" s="63"/>
      <c r="BO8" s="63"/>
      <c r="BP8" s="87"/>
      <c r="BQ8" s="87"/>
    </row>
    <row r="9" spans="1:69">
      <c r="A9" s="63"/>
      <c r="B9" s="63"/>
      <c r="C9" s="63"/>
      <c r="D9" s="63"/>
      <c r="E9" s="63"/>
      <c r="F9" s="63"/>
      <c r="G9" s="110" t="s">
        <v>110</v>
      </c>
      <c r="H9" s="111"/>
      <c r="I9" s="112">
        <f>S5</f>
        <v>218.5</v>
      </c>
      <c r="J9" s="112"/>
      <c r="K9" s="63"/>
      <c r="L9" s="63"/>
      <c r="M9" s="61">
        <v>1</v>
      </c>
      <c r="N9" s="61" t="s">
        <v>76</v>
      </c>
      <c r="O9" s="61">
        <v>2.5</v>
      </c>
      <c r="P9" s="61" t="s">
        <v>111</v>
      </c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87"/>
      <c r="BQ9" s="87"/>
    </row>
    <row r="10" spans="1:69">
      <c r="A10" s="63"/>
      <c r="B10" s="63"/>
      <c r="C10" s="63"/>
      <c r="D10" s="63"/>
      <c r="E10" s="63"/>
      <c r="F10" s="63"/>
      <c r="G10" s="110" t="s">
        <v>112</v>
      </c>
      <c r="H10" s="111"/>
      <c r="I10" s="112">
        <f>AB5</f>
        <v>0</v>
      </c>
      <c r="J10" s="112"/>
      <c r="K10" s="63"/>
      <c r="L10" s="63"/>
      <c r="M10" s="61">
        <v>1</v>
      </c>
      <c r="N10" s="61" t="s">
        <v>89</v>
      </c>
      <c r="O10" s="61">
        <v>1E-3</v>
      </c>
      <c r="P10" s="61" t="s">
        <v>113</v>
      </c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87"/>
      <c r="BQ10" s="87"/>
    </row>
    <row r="11" spans="1:69">
      <c r="A11" s="63"/>
      <c r="B11" s="63"/>
      <c r="C11" s="63"/>
      <c r="D11" s="63"/>
      <c r="E11" s="63"/>
      <c r="F11" s="63"/>
      <c r="G11" s="110" t="s">
        <v>114</v>
      </c>
      <c r="H11" s="111"/>
      <c r="I11" s="116">
        <f>I9+I10</f>
        <v>218.5</v>
      </c>
      <c r="J11" s="116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87"/>
      <c r="BQ11" s="87"/>
    </row>
    <row r="12" spans="1:69">
      <c r="A12" s="63"/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 t="s">
        <v>115</v>
      </c>
      <c r="BN12" s="63" t="s">
        <v>116</v>
      </c>
      <c r="BO12" s="63"/>
      <c r="BP12" s="87"/>
      <c r="BQ12" s="87"/>
    </row>
    <row r="13" spans="1:69">
      <c r="A13" s="63"/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 t="s">
        <v>117</v>
      </c>
      <c r="BL13" s="63">
        <v>12.5</v>
      </c>
      <c r="BM13" s="63">
        <f>BL15*BL16</f>
        <v>18277.77</v>
      </c>
      <c r="BN13" s="63">
        <f>BL13*BL14</f>
        <v>6092.59</v>
      </c>
      <c r="BO13" s="63"/>
      <c r="BP13" s="87"/>
      <c r="BQ13" s="87"/>
    </row>
    <row r="14" spans="1:69">
      <c r="A14" s="63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 t="s">
        <v>118</v>
      </c>
      <c r="BL14" s="63">
        <v>487.40719999999999</v>
      </c>
      <c r="BM14" s="63">
        <f>BL13+BL15</f>
        <v>50</v>
      </c>
      <c r="BN14" s="63"/>
      <c r="BO14" s="63"/>
      <c r="BP14" s="87"/>
      <c r="BQ14" s="87"/>
    </row>
    <row r="15" spans="1:69">
      <c r="A15" s="63"/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 t="s">
        <v>119</v>
      </c>
      <c r="BL15" s="63">
        <v>37.5</v>
      </c>
      <c r="BM15" s="63"/>
      <c r="BN15" s="63"/>
      <c r="BO15" s="63"/>
      <c r="BP15" s="87"/>
      <c r="BQ15" s="87"/>
    </row>
    <row r="16" spans="1:69">
      <c r="A16" s="63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63"/>
      <c r="AS16" s="63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 t="s">
        <v>120</v>
      </c>
      <c r="BL16" s="63">
        <v>487.40719999999999</v>
      </c>
      <c r="BM16" s="63"/>
      <c r="BN16" s="63"/>
      <c r="BO16" s="63"/>
      <c r="BP16" s="87"/>
      <c r="BQ16" s="87"/>
    </row>
    <row r="17" spans="1:69">
      <c r="A17" s="63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>
        <f>BM13+BN13</f>
        <v>24370.36</v>
      </c>
      <c r="BN17" s="63">
        <f>BM17/BM14</f>
        <v>487.40719999999999</v>
      </c>
      <c r="BO17" s="63"/>
      <c r="BP17" s="87"/>
      <c r="BQ17" s="87"/>
    </row>
    <row r="18" spans="1:69">
      <c r="A18" s="63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87"/>
      <c r="BQ18" s="87"/>
    </row>
  </sheetData>
  <mergeCells count="12">
    <mergeCell ref="G9:H9"/>
    <mergeCell ref="I9:J9"/>
    <mergeCell ref="G10:H10"/>
    <mergeCell ref="I10:J10"/>
    <mergeCell ref="G11:H11"/>
    <mergeCell ref="I11:J11"/>
    <mergeCell ref="A2:B2"/>
    <mergeCell ref="G7:H7"/>
    <mergeCell ref="I7:J7"/>
    <mergeCell ref="M7:P7"/>
    <mergeCell ref="G8:H8"/>
    <mergeCell ref="I8:J8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12" workbookViewId="0">
      <selection activeCell="M29" sqref="M29"/>
    </sheetView>
  </sheetViews>
  <sheetFormatPr defaultColWidth="8.7109375" defaultRowHeight="15"/>
  <cols>
    <col min="8" max="8" width="9.42578125" customWidth="1"/>
  </cols>
  <sheetData>
    <row r="1" spans="1:69" ht="18.75">
      <c r="A1" s="117" t="s">
        <v>131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18" t="s">
        <v>87</v>
      </c>
      <c r="C19" s="118"/>
      <c r="D19" s="118"/>
      <c r="E19" s="118"/>
      <c r="F19" s="118"/>
      <c r="G19" s="118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9" t="s">
        <v>1</v>
      </c>
      <c r="B21" s="119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47" t="s">
        <v>54</v>
      </c>
      <c r="AV22" s="47" t="s">
        <v>55</v>
      </c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47" t="s">
        <v>72</v>
      </c>
      <c r="BN22" s="47" t="s">
        <v>73</v>
      </c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75</v>
      </c>
      <c r="C23" s="25" t="s">
        <v>75</v>
      </c>
      <c r="D23" s="25" t="s">
        <v>76</v>
      </c>
      <c r="E23" s="25" t="s">
        <v>76</v>
      </c>
      <c r="F23" s="26">
        <v>2</v>
      </c>
      <c r="G23" s="27" t="s">
        <v>163</v>
      </c>
      <c r="H23" s="26">
        <f>F23*G23</f>
        <v>500</v>
      </c>
      <c r="I23" s="27" t="s">
        <v>164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235.3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235.3</v>
      </c>
      <c r="AS23" s="48" t="s">
        <v>166</v>
      </c>
      <c r="AT23" s="48" t="s">
        <v>76</v>
      </c>
      <c r="AU23" s="27"/>
      <c r="AV23" s="27"/>
      <c r="AW23" s="48">
        <f>AM23</f>
        <v>2</v>
      </c>
      <c r="AX23" s="48">
        <f>AR23</f>
        <v>235.3</v>
      </c>
      <c r="AY23" s="48">
        <f>AU23+AW23</f>
        <v>2</v>
      </c>
      <c r="AZ23" s="48">
        <f>ROUND(((AU23*AV23)+(AW23*AX23))/(AU23+AW23),5)</f>
        <v>235.3</v>
      </c>
      <c r="BA23" s="50"/>
      <c r="BB23" s="50" t="s">
        <v>80</v>
      </c>
      <c r="BC23" s="51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s="27" t="s">
        <v>167</v>
      </c>
      <c r="BN23" s="27" t="s">
        <v>167</v>
      </c>
      <c r="BO23" s="48">
        <f>ROUND((((AW23*AZ23)+(BN23*BM23))/(AW23+BN23)),5)</f>
        <v>235.3</v>
      </c>
      <c r="BP23" s="53">
        <f>BN23+AW23</f>
        <v>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15" workbookViewId="0">
      <selection activeCell="J31" sqref="J31"/>
    </sheetView>
  </sheetViews>
  <sheetFormatPr defaultColWidth="8.7109375" defaultRowHeight="15"/>
  <cols>
    <col min="8" max="8" width="9.42578125" customWidth="1"/>
  </cols>
  <sheetData>
    <row r="1" spans="1:69" ht="18.75">
      <c r="A1" s="117" t="s">
        <v>131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18" t="s">
        <v>87</v>
      </c>
      <c r="C19" s="118"/>
      <c r="D19" s="118"/>
      <c r="E19" s="118"/>
      <c r="F19" s="118"/>
      <c r="G19" s="118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9" t="s">
        <v>1</v>
      </c>
      <c r="B21" s="119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47" t="s">
        <v>54</v>
      </c>
      <c r="AV22" s="47" t="s">
        <v>55</v>
      </c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47" t="s">
        <v>72</v>
      </c>
      <c r="BN22" s="47" t="s">
        <v>73</v>
      </c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88</v>
      </c>
      <c r="C23" s="25" t="s">
        <v>88</v>
      </c>
      <c r="D23" s="25" t="s">
        <v>76</v>
      </c>
      <c r="E23" s="25" t="s">
        <v>89</v>
      </c>
      <c r="F23" s="26">
        <v>2</v>
      </c>
      <c r="G23" s="27" t="s">
        <v>163</v>
      </c>
      <c r="H23" s="26">
        <f>F23*G23</f>
        <v>500</v>
      </c>
      <c r="I23" s="27" t="s">
        <v>164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0.66666666666666696</v>
      </c>
      <c r="AN23" s="26">
        <f>AI23/AM23</f>
        <v>705.9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705.9</v>
      </c>
      <c r="AS23" s="48" t="s">
        <v>166</v>
      </c>
      <c r="AT23" s="48" t="s">
        <v>76</v>
      </c>
      <c r="AU23" s="27"/>
      <c r="AV23" s="27"/>
      <c r="AW23" s="48">
        <f>AM23</f>
        <v>0.66666666666666696</v>
      </c>
      <c r="AX23" s="48">
        <f>AR23</f>
        <v>705.9</v>
      </c>
      <c r="AY23" s="48">
        <f>AU23+AW23</f>
        <v>0.66666666666666696</v>
      </c>
      <c r="AZ23" s="48">
        <f>ROUND(((AU23*AV23)+(AW23*AX23))/(AU23+AW23),5)</f>
        <v>705.9</v>
      </c>
      <c r="BA23" s="50"/>
      <c r="BB23" s="50" t="s">
        <v>80</v>
      </c>
      <c r="BC23" s="51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s="27" t="s">
        <v>167</v>
      </c>
      <c r="BN23" s="27" t="s">
        <v>167</v>
      </c>
      <c r="BO23" s="48">
        <f>ROUND((((AW23*AZ23)+(BN23*BM23))/(AW23+BN23)),5)</f>
        <v>705.9</v>
      </c>
      <c r="BP23" s="53">
        <f>BN23+AW23</f>
        <v>0.66666666666666696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9" workbookViewId="0">
      <selection activeCell="J31" sqref="J31"/>
    </sheetView>
  </sheetViews>
  <sheetFormatPr defaultColWidth="8.7109375" defaultRowHeight="15"/>
  <cols>
    <col min="2" max="2" width="16" customWidth="1"/>
    <col min="8" max="8" width="9.42578125" customWidth="1"/>
  </cols>
  <sheetData>
    <row r="1" spans="1:69" ht="18.75">
      <c r="A1" s="117" t="s">
        <v>131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18" t="s">
        <v>87</v>
      </c>
      <c r="C19" s="118"/>
      <c r="D19" s="118"/>
      <c r="E19" s="118"/>
      <c r="F19" s="118"/>
      <c r="G19" s="118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9" t="s">
        <v>1</v>
      </c>
      <c r="B21" s="119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47" t="s">
        <v>54</v>
      </c>
      <c r="AV22" s="47" t="s">
        <v>55</v>
      </c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47" t="s">
        <v>72</v>
      </c>
      <c r="BN22" s="47" t="s">
        <v>73</v>
      </c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97</v>
      </c>
      <c r="C23" s="25" t="s">
        <v>97</v>
      </c>
      <c r="D23" s="25" t="s">
        <v>76</v>
      </c>
      <c r="E23" s="25" t="s">
        <v>76</v>
      </c>
      <c r="F23" s="26">
        <v>2</v>
      </c>
      <c r="G23" s="27" t="s">
        <v>168</v>
      </c>
      <c r="H23" s="26">
        <f>F23*G23</f>
        <v>910</v>
      </c>
      <c r="I23" s="27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847.74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847.74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423.87</v>
      </c>
      <c r="AS23" s="48" t="s">
        <v>77</v>
      </c>
      <c r="AT23" s="48" t="s">
        <v>76</v>
      </c>
      <c r="AU23" s="27" t="s">
        <v>164</v>
      </c>
      <c r="AV23" s="27" t="s">
        <v>169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80</v>
      </c>
      <c r="BC23" s="51" t="s">
        <v>170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171</v>
      </c>
      <c r="BM23" s="27" t="s">
        <v>172</v>
      </c>
      <c r="BN23" s="27" t="s">
        <v>173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62.26</v>
      </c>
      <c r="S24" s="39">
        <f t="shared" si="1"/>
        <v>847.74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847.74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847.74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workbookViewId="0">
      <selection activeCell="L12" sqref="L12"/>
    </sheetView>
  </sheetViews>
  <sheetFormatPr defaultColWidth="8.7109375" defaultRowHeight="15"/>
  <cols>
    <col min="8" max="8" width="9.42578125" customWidth="1"/>
  </cols>
  <sheetData>
    <row r="1" spans="1:69" ht="18.75">
      <c r="A1" s="117" t="s">
        <v>131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18" t="s">
        <v>87</v>
      </c>
      <c r="C19" s="118"/>
      <c r="D19" s="118"/>
      <c r="E19" s="118"/>
      <c r="F19" s="118"/>
      <c r="G19" s="118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9" t="s">
        <v>1</v>
      </c>
      <c r="B21" s="119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47" t="s">
        <v>54</v>
      </c>
      <c r="AV22" s="47" t="s">
        <v>55</v>
      </c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47" t="s">
        <v>72</v>
      </c>
      <c r="BN22" s="47" t="s">
        <v>73</v>
      </c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121</v>
      </c>
      <c r="C23" s="25" t="s">
        <v>121</v>
      </c>
      <c r="D23" s="25" t="s">
        <v>76</v>
      </c>
      <c r="E23" s="25" t="s">
        <v>76</v>
      </c>
      <c r="F23" s="26">
        <v>2</v>
      </c>
      <c r="G23" t="s">
        <v>174</v>
      </c>
      <c r="H23" s="26">
        <f>F23*G23</f>
        <v>400</v>
      </c>
      <c r="I23" t="s">
        <v>167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187.68</v>
      </c>
      <c r="AS23" s="48" t="s">
        <v>166</v>
      </c>
      <c r="AT23" s="48" t="s">
        <v>76</v>
      </c>
      <c r="AU23" s="27" t="s">
        <v>167</v>
      </c>
      <c r="AV23" s="27" t="s">
        <v>175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80</v>
      </c>
      <c r="BC23" s="51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s="27" t="s">
        <v>176</v>
      </c>
      <c r="BN23" s="27" t="s">
        <v>177</v>
      </c>
      <c r="BO23" s="48">
        <f>ROUND((((AW23*AZ23)+(BN23*BM23))/(AW23+BN23)),5)</f>
        <v>186.91705999999999</v>
      </c>
      <c r="BP23" s="53">
        <f>BN23+AW23</f>
        <v>82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B9" workbookViewId="0">
      <selection activeCell="J31" sqref="J31"/>
    </sheetView>
  </sheetViews>
  <sheetFormatPr defaultColWidth="8.7109375" defaultRowHeight="15"/>
  <cols>
    <col min="2" max="2" width="26.5703125" customWidth="1"/>
    <col min="8" max="8" width="9.42578125" customWidth="1"/>
  </cols>
  <sheetData>
    <row r="1" spans="1:69" ht="18.75">
      <c r="A1" s="117" t="s">
        <v>131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18" t="s">
        <v>87</v>
      </c>
      <c r="C19" s="118"/>
      <c r="D19" s="118"/>
      <c r="E19" s="118"/>
      <c r="F19" s="118"/>
      <c r="G19" s="118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9" t="s">
        <v>1</v>
      </c>
      <c r="B21" s="119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47" t="s">
        <v>54</v>
      </c>
      <c r="AV22" s="47" t="s">
        <v>55</v>
      </c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47" t="s">
        <v>72</v>
      </c>
      <c r="BN22" s="47" t="s">
        <v>73</v>
      </c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125</v>
      </c>
      <c r="C23" s="25" t="s">
        <v>125</v>
      </c>
      <c r="D23" s="25" t="s">
        <v>76</v>
      </c>
      <c r="E23" s="25" t="s">
        <v>89</v>
      </c>
      <c r="F23" s="26">
        <v>2</v>
      </c>
      <c r="G23" t="s">
        <v>174</v>
      </c>
      <c r="H23" s="26">
        <f>F23*G23</f>
        <v>400</v>
      </c>
      <c r="I23" t="s">
        <v>167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0.66666666666666696</v>
      </c>
      <c r="AN23" s="26">
        <f>AI23/AM23</f>
        <v>563.04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563.04</v>
      </c>
      <c r="AS23" s="48" t="s">
        <v>166</v>
      </c>
      <c r="AT23" s="48" t="s">
        <v>76</v>
      </c>
      <c r="AU23" s="27" t="s">
        <v>167</v>
      </c>
      <c r="AV23" s="27" t="s">
        <v>175</v>
      </c>
      <c r="AW23" s="48">
        <f>AM23</f>
        <v>0.66666666666666696</v>
      </c>
      <c r="AX23" s="48">
        <f>AR23</f>
        <v>563.04</v>
      </c>
      <c r="AY23" s="48">
        <f>AU23+AW23</f>
        <v>0.66666666666666696</v>
      </c>
      <c r="AZ23" s="48">
        <f>ROUND(((AU23*AV23)+(AW23*AX23))/(AU23+AW23),5)</f>
        <v>563.04</v>
      </c>
      <c r="BA23" s="50"/>
      <c r="BB23" s="50" t="s">
        <v>80</v>
      </c>
      <c r="BC23" s="51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s="27" t="s">
        <v>176</v>
      </c>
      <c r="BN23" s="27" t="s">
        <v>177</v>
      </c>
      <c r="BO23" s="48">
        <f>ROUND((((AW23*AZ23)+(BN23*BM23))/(AW23+BN23)),5)</f>
        <v>190.00659999999999</v>
      </c>
      <c r="BP23" s="53">
        <f>BN23+AW23</f>
        <v>80.6666666666667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12" workbookViewId="0">
      <selection activeCell="J31" sqref="J31"/>
    </sheetView>
  </sheetViews>
  <sheetFormatPr defaultColWidth="8.7109375" defaultRowHeight="15"/>
  <cols>
    <col min="8" max="8" width="9.42578125" customWidth="1"/>
  </cols>
  <sheetData>
    <row r="1" spans="1:69" ht="18.75">
      <c r="A1" s="117" t="s">
        <v>131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20" t="s">
        <v>87</v>
      </c>
      <c r="C19" s="121"/>
      <c r="D19" s="121"/>
      <c r="E19" s="121"/>
      <c r="F19" s="121"/>
      <c r="G19" s="122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9" t="s">
        <v>1</v>
      </c>
      <c r="B21" s="119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47" t="s">
        <v>54</v>
      </c>
      <c r="AV22" s="47" t="s">
        <v>55</v>
      </c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47" t="s">
        <v>72</v>
      </c>
      <c r="BN22" s="47" t="s">
        <v>73</v>
      </c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126</v>
      </c>
      <c r="C23" s="25" t="s">
        <v>126</v>
      </c>
      <c r="D23" s="25" t="s">
        <v>76</v>
      </c>
      <c r="E23" s="25" t="s">
        <v>76</v>
      </c>
      <c r="F23" s="26">
        <v>2</v>
      </c>
      <c r="G23" t="s">
        <v>174</v>
      </c>
      <c r="H23" s="26">
        <f>F23*G23</f>
        <v>400</v>
      </c>
      <c r="I23" t="s">
        <v>167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188.24</v>
      </c>
      <c r="AS23" s="48" t="s">
        <v>77</v>
      </c>
      <c r="AT23" s="48" t="s">
        <v>76</v>
      </c>
      <c r="AU23" s="27" t="s">
        <v>78</v>
      </c>
      <c r="AV23" s="27" t="s">
        <v>178</v>
      </c>
      <c r="AW23" s="48">
        <f>AM23</f>
        <v>2</v>
      </c>
      <c r="AX23" s="48">
        <f>AR23</f>
        <v>188.24</v>
      </c>
      <c r="AY23" s="48">
        <f>AU23+AW23</f>
        <v>14092</v>
      </c>
      <c r="AZ23" s="48">
        <f>ROUND(((AU23*AV23)+(AW23*AX23))/(AU23+AW23),5)</f>
        <v>121.1908</v>
      </c>
      <c r="BA23" s="50"/>
      <c r="BB23" s="50" t="s">
        <v>80</v>
      </c>
      <c r="BC23" s="52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s="27" t="s">
        <v>179</v>
      </c>
      <c r="BN23" s="27" t="s">
        <v>180</v>
      </c>
      <c r="BO23" s="48">
        <f>ROUND((((AW23*AZ23)+(BN23*BM23))/(AW23+BN23)),5)</f>
        <v>146.93406999999999</v>
      </c>
      <c r="BP23" s="53">
        <f>BN23+AW23</f>
        <v>689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X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/>
      <c r="Z24" s="40"/>
      <c r="AA24" s="40"/>
      <c r="AB24" s="31">
        <f t="shared" ref="AB24:AE24" si="2">SUM(AB23:AB23)</f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9" workbookViewId="0">
      <selection activeCell="J31" sqref="J31"/>
    </sheetView>
  </sheetViews>
  <sheetFormatPr defaultColWidth="8.7109375" defaultRowHeight="15"/>
  <cols>
    <col min="8" max="8" width="9.42578125" customWidth="1"/>
  </cols>
  <sheetData>
    <row r="1" spans="1:69" ht="18.75">
      <c r="A1" s="117" t="s">
        <v>131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18" t="s">
        <v>87</v>
      </c>
      <c r="C19" s="118"/>
      <c r="D19" s="118"/>
      <c r="E19" s="118"/>
      <c r="F19" s="118"/>
      <c r="G19" s="118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9" t="s">
        <v>1</v>
      </c>
      <c r="B21" s="119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47" t="s">
        <v>54</v>
      </c>
      <c r="AV22" s="47" t="s">
        <v>55</v>
      </c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47" t="s">
        <v>72</v>
      </c>
      <c r="BN22" s="47" t="s">
        <v>73</v>
      </c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127</v>
      </c>
      <c r="C23" s="25" t="s">
        <v>127</v>
      </c>
      <c r="D23" s="25" t="s">
        <v>76</v>
      </c>
      <c r="E23" s="25" t="s">
        <v>76</v>
      </c>
      <c r="F23" s="26">
        <v>2</v>
      </c>
      <c r="G23" t="s">
        <v>174</v>
      </c>
      <c r="H23" s="26">
        <f>F23*G23</f>
        <v>400</v>
      </c>
      <c r="I23" t="s">
        <v>167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188.24</v>
      </c>
      <c r="AS23" s="48" t="s">
        <v>166</v>
      </c>
      <c r="AT23" s="48" t="s">
        <v>76</v>
      </c>
      <c r="AU23" s="27" t="s">
        <v>167</v>
      </c>
      <c r="AV23" s="27" t="s">
        <v>181</v>
      </c>
      <c r="AW23" s="48">
        <f>AM23</f>
        <v>2</v>
      </c>
      <c r="AX23" s="48">
        <f>AR23</f>
        <v>188.24</v>
      </c>
      <c r="AY23" s="48">
        <f>AU23+AW23</f>
        <v>2</v>
      </c>
      <c r="AZ23" s="48">
        <f>ROUND(((AU23*AV23)+(AW23*AX23))/(AU23+AW23),5)</f>
        <v>188.24</v>
      </c>
      <c r="BA23" s="50"/>
      <c r="BB23" s="50" t="s">
        <v>80</v>
      </c>
      <c r="BC23" s="51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s="27" t="s">
        <v>181</v>
      </c>
      <c r="BN23" s="27" t="s">
        <v>182</v>
      </c>
      <c r="BO23" s="48">
        <f>ROUND((((AW23*AZ23)+(BN23*BM23))/(AW23+BN23)),5)</f>
        <v>186.96</v>
      </c>
      <c r="BP23" s="53">
        <f>BN23+AW23</f>
        <v>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12" workbookViewId="0">
      <selection activeCell="J31" sqref="J31"/>
    </sheetView>
  </sheetViews>
  <sheetFormatPr defaultColWidth="8.7109375" defaultRowHeight="15"/>
  <cols>
    <col min="8" max="8" width="9.42578125" customWidth="1"/>
  </cols>
  <sheetData>
    <row r="1" spans="1:69" ht="18.75">
      <c r="A1" s="117" t="s">
        <v>131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18" t="s">
        <v>87</v>
      </c>
      <c r="C19" s="118"/>
      <c r="D19" s="118"/>
      <c r="E19" s="118"/>
      <c r="F19" s="118"/>
      <c r="G19" s="118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9" t="s">
        <v>1</v>
      </c>
      <c r="B21" s="119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47" t="s">
        <v>54</v>
      </c>
      <c r="AV22" s="47" t="s">
        <v>55</v>
      </c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47" t="s">
        <v>72</v>
      </c>
      <c r="BN22" s="47" t="s">
        <v>73</v>
      </c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129</v>
      </c>
      <c r="C23" s="25" t="s">
        <v>129</v>
      </c>
      <c r="D23" s="25" t="s">
        <v>76</v>
      </c>
      <c r="E23" s="25" t="s">
        <v>89</v>
      </c>
      <c r="F23" s="26">
        <v>2</v>
      </c>
      <c r="G23" t="s">
        <v>174</v>
      </c>
      <c r="H23" s="26">
        <f>F23*G23</f>
        <v>400</v>
      </c>
      <c r="I23" t="s">
        <v>167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0.66666666666666696</v>
      </c>
      <c r="AN23" s="26">
        <f>AI23/AM23</f>
        <v>564.72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564.72</v>
      </c>
      <c r="AS23" s="48" t="s">
        <v>166</v>
      </c>
      <c r="AT23" s="48" t="s">
        <v>76</v>
      </c>
      <c r="AU23" s="27" t="s">
        <v>167</v>
      </c>
      <c r="AV23" s="27" t="s">
        <v>181</v>
      </c>
      <c r="AW23" s="48">
        <f>AM23</f>
        <v>0.66666666666666696</v>
      </c>
      <c r="AX23" s="48">
        <f>AR23</f>
        <v>564.72</v>
      </c>
      <c r="AY23" s="48">
        <f>AU23+AW23</f>
        <v>0.66666666666666696</v>
      </c>
      <c r="AZ23" s="48">
        <f>ROUND(((AU23*AV23)+(AW23*AX23))/(AU23+AW23),5)</f>
        <v>564.72</v>
      </c>
      <c r="BA23" s="50"/>
      <c r="BB23" s="50" t="s">
        <v>80</v>
      </c>
      <c r="BC23" s="51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s="27" t="s">
        <v>181</v>
      </c>
      <c r="BN23" s="27" t="s">
        <v>182</v>
      </c>
      <c r="BO23" s="48">
        <f>ROUND((((AW23*AZ23)+(BN23*BM23))/(AW23+BN23)),5)</f>
        <v>240.37714</v>
      </c>
      <c r="BP23" s="53">
        <f>BN23+AW23</f>
        <v>4.6666666666666696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10" workbookViewId="0">
      <selection activeCell="L19" sqref="L19"/>
    </sheetView>
  </sheetViews>
  <sheetFormatPr defaultColWidth="8.7109375" defaultRowHeight="15"/>
  <sheetData>
    <row r="1" spans="1:69" ht="18.75">
      <c r="A1" s="117" t="s">
        <v>131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18" t="s">
        <v>87</v>
      </c>
      <c r="C19" s="118"/>
      <c r="D19" s="118"/>
      <c r="E19" s="118"/>
      <c r="F19" s="118"/>
      <c r="G19" s="118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9" t="s">
        <v>1</v>
      </c>
      <c r="B21" s="119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47" t="s">
        <v>54</v>
      </c>
      <c r="AV22" s="47" t="s">
        <v>55</v>
      </c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47" t="s">
        <v>72</v>
      </c>
      <c r="BN22" s="47" t="s">
        <v>73</v>
      </c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130</v>
      </c>
      <c r="C23" s="25" t="s">
        <v>130</v>
      </c>
      <c r="D23" s="25" t="s">
        <v>76</v>
      </c>
      <c r="E23" s="25" t="s">
        <v>76</v>
      </c>
      <c r="F23" s="26">
        <v>2</v>
      </c>
      <c r="G23" t="s">
        <v>174</v>
      </c>
      <c r="H23" s="26">
        <f>F23*G23</f>
        <v>400</v>
      </c>
      <c r="I23" t="s">
        <v>167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188.24</v>
      </c>
      <c r="AS23" s="48" t="s">
        <v>77</v>
      </c>
      <c r="AT23" s="48" t="s">
        <v>76</v>
      </c>
      <c r="AU23" s="27" t="s">
        <v>183</v>
      </c>
      <c r="AV23" s="27" t="s">
        <v>184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80</v>
      </c>
      <c r="BC23" s="51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s="27" t="s">
        <v>185</v>
      </c>
      <c r="BN23" s="27" t="s">
        <v>186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ImportPoToGRNUDGeneralSameUOM</vt:lpstr>
      <vt:lpstr>ImportPoToGRNUDGeneralDiffUOM</vt:lpstr>
      <vt:lpstr>ImportPoToGRNUDServiceSameUOM</vt:lpstr>
      <vt:lpstr>ImportPoToGRNRCGeneralSameUOM</vt:lpstr>
      <vt:lpstr>ImportPoToGRNRCGeneralDiffUOM</vt:lpstr>
      <vt:lpstr>ImportPoToGRNRCServiceSameUOM</vt:lpstr>
      <vt:lpstr>ImportPoToGRNPLGeneralSameUOM</vt:lpstr>
      <vt:lpstr>ImportPoToGRNPLGeneralDiffUOM</vt:lpstr>
      <vt:lpstr>ImportPoToGRNPLServiceSameUOM</vt:lpstr>
      <vt:lpstr>ImportDirectGRNUDGeneralSameUOM</vt:lpstr>
      <vt:lpstr>ImportDirectGRNUDGeneralDiffUOM</vt:lpstr>
      <vt:lpstr>ImportDirectGRNUDServiceSameUOM</vt:lpstr>
      <vt:lpstr>ImportDirectGRNRCGeneralSameUOM</vt:lpstr>
      <vt:lpstr>ImportDirectGRNRCGeneralDiffUOM</vt:lpstr>
      <vt:lpstr>ImportDirectGRNRCServiceSameUOM</vt:lpstr>
      <vt:lpstr>ImportDirectGRNPLGeneralSameUOM</vt:lpstr>
      <vt:lpstr>ImportDirectGRNPLGeneralDiffUOM</vt:lpstr>
      <vt:lpstr>ImportDirectGRNPLServiceSameUOM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2025-12-11T12:04:00Z</dcterms:created>
  <dcterms:modified xsi:type="dcterms:W3CDTF">2025-12-29T10:01:09Z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1033-12.2.0.23155</vt:lpwstr>
  </property>
</Properties>
</file>