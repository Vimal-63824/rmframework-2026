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920" firstSheet="6" activeTab="7"/>
  </bookViews>
  <sheets>
    <sheet name="ImportPoToGRNUDGeneralSameUOM" sheetId="11" r:id="rId1"/>
    <sheet name="ImportPoToGRNUDGeneralDiffUOM" sheetId="17" r:id="rId2"/>
    <sheet name="ImportPoToGRNUDServiceSameUOM" sheetId="12" r:id="rId3"/>
    <sheet name="ImportPoToGRNRCGeneralSameUOM" sheetId="13" r:id="rId4"/>
    <sheet name="ImportPoToGRNRCGeneralDiffUOM" sheetId="18" r:id="rId5"/>
    <sheet name="ImportPoToGRNRCServiceSameUOM" sheetId="14" r:id="rId6"/>
    <sheet name="ImportPoToGRNPLGeneralSameUOM" sheetId="15" r:id="rId7"/>
    <sheet name="ImportPoToGRNPLGeneralDiffUOM" sheetId="19" r:id="rId8"/>
    <sheet name="ImportPoToGRNPLServiceSameUOM" sheetId="16" r:id="rId9"/>
    <sheet name="ImportDirectGRNUDGeneralSameUOM" sheetId="2" r:id="rId10"/>
    <sheet name="ImportDirectGRNUDGeneralDiffUOM" sheetId="3" r:id="rId11"/>
    <sheet name="ImportDirectGRNUDServiceSameUOM" sheetId="4" r:id="rId12"/>
    <sheet name="ImportDirectGRNRCGeneralSameUOM" sheetId="5" r:id="rId13"/>
    <sheet name="ImportDirectGRNRCGeneralDiffUOM" sheetId="6" r:id="rId14"/>
    <sheet name="ImportDirectGRNRCServiceSameUOM" sheetId="7" r:id="rId15"/>
    <sheet name="ImportDirectGRNPLGeneralSameUOM" sheetId="8" r:id="rId16"/>
    <sheet name="ImportDirectGRNPLGeneralDiffUOM" sheetId="9" r:id="rId17"/>
    <sheet name="ImportDirectGRNPLServiceSameUOM" sheetId="1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<sst xmlns="http://schemas.openxmlformats.org/spreadsheetml/2006/main" count="2427" uniqueCount="187">
  <si>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</si>
  <si>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</si>
  <si>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</si>
  <si>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</si>
  <si>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</si>
  <si>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</si>
  <si>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</si>
  <si>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</si>
  <si>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</si>
  <si>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S. No.</t>
  </si>
  <si>
    <t>Item</t>
  </si>
  <si>
    <t>Item Desc.</t>
  </si>
  <si>
    <t>Stk. UOM</t>
  </si>
  <si>
    <t>Pur. UOM</t>
  </si>
  <si>
    <t>Order Qty (Pur UOM)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</si>
  <si>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</si>
  <si>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</si>
  <si>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</si>
  <si>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</si>
  <si>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</si>
  <si>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</si>
  <si>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</si>
  <si>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</si>
  <si>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</si>
  <si>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</si>
  <si>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</si>
  <si>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</si>
  <si>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</si>
  <si>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</si>
  <si>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</si>
  <si>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</si>
  <si>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</si>
  <si>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</si>
  <si>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</si>
  <si>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</si>
  <si>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</si>
  <si>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</si>
  <si>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</si>
  <si>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</si>
  <si>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</si>
  <si>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</si>
  <si>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</si>
  <si>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</si>
  <si>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</si>
  <si>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</si>
  <si>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</si>
  <si>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</si>
  <si>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</si>
  <si>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</si>
  <si>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</si>
  <si>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</si>
  <si>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</si>
  <si>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</si>
  <si>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</si>
  <si>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</si>
  <si>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</si>
  <si>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</si>
  <si>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</si>
  <si>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</si>
  <si>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</si>
  <si>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</si>
  <si>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</si>
  <si>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</si>
  <si>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</si>
  <si>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</si>
  <si>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</si>
  <si>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</si>
  <si>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</si>
  <si>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</si>
  <si>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</si>
  <si>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</si>
  <si>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</si>
  <si>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</si>
  <si>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</si>
  <si>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</si>
  <si>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GWL-RM-WAL-FP-001</t>
  </si>
  <si>
    <t>NOS</t>
  </si>
  <si>
    <t>INS KD</t>
  </si>
  <si>
    <t>14090</t>
  </si>
  <si>
    <t>121.22038</t>
  </si>
  <si>
    <t>Receipt Qty &amp; Unit cost</t>
  </si>
  <si>
    <t>LOT</t>
  </si>
  <si>
    <t>RM</t>
  </si>
  <si>
    <t>RMS</t>
  </si>
  <si>
    <t>RM KD</t>
  </si>
  <si>
    <t>146.85967</t>
  </si>
  <si>
    <t>691</t>
  </si>
  <si>
    <t>Total</t>
  </si>
  <si>
    <t>GWL-RM-WAL-FP-001-DIS-UOM</t>
  </si>
  <si>
    <t>KGS</t>
  </si>
  <si>
    <t>No.</t>
  </si>
  <si>
    <t>Item Desc</t>
  </si>
  <si>
    <t>Qty</t>
  </si>
  <si>
    <t>VD Asbl. Val.</t>
  </si>
  <si>
    <t>Pur. Value</t>
  </si>
  <si>
    <t>Tax%</t>
  </si>
  <si>
    <t>Unit cost (Stk. UOM)</t>
  </si>
  <si>
    <t>GWL-WAL-SERVICE-01</t>
  </si>
  <si>
    <t>INS WH-1</t>
  </si>
  <si>
    <t>110</t>
  </si>
  <si>
    <t>124.545</t>
  </si>
  <si>
    <t>RM WH-49</t>
  </si>
  <si>
    <t>5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</si>
  <si>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</si>
  <si>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</si>
  <si>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</si>
  <si>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</si>
  <si>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</si>
  <si>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</si>
  <si>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</si>
  <si>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</si>
  <si>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</si>
  <si>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</si>
  <si>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</si>
  <si>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</si>
  <si>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</si>
  <si>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</si>
  <si>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</si>
  <si>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</si>
  <si>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</si>
  <si>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</si>
  <si>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GWL-RM-WAL-01 RateContract</t>
  </si>
  <si>
    <t>50</t>
  </si>
  <si>
    <t>15</t>
  </si>
  <si>
    <t>41.515</t>
  </si>
  <si>
    <t>GWL-RM-WAL-01 RateContract-DIS-UOM</t>
  </si>
  <si>
    <t>GWL-WAL-SERVICE-RATECONTRACT-01</t>
  </si>
  <si>
    <t>GWL-RM-WAL-01 PriceList</t>
  </si>
  <si>
    <t>10</t>
  </si>
  <si>
    <t>GWL-RM-WAL-01 PriceList-DIS-UOM</t>
  </si>
  <si>
    <t>GWL-WAL-SERVICE-PRICELIST-01</t>
  </si>
  <si>
    <t>Scenario  : Local Purchase - Stock UOM and Purchase UOM (Similar)</t>
  </si>
  <si>
    <t xml:space="preserve">Purchase Request </t>
  </si>
  <si>
    <t>RM1001</t>
  </si>
  <si>
    <t>Raw Material - 1001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</si>
  <si>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</si>
  <si>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</si>
  <si>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</si>
  <si>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</si>
  <si>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</si>
  <si>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</si>
  <si>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</si>
  <si>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</si>
  <si>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</si>
  <si>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</si>
  <si>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</si>
  <si>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</si>
  <si>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</si>
  <si>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</si>
  <si>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</si>
  <si>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</si>
  <si>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</si>
  <si>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</si>
  <si>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</si>
  <si>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</si>
  <si>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</si>
  <si>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</si>
  <si>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</si>
  <si>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</si>
  <si>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</si>
  <si>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</si>
  <si>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</si>
  <si>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</si>
  <si>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250</t>
  </si>
  <si>
    <t>2</t>
  </si>
  <si>
    <t>HSN1</t>
  </si>
  <si>
    <t>INS</t>
  </si>
  <si>
    <t>0</t>
  </si>
  <si>
    <t>455</t>
  </si>
  <si>
    <t>330.98625</t>
  </si>
  <si>
    <t>NA</t>
  </si>
  <si>
    <t>R100</t>
  </si>
  <si>
    <t>269.19614</t>
  </si>
  <si>
    <t>24</t>
  </si>
  <si>
    <t>200</t>
  </si>
  <si>
    <t>187.68</t>
  </si>
  <si>
    <t>186.89799</t>
  </si>
  <si>
    <t>80</t>
  </si>
  <si>
    <t>121.18128</t>
  </si>
  <si>
    <t>147.00901</t>
  </si>
  <si>
    <t>687</t>
  </si>
  <si>
    <t>186.32</t>
  </si>
  <si>
    <t>4</t>
  </si>
  <si>
    <t>16</t>
  </si>
  <si>
    <t>185.81481</t>
  </si>
  <si>
    <t>184.66239</t>
  </si>
  <si>
    <t>18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</si>
</sst>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0"/>
    <numFmt numFmtId="181" formatCode="0.00_);[Red]\(0.00\)"/>
  </numFmts>
  <fonts count="25">
    <font>
      <sz val="11"/>
      <color theme="1"/>
      <name val="Calibri"/>
      <charset val="134"/>
      <scheme val="minor"/>
    </font>
    <font>
      <b/>
      <u/>
      <sz val="14"/>
      <color theme="1"/>
      <name val="Calibri Light"/>
      <charset val="134"/>
      <scheme val="maj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10"/>
      <color rgb="FF000000"/>
      <name val="Consolas"/>
      <charset val="134"/>
    </font>
    <font>
      <sz val="9"/>
      <color rgb="FF004153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82909634693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1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3" borderId="2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4" applyNumberFormat="0" applyFill="0" applyAlignment="0" applyProtection="0">
      <alignment vertical="center"/>
    </xf>
    <xf numFmtId="0" fontId="12" fillId="0" borderId="24" applyNumberFormat="0" applyFill="0" applyAlignment="0" applyProtection="0">
      <alignment vertical="center"/>
    </xf>
    <xf numFmtId="0" fontId="13" fillId="0" borderId="2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26" applyNumberFormat="0" applyAlignment="0" applyProtection="0">
      <alignment vertical="center"/>
    </xf>
    <xf numFmtId="0" fontId="15" fillId="15" borderId="27" applyNumberFormat="0" applyAlignment="0" applyProtection="0">
      <alignment vertical="center"/>
    </xf>
    <xf numFmtId="0" fontId="16" fillId="15" borderId="26" applyNumberFormat="0" applyAlignment="0" applyProtection="0">
      <alignment vertical="center"/>
    </xf>
    <xf numFmtId="0" fontId="17" fillId="16" borderId="28" applyNumberFormat="0" applyAlignment="0" applyProtection="0">
      <alignment vertical="center"/>
    </xf>
    <xf numFmtId="0" fontId="18" fillId="0" borderId="29" applyNumberFormat="0" applyFill="0" applyAlignment="0" applyProtection="0">
      <alignment vertical="center"/>
    </xf>
    <xf numFmtId="0" fontId="19" fillId="0" borderId="30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120">
    <xf numFmtId="0" fontId="0" fillId="0" borderId="0" xfId="0"/>
    <xf numFmtId="0" fontId="1" fillId="0" borderId="0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4" xfId="0" applyFont="1" applyFill="1" applyBorder="1" applyAlignment="1"/>
    <xf numFmtId="0" fontId="3" fillId="0" borderId="5" xfId="0" applyFont="1" applyFill="1" applyBorder="1" applyAlignment="1"/>
    <xf numFmtId="180" fontId="3" fillId="0" borderId="5" xfId="0" applyNumberFormat="1" applyFont="1" applyFill="1" applyBorder="1" applyAlignment="1"/>
    <xf numFmtId="2" fontId="3" fillId="0" borderId="5" xfId="0" applyNumberFormat="1" applyFont="1" applyFill="1" applyBorder="1" applyAlignment="1"/>
    <xf numFmtId="2" fontId="3" fillId="0" borderId="6" xfId="0" applyNumberFormat="1" applyFont="1" applyFill="1" applyBorder="1" applyAlignment="1"/>
    <xf numFmtId="0" fontId="3" fillId="0" borderId="7" xfId="0" applyFont="1" applyFill="1" applyBorder="1" applyAlignment="1"/>
    <xf numFmtId="0" fontId="3" fillId="0" borderId="8" xfId="0" applyFont="1" applyFill="1" applyBorder="1" applyAlignment="1"/>
    <xf numFmtId="180" fontId="3" fillId="0" borderId="8" xfId="0" applyNumberFormat="1" applyFont="1" applyFill="1" applyBorder="1" applyAlignment="1"/>
    <xf numFmtId="2" fontId="3" fillId="0" borderId="8" xfId="0" applyNumberFormat="1" applyFont="1" applyFill="1" applyBorder="1" applyAlignment="1"/>
    <xf numFmtId="2" fontId="3" fillId="0" borderId="9" xfId="0" applyNumberFormat="1" applyFont="1" applyFill="1" applyBorder="1" applyAlignment="1"/>
    <xf numFmtId="0" fontId="3" fillId="0" borderId="0" xfId="0" applyFont="1" applyFill="1" applyAlignment="1"/>
    <xf numFmtId="0" fontId="2" fillId="3" borderId="10" xfId="0" applyFont="1" applyFill="1" applyBorder="1" applyAlignment="1">
      <alignment horizontal="center" vertical="top"/>
    </xf>
    <xf numFmtId="0" fontId="2" fillId="3" borderId="11" xfId="0" applyFont="1" applyFill="1" applyBorder="1" applyAlignment="1">
      <alignment vertical="top"/>
    </xf>
    <xf numFmtId="0" fontId="2" fillId="0" borderId="0" xfId="0" applyFont="1" applyFill="1" applyBorder="1" applyAlignment="1"/>
    <xf numFmtId="0" fontId="2" fillId="0" borderId="0" xfId="0" applyFont="1" applyFill="1" applyBorder="1" applyAlignment="1">
      <alignment horizontal="center"/>
    </xf>
    <xf numFmtId="0" fontId="3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 wrapText="1"/>
    </xf>
    <xf numFmtId="0" fontId="3" fillId="0" borderId="13" xfId="0" applyFont="1" applyFill="1" applyBorder="1" applyAlignment="1"/>
    <xf numFmtId="0" fontId="3" fillId="0" borderId="13" xfId="0" applyNumberFormat="1" applyFont="1" applyFill="1" applyBorder="1" applyAlignment="1"/>
    <xf numFmtId="0" fontId="0" fillId="0" borderId="0" xfId="0" applyFill="1" applyAlignment="1"/>
    <xf numFmtId="0" fontId="0" fillId="0" borderId="0" xfId="0" applyFill="1" applyBorder="1" applyAlignment="1"/>
    <xf numFmtId="0" fontId="2" fillId="3" borderId="14" xfId="0" applyFont="1" applyFill="1" applyBorder="1" applyAlignment="1"/>
    <xf numFmtId="0" fontId="2" fillId="3" borderId="15" xfId="0" applyFont="1" applyFill="1" applyBorder="1" applyAlignment="1"/>
    <xf numFmtId="0" fontId="2" fillId="3" borderId="13" xfId="0" applyFont="1" applyFill="1" applyBorder="1" applyAlignment="1"/>
    <xf numFmtId="10" fontId="3" fillId="0" borderId="0" xfId="0" applyNumberFormat="1" applyFont="1" applyFill="1" applyBorder="1" applyAlignment="1"/>
    <xf numFmtId="2" fontId="3" fillId="0" borderId="0" xfId="0" applyNumberFormat="1" applyFont="1" applyFill="1" applyBorder="1" applyAlignment="1"/>
    <xf numFmtId="0" fontId="3" fillId="0" borderId="0" xfId="0" applyFont="1" applyFill="1" applyBorder="1" applyAlignment="1"/>
    <xf numFmtId="0" fontId="2" fillId="4" borderId="1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4" fillId="0" borderId="0" xfId="0" applyFont="1" applyFill="1" applyAlignment="1"/>
    <xf numFmtId="0" fontId="2" fillId="6" borderId="12" xfId="0" applyFont="1" applyFill="1" applyBorder="1" applyAlignment="1">
      <alignment horizontal="center" vertical="center"/>
    </xf>
    <xf numFmtId="0" fontId="2" fillId="3" borderId="13" xfId="0" applyNumberFormat="1" applyFont="1" applyFill="1" applyBorder="1" applyAlignment="1"/>
    <xf numFmtId="2" fontId="2" fillId="3" borderId="13" xfId="0" applyNumberFormat="1" applyFont="1" applyFill="1" applyBorder="1" applyAlignment="1"/>
    <xf numFmtId="0" fontId="2" fillId="7" borderId="12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 wrapText="1"/>
    </xf>
    <xf numFmtId="10" fontId="3" fillId="0" borderId="13" xfId="0" applyNumberFormat="1" applyFont="1" applyFill="1" applyBorder="1" applyAlignment="1"/>
    <xf numFmtId="0" fontId="2" fillId="7" borderId="13" xfId="0" applyFont="1" applyFill="1" applyBorder="1" applyAlignment="1"/>
    <xf numFmtId="2" fontId="2" fillId="7" borderId="13" xfId="0" applyNumberFormat="1" applyFont="1" applyFill="1" applyBorder="1" applyAlignment="1"/>
    <xf numFmtId="0" fontId="2" fillId="8" borderId="12" xfId="0" applyFont="1" applyFill="1" applyBorder="1" applyAlignment="1">
      <alignment horizontal="center" vertical="center"/>
    </xf>
    <xf numFmtId="0" fontId="3" fillId="2" borderId="2" xfId="0" applyFont="1" applyFill="1" applyBorder="1" applyAlignment="1"/>
    <xf numFmtId="0" fontId="3" fillId="0" borderId="5" xfId="0" applyNumberFormat="1" applyFont="1" applyFill="1" applyBorder="1" applyAlignment="1"/>
    <xf numFmtId="0" fontId="3" fillId="2" borderId="16" xfId="0" applyFont="1" applyFill="1" applyBorder="1" applyAlignment="1"/>
    <xf numFmtId="0" fontId="0" fillId="0" borderId="5" xfId="0" applyNumberFormat="1" applyFill="1" applyBorder="1" applyAlignment="1"/>
    <xf numFmtId="0" fontId="0" fillId="0" borderId="17" xfId="0" applyNumberFormat="1" applyFill="1" applyBorder="1" applyAlignment="1"/>
    <xf numFmtId="0" fontId="0" fillId="0" borderId="17" xfId="0" applyNumberFormat="1" applyFont="1" applyFill="1" applyBorder="1" applyAlignme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0" fontId="2" fillId="3" borderId="18" xfId="0" applyFont="1" applyFill="1" applyBorder="1" applyAlignment="1">
      <alignment horizontal="center" vertical="top"/>
    </xf>
    <xf numFmtId="0" fontId="2" fillId="3" borderId="19" xfId="0" applyFont="1" applyFill="1" applyBorder="1" applyAlignment="1">
      <alignment horizontal="center" vertical="top"/>
    </xf>
    <xf numFmtId="0" fontId="2" fillId="3" borderId="20" xfId="0" applyFont="1" applyFill="1" applyBorder="1" applyAlignment="1">
      <alignment horizontal="center" vertical="top"/>
    </xf>
    <xf numFmtId="0" fontId="0" fillId="0" borderId="0" xfId="49" applyFill="1" applyAlignment="1">
      <alignment vertical="center"/>
    </xf>
    <xf numFmtId="0" fontId="2" fillId="0" borderId="0" xfId="49" applyFont="1" applyFill="1" applyBorder="1" applyAlignment="1"/>
    <xf numFmtId="0" fontId="2" fillId="0" borderId="0" xfId="49" applyFont="1" applyFill="1" applyBorder="1" applyAlignment="1">
      <alignment horizontal="center"/>
    </xf>
    <xf numFmtId="0" fontId="3" fillId="0" borderId="0" xfId="49" applyFont="1" applyFill="1" applyBorder="1" applyAlignment="1">
      <alignment horizontal="left" vertical="center"/>
    </xf>
    <xf numFmtId="0" fontId="2" fillId="0" borderId="0" xfId="49" applyFont="1" applyFill="1" applyBorder="1" applyAlignment="1">
      <alignment horizontal="center" vertical="center"/>
    </xf>
    <xf numFmtId="0" fontId="2" fillId="0" borderId="0" xfId="49" applyFont="1" applyFill="1" applyBorder="1" applyAlignment="1">
      <alignment horizontal="left" vertical="center"/>
    </xf>
    <xf numFmtId="0" fontId="2" fillId="2" borderId="13" xfId="49" applyFont="1" applyFill="1" applyBorder="1" applyAlignment="1">
      <alignment horizontal="center" vertical="center"/>
    </xf>
    <xf numFmtId="0" fontId="3" fillId="0" borderId="13" xfId="49" applyFont="1" applyFill="1" applyBorder="1" applyAlignment="1"/>
    <xf numFmtId="0" fontId="3" fillId="0" borderId="13" xfId="49" applyNumberFormat="1" applyFont="1" applyFill="1" applyBorder="1" applyAlignment="1"/>
    <xf numFmtId="0" fontId="3" fillId="0" borderId="0" xfId="49" applyFont="1" applyFill="1" applyAlignment="1"/>
    <xf numFmtId="0" fontId="0" fillId="0" borderId="0" xfId="49" applyFill="1" applyBorder="1" applyAlignment="1"/>
    <xf numFmtId="0" fontId="2" fillId="3" borderId="14" xfId="49" applyFont="1" applyFill="1" applyBorder="1" applyAlignment="1"/>
    <xf numFmtId="0" fontId="2" fillId="3" borderId="15" xfId="49" applyFont="1" applyFill="1" applyBorder="1" applyAlignment="1"/>
    <xf numFmtId="0" fontId="2" fillId="3" borderId="13" xfId="49" applyNumberFormat="1" applyFont="1" applyFill="1" applyBorder="1" applyAlignment="1"/>
    <xf numFmtId="0" fontId="3" fillId="0" borderId="21" xfId="49" applyFont="1" applyFill="1" applyBorder="1" applyAlignment="1">
      <alignment horizontal="left"/>
    </xf>
    <xf numFmtId="0" fontId="3" fillId="0" borderId="15" xfId="49" applyFont="1" applyFill="1" applyBorder="1" applyAlignment="1">
      <alignment horizontal="left"/>
    </xf>
    <xf numFmtId="0" fontId="3" fillId="0" borderId="0" xfId="49" applyFont="1" applyFill="1" applyBorder="1" applyAlignment="1"/>
    <xf numFmtId="0" fontId="2" fillId="4" borderId="13" xfId="49" applyFont="1" applyFill="1" applyBorder="1" applyAlignment="1">
      <alignment horizontal="center" vertical="center"/>
    </xf>
    <xf numFmtId="0" fontId="2" fillId="9" borderId="13" xfId="49" applyFont="1" applyFill="1" applyBorder="1" applyAlignment="1">
      <alignment horizontal="center" vertical="center"/>
    </xf>
    <xf numFmtId="0" fontId="2" fillId="0" borderId="13" xfId="49" applyFont="1" applyFill="1" applyBorder="1" applyAlignment="1">
      <alignment horizontal="right"/>
    </xf>
    <xf numFmtId="0" fontId="2" fillId="10" borderId="21" xfId="49" applyFont="1" applyFill="1" applyBorder="1" applyAlignment="1">
      <alignment horizontal="center"/>
    </xf>
    <xf numFmtId="0" fontId="2" fillId="10" borderId="14" xfId="49" applyFont="1" applyFill="1" applyBorder="1" applyAlignment="1">
      <alignment horizontal="center"/>
    </xf>
    <xf numFmtId="0" fontId="2" fillId="10" borderId="15" xfId="49" applyFont="1" applyFill="1" applyBorder="1" applyAlignment="1">
      <alignment horizontal="center"/>
    </xf>
    <xf numFmtId="0" fontId="3" fillId="0" borderId="12" xfId="49" applyFont="1" applyFill="1" applyBorder="1" applyAlignment="1"/>
    <xf numFmtId="0" fontId="2" fillId="7" borderId="13" xfId="49" applyFont="1" applyFill="1" applyBorder="1" applyAlignment="1">
      <alignment horizontal="right"/>
    </xf>
    <xf numFmtId="0" fontId="2" fillId="6" borderId="13" xfId="49" applyFont="1" applyFill="1" applyBorder="1" applyAlignment="1">
      <alignment horizontal="center" vertical="center"/>
    </xf>
    <xf numFmtId="2" fontId="3" fillId="0" borderId="13" xfId="49" applyNumberFormat="1" applyFont="1" applyFill="1" applyBorder="1" applyAlignment="1"/>
    <xf numFmtId="0" fontId="2" fillId="3" borderId="13" xfId="49" applyFont="1" applyFill="1" applyBorder="1" applyAlignment="1"/>
    <xf numFmtId="2" fontId="2" fillId="3" borderId="13" xfId="49" applyNumberFormat="1" applyFont="1" applyFill="1" applyBorder="1" applyAlignment="1"/>
    <xf numFmtId="0" fontId="2" fillId="6" borderId="12" xfId="49" applyFont="1" applyFill="1" applyBorder="1" applyAlignment="1">
      <alignment horizontal="center" vertical="center"/>
    </xf>
    <xf numFmtId="0" fontId="2" fillId="7" borderId="13" xfId="49" applyFont="1" applyFill="1" applyBorder="1" applyAlignment="1">
      <alignment horizontal="center" vertical="center"/>
    </xf>
    <xf numFmtId="181" fontId="3" fillId="0" borderId="13" xfId="49" applyNumberFormat="1" applyFont="1" applyFill="1" applyBorder="1" applyAlignment="1"/>
    <xf numFmtId="0" fontId="2" fillId="7" borderId="13" xfId="49" applyFont="1" applyFill="1" applyBorder="1" applyAlignment="1"/>
    <xf numFmtId="2" fontId="2" fillId="7" borderId="13" xfId="49" applyNumberFormat="1" applyFont="1" applyFill="1" applyBorder="1" applyAlignment="1"/>
    <xf numFmtId="180" fontId="3" fillId="0" borderId="13" xfId="49" applyNumberFormat="1" applyFont="1" applyFill="1" applyBorder="1" applyAlignment="1"/>
    <xf numFmtId="0" fontId="2" fillId="8" borderId="13" xfId="49" applyFont="1" applyFill="1" applyBorder="1" applyAlignment="1">
      <alignment horizontal="center" vertical="center" wrapText="1"/>
    </xf>
    <xf numFmtId="0" fontId="2" fillId="2" borderId="2" xfId="49" applyFont="1" applyFill="1" applyBorder="1" applyAlignment="1">
      <alignment horizontal="center" vertical="center"/>
    </xf>
    <xf numFmtId="0" fontId="3" fillId="2" borderId="2" xfId="49" applyFont="1" applyFill="1" applyBorder="1" applyAlignment="1"/>
    <xf numFmtId="0" fontId="5" fillId="11" borderId="22" xfId="49" applyFont="1" applyFill="1" applyBorder="1" applyAlignment="1">
      <alignment vertical="center"/>
    </xf>
    <xf numFmtId="0" fontId="3" fillId="0" borderId="5" xfId="49" applyNumberFormat="1" applyFont="1" applyFill="1" applyBorder="1" applyAlignment="1"/>
    <xf numFmtId="0" fontId="0" fillId="0" borderId="0" xfId="49" applyFill="1" applyAlignment="1"/>
    <xf numFmtId="0" fontId="3" fillId="2" borderId="16" xfId="49" applyFont="1" applyFill="1" applyBorder="1" applyAlignment="1"/>
    <xf numFmtId="2" fontId="3" fillId="0" borderId="5" xfId="49" applyNumberFormat="1" applyFont="1" applyFill="1" applyBorder="1" applyAlignment="1"/>
    <xf numFmtId="180" fontId="3" fillId="0" borderId="5" xfId="49" applyNumberFormat="1" applyFont="1" applyFill="1" applyBorder="1" applyAlignment="1"/>
    <xf numFmtId="0" fontId="0" fillId="0" borderId="5" xfId="49" applyNumberFormat="1" applyFill="1" applyBorder="1" applyAlignment="1"/>
    <xf numFmtId="0" fontId="0" fillId="0" borderId="17" xfId="49" applyNumberFormat="1" applyFill="1" applyBorder="1" applyAlignment="1"/>
    <xf numFmtId="0" fontId="0" fillId="0" borderId="17" xfId="49" applyNumberFormat="1" applyFont="1" applyFill="1" applyBorder="1" applyAlignment="1">
      <alignment vertical="center"/>
    </xf>
    <xf numFmtId="0" fontId="5" fillId="0" borderId="0" xfId="49" applyFont="1" applyFill="1" applyAlignment="1">
      <alignment vertical="center"/>
    </xf>
    <xf numFmtId="0" fontId="0" fillId="0" borderId="0" xfId="49" applyNumberFormat="1" applyFill="1" applyAlignment="1"/>
    <xf numFmtId="0" fontId="0" fillId="0" borderId="0" xfId="49" applyNumberFormat="1" applyFill="1" applyAlignment="1">
      <alignment horizontal="center"/>
    </xf>
    <xf numFmtId="0" fontId="0" fillId="0" borderId="0" xfId="49">
      <alignment vertical="center"/>
    </xf>
    <xf numFmtId="0" fontId="2" fillId="2" borderId="12" xfId="49" applyFont="1" applyFill="1" applyBorder="1" applyAlignment="1">
      <alignment horizontal="center" vertical="center"/>
    </xf>
    <xf numFmtId="0" fontId="2" fillId="2" borderId="12" xfId="49" applyFont="1" applyFill="1" applyBorder="1" applyAlignment="1">
      <alignment horizontal="left" vertical="center"/>
    </xf>
    <xf numFmtId="0" fontId="2" fillId="2" borderId="12" xfId="49" applyFont="1" applyFill="1" applyBorder="1" applyAlignment="1">
      <alignment horizontal="center" vertical="center" wrapText="1"/>
    </xf>
    <xf numFmtId="0" fontId="2" fillId="4" borderId="12" xfId="49" applyFont="1" applyFill="1" applyBorder="1" applyAlignment="1">
      <alignment horizontal="center" vertical="center"/>
    </xf>
    <xf numFmtId="0" fontId="2" fillId="12" borderId="12" xfId="49" applyFont="1" applyFill="1" applyBorder="1" applyAlignment="1">
      <alignment horizontal="center" vertical="center"/>
    </xf>
    <xf numFmtId="0" fontId="2" fillId="7" borderId="12" xfId="49" applyFont="1" applyFill="1" applyBorder="1" applyAlignment="1">
      <alignment horizontal="center" vertical="center"/>
    </xf>
    <xf numFmtId="0" fontId="2" fillId="7" borderId="12" xfId="49" applyFont="1" applyFill="1" applyBorder="1" applyAlignment="1">
      <alignment horizontal="center" vertical="center" wrapText="1"/>
    </xf>
    <xf numFmtId="0" fontId="2" fillId="8" borderId="12" xfId="49" applyFont="1" applyFill="1" applyBorder="1" applyAlignment="1">
      <alignment horizontal="center" vertical="center"/>
    </xf>
    <xf numFmtId="0" fontId="0" fillId="0" borderId="17" xfId="49" applyFill="1" applyBorder="1" applyAlignment="1">
      <alignment vertical="center"/>
    </xf>
    <xf numFmtId="0" fontId="3" fillId="0" borderId="0" xfId="49" applyFont="1" applyFill="1" applyAlignment="1" quotePrefix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0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9" Type="http://schemas.openxmlformats.org/officeDocument/2006/relationships/theme" Target="theme/theme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7" sqref="C7"/>
    </sheetView>
  </sheetViews>
  <sheetFormatPr defaultColWidth="9.85454545454546" defaultRowHeight="14.5" outlineLevelRow="4"/>
  <cols>
    <col min="1" max="1" width="9.85454545454546" style="110"/>
    <col min="2" max="2" width="25.5727272727273" style="110" customWidth="1"/>
    <col min="3" max="3" width="26" style="110" customWidth="1"/>
    <col min="4" max="16384" width="9.85454545454546" style="110"/>
  </cols>
  <sheetData>
    <row r="1" spans="1:69">
      <c r="A1" s="61" t="s">
        <v>0</v>
      </c>
      <c r="B1" s="62"/>
      <c r="C1" s="62"/>
      <c r="D1" s="62"/>
      <c r="E1" s="62"/>
      <c r="F1" s="62"/>
      <c r="G1" s="62"/>
      <c r="H1" s="61"/>
      <c r="I1" s="76"/>
      <c r="J1" s="76"/>
      <c r="K1" s="76"/>
      <c r="L1" s="76"/>
      <c r="M1" s="76"/>
      <c r="N1" s="76"/>
      <c r="O1" s="76"/>
      <c r="P1" s="76"/>
      <c r="Q1" s="76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9"/>
      <c r="AT1" s="100"/>
      <c r="AU1" s="100"/>
      <c r="AV1" s="100"/>
      <c r="AW1" s="100"/>
      <c r="AX1" s="100"/>
      <c r="AY1" s="100"/>
      <c r="AZ1" s="100"/>
      <c r="BA1" s="100"/>
      <c r="BB1" s="100"/>
      <c r="BC1" s="100"/>
      <c r="BD1" s="100"/>
      <c r="BE1" s="100"/>
      <c r="BF1" s="100"/>
      <c r="BG1" s="100"/>
      <c r="BH1" s="100"/>
      <c r="BI1" s="100"/>
      <c r="BJ1" s="100"/>
      <c r="BK1" s="100"/>
      <c r="BL1" s="100"/>
      <c r="BM1" s="100"/>
      <c r="BN1" s="100"/>
      <c r="BO1" s="100"/>
      <c r="BP1" s="100"/>
      <c r="BQ1" s="100"/>
    </row>
    <row r="2" ht="15.25" spans="1:69">
      <c r="A2" s="63" t="s">
        <v>1</v>
      </c>
      <c r="B2" s="63"/>
      <c r="C2" s="64">
        <v>3</v>
      </c>
      <c r="D2" s="65" t="s">
        <v>2</v>
      </c>
      <c r="E2" s="62"/>
      <c r="F2" s="62"/>
      <c r="G2" s="62"/>
      <c r="H2" s="61"/>
      <c r="I2" s="76" t="s">
        <v>3</v>
      </c>
      <c r="J2" s="76" t="s">
        <v>4</v>
      </c>
      <c r="K2" s="76"/>
      <c r="L2" s="76" t="s">
        <v>5</v>
      </c>
      <c r="M2" s="76">
        <v>1</v>
      </c>
      <c r="N2" s="76"/>
      <c r="O2" s="76" t="s">
        <v>6</v>
      </c>
      <c r="P2" s="76">
        <v>1</v>
      </c>
      <c r="Q2" s="76" t="s">
        <v>7</v>
      </c>
      <c r="R2" s="61"/>
      <c r="S2" s="61"/>
      <c r="T2" s="61"/>
      <c r="U2" s="61"/>
      <c r="V2" s="61">
        <v>1</v>
      </c>
      <c r="W2" s="61" t="s">
        <v>8</v>
      </c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9"/>
      <c r="AT2" s="100"/>
      <c r="AU2" s="100"/>
      <c r="AV2" s="100"/>
      <c r="AW2" s="100"/>
      <c r="AX2" s="100"/>
      <c r="AY2" s="100"/>
      <c r="AZ2" s="100"/>
      <c r="BA2" s="100"/>
      <c r="BB2" s="100"/>
      <c r="BC2" s="100"/>
      <c r="BD2" s="100"/>
      <c r="BE2" s="100"/>
      <c r="BF2" s="100"/>
      <c r="BG2" s="100"/>
      <c r="BH2" s="100"/>
      <c r="BI2" s="100"/>
      <c r="BJ2" s="100"/>
      <c r="BK2" s="100"/>
      <c r="BL2" s="100"/>
      <c r="BM2" s="100"/>
      <c r="BN2" s="100"/>
      <c r="BO2" s="100"/>
      <c r="BP2" s="100"/>
      <c r="BQ2" s="100"/>
    </row>
    <row r="3" ht="45" spans="1:69">
      <c r="A3" s="111" t="s">
        <v>9</v>
      </c>
      <c r="B3" s="111" t="s">
        <v>10</v>
      </c>
      <c r="C3" s="112" t="s">
        <v>11</v>
      </c>
      <c r="D3" s="111" t="s">
        <v>12</v>
      </c>
      <c r="E3" s="111" t="s">
        <v>13</v>
      </c>
      <c r="F3" s="113" t="s">
        <v>14</v>
      </c>
      <c r="G3" s="111" t="s">
        <v>15</v>
      </c>
      <c r="H3" s="111" t="s">
        <v>16</v>
      </c>
      <c r="I3" s="114" t="s">
        <v>17</v>
      </c>
      <c r="J3" s="114" t="s">
        <v>18</v>
      </c>
      <c r="K3" s="114" t="s">
        <v>19</v>
      </c>
      <c r="L3" s="115" t="s">
        <v>20</v>
      </c>
      <c r="M3" s="115" t="s">
        <v>21</v>
      </c>
      <c r="N3" s="115" t="s">
        <v>22</v>
      </c>
      <c r="O3" s="115" t="s">
        <v>23</v>
      </c>
      <c r="P3" s="115" t="s">
        <v>24</v>
      </c>
      <c r="Q3" s="115" t="s">
        <v>25</v>
      </c>
      <c r="R3" s="114" t="s">
        <v>26</v>
      </c>
      <c r="S3" s="111" t="s">
        <v>27</v>
      </c>
      <c r="T3" s="111" t="s">
        <v>28</v>
      </c>
      <c r="U3" s="89" t="s">
        <v>29</v>
      </c>
      <c r="V3" s="89" t="s">
        <v>30</v>
      </c>
      <c r="W3" s="89" t="s">
        <v>31</v>
      </c>
      <c r="X3" s="89" t="s">
        <v>32</v>
      </c>
      <c r="Y3" s="89" t="s">
        <v>33</v>
      </c>
      <c r="Z3" s="89" t="s">
        <v>34</v>
      </c>
      <c r="AA3" s="89" t="s">
        <v>35</v>
      </c>
      <c r="AB3" s="89" t="s">
        <v>36</v>
      </c>
      <c r="AC3" s="116" t="s">
        <v>37</v>
      </c>
      <c r="AD3" s="116" t="s">
        <v>38</v>
      </c>
      <c r="AE3" s="117" t="s">
        <v>39</v>
      </c>
      <c r="AF3" s="117" t="s">
        <v>40</v>
      </c>
      <c r="AG3" s="117" t="s">
        <v>41</v>
      </c>
      <c r="AH3" s="116" t="s">
        <v>42</v>
      </c>
      <c r="AI3" s="116" t="s">
        <v>43</v>
      </c>
      <c r="AJ3" s="117" t="s">
        <v>44</v>
      </c>
      <c r="AK3" s="117" t="s">
        <v>45</v>
      </c>
      <c r="AL3" s="116" t="s">
        <v>46</v>
      </c>
      <c r="AM3" s="116" t="s">
        <v>47</v>
      </c>
      <c r="AN3" s="117" t="s">
        <v>48</v>
      </c>
      <c r="AO3" s="117" t="s">
        <v>49</v>
      </c>
      <c r="AP3" s="117" t="s">
        <v>50</v>
      </c>
      <c r="AQ3" s="116" t="s">
        <v>51</v>
      </c>
      <c r="AR3" s="118" t="s">
        <v>52</v>
      </c>
      <c r="AS3" s="96" t="s">
        <v>53</v>
      </c>
      <c r="AT3" s="96" t="s">
        <v>51</v>
      </c>
      <c r="AU3" s="97" t="s">
        <v>54</v>
      </c>
      <c r="AV3" s="97" t="s">
        <v>55</v>
      </c>
      <c r="AW3" s="97" t="s">
        <v>56</v>
      </c>
      <c r="AX3" s="97" t="s">
        <v>57</v>
      </c>
      <c r="AY3" s="97" t="s">
        <v>58</v>
      </c>
      <c r="AZ3" s="97" t="s">
        <v>59</v>
      </c>
      <c r="BA3" s="97" t="s">
        <v>60</v>
      </c>
      <c r="BB3" s="97" t="s">
        <v>61</v>
      </c>
      <c r="BC3" s="101" t="s">
        <v>62</v>
      </c>
      <c r="BD3" s="101" t="s">
        <v>63</v>
      </c>
      <c r="BE3" s="101" t="s">
        <v>64</v>
      </c>
      <c r="BF3" s="97" t="s">
        <v>65</v>
      </c>
      <c r="BG3" s="97" t="s">
        <v>66</v>
      </c>
      <c r="BH3" s="97" t="s">
        <v>67</v>
      </c>
      <c r="BI3" s="97" t="s">
        <v>68</v>
      </c>
      <c r="BJ3" s="97" t="s">
        <v>69</v>
      </c>
      <c r="BK3" s="97" t="s">
        <v>70</v>
      </c>
      <c r="BL3" s="97" t="s">
        <v>71</v>
      </c>
      <c r="BM3" s="97" t="s">
        <v>72</v>
      </c>
      <c r="BN3" s="97" t="s">
        <v>73</v>
      </c>
      <c r="BO3" s="97" t="s">
        <v>59</v>
      </c>
      <c r="BP3" s="97" t="s">
        <v>74</v>
      </c>
      <c r="BQ3" s="97" t="s">
        <v>28</v>
      </c>
    </row>
    <row r="4" ht="15.25" spans="1:69">
      <c r="A4" s="67">
        <v>1</v>
      </c>
      <c r="B4" s="67" t="s">
        <v>75</v>
      </c>
      <c r="C4" s="67" t="s">
        <v>75</v>
      </c>
      <c r="D4" s="67" t="s">
        <v>76</v>
      </c>
      <c r="E4" s="67" t="s">
        <v>76</v>
      </c>
      <c r="F4" s="68">
        <v>5</v>
      </c>
      <c r="G4" s="68">
        <v>150</v>
      </c>
      <c r="H4" s="68">
        <f>F4*G4</f>
        <v>750</v>
      </c>
      <c r="I4" s="68">
        <v>5</v>
      </c>
      <c r="J4" s="68">
        <v>8</v>
      </c>
      <c r="K4" s="68">
        <v>5</v>
      </c>
      <c r="L4" s="68">
        <f>H4</f>
        <v>750</v>
      </c>
      <c r="M4" s="68">
        <f>ROUND(L4*I4%,2)</f>
        <v>37.5</v>
      </c>
      <c r="N4" s="68">
        <f>H4-M4</f>
        <v>712.5</v>
      </c>
      <c r="O4" s="68">
        <f>ROUND(N4*J4%,2)</f>
        <v>57</v>
      </c>
      <c r="P4" s="68">
        <f>ROUND(N4-O4,2)</f>
        <v>655.5</v>
      </c>
      <c r="Q4" s="68">
        <f>ROUND(P4*K4%,2)</f>
        <v>32.78</v>
      </c>
      <c r="R4" s="68">
        <f>M4+O4+Q4</f>
        <v>127.28</v>
      </c>
      <c r="S4" s="68">
        <f>(H4-R4)</f>
        <v>622.72</v>
      </c>
      <c r="T4" s="68">
        <v>85080200</v>
      </c>
      <c r="U4" s="68">
        <v>18</v>
      </c>
      <c r="V4" s="68">
        <f>IF(OR($C$2=1,$C$2=4),ROUND((((S4*U4)/100)/2),2),0)</f>
        <v>0</v>
      </c>
      <c r="W4" s="68">
        <f>IF($C$2=1,ROUND((((S4*U4)/100)/2),2),0)</f>
        <v>0</v>
      </c>
      <c r="X4" s="68">
        <f>IF($C$2=2,ROUND(((S4*U4)/100),2),0)</f>
        <v>0</v>
      </c>
      <c r="Y4" s="68">
        <f>IF($C$2=4,ROUND((((S4*U4)/100)/2),2),0)</f>
        <v>0</v>
      </c>
      <c r="Z4" s="68">
        <v>4</v>
      </c>
      <c r="AA4" s="68">
        <f>IF($C2=3,0,(S4*Z4)/100)</f>
        <v>0</v>
      </c>
      <c r="AB4" s="68">
        <f>V4+W4+X4+Y4+AA4</f>
        <v>0</v>
      </c>
      <c r="AC4" s="68">
        <f>IF($V2=1,S4+AB4,S4)</f>
        <v>622.72</v>
      </c>
      <c r="AD4" s="68">
        <v>120</v>
      </c>
      <c r="AE4" s="68">
        <f>IF($P$2=1,(S4/$S$5)*$E$16,AD4/$AD$5*$E$16)</f>
        <v>0</v>
      </c>
      <c r="AF4" s="68"/>
      <c r="AG4" s="68">
        <f>IF($P$2=1,(S4/$S$5)*$E$18,AD4/$AD$5*$E$18)</f>
        <v>0</v>
      </c>
      <c r="AH4" s="68">
        <f>IF($P$2=1,(S4/$S$5)*$E$18,AD4/$AD$5*$E$18)</f>
        <v>0</v>
      </c>
      <c r="AI4" s="68">
        <f>S4*$M$2</f>
        <v>622.72</v>
      </c>
      <c r="AJ4" s="68">
        <f>IF($C$2=3,0,AG4+AH4)</f>
        <v>0</v>
      </c>
      <c r="AK4" s="68">
        <f>IF($C$2=3,AE4+AG4+AH4,0)</f>
        <v>0</v>
      </c>
      <c r="AL4" s="68">
        <v>1</v>
      </c>
      <c r="AM4" s="68">
        <f>F4/AL4</f>
        <v>5</v>
      </c>
      <c r="AN4" s="68">
        <f>AI4/AM4</f>
        <v>124.544</v>
      </c>
      <c r="AO4" s="68">
        <f>AJ4/AM4</f>
        <v>0</v>
      </c>
      <c r="AP4" s="68">
        <f>AK4/AM4</f>
        <v>0</v>
      </c>
      <c r="AQ4" s="68" t="s">
        <v>76</v>
      </c>
      <c r="AR4" s="100">
        <f>ROUND(AN4+AO4+AP4,5)</f>
        <v>124.544</v>
      </c>
      <c r="AS4" s="100" t="s">
        <v>77</v>
      </c>
      <c r="AT4" s="99" t="s">
        <v>76</v>
      </c>
      <c r="AU4" s="100" t="s">
        <v>78</v>
      </c>
      <c r="AV4" s="100" t="s">
        <v>79</v>
      </c>
      <c r="AW4" s="99">
        <f>AM4</f>
        <v>5</v>
      </c>
      <c r="AX4" s="99">
        <f>AR4</f>
        <v>124.544</v>
      </c>
      <c r="AY4" s="99">
        <f>AU4+AW4</f>
        <v>14095</v>
      </c>
      <c r="AZ4" s="99">
        <f>ROUND(((AU4*AV4)+(AW4*AX4))/(AU4+AW4),5)</f>
        <v>121.22156</v>
      </c>
      <c r="BA4" s="104"/>
      <c r="BB4" s="104" t="s">
        <v>80</v>
      </c>
      <c r="BC4" s="119" t="s">
        <v>81</v>
      </c>
      <c r="BD4" s="106" t="s">
        <v>82</v>
      </c>
      <c r="BE4" s="106" t="s">
        <v>83</v>
      </c>
      <c r="BF4" s="104"/>
      <c r="BG4" s="104"/>
      <c r="BH4" s="104"/>
      <c r="BI4" s="99"/>
      <c r="BJ4" s="100"/>
      <c r="BK4" s="100"/>
      <c r="BL4" s="99" t="s">
        <v>84</v>
      </c>
      <c r="BM4" s="100" t="s">
        <v>85</v>
      </c>
      <c r="BN4" s="100" t="s">
        <v>86</v>
      </c>
      <c r="BO4" s="99">
        <f>ROUND((((AW4*AZ4)+(BN4*BM4))/(AW4+BN4)),5)</f>
        <v>146.67549</v>
      </c>
      <c r="BP4" s="108">
        <f>BN4+AW4</f>
        <v>696</v>
      </c>
      <c r="BQ4" s="109">
        <v>123562</v>
      </c>
    </row>
    <row r="5" ht="15.25" spans="1:69">
      <c r="A5" s="69"/>
      <c r="B5" s="70"/>
      <c r="C5" s="70"/>
      <c r="D5" s="71" t="s">
        <v>87</v>
      </c>
      <c r="E5" s="71"/>
      <c r="F5" s="71"/>
      <c r="G5" s="72"/>
      <c r="H5" s="73">
        <f>SUM(H4:H4)</f>
        <v>750</v>
      </c>
      <c r="I5" s="67"/>
      <c r="J5" s="67"/>
      <c r="K5" s="67"/>
      <c r="L5" s="67"/>
      <c r="M5" s="67"/>
      <c r="N5" s="67"/>
      <c r="O5" s="67"/>
      <c r="P5" s="67"/>
      <c r="Q5" s="67"/>
      <c r="R5" s="87">
        <f t="shared" ref="R5:X5" si="0">SUM(R4:R4)</f>
        <v>127.28</v>
      </c>
      <c r="S5" s="73">
        <f t="shared" si="0"/>
        <v>622.72</v>
      </c>
      <c r="T5" s="87"/>
      <c r="U5" s="87"/>
      <c r="V5" s="88">
        <f t="shared" si="0"/>
        <v>0</v>
      </c>
      <c r="W5" s="88">
        <f t="shared" si="0"/>
        <v>0</v>
      </c>
      <c r="X5" s="88">
        <f t="shared" si="0"/>
        <v>0</v>
      </c>
      <c r="Y5" s="88"/>
      <c r="Z5" s="88"/>
      <c r="AA5" s="88"/>
      <c r="AB5" s="87">
        <f t="shared" ref="AB5:AE5" si="1">SUM(AB4:AB4)</f>
        <v>0</v>
      </c>
      <c r="AC5" s="92">
        <f t="shared" si="1"/>
        <v>622.72</v>
      </c>
      <c r="AD5" s="93">
        <f t="shared" si="1"/>
        <v>120</v>
      </c>
      <c r="AE5" s="93">
        <f t="shared" si="1"/>
        <v>0</v>
      </c>
      <c r="AF5" s="92"/>
      <c r="AG5" s="93">
        <f t="shared" ref="AG5:AK5" si="2">SUM(AG4:AG4)</f>
        <v>0</v>
      </c>
      <c r="AH5" s="93">
        <f t="shared" si="2"/>
        <v>0</v>
      </c>
      <c r="AI5" s="93">
        <f t="shared" si="2"/>
        <v>622.72</v>
      </c>
      <c r="AJ5" s="93">
        <f t="shared" si="2"/>
        <v>0</v>
      </c>
      <c r="AK5" s="93">
        <f t="shared" si="2"/>
        <v>0</v>
      </c>
      <c r="AL5" s="92"/>
      <c r="AM5" s="92"/>
      <c r="AN5" s="92"/>
      <c r="AO5" s="92"/>
      <c r="AP5" s="92"/>
      <c r="AQ5" s="92"/>
      <c r="AR5" s="92"/>
      <c r="AS5" s="69"/>
      <c r="AT5" s="100"/>
      <c r="AU5" s="100"/>
      <c r="AV5" s="100"/>
      <c r="AW5" s="100"/>
      <c r="AX5" s="100"/>
      <c r="AY5" s="100"/>
      <c r="AZ5" s="100"/>
      <c r="BA5" s="100"/>
      <c r="BB5" s="100"/>
      <c r="BC5" s="100"/>
      <c r="BD5" s="100"/>
      <c r="BE5" s="100"/>
      <c r="BF5" s="100"/>
      <c r="BG5" s="100"/>
      <c r="BH5" s="100"/>
      <c r="BI5" s="100"/>
      <c r="BJ5" s="100"/>
      <c r="BK5" s="100"/>
      <c r="BL5" s="100"/>
      <c r="BM5" s="100"/>
      <c r="BN5" s="100"/>
      <c r="BO5" s="100"/>
      <c r="BP5" s="100"/>
      <c r="BQ5" s="100"/>
    </row>
  </sheetData>
  <mergeCells count="1">
    <mergeCell ref="A2:B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Z1" workbookViewId="0">
      <selection activeCell="AK10" sqref="AK10"/>
    </sheetView>
  </sheetViews>
  <sheetFormatPr defaultColWidth="9.85454545454546" defaultRowHeight="14.5" outlineLevelRow="4"/>
  <cols>
    <col min="1" max="1" width="9.85454545454546" style="110"/>
    <col min="2" max="2" width="25.5727272727273" style="110" customWidth="1"/>
    <col min="3" max="3" width="26" style="110" customWidth="1"/>
    <col min="4" max="16384" width="9.85454545454546" style="110"/>
  </cols>
  <sheetData>
    <row r="1" spans="1:69">
      <c r="A1" s="61" t="s">
        <v>0</v>
      </c>
      <c r="B1" s="62"/>
      <c r="C1" s="62"/>
      <c r="D1" s="62"/>
      <c r="E1" s="62"/>
      <c r="F1" s="62"/>
      <c r="G1" s="62"/>
      <c r="H1" s="61"/>
      <c r="I1" s="76"/>
      <c r="J1" s="76"/>
      <c r="K1" s="76"/>
      <c r="L1" s="76"/>
      <c r="M1" s="76"/>
      <c r="N1" s="76"/>
      <c r="O1" s="76"/>
      <c r="P1" s="76"/>
      <c r="Q1" s="76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9"/>
      <c r="AT1" s="100"/>
      <c r="AU1" s="100"/>
      <c r="AV1" s="100"/>
      <c r="AW1" s="100"/>
      <c r="AX1" s="100"/>
      <c r="AY1" s="100"/>
      <c r="AZ1" s="100"/>
      <c r="BA1" s="100"/>
      <c r="BB1" s="100"/>
      <c r="BC1" s="100"/>
      <c r="BD1" s="100"/>
      <c r="BE1" s="100"/>
      <c r="BF1" s="100"/>
      <c r="BG1" s="100"/>
      <c r="BH1" s="100"/>
      <c r="BI1" s="100"/>
      <c r="BJ1" s="100"/>
      <c r="BK1" s="100"/>
      <c r="BL1" s="100"/>
      <c r="BM1" s="100"/>
      <c r="BN1" s="100"/>
      <c r="BO1" s="100"/>
      <c r="BP1" s="100"/>
      <c r="BQ1" s="100"/>
    </row>
    <row r="2" ht="15.25" spans="1:69">
      <c r="A2" s="63" t="s">
        <v>1</v>
      </c>
      <c r="B2" s="63"/>
      <c r="C2" s="64">
        <v>3</v>
      </c>
      <c r="D2" s="65" t="s">
        <v>2</v>
      </c>
      <c r="E2" s="62"/>
      <c r="F2" s="62"/>
      <c r="G2" s="62"/>
      <c r="H2" s="61"/>
      <c r="I2" s="76" t="s">
        <v>3</v>
      </c>
      <c r="J2" s="76" t="s">
        <v>4</v>
      </c>
      <c r="K2" s="76"/>
      <c r="L2" s="76" t="s">
        <v>5</v>
      </c>
      <c r="M2" s="76">
        <v>1</v>
      </c>
      <c r="N2" s="76"/>
      <c r="O2" s="76" t="s">
        <v>6</v>
      </c>
      <c r="P2" s="76">
        <v>1</v>
      </c>
      <c r="Q2" s="76" t="s">
        <v>7</v>
      </c>
      <c r="R2" s="61"/>
      <c r="S2" s="61"/>
      <c r="T2" s="61"/>
      <c r="U2" s="61"/>
      <c r="V2" s="61">
        <v>1</v>
      </c>
      <c r="W2" s="61" t="s">
        <v>8</v>
      </c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9"/>
      <c r="AT2" s="100"/>
      <c r="AU2" s="100"/>
      <c r="AV2" s="100"/>
      <c r="AW2" s="100"/>
      <c r="AX2" s="100"/>
      <c r="AY2" s="100"/>
      <c r="AZ2" s="100"/>
      <c r="BA2" s="100"/>
      <c r="BB2" s="100"/>
      <c r="BC2" s="100"/>
      <c r="BD2" s="100"/>
      <c r="BE2" s="100"/>
      <c r="BF2" s="100"/>
      <c r="BG2" s="100"/>
      <c r="BH2" s="100"/>
      <c r="BI2" s="100"/>
      <c r="BJ2" s="100"/>
      <c r="BK2" s="100"/>
      <c r="BL2" s="100"/>
      <c r="BM2" s="100"/>
      <c r="BN2" s="100"/>
      <c r="BO2" s="100"/>
      <c r="BP2" s="100"/>
      <c r="BQ2" s="100"/>
    </row>
    <row r="3" ht="45" spans="1:69">
      <c r="A3" s="111" t="s">
        <v>9</v>
      </c>
      <c r="B3" s="111" t="s">
        <v>10</v>
      </c>
      <c r="C3" s="112" t="s">
        <v>11</v>
      </c>
      <c r="D3" s="111" t="s">
        <v>12</v>
      </c>
      <c r="E3" s="111" t="s">
        <v>13</v>
      </c>
      <c r="F3" s="113" t="s">
        <v>14</v>
      </c>
      <c r="G3" s="111" t="s">
        <v>15</v>
      </c>
      <c r="H3" s="111" t="s">
        <v>16</v>
      </c>
      <c r="I3" s="114" t="s">
        <v>17</v>
      </c>
      <c r="J3" s="114" t="s">
        <v>18</v>
      </c>
      <c r="K3" s="114" t="s">
        <v>19</v>
      </c>
      <c r="L3" s="115" t="s">
        <v>20</v>
      </c>
      <c r="M3" s="115" t="s">
        <v>21</v>
      </c>
      <c r="N3" s="115" t="s">
        <v>22</v>
      </c>
      <c r="O3" s="115" t="s">
        <v>23</v>
      </c>
      <c r="P3" s="115" t="s">
        <v>24</v>
      </c>
      <c r="Q3" s="115" t="s">
        <v>25</v>
      </c>
      <c r="R3" s="114" t="s">
        <v>26</v>
      </c>
      <c r="S3" s="111" t="s">
        <v>27</v>
      </c>
      <c r="T3" s="111" t="s">
        <v>28</v>
      </c>
      <c r="U3" s="89" t="s">
        <v>29</v>
      </c>
      <c r="V3" s="89" t="s">
        <v>30</v>
      </c>
      <c r="W3" s="89" t="s">
        <v>31</v>
      </c>
      <c r="X3" s="89" t="s">
        <v>32</v>
      </c>
      <c r="Y3" s="89" t="s">
        <v>33</v>
      </c>
      <c r="Z3" s="89" t="s">
        <v>34</v>
      </c>
      <c r="AA3" s="89" t="s">
        <v>35</v>
      </c>
      <c r="AB3" s="89" t="s">
        <v>36</v>
      </c>
      <c r="AC3" s="116" t="s">
        <v>37</v>
      </c>
      <c r="AD3" s="116" t="s">
        <v>38</v>
      </c>
      <c r="AE3" s="117" t="s">
        <v>39</v>
      </c>
      <c r="AF3" s="117" t="s">
        <v>40</v>
      </c>
      <c r="AG3" s="117" t="s">
        <v>41</v>
      </c>
      <c r="AH3" s="116" t="s">
        <v>42</v>
      </c>
      <c r="AI3" s="116" t="s">
        <v>43</v>
      </c>
      <c r="AJ3" s="117" t="s">
        <v>44</v>
      </c>
      <c r="AK3" s="117" t="s">
        <v>45</v>
      </c>
      <c r="AL3" s="116" t="s">
        <v>46</v>
      </c>
      <c r="AM3" s="116" t="s">
        <v>47</v>
      </c>
      <c r="AN3" s="117" t="s">
        <v>48</v>
      </c>
      <c r="AO3" s="117" t="s">
        <v>49</v>
      </c>
      <c r="AP3" s="117" t="s">
        <v>50</v>
      </c>
      <c r="AQ3" s="116" t="s">
        <v>51</v>
      </c>
      <c r="AR3" s="118" t="s">
        <v>52</v>
      </c>
      <c r="AS3" s="96" t="s">
        <v>53</v>
      </c>
      <c r="AT3" s="96" t="s">
        <v>51</v>
      </c>
      <c r="AU3" s="97" t="s">
        <v>54</v>
      </c>
      <c r="AV3" s="97" t="s">
        <v>55</v>
      </c>
      <c r="AW3" s="97" t="s">
        <v>56</v>
      </c>
      <c r="AX3" s="97" t="s">
        <v>57</v>
      </c>
      <c r="AY3" s="97" t="s">
        <v>58</v>
      </c>
      <c r="AZ3" s="97" t="s">
        <v>59</v>
      </c>
      <c r="BA3" s="97" t="s">
        <v>60</v>
      </c>
      <c r="BB3" s="97" t="s">
        <v>61</v>
      </c>
      <c r="BC3" s="101" t="s">
        <v>62</v>
      </c>
      <c r="BD3" s="101" t="s">
        <v>63</v>
      </c>
      <c r="BE3" s="101" t="s">
        <v>64</v>
      </c>
      <c r="BF3" s="97" t="s">
        <v>65</v>
      </c>
      <c r="BG3" s="97" t="s">
        <v>66</v>
      </c>
      <c r="BH3" s="97" t="s">
        <v>67</v>
      </c>
      <c r="BI3" s="97" t="s">
        <v>68</v>
      </c>
      <c r="BJ3" s="97" t="s">
        <v>69</v>
      </c>
      <c r="BK3" s="97" t="s">
        <v>70</v>
      </c>
      <c r="BL3" s="97" t="s">
        <v>71</v>
      </c>
      <c r="BM3" s="97" t="s">
        <v>72</v>
      </c>
      <c r="BN3" s="97" t="s">
        <v>73</v>
      </c>
      <c r="BO3" s="97" t="s">
        <v>59</v>
      </c>
      <c r="BP3" s="97" t="s">
        <v>74</v>
      </c>
      <c r="BQ3" s="97" t="s">
        <v>28</v>
      </c>
    </row>
    <row r="4" ht="15.25" spans="1:69">
      <c r="A4" s="67">
        <v>1</v>
      </c>
      <c r="B4" s="67" t="s">
        <v>88</v>
      </c>
      <c r="C4" s="67" t="s">
        <v>88</v>
      </c>
      <c r="D4" s="67" t="s">
        <v>76</v>
      </c>
      <c r="E4" s="67" t="s">
        <v>89</v>
      </c>
      <c r="F4" s="68">
        <v>5</v>
      </c>
      <c r="G4" s="68">
        <v>150</v>
      </c>
      <c r="H4" s="68">
        <f>F4*G4</f>
        <v>750</v>
      </c>
      <c r="I4" s="68">
        <v>5</v>
      </c>
      <c r="J4" s="68">
        <v>8</v>
      </c>
      <c r="K4" s="68">
        <v>5</v>
      </c>
      <c r="L4" s="68">
        <f>H4</f>
        <v>750</v>
      </c>
      <c r="M4" s="68">
        <f>ROUND(L4*I4%,2)</f>
        <v>37.5</v>
      </c>
      <c r="N4" s="68">
        <f>H4-M4</f>
        <v>712.5</v>
      </c>
      <c r="O4" s="68">
        <f>ROUND(N4*J4%,2)</f>
        <v>57</v>
      </c>
      <c r="P4" s="68">
        <f>ROUND(N4-O4,2)</f>
        <v>655.5</v>
      </c>
      <c r="Q4" s="68">
        <f>ROUND(P4*K4%,2)</f>
        <v>32.78</v>
      </c>
      <c r="R4" s="68">
        <f>M4+O4+Q4</f>
        <v>127.28</v>
      </c>
      <c r="S4" s="68">
        <f>(H4-R4)</f>
        <v>622.72</v>
      </c>
      <c r="T4" s="68">
        <v>85080200</v>
      </c>
      <c r="U4" s="68">
        <v>18</v>
      </c>
      <c r="V4" s="68">
        <f>IF(OR($C$2=1,$C$2=4),ROUND((((S4*U4)/100)/2),2),0)</f>
        <v>0</v>
      </c>
      <c r="W4" s="68">
        <f>IF($C$2=1,ROUND((((S4*U4)/100)/2),2),0)</f>
        <v>0</v>
      </c>
      <c r="X4" s="68">
        <f>IF($C$2=2,ROUND(((S4*U4)/100),2),0)</f>
        <v>0</v>
      </c>
      <c r="Y4" s="68">
        <f>IF($C$2=4,ROUND((((S4*U4)/100)/2),2),0)</f>
        <v>0</v>
      </c>
      <c r="Z4" s="68">
        <v>4</v>
      </c>
      <c r="AA4" s="68">
        <f>IF($C2=3,0,(S4*Z4)/100)</f>
        <v>0</v>
      </c>
      <c r="AB4" s="68">
        <f>V4+W4+X4+Y4+AA4</f>
        <v>0</v>
      </c>
      <c r="AC4" s="68">
        <f>IF($V2=1,S4+AB4,S4)</f>
        <v>622.72</v>
      </c>
      <c r="AD4" s="68">
        <v>120</v>
      </c>
      <c r="AE4" s="68">
        <f>IF($P$2=1,(S4/$S$5)*$E$16,AD4/$AD$5*$E$16)</f>
        <v>0</v>
      </c>
      <c r="AF4" s="68"/>
      <c r="AG4" s="68">
        <f>IF($P$2=1,(S4/$S$5)*$E$18,AD4/$AD$5*$E$18)</f>
        <v>0</v>
      </c>
      <c r="AH4" s="68">
        <f>IF($P$2=1,(S4/$S$5)*$E$18,AD4/$AD$5*$E$18)</f>
        <v>0</v>
      </c>
      <c r="AI4" s="68">
        <f>S4*$M$2</f>
        <v>622.72</v>
      </c>
      <c r="AJ4" s="68">
        <f>IF($C$2=3,0,AG4+AH4)</f>
        <v>0</v>
      </c>
      <c r="AK4" s="68">
        <f>IF($C$2=3,AE4+AG4+AH4,0)</f>
        <v>0</v>
      </c>
      <c r="AL4" s="68">
        <v>3</v>
      </c>
      <c r="AM4" s="68">
        <f>F4/AL4</f>
        <v>1.66666666666667</v>
      </c>
      <c r="AN4" s="68">
        <f>AI4/AM4</f>
        <v>373.632</v>
      </c>
      <c r="AO4" s="68">
        <f>AJ4/AM4</f>
        <v>0</v>
      </c>
      <c r="AP4" s="68">
        <f>AK4/AM4</f>
        <v>0</v>
      </c>
      <c r="AQ4" s="68" t="s">
        <v>76</v>
      </c>
      <c r="AR4" s="100">
        <f>ROUND(AN4+AO4+AP4,5)</f>
        <v>373.632</v>
      </c>
      <c r="AS4" s="100" t="s">
        <v>77</v>
      </c>
      <c r="AT4" s="99" t="s">
        <v>76</v>
      </c>
      <c r="AU4" s="100" t="s">
        <v>78</v>
      </c>
      <c r="AV4" s="100" t="s">
        <v>79</v>
      </c>
      <c r="AW4" s="99">
        <f>AM4</f>
        <v>1.66666666666667</v>
      </c>
      <c r="AX4" s="99">
        <f>AR4</f>
        <v>373.632</v>
      </c>
      <c r="AY4" s="99">
        <f>AU4+AW4</f>
        <v>14091.6666666667</v>
      </c>
      <c r="AZ4" s="99">
        <f>ROUND(((AU4*AV4)+(AW4*AX4))/(AU4+AW4),5)</f>
        <v>121.25023</v>
      </c>
      <c r="BA4" s="104"/>
      <c r="BB4" s="104" t="s">
        <v>80</v>
      </c>
      <c r="BC4" s="119" t="s">
        <v>81</v>
      </c>
      <c r="BD4" s="106" t="s">
        <v>82</v>
      </c>
      <c r="BE4" s="106" t="s">
        <v>83</v>
      </c>
      <c r="BF4" s="104"/>
      <c r="BG4" s="104"/>
      <c r="BH4" s="104"/>
      <c r="BI4" s="99"/>
      <c r="BJ4" s="100"/>
      <c r="BK4" s="100"/>
      <c r="BL4" s="99" t="s">
        <v>84</v>
      </c>
      <c r="BM4" s="100" t="s">
        <v>85</v>
      </c>
      <c r="BN4" s="100" t="s">
        <v>86</v>
      </c>
      <c r="BO4" s="99">
        <f>ROUND((((AW4*AZ4)+(BN4*BM4))/(AW4+BN4)),5)</f>
        <v>146.79805</v>
      </c>
      <c r="BP4" s="108">
        <f>BN4+AW4</f>
        <v>692.666666666667</v>
      </c>
      <c r="BQ4" s="109">
        <v>123562</v>
      </c>
    </row>
    <row r="5" ht="15.25" spans="1:69">
      <c r="A5" s="69"/>
      <c r="B5" s="70"/>
      <c r="C5" s="70"/>
      <c r="D5" s="71" t="s">
        <v>87</v>
      </c>
      <c r="E5" s="71"/>
      <c r="F5" s="71"/>
      <c r="G5" s="72"/>
      <c r="H5" s="73">
        <f>SUM(H4:H4)</f>
        <v>750</v>
      </c>
      <c r="I5" s="67"/>
      <c r="J5" s="67"/>
      <c r="K5" s="67"/>
      <c r="L5" s="67"/>
      <c r="M5" s="67"/>
      <c r="N5" s="67"/>
      <c r="O5" s="67"/>
      <c r="P5" s="67"/>
      <c r="Q5" s="67"/>
      <c r="R5" s="87">
        <f t="shared" ref="R5:X5" si="0">SUM(R4:R4)</f>
        <v>127.28</v>
      </c>
      <c r="S5" s="73">
        <f t="shared" si="0"/>
        <v>622.72</v>
      </c>
      <c r="T5" s="87"/>
      <c r="U5" s="87"/>
      <c r="V5" s="88">
        <f t="shared" si="0"/>
        <v>0</v>
      </c>
      <c r="W5" s="88">
        <f t="shared" si="0"/>
        <v>0</v>
      </c>
      <c r="X5" s="88">
        <f t="shared" si="0"/>
        <v>0</v>
      </c>
      <c r="Y5" s="88"/>
      <c r="Z5" s="88"/>
      <c r="AA5" s="88"/>
      <c r="AB5" s="87">
        <f t="shared" ref="AB5:AE5" si="1">SUM(AB4:AB4)</f>
        <v>0</v>
      </c>
      <c r="AC5" s="92">
        <f t="shared" si="1"/>
        <v>622.72</v>
      </c>
      <c r="AD5" s="93">
        <f t="shared" si="1"/>
        <v>120</v>
      </c>
      <c r="AE5" s="93">
        <f t="shared" si="1"/>
        <v>0</v>
      </c>
      <c r="AF5" s="92"/>
      <c r="AG5" s="93">
        <f t="shared" ref="AG5:AK5" si="2">SUM(AG4:AG4)</f>
        <v>0</v>
      </c>
      <c r="AH5" s="93">
        <f t="shared" si="2"/>
        <v>0</v>
      </c>
      <c r="AI5" s="93">
        <f t="shared" si="2"/>
        <v>622.72</v>
      </c>
      <c r="AJ5" s="93">
        <f t="shared" si="2"/>
        <v>0</v>
      </c>
      <c r="AK5" s="93">
        <f t="shared" si="2"/>
        <v>0</v>
      </c>
      <c r="AL5" s="92"/>
      <c r="AM5" s="92"/>
      <c r="AN5" s="92"/>
      <c r="AO5" s="92"/>
      <c r="AP5" s="92"/>
      <c r="AQ5" s="92"/>
      <c r="AR5" s="92"/>
      <c r="AS5" s="69"/>
      <c r="AT5" s="100"/>
      <c r="AU5" s="100"/>
      <c r="AV5" s="100"/>
      <c r="AW5" s="100"/>
      <c r="AX5" s="100"/>
      <c r="AY5" s="100"/>
      <c r="AZ5" s="100"/>
      <c r="BA5" s="100"/>
      <c r="BB5" s="100"/>
      <c r="BC5" s="100"/>
      <c r="BD5" s="100"/>
      <c r="BE5" s="100"/>
      <c r="BF5" s="100"/>
      <c r="BG5" s="100"/>
      <c r="BH5" s="100"/>
      <c r="BI5" s="100"/>
      <c r="BJ5" s="100"/>
      <c r="BK5" s="100"/>
      <c r="BL5" s="100"/>
      <c r="BM5" s="100"/>
      <c r="BN5" s="100"/>
      <c r="BO5" s="100"/>
      <c r="BP5" s="100"/>
      <c r="BQ5" s="100"/>
    </row>
  </sheetData>
  <mergeCells count="1">
    <mergeCell ref="A2:B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7"/>
  <sheetViews>
    <sheetView workbookViewId="0">
      <selection activeCell="C7" sqref="C7"/>
    </sheetView>
  </sheetViews>
  <sheetFormatPr defaultColWidth="8.70909090909091" defaultRowHeight="14.5"/>
  <cols>
    <col min="1" max="1" width="8.70909090909091" style="110"/>
    <col min="2" max="2" width="19.1363636363636" style="110" customWidth="1"/>
    <col min="3" max="3" width="25.8545454545455" style="110" customWidth="1"/>
    <col min="4" max="16384" width="8.70909090909091" style="110"/>
  </cols>
  <sheetData>
    <row r="1" spans="1:69">
      <c r="A1" s="61" t="s">
        <v>0</v>
      </c>
      <c r="B1" s="62"/>
      <c r="C1" s="62"/>
      <c r="D1" s="62"/>
      <c r="E1" s="62"/>
      <c r="F1" s="62"/>
      <c r="G1" s="62"/>
      <c r="H1" s="61"/>
      <c r="I1" s="76"/>
      <c r="J1" s="76"/>
      <c r="K1" s="76"/>
      <c r="L1" s="76"/>
      <c r="M1" s="76"/>
      <c r="N1" s="76"/>
      <c r="O1" s="76"/>
      <c r="P1" s="76"/>
      <c r="Q1" s="76"/>
      <c r="R1" s="61"/>
      <c r="S1" s="61"/>
      <c r="T1" s="61"/>
      <c r="U1" s="61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  <c r="AQ1" s="69"/>
      <c r="AR1" s="69"/>
      <c r="AS1" s="69"/>
      <c r="AT1" s="69"/>
      <c r="AU1" s="69"/>
      <c r="AV1" s="69"/>
      <c r="AW1" s="69"/>
      <c r="AX1" s="69"/>
      <c r="AY1" s="69"/>
      <c r="AZ1" s="69"/>
      <c r="BA1" s="69"/>
      <c r="BB1" s="69"/>
      <c r="BC1" s="69"/>
      <c r="BD1" s="69"/>
      <c r="BE1" s="69"/>
      <c r="BF1" s="69"/>
      <c r="BG1" s="69"/>
      <c r="BH1" s="69"/>
      <c r="BI1" s="69"/>
      <c r="BJ1" s="69"/>
      <c r="BK1" s="69"/>
      <c r="BL1" s="69"/>
      <c r="BM1" s="69"/>
      <c r="BN1" s="69"/>
      <c r="BO1" s="69"/>
      <c r="BP1" s="100"/>
      <c r="BQ1" s="100"/>
    </row>
    <row r="2" ht="15.25" spans="1:69">
      <c r="A2" s="63" t="s">
        <v>1</v>
      </c>
      <c r="B2" s="63"/>
      <c r="C2" s="64">
        <v>3</v>
      </c>
      <c r="D2" s="65" t="s">
        <v>2</v>
      </c>
      <c r="E2" s="62"/>
      <c r="F2" s="62"/>
      <c r="G2" s="62"/>
      <c r="H2" s="61"/>
      <c r="I2" s="76" t="s">
        <v>3</v>
      </c>
      <c r="J2" s="76" t="s">
        <v>4</v>
      </c>
      <c r="K2" s="76"/>
      <c r="L2" s="76" t="s">
        <v>5</v>
      </c>
      <c r="M2" s="76">
        <v>1</v>
      </c>
      <c r="N2" s="76"/>
      <c r="O2" s="76" t="s">
        <v>6</v>
      </c>
      <c r="P2" s="76">
        <v>2</v>
      </c>
      <c r="Q2" s="76" t="s">
        <v>7</v>
      </c>
      <c r="R2" s="61"/>
      <c r="S2" s="61"/>
      <c r="T2" s="61"/>
      <c r="U2" s="61"/>
      <c r="V2" s="61">
        <v>1</v>
      </c>
      <c r="W2" s="61" t="s">
        <v>8</v>
      </c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69"/>
      <c r="AT2" s="69"/>
      <c r="AU2" s="69"/>
      <c r="AV2" s="69"/>
      <c r="AW2" s="69"/>
      <c r="AX2" s="69"/>
      <c r="AY2" s="69"/>
      <c r="AZ2" s="69"/>
      <c r="BA2" s="69"/>
      <c r="BB2" s="69"/>
      <c r="BC2" s="69"/>
      <c r="BD2" s="69"/>
      <c r="BE2" s="69"/>
      <c r="BF2" s="69"/>
      <c r="BG2" s="69"/>
      <c r="BH2" s="69"/>
      <c r="BI2" s="69"/>
      <c r="BJ2" s="69"/>
      <c r="BK2" s="69"/>
      <c r="BL2" s="69"/>
      <c r="BM2" s="69"/>
      <c r="BN2" s="69"/>
      <c r="BO2" s="69"/>
      <c r="BP2" s="100"/>
      <c r="BQ2" s="100"/>
    </row>
    <row r="3" ht="45" spans="1:69">
      <c r="A3" s="66" t="s">
        <v>90</v>
      </c>
      <c r="B3" s="66" t="s">
        <v>10</v>
      </c>
      <c r="C3" s="66" t="s">
        <v>91</v>
      </c>
      <c r="D3" s="66" t="s">
        <v>12</v>
      </c>
      <c r="E3" s="66" t="s">
        <v>13</v>
      </c>
      <c r="F3" s="66" t="s">
        <v>92</v>
      </c>
      <c r="G3" s="66" t="s">
        <v>15</v>
      </c>
      <c r="H3" s="66" t="s">
        <v>16</v>
      </c>
      <c r="I3" s="77" t="s">
        <v>17</v>
      </c>
      <c r="J3" s="77" t="s">
        <v>19</v>
      </c>
      <c r="K3" s="77" t="s">
        <v>18</v>
      </c>
      <c r="L3" s="78" t="s">
        <v>20</v>
      </c>
      <c r="M3" s="78" t="s">
        <v>21</v>
      </c>
      <c r="N3" s="78" t="s">
        <v>24</v>
      </c>
      <c r="O3" s="78" t="s">
        <v>25</v>
      </c>
      <c r="P3" s="78" t="s">
        <v>93</v>
      </c>
      <c r="Q3" s="78" t="s">
        <v>23</v>
      </c>
      <c r="R3" s="77" t="s">
        <v>26</v>
      </c>
      <c r="S3" s="66" t="s">
        <v>94</v>
      </c>
      <c r="T3" s="66" t="s">
        <v>28</v>
      </c>
      <c r="U3" s="85" t="s">
        <v>95</v>
      </c>
      <c r="V3" s="85" t="s">
        <v>30</v>
      </c>
      <c r="W3" s="85" t="s">
        <v>31</v>
      </c>
      <c r="X3" s="85" t="s">
        <v>32</v>
      </c>
      <c r="Y3" s="89" t="s">
        <v>33</v>
      </c>
      <c r="Z3" s="89" t="s">
        <v>34</v>
      </c>
      <c r="AA3" s="89" t="s">
        <v>35</v>
      </c>
      <c r="AB3" s="89" t="s">
        <v>36</v>
      </c>
      <c r="AC3" s="90" t="s">
        <v>37</v>
      </c>
      <c r="AD3" s="90" t="s">
        <v>38</v>
      </c>
      <c r="AE3" s="90" t="s">
        <v>39</v>
      </c>
      <c r="AF3" s="90" t="s">
        <v>40</v>
      </c>
      <c r="AG3" s="90" t="s">
        <v>41</v>
      </c>
      <c r="AH3" s="90" t="s">
        <v>42</v>
      </c>
      <c r="AI3" s="90" t="s">
        <v>43</v>
      </c>
      <c r="AJ3" s="90" t="s">
        <v>44</v>
      </c>
      <c r="AK3" s="90" t="s">
        <v>45</v>
      </c>
      <c r="AL3" s="90" t="s">
        <v>46</v>
      </c>
      <c r="AM3" s="90" t="s">
        <v>47</v>
      </c>
      <c r="AN3" s="90" t="s">
        <v>48</v>
      </c>
      <c r="AO3" s="90" t="s">
        <v>49</v>
      </c>
      <c r="AP3" s="90" t="s">
        <v>50</v>
      </c>
      <c r="AQ3" s="90" t="s">
        <v>51</v>
      </c>
      <c r="AR3" s="95" t="s">
        <v>96</v>
      </c>
      <c r="AS3" s="96" t="s">
        <v>53</v>
      </c>
      <c r="AT3" s="96" t="s">
        <v>51</v>
      </c>
      <c r="AU3" s="97" t="s">
        <v>54</v>
      </c>
      <c r="AV3" s="97" t="s">
        <v>55</v>
      </c>
      <c r="AW3" s="97" t="s">
        <v>56</v>
      </c>
      <c r="AX3" s="97" t="s">
        <v>57</v>
      </c>
      <c r="AY3" s="97" t="s">
        <v>58</v>
      </c>
      <c r="AZ3" s="97" t="s">
        <v>59</v>
      </c>
      <c r="BA3" s="97" t="s">
        <v>60</v>
      </c>
      <c r="BB3" s="97" t="s">
        <v>61</v>
      </c>
      <c r="BC3" s="101" t="s">
        <v>62</v>
      </c>
      <c r="BD3" s="101" t="s">
        <v>63</v>
      </c>
      <c r="BE3" s="101" t="s">
        <v>64</v>
      </c>
      <c r="BF3" s="97" t="s">
        <v>65</v>
      </c>
      <c r="BG3" s="97" t="s">
        <v>66</v>
      </c>
      <c r="BH3" s="97" t="s">
        <v>67</v>
      </c>
      <c r="BI3" s="97" t="s">
        <v>68</v>
      </c>
      <c r="BJ3" s="97" t="s">
        <v>69</v>
      </c>
      <c r="BK3" s="97" t="s">
        <v>70</v>
      </c>
      <c r="BL3" s="97" t="s">
        <v>71</v>
      </c>
      <c r="BM3" s="97" t="s">
        <v>72</v>
      </c>
      <c r="BN3" s="97" t="s">
        <v>73</v>
      </c>
      <c r="BO3" s="97" t="s">
        <v>59</v>
      </c>
      <c r="BP3" s="97" t="s">
        <v>74</v>
      </c>
      <c r="BQ3" s="97" t="s">
        <v>28</v>
      </c>
    </row>
    <row r="4" ht="15.25" spans="1:69">
      <c r="A4" s="67">
        <v>1</v>
      </c>
      <c r="B4" s="67" t="s">
        <v>97</v>
      </c>
      <c r="C4" s="67" t="s">
        <v>97</v>
      </c>
      <c r="D4" s="67" t="s">
        <v>76</v>
      </c>
      <c r="E4" s="67" t="s">
        <v>76</v>
      </c>
      <c r="F4" s="68">
        <v>5</v>
      </c>
      <c r="G4" s="68">
        <v>150</v>
      </c>
      <c r="H4" s="68">
        <f>F4*G4</f>
        <v>750</v>
      </c>
      <c r="I4" s="68">
        <v>5</v>
      </c>
      <c r="J4" s="68">
        <v>8</v>
      </c>
      <c r="K4" s="68">
        <v>5</v>
      </c>
      <c r="L4" s="68">
        <f>H4</f>
        <v>750</v>
      </c>
      <c r="M4" s="68">
        <f>ROUND(L4*I4%,2)</f>
        <v>37.5</v>
      </c>
      <c r="N4" s="68">
        <f>H4-M4</f>
        <v>712.5</v>
      </c>
      <c r="O4" s="68">
        <f>ROUND(N4*J4%,2)</f>
        <v>57</v>
      </c>
      <c r="P4" s="68">
        <f>ROUND(N4-O4,2)</f>
        <v>655.5</v>
      </c>
      <c r="Q4" s="68">
        <f>ROUND(P4*K4%,2)</f>
        <v>32.78</v>
      </c>
      <c r="R4" s="68">
        <f>M4+O4+Q4</f>
        <v>127.28</v>
      </c>
      <c r="S4" s="68">
        <f>(H4-R4)</f>
        <v>622.72</v>
      </c>
      <c r="T4" s="68">
        <v>88363222</v>
      </c>
      <c r="U4" s="68">
        <v>18</v>
      </c>
      <c r="V4" s="68">
        <f>IF(OR($C$2=1,$C$2=4),ROUND((((S4*U4)/100)/2),2),0)</f>
        <v>0</v>
      </c>
      <c r="W4" s="68">
        <f>IF($C$2=1,ROUND((((S4*U4)/100)/2),2),0)</f>
        <v>0</v>
      </c>
      <c r="X4" s="68">
        <f>IF($C$2=2,ROUND(((S4*U4)/100),2),0)</f>
        <v>0</v>
      </c>
      <c r="Y4" s="68">
        <f>IF($C$2=4,ROUND((((S4*U4)/100)/2),2),0)</f>
        <v>0</v>
      </c>
      <c r="Z4" s="68">
        <v>0</v>
      </c>
      <c r="AA4" s="68">
        <f>IF($C2=3,0,(S4*Z4)/100)</f>
        <v>0</v>
      </c>
      <c r="AB4" s="68">
        <f>V4+W4+X4+Y4+AA4</f>
        <v>0</v>
      </c>
      <c r="AC4" s="91">
        <f>IF($V2=1,S4+AB4,S4)</f>
        <v>622.72</v>
      </c>
      <c r="AD4" s="86">
        <v>120</v>
      </c>
      <c r="AE4" s="86">
        <f>IF($P$2=1,(S4/$S$5)*$E$16,AD4/$AD$5*$E$16)</f>
        <v>0</v>
      </c>
      <c r="AF4" s="86"/>
      <c r="AG4" s="86">
        <f>IF($P$2=1,(S4/$S$5)*$E$18,AD4/$AD$5*$E$18)</f>
        <v>0</v>
      </c>
      <c r="AH4" s="86">
        <f>IF($P$2=1,(S4/$S$5)*$E$19,AD4/$AD$5*$E$19)</f>
        <v>0</v>
      </c>
      <c r="AI4" s="86">
        <f>S4*$M$2</f>
        <v>622.72</v>
      </c>
      <c r="AJ4" s="86">
        <f>IF($C$2=3,0,AG4+AH4)</f>
        <v>0</v>
      </c>
      <c r="AK4" s="86">
        <f>IF($C$2=3,AE4+AG4+AH4,0)</f>
        <v>0</v>
      </c>
      <c r="AL4" s="94">
        <v>1</v>
      </c>
      <c r="AM4" s="86">
        <f>F4/AL4</f>
        <v>5</v>
      </c>
      <c r="AN4" s="86">
        <f>ROUND(AI4/AM4,5)</f>
        <v>124.544</v>
      </c>
      <c r="AO4" s="86">
        <f>AJ4/AM4</f>
        <v>0</v>
      </c>
      <c r="AP4" s="86">
        <f>AK4/AM4</f>
        <v>0</v>
      </c>
      <c r="AQ4" s="86" t="s">
        <v>76</v>
      </c>
      <c r="AR4" s="86">
        <f>ROUND(AN4+AO4+AP4,5)</f>
        <v>124.544</v>
      </c>
      <c r="AS4" s="98" t="s">
        <v>98</v>
      </c>
      <c r="AT4" s="99" t="s">
        <v>76</v>
      </c>
      <c r="AU4" s="60" t="s">
        <v>99</v>
      </c>
      <c r="AV4" s="60" t="s">
        <v>100</v>
      </c>
      <c r="AW4" s="99">
        <f>AM4</f>
        <v>5</v>
      </c>
      <c r="AX4" s="99">
        <f>AR4</f>
        <v>124.544</v>
      </c>
      <c r="AY4" s="99">
        <f>AU4+AW4</f>
        <v>115</v>
      </c>
      <c r="AZ4" s="99">
        <f>ROUND(((AU4*AV4)+(AW4*AX4))/(AU4+AW4),3)</f>
        <v>124.545</v>
      </c>
      <c r="BA4" s="104"/>
      <c r="BB4" s="104" t="s">
        <v>80</v>
      </c>
      <c r="BC4" s="105" t="s">
        <v>81</v>
      </c>
      <c r="BD4" s="106" t="s">
        <v>82</v>
      </c>
      <c r="BE4" s="106" t="s">
        <v>83</v>
      </c>
      <c r="BF4" s="104"/>
      <c r="BG4" s="104"/>
      <c r="BH4" s="104"/>
      <c r="BI4" s="99"/>
      <c r="BJ4" s="99"/>
      <c r="BK4" s="99"/>
      <c r="BL4" s="107" t="s">
        <v>101</v>
      </c>
      <c r="BM4" s="60" t="s">
        <v>100</v>
      </c>
      <c r="BN4" s="60" t="s">
        <v>102</v>
      </c>
      <c r="BO4" s="99">
        <f>ROUND((((AW4*AZ4)+(BN4*BM4))/(AW4+BN4)),5)</f>
        <v>124.545</v>
      </c>
      <c r="BP4" s="108">
        <f>ROUND(BN4+AW4,3)</f>
        <v>10</v>
      </c>
      <c r="BQ4" s="109">
        <v>123562</v>
      </c>
    </row>
    <row r="5" ht="15.25" spans="1:69">
      <c r="A5" s="69"/>
      <c r="B5" s="70"/>
      <c r="C5" s="70"/>
      <c r="D5" s="71" t="s">
        <v>87</v>
      </c>
      <c r="E5" s="71"/>
      <c r="F5" s="71"/>
      <c r="G5" s="72"/>
      <c r="H5" s="73">
        <f>SUM(H4:H4)</f>
        <v>750</v>
      </c>
      <c r="I5" s="67"/>
      <c r="J5" s="67"/>
      <c r="K5" s="67"/>
      <c r="L5" s="67"/>
      <c r="M5" s="67"/>
      <c r="N5" s="67"/>
      <c r="O5" s="67"/>
      <c r="P5" s="67"/>
      <c r="Q5" s="67"/>
      <c r="R5" s="87">
        <f t="shared" ref="R5:X5" si="0">SUM(R4:R4)</f>
        <v>127.28</v>
      </c>
      <c r="S5" s="73">
        <f t="shared" si="0"/>
        <v>622.72</v>
      </c>
      <c r="T5" s="87"/>
      <c r="U5" s="87"/>
      <c r="V5" s="88">
        <f t="shared" si="0"/>
        <v>0</v>
      </c>
      <c r="W5" s="88">
        <f t="shared" si="0"/>
        <v>0</v>
      </c>
      <c r="X5" s="88">
        <f t="shared" si="0"/>
        <v>0</v>
      </c>
      <c r="Y5" s="88"/>
      <c r="Z5" s="88"/>
      <c r="AA5" s="88"/>
      <c r="AB5" s="87">
        <f t="shared" ref="AB5:AE5" si="1">SUM(AB4:AB4)</f>
        <v>0</v>
      </c>
      <c r="AC5" s="92">
        <f t="shared" si="1"/>
        <v>622.72</v>
      </c>
      <c r="AD5" s="93">
        <f t="shared" si="1"/>
        <v>120</v>
      </c>
      <c r="AE5" s="93">
        <f t="shared" si="1"/>
        <v>0</v>
      </c>
      <c r="AF5" s="92"/>
      <c r="AG5" s="93">
        <f t="shared" ref="AG5:AK5" si="2">SUM(AG4:AG4)</f>
        <v>0</v>
      </c>
      <c r="AH5" s="93">
        <f>IF($P$2=1,(S5/$S$5)*$E$19,AD5/$AD$5*$E$19)</f>
        <v>0</v>
      </c>
      <c r="AI5" s="93">
        <f t="shared" si="2"/>
        <v>622.72</v>
      </c>
      <c r="AJ5" s="93">
        <f t="shared" si="2"/>
        <v>0</v>
      </c>
      <c r="AK5" s="93">
        <f t="shared" si="2"/>
        <v>0</v>
      </c>
      <c r="AL5" s="92"/>
      <c r="AM5" s="92"/>
      <c r="AN5" s="92"/>
      <c r="AO5" s="92"/>
      <c r="AP5" s="92"/>
      <c r="AQ5" s="92"/>
      <c r="AR5" s="92"/>
      <c r="AS5" s="69"/>
      <c r="AT5" s="69"/>
      <c r="AU5" s="100"/>
      <c r="AV5" s="100"/>
      <c r="AW5" s="69"/>
      <c r="AX5" s="69"/>
      <c r="AY5" s="69"/>
      <c r="AZ5" s="69"/>
      <c r="BA5" s="69"/>
      <c r="BB5" s="69"/>
      <c r="BC5" s="69"/>
      <c r="BD5" s="69"/>
      <c r="BE5" s="69"/>
      <c r="BF5" s="69"/>
      <c r="BG5" s="69"/>
      <c r="BH5" s="69"/>
      <c r="BI5" s="69"/>
      <c r="BJ5" s="69"/>
      <c r="BK5" s="69"/>
      <c r="BL5" s="69"/>
      <c r="BM5" s="69"/>
      <c r="BN5" s="69"/>
      <c r="BO5" s="69"/>
      <c r="BP5" s="100"/>
      <c r="BQ5" s="100"/>
    </row>
    <row r="6" ht="15.25" spans="1:69">
      <c r="A6" s="69"/>
      <c r="B6" s="69"/>
      <c r="C6" s="69"/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69"/>
      <c r="AS6" s="69"/>
      <c r="AT6" s="69"/>
      <c r="AU6" s="69"/>
      <c r="AV6" s="69"/>
      <c r="AW6" s="69"/>
      <c r="AX6" s="69"/>
      <c r="AY6" s="69"/>
      <c r="AZ6" s="69"/>
      <c r="BA6" s="69"/>
      <c r="BB6" s="69"/>
      <c r="BC6" s="69"/>
      <c r="BD6" s="69"/>
      <c r="BE6" s="69"/>
      <c r="BF6" s="69"/>
      <c r="BG6" s="69"/>
      <c r="BH6" s="69"/>
      <c r="BI6" s="69"/>
      <c r="BJ6" s="69"/>
      <c r="BK6" s="69"/>
      <c r="BL6" s="69"/>
      <c r="BM6" s="69"/>
      <c r="BN6" s="69"/>
      <c r="BO6" s="69"/>
      <c r="BP6" s="100"/>
      <c r="BQ6" s="100"/>
    </row>
    <row r="7" ht="15.25" spans="1:69">
      <c r="A7" s="69"/>
      <c r="B7" s="69"/>
      <c r="C7" s="69"/>
      <c r="D7" s="69"/>
      <c r="E7" s="69"/>
      <c r="F7" s="69"/>
      <c r="G7" s="74" t="s">
        <v>103</v>
      </c>
      <c r="H7" s="75"/>
      <c r="I7" s="79">
        <f>H5</f>
        <v>750</v>
      </c>
      <c r="J7" s="79"/>
      <c r="K7" s="69"/>
      <c r="L7" s="69"/>
      <c r="M7" s="80" t="s">
        <v>104</v>
      </c>
      <c r="N7" s="81"/>
      <c r="O7" s="81"/>
      <c r="P7" s="82"/>
      <c r="Q7" s="69"/>
      <c r="R7" s="69"/>
      <c r="S7" s="69"/>
      <c r="T7" s="69"/>
      <c r="U7" s="69"/>
      <c r="V7" s="69"/>
      <c r="W7" s="69"/>
      <c r="X7" s="69"/>
      <c r="Y7" s="69"/>
      <c r="Z7" s="69"/>
      <c r="AA7" s="69"/>
      <c r="AB7" s="69"/>
      <c r="AC7" s="69"/>
      <c r="AD7" s="69"/>
      <c r="AE7" s="69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69"/>
      <c r="AQ7" s="69"/>
      <c r="AR7" s="69"/>
      <c r="AS7" s="69"/>
      <c r="AT7" s="69"/>
      <c r="AU7" s="69"/>
      <c r="AV7" s="69"/>
      <c r="AW7" s="69"/>
      <c r="AX7" s="69"/>
      <c r="AY7" s="69"/>
      <c r="AZ7" s="69"/>
      <c r="BA7" s="69"/>
      <c r="BB7" s="69"/>
      <c r="BC7" s="69"/>
      <c r="BD7" s="69"/>
      <c r="BE7" s="69"/>
      <c r="BF7" s="69"/>
      <c r="BG7" s="69"/>
      <c r="BH7" s="69" t="s">
        <v>105</v>
      </c>
      <c r="BI7" s="120" t="s">
        <v>106</v>
      </c>
      <c r="BJ7" s="69"/>
      <c r="BK7" s="69"/>
      <c r="BL7" s="69"/>
      <c r="BM7" s="69"/>
      <c r="BN7" s="69"/>
      <c r="BO7" s="69"/>
      <c r="BP7" s="100"/>
      <c r="BQ7" s="100"/>
    </row>
    <row r="8" ht="15.25" spans="1:69">
      <c r="A8" s="69"/>
      <c r="B8" s="69"/>
      <c r="C8" s="69"/>
      <c r="D8" s="69"/>
      <c r="E8" s="69"/>
      <c r="F8" s="69"/>
      <c r="G8" s="74" t="s">
        <v>107</v>
      </c>
      <c r="H8" s="75"/>
      <c r="I8" s="79">
        <f>R5</f>
        <v>127.28</v>
      </c>
      <c r="J8" s="79"/>
      <c r="K8" s="69"/>
      <c r="L8" s="69"/>
      <c r="M8" s="83">
        <v>1</v>
      </c>
      <c r="N8" s="83" t="s">
        <v>76</v>
      </c>
      <c r="O8" s="83">
        <v>2</v>
      </c>
      <c r="P8" s="83" t="s">
        <v>89</v>
      </c>
      <c r="Q8" s="69"/>
      <c r="R8" s="69"/>
      <c r="S8" s="69"/>
      <c r="T8" s="69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  <c r="AF8" s="69"/>
      <c r="AG8" s="69"/>
      <c r="AH8" s="69"/>
      <c r="AI8" s="69"/>
      <c r="AJ8" s="69"/>
      <c r="AK8" s="69"/>
      <c r="AL8" s="69"/>
      <c r="AM8" s="69"/>
      <c r="AN8" s="69"/>
      <c r="AO8" s="69"/>
      <c r="AP8" s="69"/>
      <c r="AQ8" s="69"/>
      <c r="AR8" s="69"/>
      <c r="AS8" s="69"/>
      <c r="AT8" s="69"/>
      <c r="AU8" s="69"/>
      <c r="AV8" s="69"/>
      <c r="AW8" s="69"/>
      <c r="AX8" s="69"/>
      <c r="AY8" s="69"/>
      <c r="AZ8" s="69"/>
      <c r="BA8" s="69"/>
      <c r="BB8" s="69"/>
      <c r="BC8" s="69"/>
      <c r="BD8" s="69"/>
      <c r="BE8" s="69"/>
      <c r="BF8" s="69"/>
      <c r="BG8" s="69"/>
      <c r="BH8" s="69" t="s">
        <v>108</v>
      </c>
      <c r="BI8" s="120" t="s">
        <v>109</v>
      </c>
      <c r="BJ8" s="69"/>
      <c r="BK8" s="69"/>
      <c r="BL8" s="69"/>
      <c r="BM8" s="69"/>
      <c r="BN8" s="69"/>
      <c r="BO8" s="69"/>
      <c r="BP8" s="100"/>
      <c r="BQ8" s="100"/>
    </row>
    <row r="9" ht="15.25" spans="1:69">
      <c r="A9" s="69"/>
      <c r="B9" s="69"/>
      <c r="C9" s="69"/>
      <c r="D9" s="69"/>
      <c r="E9" s="69"/>
      <c r="F9" s="69"/>
      <c r="G9" s="74" t="s">
        <v>110</v>
      </c>
      <c r="H9" s="75"/>
      <c r="I9" s="79">
        <f>S5</f>
        <v>622.72</v>
      </c>
      <c r="J9" s="79"/>
      <c r="K9" s="69"/>
      <c r="L9" s="69"/>
      <c r="M9" s="67">
        <v>1</v>
      </c>
      <c r="N9" s="67" t="s">
        <v>76</v>
      </c>
      <c r="O9" s="67">
        <v>2.5</v>
      </c>
      <c r="P9" s="67" t="s">
        <v>111</v>
      </c>
      <c r="Q9" s="69"/>
      <c r="R9" s="69"/>
      <c r="S9" s="69"/>
      <c r="T9" s="69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69"/>
      <c r="AZ9" s="69"/>
      <c r="BA9" s="69"/>
      <c r="BB9" s="69"/>
      <c r="BC9" s="69"/>
      <c r="BD9" s="69"/>
      <c r="BE9" s="69"/>
      <c r="BF9" s="69"/>
      <c r="BG9" s="69"/>
      <c r="BH9" s="69"/>
      <c r="BI9" s="69"/>
      <c r="BJ9" s="69"/>
      <c r="BK9" s="69"/>
      <c r="BL9" s="69"/>
      <c r="BM9" s="69"/>
      <c r="BN9" s="69"/>
      <c r="BO9" s="69"/>
      <c r="BP9" s="100"/>
      <c r="BQ9" s="100"/>
    </row>
    <row r="10" ht="15.25" spans="1:69">
      <c r="A10" s="69"/>
      <c r="B10" s="69"/>
      <c r="C10" s="69"/>
      <c r="D10" s="69"/>
      <c r="E10" s="69"/>
      <c r="F10" s="69"/>
      <c r="G10" s="74" t="s">
        <v>112</v>
      </c>
      <c r="H10" s="75"/>
      <c r="I10" s="79">
        <f>AB5</f>
        <v>0</v>
      </c>
      <c r="J10" s="79"/>
      <c r="K10" s="69"/>
      <c r="L10" s="69"/>
      <c r="M10" s="67">
        <v>1</v>
      </c>
      <c r="N10" s="67" t="s">
        <v>89</v>
      </c>
      <c r="O10" s="67">
        <v>0.001</v>
      </c>
      <c r="P10" s="67" t="s">
        <v>113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69"/>
      <c r="AS10" s="69"/>
      <c r="AT10" s="69"/>
      <c r="AU10" s="69"/>
      <c r="AV10" s="69"/>
      <c r="AW10" s="69"/>
      <c r="AX10" s="69"/>
      <c r="AY10" s="69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100"/>
      <c r="BQ10" s="100"/>
    </row>
    <row r="11" ht="15.25" spans="1:69">
      <c r="A11" s="69"/>
      <c r="B11" s="69"/>
      <c r="C11" s="69"/>
      <c r="D11" s="69"/>
      <c r="E11" s="69"/>
      <c r="F11" s="69"/>
      <c r="G11" s="74" t="s">
        <v>114</v>
      </c>
      <c r="H11" s="75"/>
      <c r="I11" s="84">
        <f>I9+I10</f>
        <v>622.72</v>
      </c>
      <c r="J11" s="84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100"/>
      <c r="BQ11" s="100"/>
    </row>
    <row r="12" spans="1:69">
      <c r="A12" s="69"/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 t="s">
        <v>115</v>
      </c>
      <c r="BN12" s="69" t="s">
        <v>116</v>
      </c>
      <c r="BO12" s="69"/>
      <c r="BP12" s="100"/>
      <c r="BQ12" s="100"/>
    </row>
    <row r="13" spans="1:69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69"/>
      <c r="AS13" s="69"/>
      <c r="AT13" s="69"/>
      <c r="AU13" s="69"/>
      <c r="AV13" s="69"/>
      <c r="AW13" s="69"/>
      <c r="AX13" s="69"/>
      <c r="AY13" s="69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 t="s">
        <v>117</v>
      </c>
      <c r="BL13" s="69">
        <v>12.5</v>
      </c>
      <c r="BM13" s="69">
        <f>BL15*BL16</f>
        <v>18277.77</v>
      </c>
      <c r="BN13" s="69">
        <f>BL13*BL14</f>
        <v>6092.59</v>
      </c>
      <c r="BO13" s="69"/>
      <c r="BP13" s="100"/>
      <c r="BQ13" s="100"/>
    </row>
    <row r="14" spans="1:69">
      <c r="A14" s="69"/>
      <c r="B14" s="69"/>
      <c r="C14" s="69"/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69"/>
      <c r="AT14" s="69"/>
      <c r="AU14" s="69"/>
      <c r="AV14" s="69"/>
      <c r="AW14" s="69"/>
      <c r="AX14" s="69"/>
      <c r="AY14" s="69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 t="s">
        <v>118</v>
      </c>
      <c r="BL14" s="69">
        <v>487.4072</v>
      </c>
      <c r="BM14" s="69">
        <f>BL13+BL15</f>
        <v>50</v>
      </c>
      <c r="BN14" s="69"/>
      <c r="BO14" s="69"/>
      <c r="BP14" s="100"/>
      <c r="BQ14" s="100"/>
    </row>
    <row r="15" spans="1:69">
      <c r="A15" s="69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 t="s">
        <v>119</v>
      </c>
      <c r="BL15" s="69">
        <v>37.5</v>
      </c>
      <c r="BM15" s="69"/>
      <c r="BN15" s="69"/>
      <c r="BO15" s="69"/>
      <c r="BP15" s="100"/>
      <c r="BQ15" s="100"/>
    </row>
    <row r="16" spans="1:69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69"/>
      <c r="AQ16" s="69"/>
      <c r="AR16" s="69"/>
      <c r="AS16" s="69"/>
      <c r="AT16" s="69"/>
      <c r="AU16" s="69"/>
      <c r="AV16" s="69"/>
      <c r="AW16" s="69"/>
      <c r="AX16" s="69"/>
      <c r="AY16" s="69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 t="s">
        <v>120</v>
      </c>
      <c r="BL16" s="69">
        <v>487.4072</v>
      </c>
      <c r="BM16" s="69"/>
      <c r="BN16" s="69"/>
      <c r="BO16" s="69"/>
      <c r="BP16" s="100"/>
      <c r="BQ16" s="100"/>
    </row>
    <row r="17" spans="1:69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>
        <f>BM13+BN13</f>
        <v>24370.36</v>
      </c>
      <c r="BN17" s="69">
        <f>BM17/BM14</f>
        <v>487.4072</v>
      </c>
      <c r="BO17" s="69"/>
      <c r="BP17" s="100"/>
      <c r="BQ17" s="100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7" sqref="C7"/>
    </sheetView>
  </sheetViews>
  <sheetFormatPr defaultColWidth="8.70909090909091" defaultRowHeight="14.5" outlineLevelRow="4"/>
  <cols>
    <col min="1" max="1" width="8.70909090909091" style="110"/>
    <col min="2" max="2" width="21.1363636363636" style="110" customWidth="1"/>
    <col min="3" max="3" width="21.2818181818182" style="110" customWidth="1"/>
    <col min="4" max="16384" width="8.70909090909091" style="110"/>
  </cols>
  <sheetData>
    <row r="1" spans="1:69">
      <c r="A1" s="61" t="s">
        <v>0</v>
      </c>
      <c r="B1" s="62"/>
      <c r="C1" s="62"/>
      <c r="D1" s="62"/>
      <c r="E1" s="62"/>
      <c r="F1" s="62"/>
      <c r="G1" s="62"/>
      <c r="H1" s="61"/>
      <c r="I1" s="76"/>
      <c r="J1" s="76"/>
      <c r="K1" s="76"/>
      <c r="L1" s="76"/>
      <c r="M1" s="76"/>
      <c r="N1" s="76"/>
      <c r="O1" s="76"/>
      <c r="P1" s="76"/>
      <c r="Q1" s="76"/>
      <c r="R1" s="61"/>
      <c r="S1" s="61"/>
      <c r="T1" s="61"/>
      <c r="U1" s="61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  <c r="AQ1" s="69"/>
      <c r="AR1" s="69"/>
      <c r="AS1" s="69"/>
      <c r="AT1" s="69"/>
      <c r="AU1" s="69"/>
      <c r="AV1" s="69"/>
      <c r="AW1" s="69"/>
      <c r="AX1" s="69"/>
      <c r="AY1" s="69"/>
      <c r="AZ1" s="69"/>
      <c r="BA1" s="69"/>
      <c r="BB1" s="69"/>
      <c r="BC1" s="69"/>
      <c r="BD1" s="69"/>
      <c r="BE1" s="69"/>
      <c r="BF1" s="69"/>
      <c r="BG1" s="69"/>
      <c r="BH1" s="69"/>
      <c r="BI1" s="69"/>
      <c r="BJ1" s="69"/>
      <c r="BK1" s="69"/>
      <c r="BL1" s="69"/>
      <c r="BM1" s="69"/>
      <c r="BN1" s="69"/>
      <c r="BO1" s="69"/>
      <c r="BP1" s="100"/>
      <c r="BQ1" s="100"/>
    </row>
    <row r="2" ht="15.25" spans="1:69">
      <c r="A2" s="63" t="s">
        <v>1</v>
      </c>
      <c r="B2" s="63"/>
      <c r="C2" s="64">
        <v>3</v>
      </c>
      <c r="D2" s="65" t="s">
        <v>2</v>
      </c>
      <c r="E2" s="62"/>
      <c r="F2" s="62"/>
      <c r="G2" s="62"/>
      <c r="H2" s="61"/>
      <c r="I2" s="76" t="s">
        <v>3</v>
      </c>
      <c r="J2" s="76" t="s">
        <v>4</v>
      </c>
      <c r="K2" s="76"/>
      <c r="L2" s="76" t="s">
        <v>5</v>
      </c>
      <c r="M2" s="76">
        <v>1</v>
      </c>
      <c r="N2" s="76"/>
      <c r="O2" s="76" t="s">
        <v>6</v>
      </c>
      <c r="P2" s="76">
        <v>2</v>
      </c>
      <c r="Q2" s="76" t="s">
        <v>7</v>
      </c>
      <c r="R2" s="61"/>
      <c r="S2" s="61"/>
      <c r="T2" s="61"/>
      <c r="U2" s="61"/>
      <c r="V2" s="61">
        <v>1</v>
      </c>
      <c r="W2" s="61" t="s">
        <v>8</v>
      </c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69"/>
      <c r="AT2" s="69"/>
      <c r="AU2" s="69"/>
      <c r="AV2" s="69"/>
      <c r="AW2" s="69"/>
      <c r="AX2" s="69"/>
      <c r="AY2" s="69"/>
      <c r="AZ2" s="69"/>
      <c r="BA2" s="69"/>
      <c r="BB2" s="69"/>
      <c r="BC2" s="69"/>
      <c r="BD2" s="69"/>
      <c r="BE2" s="69"/>
      <c r="BF2" s="69"/>
      <c r="BG2" s="69"/>
      <c r="BH2" s="69"/>
      <c r="BI2" s="69"/>
      <c r="BJ2" s="69"/>
      <c r="BK2" s="69"/>
      <c r="BL2" s="69"/>
      <c r="BM2" s="69"/>
      <c r="BN2" s="69"/>
      <c r="BO2" s="69"/>
      <c r="BP2" s="100"/>
      <c r="BQ2" s="100"/>
    </row>
    <row r="3" ht="45" spans="1:69">
      <c r="A3" s="66" t="s">
        <v>90</v>
      </c>
      <c r="B3" s="66" t="s">
        <v>10</v>
      </c>
      <c r="C3" s="66" t="s">
        <v>91</v>
      </c>
      <c r="D3" s="66" t="s">
        <v>12</v>
      </c>
      <c r="E3" s="66" t="s">
        <v>13</v>
      </c>
      <c r="F3" s="66" t="s">
        <v>92</v>
      </c>
      <c r="G3" s="66" t="s">
        <v>15</v>
      </c>
      <c r="H3" s="66" t="s">
        <v>16</v>
      </c>
      <c r="I3" s="77" t="s">
        <v>17</v>
      </c>
      <c r="J3" s="77" t="s">
        <v>19</v>
      </c>
      <c r="K3" s="77" t="s">
        <v>18</v>
      </c>
      <c r="L3" s="78" t="s">
        <v>20</v>
      </c>
      <c r="M3" s="78" t="s">
        <v>21</v>
      </c>
      <c r="N3" s="78" t="s">
        <v>24</v>
      </c>
      <c r="O3" s="78" t="s">
        <v>25</v>
      </c>
      <c r="P3" s="78" t="s">
        <v>93</v>
      </c>
      <c r="Q3" s="78" t="s">
        <v>23</v>
      </c>
      <c r="R3" s="77" t="s">
        <v>26</v>
      </c>
      <c r="S3" s="66" t="s">
        <v>94</v>
      </c>
      <c r="T3" s="66" t="s">
        <v>28</v>
      </c>
      <c r="U3" s="85" t="s">
        <v>95</v>
      </c>
      <c r="V3" s="85" t="s">
        <v>30</v>
      </c>
      <c r="W3" s="85" t="s">
        <v>31</v>
      </c>
      <c r="X3" s="85" t="s">
        <v>32</v>
      </c>
      <c r="Y3" s="89" t="s">
        <v>33</v>
      </c>
      <c r="Z3" s="89" t="s">
        <v>34</v>
      </c>
      <c r="AA3" s="89" t="s">
        <v>35</v>
      </c>
      <c r="AB3" s="89" t="s">
        <v>36</v>
      </c>
      <c r="AC3" s="90" t="s">
        <v>37</v>
      </c>
      <c r="AD3" s="90" t="s">
        <v>38</v>
      </c>
      <c r="AE3" s="90" t="s">
        <v>39</v>
      </c>
      <c r="AF3" s="90" t="s">
        <v>40</v>
      </c>
      <c r="AG3" s="90" t="s">
        <v>41</v>
      </c>
      <c r="AH3" s="90" t="s">
        <v>42</v>
      </c>
      <c r="AI3" s="90" t="s">
        <v>43</v>
      </c>
      <c r="AJ3" s="90" t="s">
        <v>44</v>
      </c>
      <c r="AK3" s="90" t="s">
        <v>45</v>
      </c>
      <c r="AL3" s="90" t="s">
        <v>46</v>
      </c>
      <c r="AM3" s="90" t="s">
        <v>47</v>
      </c>
      <c r="AN3" s="90" t="s">
        <v>48</v>
      </c>
      <c r="AO3" s="90" t="s">
        <v>49</v>
      </c>
      <c r="AP3" s="90" t="s">
        <v>50</v>
      </c>
      <c r="AQ3" s="90" t="s">
        <v>51</v>
      </c>
      <c r="AR3" s="95" t="s">
        <v>96</v>
      </c>
      <c r="AS3" s="96" t="s">
        <v>53</v>
      </c>
      <c r="AT3" s="96" t="s">
        <v>51</v>
      </c>
      <c r="AU3" s="97" t="s">
        <v>54</v>
      </c>
      <c r="AV3" s="97" t="s">
        <v>55</v>
      </c>
      <c r="AW3" s="97" t="s">
        <v>56</v>
      </c>
      <c r="AX3" s="97" t="s">
        <v>57</v>
      </c>
      <c r="AY3" s="97" t="s">
        <v>58</v>
      </c>
      <c r="AZ3" s="97" t="s">
        <v>59</v>
      </c>
      <c r="BA3" s="97" t="s">
        <v>60</v>
      </c>
      <c r="BB3" s="97" t="s">
        <v>61</v>
      </c>
      <c r="BC3" s="101" t="s">
        <v>62</v>
      </c>
      <c r="BD3" s="101" t="s">
        <v>63</v>
      </c>
      <c r="BE3" s="101" t="s">
        <v>64</v>
      </c>
      <c r="BF3" s="97" t="s">
        <v>65</v>
      </c>
      <c r="BG3" s="97" t="s">
        <v>66</v>
      </c>
      <c r="BH3" s="97" t="s">
        <v>67</v>
      </c>
      <c r="BI3" s="97" t="s">
        <v>68</v>
      </c>
      <c r="BJ3" s="97" t="s">
        <v>69</v>
      </c>
      <c r="BK3" s="97" t="s">
        <v>70</v>
      </c>
      <c r="BL3" s="97" t="s">
        <v>71</v>
      </c>
      <c r="BM3" s="97" t="s">
        <v>72</v>
      </c>
      <c r="BN3" s="97" t="s">
        <v>73</v>
      </c>
      <c r="BO3" s="97" t="s">
        <v>59</v>
      </c>
      <c r="BP3" s="97" t="s">
        <v>74</v>
      </c>
      <c r="BQ3" s="97" t="s">
        <v>28</v>
      </c>
    </row>
    <row r="4" ht="15.25" spans="1:69">
      <c r="A4" s="67">
        <v>1</v>
      </c>
      <c r="B4" s="67" t="s">
        <v>121</v>
      </c>
      <c r="C4" s="67" t="s">
        <v>121</v>
      </c>
      <c r="D4" s="67" t="s">
        <v>76</v>
      </c>
      <c r="E4" s="67" t="s">
        <v>76</v>
      </c>
      <c r="F4" s="68">
        <v>5</v>
      </c>
      <c r="G4" s="60" t="s">
        <v>122</v>
      </c>
      <c r="H4" s="68">
        <f>F4*G4</f>
        <v>250</v>
      </c>
      <c r="I4" s="60" t="s">
        <v>102</v>
      </c>
      <c r="J4" s="68">
        <v>8</v>
      </c>
      <c r="K4" s="68">
        <v>5</v>
      </c>
      <c r="L4" s="68">
        <f>IF(OR(I4=0,I4="0"),0,H4)</f>
        <v>250</v>
      </c>
      <c r="M4" s="68">
        <f>ROUND(L4*I4%,3)</f>
        <v>12.5</v>
      </c>
      <c r="N4" s="68">
        <f>H4-M4</f>
        <v>237.5</v>
      </c>
      <c r="O4" s="68">
        <f>ROUND(N4*J4%,3)</f>
        <v>19</v>
      </c>
      <c r="P4" s="68">
        <f>ROUND(N4-O4,2)</f>
        <v>218.5</v>
      </c>
      <c r="Q4" s="68">
        <f>ROUND(P4*K4%,2)</f>
        <v>10.93</v>
      </c>
      <c r="R4" s="86">
        <f>ROUND(M4+O4+Q4,3)</f>
        <v>42.43</v>
      </c>
      <c r="S4" s="86">
        <f>(H4-R4)</f>
        <v>207.57</v>
      </c>
      <c r="T4" s="68">
        <v>88363222</v>
      </c>
      <c r="U4" s="68">
        <v>18</v>
      </c>
      <c r="V4" s="68">
        <f>IF(OR($C$2=1,$C$2=4),ROUND((((S4*U4)/100)/2),2),0)</f>
        <v>0</v>
      </c>
      <c r="W4" s="68">
        <f>IF($C$2=1,ROUND((((S4*U4)/100)/2),2),0)</f>
        <v>0</v>
      </c>
      <c r="X4" s="68">
        <f>IF($C$2=2,ROUND(((S4*U4)/100),2),0)</f>
        <v>0</v>
      </c>
      <c r="Y4" s="68">
        <f>IF($C$2=4,ROUND((((S4*U4)/100)/2),2),0)</f>
        <v>0</v>
      </c>
      <c r="Z4" s="68">
        <v>0</v>
      </c>
      <c r="AA4" s="68">
        <f>IF($C2=3,0,(S4*Z4)/100)</f>
        <v>0</v>
      </c>
      <c r="AB4" s="68">
        <f>V4+W4+X4+Y4+AA4</f>
        <v>0</v>
      </c>
      <c r="AC4" s="91">
        <f>IF($V2=1,S4+AB4,S4)</f>
        <v>207.57</v>
      </c>
      <c r="AD4" s="86">
        <v>120</v>
      </c>
      <c r="AE4" s="86">
        <f>IF($P$2=1,(S4/$S$5)*$E$16,AD4/$AD$5*$E$16)</f>
        <v>0</v>
      </c>
      <c r="AF4" s="86"/>
      <c r="AG4" s="86">
        <f>IF($P$2=1,(S4/$S$5)*$E$18,AD4/$AD$5*$E$18)</f>
        <v>0</v>
      </c>
      <c r="AH4" s="86">
        <f>IF($P$2=1,(S4/$S$5)*$E$19,AD4/$AD$5*$E$19)</f>
        <v>0</v>
      </c>
      <c r="AI4" s="86">
        <f>S4*$M2</f>
        <v>207.57</v>
      </c>
      <c r="AJ4" s="86">
        <f>IF($C$2=3,0,AG4+AH4)</f>
        <v>0</v>
      </c>
      <c r="AK4" s="86">
        <f>IF($C$2=3,AE4+AG4+AH4,0)</f>
        <v>0</v>
      </c>
      <c r="AL4" s="94">
        <v>1</v>
      </c>
      <c r="AM4" s="86">
        <f>F4/AL4</f>
        <v>5</v>
      </c>
      <c r="AN4" s="86">
        <f>ROUND(AI4/AM4,5)</f>
        <v>41.514</v>
      </c>
      <c r="AO4" s="86">
        <f>AJ4/AM4</f>
        <v>0</v>
      </c>
      <c r="AP4" s="86">
        <f>AK4/AM4</f>
        <v>0</v>
      </c>
      <c r="AQ4" s="86" t="s">
        <v>76</v>
      </c>
      <c r="AR4" s="86">
        <f>ROUND(AN4+AO4+AP4,5)</f>
        <v>41.514</v>
      </c>
      <c r="AS4" s="98" t="s">
        <v>98</v>
      </c>
      <c r="AT4" s="99" t="s">
        <v>76</v>
      </c>
      <c r="AU4" s="60" t="s">
        <v>123</v>
      </c>
      <c r="AV4" s="60" t="s">
        <v>124</v>
      </c>
      <c r="AW4" s="99">
        <f>AM4</f>
        <v>5</v>
      </c>
      <c r="AX4" s="102">
        <f>AR4</f>
        <v>41.514</v>
      </c>
      <c r="AY4" s="99">
        <f>AU4+AW4</f>
        <v>20</v>
      </c>
      <c r="AZ4" s="99">
        <f>ROUND(((AU4*AV4)+(AW4*AX4))/(AU4+AW4),3)</f>
        <v>41.515</v>
      </c>
      <c r="BA4" s="104"/>
      <c r="BB4" s="104" t="s">
        <v>80</v>
      </c>
      <c r="BC4" s="105" t="s">
        <v>81</v>
      </c>
      <c r="BD4" s="106" t="s">
        <v>82</v>
      </c>
      <c r="BE4" s="106" t="s">
        <v>83</v>
      </c>
      <c r="BF4" s="104"/>
      <c r="BG4" s="104"/>
      <c r="BH4" s="104"/>
      <c r="BI4" s="99"/>
      <c r="BJ4" s="99"/>
      <c r="BK4" s="99"/>
      <c r="BL4" s="107" t="s">
        <v>101</v>
      </c>
      <c r="BM4" s="60" t="s">
        <v>124</v>
      </c>
      <c r="BN4" s="60" t="s">
        <v>102</v>
      </c>
      <c r="BO4" s="99">
        <f>ROUND((((AW4*AZ4)+(BN4*BM4))/(AW4+BN4)),5)</f>
        <v>41.515</v>
      </c>
      <c r="BP4" s="108">
        <f>ROUND(BN4+AW4,3)</f>
        <v>10</v>
      </c>
      <c r="BQ4" s="109">
        <v>123562</v>
      </c>
    </row>
    <row r="5" ht="15.25" spans="1:69">
      <c r="A5" s="69"/>
      <c r="B5" s="70"/>
      <c r="C5" s="70"/>
      <c r="D5" s="71" t="s">
        <v>87</v>
      </c>
      <c r="E5" s="71"/>
      <c r="F5" s="71"/>
      <c r="G5" s="72"/>
      <c r="H5" s="73">
        <f>SUM(H4:H4)</f>
        <v>250</v>
      </c>
      <c r="I5" s="67"/>
      <c r="J5" s="67"/>
      <c r="K5" s="67"/>
      <c r="L5" s="67"/>
      <c r="M5" s="67"/>
      <c r="N5" s="67"/>
      <c r="O5" s="67"/>
      <c r="P5" s="67"/>
      <c r="Q5" s="67"/>
      <c r="R5" s="87">
        <f t="shared" ref="R5:X5" si="0">SUM(R4:R4)</f>
        <v>42.43</v>
      </c>
      <c r="S5" s="73">
        <f t="shared" si="0"/>
        <v>207.57</v>
      </c>
      <c r="T5" s="87"/>
      <c r="U5" s="87"/>
      <c r="V5" s="88">
        <f t="shared" si="0"/>
        <v>0</v>
      </c>
      <c r="W5" s="88">
        <f t="shared" si="0"/>
        <v>0</v>
      </c>
      <c r="X5" s="88">
        <f t="shared" si="0"/>
        <v>0</v>
      </c>
      <c r="Y5" s="88"/>
      <c r="Z5" s="88"/>
      <c r="AA5" s="88"/>
      <c r="AB5" s="87">
        <f t="shared" ref="AB5:AE5" si="1">SUM(AB4:AB4)</f>
        <v>0</v>
      </c>
      <c r="AC5" s="92">
        <f t="shared" si="1"/>
        <v>207.57</v>
      </c>
      <c r="AD5" s="93">
        <f t="shared" si="1"/>
        <v>120</v>
      </c>
      <c r="AE5" s="93">
        <f t="shared" si="1"/>
        <v>0</v>
      </c>
      <c r="AF5" s="92"/>
      <c r="AG5" s="93">
        <f t="shared" ref="AG5:AK5" si="2">SUM(AG4:AG4)</f>
        <v>0</v>
      </c>
      <c r="AH5" s="93">
        <f>IF($P$2=1,(S5/$S$5)*$E$19,AD5/$AD$5*$E$19)</f>
        <v>0</v>
      </c>
      <c r="AI5" s="93">
        <f t="shared" si="2"/>
        <v>207.57</v>
      </c>
      <c r="AJ5" s="93">
        <f t="shared" si="2"/>
        <v>0</v>
      </c>
      <c r="AK5" s="93">
        <f t="shared" si="2"/>
        <v>0</v>
      </c>
      <c r="AL5" s="92"/>
      <c r="AM5" s="92"/>
      <c r="AN5" s="92"/>
      <c r="AO5" s="92"/>
      <c r="AP5" s="92"/>
      <c r="AQ5" s="92"/>
      <c r="AR5" s="92"/>
      <c r="AS5" s="69"/>
      <c r="AT5" s="69"/>
      <c r="AU5" s="100"/>
      <c r="AV5" s="100"/>
      <c r="AW5" s="69"/>
      <c r="AX5" s="69"/>
      <c r="AY5" s="69"/>
      <c r="AZ5" s="69"/>
      <c r="BA5" s="69"/>
      <c r="BB5" s="69"/>
      <c r="BC5" s="69"/>
      <c r="BD5" s="69"/>
      <c r="BE5" s="69"/>
      <c r="BF5" s="69"/>
      <c r="BG5" s="69"/>
      <c r="BH5" s="69"/>
      <c r="BI5" s="69"/>
      <c r="BJ5" s="69"/>
      <c r="BK5" s="69"/>
      <c r="BL5" s="69"/>
      <c r="BM5" s="69"/>
      <c r="BN5" s="69"/>
      <c r="BO5" s="69"/>
      <c r="BP5" s="100"/>
      <c r="BQ5" s="10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AI1" workbookViewId="0">
      <selection activeCell="AS12" sqref="AS12"/>
    </sheetView>
  </sheetViews>
  <sheetFormatPr defaultColWidth="8.70909090909091" defaultRowHeight="14.5" outlineLevelRow="4"/>
  <cols>
    <col min="1" max="1" width="8.70909090909091" style="110"/>
    <col min="2" max="2" width="21.1363636363636" style="110" customWidth="1"/>
    <col min="3" max="3" width="21.2818181818182" style="110" customWidth="1"/>
    <col min="4" max="16384" width="8.70909090909091" style="110"/>
  </cols>
  <sheetData>
    <row r="1" spans="1:69">
      <c r="A1" s="61" t="s">
        <v>0</v>
      </c>
      <c r="B1" s="62"/>
      <c r="C1" s="62"/>
      <c r="D1" s="62"/>
      <c r="E1" s="62"/>
      <c r="F1" s="62"/>
      <c r="G1" s="62"/>
      <c r="H1" s="61"/>
      <c r="I1" s="76"/>
      <c r="J1" s="76"/>
      <c r="K1" s="76"/>
      <c r="L1" s="76"/>
      <c r="M1" s="76"/>
      <c r="N1" s="76"/>
      <c r="O1" s="76"/>
      <c r="P1" s="76"/>
      <c r="Q1" s="76"/>
      <c r="R1" s="61"/>
      <c r="S1" s="61"/>
      <c r="T1" s="61"/>
      <c r="U1" s="61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  <c r="AQ1" s="69"/>
      <c r="AR1" s="69"/>
      <c r="AS1" s="69"/>
      <c r="AT1" s="69"/>
      <c r="AU1" s="69"/>
      <c r="AV1" s="69"/>
      <c r="AW1" s="69"/>
      <c r="AX1" s="69"/>
      <c r="AY1" s="69"/>
      <c r="AZ1" s="69"/>
      <c r="BA1" s="69"/>
      <c r="BB1" s="69"/>
      <c r="BC1" s="69"/>
      <c r="BD1" s="69"/>
      <c r="BE1" s="69"/>
      <c r="BF1" s="69"/>
      <c r="BG1" s="69"/>
      <c r="BH1" s="69"/>
      <c r="BI1" s="69"/>
      <c r="BJ1" s="69"/>
      <c r="BK1" s="69"/>
      <c r="BL1" s="69"/>
      <c r="BM1" s="69"/>
      <c r="BN1" s="69"/>
      <c r="BO1" s="69"/>
      <c r="BP1" s="100"/>
      <c r="BQ1" s="100"/>
    </row>
    <row r="2" ht="15.25" spans="1:69">
      <c r="A2" s="63" t="s">
        <v>1</v>
      </c>
      <c r="B2" s="63"/>
      <c r="C2" s="64">
        <v>3</v>
      </c>
      <c r="D2" s="65" t="s">
        <v>2</v>
      </c>
      <c r="E2" s="62"/>
      <c r="F2" s="62"/>
      <c r="G2" s="62"/>
      <c r="H2" s="61"/>
      <c r="I2" s="76" t="s">
        <v>3</v>
      </c>
      <c r="J2" s="76" t="s">
        <v>4</v>
      </c>
      <c r="K2" s="76"/>
      <c r="L2" s="76" t="s">
        <v>5</v>
      </c>
      <c r="M2" s="76">
        <v>1</v>
      </c>
      <c r="N2" s="76"/>
      <c r="O2" s="76" t="s">
        <v>6</v>
      </c>
      <c r="P2" s="76">
        <v>2</v>
      </c>
      <c r="Q2" s="76" t="s">
        <v>7</v>
      </c>
      <c r="R2" s="61"/>
      <c r="S2" s="61"/>
      <c r="T2" s="61"/>
      <c r="U2" s="61"/>
      <c r="V2" s="61">
        <v>1</v>
      </c>
      <c r="W2" s="61" t="s">
        <v>8</v>
      </c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69"/>
      <c r="AT2" s="69"/>
      <c r="AU2" s="69"/>
      <c r="AV2" s="69"/>
      <c r="AW2" s="69"/>
      <c r="AX2" s="69"/>
      <c r="AY2" s="69"/>
      <c r="AZ2" s="69"/>
      <c r="BA2" s="69"/>
      <c r="BB2" s="69"/>
      <c r="BC2" s="69"/>
      <c r="BD2" s="69"/>
      <c r="BE2" s="69"/>
      <c r="BF2" s="69"/>
      <c r="BG2" s="69"/>
      <c r="BH2" s="69"/>
      <c r="BI2" s="69"/>
      <c r="BJ2" s="69"/>
      <c r="BK2" s="69"/>
      <c r="BL2" s="69"/>
      <c r="BM2" s="69"/>
      <c r="BN2" s="69"/>
      <c r="BO2" s="69"/>
      <c r="BP2" s="100"/>
      <c r="BQ2" s="100"/>
    </row>
    <row r="3" ht="45" spans="1:69">
      <c r="A3" s="66" t="s">
        <v>90</v>
      </c>
      <c r="B3" s="66" t="s">
        <v>10</v>
      </c>
      <c r="C3" s="66" t="s">
        <v>91</v>
      </c>
      <c r="D3" s="66" t="s">
        <v>12</v>
      </c>
      <c r="E3" s="66" t="s">
        <v>13</v>
      </c>
      <c r="F3" s="66" t="s">
        <v>92</v>
      </c>
      <c r="G3" s="66" t="s">
        <v>15</v>
      </c>
      <c r="H3" s="66" t="s">
        <v>16</v>
      </c>
      <c r="I3" s="77" t="s">
        <v>17</v>
      </c>
      <c r="J3" s="77" t="s">
        <v>19</v>
      </c>
      <c r="K3" s="77" t="s">
        <v>18</v>
      </c>
      <c r="L3" s="78" t="s">
        <v>20</v>
      </c>
      <c r="M3" s="78" t="s">
        <v>21</v>
      </c>
      <c r="N3" s="78" t="s">
        <v>24</v>
      </c>
      <c r="O3" s="78" t="s">
        <v>25</v>
      </c>
      <c r="P3" s="78" t="s">
        <v>93</v>
      </c>
      <c r="Q3" s="78" t="s">
        <v>23</v>
      </c>
      <c r="R3" s="77" t="s">
        <v>26</v>
      </c>
      <c r="S3" s="66" t="s">
        <v>94</v>
      </c>
      <c r="T3" s="66" t="s">
        <v>28</v>
      </c>
      <c r="U3" s="85" t="s">
        <v>95</v>
      </c>
      <c r="V3" s="85" t="s">
        <v>30</v>
      </c>
      <c r="W3" s="85" t="s">
        <v>31</v>
      </c>
      <c r="X3" s="85" t="s">
        <v>32</v>
      </c>
      <c r="Y3" s="89" t="s">
        <v>33</v>
      </c>
      <c r="Z3" s="89" t="s">
        <v>34</v>
      </c>
      <c r="AA3" s="89" t="s">
        <v>35</v>
      </c>
      <c r="AB3" s="89" t="s">
        <v>36</v>
      </c>
      <c r="AC3" s="90" t="s">
        <v>37</v>
      </c>
      <c r="AD3" s="90" t="s">
        <v>38</v>
      </c>
      <c r="AE3" s="90" t="s">
        <v>39</v>
      </c>
      <c r="AF3" s="90" t="s">
        <v>40</v>
      </c>
      <c r="AG3" s="90" t="s">
        <v>41</v>
      </c>
      <c r="AH3" s="90" t="s">
        <v>42</v>
      </c>
      <c r="AI3" s="90" t="s">
        <v>43</v>
      </c>
      <c r="AJ3" s="90" t="s">
        <v>44</v>
      </c>
      <c r="AK3" s="90" t="s">
        <v>45</v>
      </c>
      <c r="AL3" s="90" t="s">
        <v>46</v>
      </c>
      <c r="AM3" s="90" t="s">
        <v>47</v>
      </c>
      <c r="AN3" s="90" t="s">
        <v>48</v>
      </c>
      <c r="AO3" s="90" t="s">
        <v>49</v>
      </c>
      <c r="AP3" s="90" t="s">
        <v>50</v>
      </c>
      <c r="AQ3" s="90" t="s">
        <v>51</v>
      </c>
      <c r="AR3" s="95" t="s">
        <v>96</v>
      </c>
      <c r="AS3" s="96" t="s">
        <v>53</v>
      </c>
      <c r="AT3" s="96" t="s">
        <v>51</v>
      </c>
      <c r="AU3" s="97" t="s">
        <v>54</v>
      </c>
      <c r="AV3" s="97" t="s">
        <v>55</v>
      </c>
      <c r="AW3" s="97" t="s">
        <v>56</v>
      </c>
      <c r="AX3" s="97" t="s">
        <v>57</v>
      </c>
      <c r="AY3" s="97" t="s">
        <v>58</v>
      </c>
      <c r="AZ3" s="97" t="s">
        <v>59</v>
      </c>
      <c r="BA3" s="97" t="s">
        <v>60</v>
      </c>
      <c r="BB3" s="97" t="s">
        <v>61</v>
      </c>
      <c r="BC3" s="101" t="s">
        <v>62</v>
      </c>
      <c r="BD3" s="101" t="s">
        <v>63</v>
      </c>
      <c r="BE3" s="101" t="s">
        <v>64</v>
      </c>
      <c r="BF3" s="97" t="s">
        <v>65</v>
      </c>
      <c r="BG3" s="97" t="s">
        <v>66</v>
      </c>
      <c r="BH3" s="97" t="s">
        <v>67</v>
      </c>
      <c r="BI3" s="97" t="s">
        <v>68</v>
      </c>
      <c r="BJ3" s="97" t="s">
        <v>69</v>
      </c>
      <c r="BK3" s="97" t="s">
        <v>70</v>
      </c>
      <c r="BL3" s="97" t="s">
        <v>71</v>
      </c>
      <c r="BM3" s="97" t="s">
        <v>72</v>
      </c>
      <c r="BN3" s="97" t="s">
        <v>73</v>
      </c>
      <c r="BO3" s="97" t="s">
        <v>59</v>
      </c>
      <c r="BP3" s="97" t="s">
        <v>74</v>
      </c>
      <c r="BQ3" s="97" t="s">
        <v>28</v>
      </c>
    </row>
    <row r="4" ht="15.25" spans="1:69">
      <c r="A4" s="67">
        <v>1</v>
      </c>
      <c r="B4" s="67" t="s">
        <v>125</v>
      </c>
      <c r="C4" s="67" t="s">
        <v>125</v>
      </c>
      <c r="D4" s="67" t="s">
        <v>76</v>
      </c>
      <c r="E4" s="67" t="s">
        <v>89</v>
      </c>
      <c r="F4" s="68">
        <v>5</v>
      </c>
      <c r="G4" s="60" t="s">
        <v>122</v>
      </c>
      <c r="H4" s="68">
        <f>F4*G4</f>
        <v>250</v>
      </c>
      <c r="I4" s="60" t="s">
        <v>102</v>
      </c>
      <c r="J4" s="68">
        <v>8</v>
      </c>
      <c r="K4" s="68">
        <v>5</v>
      </c>
      <c r="L4" s="68">
        <f>IF(OR(I4=0,I4="0"),0,H4)</f>
        <v>250</v>
      </c>
      <c r="M4" s="68">
        <f>ROUND(L4*I4%,3)</f>
        <v>12.5</v>
      </c>
      <c r="N4" s="68">
        <f>H4-M4</f>
        <v>237.5</v>
      </c>
      <c r="O4" s="68">
        <f>ROUND(N4*J4%,3)</f>
        <v>19</v>
      </c>
      <c r="P4" s="68">
        <f>ROUND(N4-O4,2)</f>
        <v>218.5</v>
      </c>
      <c r="Q4" s="68">
        <f>ROUND(P4*K4%,2)</f>
        <v>10.93</v>
      </c>
      <c r="R4" s="86">
        <f>ROUND(M4+O4+Q4,3)</f>
        <v>42.43</v>
      </c>
      <c r="S4" s="86">
        <f>(H4-R4)</f>
        <v>207.57</v>
      </c>
      <c r="T4" s="68">
        <v>88363222</v>
      </c>
      <c r="U4" s="68">
        <v>18</v>
      </c>
      <c r="V4" s="68">
        <f>IF(OR($C$2=1,$C$2=4),ROUND((((S4*U4)/100)/2),2),0)</f>
        <v>0</v>
      </c>
      <c r="W4" s="68">
        <f>IF($C$2=1,ROUND((((S4*U4)/100)/2),2),0)</f>
        <v>0</v>
      </c>
      <c r="X4" s="68">
        <f>IF($C$2=2,ROUND(((S4*U4)/100),2),0)</f>
        <v>0</v>
      </c>
      <c r="Y4" s="68">
        <f>IF($C$2=4,ROUND((((S4*U4)/100)/2),2),0)</f>
        <v>0</v>
      </c>
      <c r="Z4" s="68">
        <v>0</v>
      </c>
      <c r="AA4" s="68">
        <f>IF($C2=3,0,(S4*Z4)/100)</f>
        <v>0</v>
      </c>
      <c r="AB4" s="68">
        <f>V4+W4+X4+Y4+AA4</f>
        <v>0</v>
      </c>
      <c r="AC4" s="91">
        <f>IF($V2=1,S4+AB4,S4)</f>
        <v>207.57</v>
      </c>
      <c r="AD4" s="86">
        <v>120</v>
      </c>
      <c r="AE4" s="86">
        <f>IF($P$2=1,(S4/$S$5)*$E$16,AD4/$AD$5*$E$16)</f>
        <v>0</v>
      </c>
      <c r="AF4" s="86"/>
      <c r="AG4" s="86">
        <f>IF($P$2=1,(S4/$S$5)*$E$18,AD4/$AD$5*$E$18)</f>
        <v>0</v>
      </c>
      <c r="AH4" s="86">
        <f>IF($P$2=1,(S4/$S$5)*$E$19,AD4/$AD$5*$E$19)</f>
        <v>0</v>
      </c>
      <c r="AI4" s="86">
        <f>S4*$M2</f>
        <v>207.57</v>
      </c>
      <c r="AJ4" s="86">
        <f>IF($C$2=3,0,AG4+AH4)</f>
        <v>0</v>
      </c>
      <c r="AK4" s="86">
        <f>IF($C$2=3,AE4+AG4+AH4,0)</f>
        <v>0</v>
      </c>
      <c r="AL4" s="94">
        <v>3</v>
      </c>
      <c r="AM4" s="86">
        <f>F4/AL4</f>
        <v>1.66666666666667</v>
      </c>
      <c r="AN4" s="86">
        <f>ROUND(AI4/AM4,5)</f>
        <v>124.542</v>
      </c>
      <c r="AO4" s="86">
        <f>AJ4/AM4</f>
        <v>0</v>
      </c>
      <c r="AP4" s="86">
        <f>AK4/AM4</f>
        <v>0</v>
      </c>
      <c r="AQ4" s="86" t="s">
        <v>76</v>
      </c>
      <c r="AR4" s="86">
        <f>ROUND(AN4+AO4+AP4,5)</f>
        <v>124.542</v>
      </c>
      <c r="AS4" s="98" t="s">
        <v>98</v>
      </c>
      <c r="AT4" s="99" t="s">
        <v>76</v>
      </c>
      <c r="AU4" s="60" t="s">
        <v>123</v>
      </c>
      <c r="AV4" s="60" t="s">
        <v>124</v>
      </c>
      <c r="AW4" s="99">
        <f>AM4</f>
        <v>1.66666666666667</v>
      </c>
      <c r="AX4" s="102">
        <f>AR4</f>
        <v>124.542</v>
      </c>
      <c r="AY4" s="99">
        <f>AU4+AW4</f>
        <v>16.6666666666667</v>
      </c>
      <c r="AZ4" s="99">
        <f>ROUND(((AU4*AV4)+(AW4*AX4))/(AU4+AW4),3)</f>
        <v>49.818</v>
      </c>
      <c r="BA4" s="104"/>
      <c r="BB4" s="104" t="s">
        <v>80</v>
      </c>
      <c r="BC4" s="105" t="s">
        <v>81</v>
      </c>
      <c r="BD4" s="106" t="s">
        <v>82</v>
      </c>
      <c r="BE4" s="106" t="s">
        <v>83</v>
      </c>
      <c r="BF4" s="104"/>
      <c r="BG4" s="104"/>
      <c r="BH4" s="104"/>
      <c r="BI4" s="99"/>
      <c r="BJ4" s="99"/>
      <c r="BK4" s="99"/>
      <c r="BL4" s="107" t="s">
        <v>101</v>
      </c>
      <c r="BM4" s="60" t="s">
        <v>124</v>
      </c>
      <c r="BN4" s="60" t="s">
        <v>102</v>
      </c>
      <c r="BO4" s="99">
        <f>ROUND((((AW4*AZ4)+(BN4*BM4))/(AW4+BN4)),5)</f>
        <v>43.59075</v>
      </c>
      <c r="BP4" s="108">
        <f>ROUND(BN4+AW4,3)</f>
        <v>6.667</v>
      </c>
      <c r="BQ4" s="109">
        <v>123562</v>
      </c>
    </row>
    <row r="5" ht="15.25" spans="1:69">
      <c r="A5" s="69"/>
      <c r="B5" s="70"/>
      <c r="C5" s="70"/>
      <c r="D5" s="71" t="s">
        <v>87</v>
      </c>
      <c r="E5" s="71"/>
      <c r="F5" s="71"/>
      <c r="G5" s="72"/>
      <c r="H5" s="73">
        <f>SUM(H4:H4)</f>
        <v>250</v>
      </c>
      <c r="I5" s="67"/>
      <c r="J5" s="67"/>
      <c r="K5" s="67"/>
      <c r="L5" s="67"/>
      <c r="M5" s="67"/>
      <c r="N5" s="67"/>
      <c r="O5" s="67"/>
      <c r="P5" s="67"/>
      <c r="Q5" s="67"/>
      <c r="R5" s="87">
        <f t="shared" ref="R5:X5" si="0">SUM(R4:R4)</f>
        <v>42.43</v>
      </c>
      <c r="S5" s="73">
        <f t="shared" si="0"/>
        <v>207.57</v>
      </c>
      <c r="T5" s="87"/>
      <c r="U5" s="87"/>
      <c r="V5" s="88">
        <f t="shared" si="0"/>
        <v>0</v>
      </c>
      <c r="W5" s="88">
        <f t="shared" si="0"/>
        <v>0</v>
      </c>
      <c r="X5" s="88">
        <f t="shared" si="0"/>
        <v>0</v>
      </c>
      <c r="Y5" s="88"/>
      <c r="Z5" s="88"/>
      <c r="AA5" s="88"/>
      <c r="AB5" s="87">
        <f t="shared" ref="AB5:AE5" si="1">SUM(AB4:AB4)</f>
        <v>0</v>
      </c>
      <c r="AC5" s="92">
        <f t="shared" si="1"/>
        <v>207.57</v>
      </c>
      <c r="AD5" s="93">
        <f t="shared" si="1"/>
        <v>120</v>
      </c>
      <c r="AE5" s="93">
        <f t="shared" si="1"/>
        <v>0</v>
      </c>
      <c r="AF5" s="92"/>
      <c r="AG5" s="93">
        <f t="shared" ref="AG5:AK5" si="2">SUM(AG4:AG4)</f>
        <v>0</v>
      </c>
      <c r="AH5" s="93">
        <f>IF($P$2=1,(S5/$S$5)*$E$19,AD5/$AD$5*$E$19)</f>
        <v>0</v>
      </c>
      <c r="AI5" s="93">
        <f t="shared" si="2"/>
        <v>207.57</v>
      </c>
      <c r="AJ5" s="93">
        <f t="shared" si="2"/>
        <v>0</v>
      </c>
      <c r="AK5" s="93">
        <f t="shared" si="2"/>
        <v>0</v>
      </c>
      <c r="AL5" s="92"/>
      <c r="AM5" s="92"/>
      <c r="AN5" s="92"/>
      <c r="AO5" s="92"/>
      <c r="AP5" s="92"/>
      <c r="AQ5" s="92"/>
      <c r="AR5" s="92"/>
      <c r="AS5" s="69"/>
      <c r="AT5" s="69"/>
      <c r="AU5" s="100"/>
      <c r="AV5" s="100"/>
      <c r="AW5" s="69"/>
      <c r="AX5" s="69"/>
      <c r="AY5" s="69"/>
      <c r="AZ5" s="69"/>
      <c r="BA5" s="69"/>
      <c r="BB5" s="69"/>
      <c r="BC5" s="69"/>
      <c r="BD5" s="69"/>
      <c r="BE5" s="69"/>
      <c r="BF5" s="69"/>
      <c r="BG5" s="69"/>
      <c r="BH5" s="69"/>
      <c r="BI5" s="69"/>
      <c r="BJ5" s="69"/>
      <c r="BK5" s="69"/>
      <c r="BL5" s="69"/>
      <c r="BM5" s="69"/>
      <c r="BN5" s="69"/>
      <c r="BO5" s="69"/>
      <c r="BP5" s="100"/>
      <c r="BQ5" s="10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7" sqref="C7"/>
    </sheetView>
  </sheetViews>
  <sheetFormatPr defaultColWidth="8.70909090909091" defaultRowHeight="14.5" outlineLevelRow="4"/>
  <cols>
    <col min="1" max="1" width="8.70909090909091" style="110"/>
    <col min="2" max="2" width="23.4272727272727" style="110" customWidth="1"/>
    <col min="3" max="3" width="29.4272727272727" style="110" customWidth="1"/>
    <col min="4" max="16384" width="8.70909090909091" style="110"/>
  </cols>
  <sheetData>
    <row r="1" spans="1:69">
      <c r="A1" s="61" t="s">
        <v>0</v>
      </c>
      <c r="B1" s="62"/>
      <c r="C1" s="62"/>
      <c r="D1" s="62"/>
      <c r="E1" s="62"/>
      <c r="F1" s="62"/>
      <c r="G1" s="62"/>
      <c r="H1" s="61"/>
      <c r="I1" s="76"/>
      <c r="J1" s="76"/>
      <c r="K1" s="76"/>
      <c r="L1" s="76"/>
      <c r="M1" s="76"/>
      <c r="N1" s="76"/>
      <c r="O1" s="76"/>
      <c r="P1" s="76"/>
      <c r="Q1" s="76"/>
      <c r="R1" s="61"/>
      <c r="S1" s="61"/>
      <c r="T1" s="61"/>
      <c r="U1" s="61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  <c r="AQ1" s="69"/>
      <c r="AR1" s="69"/>
      <c r="AS1" s="69"/>
      <c r="AT1" s="69"/>
      <c r="AU1" s="69"/>
      <c r="AV1" s="69"/>
      <c r="AW1" s="69"/>
      <c r="AX1" s="69"/>
      <c r="AY1" s="69"/>
      <c r="AZ1" s="69"/>
      <c r="BA1" s="69"/>
      <c r="BB1" s="69"/>
      <c r="BC1" s="69"/>
      <c r="BD1" s="69"/>
      <c r="BE1" s="69"/>
      <c r="BF1" s="69"/>
      <c r="BG1" s="69"/>
      <c r="BH1" s="69"/>
      <c r="BI1" s="69"/>
      <c r="BJ1" s="69"/>
      <c r="BK1" s="69"/>
      <c r="BL1" s="69"/>
      <c r="BM1" s="69"/>
      <c r="BN1" s="69"/>
      <c r="BO1" s="69"/>
      <c r="BP1" s="100"/>
      <c r="BQ1" s="100"/>
    </row>
    <row r="2" ht="15.25" spans="1:69">
      <c r="A2" s="63" t="s">
        <v>1</v>
      </c>
      <c r="B2" s="63"/>
      <c r="C2" s="64">
        <v>3</v>
      </c>
      <c r="D2" s="65" t="s">
        <v>2</v>
      </c>
      <c r="E2" s="62"/>
      <c r="F2" s="62"/>
      <c r="G2" s="62"/>
      <c r="H2" s="61"/>
      <c r="I2" s="76" t="s">
        <v>3</v>
      </c>
      <c r="J2" s="76" t="s">
        <v>4</v>
      </c>
      <c r="K2" s="76"/>
      <c r="L2" s="76" t="s">
        <v>5</v>
      </c>
      <c r="M2" s="76">
        <v>1</v>
      </c>
      <c r="N2" s="76"/>
      <c r="O2" s="76" t="s">
        <v>6</v>
      </c>
      <c r="P2" s="76">
        <v>2</v>
      </c>
      <c r="Q2" s="76" t="s">
        <v>7</v>
      </c>
      <c r="R2" s="61"/>
      <c r="S2" s="61"/>
      <c r="T2" s="61"/>
      <c r="U2" s="61"/>
      <c r="V2" s="61">
        <v>1</v>
      </c>
      <c r="W2" s="61" t="s">
        <v>8</v>
      </c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69"/>
      <c r="AT2" s="69"/>
      <c r="AU2" s="69"/>
      <c r="AV2" s="69"/>
      <c r="AW2" s="69"/>
      <c r="AX2" s="69"/>
      <c r="AY2" s="69"/>
      <c r="AZ2" s="69"/>
      <c r="BA2" s="69"/>
      <c r="BB2" s="69"/>
      <c r="BC2" s="69"/>
      <c r="BD2" s="69"/>
      <c r="BE2" s="69"/>
      <c r="BF2" s="69"/>
      <c r="BG2" s="69"/>
      <c r="BH2" s="69"/>
      <c r="BI2" s="69"/>
      <c r="BJ2" s="69"/>
      <c r="BK2" s="69"/>
      <c r="BL2" s="69"/>
      <c r="BM2" s="69"/>
      <c r="BN2" s="69"/>
      <c r="BO2" s="69"/>
      <c r="BP2" s="100"/>
      <c r="BQ2" s="100"/>
    </row>
    <row r="3" ht="45" spans="1:69">
      <c r="A3" s="66" t="s">
        <v>90</v>
      </c>
      <c r="B3" s="66" t="s">
        <v>10</v>
      </c>
      <c r="C3" s="66" t="s">
        <v>91</v>
      </c>
      <c r="D3" s="66" t="s">
        <v>12</v>
      </c>
      <c r="E3" s="66" t="s">
        <v>13</v>
      </c>
      <c r="F3" s="66" t="s">
        <v>92</v>
      </c>
      <c r="G3" s="66" t="s">
        <v>15</v>
      </c>
      <c r="H3" s="66" t="s">
        <v>16</v>
      </c>
      <c r="I3" s="77" t="s">
        <v>17</v>
      </c>
      <c r="J3" s="77" t="s">
        <v>19</v>
      </c>
      <c r="K3" s="77" t="s">
        <v>18</v>
      </c>
      <c r="L3" s="78" t="s">
        <v>20</v>
      </c>
      <c r="M3" s="78" t="s">
        <v>21</v>
      </c>
      <c r="N3" s="78" t="s">
        <v>24</v>
      </c>
      <c r="O3" s="78" t="s">
        <v>25</v>
      </c>
      <c r="P3" s="78" t="s">
        <v>93</v>
      </c>
      <c r="Q3" s="78" t="s">
        <v>23</v>
      </c>
      <c r="R3" s="77" t="s">
        <v>26</v>
      </c>
      <c r="S3" s="66" t="s">
        <v>94</v>
      </c>
      <c r="T3" s="66" t="s">
        <v>28</v>
      </c>
      <c r="U3" s="85" t="s">
        <v>95</v>
      </c>
      <c r="V3" s="85" t="s">
        <v>30</v>
      </c>
      <c r="W3" s="85" t="s">
        <v>31</v>
      </c>
      <c r="X3" s="85" t="s">
        <v>32</v>
      </c>
      <c r="Y3" s="89" t="s">
        <v>33</v>
      </c>
      <c r="Z3" s="89" t="s">
        <v>34</v>
      </c>
      <c r="AA3" s="89" t="s">
        <v>35</v>
      </c>
      <c r="AB3" s="89" t="s">
        <v>36</v>
      </c>
      <c r="AC3" s="90" t="s">
        <v>37</v>
      </c>
      <c r="AD3" s="90" t="s">
        <v>38</v>
      </c>
      <c r="AE3" s="90" t="s">
        <v>39</v>
      </c>
      <c r="AF3" s="90" t="s">
        <v>40</v>
      </c>
      <c r="AG3" s="90" t="s">
        <v>41</v>
      </c>
      <c r="AH3" s="90" t="s">
        <v>42</v>
      </c>
      <c r="AI3" s="90" t="s">
        <v>43</v>
      </c>
      <c r="AJ3" s="90" t="s">
        <v>44</v>
      </c>
      <c r="AK3" s="90" t="s">
        <v>45</v>
      </c>
      <c r="AL3" s="90" t="s">
        <v>46</v>
      </c>
      <c r="AM3" s="90" t="s">
        <v>47</v>
      </c>
      <c r="AN3" s="90" t="s">
        <v>48</v>
      </c>
      <c r="AO3" s="90" t="s">
        <v>49</v>
      </c>
      <c r="AP3" s="90" t="s">
        <v>50</v>
      </c>
      <c r="AQ3" s="90" t="s">
        <v>51</v>
      </c>
      <c r="AR3" s="95" t="s">
        <v>96</v>
      </c>
      <c r="AS3" s="96" t="s">
        <v>53</v>
      </c>
      <c r="AT3" s="96" t="s">
        <v>51</v>
      </c>
      <c r="AU3" s="97" t="s">
        <v>54</v>
      </c>
      <c r="AV3" s="97" t="s">
        <v>55</v>
      </c>
      <c r="AW3" s="97" t="s">
        <v>56</v>
      </c>
      <c r="AX3" s="97" t="s">
        <v>57</v>
      </c>
      <c r="AY3" s="97" t="s">
        <v>58</v>
      </c>
      <c r="AZ3" s="97" t="s">
        <v>59</v>
      </c>
      <c r="BA3" s="97" t="s">
        <v>60</v>
      </c>
      <c r="BB3" s="97" t="s">
        <v>61</v>
      </c>
      <c r="BC3" s="101" t="s">
        <v>62</v>
      </c>
      <c r="BD3" s="101" t="s">
        <v>63</v>
      </c>
      <c r="BE3" s="101" t="s">
        <v>64</v>
      </c>
      <c r="BF3" s="97" t="s">
        <v>65</v>
      </c>
      <c r="BG3" s="97" t="s">
        <v>66</v>
      </c>
      <c r="BH3" s="97" t="s">
        <v>67</v>
      </c>
      <c r="BI3" s="97" t="s">
        <v>68</v>
      </c>
      <c r="BJ3" s="97" t="s">
        <v>69</v>
      </c>
      <c r="BK3" s="97" t="s">
        <v>70</v>
      </c>
      <c r="BL3" s="97" t="s">
        <v>71</v>
      </c>
      <c r="BM3" s="97" t="s">
        <v>72</v>
      </c>
      <c r="BN3" s="97" t="s">
        <v>73</v>
      </c>
      <c r="BO3" s="97" t="s">
        <v>59</v>
      </c>
      <c r="BP3" s="97" t="s">
        <v>74</v>
      </c>
      <c r="BQ3" s="97" t="s">
        <v>28</v>
      </c>
    </row>
    <row r="4" ht="15.25" spans="1:69">
      <c r="A4" s="67">
        <v>1</v>
      </c>
      <c r="B4" s="67" t="s">
        <v>126</v>
      </c>
      <c r="C4" s="67" t="s">
        <v>126</v>
      </c>
      <c r="D4" s="67" t="s">
        <v>76</v>
      </c>
      <c r="E4" s="67" t="s">
        <v>76</v>
      </c>
      <c r="F4" s="68">
        <v>5</v>
      </c>
      <c r="G4" s="60" t="s">
        <v>122</v>
      </c>
      <c r="H4" s="68">
        <f>F4*G4</f>
        <v>250</v>
      </c>
      <c r="I4" s="60" t="s">
        <v>102</v>
      </c>
      <c r="J4" s="68">
        <v>8</v>
      </c>
      <c r="K4" s="68">
        <v>5</v>
      </c>
      <c r="L4" s="68">
        <f>IF(OR(I4=0,I4="0"),0,H4)</f>
        <v>250</v>
      </c>
      <c r="M4" s="68">
        <f>ROUND(L4*I4%,3)</f>
        <v>12.5</v>
      </c>
      <c r="N4" s="68">
        <f>H4-M4</f>
        <v>237.5</v>
      </c>
      <c r="O4" s="68">
        <f>ROUND(N4*J4%,3)</f>
        <v>19</v>
      </c>
      <c r="P4" s="68">
        <f>ROUND(N4-O4,2)</f>
        <v>218.5</v>
      </c>
      <c r="Q4" s="68">
        <f>ROUND(P4*K4%,2)</f>
        <v>10.93</v>
      </c>
      <c r="R4" s="86">
        <f>ROUND(M4+O4+Q4,3)</f>
        <v>42.43</v>
      </c>
      <c r="S4" s="86">
        <f>(H4-R4)</f>
        <v>207.57</v>
      </c>
      <c r="T4" s="68">
        <v>88363222</v>
      </c>
      <c r="U4" s="68">
        <v>18</v>
      </c>
      <c r="V4" s="68">
        <f>IF(OR($C$2=1,$C$2=4),ROUND((((S4*U4)/100)/2),2),0)</f>
        <v>0</v>
      </c>
      <c r="W4" s="68">
        <f>IF($C$2=1,ROUND((((S4*U4)/100)/2),2),0)</f>
        <v>0</v>
      </c>
      <c r="X4" s="68">
        <f>IF($C$2=2,ROUND(((S4*U4)/100),2),0)</f>
        <v>0</v>
      </c>
      <c r="Y4" s="68">
        <f>IF($C$2=4,ROUND((((S4*U4)/100)/2),2),0)</f>
        <v>0</v>
      </c>
      <c r="Z4" s="68">
        <v>0</v>
      </c>
      <c r="AA4" s="68">
        <f>IF($C2=3,0,(S4*Z4)/100)</f>
        <v>0</v>
      </c>
      <c r="AB4" s="68">
        <f>V4+W4+X4+Y4+AA4</f>
        <v>0</v>
      </c>
      <c r="AC4" s="91">
        <f>IF($V2=1,S4+AB4,S4)</f>
        <v>207.57</v>
      </c>
      <c r="AD4" s="86">
        <v>120</v>
      </c>
      <c r="AE4" s="86">
        <f>IF($P$2=1,(S4/$S$5)*$E$16,AD4/$AD$5*$E$16)</f>
        <v>0</v>
      </c>
      <c r="AF4" s="86"/>
      <c r="AG4" s="86">
        <f>IF($P$2=1,(S4/$S$5)*$E$18,AD4/$AD$5*$E$18)</f>
        <v>0</v>
      </c>
      <c r="AH4" s="86">
        <f>IF($P$2=1,(S4/$S$5)*$E$19,AD4/$AD$5*$E$19)</f>
        <v>0</v>
      </c>
      <c r="AI4" s="86">
        <f>S4*$M2</f>
        <v>207.57</v>
      </c>
      <c r="AJ4" s="86">
        <f>IF($C$2=3,0,AG4+AH4)</f>
        <v>0</v>
      </c>
      <c r="AK4" s="86">
        <f>IF($C$2=3,AE4+AG4+AH4,0)</f>
        <v>0</v>
      </c>
      <c r="AL4" s="94">
        <v>1</v>
      </c>
      <c r="AM4" s="86">
        <f>F4/AL4</f>
        <v>5</v>
      </c>
      <c r="AN4" s="86">
        <f>ROUND(AI4/AM4,5)</f>
        <v>41.514</v>
      </c>
      <c r="AO4" s="86">
        <f>AJ4/AM4</f>
        <v>0</v>
      </c>
      <c r="AP4" s="86">
        <f>AK4/AM4</f>
        <v>0</v>
      </c>
      <c r="AQ4" s="86" t="s">
        <v>76</v>
      </c>
      <c r="AR4" s="86">
        <f>ROUND(AN4+AO4+AP4,5)</f>
        <v>41.514</v>
      </c>
      <c r="AS4" s="98" t="s">
        <v>98</v>
      </c>
      <c r="AT4" s="99" t="s">
        <v>76</v>
      </c>
      <c r="AU4" s="60" t="s">
        <v>123</v>
      </c>
      <c r="AV4" s="60" t="s">
        <v>124</v>
      </c>
      <c r="AW4" s="99">
        <f>AM4</f>
        <v>5</v>
      </c>
      <c r="AX4" s="102">
        <f>AR4</f>
        <v>41.514</v>
      </c>
      <c r="AY4" s="99">
        <f>AU4+AW4</f>
        <v>20</v>
      </c>
      <c r="AZ4" s="99">
        <f>ROUND(((AU4*AV4)+(AW4*AX4))/(AU4+AW4),3)</f>
        <v>41.515</v>
      </c>
      <c r="BA4" s="104"/>
      <c r="BB4" s="104" t="s">
        <v>80</v>
      </c>
      <c r="BC4" s="105" t="s">
        <v>81</v>
      </c>
      <c r="BD4" s="106" t="s">
        <v>82</v>
      </c>
      <c r="BE4" s="106" t="s">
        <v>83</v>
      </c>
      <c r="BF4" s="104"/>
      <c r="BG4" s="104"/>
      <c r="BH4" s="104"/>
      <c r="BI4" s="99"/>
      <c r="BJ4" s="99"/>
      <c r="BK4" s="99"/>
      <c r="BL4" s="107" t="s">
        <v>101</v>
      </c>
      <c r="BM4" s="60" t="s">
        <v>124</v>
      </c>
      <c r="BN4" s="60" t="s">
        <v>102</v>
      </c>
      <c r="BO4" s="99">
        <f>ROUND((((AW4*AZ4)+(BN4*BM4))/(AW4+BN4)),5)</f>
        <v>41.515</v>
      </c>
      <c r="BP4" s="108">
        <f>ROUND(BN4+AW4,3)</f>
        <v>10</v>
      </c>
      <c r="BQ4" s="109">
        <v>123562</v>
      </c>
    </row>
    <row r="5" ht="15.25" spans="1:69">
      <c r="A5" s="69"/>
      <c r="B5" s="70"/>
      <c r="C5" s="70"/>
      <c r="D5" s="71" t="s">
        <v>87</v>
      </c>
      <c r="E5" s="71"/>
      <c r="F5" s="71"/>
      <c r="G5" s="72"/>
      <c r="H5" s="73">
        <f>SUM(H4:H4)</f>
        <v>250</v>
      </c>
      <c r="I5" s="67"/>
      <c r="J5" s="67"/>
      <c r="K5" s="67"/>
      <c r="L5" s="67"/>
      <c r="M5" s="67"/>
      <c r="N5" s="67"/>
      <c r="O5" s="67"/>
      <c r="P5" s="67"/>
      <c r="Q5" s="67"/>
      <c r="R5" s="87">
        <f t="shared" ref="R5:X5" si="0">SUM(R4:R4)</f>
        <v>42.43</v>
      </c>
      <c r="S5" s="73">
        <f t="shared" si="0"/>
        <v>207.57</v>
      </c>
      <c r="T5" s="87"/>
      <c r="U5" s="87"/>
      <c r="V5" s="88">
        <f t="shared" si="0"/>
        <v>0</v>
      </c>
      <c r="W5" s="88">
        <f t="shared" si="0"/>
        <v>0</v>
      </c>
      <c r="X5" s="88">
        <f t="shared" si="0"/>
        <v>0</v>
      </c>
      <c r="Y5" s="88"/>
      <c r="Z5" s="88"/>
      <c r="AA5" s="88"/>
      <c r="AB5" s="87">
        <f t="shared" ref="AB5:AE5" si="1">SUM(AB4:AB4)</f>
        <v>0</v>
      </c>
      <c r="AC5" s="92">
        <f t="shared" si="1"/>
        <v>207.57</v>
      </c>
      <c r="AD5" s="93">
        <f t="shared" si="1"/>
        <v>120</v>
      </c>
      <c r="AE5" s="93">
        <f t="shared" si="1"/>
        <v>0</v>
      </c>
      <c r="AF5" s="92"/>
      <c r="AG5" s="93">
        <f t="shared" ref="AG5:AK5" si="2">SUM(AG4:AG4)</f>
        <v>0</v>
      </c>
      <c r="AH5" s="93">
        <f>IF($P$2=1,(S5/$S$5)*$E$19,AD5/$AD$5*$E$19)</f>
        <v>0</v>
      </c>
      <c r="AI5" s="93">
        <f t="shared" si="2"/>
        <v>207.57</v>
      </c>
      <c r="AJ5" s="93">
        <f t="shared" si="2"/>
        <v>0</v>
      </c>
      <c r="AK5" s="93">
        <f t="shared" si="2"/>
        <v>0</v>
      </c>
      <c r="AL5" s="92"/>
      <c r="AM5" s="92"/>
      <c r="AN5" s="92"/>
      <c r="AO5" s="92"/>
      <c r="AP5" s="92"/>
      <c r="AQ5" s="92"/>
      <c r="AR5" s="92"/>
      <c r="AS5" s="69"/>
      <c r="AT5" s="69"/>
      <c r="AU5" s="100"/>
      <c r="AV5" s="100"/>
      <c r="AW5" s="69"/>
      <c r="AX5" s="69"/>
      <c r="AY5" s="69"/>
      <c r="AZ5" s="69"/>
      <c r="BA5" s="69"/>
      <c r="BB5" s="69"/>
      <c r="BC5" s="69"/>
      <c r="BD5" s="69"/>
      <c r="BE5" s="69"/>
      <c r="BF5" s="69"/>
      <c r="BG5" s="69"/>
      <c r="BH5" s="69"/>
      <c r="BI5" s="69"/>
      <c r="BJ5" s="69"/>
      <c r="BK5" s="69"/>
      <c r="BL5" s="69"/>
      <c r="BM5" s="69"/>
      <c r="BN5" s="69"/>
      <c r="BO5" s="69"/>
      <c r="BP5" s="100"/>
      <c r="BQ5" s="10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7" sqref="C7"/>
    </sheetView>
  </sheetViews>
  <sheetFormatPr defaultColWidth="8.70909090909091" defaultRowHeight="14.5" outlineLevelRow="4"/>
  <cols>
    <col min="1" max="1" width="8.70909090909091" style="110"/>
    <col min="2" max="2" width="27.2818181818182" style="110" customWidth="1"/>
    <col min="3" max="3" width="25.4272727272727" style="110" customWidth="1"/>
    <col min="4" max="16384" width="8.70909090909091" style="110"/>
  </cols>
  <sheetData>
    <row r="1" spans="1:69">
      <c r="A1" s="61" t="s">
        <v>0</v>
      </c>
      <c r="B1" s="62"/>
      <c r="C1" s="62"/>
      <c r="D1" s="62"/>
      <c r="E1" s="62"/>
      <c r="F1" s="62"/>
      <c r="G1" s="62"/>
      <c r="H1" s="61"/>
      <c r="I1" s="76"/>
      <c r="J1" s="76"/>
      <c r="K1" s="76"/>
      <c r="L1" s="76"/>
      <c r="M1" s="76"/>
      <c r="N1" s="76"/>
      <c r="O1" s="76"/>
      <c r="P1" s="76"/>
      <c r="Q1" s="76"/>
      <c r="R1" s="61"/>
      <c r="S1" s="61"/>
      <c r="T1" s="61"/>
      <c r="U1" s="61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  <c r="AQ1" s="69"/>
      <c r="AR1" s="69"/>
      <c r="AS1" s="69"/>
      <c r="AT1" s="69"/>
      <c r="AU1" s="69"/>
      <c r="AV1" s="69"/>
      <c r="AW1" s="69"/>
      <c r="AX1" s="69"/>
      <c r="AY1" s="69"/>
      <c r="AZ1" s="69"/>
      <c r="BA1" s="69"/>
      <c r="BB1" s="69"/>
      <c r="BC1" s="69"/>
      <c r="BD1" s="69"/>
      <c r="BE1" s="69"/>
      <c r="BF1" s="69"/>
      <c r="BG1" s="69"/>
      <c r="BH1" s="69"/>
      <c r="BI1" s="69"/>
      <c r="BJ1" s="69"/>
      <c r="BK1" s="69"/>
      <c r="BL1" s="69"/>
      <c r="BM1" s="69"/>
      <c r="BN1" s="69"/>
      <c r="BO1" s="69"/>
      <c r="BP1" s="100"/>
      <c r="BQ1" s="100"/>
    </row>
    <row r="2" ht="15.25" spans="1:69">
      <c r="A2" s="63" t="s">
        <v>1</v>
      </c>
      <c r="B2" s="63"/>
      <c r="C2" s="64">
        <v>3</v>
      </c>
      <c r="D2" s="65" t="s">
        <v>2</v>
      </c>
      <c r="E2" s="62"/>
      <c r="F2" s="62"/>
      <c r="G2" s="62"/>
      <c r="H2" s="61"/>
      <c r="I2" s="76" t="s">
        <v>3</v>
      </c>
      <c r="J2" s="76" t="s">
        <v>4</v>
      </c>
      <c r="K2" s="76"/>
      <c r="L2" s="76" t="s">
        <v>5</v>
      </c>
      <c r="M2" s="76">
        <v>1</v>
      </c>
      <c r="N2" s="76"/>
      <c r="O2" s="76" t="s">
        <v>6</v>
      </c>
      <c r="P2" s="76">
        <v>2</v>
      </c>
      <c r="Q2" s="76" t="s">
        <v>7</v>
      </c>
      <c r="R2" s="61"/>
      <c r="S2" s="61"/>
      <c r="T2" s="61"/>
      <c r="U2" s="61"/>
      <c r="V2" s="61">
        <v>1</v>
      </c>
      <c r="W2" s="61" t="s">
        <v>8</v>
      </c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69"/>
      <c r="AT2" s="69"/>
      <c r="AU2" s="69"/>
      <c r="AV2" s="69"/>
      <c r="AW2" s="69"/>
      <c r="AX2" s="69"/>
      <c r="AY2" s="69"/>
      <c r="AZ2" s="69"/>
      <c r="BA2" s="69"/>
      <c r="BB2" s="69"/>
      <c r="BC2" s="69"/>
      <c r="BD2" s="69"/>
      <c r="BE2" s="69"/>
      <c r="BF2" s="69"/>
      <c r="BG2" s="69"/>
      <c r="BH2" s="69"/>
      <c r="BI2" s="69"/>
      <c r="BJ2" s="69"/>
      <c r="BK2" s="69"/>
      <c r="BL2" s="69"/>
      <c r="BM2" s="69"/>
      <c r="BN2" s="69"/>
      <c r="BO2" s="69"/>
      <c r="BP2" s="100"/>
      <c r="BQ2" s="100"/>
    </row>
    <row r="3" ht="45" spans="1:69">
      <c r="A3" s="66" t="s">
        <v>90</v>
      </c>
      <c r="B3" s="66" t="s">
        <v>10</v>
      </c>
      <c r="C3" s="66" t="s">
        <v>91</v>
      </c>
      <c r="D3" s="66" t="s">
        <v>12</v>
      </c>
      <c r="E3" s="66" t="s">
        <v>13</v>
      </c>
      <c r="F3" s="66" t="s">
        <v>92</v>
      </c>
      <c r="G3" s="66" t="s">
        <v>15</v>
      </c>
      <c r="H3" s="66" t="s">
        <v>16</v>
      </c>
      <c r="I3" s="77" t="s">
        <v>17</v>
      </c>
      <c r="J3" s="77" t="s">
        <v>19</v>
      </c>
      <c r="K3" s="77" t="s">
        <v>18</v>
      </c>
      <c r="L3" s="78" t="s">
        <v>20</v>
      </c>
      <c r="M3" s="78" t="s">
        <v>21</v>
      </c>
      <c r="N3" s="78" t="s">
        <v>24</v>
      </c>
      <c r="O3" s="78" t="s">
        <v>25</v>
      </c>
      <c r="P3" s="78" t="s">
        <v>93</v>
      </c>
      <c r="Q3" s="78" t="s">
        <v>23</v>
      </c>
      <c r="R3" s="77" t="s">
        <v>26</v>
      </c>
      <c r="S3" s="66" t="s">
        <v>94</v>
      </c>
      <c r="T3" s="66" t="s">
        <v>28</v>
      </c>
      <c r="U3" s="85" t="s">
        <v>95</v>
      </c>
      <c r="V3" s="85" t="s">
        <v>30</v>
      </c>
      <c r="W3" s="85" t="s">
        <v>31</v>
      </c>
      <c r="X3" s="85" t="s">
        <v>32</v>
      </c>
      <c r="Y3" s="89" t="s">
        <v>33</v>
      </c>
      <c r="Z3" s="89" t="s">
        <v>34</v>
      </c>
      <c r="AA3" s="89" t="s">
        <v>35</v>
      </c>
      <c r="AB3" s="89" t="s">
        <v>36</v>
      </c>
      <c r="AC3" s="90" t="s">
        <v>37</v>
      </c>
      <c r="AD3" s="90" t="s">
        <v>38</v>
      </c>
      <c r="AE3" s="90" t="s">
        <v>39</v>
      </c>
      <c r="AF3" s="90" t="s">
        <v>40</v>
      </c>
      <c r="AG3" s="90" t="s">
        <v>41</v>
      </c>
      <c r="AH3" s="90" t="s">
        <v>42</v>
      </c>
      <c r="AI3" s="90" t="s">
        <v>43</v>
      </c>
      <c r="AJ3" s="90" t="s">
        <v>44</v>
      </c>
      <c r="AK3" s="90" t="s">
        <v>45</v>
      </c>
      <c r="AL3" s="90" t="s">
        <v>46</v>
      </c>
      <c r="AM3" s="90" t="s">
        <v>47</v>
      </c>
      <c r="AN3" s="90" t="s">
        <v>48</v>
      </c>
      <c r="AO3" s="90" t="s">
        <v>49</v>
      </c>
      <c r="AP3" s="90" t="s">
        <v>50</v>
      </c>
      <c r="AQ3" s="90" t="s">
        <v>51</v>
      </c>
      <c r="AR3" s="95" t="s">
        <v>96</v>
      </c>
      <c r="AS3" s="96" t="s">
        <v>53</v>
      </c>
      <c r="AT3" s="96" t="s">
        <v>51</v>
      </c>
      <c r="AU3" s="97" t="s">
        <v>54</v>
      </c>
      <c r="AV3" s="97" t="s">
        <v>55</v>
      </c>
      <c r="AW3" s="97" t="s">
        <v>56</v>
      </c>
      <c r="AX3" s="97" t="s">
        <v>57</v>
      </c>
      <c r="AY3" s="97" t="s">
        <v>58</v>
      </c>
      <c r="AZ3" s="97" t="s">
        <v>59</v>
      </c>
      <c r="BA3" s="97" t="s">
        <v>60</v>
      </c>
      <c r="BB3" s="97" t="s">
        <v>61</v>
      </c>
      <c r="BC3" s="101" t="s">
        <v>62</v>
      </c>
      <c r="BD3" s="101" t="s">
        <v>63</v>
      </c>
      <c r="BE3" s="101" t="s">
        <v>64</v>
      </c>
      <c r="BF3" s="97" t="s">
        <v>65</v>
      </c>
      <c r="BG3" s="97" t="s">
        <v>66</v>
      </c>
      <c r="BH3" s="97" t="s">
        <v>67</v>
      </c>
      <c r="BI3" s="97" t="s">
        <v>68</v>
      </c>
      <c r="BJ3" s="97" t="s">
        <v>69</v>
      </c>
      <c r="BK3" s="97" t="s">
        <v>70</v>
      </c>
      <c r="BL3" s="97" t="s">
        <v>71</v>
      </c>
      <c r="BM3" s="97" t="s">
        <v>72</v>
      </c>
      <c r="BN3" s="97" t="s">
        <v>73</v>
      </c>
      <c r="BO3" s="97" t="s">
        <v>59</v>
      </c>
      <c r="BP3" s="97" t="s">
        <v>74</v>
      </c>
      <c r="BQ3" s="97" t="s">
        <v>28</v>
      </c>
    </row>
    <row r="4" ht="15.25" spans="1:69">
      <c r="A4" s="67">
        <v>1</v>
      </c>
      <c r="B4" s="67" t="s">
        <v>127</v>
      </c>
      <c r="C4" s="67" t="s">
        <v>127</v>
      </c>
      <c r="D4" s="67" t="s">
        <v>76</v>
      </c>
      <c r="E4" s="67" t="s">
        <v>76</v>
      </c>
      <c r="F4" s="68">
        <v>5</v>
      </c>
      <c r="G4" s="60" t="s">
        <v>122</v>
      </c>
      <c r="H4" s="68">
        <f>F4*G4</f>
        <v>250</v>
      </c>
      <c r="I4" s="60" t="s">
        <v>102</v>
      </c>
      <c r="J4" s="68">
        <v>8</v>
      </c>
      <c r="K4" s="68">
        <v>5</v>
      </c>
      <c r="L4" s="68">
        <f>IF(OR(I4=0,I4="0"),0,H4)</f>
        <v>250</v>
      </c>
      <c r="M4" s="68">
        <f>ROUND(L4*I4%,3)</f>
        <v>12.5</v>
      </c>
      <c r="N4" s="68">
        <f>H4-M4</f>
        <v>237.5</v>
      </c>
      <c r="O4" s="68">
        <f>ROUND(N4*J4%,3)</f>
        <v>19</v>
      </c>
      <c r="P4" s="68">
        <f>ROUND(N4-O4,2)</f>
        <v>218.5</v>
      </c>
      <c r="Q4" s="68">
        <f>ROUND(P4*K4%,2)</f>
        <v>10.93</v>
      </c>
      <c r="R4" s="86">
        <f>ROUND(M4+O4+Q4,3)</f>
        <v>42.43</v>
      </c>
      <c r="S4" s="86">
        <f>(H4-R4)</f>
        <v>207.57</v>
      </c>
      <c r="T4" s="68">
        <v>88363222</v>
      </c>
      <c r="U4" s="68">
        <v>18</v>
      </c>
      <c r="V4" s="68">
        <f>IF(OR($C$2=1,$C$2=4),ROUND((((S4*U4)/100)/2),2),0)</f>
        <v>0</v>
      </c>
      <c r="W4" s="68">
        <f>IF($C$2=1,ROUND((((S4*U4)/100)/2),2),0)</f>
        <v>0</v>
      </c>
      <c r="X4" s="68">
        <f>IF($C$2=2,ROUND(((S4*U4)/100),2),0)</f>
        <v>0</v>
      </c>
      <c r="Y4" s="68">
        <f>IF($C$2=4,ROUND((((S4*U4)/100)/2),2),0)</f>
        <v>0</v>
      </c>
      <c r="Z4" s="68">
        <v>0</v>
      </c>
      <c r="AA4" s="68">
        <f>IF($C2=3,0,(S4*Z4)/100)</f>
        <v>0</v>
      </c>
      <c r="AB4" s="68">
        <f>V4+W4+X4+Y4+AA4</f>
        <v>0</v>
      </c>
      <c r="AC4" s="91">
        <f>IF($V2=1,S4+AB4,S4)</f>
        <v>207.57</v>
      </c>
      <c r="AD4" s="86">
        <v>120</v>
      </c>
      <c r="AE4" s="86">
        <f>IF($P$2=1,(S4/$S$5)*$E$16,AD4/$AD$5*$E$16)</f>
        <v>0</v>
      </c>
      <c r="AF4" s="86"/>
      <c r="AG4" s="86">
        <f>IF($P$2=1,(S4/$S$5)*$E$18,AD4/$AD$5*$E$18)</f>
        <v>0</v>
      </c>
      <c r="AH4" s="86">
        <f>IF($P$2=1,(S4/$S$5)*$E$19,AD4/$AD$5*$E$19)</f>
        <v>0</v>
      </c>
      <c r="AI4" s="86">
        <f>S4*$M2</f>
        <v>207.57</v>
      </c>
      <c r="AJ4" s="86">
        <f>IF($C$2=3,0,AG4+AH4)</f>
        <v>0</v>
      </c>
      <c r="AK4" s="86">
        <f>IF($C$2=3,AE4+AG4+AH4,0)</f>
        <v>0</v>
      </c>
      <c r="AL4" s="94">
        <v>1</v>
      </c>
      <c r="AM4" s="86">
        <f>F4/AL4</f>
        <v>5</v>
      </c>
      <c r="AN4" s="86">
        <f>ROUND(AI4/AM4,5)</f>
        <v>41.514</v>
      </c>
      <c r="AO4" s="86">
        <f>AJ4/AM4</f>
        <v>0</v>
      </c>
      <c r="AP4" s="86">
        <f>AK4/AM4</f>
        <v>0</v>
      </c>
      <c r="AQ4" s="86" t="s">
        <v>76</v>
      </c>
      <c r="AR4" s="86">
        <f>ROUND(AN4+AO4+AP4,5)</f>
        <v>41.514</v>
      </c>
      <c r="AS4" s="98" t="s">
        <v>98</v>
      </c>
      <c r="AT4" s="99" t="s">
        <v>76</v>
      </c>
      <c r="AU4" s="60" t="s">
        <v>128</v>
      </c>
      <c r="AV4" s="60" t="s">
        <v>124</v>
      </c>
      <c r="AW4" s="99">
        <f>AM4</f>
        <v>5</v>
      </c>
      <c r="AX4" s="102">
        <f>AR4</f>
        <v>41.514</v>
      </c>
      <c r="AY4" s="99">
        <f>AU4+AW4</f>
        <v>15</v>
      </c>
      <c r="AZ4" s="103">
        <f>ROUND(((AU4*AV4)+(AW4*AX4))/(AU4+AW4),3)</f>
        <v>41.515</v>
      </c>
      <c r="BA4" s="104"/>
      <c r="BB4" s="104" t="s">
        <v>80</v>
      </c>
      <c r="BC4" s="105" t="s">
        <v>81</v>
      </c>
      <c r="BD4" s="106" t="s">
        <v>82</v>
      </c>
      <c r="BE4" s="106" t="s">
        <v>83</v>
      </c>
      <c r="BF4" s="104"/>
      <c r="BG4" s="104"/>
      <c r="BH4" s="104"/>
      <c r="BI4" s="99"/>
      <c r="BJ4" s="99"/>
      <c r="BK4" s="99"/>
      <c r="BL4" s="107" t="s">
        <v>101</v>
      </c>
      <c r="BM4" s="60" t="s">
        <v>124</v>
      </c>
      <c r="BN4" s="60" t="s">
        <v>102</v>
      </c>
      <c r="BO4" s="99">
        <f>ROUND((((AW4*AZ4)+(BN4*BM4))/(AW4+BN4)),5)</f>
        <v>41.515</v>
      </c>
      <c r="BP4" s="108">
        <f>ROUND(BN4+AW4,3)</f>
        <v>10</v>
      </c>
      <c r="BQ4" s="109">
        <v>123562</v>
      </c>
    </row>
    <row r="5" ht="15.25" spans="1:69">
      <c r="A5" s="69"/>
      <c r="B5" s="70"/>
      <c r="C5" s="70"/>
      <c r="D5" s="71" t="s">
        <v>87</v>
      </c>
      <c r="E5" s="71"/>
      <c r="F5" s="71"/>
      <c r="G5" s="72"/>
      <c r="H5" s="73">
        <f>SUM(H4:H4)</f>
        <v>250</v>
      </c>
      <c r="I5" s="67"/>
      <c r="J5" s="67"/>
      <c r="K5" s="67"/>
      <c r="L5" s="67"/>
      <c r="M5" s="67"/>
      <c r="N5" s="67"/>
      <c r="O5" s="67"/>
      <c r="P5" s="67"/>
      <c r="Q5" s="67"/>
      <c r="R5" s="87">
        <f t="shared" ref="R5:X5" si="0">SUM(R4:R4)</f>
        <v>42.43</v>
      </c>
      <c r="S5" s="73">
        <f t="shared" si="0"/>
        <v>207.57</v>
      </c>
      <c r="T5" s="87"/>
      <c r="U5" s="87"/>
      <c r="V5" s="88">
        <f t="shared" si="0"/>
        <v>0</v>
      </c>
      <c r="W5" s="88">
        <f t="shared" si="0"/>
        <v>0</v>
      </c>
      <c r="X5" s="88">
        <f t="shared" si="0"/>
        <v>0</v>
      </c>
      <c r="Y5" s="88"/>
      <c r="Z5" s="88"/>
      <c r="AA5" s="88"/>
      <c r="AB5" s="87">
        <f t="shared" ref="AB5:AE5" si="1">SUM(AB4:AB4)</f>
        <v>0</v>
      </c>
      <c r="AC5" s="92">
        <f t="shared" si="1"/>
        <v>207.57</v>
      </c>
      <c r="AD5" s="93">
        <f t="shared" si="1"/>
        <v>120</v>
      </c>
      <c r="AE5" s="93">
        <f t="shared" si="1"/>
        <v>0</v>
      </c>
      <c r="AF5" s="92"/>
      <c r="AG5" s="93">
        <f t="shared" ref="AG5:AK5" si="2">SUM(AG4:AG4)</f>
        <v>0</v>
      </c>
      <c r="AH5" s="93">
        <f>IF($P$2=1,(S5/$S$5)*$E$19,AD5/$AD$5*$E$19)</f>
        <v>0</v>
      </c>
      <c r="AI5" s="93">
        <f t="shared" si="2"/>
        <v>207.57</v>
      </c>
      <c r="AJ5" s="93">
        <f t="shared" si="2"/>
        <v>0</v>
      </c>
      <c r="AK5" s="93">
        <f t="shared" si="2"/>
        <v>0</v>
      </c>
      <c r="AL5" s="92"/>
      <c r="AM5" s="92"/>
      <c r="AN5" s="92"/>
      <c r="AO5" s="92"/>
      <c r="AP5" s="92"/>
      <c r="AQ5" s="92"/>
      <c r="AR5" s="92"/>
      <c r="AS5" s="69"/>
      <c r="AT5" s="69"/>
      <c r="AU5" s="100"/>
      <c r="AV5" s="100"/>
      <c r="AW5" s="69"/>
      <c r="AX5" s="69"/>
      <c r="AY5" s="69"/>
      <c r="AZ5" s="69"/>
      <c r="BA5" s="69"/>
      <c r="BB5" s="69"/>
      <c r="BC5" s="69"/>
      <c r="BD5" s="69"/>
      <c r="BE5" s="69"/>
      <c r="BF5" s="69"/>
      <c r="BG5" s="69"/>
      <c r="BH5" s="69"/>
      <c r="BI5" s="69"/>
      <c r="BJ5" s="69"/>
      <c r="BK5" s="69"/>
      <c r="BL5" s="69"/>
      <c r="BM5" s="69"/>
      <c r="BN5" s="69"/>
      <c r="BO5" s="69"/>
      <c r="BP5" s="100"/>
      <c r="BQ5" s="10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abSelected="1" workbookViewId="0">
      <selection activeCell="I9" sqref="I9"/>
    </sheetView>
  </sheetViews>
  <sheetFormatPr defaultColWidth="8.70909090909091" defaultRowHeight="14.5" outlineLevelRow="4"/>
  <cols>
    <col min="1" max="1" width="8.70909090909091" style="110"/>
    <col min="2" max="2" width="27.2818181818182" style="110" customWidth="1"/>
    <col min="3" max="3" width="25.4272727272727" style="110" customWidth="1"/>
    <col min="4" max="16384" width="8.70909090909091" style="110"/>
  </cols>
  <sheetData>
    <row r="1" spans="1:69">
      <c r="A1" s="61" t="s">
        <v>0</v>
      </c>
      <c r="B1" s="62"/>
      <c r="C1" s="62"/>
      <c r="D1" s="62"/>
      <c r="E1" s="62"/>
      <c r="F1" s="62"/>
      <c r="G1" s="62"/>
      <c r="H1" s="61"/>
      <c r="I1" s="76"/>
      <c r="J1" s="76"/>
      <c r="K1" s="76"/>
      <c r="L1" s="76"/>
      <c r="M1" s="76"/>
      <c r="N1" s="76"/>
      <c r="O1" s="76"/>
      <c r="P1" s="76"/>
      <c r="Q1" s="76"/>
      <c r="R1" s="61"/>
      <c r="S1" s="61"/>
      <c r="T1" s="61"/>
      <c r="U1" s="61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  <c r="AQ1" s="69"/>
      <c r="AR1" s="69"/>
      <c r="AS1" s="69"/>
      <c r="AT1" s="69"/>
      <c r="AU1" s="69"/>
      <c r="AV1" s="69"/>
      <c r="AW1" s="69"/>
      <c r="AX1" s="69"/>
      <c r="AY1" s="69"/>
      <c r="AZ1" s="69"/>
      <c r="BA1" s="69"/>
      <c r="BB1" s="69"/>
      <c r="BC1" s="69"/>
      <c r="BD1" s="69"/>
      <c r="BE1" s="69"/>
      <c r="BF1" s="69"/>
      <c r="BG1" s="69"/>
      <c r="BH1" s="69"/>
      <c r="BI1" s="69"/>
      <c r="BJ1" s="69"/>
      <c r="BK1" s="69"/>
      <c r="BL1" s="69"/>
      <c r="BM1" s="69"/>
      <c r="BN1" s="69"/>
      <c r="BO1" s="69"/>
      <c r="BP1" s="100"/>
      <c r="BQ1" s="100"/>
    </row>
    <row r="2" ht="15.25" spans="1:69">
      <c r="A2" s="63" t="s">
        <v>1</v>
      </c>
      <c r="B2" s="63"/>
      <c r="C2" s="64">
        <v>3</v>
      </c>
      <c r="D2" s="65" t="s">
        <v>2</v>
      </c>
      <c r="E2" s="62"/>
      <c r="F2" s="62"/>
      <c r="G2" s="62"/>
      <c r="H2" s="61"/>
      <c r="I2" s="76" t="s">
        <v>3</v>
      </c>
      <c r="J2" s="76" t="s">
        <v>4</v>
      </c>
      <c r="K2" s="76"/>
      <c r="L2" s="76" t="s">
        <v>5</v>
      </c>
      <c r="M2" s="76">
        <v>1</v>
      </c>
      <c r="N2" s="76"/>
      <c r="O2" s="76" t="s">
        <v>6</v>
      </c>
      <c r="P2" s="76">
        <v>2</v>
      </c>
      <c r="Q2" s="76" t="s">
        <v>7</v>
      </c>
      <c r="R2" s="61"/>
      <c r="S2" s="61"/>
      <c r="T2" s="61"/>
      <c r="U2" s="61"/>
      <c r="V2" s="61">
        <v>1</v>
      </c>
      <c r="W2" s="61" t="s">
        <v>8</v>
      </c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69"/>
      <c r="AT2" s="69"/>
      <c r="AU2" s="69"/>
      <c r="AV2" s="69"/>
      <c r="AW2" s="69"/>
      <c r="AX2" s="69"/>
      <c r="AY2" s="69"/>
      <c r="AZ2" s="69"/>
      <c r="BA2" s="69"/>
      <c r="BB2" s="69"/>
      <c r="BC2" s="69"/>
      <c r="BD2" s="69"/>
      <c r="BE2" s="69"/>
      <c r="BF2" s="69"/>
      <c r="BG2" s="69"/>
      <c r="BH2" s="69"/>
      <c r="BI2" s="69"/>
      <c r="BJ2" s="69"/>
      <c r="BK2" s="69"/>
      <c r="BL2" s="69"/>
      <c r="BM2" s="69"/>
      <c r="BN2" s="69"/>
      <c r="BO2" s="69"/>
      <c r="BP2" s="100"/>
      <c r="BQ2" s="100"/>
    </row>
    <row r="3" ht="45" spans="1:69">
      <c r="A3" s="66" t="s">
        <v>90</v>
      </c>
      <c r="B3" s="66" t="s">
        <v>10</v>
      </c>
      <c r="C3" s="66" t="s">
        <v>91</v>
      </c>
      <c r="D3" s="66" t="s">
        <v>12</v>
      </c>
      <c r="E3" s="66" t="s">
        <v>13</v>
      </c>
      <c r="F3" s="66" t="s">
        <v>92</v>
      </c>
      <c r="G3" s="66" t="s">
        <v>15</v>
      </c>
      <c r="H3" s="66" t="s">
        <v>16</v>
      </c>
      <c r="I3" s="77" t="s">
        <v>17</v>
      </c>
      <c r="J3" s="77" t="s">
        <v>19</v>
      </c>
      <c r="K3" s="77" t="s">
        <v>18</v>
      </c>
      <c r="L3" s="78" t="s">
        <v>20</v>
      </c>
      <c r="M3" s="78" t="s">
        <v>21</v>
      </c>
      <c r="N3" s="78" t="s">
        <v>24</v>
      </c>
      <c r="O3" s="78" t="s">
        <v>25</v>
      </c>
      <c r="P3" s="78" t="s">
        <v>93</v>
      </c>
      <c r="Q3" s="78" t="s">
        <v>23</v>
      </c>
      <c r="R3" s="77" t="s">
        <v>26</v>
      </c>
      <c r="S3" s="66" t="s">
        <v>94</v>
      </c>
      <c r="T3" s="66" t="s">
        <v>28</v>
      </c>
      <c r="U3" s="85" t="s">
        <v>95</v>
      </c>
      <c r="V3" s="85" t="s">
        <v>30</v>
      </c>
      <c r="W3" s="85" t="s">
        <v>31</v>
      </c>
      <c r="X3" s="85" t="s">
        <v>32</v>
      </c>
      <c r="Y3" s="89" t="s">
        <v>33</v>
      </c>
      <c r="Z3" s="89" t="s">
        <v>34</v>
      </c>
      <c r="AA3" s="89" t="s">
        <v>35</v>
      </c>
      <c r="AB3" s="89" t="s">
        <v>36</v>
      </c>
      <c r="AC3" s="90" t="s">
        <v>37</v>
      </c>
      <c r="AD3" s="90" t="s">
        <v>38</v>
      </c>
      <c r="AE3" s="90" t="s">
        <v>39</v>
      </c>
      <c r="AF3" s="90" t="s">
        <v>40</v>
      </c>
      <c r="AG3" s="90" t="s">
        <v>41</v>
      </c>
      <c r="AH3" s="90" t="s">
        <v>42</v>
      </c>
      <c r="AI3" s="90" t="s">
        <v>43</v>
      </c>
      <c r="AJ3" s="90" t="s">
        <v>44</v>
      </c>
      <c r="AK3" s="90" t="s">
        <v>45</v>
      </c>
      <c r="AL3" s="90" t="s">
        <v>46</v>
      </c>
      <c r="AM3" s="90" t="s">
        <v>47</v>
      </c>
      <c r="AN3" s="90" t="s">
        <v>48</v>
      </c>
      <c r="AO3" s="90" t="s">
        <v>49</v>
      </c>
      <c r="AP3" s="90" t="s">
        <v>50</v>
      </c>
      <c r="AQ3" s="90" t="s">
        <v>51</v>
      </c>
      <c r="AR3" s="95" t="s">
        <v>96</v>
      </c>
      <c r="AS3" s="96" t="s">
        <v>53</v>
      </c>
      <c r="AT3" s="96" t="s">
        <v>51</v>
      </c>
      <c r="AU3" s="97" t="s">
        <v>54</v>
      </c>
      <c r="AV3" s="97" t="s">
        <v>55</v>
      </c>
      <c r="AW3" s="97" t="s">
        <v>56</v>
      </c>
      <c r="AX3" s="97" t="s">
        <v>57</v>
      </c>
      <c r="AY3" s="97" t="s">
        <v>58</v>
      </c>
      <c r="AZ3" s="97" t="s">
        <v>59</v>
      </c>
      <c r="BA3" s="97" t="s">
        <v>60</v>
      </c>
      <c r="BB3" s="97" t="s">
        <v>61</v>
      </c>
      <c r="BC3" s="101" t="s">
        <v>62</v>
      </c>
      <c r="BD3" s="101" t="s">
        <v>63</v>
      </c>
      <c r="BE3" s="101" t="s">
        <v>64</v>
      </c>
      <c r="BF3" s="97" t="s">
        <v>65</v>
      </c>
      <c r="BG3" s="97" t="s">
        <v>66</v>
      </c>
      <c r="BH3" s="97" t="s">
        <v>67</v>
      </c>
      <c r="BI3" s="97" t="s">
        <v>68</v>
      </c>
      <c r="BJ3" s="97" t="s">
        <v>69</v>
      </c>
      <c r="BK3" s="97" t="s">
        <v>70</v>
      </c>
      <c r="BL3" s="97" t="s">
        <v>71</v>
      </c>
      <c r="BM3" s="97" t="s">
        <v>72</v>
      </c>
      <c r="BN3" s="97" t="s">
        <v>73</v>
      </c>
      <c r="BO3" s="97" t="s">
        <v>59</v>
      </c>
      <c r="BP3" s="97" t="s">
        <v>74</v>
      </c>
      <c r="BQ3" s="97" t="s">
        <v>28</v>
      </c>
    </row>
    <row r="4" ht="15.25" spans="1:69">
      <c r="A4" s="67">
        <v>1</v>
      </c>
      <c r="B4" s="67" t="s">
        <v>129</v>
      </c>
      <c r="C4" s="67" t="s">
        <v>129</v>
      </c>
      <c r="D4" s="67" t="s">
        <v>76</v>
      </c>
      <c r="E4" s="67" t="s">
        <v>89</v>
      </c>
      <c r="F4" s="68">
        <v>5</v>
      </c>
      <c r="G4" s="60" t="s">
        <v>122</v>
      </c>
      <c r="H4" s="68">
        <f>F4*G4</f>
        <v>250</v>
      </c>
      <c r="I4" s="60" t="s">
        <v>102</v>
      </c>
      <c r="J4" s="68">
        <v>8</v>
      </c>
      <c r="K4" s="68">
        <v>5</v>
      </c>
      <c r="L4" s="68">
        <f>IF(OR(I4=0,I4="0"),0,H4)</f>
        <v>250</v>
      </c>
      <c r="M4" s="68">
        <f>ROUND(L4*I4%,3)</f>
        <v>12.5</v>
      </c>
      <c r="N4" s="68">
        <f>H4-M4</f>
        <v>237.5</v>
      </c>
      <c r="O4" s="68">
        <f>ROUND(N4*J4%,3)</f>
        <v>19</v>
      </c>
      <c r="P4" s="68">
        <f>ROUND(N4-O4,2)</f>
        <v>218.5</v>
      </c>
      <c r="Q4" s="68">
        <f>ROUND(P4*K4%,2)</f>
        <v>10.93</v>
      </c>
      <c r="R4" s="86">
        <f>ROUND(M4+O4+Q4,3)</f>
        <v>42.43</v>
      </c>
      <c r="S4" s="86">
        <f>(H4-R4)</f>
        <v>207.57</v>
      </c>
      <c r="T4" s="68">
        <v>88363222</v>
      </c>
      <c r="U4" s="68">
        <v>18</v>
      </c>
      <c r="V4" s="68">
        <f>IF(OR($C$2=1,$C$2=4),ROUND((((S4*U4)/100)/2),2),0)</f>
        <v>0</v>
      </c>
      <c r="W4" s="68">
        <f>IF($C$2=1,ROUND((((S4*U4)/100)/2),2),0)</f>
        <v>0</v>
      </c>
      <c r="X4" s="68">
        <f>IF($C$2=2,ROUND(((S4*U4)/100),2),0)</f>
        <v>0</v>
      </c>
      <c r="Y4" s="68">
        <f>IF($C$2=4,ROUND((((S4*U4)/100)/2),2),0)</f>
        <v>0</v>
      </c>
      <c r="Z4" s="68">
        <v>0</v>
      </c>
      <c r="AA4" s="68">
        <f>IF($C2=3,0,(S4*Z4)/100)</f>
        <v>0</v>
      </c>
      <c r="AB4" s="68">
        <f>V4+W4+X4+Y4+AA4</f>
        <v>0</v>
      </c>
      <c r="AC4" s="91">
        <f>IF($V2=1,S4+AB4,S4)</f>
        <v>207.57</v>
      </c>
      <c r="AD4" s="86">
        <v>120</v>
      </c>
      <c r="AE4" s="86">
        <f>IF($P$2=1,(S4/$S$5)*$E$16,AD4/$AD$5*$E$16)</f>
        <v>0</v>
      </c>
      <c r="AF4" s="86"/>
      <c r="AG4" s="86">
        <f>IF($P$2=1,(S4/$S$5)*$E$18,AD4/$AD$5*$E$18)</f>
        <v>0</v>
      </c>
      <c r="AH4" s="86">
        <f>IF($P$2=1,(S4/$S$5)*$E$19,AD4/$AD$5*$E$19)</f>
        <v>0</v>
      </c>
      <c r="AI4" s="86">
        <f>S4*$M2</f>
        <v>207.57</v>
      </c>
      <c r="AJ4" s="86">
        <f>IF($C$2=3,0,AG4+AH4)</f>
        <v>0</v>
      </c>
      <c r="AK4" s="86">
        <f>IF($C$2=3,AE4+AG4+AH4,0)</f>
        <v>0</v>
      </c>
      <c r="AL4" s="94">
        <v>3</v>
      </c>
      <c r="AM4" s="86">
        <f>F4/AL4</f>
        <v>1.66666666666667</v>
      </c>
      <c r="AN4" s="86">
        <f>ROUND(AI4/AM4,5)</f>
        <v>124.542</v>
      </c>
      <c r="AO4" s="86">
        <f>AJ4/AM4</f>
        <v>0</v>
      </c>
      <c r="AP4" s="86">
        <f>AK4/AM4</f>
        <v>0</v>
      </c>
      <c r="AQ4" s="86" t="s">
        <v>76</v>
      </c>
      <c r="AR4" s="86">
        <f>ROUND(AN4+AO4+AP4,5)</f>
        <v>124.542</v>
      </c>
      <c r="AS4" s="98" t="s">
        <v>98</v>
      </c>
      <c r="AT4" s="99" t="s">
        <v>76</v>
      </c>
      <c r="AU4" s="60" t="s">
        <v>128</v>
      </c>
      <c r="AV4" s="60" t="s">
        <v>124</v>
      </c>
      <c r="AW4" s="99">
        <f>AM4</f>
        <v>1.66666666666667</v>
      </c>
      <c r="AX4" s="102">
        <f>AR4</f>
        <v>124.542</v>
      </c>
      <c r="AY4" s="99">
        <f>AU4+AW4</f>
        <v>11.6666666666667</v>
      </c>
      <c r="AZ4" s="103">
        <f>ROUND(((AU4*AV4)+(AW4*AX4))/(AU4+AW4),3)</f>
        <v>53.376</v>
      </c>
      <c r="BA4" s="104"/>
      <c r="BB4" s="104" t="s">
        <v>80</v>
      </c>
      <c r="BC4" s="105" t="s">
        <v>81</v>
      </c>
      <c r="BD4" s="106" t="s">
        <v>82</v>
      </c>
      <c r="BE4" s="106" t="s">
        <v>83</v>
      </c>
      <c r="BF4" s="104"/>
      <c r="BG4" s="104"/>
      <c r="BH4" s="104"/>
      <c r="BI4" s="99"/>
      <c r="BJ4" s="99"/>
      <c r="BK4" s="99"/>
      <c r="BL4" s="107" t="s">
        <v>101</v>
      </c>
      <c r="BM4" s="60" t="s">
        <v>124</v>
      </c>
      <c r="BN4" s="60" t="s">
        <v>102</v>
      </c>
      <c r="BO4" s="99">
        <f>ROUND((((AW4*AZ4)+(BN4*BM4))/(AW4+BN4)),5)</f>
        <v>44.48025</v>
      </c>
      <c r="BP4" s="108">
        <f>ROUND(BN4+AW4,3)</f>
        <v>6.667</v>
      </c>
      <c r="BQ4" s="109">
        <v>123562</v>
      </c>
    </row>
    <row r="5" ht="15.25" spans="1:69">
      <c r="A5" s="69"/>
      <c r="B5" s="70"/>
      <c r="C5" s="70"/>
      <c r="D5" s="71" t="s">
        <v>87</v>
      </c>
      <c r="E5" s="71"/>
      <c r="F5" s="71"/>
      <c r="G5" s="72"/>
      <c r="H5" s="73">
        <f>SUM(H4:H4)</f>
        <v>250</v>
      </c>
      <c r="I5" s="67"/>
      <c r="J5" s="67"/>
      <c r="K5" s="67"/>
      <c r="L5" s="67"/>
      <c r="M5" s="67"/>
      <c r="N5" s="67"/>
      <c r="O5" s="67"/>
      <c r="P5" s="67"/>
      <c r="Q5" s="67"/>
      <c r="R5" s="87">
        <f t="shared" ref="R5:X5" si="0">SUM(R4:R4)</f>
        <v>42.43</v>
      </c>
      <c r="S5" s="73">
        <f t="shared" si="0"/>
        <v>207.57</v>
      </c>
      <c r="T5" s="87"/>
      <c r="U5" s="87"/>
      <c r="V5" s="88">
        <f t="shared" si="0"/>
        <v>0</v>
      </c>
      <c r="W5" s="88">
        <f t="shared" si="0"/>
        <v>0</v>
      </c>
      <c r="X5" s="88">
        <f t="shared" si="0"/>
        <v>0</v>
      </c>
      <c r="Y5" s="88"/>
      <c r="Z5" s="88"/>
      <c r="AA5" s="88"/>
      <c r="AB5" s="87">
        <f t="shared" ref="AB5:AE5" si="1">SUM(AB4:AB4)</f>
        <v>0</v>
      </c>
      <c r="AC5" s="92">
        <f t="shared" si="1"/>
        <v>207.57</v>
      </c>
      <c r="AD5" s="93">
        <f t="shared" si="1"/>
        <v>120</v>
      </c>
      <c r="AE5" s="93">
        <f t="shared" si="1"/>
        <v>0</v>
      </c>
      <c r="AF5" s="92"/>
      <c r="AG5" s="93">
        <f t="shared" ref="AG5:AK5" si="2">SUM(AG4:AG4)</f>
        <v>0</v>
      </c>
      <c r="AH5" s="93">
        <f>IF($P$2=1,(S5/$S$5)*$E$19,AD5/$AD$5*$E$19)</f>
        <v>0</v>
      </c>
      <c r="AI5" s="93">
        <f t="shared" si="2"/>
        <v>207.57</v>
      </c>
      <c r="AJ5" s="93">
        <f t="shared" si="2"/>
        <v>0</v>
      </c>
      <c r="AK5" s="93">
        <f t="shared" si="2"/>
        <v>0</v>
      </c>
      <c r="AL5" s="92"/>
      <c r="AM5" s="92"/>
      <c r="AN5" s="92"/>
      <c r="AO5" s="92"/>
      <c r="AP5" s="92"/>
      <c r="AQ5" s="92"/>
      <c r="AR5" s="92"/>
      <c r="AS5" s="69"/>
      <c r="AT5" s="69"/>
      <c r="AU5" s="100"/>
      <c r="AV5" s="100"/>
      <c r="AW5" s="69"/>
      <c r="AX5" s="69"/>
      <c r="AY5" s="69"/>
      <c r="AZ5" s="69"/>
      <c r="BA5" s="69"/>
      <c r="BB5" s="69"/>
      <c r="BC5" s="69"/>
      <c r="BD5" s="69"/>
      <c r="BE5" s="69"/>
      <c r="BF5" s="69"/>
      <c r="BG5" s="69"/>
      <c r="BH5" s="69"/>
      <c r="BI5" s="69"/>
      <c r="BJ5" s="69"/>
      <c r="BK5" s="69"/>
      <c r="BL5" s="69"/>
      <c r="BM5" s="69"/>
      <c r="BN5" s="69"/>
      <c r="BO5" s="69"/>
      <c r="BP5" s="100"/>
      <c r="BQ5" s="10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C7" sqref="C7"/>
    </sheetView>
  </sheetViews>
  <sheetFormatPr defaultColWidth="8.85454545454546" defaultRowHeight="14.5"/>
  <cols>
    <col min="1" max="1" width="8.85454545454546" style="60"/>
    <col min="2" max="2" width="28" style="60" customWidth="1"/>
    <col min="3" max="3" width="23" style="60" customWidth="1"/>
    <col min="4" max="12" width="8.85454545454546" style="60"/>
    <col min="13" max="13" width="9.13636363636364" style="60" customWidth="1"/>
    <col min="14" max="14" width="13.8545454545455" style="60" customWidth="1"/>
    <col min="15" max="63" width="8.85454545454546" style="60"/>
    <col min="64" max="64" width="11" style="60" customWidth="1"/>
    <col min="65" max="16384" width="8.85454545454546" style="60"/>
  </cols>
  <sheetData>
    <row r="1" spans="1:69">
      <c r="A1" s="61" t="s">
        <v>0</v>
      </c>
      <c r="B1" s="62"/>
      <c r="C1" s="62"/>
      <c r="D1" s="62"/>
      <c r="E1" s="62"/>
      <c r="F1" s="62"/>
      <c r="G1" s="62"/>
      <c r="H1" s="61"/>
      <c r="I1" s="76"/>
      <c r="J1" s="76"/>
      <c r="K1" s="76"/>
      <c r="L1" s="76"/>
      <c r="M1" s="76"/>
      <c r="N1" s="76"/>
      <c r="O1" s="76"/>
      <c r="P1" s="76"/>
      <c r="Q1" s="76"/>
      <c r="R1" s="61"/>
      <c r="S1" s="61"/>
      <c r="T1" s="61"/>
      <c r="U1" s="61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  <c r="AQ1" s="69"/>
      <c r="AR1" s="69"/>
      <c r="AS1" s="69"/>
      <c r="AT1" s="69"/>
      <c r="AU1" s="69"/>
      <c r="AV1" s="69"/>
      <c r="AW1" s="69"/>
      <c r="AX1" s="69"/>
      <c r="AY1" s="69"/>
      <c r="AZ1" s="69"/>
      <c r="BA1" s="69"/>
      <c r="BB1" s="69"/>
      <c r="BC1" s="69"/>
      <c r="BD1" s="69"/>
      <c r="BE1" s="69"/>
      <c r="BF1" s="69"/>
      <c r="BG1" s="69"/>
      <c r="BH1" s="69"/>
      <c r="BI1" s="69"/>
      <c r="BJ1" s="69"/>
      <c r="BK1" s="69"/>
      <c r="BL1" s="69"/>
      <c r="BM1" s="69"/>
      <c r="BN1" s="69"/>
      <c r="BO1" s="69"/>
      <c r="BP1" s="100"/>
      <c r="BQ1" s="100"/>
    </row>
    <row r="2" ht="15.25" spans="1:69">
      <c r="A2" s="63" t="s">
        <v>1</v>
      </c>
      <c r="B2" s="63"/>
      <c r="C2" s="64">
        <v>1</v>
      </c>
      <c r="D2" s="65" t="s">
        <v>2</v>
      </c>
      <c r="E2" s="62"/>
      <c r="F2" s="62"/>
      <c r="G2" s="62"/>
      <c r="H2" s="61"/>
      <c r="I2" s="76" t="s">
        <v>3</v>
      </c>
      <c r="J2" s="76" t="s">
        <v>4</v>
      </c>
      <c r="K2" s="76"/>
      <c r="L2" s="76" t="s">
        <v>5</v>
      </c>
      <c r="M2" s="76">
        <v>1</v>
      </c>
      <c r="N2" s="76"/>
      <c r="O2" s="76" t="s">
        <v>6</v>
      </c>
      <c r="P2" s="76">
        <v>2</v>
      </c>
      <c r="Q2" s="76" t="s">
        <v>7</v>
      </c>
      <c r="R2" s="61"/>
      <c r="S2" s="61"/>
      <c r="T2" s="61"/>
      <c r="U2" s="61"/>
      <c r="V2" s="61">
        <v>1</v>
      </c>
      <c r="W2" s="61" t="s">
        <v>8</v>
      </c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69"/>
      <c r="AT2" s="69"/>
      <c r="AU2" s="69"/>
      <c r="AV2" s="69"/>
      <c r="AW2" s="69"/>
      <c r="AX2" s="69"/>
      <c r="AY2" s="69"/>
      <c r="AZ2" s="69"/>
      <c r="BA2" s="69"/>
      <c r="BB2" s="69"/>
      <c r="BC2" s="69"/>
      <c r="BD2" s="69"/>
      <c r="BE2" s="69"/>
      <c r="BF2" s="69"/>
      <c r="BG2" s="69"/>
      <c r="BH2" s="69"/>
      <c r="BI2" s="69"/>
      <c r="BJ2" s="69"/>
      <c r="BK2" s="69"/>
      <c r="BL2" s="69"/>
      <c r="BM2" s="69"/>
      <c r="BN2" s="69"/>
      <c r="BO2" s="69"/>
      <c r="BP2" s="100"/>
      <c r="BQ2" s="100"/>
    </row>
    <row r="3" ht="45" spans="1:69">
      <c r="A3" s="66" t="s">
        <v>90</v>
      </c>
      <c r="B3" s="66" t="s">
        <v>10</v>
      </c>
      <c r="C3" s="66" t="s">
        <v>91</v>
      </c>
      <c r="D3" s="66" t="s">
        <v>12</v>
      </c>
      <c r="E3" s="66" t="s">
        <v>13</v>
      </c>
      <c r="F3" s="66" t="s">
        <v>92</v>
      </c>
      <c r="G3" s="66" t="s">
        <v>15</v>
      </c>
      <c r="H3" s="66" t="s">
        <v>16</v>
      </c>
      <c r="I3" s="77" t="s">
        <v>17</v>
      </c>
      <c r="J3" s="77" t="s">
        <v>19</v>
      </c>
      <c r="K3" s="77" t="s">
        <v>18</v>
      </c>
      <c r="L3" s="78" t="s">
        <v>20</v>
      </c>
      <c r="M3" s="78" t="s">
        <v>21</v>
      </c>
      <c r="N3" s="78" t="s">
        <v>24</v>
      </c>
      <c r="O3" s="78" t="s">
        <v>25</v>
      </c>
      <c r="P3" s="78" t="s">
        <v>93</v>
      </c>
      <c r="Q3" s="78" t="s">
        <v>23</v>
      </c>
      <c r="R3" s="77" t="s">
        <v>26</v>
      </c>
      <c r="S3" s="66" t="s">
        <v>94</v>
      </c>
      <c r="T3" s="66" t="s">
        <v>28</v>
      </c>
      <c r="U3" s="85" t="s">
        <v>95</v>
      </c>
      <c r="V3" s="85" t="s">
        <v>30</v>
      </c>
      <c r="W3" s="85" t="s">
        <v>31</v>
      </c>
      <c r="X3" s="85" t="s">
        <v>32</v>
      </c>
      <c r="Y3" s="89" t="s">
        <v>33</v>
      </c>
      <c r="Z3" s="89" t="s">
        <v>34</v>
      </c>
      <c r="AA3" s="89" t="s">
        <v>35</v>
      </c>
      <c r="AB3" s="89" t="s">
        <v>36</v>
      </c>
      <c r="AC3" s="90" t="s">
        <v>37</v>
      </c>
      <c r="AD3" s="90" t="s">
        <v>38</v>
      </c>
      <c r="AE3" s="90" t="s">
        <v>39</v>
      </c>
      <c r="AF3" s="90" t="s">
        <v>40</v>
      </c>
      <c r="AG3" s="90" t="s">
        <v>41</v>
      </c>
      <c r="AH3" s="90" t="s">
        <v>42</v>
      </c>
      <c r="AI3" s="90" t="s">
        <v>43</v>
      </c>
      <c r="AJ3" s="90" t="s">
        <v>44</v>
      </c>
      <c r="AK3" s="90" t="s">
        <v>45</v>
      </c>
      <c r="AL3" s="90" t="s">
        <v>46</v>
      </c>
      <c r="AM3" s="90" t="s">
        <v>47</v>
      </c>
      <c r="AN3" s="90" t="s">
        <v>48</v>
      </c>
      <c r="AO3" s="90" t="s">
        <v>49</v>
      </c>
      <c r="AP3" s="90" t="s">
        <v>50</v>
      </c>
      <c r="AQ3" s="90" t="s">
        <v>51</v>
      </c>
      <c r="AR3" s="95" t="s">
        <v>96</v>
      </c>
      <c r="AS3" s="96" t="s">
        <v>53</v>
      </c>
      <c r="AT3" s="96" t="s">
        <v>51</v>
      </c>
      <c r="AU3" s="97" t="s">
        <v>54</v>
      </c>
      <c r="AV3" s="97" t="s">
        <v>55</v>
      </c>
      <c r="AW3" s="97" t="s">
        <v>56</v>
      </c>
      <c r="AX3" s="97" t="s">
        <v>57</v>
      </c>
      <c r="AY3" s="97" t="s">
        <v>58</v>
      </c>
      <c r="AZ3" s="97" t="s">
        <v>59</v>
      </c>
      <c r="BA3" s="97" t="s">
        <v>60</v>
      </c>
      <c r="BB3" s="97" t="s">
        <v>61</v>
      </c>
      <c r="BC3" s="101" t="s">
        <v>62</v>
      </c>
      <c r="BD3" s="101" t="s">
        <v>63</v>
      </c>
      <c r="BE3" s="101" t="s">
        <v>64</v>
      </c>
      <c r="BF3" s="97" t="s">
        <v>65</v>
      </c>
      <c r="BG3" s="97" t="s">
        <v>66</v>
      </c>
      <c r="BH3" s="97" t="s">
        <v>67</v>
      </c>
      <c r="BI3" s="97" t="s">
        <v>68</v>
      </c>
      <c r="BJ3" s="97" t="s">
        <v>69</v>
      </c>
      <c r="BK3" s="97" t="s">
        <v>70</v>
      </c>
      <c r="BL3" s="97" t="s">
        <v>71</v>
      </c>
      <c r="BM3" s="97" t="s">
        <v>72</v>
      </c>
      <c r="BN3" s="97" t="s">
        <v>73</v>
      </c>
      <c r="BO3" s="97" t="s">
        <v>59</v>
      </c>
      <c r="BP3" s="97" t="s">
        <v>74</v>
      </c>
      <c r="BQ3" s="97" t="s">
        <v>28</v>
      </c>
    </row>
    <row r="4" ht="15.25" spans="1:69">
      <c r="A4" s="67">
        <v>1</v>
      </c>
      <c r="B4" s="67" t="s">
        <v>130</v>
      </c>
      <c r="C4" s="67" t="s">
        <v>130</v>
      </c>
      <c r="D4" s="67" t="s">
        <v>76</v>
      </c>
      <c r="E4" s="67" t="s">
        <v>76</v>
      </c>
      <c r="F4" s="68">
        <v>5</v>
      </c>
      <c r="G4" s="60" t="s">
        <v>122</v>
      </c>
      <c r="H4" s="68">
        <f>F4*G4</f>
        <v>250</v>
      </c>
      <c r="I4" s="60" t="s">
        <v>102</v>
      </c>
      <c r="J4" s="68">
        <v>8</v>
      </c>
      <c r="K4" s="68">
        <v>5</v>
      </c>
      <c r="L4" s="68">
        <f>IF(OR(I4=0,I4="0"),0,H4)</f>
        <v>250</v>
      </c>
      <c r="M4" s="68">
        <f>ROUND(L4*I4%,3)</f>
        <v>12.5</v>
      </c>
      <c r="N4" s="68">
        <f>H4-M4</f>
        <v>237.5</v>
      </c>
      <c r="O4" s="68">
        <f>ROUND(N4*J4%,3)</f>
        <v>19</v>
      </c>
      <c r="P4" s="68">
        <f>ROUND(N4-O4,2)</f>
        <v>218.5</v>
      </c>
      <c r="Q4" s="68">
        <f>ROUND(P4*K4%,2)</f>
        <v>10.93</v>
      </c>
      <c r="R4" s="86">
        <f>ROUND(M4+O4+Q4,3)</f>
        <v>42.43</v>
      </c>
      <c r="S4" s="86">
        <f>(H4-R4)</f>
        <v>207.57</v>
      </c>
      <c r="T4" s="68">
        <v>88363222</v>
      </c>
      <c r="U4" s="68">
        <v>18</v>
      </c>
      <c r="V4" s="68">
        <f>IF(OR($C$2=1,$C$2=4),ROUND((((S4*U4)/100)/2),2),0)</f>
        <v>18.68</v>
      </c>
      <c r="W4" s="68">
        <f>IF($C$2=1,ROUND((((S4*U4)/100)/2),2),0)</f>
        <v>18.68</v>
      </c>
      <c r="X4" s="68">
        <f>IF($C$2=2,ROUND(((S4*U4)/100),2),0)</f>
        <v>0</v>
      </c>
      <c r="Y4" s="68">
        <f>IF($C$2=4,ROUND((((S4*U4)/100)/2),2),0)</f>
        <v>0</v>
      </c>
      <c r="Z4" s="68">
        <v>0</v>
      </c>
      <c r="AA4" s="68">
        <f>IF($C2=3,0,(S4*Z4)/100)</f>
        <v>0</v>
      </c>
      <c r="AB4" s="68">
        <f>V4+W4+X4+Y4+AA4</f>
        <v>37.36</v>
      </c>
      <c r="AC4" s="91">
        <f>IF($V2=1,S4+AB4,S4)</f>
        <v>244.93</v>
      </c>
      <c r="AD4" s="86">
        <v>120</v>
      </c>
      <c r="AE4" s="86">
        <f>IF($P$2=1,(S4/$S$5)*$E$16,AD4/$AD$5*$E$16)</f>
        <v>0</v>
      </c>
      <c r="AF4" s="86"/>
      <c r="AG4" s="86">
        <f>IF($P$2=1,(S4/$S$5)*$E$18,AD4/$AD$5*$E$18)</f>
        <v>0</v>
      </c>
      <c r="AH4" s="86">
        <f>IF($P$2=1,(S4/$S$5)*$E$19,AD4/$AD$5*$E$19)</f>
        <v>0</v>
      </c>
      <c r="AI4" s="86">
        <f>S4*$M2</f>
        <v>207.57</v>
      </c>
      <c r="AJ4" s="86">
        <f>IF($C$2=3,0,AG4+AH4)</f>
        <v>0</v>
      </c>
      <c r="AK4" s="86">
        <f>IF($C$2=3,AE4+AG4+AH4,0)</f>
        <v>0</v>
      </c>
      <c r="AL4" s="94">
        <v>1</v>
      </c>
      <c r="AM4" s="86">
        <f>F4/AL4</f>
        <v>5</v>
      </c>
      <c r="AN4" s="86">
        <f>ROUND(AI4/AM4,5)</f>
        <v>41.514</v>
      </c>
      <c r="AO4" s="86">
        <f>AJ4/AM4</f>
        <v>0</v>
      </c>
      <c r="AP4" s="86">
        <f>AK4/AM4</f>
        <v>0</v>
      </c>
      <c r="AQ4" s="86" t="s">
        <v>76</v>
      </c>
      <c r="AR4" s="86">
        <f>ROUND(AN4+AO4+AP4,5)</f>
        <v>41.514</v>
      </c>
      <c r="AS4" s="98" t="s">
        <v>98</v>
      </c>
      <c r="AT4" s="99" t="s">
        <v>76</v>
      </c>
      <c r="AU4" s="60" t="s">
        <v>128</v>
      </c>
      <c r="AV4" s="60" t="s">
        <v>124</v>
      </c>
      <c r="AW4" s="99">
        <f>AM4</f>
        <v>5</v>
      </c>
      <c r="AX4" s="102">
        <f>AR4</f>
        <v>41.514</v>
      </c>
      <c r="AY4" s="99">
        <f>AU4+AW4</f>
        <v>15</v>
      </c>
      <c r="AZ4" s="103">
        <f>ROUND(((AU4*AV4)+(AW4*AX4))/(AU4+AW4),3)</f>
        <v>41.515</v>
      </c>
      <c r="BA4" s="104"/>
      <c r="BB4" s="104" t="s">
        <v>80</v>
      </c>
      <c r="BC4" s="105" t="s">
        <v>81</v>
      </c>
      <c r="BD4" s="106" t="s">
        <v>82</v>
      </c>
      <c r="BE4" s="106" t="s">
        <v>83</v>
      </c>
      <c r="BF4" s="104"/>
      <c r="BG4" s="104"/>
      <c r="BH4" s="104"/>
      <c r="BI4" s="99"/>
      <c r="BJ4" s="99"/>
      <c r="BK4" s="99"/>
      <c r="BL4" s="107" t="s">
        <v>101</v>
      </c>
      <c r="BM4" s="60" t="s">
        <v>124</v>
      </c>
      <c r="BN4" s="60" t="s">
        <v>102</v>
      </c>
      <c r="BO4" s="99">
        <f>ROUND((((AW4*AZ4)+(BN4*BM4))/(AW4+BN4)),5)</f>
        <v>41.515</v>
      </c>
      <c r="BP4" s="108">
        <f>ROUND(BN4+AW4,3)</f>
        <v>10</v>
      </c>
      <c r="BQ4" s="109">
        <v>123562</v>
      </c>
    </row>
    <row r="5" ht="15.25" spans="1:69">
      <c r="A5" s="69"/>
      <c r="B5" s="70"/>
      <c r="C5" s="70"/>
      <c r="D5" s="71" t="s">
        <v>87</v>
      </c>
      <c r="E5" s="71"/>
      <c r="F5" s="71"/>
      <c r="G5" s="72"/>
      <c r="H5" s="73">
        <f>SUM(H4:H4)</f>
        <v>250</v>
      </c>
      <c r="I5" s="67"/>
      <c r="J5" s="67"/>
      <c r="K5" s="67"/>
      <c r="L5" s="67"/>
      <c r="M5" s="67"/>
      <c r="N5" s="67"/>
      <c r="O5" s="67"/>
      <c r="P5" s="67"/>
      <c r="Q5" s="67"/>
      <c r="R5" s="87">
        <f t="shared" ref="R5:X5" si="0">SUM(R4:R4)</f>
        <v>42.43</v>
      </c>
      <c r="S5" s="73">
        <f t="shared" si="0"/>
        <v>207.57</v>
      </c>
      <c r="T5" s="87"/>
      <c r="U5" s="87"/>
      <c r="V5" s="88">
        <f t="shared" si="0"/>
        <v>18.68</v>
      </c>
      <c r="W5" s="88">
        <f t="shared" si="0"/>
        <v>18.68</v>
      </c>
      <c r="X5" s="88">
        <f t="shared" si="0"/>
        <v>0</v>
      </c>
      <c r="Y5" s="88"/>
      <c r="Z5" s="88"/>
      <c r="AA5" s="88"/>
      <c r="AB5" s="87">
        <f t="shared" ref="AB5:AE5" si="1">SUM(AB4:AB4)</f>
        <v>37.36</v>
      </c>
      <c r="AC5" s="92">
        <f t="shared" si="1"/>
        <v>244.93</v>
      </c>
      <c r="AD5" s="93">
        <f t="shared" si="1"/>
        <v>120</v>
      </c>
      <c r="AE5" s="93">
        <f t="shared" si="1"/>
        <v>0</v>
      </c>
      <c r="AF5" s="92"/>
      <c r="AG5" s="93">
        <f t="shared" ref="AG5:AK5" si="2">SUM(AG4:AG4)</f>
        <v>0</v>
      </c>
      <c r="AH5" s="93">
        <f>IF($P$2=1,(S5/$S$5)*$E$19,AD5/$AD$5*$E$19)</f>
        <v>0</v>
      </c>
      <c r="AI5" s="93">
        <f t="shared" si="2"/>
        <v>207.57</v>
      </c>
      <c r="AJ5" s="93">
        <f t="shared" si="2"/>
        <v>0</v>
      </c>
      <c r="AK5" s="93">
        <f t="shared" si="2"/>
        <v>0</v>
      </c>
      <c r="AL5" s="92"/>
      <c r="AM5" s="92"/>
      <c r="AN5" s="92"/>
      <c r="AO5" s="92"/>
      <c r="AP5" s="92"/>
      <c r="AQ5" s="92"/>
      <c r="AR5" s="92"/>
      <c r="AS5" s="69"/>
      <c r="AT5" s="69"/>
      <c r="AU5" s="100"/>
      <c r="AV5" s="100"/>
      <c r="AW5" s="69"/>
      <c r="AX5" s="69"/>
      <c r="AY5" s="69"/>
      <c r="AZ5" s="69"/>
      <c r="BA5" s="69"/>
      <c r="BB5" s="69"/>
      <c r="BC5" s="69"/>
      <c r="BD5" s="69"/>
      <c r="BE5" s="69"/>
      <c r="BF5" s="69"/>
      <c r="BG5" s="69"/>
      <c r="BH5" s="69"/>
      <c r="BI5" s="69"/>
      <c r="BJ5" s="69"/>
      <c r="BK5" s="69"/>
      <c r="BL5" s="69"/>
      <c r="BM5" s="69"/>
      <c r="BN5" s="69"/>
      <c r="BO5" s="69"/>
      <c r="BP5" s="100"/>
      <c r="BQ5" s="100"/>
    </row>
    <row r="6" ht="15.25" spans="1:69">
      <c r="A6" s="69"/>
      <c r="B6" s="69"/>
      <c r="C6" s="69"/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69"/>
      <c r="AS6" s="69"/>
      <c r="AT6" s="69"/>
      <c r="AU6" s="69"/>
      <c r="AV6" s="69"/>
      <c r="AW6" s="69"/>
      <c r="AX6" s="69"/>
      <c r="AY6" s="69"/>
      <c r="AZ6" s="69"/>
      <c r="BA6" s="69"/>
      <c r="BB6" s="69"/>
      <c r="BC6" s="69"/>
      <c r="BD6" s="69"/>
      <c r="BE6" s="69"/>
      <c r="BF6" s="69"/>
      <c r="BG6" s="69"/>
      <c r="BH6" s="69"/>
      <c r="BI6" s="69"/>
      <c r="BJ6" s="69"/>
      <c r="BK6" s="69"/>
      <c r="BL6" s="69"/>
      <c r="BM6" s="69"/>
      <c r="BN6" s="69"/>
      <c r="BO6" s="69"/>
      <c r="BP6" s="100"/>
      <c r="BQ6" s="100"/>
    </row>
    <row r="7" ht="15.25" spans="1:69">
      <c r="A7" s="69"/>
      <c r="B7" s="69"/>
      <c r="C7" s="69"/>
      <c r="D7" s="69"/>
      <c r="E7" s="69"/>
      <c r="F7" s="69"/>
      <c r="G7" s="74" t="s">
        <v>103</v>
      </c>
      <c r="H7" s="75"/>
      <c r="I7" s="79">
        <f>H5</f>
        <v>250</v>
      </c>
      <c r="J7" s="79"/>
      <c r="K7" s="69"/>
      <c r="L7" s="69"/>
      <c r="M7" s="80" t="s">
        <v>104</v>
      </c>
      <c r="N7" s="81"/>
      <c r="O7" s="81"/>
      <c r="P7" s="82"/>
      <c r="Q7" s="69"/>
      <c r="R7" s="69"/>
      <c r="S7" s="69"/>
      <c r="T7" s="69"/>
      <c r="U7" s="69"/>
      <c r="V7" s="69"/>
      <c r="W7" s="69"/>
      <c r="X7" s="69"/>
      <c r="Y7" s="69"/>
      <c r="Z7" s="69"/>
      <c r="AA7" s="69"/>
      <c r="AB7" s="69"/>
      <c r="AC7" s="69"/>
      <c r="AD7" s="69"/>
      <c r="AE7" s="69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69"/>
      <c r="AQ7" s="69"/>
      <c r="AR7" s="69"/>
      <c r="AS7" s="69"/>
      <c r="AT7" s="69"/>
      <c r="AU7" s="69"/>
      <c r="AV7" s="69"/>
      <c r="AW7" s="69"/>
      <c r="AX7" s="69"/>
      <c r="AY7" s="69"/>
      <c r="AZ7" s="69"/>
      <c r="BA7" s="69"/>
      <c r="BB7" s="69"/>
      <c r="BC7" s="69"/>
      <c r="BD7" s="69"/>
      <c r="BE7" s="69"/>
      <c r="BF7" s="69"/>
      <c r="BG7" s="69"/>
      <c r="BH7" s="69" t="s">
        <v>105</v>
      </c>
      <c r="BI7" s="120" t="s">
        <v>106</v>
      </c>
      <c r="BJ7" s="69"/>
      <c r="BK7" s="69"/>
      <c r="BL7" s="69"/>
      <c r="BM7" s="69"/>
      <c r="BN7" s="69"/>
      <c r="BO7" s="69"/>
      <c r="BP7" s="100"/>
      <c r="BQ7" s="100"/>
    </row>
    <row r="8" ht="15.25" spans="1:69">
      <c r="A8" s="69"/>
      <c r="B8" s="69"/>
      <c r="C8" s="69"/>
      <c r="D8" s="69"/>
      <c r="E8" s="69"/>
      <c r="F8" s="69"/>
      <c r="G8" s="74" t="s">
        <v>107</v>
      </c>
      <c r="H8" s="75"/>
      <c r="I8" s="79">
        <f>R5</f>
        <v>42.43</v>
      </c>
      <c r="J8" s="79"/>
      <c r="K8" s="69"/>
      <c r="L8" s="69"/>
      <c r="M8" s="83">
        <v>1</v>
      </c>
      <c r="N8" s="83" t="s">
        <v>76</v>
      </c>
      <c r="O8" s="83">
        <v>2</v>
      </c>
      <c r="P8" s="83" t="s">
        <v>89</v>
      </c>
      <c r="Q8" s="69"/>
      <c r="R8" s="69"/>
      <c r="S8" s="69"/>
      <c r="T8" s="69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  <c r="AF8" s="69"/>
      <c r="AG8" s="69"/>
      <c r="AH8" s="69"/>
      <c r="AI8" s="69"/>
      <c r="AJ8" s="69"/>
      <c r="AK8" s="69"/>
      <c r="AL8" s="69"/>
      <c r="AM8" s="69"/>
      <c r="AN8" s="69"/>
      <c r="AO8" s="69"/>
      <c r="AP8" s="69"/>
      <c r="AQ8" s="69"/>
      <c r="AR8" s="69"/>
      <c r="AS8" s="69"/>
      <c r="AT8" s="69"/>
      <c r="AU8" s="69"/>
      <c r="AV8" s="69"/>
      <c r="AW8" s="69"/>
      <c r="AX8" s="69"/>
      <c r="AY8" s="69"/>
      <c r="AZ8" s="69"/>
      <c r="BA8" s="69"/>
      <c r="BB8" s="69"/>
      <c r="BC8" s="69"/>
      <c r="BD8" s="69"/>
      <c r="BE8" s="69"/>
      <c r="BF8" s="69"/>
      <c r="BG8" s="69"/>
      <c r="BH8" s="69" t="s">
        <v>108</v>
      </c>
      <c r="BI8" s="120" t="s">
        <v>109</v>
      </c>
      <c r="BJ8" s="69"/>
      <c r="BK8" s="69"/>
      <c r="BL8" s="69"/>
      <c r="BM8" s="69"/>
      <c r="BN8" s="69"/>
      <c r="BO8" s="69"/>
      <c r="BP8" s="100"/>
      <c r="BQ8" s="100"/>
    </row>
    <row r="9" ht="15.25" spans="1:69">
      <c r="A9" s="69"/>
      <c r="B9" s="69"/>
      <c r="C9" s="69"/>
      <c r="D9" s="69"/>
      <c r="E9" s="69"/>
      <c r="F9" s="69"/>
      <c r="G9" s="74" t="s">
        <v>110</v>
      </c>
      <c r="H9" s="75"/>
      <c r="I9" s="79">
        <f>S5</f>
        <v>207.57</v>
      </c>
      <c r="J9" s="79"/>
      <c r="K9" s="69"/>
      <c r="L9" s="69"/>
      <c r="M9" s="67">
        <v>1</v>
      </c>
      <c r="N9" s="67" t="s">
        <v>76</v>
      </c>
      <c r="O9" s="67">
        <v>2.5</v>
      </c>
      <c r="P9" s="67" t="s">
        <v>111</v>
      </c>
      <c r="Q9" s="69"/>
      <c r="R9" s="69"/>
      <c r="S9" s="69"/>
      <c r="T9" s="69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69"/>
      <c r="AZ9" s="69"/>
      <c r="BA9" s="69"/>
      <c r="BB9" s="69"/>
      <c r="BC9" s="69"/>
      <c r="BD9" s="69"/>
      <c r="BE9" s="69"/>
      <c r="BF9" s="69"/>
      <c r="BG9" s="69"/>
      <c r="BH9" s="69"/>
      <c r="BI9" s="69"/>
      <c r="BJ9" s="69"/>
      <c r="BK9" s="69"/>
      <c r="BL9" s="69"/>
      <c r="BM9" s="69"/>
      <c r="BN9" s="69"/>
      <c r="BO9" s="69"/>
      <c r="BP9" s="100"/>
      <c r="BQ9" s="100"/>
    </row>
    <row r="10" ht="15.25" spans="1:69">
      <c r="A10" s="69"/>
      <c r="B10" s="69"/>
      <c r="C10" s="69"/>
      <c r="D10" s="69"/>
      <c r="E10" s="69"/>
      <c r="F10" s="69"/>
      <c r="G10" s="74" t="s">
        <v>112</v>
      </c>
      <c r="H10" s="75"/>
      <c r="I10" s="79">
        <f>AB5</f>
        <v>37.36</v>
      </c>
      <c r="J10" s="79"/>
      <c r="K10" s="69"/>
      <c r="L10" s="69"/>
      <c r="M10" s="67">
        <v>1</v>
      </c>
      <c r="N10" s="67" t="s">
        <v>89</v>
      </c>
      <c r="O10" s="67">
        <v>0.001</v>
      </c>
      <c r="P10" s="67" t="s">
        <v>113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69"/>
      <c r="AS10" s="69"/>
      <c r="AT10" s="69"/>
      <c r="AU10" s="69"/>
      <c r="AV10" s="69"/>
      <c r="AW10" s="69"/>
      <c r="AX10" s="69"/>
      <c r="AY10" s="69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100"/>
      <c r="BQ10" s="100"/>
    </row>
    <row r="11" ht="15.25" spans="1:69">
      <c r="A11" s="69"/>
      <c r="B11" s="69"/>
      <c r="C11" s="69"/>
      <c r="D11" s="69"/>
      <c r="E11" s="69"/>
      <c r="F11" s="69"/>
      <c r="G11" s="74" t="s">
        <v>114</v>
      </c>
      <c r="H11" s="75"/>
      <c r="I11" s="84">
        <f>I9+I10</f>
        <v>244.93</v>
      </c>
      <c r="J11" s="84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100"/>
      <c r="BQ11" s="100"/>
    </row>
    <row r="12" spans="1:69">
      <c r="A12" s="69"/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 t="s">
        <v>115</v>
      </c>
      <c r="BN12" s="69" t="s">
        <v>116</v>
      </c>
      <c r="BO12" s="69"/>
      <c r="BP12" s="100"/>
      <c r="BQ12" s="100"/>
    </row>
    <row r="13" spans="1:69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69"/>
      <c r="AS13" s="69"/>
      <c r="AT13" s="69"/>
      <c r="AU13" s="69"/>
      <c r="AV13" s="69"/>
      <c r="AW13" s="69"/>
      <c r="AX13" s="69"/>
      <c r="AY13" s="69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 t="s">
        <v>117</v>
      </c>
      <c r="BL13" s="69">
        <v>12.5</v>
      </c>
      <c r="BM13" s="69">
        <f>BL15*BL16</f>
        <v>18277.77</v>
      </c>
      <c r="BN13" s="69">
        <f>BL13*BL14</f>
        <v>6092.59</v>
      </c>
      <c r="BO13" s="69"/>
      <c r="BP13" s="100"/>
      <c r="BQ13" s="100"/>
    </row>
    <row r="14" spans="1:69">
      <c r="A14" s="69"/>
      <c r="B14" s="69"/>
      <c r="C14" s="69"/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69"/>
      <c r="AT14" s="69"/>
      <c r="AU14" s="69"/>
      <c r="AV14" s="69"/>
      <c r="AW14" s="69"/>
      <c r="AX14" s="69"/>
      <c r="AY14" s="69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 t="s">
        <v>118</v>
      </c>
      <c r="BL14" s="69">
        <v>487.4072</v>
      </c>
      <c r="BM14" s="69">
        <f>BL13+BL15</f>
        <v>50</v>
      </c>
      <c r="BN14" s="69"/>
      <c r="BO14" s="69"/>
      <c r="BP14" s="100"/>
      <c r="BQ14" s="100"/>
    </row>
    <row r="15" spans="1:69">
      <c r="A15" s="69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 t="s">
        <v>119</v>
      </c>
      <c r="BL15" s="69">
        <v>37.5</v>
      </c>
      <c r="BM15" s="69"/>
      <c r="BN15" s="69"/>
      <c r="BO15" s="69"/>
      <c r="BP15" s="100"/>
      <c r="BQ15" s="100"/>
    </row>
    <row r="16" spans="1:69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69"/>
      <c r="AQ16" s="69"/>
      <c r="AR16" s="69"/>
      <c r="AS16" s="69"/>
      <c r="AT16" s="69"/>
      <c r="AU16" s="69"/>
      <c r="AV16" s="69"/>
      <c r="AW16" s="69"/>
      <c r="AX16" s="69"/>
      <c r="AY16" s="69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 t="s">
        <v>120</v>
      </c>
      <c r="BL16" s="69">
        <v>487.4072</v>
      </c>
      <c r="BM16" s="69"/>
      <c r="BN16" s="69"/>
      <c r="BO16" s="69"/>
      <c r="BP16" s="100"/>
      <c r="BQ16" s="100"/>
    </row>
    <row r="17" spans="1:69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>
        <f>BM13+BN13</f>
        <v>24370.36</v>
      </c>
      <c r="BN17" s="69">
        <f>BM17/BM14</f>
        <v>487.4072</v>
      </c>
      <c r="BO17" s="69"/>
      <c r="BP17" s="100"/>
      <c r="BQ17" s="100"/>
    </row>
    <row r="18" spans="1:69">
      <c r="A18" s="69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69"/>
      <c r="AS18" s="69"/>
      <c r="AT18" s="69"/>
      <c r="AU18" s="69"/>
      <c r="AV18" s="69"/>
      <c r="AW18" s="69"/>
      <c r="AX18" s="69"/>
      <c r="AY18" s="69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100"/>
      <c r="BQ18" s="100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12" workbookViewId="0">
      <selection activeCell="J31" sqref="J31"/>
    </sheetView>
  </sheetViews>
  <sheetFormatPr defaultColWidth="8.70909090909091" defaultRowHeight="14.5"/>
  <cols>
    <col min="8" max="8" width="9.42727272727273" customWidth="1"/>
  </cols>
  <sheetData>
    <row r="1" ht="18.5" spans="1:69">
      <c r="A1" s="1" t="s">
        <v>131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</row>
    <row r="2" ht="19.25" spans="1:69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</row>
    <row r="3" ht="15.25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4"/>
      <c r="J4" s="34"/>
      <c r="K4" s="34"/>
      <c r="L4" s="35"/>
      <c r="M4" s="35"/>
      <c r="N4" s="35"/>
      <c r="O4" s="35"/>
      <c r="P4" s="35"/>
      <c r="Q4" s="35"/>
      <c r="R4" s="35"/>
      <c r="S4" s="35"/>
      <c r="T4" s="35"/>
      <c r="U4" s="34"/>
      <c r="V4" s="34"/>
      <c r="W4" s="34"/>
      <c r="X4" s="34"/>
      <c r="Y4" s="34"/>
      <c r="Z4" s="34"/>
      <c r="AA4" s="34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16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4"/>
      <c r="J5" s="34"/>
      <c r="K5" s="34"/>
      <c r="L5" s="35"/>
      <c r="M5" s="35"/>
      <c r="N5" s="35"/>
      <c r="O5" s="35"/>
      <c r="P5" s="35"/>
      <c r="Q5" s="35"/>
      <c r="R5" s="35"/>
      <c r="S5" s="35"/>
      <c r="T5" s="35"/>
      <c r="U5" s="34"/>
      <c r="V5" s="34"/>
      <c r="W5" s="34"/>
      <c r="X5" s="34"/>
      <c r="Y5" s="34"/>
      <c r="Z5" s="34"/>
      <c r="AA5" s="34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16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4"/>
      <c r="J6" s="34"/>
      <c r="K6" s="34"/>
      <c r="L6" s="35"/>
      <c r="M6" s="35"/>
      <c r="N6" s="35"/>
      <c r="O6" s="35"/>
      <c r="P6" s="35"/>
      <c r="Q6" s="35"/>
      <c r="R6" s="35"/>
      <c r="S6" s="35"/>
      <c r="T6" s="35"/>
      <c r="U6" s="34"/>
      <c r="V6" s="34"/>
      <c r="W6" s="34"/>
      <c r="X6" s="34"/>
      <c r="Y6" s="34"/>
      <c r="Z6" s="34"/>
      <c r="AA6" s="34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16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4"/>
      <c r="J7" s="34"/>
      <c r="K7" s="34"/>
      <c r="L7" s="35"/>
      <c r="M7" s="35"/>
      <c r="N7" s="35"/>
      <c r="O7" s="35"/>
      <c r="P7" s="35"/>
      <c r="Q7" s="35"/>
      <c r="R7" s="35"/>
      <c r="S7" s="35"/>
      <c r="T7" s="35"/>
      <c r="U7" s="34"/>
      <c r="V7" s="34"/>
      <c r="W7" s="34"/>
      <c r="X7" s="34"/>
      <c r="Y7" s="34"/>
      <c r="Z7" s="34"/>
      <c r="AA7" s="34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16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4"/>
      <c r="V8" s="34"/>
      <c r="W8" s="34"/>
      <c r="X8" s="34"/>
      <c r="Y8" s="34"/>
      <c r="Z8" s="34"/>
      <c r="AA8" s="34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16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4"/>
      <c r="V9" s="34"/>
      <c r="W9" s="34"/>
      <c r="X9" s="34"/>
      <c r="Y9" s="34"/>
      <c r="Z9" s="34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16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4"/>
      <c r="V10" s="34"/>
      <c r="W10" s="34"/>
      <c r="X10" s="34"/>
      <c r="Y10" s="34"/>
      <c r="Z10" s="34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16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65.32</v>
      </c>
      <c r="H11" s="10">
        <f t="shared" si="0"/>
        <v>1959.6</v>
      </c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4"/>
      <c r="V11" s="34"/>
      <c r="W11" s="34"/>
      <c r="X11" s="34"/>
      <c r="Y11" s="34"/>
      <c r="Z11" s="34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16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4"/>
      <c r="V12" s="34"/>
      <c r="W12" s="34"/>
      <c r="X12" s="34"/>
      <c r="Y12" s="34"/>
      <c r="Z12" s="34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16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2507.68</v>
      </c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4"/>
      <c r="V13" s="34"/>
      <c r="W13" s="34"/>
      <c r="X13" s="34"/>
      <c r="Y13" s="34"/>
      <c r="Z13" s="34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16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4"/>
      <c r="V14" s="34"/>
      <c r="W14" s="34"/>
      <c r="X14" s="34"/>
      <c r="Y14" s="34"/>
      <c r="Z14" s="34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16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4"/>
      <c r="V15" s="34"/>
      <c r="W15" s="34"/>
      <c r="X15" s="34"/>
      <c r="Y15" s="34"/>
      <c r="Z15" s="34"/>
      <c r="AA15" s="34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16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4"/>
      <c r="V16" s="34"/>
      <c r="W16" s="34"/>
      <c r="X16" s="34"/>
      <c r="Y16" s="34"/>
      <c r="Z16" s="34"/>
      <c r="AA16" s="34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16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9"/>
      <c r="T17" s="35"/>
      <c r="U17" s="34"/>
      <c r="V17" s="34"/>
      <c r="W17" s="34"/>
      <c r="X17" s="34"/>
      <c r="Y17" s="34"/>
      <c r="Z17" s="34"/>
      <c r="AA17" s="34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16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</row>
    <row r="18" ht="15.25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4"/>
      <c r="V18" s="34"/>
      <c r="W18" s="34"/>
      <c r="X18" s="34"/>
      <c r="Y18" s="34"/>
      <c r="Z18" s="34"/>
      <c r="AA18" s="34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16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</row>
    <row r="19" ht="15.25" spans="1:69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36"/>
      <c r="J19" s="36"/>
      <c r="K19" s="36"/>
      <c r="L19" s="36"/>
      <c r="M19" s="36"/>
      <c r="N19" s="36"/>
      <c r="O19" s="36"/>
      <c r="P19" s="36"/>
      <c r="Q19" s="36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</row>
    <row r="20" spans="1:69">
      <c r="A20" s="19" t="s">
        <v>0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</row>
    <row r="21" ht="15.25" spans="1:69">
      <c r="A21" s="21" t="s">
        <v>1</v>
      </c>
      <c r="B21" s="21"/>
      <c r="C21" s="22">
        <v>3</v>
      </c>
      <c r="D21" s="23" t="s">
        <v>2</v>
      </c>
      <c r="E21" s="20"/>
      <c r="F21" s="20"/>
      <c r="G21" s="20"/>
      <c r="H21" s="19"/>
      <c r="I21" s="36" t="s">
        <v>3</v>
      </c>
      <c r="J21" s="36" t="s">
        <v>4</v>
      </c>
      <c r="K21" s="36"/>
      <c r="L21" s="36" t="s">
        <v>5</v>
      </c>
      <c r="M21" s="36">
        <v>1</v>
      </c>
      <c r="N21" s="36"/>
      <c r="O21" s="36" t="s">
        <v>6</v>
      </c>
      <c r="P21" s="36">
        <v>1</v>
      </c>
      <c r="Q21" s="36" t="s">
        <v>7</v>
      </c>
      <c r="R21" s="19"/>
      <c r="S21" s="19"/>
      <c r="T21" s="19"/>
      <c r="U21" s="19"/>
      <c r="V21" s="19">
        <v>1</v>
      </c>
      <c r="W21" s="19" t="s">
        <v>8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</row>
    <row r="22" ht="59.5" spans="1:69">
      <c r="A22" s="24" t="s">
        <v>9</v>
      </c>
      <c r="B22" s="24" t="s">
        <v>10</v>
      </c>
      <c r="C22" s="25" t="s">
        <v>11</v>
      </c>
      <c r="D22" s="24" t="s">
        <v>12</v>
      </c>
      <c r="E22" s="24" t="s">
        <v>13</v>
      </c>
      <c r="F22" s="26" t="s">
        <v>14</v>
      </c>
      <c r="G22" s="24" t="s">
        <v>15</v>
      </c>
      <c r="H22" s="24" t="s">
        <v>16</v>
      </c>
      <c r="I22" s="37" t="s">
        <v>17</v>
      </c>
      <c r="J22" s="37" t="s">
        <v>18</v>
      </c>
      <c r="K22" s="37" t="s">
        <v>19</v>
      </c>
      <c r="L22" s="38" t="s">
        <v>20</v>
      </c>
      <c r="M22" s="38" t="s">
        <v>21</v>
      </c>
      <c r="N22" s="38" t="s">
        <v>22</v>
      </c>
      <c r="O22" s="38" t="s">
        <v>23</v>
      </c>
      <c r="P22" s="38" t="s">
        <v>24</v>
      </c>
      <c r="Q22" s="38" t="s">
        <v>25</v>
      </c>
      <c r="R22" s="37" t="s">
        <v>26</v>
      </c>
      <c r="S22" s="24" t="s">
        <v>27</v>
      </c>
      <c r="T22" s="24" t="s">
        <v>28</v>
      </c>
      <c r="U22" s="40" t="s">
        <v>29</v>
      </c>
      <c r="V22" s="40" t="s">
        <v>30</v>
      </c>
      <c r="W22" s="40" t="s">
        <v>31</v>
      </c>
      <c r="X22" s="40" t="s">
        <v>32</v>
      </c>
      <c r="Y22" s="40" t="s">
        <v>33</v>
      </c>
      <c r="Z22" s="40" t="s">
        <v>34</v>
      </c>
      <c r="AA22" s="40" t="s">
        <v>35</v>
      </c>
      <c r="AB22" s="40" t="s">
        <v>36</v>
      </c>
      <c r="AC22" s="43" t="s">
        <v>37</v>
      </c>
      <c r="AD22" s="43" t="s">
        <v>38</v>
      </c>
      <c r="AE22" s="44" t="s">
        <v>39</v>
      </c>
      <c r="AF22" s="44" t="s">
        <v>40</v>
      </c>
      <c r="AG22" s="44" t="s">
        <v>41</v>
      </c>
      <c r="AH22" s="43" t="s">
        <v>42</v>
      </c>
      <c r="AI22" s="43" t="s">
        <v>43</v>
      </c>
      <c r="AJ22" s="44" t="s">
        <v>44</v>
      </c>
      <c r="AK22" s="44" t="s">
        <v>45</v>
      </c>
      <c r="AL22" s="43" t="s">
        <v>46</v>
      </c>
      <c r="AM22" s="43" t="s">
        <v>47</v>
      </c>
      <c r="AN22" s="44" t="s">
        <v>48</v>
      </c>
      <c r="AO22" s="44" t="s">
        <v>49</v>
      </c>
      <c r="AP22" s="44" t="s">
        <v>50</v>
      </c>
      <c r="AQ22" s="43" t="s">
        <v>51</v>
      </c>
      <c r="AR22" s="48" t="s">
        <v>52</v>
      </c>
      <c r="AS22" s="3" t="s">
        <v>53</v>
      </c>
      <c r="AT22" s="3" t="s">
        <v>51</v>
      </c>
      <c r="AU22" s="49" t="s">
        <v>54</v>
      </c>
      <c r="AV22" s="49" t="s">
        <v>55</v>
      </c>
      <c r="AW22" s="49" t="s">
        <v>56</v>
      </c>
      <c r="AX22" s="49" t="s">
        <v>57</v>
      </c>
      <c r="AY22" s="49" t="s">
        <v>58</v>
      </c>
      <c r="AZ22" s="49" t="s">
        <v>59</v>
      </c>
      <c r="BA22" s="49" t="s">
        <v>60</v>
      </c>
      <c r="BB22" s="49" t="s">
        <v>61</v>
      </c>
      <c r="BC22" s="51" t="s">
        <v>62</v>
      </c>
      <c r="BD22" s="51" t="s">
        <v>63</v>
      </c>
      <c r="BE22" s="51" t="s">
        <v>64</v>
      </c>
      <c r="BF22" s="49" t="s">
        <v>65</v>
      </c>
      <c r="BG22" s="49" t="s">
        <v>66</v>
      </c>
      <c r="BH22" s="49" t="s">
        <v>67</v>
      </c>
      <c r="BI22" s="49" t="s">
        <v>68</v>
      </c>
      <c r="BJ22" s="49" t="s">
        <v>69</v>
      </c>
      <c r="BK22" s="49" t="s">
        <v>70</v>
      </c>
      <c r="BL22" s="49" t="s">
        <v>71</v>
      </c>
      <c r="BM22" s="49" t="s">
        <v>72</v>
      </c>
      <c r="BN22" s="49" t="s">
        <v>73</v>
      </c>
      <c r="BO22" s="49" t="s">
        <v>59</v>
      </c>
      <c r="BP22" s="49" t="s">
        <v>74</v>
      </c>
      <c r="BQ22" s="49" t="s">
        <v>28</v>
      </c>
    </row>
    <row r="23" ht="15.25" spans="1:69">
      <c r="A23" s="27">
        <v>1</v>
      </c>
      <c r="B23" s="27" t="s">
        <v>75</v>
      </c>
      <c r="C23" s="27" t="s">
        <v>75</v>
      </c>
      <c r="D23" s="27" t="s">
        <v>76</v>
      </c>
      <c r="E23" s="27" t="s">
        <v>76</v>
      </c>
      <c r="F23" s="28">
        <v>2</v>
      </c>
      <c r="G23" s="29" t="s">
        <v>163</v>
      </c>
      <c r="H23" s="28">
        <f>F23*G23</f>
        <v>500</v>
      </c>
      <c r="I23" s="29" t="s">
        <v>164</v>
      </c>
      <c r="J23" s="28">
        <v>2</v>
      </c>
      <c r="K23" s="28">
        <v>2</v>
      </c>
      <c r="L23" s="28">
        <f>H23</f>
        <v>500</v>
      </c>
      <c r="M23" s="28">
        <f>ROUND(L23*I23%,2)</f>
        <v>10</v>
      </c>
      <c r="N23" s="28">
        <f>H23-M23</f>
        <v>490</v>
      </c>
      <c r="O23" s="28">
        <f>ROUND(N23*J23%,2)</f>
        <v>9.8</v>
      </c>
      <c r="P23" s="28">
        <f>ROUND(N23-O23,2)</f>
        <v>480.2</v>
      </c>
      <c r="Q23" s="28">
        <f>ROUND(P23*K23%,2)</f>
        <v>9.6</v>
      </c>
      <c r="R23" s="28">
        <f>M23+O23+Q23</f>
        <v>29.4</v>
      </c>
      <c r="S23" s="28">
        <f>(H23-R23)</f>
        <v>470.6</v>
      </c>
      <c r="T23" s="28" t="s">
        <v>165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28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470.6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470.6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235.3</v>
      </c>
      <c r="AO23" s="28">
        <f>AJ23/AM23</f>
        <v>0</v>
      </c>
      <c r="AP23" s="28">
        <f>AK23/AM23</f>
        <v>0</v>
      </c>
      <c r="AQ23" s="28" t="s">
        <v>76</v>
      </c>
      <c r="AR23" s="28">
        <f>AN23+AO23+AP23</f>
        <v>235.3</v>
      </c>
      <c r="AS23" s="50" t="s">
        <v>166</v>
      </c>
      <c r="AT23" s="50" t="s">
        <v>76</v>
      </c>
      <c r="AU23" s="29"/>
      <c r="AV23" s="29"/>
      <c r="AW23" s="50">
        <f>AM23</f>
        <v>2</v>
      </c>
      <c r="AX23" s="50">
        <f>AR23</f>
        <v>235.3</v>
      </c>
      <c r="AY23" s="50">
        <f>AU23+AW23</f>
        <v>2</v>
      </c>
      <c r="AZ23" s="50">
        <f>ROUND(((AU23*AV23)+(AW23*AX23))/(AU23+AW23),5)</f>
        <v>235.3</v>
      </c>
      <c r="BA23" s="52"/>
      <c r="BB23" s="52" t="s">
        <v>80</v>
      </c>
      <c r="BC23" s="53" t="s">
        <v>81</v>
      </c>
      <c r="BD23" s="54" t="s">
        <v>82</v>
      </c>
      <c r="BE23" s="54" t="s">
        <v>83</v>
      </c>
      <c r="BF23" s="52"/>
      <c r="BG23" s="52"/>
      <c r="BH23" s="52"/>
      <c r="BI23" s="50"/>
      <c r="BJ23" s="50"/>
      <c r="BK23" s="50"/>
      <c r="BL23" s="50" t="s">
        <v>84</v>
      </c>
      <c r="BM23" s="29" t="s">
        <v>167</v>
      </c>
      <c r="BN23" s="29" t="s">
        <v>167</v>
      </c>
      <c r="BO23" s="50">
        <f>ROUND((((AW23*AZ23)+(BN23*BM23))/(AW23+BN23)),5)</f>
        <v>235.3</v>
      </c>
      <c r="BP23" s="55">
        <f>BN23+AW23</f>
        <v>2</v>
      </c>
      <c r="BQ23" s="56">
        <v>88363222</v>
      </c>
    </row>
    <row r="24" ht="15.25" spans="1:69">
      <c r="A24" s="16"/>
      <c r="B24" s="30"/>
      <c r="C24" s="30"/>
      <c r="D24" s="31" t="s">
        <v>87</v>
      </c>
      <c r="E24" s="31"/>
      <c r="F24" s="31"/>
      <c r="G24" s="32"/>
      <c r="H24" s="33">
        <f>SUM(H23:H23)</f>
        <v>500</v>
      </c>
      <c r="I24" s="27"/>
      <c r="J24" s="27"/>
      <c r="K24" s="27"/>
      <c r="L24" s="27"/>
      <c r="M24" s="27"/>
      <c r="N24" s="27"/>
      <c r="O24" s="27"/>
      <c r="P24" s="27"/>
      <c r="Q24" s="27"/>
      <c r="R24" s="33">
        <f t="shared" ref="R24:Y24" si="1">SUM(R23:R23)</f>
        <v>29.4</v>
      </c>
      <c r="S24" s="41">
        <f t="shared" si="1"/>
        <v>470.6</v>
      </c>
      <c r="T24" s="33"/>
      <c r="U24" s="33"/>
      <c r="V24" s="42">
        <f t="shared" si="1"/>
        <v>0</v>
      </c>
      <c r="W24" s="42">
        <f t="shared" si="1"/>
        <v>0</v>
      </c>
      <c r="X24" s="42">
        <f t="shared" si="1"/>
        <v>0</v>
      </c>
      <c r="Y24" s="42">
        <f t="shared" si="1"/>
        <v>0</v>
      </c>
      <c r="Z24" s="42"/>
      <c r="AA24" s="42">
        <f t="shared" ref="AA24:AE24" si="2">SUM(AA23:AA23)</f>
        <v>0</v>
      </c>
      <c r="AB24" s="33">
        <f t="shared" si="2"/>
        <v>0</v>
      </c>
      <c r="AC24" s="46">
        <f t="shared" si="2"/>
        <v>470.6</v>
      </c>
      <c r="AD24" s="47">
        <f t="shared" si="2"/>
        <v>120</v>
      </c>
      <c r="AE24" s="47">
        <f t="shared" si="2"/>
        <v>0</v>
      </c>
      <c r="AF24" s="46"/>
      <c r="AG24" s="47">
        <f t="shared" ref="AG24:AK24" si="3">SUM(AG23:AG23)</f>
        <v>0</v>
      </c>
      <c r="AH24" s="47">
        <f t="shared" si="3"/>
        <v>0</v>
      </c>
      <c r="AI24" s="47">
        <f t="shared" si="3"/>
        <v>470.6</v>
      </c>
      <c r="AJ24" s="47">
        <f t="shared" si="3"/>
        <v>0</v>
      </c>
      <c r="AK24" s="47">
        <f t="shared" si="3"/>
        <v>0</v>
      </c>
      <c r="AL24" s="46"/>
      <c r="AM24" s="46"/>
      <c r="AN24" s="46"/>
      <c r="AO24" s="46"/>
      <c r="AP24" s="46"/>
      <c r="AQ24" s="46"/>
      <c r="AR24" s="46"/>
      <c r="AS24" s="16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15" workbookViewId="0">
      <selection activeCell="J31" sqref="J31"/>
    </sheetView>
  </sheetViews>
  <sheetFormatPr defaultColWidth="8.70909090909091" defaultRowHeight="14.5"/>
  <cols>
    <col min="8" max="8" width="9.42727272727273" customWidth="1"/>
  </cols>
  <sheetData>
    <row r="1" ht="18.5" spans="1:69">
      <c r="A1" s="1" t="s">
        <v>131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</row>
    <row r="2" ht="19.25" spans="1:69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</row>
    <row r="3" ht="15.25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4"/>
      <c r="J4" s="34"/>
      <c r="K4" s="34"/>
      <c r="L4" s="35"/>
      <c r="M4" s="35"/>
      <c r="N4" s="35"/>
      <c r="O4" s="35"/>
      <c r="P4" s="35"/>
      <c r="Q4" s="35"/>
      <c r="R4" s="35"/>
      <c r="S4" s="35"/>
      <c r="T4" s="35"/>
      <c r="U4" s="34"/>
      <c r="V4" s="34"/>
      <c r="W4" s="34"/>
      <c r="X4" s="34"/>
      <c r="Y4" s="34"/>
      <c r="Z4" s="34"/>
      <c r="AA4" s="34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16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4"/>
      <c r="J5" s="34"/>
      <c r="K5" s="34"/>
      <c r="L5" s="35"/>
      <c r="M5" s="35"/>
      <c r="N5" s="35"/>
      <c r="O5" s="35"/>
      <c r="P5" s="35"/>
      <c r="Q5" s="35"/>
      <c r="R5" s="35"/>
      <c r="S5" s="35"/>
      <c r="T5" s="35"/>
      <c r="U5" s="34"/>
      <c r="V5" s="34"/>
      <c r="W5" s="34"/>
      <c r="X5" s="34"/>
      <c r="Y5" s="34"/>
      <c r="Z5" s="34"/>
      <c r="AA5" s="34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16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4"/>
      <c r="J6" s="34"/>
      <c r="K6" s="34"/>
      <c r="L6" s="35"/>
      <c r="M6" s="35"/>
      <c r="N6" s="35"/>
      <c r="O6" s="35"/>
      <c r="P6" s="35"/>
      <c r="Q6" s="35"/>
      <c r="R6" s="35"/>
      <c r="S6" s="35"/>
      <c r="T6" s="35"/>
      <c r="U6" s="34"/>
      <c r="V6" s="34"/>
      <c r="W6" s="34"/>
      <c r="X6" s="34"/>
      <c r="Y6" s="34"/>
      <c r="Z6" s="34"/>
      <c r="AA6" s="34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16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4"/>
      <c r="J7" s="34"/>
      <c r="K7" s="34"/>
      <c r="L7" s="35"/>
      <c r="M7" s="35"/>
      <c r="N7" s="35"/>
      <c r="O7" s="35"/>
      <c r="P7" s="35"/>
      <c r="Q7" s="35"/>
      <c r="R7" s="35"/>
      <c r="S7" s="35"/>
      <c r="T7" s="35"/>
      <c r="U7" s="34"/>
      <c r="V7" s="34"/>
      <c r="W7" s="34"/>
      <c r="X7" s="34"/>
      <c r="Y7" s="34"/>
      <c r="Z7" s="34"/>
      <c r="AA7" s="34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16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4"/>
      <c r="V8" s="34"/>
      <c r="W8" s="34"/>
      <c r="X8" s="34"/>
      <c r="Y8" s="34"/>
      <c r="Z8" s="34"/>
      <c r="AA8" s="34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16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4"/>
      <c r="V9" s="34"/>
      <c r="W9" s="34"/>
      <c r="X9" s="34"/>
      <c r="Y9" s="34"/>
      <c r="Z9" s="34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16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4"/>
      <c r="V10" s="34"/>
      <c r="W10" s="34"/>
      <c r="X10" s="34"/>
      <c r="Y10" s="34"/>
      <c r="Z10" s="34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16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65.32</v>
      </c>
      <c r="H11" s="10">
        <f t="shared" si="0"/>
        <v>1959.6</v>
      </c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4"/>
      <c r="V11" s="34"/>
      <c r="W11" s="34"/>
      <c r="X11" s="34"/>
      <c r="Y11" s="34"/>
      <c r="Z11" s="34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16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4"/>
      <c r="V12" s="34"/>
      <c r="W12" s="34"/>
      <c r="X12" s="34"/>
      <c r="Y12" s="34"/>
      <c r="Z12" s="34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16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2507.68</v>
      </c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4"/>
      <c r="V13" s="34"/>
      <c r="W13" s="34"/>
      <c r="X13" s="34"/>
      <c r="Y13" s="34"/>
      <c r="Z13" s="34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16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4"/>
      <c r="V14" s="34"/>
      <c r="W14" s="34"/>
      <c r="X14" s="34"/>
      <c r="Y14" s="34"/>
      <c r="Z14" s="34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16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4"/>
      <c r="V15" s="34"/>
      <c r="W15" s="34"/>
      <c r="X15" s="34"/>
      <c r="Y15" s="34"/>
      <c r="Z15" s="34"/>
      <c r="AA15" s="34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16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4"/>
      <c r="V16" s="34"/>
      <c r="W16" s="34"/>
      <c r="X16" s="34"/>
      <c r="Y16" s="34"/>
      <c r="Z16" s="34"/>
      <c r="AA16" s="34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16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9"/>
      <c r="T17" s="35"/>
      <c r="U17" s="34"/>
      <c r="V17" s="34"/>
      <c r="W17" s="34"/>
      <c r="X17" s="34"/>
      <c r="Y17" s="34"/>
      <c r="Z17" s="34"/>
      <c r="AA17" s="34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16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</row>
    <row r="18" ht="15.25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4"/>
      <c r="V18" s="34"/>
      <c r="W18" s="34"/>
      <c r="X18" s="34"/>
      <c r="Y18" s="34"/>
      <c r="Z18" s="34"/>
      <c r="AA18" s="34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16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</row>
    <row r="19" ht="15.25" spans="1:69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36"/>
      <c r="J19" s="36"/>
      <c r="K19" s="36"/>
      <c r="L19" s="36"/>
      <c r="M19" s="36"/>
      <c r="N19" s="36"/>
      <c r="O19" s="36"/>
      <c r="P19" s="36"/>
      <c r="Q19" s="36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</row>
    <row r="20" spans="1:69">
      <c r="A20" s="19" t="s">
        <v>0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</row>
    <row r="21" ht="15.25" spans="1:69">
      <c r="A21" s="21" t="s">
        <v>1</v>
      </c>
      <c r="B21" s="21"/>
      <c r="C21" s="22">
        <v>3</v>
      </c>
      <c r="D21" s="23" t="s">
        <v>2</v>
      </c>
      <c r="E21" s="20"/>
      <c r="F21" s="20"/>
      <c r="G21" s="20"/>
      <c r="H21" s="19"/>
      <c r="I21" s="36" t="s">
        <v>3</v>
      </c>
      <c r="J21" s="36" t="s">
        <v>4</v>
      </c>
      <c r="K21" s="36"/>
      <c r="L21" s="36" t="s">
        <v>5</v>
      </c>
      <c r="M21" s="36">
        <v>1</v>
      </c>
      <c r="N21" s="36"/>
      <c r="O21" s="36" t="s">
        <v>6</v>
      </c>
      <c r="P21" s="36">
        <v>1</v>
      </c>
      <c r="Q21" s="36" t="s">
        <v>7</v>
      </c>
      <c r="R21" s="19"/>
      <c r="S21" s="19"/>
      <c r="T21" s="19"/>
      <c r="U21" s="19"/>
      <c r="V21" s="19">
        <v>1</v>
      </c>
      <c r="W21" s="19" t="s">
        <v>8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</row>
    <row r="22" ht="59.5" spans="1:69">
      <c r="A22" s="24" t="s">
        <v>9</v>
      </c>
      <c r="B22" s="24" t="s">
        <v>10</v>
      </c>
      <c r="C22" s="25" t="s">
        <v>11</v>
      </c>
      <c r="D22" s="24" t="s">
        <v>12</v>
      </c>
      <c r="E22" s="24" t="s">
        <v>13</v>
      </c>
      <c r="F22" s="26" t="s">
        <v>14</v>
      </c>
      <c r="G22" s="24" t="s">
        <v>15</v>
      </c>
      <c r="H22" s="24" t="s">
        <v>16</v>
      </c>
      <c r="I22" s="37" t="s">
        <v>17</v>
      </c>
      <c r="J22" s="37" t="s">
        <v>18</v>
      </c>
      <c r="K22" s="37" t="s">
        <v>19</v>
      </c>
      <c r="L22" s="38" t="s">
        <v>20</v>
      </c>
      <c r="M22" s="38" t="s">
        <v>21</v>
      </c>
      <c r="N22" s="38" t="s">
        <v>22</v>
      </c>
      <c r="O22" s="38" t="s">
        <v>23</v>
      </c>
      <c r="P22" s="38" t="s">
        <v>24</v>
      </c>
      <c r="Q22" s="38" t="s">
        <v>25</v>
      </c>
      <c r="R22" s="37" t="s">
        <v>26</v>
      </c>
      <c r="S22" s="24" t="s">
        <v>27</v>
      </c>
      <c r="T22" s="24" t="s">
        <v>28</v>
      </c>
      <c r="U22" s="40" t="s">
        <v>29</v>
      </c>
      <c r="V22" s="40" t="s">
        <v>30</v>
      </c>
      <c r="W22" s="40" t="s">
        <v>31</v>
      </c>
      <c r="X22" s="40" t="s">
        <v>32</v>
      </c>
      <c r="Y22" s="40" t="s">
        <v>33</v>
      </c>
      <c r="Z22" s="40" t="s">
        <v>34</v>
      </c>
      <c r="AA22" s="40" t="s">
        <v>35</v>
      </c>
      <c r="AB22" s="40" t="s">
        <v>36</v>
      </c>
      <c r="AC22" s="43" t="s">
        <v>37</v>
      </c>
      <c r="AD22" s="43" t="s">
        <v>38</v>
      </c>
      <c r="AE22" s="44" t="s">
        <v>39</v>
      </c>
      <c r="AF22" s="44" t="s">
        <v>40</v>
      </c>
      <c r="AG22" s="44" t="s">
        <v>41</v>
      </c>
      <c r="AH22" s="43" t="s">
        <v>42</v>
      </c>
      <c r="AI22" s="43" t="s">
        <v>43</v>
      </c>
      <c r="AJ22" s="44" t="s">
        <v>44</v>
      </c>
      <c r="AK22" s="44" t="s">
        <v>45</v>
      </c>
      <c r="AL22" s="43" t="s">
        <v>46</v>
      </c>
      <c r="AM22" s="43" t="s">
        <v>47</v>
      </c>
      <c r="AN22" s="44" t="s">
        <v>48</v>
      </c>
      <c r="AO22" s="44" t="s">
        <v>49</v>
      </c>
      <c r="AP22" s="44" t="s">
        <v>50</v>
      </c>
      <c r="AQ22" s="43" t="s">
        <v>51</v>
      </c>
      <c r="AR22" s="48" t="s">
        <v>52</v>
      </c>
      <c r="AS22" s="3" t="s">
        <v>53</v>
      </c>
      <c r="AT22" s="3" t="s">
        <v>51</v>
      </c>
      <c r="AU22" s="49" t="s">
        <v>54</v>
      </c>
      <c r="AV22" s="49" t="s">
        <v>55</v>
      </c>
      <c r="AW22" s="49" t="s">
        <v>56</v>
      </c>
      <c r="AX22" s="49" t="s">
        <v>57</v>
      </c>
      <c r="AY22" s="49" t="s">
        <v>58</v>
      </c>
      <c r="AZ22" s="49" t="s">
        <v>59</v>
      </c>
      <c r="BA22" s="49" t="s">
        <v>60</v>
      </c>
      <c r="BB22" s="49" t="s">
        <v>61</v>
      </c>
      <c r="BC22" s="51" t="s">
        <v>62</v>
      </c>
      <c r="BD22" s="51" t="s">
        <v>63</v>
      </c>
      <c r="BE22" s="51" t="s">
        <v>64</v>
      </c>
      <c r="BF22" s="49" t="s">
        <v>65</v>
      </c>
      <c r="BG22" s="49" t="s">
        <v>66</v>
      </c>
      <c r="BH22" s="49" t="s">
        <v>67</v>
      </c>
      <c r="BI22" s="49" t="s">
        <v>68</v>
      </c>
      <c r="BJ22" s="49" t="s">
        <v>69</v>
      </c>
      <c r="BK22" s="49" t="s">
        <v>70</v>
      </c>
      <c r="BL22" s="49" t="s">
        <v>71</v>
      </c>
      <c r="BM22" s="49" t="s">
        <v>72</v>
      </c>
      <c r="BN22" s="49" t="s">
        <v>73</v>
      </c>
      <c r="BO22" s="49" t="s">
        <v>59</v>
      </c>
      <c r="BP22" s="49" t="s">
        <v>74</v>
      </c>
      <c r="BQ22" s="49" t="s">
        <v>28</v>
      </c>
    </row>
    <row r="23" ht="15.25" spans="1:69">
      <c r="A23" s="27">
        <v>1</v>
      </c>
      <c r="B23" s="27" t="s">
        <v>88</v>
      </c>
      <c r="C23" s="27" t="s">
        <v>88</v>
      </c>
      <c r="D23" s="27" t="s">
        <v>76</v>
      </c>
      <c r="E23" s="27" t="s">
        <v>89</v>
      </c>
      <c r="F23" s="28">
        <v>2</v>
      </c>
      <c r="G23" s="29" t="s">
        <v>163</v>
      </c>
      <c r="H23" s="28">
        <f>F23*G23</f>
        <v>500</v>
      </c>
      <c r="I23" s="29" t="s">
        <v>164</v>
      </c>
      <c r="J23" s="28">
        <v>2</v>
      </c>
      <c r="K23" s="28">
        <v>2</v>
      </c>
      <c r="L23" s="28">
        <f>H23</f>
        <v>500</v>
      </c>
      <c r="M23" s="28">
        <f>ROUND(L23*I23%,2)</f>
        <v>10</v>
      </c>
      <c r="N23" s="28">
        <f>H23-M23</f>
        <v>490</v>
      </c>
      <c r="O23" s="28">
        <f>ROUND(N23*J23%,2)</f>
        <v>9.8</v>
      </c>
      <c r="P23" s="28">
        <f>ROUND(N23-O23,2)</f>
        <v>480.2</v>
      </c>
      <c r="Q23" s="28">
        <f>ROUND(P23*K23%,2)</f>
        <v>9.6</v>
      </c>
      <c r="R23" s="28">
        <f>M23+O23+Q23</f>
        <v>29.4</v>
      </c>
      <c r="S23" s="28">
        <f>(H23-R23)</f>
        <v>470.6</v>
      </c>
      <c r="T23" s="28" t="s">
        <v>165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28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470.6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470.6</v>
      </c>
      <c r="AJ23" s="28">
        <f>IF($C$21=3,0,AG23+AH23)</f>
        <v>0</v>
      </c>
      <c r="AK23" s="28">
        <f>IF($C$21=3,AE23+AG23+AH23,0)</f>
        <v>0</v>
      </c>
      <c r="AL23" s="28">
        <v>3</v>
      </c>
      <c r="AM23" s="28">
        <f>F23/AL23</f>
        <v>0.666666666666667</v>
      </c>
      <c r="AN23" s="28">
        <f>AI23/AM23</f>
        <v>705.9</v>
      </c>
      <c r="AO23" s="28">
        <f>AJ23/AM23</f>
        <v>0</v>
      </c>
      <c r="AP23" s="28">
        <f>AK23/AM23</f>
        <v>0</v>
      </c>
      <c r="AQ23" s="28" t="s">
        <v>76</v>
      </c>
      <c r="AR23" s="28">
        <f>AN23+AO23+AP23</f>
        <v>705.9</v>
      </c>
      <c r="AS23" s="50" t="s">
        <v>166</v>
      </c>
      <c r="AT23" s="50" t="s">
        <v>76</v>
      </c>
      <c r="AU23" s="29"/>
      <c r="AV23" s="29"/>
      <c r="AW23" s="50">
        <f>AM23</f>
        <v>0.666666666666667</v>
      </c>
      <c r="AX23" s="50">
        <f>AR23</f>
        <v>705.9</v>
      </c>
      <c r="AY23" s="50">
        <f>AU23+AW23</f>
        <v>0.666666666666667</v>
      </c>
      <c r="AZ23" s="50">
        <f>ROUND(((AU23*AV23)+(AW23*AX23))/(AU23+AW23),5)</f>
        <v>705.9</v>
      </c>
      <c r="BA23" s="52"/>
      <c r="BB23" s="52" t="s">
        <v>80</v>
      </c>
      <c r="BC23" s="53" t="s">
        <v>81</v>
      </c>
      <c r="BD23" s="54" t="s">
        <v>82</v>
      </c>
      <c r="BE23" s="54" t="s">
        <v>83</v>
      </c>
      <c r="BF23" s="52"/>
      <c r="BG23" s="52"/>
      <c r="BH23" s="52"/>
      <c r="BI23" s="50"/>
      <c r="BJ23" s="50"/>
      <c r="BK23" s="50"/>
      <c r="BL23" s="50" t="s">
        <v>84</v>
      </c>
      <c r="BM23" s="29" t="s">
        <v>167</v>
      </c>
      <c r="BN23" s="29" t="s">
        <v>167</v>
      </c>
      <c r="BO23" s="50">
        <f>ROUND((((AW23*AZ23)+(BN23*BM23))/(AW23+BN23)),5)</f>
        <v>705.9</v>
      </c>
      <c r="BP23" s="55">
        <f>BN23+AW23</f>
        <v>0.666666666666667</v>
      </c>
      <c r="BQ23" s="56">
        <v>88363222</v>
      </c>
    </row>
    <row r="24" ht="15.25" spans="1:69">
      <c r="A24" s="16"/>
      <c r="B24" s="30"/>
      <c r="C24" s="30"/>
      <c r="D24" s="31" t="s">
        <v>87</v>
      </c>
      <c r="E24" s="31"/>
      <c r="F24" s="31"/>
      <c r="G24" s="32"/>
      <c r="H24" s="33">
        <f>SUM(H23:H23)</f>
        <v>500</v>
      </c>
      <c r="I24" s="27"/>
      <c r="J24" s="27"/>
      <c r="K24" s="27"/>
      <c r="L24" s="27"/>
      <c r="M24" s="27"/>
      <c r="N24" s="27"/>
      <c r="O24" s="27"/>
      <c r="P24" s="27"/>
      <c r="Q24" s="27"/>
      <c r="R24" s="33">
        <f t="shared" ref="R24:Y24" si="1">SUM(R23:R23)</f>
        <v>29.4</v>
      </c>
      <c r="S24" s="41">
        <f t="shared" si="1"/>
        <v>470.6</v>
      </c>
      <c r="T24" s="33"/>
      <c r="U24" s="33"/>
      <c r="V24" s="42">
        <f t="shared" si="1"/>
        <v>0</v>
      </c>
      <c r="W24" s="42">
        <f t="shared" si="1"/>
        <v>0</v>
      </c>
      <c r="X24" s="42">
        <f t="shared" si="1"/>
        <v>0</v>
      </c>
      <c r="Y24" s="42">
        <f t="shared" si="1"/>
        <v>0</v>
      </c>
      <c r="Z24" s="42"/>
      <c r="AA24" s="42">
        <f t="shared" ref="AA24:AE24" si="2">SUM(AA23:AA23)</f>
        <v>0</v>
      </c>
      <c r="AB24" s="33">
        <f t="shared" si="2"/>
        <v>0</v>
      </c>
      <c r="AC24" s="46">
        <f t="shared" si="2"/>
        <v>470.6</v>
      </c>
      <c r="AD24" s="47">
        <f t="shared" si="2"/>
        <v>120</v>
      </c>
      <c r="AE24" s="47">
        <f t="shared" si="2"/>
        <v>0</v>
      </c>
      <c r="AF24" s="46"/>
      <c r="AG24" s="47">
        <f t="shared" ref="AG24:AK24" si="3">SUM(AG23:AG23)</f>
        <v>0</v>
      </c>
      <c r="AH24" s="47">
        <f t="shared" si="3"/>
        <v>0</v>
      </c>
      <c r="AI24" s="47">
        <f t="shared" si="3"/>
        <v>470.6</v>
      </c>
      <c r="AJ24" s="47">
        <f t="shared" si="3"/>
        <v>0</v>
      </c>
      <c r="AK24" s="47">
        <f t="shared" si="3"/>
        <v>0</v>
      </c>
      <c r="AL24" s="46"/>
      <c r="AM24" s="46"/>
      <c r="AN24" s="46"/>
      <c r="AO24" s="46"/>
      <c r="AP24" s="46"/>
      <c r="AQ24" s="46"/>
      <c r="AR24" s="46"/>
      <c r="AS24" s="16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9" workbookViewId="0">
      <selection activeCell="J31" sqref="J31"/>
    </sheetView>
  </sheetViews>
  <sheetFormatPr defaultColWidth="8.70909090909091" defaultRowHeight="14.5"/>
  <cols>
    <col min="2" max="2" width="16" customWidth="1"/>
    <col min="8" max="8" width="9.42727272727273" customWidth="1"/>
  </cols>
  <sheetData>
    <row r="1" ht="18.5" spans="1:69">
      <c r="A1" s="1" t="s">
        <v>131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</row>
    <row r="2" ht="19.25" spans="1:69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</row>
    <row r="3" ht="15.25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4"/>
      <c r="J4" s="34"/>
      <c r="K4" s="34"/>
      <c r="L4" s="35"/>
      <c r="M4" s="35"/>
      <c r="N4" s="35"/>
      <c r="O4" s="35"/>
      <c r="P4" s="35"/>
      <c r="Q4" s="35"/>
      <c r="R4" s="35"/>
      <c r="S4" s="35"/>
      <c r="T4" s="35"/>
      <c r="U4" s="34"/>
      <c r="V4" s="34"/>
      <c r="W4" s="34"/>
      <c r="X4" s="34"/>
      <c r="Y4" s="34"/>
      <c r="Z4" s="34"/>
      <c r="AA4" s="34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16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4"/>
      <c r="J5" s="34"/>
      <c r="K5" s="34"/>
      <c r="L5" s="35"/>
      <c r="M5" s="35"/>
      <c r="N5" s="35"/>
      <c r="O5" s="35"/>
      <c r="P5" s="35"/>
      <c r="Q5" s="35"/>
      <c r="R5" s="35"/>
      <c r="S5" s="35"/>
      <c r="T5" s="35"/>
      <c r="U5" s="34"/>
      <c r="V5" s="34"/>
      <c r="W5" s="34"/>
      <c r="X5" s="34"/>
      <c r="Y5" s="34"/>
      <c r="Z5" s="34"/>
      <c r="AA5" s="34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16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4"/>
      <c r="J6" s="34"/>
      <c r="K6" s="34"/>
      <c r="L6" s="35"/>
      <c r="M6" s="35"/>
      <c r="N6" s="35"/>
      <c r="O6" s="35"/>
      <c r="P6" s="35"/>
      <c r="Q6" s="35"/>
      <c r="R6" s="35"/>
      <c r="S6" s="35"/>
      <c r="T6" s="35"/>
      <c r="U6" s="34"/>
      <c r="V6" s="34"/>
      <c r="W6" s="34"/>
      <c r="X6" s="34"/>
      <c r="Y6" s="34"/>
      <c r="Z6" s="34"/>
      <c r="AA6" s="34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16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4"/>
      <c r="J7" s="34"/>
      <c r="K7" s="34"/>
      <c r="L7" s="35"/>
      <c r="M7" s="35"/>
      <c r="N7" s="35"/>
      <c r="O7" s="35"/>
      <c r="P7" s="35"/>
      <c r="Q7" s="35"/>
      <c r="R7" s="35"/>
      <c r="S7" s="35"/>
      <c r="T7" s="35"/>
      <c r="U7" s="34"/>
      <c r="V7" s="34"/>
      <c r="W7" s="34"/>
      <c r="X7" s="34"/>
      <c r="Y7" s="34"/>
      <c r="Z7" s="34"/>
      <c r="AA7" s="34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16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4"/>
      <c r="V8" s="34"/>
      <c r="W8" s="34"/>
      <c r="X8" s="34"/>
      <c r="Y8" s="34"/>
      <c r="Z8" s="34"/>
      <c r="AA8" s="34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16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4"/>
      <c r="V9" s="34"/>
      <c r="W9" s="34"/>
      <c r="X9" s="34"/>
      <c r="Y9" s="34"/>
      <c r="Z9" s="34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16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4"/>
      <c r="V10" s="34"/>
      <c r="W10" s="34"/>
      <c r="X10" s="34"/>
      <c r="Y10" s="34"/>
      <c r="Z10" s="34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16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65.32</v>
      </c>
      <c r="H11" s="10">
        <f t="shared" si="0"/>
        <v>1959.6</v>
      </c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4"/>
      <c r="V11" s="34"/>
      <c r="W11" s="34"/>
      <c r="X11" s="34"/>
      <c r="Y11" s="34"/>
      <c r="Z11" s="34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16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4"/>
      <c r="V12" s="34"/>
      <c r="W12" s="34"/>
      <c r="X12" s="34"/>
      <c r="Y12" s="34"/>
      <c r="Z12" s="34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16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2507.68</v>
      </c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4"/>
      <c r="V13" s="34"/>
      <c r="W13" s="34"/>
      <c r="X13" s="34"/>
      <c r="Y13" s="34"/>
      <c r="Z13" s="34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16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4"/>
      <c r="V14" s="34"/>
      <c r="W14" s="34"/>
      <c r="X14" s="34"/>
      <c r="Y14" s="34"/>
      <c r="Z14" s="34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16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4"/>
      <c r="V15" s="34"/>
      <c r="W15" s="34"/>
      <c r="X15" s="34"/>
      <c r="Y15" s="34"/>
      <c r="Z15" s="34"/>
      <c r="AA15" s="34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16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4"/>
      <c r="V16" s="34"/>
      <c r="W16" s="34"/>
      <c r="X16" s="34"/>
      <c r="Y16" s="34"/>
      <c r="Z16" s="34"/>
      <c r="AA16" s="34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16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9"/>
      <c r="T17" s="35"/>
      <c r="U17" s="34"/>
      <c r="V17" s="34"/>
      <c r="W17" s="34"/>
      <c r="X17" s="34"/>
      <c r="Y17" s="34"/>
      <c r="Z17" s="34"/>
      <c r="AA17" s="34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16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</row>
    <row r="18" ht="15.25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4"/>
      <c r="V18" s="34"/>
      <c r="W18" s="34"/>
      <c r="X18" s="34"/>
      <c r="Y18" s="34"/>
      <c r="Z18" s="34"/>
      <c r="AA18" s="34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16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</row>
    <row r="19" ht="15.25" spans="1:69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36"/>
      <c r="J19" s="36"/>
      <c r="K19" s="36"/>
      <c r="L19" s="36"/>
      <c r="M19" s="36"/>
      <c r="N19" s="36"/>
      <c r="O19" s="36"/>
      <c r="P19" s="36"/>
      <c r="Q19" s="36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</row>
    <row r="20" spans="1:69">
      <c r="A20" s="19" t="s">
        <v>0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</row>
    <row r="21" ht="15.25" spans="1:69">
      <c r="A21" s="21" t="s">
        <v>1</v>
      </c>
      <c r="B21" s="21"/>
      <c r="C21" s="22">
        <v>3</v>
      </c>
      <c r="D21" s="23" t="s">
        <v>2</v>
      </c>
      <c r="E21" s="20"/>
      <c r="F21" s="20"/>
      <c r="G21" s="20"/>
      <c r="H21" s="19"/>
      <c r="I21" s="36" t="s">
        <v>3</v>
      </c>
      <c r="J21" s="36" t="s">
        <v>4</v>
      </c>
      <c r="K21" s="36"/>
      <c r="L21" s="36" t="s">
        <v>5</v>
      </c>
      <c r="M21" s="36">
        <v>1</v>
      </c>
      <c r="N21" s="36"/>
      <c r="O21" s="36" t="s">
        <v>6</v>
      </c>
      <c r="P21" s="36">
        <v>1</v>
      </c>
      <c r="Q21" s="36" t="s">
        <v>7</v>
      </c>
      <c r="R21" s="19"/>
      <c r="S21" s="19"/>
      <c r="T21" s="19"/>
      <c r="U21" s="19"/>
      <c r="V21" s="19">
        <v>1</v>
      </c>
      <c r="W21" s="19" t="s">
        <v>8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</row>
    <row r="22" ht="59.5" spans="1:69">
      <c r="A22" s="24" t="s">
        <v>9</v>
      </c>
      <c r="B22" s="24" t="s">
        <v>10</v>
      </c>
      <c r="C22" s="25" t="s">
        <v>11</v>
      </c>
      <c r="D22" s="24" t="s">
        <v>12</v>
      </c>
      <c r="E22" s="24" t="s">
        <v>13</v>
      </c>
      <c r="F22" s="26" t="s">
        <v>14</v>
      </c>
      <c r="G22" s="24" t="s">
        <v>15</v>
      </c>
      <c r="H22" s="24" t="s">
        <v>16</v>
      </c>
      <c r="I22" s="37" t="s">
        <v>17</v>
      </c>
      <c r="J22" s="37" t="s">
        <v>18</v>
      </c>
      <c r="K22" s="37" t="s">
        <v>19</v>
      </c>
      <c r="L22" s="38" t="s">
        <v>20</v>
      </c>
      <c r="M22" s="38" t="s">
        <v>21</v>
      </c>
      <c r="N22" s="38" t="s">
        <v>22</v>
      </c>
      <c r="O22" s="38" t="s">
        <v>23</v>
      </c>
      <c r="P22" s="38" t="s">
        <v>24</v>
      </c>
      <c r="Q22" s="38" t="s">
        <v>25</v>
      </c>
      <c r="R22" s="37" t="s">
        <v>26</v>
      </c>
      <c r="S22" s="24" t="s">
        <v>27</v>
      </c>
      <c r="T22" s="24" t="s">
        <v>28</v>
      </c>
      <c r="U22" s="40" t="s">
        <v>29</v>
      </c>
      <c r="V22" s="40" t="s">
        <v>30</v>
      </c>
      <c r="W22" s="40" t="s">
        <v>31</v>
      </c>
      <c r="X22" s="40" t="s">
        <v>32</v>
      </c>
      <c r="Y22" s="40" t="s">
        <v>33</v>
      </c>
      <c r="Z22" s="40" t="s">
        <v>34</v>
      </c>
      <c r="AA22" s="40" t="s">
        <v>35</v>
      </c>
      <c r="AB22" s="40" t="s">
        <v>36</v>
      </c>
      <c r="AC22" s="43" t="s">
        <v>37</v>
      </c>
      <c r="AD22" s="43" t="s">
        <v>38</v>
      </c>
      <c r="AE22" s="44" t="s">
        <v>39</v>
      </c>
      <c r="AF22" s="44" t="s">
        <v>40</v>
      </c>
      <c r="AG22" s="44" t="s">
        <v>41</v>
      </c>
      <c r="AH22" s="43" t="s">
        <v>42</v>
      </c>
      <c r="AI22" s="43" t="s">
        <v>43</v>
      </c>
      <c r="AJ22" s="44" t="s">
        <v>44</v>
      </c>
      <c r="AK22" s="44" t="s">
        <v>45</v>
      </c>
      <c r="AL22" s="43" t="s">
        <v>46</v>
      </c>
      <c r="AM22" s="43" t="s">
        <v>47</v>
      </c>
      <c r="AN22" s="44" t="s">
        <v>48</v>
      </c>
      <c r="AO22" s="44" t="s">
        <v>49</v>
      </c>
      <c r="AP22" s="44" t="s">
        <v>50</v>
      </c>
      <c r="AQ22" s="43" t="s">
        <v>51</v>
      </c>
      <c r="AR22" s="48" t="s">
        <v>52</v>
      </c>
      <c r="AS22" s="3" t="s">
        <v>53</v>
      </c>
      <c r="AT22" s="3" t="s">
        <v>51</v>
      </c>
      <c r="AU22" s="49" t="s">
        <v>54</v>
      </c>
      <c r="AV22" s="49" t="s">
        <v>55</v>
      </c>
      <c r="AW22" s="49" t="s">
        <v>56</v>
      </c>
      <c r="AX22" s="49" t="s">
        <v>57</v>
      </c>
      <c r="AY22" s="49" t="s">
        <v>58</v>
      </c>
      <c r="AZ22" s="49" t="s">
        <v>59</v>
      </c>
      <c r="BA22" s="49" t="s">
        <v>60</v>
      </c>
      <c r="BB22" s="49" t="s">
        <v>61</v>
      </c>
      <c r="BC22" s="51" t="s">
        <v>62</v>
      </c>
      <c r="BD22" s="51" t="s">
        <v>63</v>
      </c>
      <c r="BE22" s="51" t="s">
        <v>64</v>
      </c>
      <c r="BF22" s="49" t="s">
        <v>65</v>
      </c>
      <c r="BG22" s="49" t="s">
        <v>66</v>
      </c>
      <c r="BH22" s="49" t="s">
        <v>67</v>
      </c>
      <c r="BI22" s="49" t="s">
        <v>68</v>
      </c>
      <c r="BJ22" s="49" t="s">
        <v>69</v>
      </c>
      <c r="BK22" s="49" t="s">
        <v>70</v>
      </c>
      <c r="BL22" s="49" t="s">
        <v>71</v>
      </c>
      <c r="BM22" s="49" t="s">
        <v>72</v>
      </c>
      <c r="BN22" s="49" t="s">
        <v>73</v>
      </c>
      <c r="BO22" s="49" t="s">
        <v>59</v>
      </c>
      <c r="BP22" s="49" t="s">
        <v>74</v>
      </c>
      <c r="BQ22" s="49" t="s">
        <v>28</v>
      </c>
    </row>
    <row r="23" ht="15.25" spans="1:69">
      <c r="A23" s="27">
        <v>1</v>
      </c>
      <c r="B23" s="27" t="s">
        <v>97</v>
      </c>
      <c r="C23" s="27" t="s">
        <v>97</v>
      </c>
      <c r="D23" s="27" t="s">
        <v>76</v>
      </c>
      <c r="E23" s="27" t="s">
        <v>76</v>
      </c>
      <c r="F23" s="28">
        <v>2</v>
      </c>
      <c r="G23" s="29" t="s">
        <v>168</v>
      </c>
      <c r="H23" s="28">
        <f>F23*G23</f>
        <v>910</v>
      </c>
      <c r="I23" s="29">
        <v>2</v>
      </c>
      <c r="J23" s="28">
        <v>2</v>
      </c>
      <c r="K23" s="28">
        <v>3</v>
      </c>
      <c r="L23" s="28">
        <f>H23</f>
        <v>910</v>
      </c>
      <c r="M23" s="28">
        <f>ROUND(L23*I23%,2)</f>
        <v>18.2</v>
      </c>
      <c r="N23" s="28">
        <f>H23-M23</f>
        <v>891.8</v>
      </c>
      <c r="O23" s="28">
        <f>ROUND(N23*J23%,2)</f>
        <v>17.84</v>
      </c>
      <c r="P23" s="28">
        <f>ROUND(N23-O23,2)</f>
        <v>873.96</v>
      </c>
      <c r="Q23" s="28">
        <f>ROUND(P23*K23%,2)</f>
        <v>26.22</v>
      </c>
      <c r="R23" s="28">
        <f>M23+O23+Q23</f>
        <v>62.26</v>
      </c>
      <c r="S23" s="28">
        <f>(H23-R23)</f>
        <v>847.74</v>
      </c>
      <c r="T23" s="28" t="s">
        <v>165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5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847.74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847.74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423.87</v>
      </c>
      <c r="AO23" s="28">
        <f>AJ23/AM23</f>
        <v>0</v>
      </c>
      <c r="AP23" s="28">
        <f>AK23/AM23</f>
        <v>0</v>
      </c>
      <c r="AQ23" s="28" t="s">
        <v>76</v>
      </c>
      <c r="AR23" s="28">
        <f>AN23+AO23+AP23</f>
        <v>423.87</v>
      </c>
      <c r="AS23" s="50" t="s">
        <v>77</v>
      </c>
      <c r="AT23" s="50" t="s">
        <v>76</v>
      </c>
      <c r="AU23" s="29" t="s">
        <v>164</v>
      </c>
      <c r="AV23" s="29" t="s">
        <v>169</v>
      </c>
      <c r="AW23" s="50">
        <f>AM23</f>
        <v>2</v>
      </c>
      <c r="AX23" s="50">
        <f>AR23</f>
        <v>423.87</v>
      </c>
      <c r="AY23" s="50">
        <f>AU23+AW23</f>
        <v>4</v>
      </c>
      <c r="AZ23" s="50">
        <f>ROUND(((AU23*AV23)+(AW23*AX23))/(AU23+AW23),5)</f>
        <v>377.42813</v>
      </c>
      <c r="BA23" s="52"/>
      <c r="BB23" s="52" t="s">
        <v>80</v>
      </c>
      <c r="BC23" s="53" t="s">
        <v>170</v>
      </c>
      <c r="BD23" s="54" t="s">
        <v>82</v>
      </c>
      <c r="BE23" s="54" t="s">
        <v>83</v>
      </c>
      <c r="BF23" s="52"/>
      <c r="BG23" s="52"/>
      <c r="BH23" s="52"/>
      <c r="BI23" s="50"/>
      <c r="BJ23" s="50"/>
      <c r="BK23" s="50"/>
      <c r="BL23" s="50" t="s">
        <v>171</v>
      </c>
      <c r="BM23" s="29" t="s">
        <v>172</v>
      </c>
      <c r="BN23" s="29" t="s">
        <v>173</v>
      </c>
      <c r="BO23" s="50">
        <f>ROUND((((AW23*AZ23)+(BN23*BM23))/(AW23+BN23)),5)</f>
        <v>277.52168</v>
      </c>
      <c r="BP23" s="55">
        <f>BN23+AW23</f>
        <v>26</v>
      </c>
      <c r="BQ23" s="56">
        <v>88363222</v>
      </c>
    </row>
    <row r="24" ht="15.25" spans="1:69">
      <c r="A24" s="16"/>
      <c r="B24" s="30"/>
      <c r="C24" s="30"/>
      <c r="D24" s="31" t="s">
        <v>87</v>
      </c>
      <c r="E24" s="31"/>
      <c r="F24" s="31"/>
      <c r="G24" s="32"/>
      <c r="H24" s="33">
        <f>SUM(H23:H23)</f>
        <v>910</v>
      </c>
      <c r="I24" s="27"/>
      <c r="J24" s="27"/>
      <c r="K24" s="27"/>
      <c r="L24" s="27"/>
      <c r="M24" s="27"/>
      <c r="N24" s="27"/>
      <c r="O24" s="27"/>
      <c r="P24" s="27"/>
      <c r="Q24" s="27"/>
      <c r="R24" s="33">
        <f t="shared" ref="R24:Y24" si="1">SUM(R23:R23)</f>
        <v>62.26</v>
      </c>
      <c r="S24" s="41">
        <f t="shared" si="1"/>
        <v>847.74</v>
      </c>
      <c r="T24" s="33"/>
      <c r="U24" s="33"/>
      <c r="V24" s="42">
        <f t="shared" si="1"/>
        <v>0</v>
      </c>
      <c r="W24" s="42">
        <f t="shared" si="1"/>
        <v>0</v>
      </c>
      <c r="X24" s="42">
        <f t="shared" si="1"/>
        <v>0</v>
      </c>
      <c r="Y24" s="42">
        <f t="shared" si="1"/>
        <v>0</v>
      </c>
      <c r="Z24" s="42"/>
      <c r="AA24" s="42">
        <f t="shared" ref="AA24:AE24" si="2">SUM(AA23:AA23)</f>
        <v>0</v>
      </c>
      <c r="AB24" s="33">
        <f t="shared" si="2"/>
        <v>0</v>
      </c>
      <c r="AC24" s="46">
        <f t="shared" si="2"/>
        <v>847.74</v>
      </c>
      <c r="AD24" s="47">
        <f t="shared" si="2"/>
        <v>120</v>
      </c>
      <c r="AE24" s="47">
        <f t="shared" si="2"/>
        <v>0</v>
      </c>
      <c r="AF24" s="46"/>
      <c r="AG24" s="47">
        <f t="shared" ref="AG24:AK24" si="3">SUM(AG23:AG23)</f>
        <v>0</v>
      </c>
      <c r="AH24" s="47">
        <f t="shared" si="3"/>
        <v>0</v>
      </c>
      <c r="AI24" s="47">
        <f t="shared" si="3"/>
        <v>847.74</v>
      </c>
      <c r="AJ24" s="47">
        <f t="shared" si="3"/>
        <v>0</v>
      </c>
      <c r="AK24" s="47">
        <f t="shared" si="3"/>
        <v>0</v>
      </c>
      <c r="AL24" s="46"/>
      <c r="AM24" s="46"/>
      <c r="AN24" s="46"/>
      <c r="AO24" s="46"/>
      <c r="AP24" s="46"/>
      <c r="AQ24" s="46"/>
      <c r="AR24" s="46"/>
      <c r="AS24" s="16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workbookViewId="0">
      <selection activeCell="J31" sqref="J31"/>
    </sheetView>
  </sheetViews>
  <sheetFormatPr defaultColWidth="8.70909090909091" defaultRowHeight="14.5"/>
  <cols>
    <col min="8" max="8" width="9.42727272727273" customWidth="1"/>
  </cols>
  <sheetData>
    <row r="1" ht="18.5" spans="1:69">
      <c r="A1" s="1" t="s">
        <v>131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</row>
    <row r="2" ht="19.25" spans="1:69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</row>
    <row r="3" ht="15.25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4"/>
      <c r="J4" s="34"/>
      <c r="K4" s="34"/>
      <c r="L4" s="35"/>
      <c r="M4" s="35"/>
      <c r="N4" s="35"/>
      <c r="O4" s="35"/>
      <c r="P4" s="35"/>
      <c r="Q4" s="35"/>
      <c r="R4" s="35"/>
      <c r="S4" s="35"/>
      <c r="T4" s="35"/>
      <c r="U4" s="34"/>
      <c r="V4" s="34"/>
      <c r="W4" s="34"/>
      <c r="X4" s="34"/>
      <c r="Y4" s="34"/>
      <c r="Z4" s="34"/>
      <c r="AA4" s="34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16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4"/>
      <c r="J5" s="34"/>
      <c r="K5" s="34"/>
      <c r="L5" s="35"/>
      <c r="M5" s="35"/>
      <c r="N5" s="35"/>
      <c r="O5" s="35"/>
      <c r="P5" s="35"/>
      <c r="Q5" s="35"/>
      <c r="R5" s="35"/>
      <c r="S5" s="35"/>
      <c r="T5" s="35"/>
      <c r="U5" s="34"/>
      <c r="V5" s="34"/>
      <c r="W5" s="34"/>
      <c r="X5" s="34"/>
      <c r="Y5" s="34"/>
      <c r="Z5" s="34"/>
      <c r="AA5" s="34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16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4"/>
      <c r="J6" s="34"/>
      <c r="K6" s="34"/>
      <c r="L6" s="35"/>
      <c r="M6" s="35"/>
      <c r="N6" s="35"/>
      <c r="O6" s="35"/>
      <c r="P6" s="35"/>
      <c r="Q6" s="35"/>
      <c r="R6" s="35"/>
      <c r="S6" s="35"/>
      <c r="T6" s="35"/>
      <c r="U6" s="34"/>
      <c r="V6" s="34"/>
      <c r="W6" s="34"/>
      <c r="X6" s="34"/>
      <c r="Y6" s="34"/>
      <c r="Z6" s="34"/>
      <c r="AA6" s="34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16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4"/>
      <c r="J7" s="34"/>
      <c r="K7" s="34"/>
      <c r="L7" s="35"/>
      <c r="M7" s="35"/>
      <c r="N7" s="35"/>
      <c r="O7" s="35"/>
      <c r="P7" s="35"/>
      <c r="Q7" s="35"/>
      <c r="R7" s="35"/>
      <c r="S7" s="35"/>
      <c r="T7" s="35"/>
      <c r="U7" s="34"/>
      <c r="V7" s="34"/>
      <c r="W7" s="34"/>
      <c r="X7" s="34"/>
      <c r="Y7" s="34"/>
      <c r="Z7" s="34"/>
      <c r="AA7" s="34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16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4"/>
      <c r="V8" s="34"/>
      <c r="W8" s="34"/>
      <c r="X8" s="34"/>
      <c r="Y8" s="34"/>
      <c r="Z8" s="34"/>
      <c r="AA8" s="34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16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4"/>
      <c r="V9" s="34"/>
      <c r="W9" s="34"/>
      <c r="X9" s="34"/>
      <c r="Y9" s="34"/>
      <c r="Z9" s="34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16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4"/>
      <c r="V10" s="34"/>
      <c r="W10" s="34"/>
      <c r="X10" s="34"/>
      <c r="Y10" s="34"/>
      <c r="Z10" s="34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16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65.32</v>
      </c>
      <c r="H11" s="10">
        <f t="shared" si="0"/>
        <v>1959.6</v>
      </c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4"/>
      <c r="V11" s="34"/>
      <c r="W11" s="34"/>
      <c r="X11" s="34"/>
      <c r="Y11" s="34"/>
      <c r="Z11" s="34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16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4"/>
      <c r="V12" s="34"/>
      <c r="W12" s="34"/>
      <c r="X12" s="34"/>
      <c r="Y12" s="34"/>
      <c r="Z12" s="34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16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2507.68</v>
      </c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4"/>
      <c r="V13" s="34"/>
      <c r="W13" s="34"/>
      <c r="X13" s="34"/>
      <c r="Y13" s="34"/>
      <c r="Z13" s="34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16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4"/>
      <c r="V14" s="34"/>
      <c r="W14" s="34"/>
      <c r="X14" s="34"/>
      <c r="Y14" s="34"/>
      <c r="Z14" s="34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16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4"/>
      <c r="V15" s="34"/>
      <c r="W15" s="34"/>
      <c r="X15" s="34"/>
      <c r="Y15" s="34"/>
      <c r="Z15" s="34"/>
      <c r="AA15" s="34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16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4"/>
      <c r="V16" s="34"/>
      <c r="W16" s="34"/>
      <c r="X16" s="34"/>
      <c r="Y16" s="34"/>
      <c r="Z16" s="34"/>
      <c r="AA16" s="34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16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9"/>
      <c r="T17" s="35"/>
      <c r="U17" s="34"/>
      <c r="V17" s="34"/>
      <c r="W17" s="34"/>
      <c r="X17" s="34"/>
      <c r="Y17" s="34"/>
      <c r="Z17" s="34"/>
      <c r="AA17" s="34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16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</row>
    <row r="18" ht="15.25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4"/>
      <c r="V18" s="34"/>
      <c r="W18" s="34"/>
      <c r="X18" s="34"/>
      <c r="Y18" s="34"/>
      <c r="Z18" s="34"/>
      <c r="AA18" s="34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16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</row>
    <row r="19" ht="15.25" spans="1:69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36"/>
      <c r="J19" s="36"/>
      <c r="K19" s="36"/>
      <c r="L19" s="36"/>
      <c r="M19" s="36"/>
      <c r="N19" s="36"/>
      <c r="O19" s="36"/>
      <c r="P19" s="36"/>
      <c r="Q19" s="36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</row>
    <row r="20" spans="1:69">
      <c r="A20" s="19" t="s">
        <v>0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</row>
    <row r="21" ht="15.25" spans="1:69">
      <c r="A21" s="21" t="s">
        <v>1</v>
      </c>
      <c r="B21" s="21"/>
      <c r="C21" s="22">
        <v>3</v>
      </c>
      <c r="D21" s="23" t="s">
        <v>2</v>
      </c>
      <c r="E21" s="20"/>
      <c r="F21" s="20"/>
      <c r="G21" s="20"/>
      <c r="H21" s="19"/>
      <c r="I21" s="36" t="s">
        <v>3</v>
      </c>
      <c r="J21" s="36" t="s">
        <v>4</v>
      </c>
      <c r="K21" s="36"/>
      <c r="L21" s="36" t="s">
        <v>5</v>
      </c>
      <c r="M21" s="36">
        <v>1</v>
      </c>
      <c r="N21" s="36"/>
      <c r="O21" s="36" t="s">
        <v>6</v>
      </c>
      <c r="P21" s="36">
        <v>1</v>
      </c>
      <c r="Q21" s="36" t="s">
        <v>7</v>
      </c>
      <c r="R21" s="19"/>
      <c r="S21" s="19"/>
      <c r="T21" s="19"/>
      <c r="U21" s="19"/>
      <c r="V21" s="19">
        <v>1</v>
      </c>
      <c r="W21" s="19" t="s">
        <v>8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</row>
    <row r="22" ht="59.5" spans="1:69">
      <c r="A22" s="24" t="s">
        <v>9</v>
      </c>
      <c r="B22" s="24" t="s">
        <v>10</v>
      </c>
      <c r="C22" s="25" t="s">
        <v>11</v>
      </c>
      <c r="D22" s="24" t="s">
        <v>12</v>
      </c>
      <c r="E22" s="24" t="s">
        <v>13</v>
      </c>
      <c r="F22" s="26" t="s">
        <v>14</v>
      </c>
      <c r="G22" s="24" t="s">
        <v>15</v>
      </c>
      <c r="H22" s="24" t="s">
        <v>16</v>
      </c>
      <c r="I22" s="37" t="s">
        <v>17</v>
      </c>
      <c r="J22" s="37" t="s">
        <v>18</v>
      </c>
      <c r="K22" s="37" t="s">
        <v>19</v>
      </c>
      <c r="L22" s="38" t="s">
        <v>20</v>
      </c>
      <c r="M22" s="38" t="s">
        <v>21</v>
      </c>
      <c r="N22" s="38" t="s">
        <v>22</v>
      </c>
      <c r="O22" s="38" t="s">
        <v>23</v>
      </c>
      <c r="P22" s="38" t="s">
        <v>24</v>
      </c>
      <c r="Q22" s="38" t="s">
        <v>25</v>
      </c>
      <c r="R22" s="37" t="s">
        <v>26</v>
      </c>
      <c r="S22" s="24" t="s">
        <v>27</v>
      </c>
      <c r="T22" s="24" t="s">
        <v>28</v>
      </c>
      <c r="U22" s="40" t="s">
        <v>29</v>
      </c>
      <c r="V22" s="40" t="s">
        <v>30</v>
      </c>
      <c r="W22" s="40" t="s">
        <v>31</v>
      </c>
      <c r="X22" s="40" t="s">
        <v>32</v>
      </c>
      <c r="Y22" s="40" t="s">
        <v>33</v>
      </c>
      <c r="Z22" s="40" t="s">
        <v>34</v>
      </c>
      <c r="AA22" s="40" t="s">
        <v>35</v>
      </c>
      <c r="AB22" s="40" t="s">
        <v>36</v>
      </c>
      <c r="AC22" s="43" t="s">
        <v>37</v>
      </c>
      <c r="AD22" s="43" t="s">
        <v>38</v>
      </c>
      <c r="AE22" s="44" t="s">
        <v>39</v>
      </c>
      <c r="AF22" s="44" t="s">
        <v>40</v>
      </c>
      <c r="AG22" s="44" t="s">
        <v>41</v>
      </c>
      <c r="AH22" s="43" t="s">
        <v>42</v>
      </c>
      <c r="AI22" s="43" t="s">
        <v>43</v>
      </c>
      <c r="AJ22" s="44" t="s">
        <v>44</v>
      </c>
      <c r="AK22" s="44" t="s">
        <v>45</v>
      </c>
      <c r="AL22" s="43" t="s">
        <v>46</v>
      </c>
      <c r="AM22" s="43" t="s">
        <v>47</v>
      </c>
      <c r="AN22" s="44" t="s">
        <v>48</v>
      </c>
      <c r="AO22" s="44" t="s">
        <v>49</v>
      </c>
      <c r="AP22" s="44" t="s">
        <v>50</v>
      </c>
      <c r="AQ22" s="43" t="s">
        <v>51</v>
      </c>
      <c r="AR22" s="48" t="s">
        <v>52</v>
      </c>
      <c r="AS22" s="3" t="s">
        <v>53</v>
      </c>
      <c r="AT22" s="3" t="s">
        <v>51</v>
      </c>
      <c r="AU22" s="49" t="s">
        <v>54</v>
      </c>
      <c r="AV22" s="49" t="s">
        <v>55</v>
      </c>
      <c r="AW22" s="49" t="s">
        <v>56</v>
      </c>
      <c r="AX22" s="49" t="s">
        <v>57</v>
      </c>
      <c r="AY22" s="49" t="s">
        <v>58</v>
      </c>
      <c r="AZ22" s="49" t="s">
        <v>59</v>
      </c>
      <c r="BA22" s="49" t="s">
        <v>60</v>
      </c>
      <c r="BB22" s="49" t="s">
        <v>61</v>
      </c>
      <c r="BC22" s="51" t="s">
        <v>62</v>
      </c>
      <c r="BD22" s="51" t="s">
        <v>63</v>
      </c>
      <c r="BE22" s="51" t="s">
        <v>64</v>
      </c>
      <c r="BF22" s="49" t="s">
        <v>65</v>
      </c>
      <c r="BG22" s="49" t="s">
        <v>66</v>
      </c>
      <c r="BH22" s="49" t="s">
        <v>67</v>
      </c>
      <c r="BI22" s="49" t="s">
        <v>68</v>
      </c>
      <c r="BJ22" s="49" t="s">
        <v>69</v>
      </c>
      <c r="BK22" s="49" t="s">
        <v>70</v>
      </c>
      <c r="BL22" s="49" t="s">
        <v>71</v>
      </c>
      <c r="BM22" s="49" t="s">
        <v>72</v>
      </c>
      <c r="BN22" s="49" t="s">
        <v>73</v>
      </c>
      <c r="BO22" s="49" t="s">
        <v>59</v>
      </c>
      <c r="BP22" s="49" t="s">
        <v>74</v>
      </c>
      <c r="BQ22" s="49" t="s">
        <v>28</v>
      </c>
    </row>
    <row r="23" ht="15.25" spans="1:69">
      <c r="A23" s="27">
        <v>1</v>
      </c>
      <c r="B23" s="27" t="s">
        <v>121</v>
      </c>
      <c r="C23" s="27" t="s">
        <v>121</v>
      </c>
      <c r="D23" s="27" t="s">
        <v>76</v>
      </c>
      <c r="E23" s="27" t="s">
        <v>76</v>
      </c>
      <c r="F23" s="28">
        <v>2</v>
      </c>
      <c r="G23" s="29" t="s">
        <v>174</v>
      </c>
      <c r="H23" s="28">
        <f>F23*G23</f>
        <v>400</v>
      </c>
      <c r="I23" s="29" t="s">
        <v>164</v>
      </c>
      <c r="J23" s="28">
        <v>1.79</v>
      </c>
      <c r="K23" s="28">
        <v>2.5</v>
      </c>
      <c r="L23" s="28">
        <f>H23</f>
        <v>400</v>
      </c>
      <c r="M23" s="28">
        <f>ROUND(L23*I23%,2)</f>
        <v>8</v>
      </c>
      <c r="N23" s="28">
        <f>H23-M23</f>
        <v>392</v>
      </c>
      <c r="O23" s="28">
        <f>ROUND(N23*J23%,2)</f>
        <v>7.02</v>
      </c>
      <c r="P23" s="28">
        <f>ROUND(N23-O23,2)</f>
        <v>384.98</v>
      </c>
      <c r="Q23" s="28">
        <f>ROUND(P23*K23%,2)</f>
        <v>9.62</v>
      </c>
      <c r="R23" s="28">
        <f>M23+O23+Q23</f>
        <v>24.64</v>
      </c>
      <c r="S23" s="28">
        <f>(H23-R23)</f>
        <v>375.36</v>
      </c>
      <c r="T23" s="28" t="s">
        <v>165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5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375.36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375.36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187.68</v>
      </c>
      <c r="AO23" s="28">
        <f>AJ23/AM23</f>
        <v>0</v>
      </c>
      <c r="AP23" s="28">
        <f>AK23/AM23</f>
        <v>0</v>
      </c>
      <c r="AQ23" s="28" t="s">
        <v>76</v>
      </c>
      <c r="AR23" s="28">
        <f>AN23+AO23+AP23</f>
        <v>187.68</v>
      </c>
      <c r="AS23" s="50" t="s">
        <v>166</v>
      </c>
      <c r="AT23" s="50" t="s">
        <v>76</v>
      </c>
      <c r="AU23" s="29" t="s">
        <v>167</v>
      </c>
      <c r="AV23" s="29" t="s">
        <v>175</v>
      </c>
      <c r="AW23" s="50">
        <f>AM23</f>
        <v>2</v>
      </c>
      <c r="AX23" s="50">
        <f>AR23</f>
        <v>187.68</v>
      </c>
      <c r="AY23" s="50">
        <f>AU23+AW23</f>
        <v>2</v>
      </c>
      <c r="AZ23" s="50">
        <f>ROUND(((AU23*AV23)+(AW23*AX23))/(AU23+AW23),5)</f>
        <v>187.68</v>
      </c>
      <c r="BA23" s="52"/>
      <c r="BB23" s="52" t="s">
        <v>80</v>
      </c>
      <c r="BC23" s="53" t="s">
        <v>81</v>
      </c>
      <c r="BD23" s="54" t="s">
        <v>82</v>
      </c>
      <c r="BE23" s="54" t="s">
        <v>83</v>
      </c>
      <c r="BF23" s="52"/>
      <c r="BG23" s="52"/>
      <c r="BH23" s="52"/>
      <c r="BI23" s="50"/>
      <c r="BJ23" s="50"/>
      <c r="BK23" s="50"/>
      <c r="BL23" s="50" t="s">
        <v>84</v>
      </c>
      <c r="BM23" s="29" t="s">
        <v>176</v>
      </c>
      <c r="BN23" s="29" t="s">
        <v>177</v>
      </c>
      <c r="BO23" s="50">
        <f>ROUND((((AW23*AZ23)+(BN23*BM23))/(AW23+BN23)),5)</f>
        <v>186.91706</v>
      </c>
      <c r="BP23" s="55">
        <f>BN23+AW23</f>
        <v>82</v>
      </c>
      <c r="BQ23" s="56">
        <v>88363222</v>
      </c>
    </row>
    <row r="24" ht="15.25" spans="1:69">
      <c r="A24" s="16"/>
      <c r="B24" s="30"/>
      <c r="C24" s="30"/>
      <c r="D24" s="31" t="s">
        <v>87</v>
      </c>
      <c r="E24" s="31"/>
      <c r="F24" s="31"/>
      <c r="G24" s="32"/>
      <c r="H24" s="33">
        <f>SUM(H23:H23)</f>
        <v>400</v>
      </c>
      <c r="I24" s="27"/>
      <c r="J24" s="27"/>
      <c r="K24" s="27"/>
      <c r="L24" s="27"/>
      <c r="M24" s="27"/>
      <c r="N24" s="27"/>
      <c r="O24" s="27"/>
      <c r="P24" s="27"/>
      <c r="Q24" s="27"/>
      <c r="R24" s="33">
        <f t="shared" ref="R24:Y24" si="1">SUM(R23:R23)</f>
        <v>24.64</v>
      </c>
      <c r="S24" s="41">
        <f t="shared" si="1"/>
        <v>375.36</v>
      </c>
      <c r="T24" s="33"/>
      <c r="U24" s="33"/>
      <c r="V24" s="42">
        <f t="shared" si="1"/>
        <v>0</v>
      </c>
      <c r="W24" s="42">
        <f t="shared" si="1"/>
        <v>0</v>
      </c>
      <c r="X24" s="42">
        <f t="shared" si="1"/>
        <v>0</v>
      </c>
      <c r="Y24" s="42">
        <f t="shared" si="1"/>
        <v>0</v>
      </c>
      <c r="Z24" s="42"/>
      <c r="AA24" s="42">
        <f t="shared" ref="AA24:AE24" si="2">SUM(AA23:AA23)</f>
        <v>0</v>
      </c>
      <c r="AB24" s="33">
        <f t="shared" si="2"/>
        <v>0</v>
      </c>
      <c r="AC24" s="46">
        <f t="shared" si="2"/>
        <v>375.36</v>
      </c>
      <c r="AD24" s="47">
        <f t="shared" si="2"/>
        <v>120</v>
      </c>
      <c r="AE24" s="47">
        <f t="shared" si="2"/>
        <v>0</v>
      </c>
      <c r="AF24" s="46"/>
      <c r="AG24" s="47">
        <f t="shared" ref="AG24:AK24" si="3">SUM(AG23:AG23)</f>
        <v>0</v>
      </c>
      <c r="AH24" s="47">
        <f t="shared" si="3"/>
        <v>0</v>
      </c>
      <c r="AI24" s="47">
        <f t="shared" si="3"/>
        <v>375.36</v>
      </c>
      <c r="AJ24" s="47">
        <f t="shared" si="3"/>
        <v>0</v>
      </c>
      <c r="AK24" s="47">
        <f t="shared" si="3"/>
        <v>0</v>
      </c>
      <c r="AL24" s="46"/>
      <c r="AM24" s="46"/>
      <c r="AN24" s="46"/>
      <c r="AO24" s="46"/>
      <c r="AP24" s="46"/>
      <c r="AQ24" s="46"/>
      <c r="AR24" s="46"/>
      <c r="AS24" s="16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9" workbookViewId="0">
      <selection activeCell="J31" sqref="J31"/>
    </sheetView>
  </sheetViews>
  <sheetFormatPr defaultColWidth="8.70909090909091" defaultRowHeight="14.5"/>
  <cols>
    <col min="2" max="2" width="26.5727272727273" customWidth="1"/>
    <col min="8" max="8" width="9.42727272727273" customWidth="1"/>
  </cols>
  <sheetData>
    <row r="1" ht="18.5" spans="1:69">
      <c r="A1" s="1" t="s">
        <v>131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</row>
    <row r="2" ht="19.25" spans="1:69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</row>
    <row r="3" ht="15.25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4"/>
      <c r="J4" s="34"/>
      <c r="K4" s="34"/>
      <c r="L4" s="35"/>
      <c r="M4" s="35"/>
      <c r="N4" s="35"/>
      <c r="O4" s="35"/>
      <c r="P4" s="35"/>
      <c r="Q4" s="35"/>
      <c r="R4" s="35"/>
      <c r="S4" s="35"/>
      <c r="T4" s="35"/>
      <c r="U4" s="34"/>
      <c r="V4" s="34"/>
      <c r="W4" s="34"/>
      <c r="X4" s="34"/>
      <c r="Y4" s="34"/>
      <c r="Z4" s="34"/>
      <c r="AA4" s="34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16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4"/>
      <c r="J5" s="34"/>
      <c r="K5" s="34"/>
      <c r="L5" s="35"/>
      <c r="M5" s="35"/>
      <c r="N5" s="35"/>
      <c r="O5" s="35"/>
      <c r="P5" s="35"/>
      <c r="Q5" s="35"/>
      <c r="R5" s="35"/>
      <c r="S5" s="35"/>
      <c r="T5" s="35"/>
      <c r="U5" s="34"/>
      <c r="V5" s="34"/>
      <c r="W5" s="34"/>
      <c r="X5" s="34"/>
      <c r="Y5" s="34"/>
      <c r="Z5" s="34"/>
      <c r="AA5" s="34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16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4"/>
      <c r="J6" s="34"/>
      <c r="K6" s="34"/>
      <c r="L6" s="35"/>
      <c r="M6" s="35"/>
      <c r="N6" s="35"/>
      <c r="O6" s="35"/>
      <c r="P6" s="35"/>
      <c r="Q6" s="35"/>
      <c r="R6" s="35"/>
      <c r="S6" s="35"/>
      <c r="T6" s="35"/>
      <c r="U6" s="34"/>
      <c r="V6" s="34"/>
      <c r="W6" s="34"/>
      <c r="X6" s="34"/>
      <c r="Y6" s="34"/>
      <c r="Z6" s="34"/>
      <c r="AA6" s="34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16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4"/>
      <c r="J7" s="34"/>
      <c r="K7" s="34"/>
      <c r="L7" s="35"/>
      <c r="M7" s="35"/>
      <c r="N7" s="35"/>
      <c r="O7" s="35"/>
      <c r="P7" s="35"/>
      <c r="Q7" s="35"/>
      <c r="R7" s="35"/>
      <c r="S7" s="35"/>
      <c r="T7" s="35"/>
      <c r="U7" s="34"/>
      <c r="V7" s="34"/>
      <c r="W7" s="34"/>
      <c r="X7" s="34"/>
      <c r="Y7" s="34"/>
      <c r="Z7" s="34"/>
      <c r="AA7" s="34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16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4"/>
      <c r="V8" s="34"/>
      <c r="W8" s="34"/>
      <c r="X8" s="34"/>
      <c r="Y8" s="34"/>
      <c r="Z8" s="34"/>
      <c r="AA8" s="34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16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4"/>
      <c r="V9" s="34"/>
      <c r="W9" s="34"/>
      <c r="X9" s="34"/>
      <c r="Y9" s="34"/>
      <c r="Z9" s="34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16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4"/>
      <c r="V10" s="34"/>
      <c r="W10" s="34"/>
      <c r="X10" s="34"/>
      <c r="Y10" s="34"/>
      <c r="Z10" s="34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16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65.32</v>
      </c>
      <c r="H11" s="10">
        <f t="shared" si="0"/>
        <v>1959.6</v>
      </c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4"/>
      <c r="V11" s="34"/>
      <c r="W11" s="34"/>
      <c r="X11" s="34"/>
      <c r="Y11" s="34"/>
      <c r="Z11" s="34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16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4"/>
      <c r="V12" s="34"/>
      <c r="W12" s="34"/>
      <c r="X12" s="34"/>
      <c r="Y12" s="34"/>
      <c r="Z12" s="34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16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2507.68</v>
      </c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4"/>
      <c r="V13" s="34"/>
      <c r="W13" s="34"/>
      <c r="X13" s="34"/>
      <c r="Y13" s="34"/>
      <c r="Z13" s="34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16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4"/>
      <c r="V14" s="34"/>
      <c r="W14" s="34"/>
      <c r="X14" s="34"/>
      <c r="Y14" s="34"/>
      <c r="Z14" s="34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16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4"/>
      <c r="V15" s="34"/>
      <c r="W15" s="34"/>
      <c r="X15" s="34"/>
      <c r="Y15" s="34"/>
      <c r="Z15" s="34"/>
      <c r="AA15" s="34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16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4"/>
      <c r="V16" s="34"/>
      <c r="W16" s="34"/>
      <c r="X16" s="34"/>
      <c r="Y16" s="34"/>
      <c r="Z16" s="34"/>
      <c r="AA16" s="34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16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9"/>
      <c r="T17" s="35"/>
      <c r="U17" s="34"/>
      <c r="V17" s="34"/>
      <c r="W17" s="34"/>
      <c r="X17" s="34"/>
      <c r="Y17" s="34"/>
      <c r="Z17" s="34"/>
      <c r="AA17" s="34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16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</row>
    <row r="18" ht="15.25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4"/>
      <c r="V18" s="34"/>
      <c r="W18" s="34"/>
      <c r="X18" s="34"/>
      <c r="Y18" s="34"/>
      <c r="Z18" s="34"/>
      <c r="AA18" s="34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16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</row>
    <row r="19" ht="15.25" spans="1:69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36"/>
      <c r="J19" s="36"/>
      <c r="K19" s="36"/>
      <c r="L19" s="36"/>
      <c r="M19" s="36"/>
      <c r="N19" s="36"/>
      <c r="O19" s="36"/>
      <c r="P19" s="36"/>
      <c r="Q19" s="36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</row>
    <row r="20" spans="1:69">
      <c r="A20" s="19" t="s">
        <v>0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</row>
    <row r="21" ht="15.25" spans="1:69">
      <c r="A21" s="21" t="s">
        <v>1</v>
      </c>
      <c r="B21" s="21"/>
      <c r="C21" s="22">
        <v>3</v>
      </c>
      <c r="D21" s="23" t="s">
        <v>2</v>
      </c>
      <c r="E21" s="20"/>
      <c r="F21" s="20"/>
      <c r="G21" s="20"/>
      <c r="H21" s="19"/>
      <c r="I21" s="36" t="s">
        <v>3</v>
      </c>
      <c r="J21" s="36" t="s">
        <v>4</v>
      </c>
      <c r="K21" s="36"/>
      <c r="L21" s="36" t="s">
        <v>5</v>
      </c>
      <c r="M21" s="36">
        <v>1</v>
      </c>
      <c r="N21" s="36"/>
      <c r="O21" s="36" t="s">
        <v>6</v>
      </c>
      <c r="P21" s="36">
        <v>1</v>
      </c>
      <c r="Q21" s="36" t="s">
        <v>7</v>
      </c>
      <c r="R21" s="19"/>
      <c r="S21" s="19"/>
      <c r="T21" s="19"/>
      <c r="U21" s="19"/>
      <c r="V21" s="19">
        <v>1</v>
      </c>
      <c r="W21" s="19" t="s">
        <v>8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</row>
    <row r="22" ht="59.5" spans="1:69">
      <c r="A22" s="24" t="s">
        <v>9</v>
      </c>
      <c r="B22" s="24" t="s">
        <v>10</v>
      </c>
      <c r="C22" s="25" t="s">
        <v>11</v>
      </c>
      <c r="D22" s="24" t="s">
        <v>12</v>
      </c>
      <c r="E22" s="24" t="s">
        <v>13</v>
      </c>
      <c r="F22" s="26" t="s">
        <v>14</v>
      </c>
      <c r="G22" s="24" t="s">
        <v>15</v>
      </c>
      <c r="H22" s="24" t="s">
        <v>16</v>
      </c>
      <c r="I22" s="37" t="s">
        <v>17</v>
      </c>
      <c r="J22" s="37" t="s">
        <v>18</v>
      </c>
      <c r="K22" s="37" t="s">
        <v>19</v>
      </c>
      <c r="L22" s="38" t="s">
        <v>20</v>
      </c>
      <c r="M22" s="38" t="s">
        <v>21</v>
      </c>
      <c r="N22" s="38" t="s">
        <v>22</v>
      </c>
      <c r="O22" s="38" t="s">
        <v>23</v>
      </c>
      <c r="P22" s="38" t="s">
        <v>24</v>
      </c>
      <c r="Q22" s="38" t="s">
        <v>25</v>
      </c>
      <c r="R22" s="37" t="s">
        <v>26</v>
      </c>
      <c r="S22" s="24" t="s">
        <v>27</v>
      </c>
      <c r="T22" s="24" t="s">
        <v>28</v>
      </c>
      <c r="U22" s="40" t="s">
        <v>29</v>
      </c>
      <c r="V22" s="40" t="s">
        <v>30</v>
      </c>
      <c r="W22" s="40" t="s">
        <v>31</v>
      </c>
      <c r="X22" s="40" t="s">
        <v>32</v>
      </c>
      <c r="Y22" s="40" t="s">
        <v>33</v>
      </c>
      <c r="Z22" s="40" t="s">
        <v>34</v>
      </c>
      <c r="AA22" s="40" t="s">
        <v>35</v>
      </c>
      <c r="AB22" s="40" t="s">
        <v>36</v>
      </c>
      <c r="AC22" s="43" t="s">
        <v>37</v>
      </c>
      <c r="AD22" s="43" t="s">
        <v>38</v>
      </c>
      <c r="AE22" s="44" t="s">
        <v>39</v>
      </c>
      <c r="AF22" s="44" t="s">
        <v>40</v>
      </c>
      <c r="AG22" s="44" t="s">
        <v>41</v>
      </c>
      <c r="AH22" s="43" t="s">
        <v>42</v>
      </c>
      <c r="AI22" s="43" t="s">
        <v>43</v>
      </c>
      <c r="AJ22" s="44" t="s">
        <v>44</v>
      </c>
      <c r="AK22" s="44" t="s">
        <v>45</v>
      </c>
      <c r="AL22" s="43" t="s">
        <v>46</v>
      </c>
      <c r="AM22" s="43" t="s">
        <v>47</v>
      </c>
      <c r="AN22" s="44" t="s">
        <v>48</v>
      </c>
      <c r="AO22" s="44" t="s">
        <v>49</v>
      </c>
      <c r="AP22" s="44" t="s">
        <v>50</v>
      </c>
      <c r="AQ22" s="43" t="s">
        <v>51</v>
      </c>
      <c r="AR22" s="48" t="s">
        <v>52</v>
      </c>
      <c r="AS22" s="3" t="s">
        <v>53</v>
      </c>
      <c r="AT22" s="3" t="s">
        <v>51</v>
      </c>
      <c r="AU22" s="49" t="s">
        <v>54</v>
      </c>
      <c r="AV22" s="49" t="s">
        <v>55</v>
      </c>
      <c r="AW22" s="49" t="s">
        <v>56</v>
      </c>
      <c r="AX22" s="49" t="s">
        <v>57</v>
      </c>
      <c r="AY22" s="49" t="s">
        <v>58</v>
      </c>
      <c r="AZ22" s="49" t="s">
        <v>59</v>
      </c>
      <c r="BA22" s="49" t="s">
        <v>60</v>
      </c>
      <c r="BB22" s="49" t="s">
        <v>61</v>
      </c>
      <c r="BC22" s="51" t="s">
        <v>62</v>
      </c>
      <c r="BD22" s="51" t="s">
        <v>63</v>
      </c>
      <c r="BE22" s="51" t="s">
        <v>64</v>
      </c>
      <c r="BF22" s="49" t="s">
        <v>65</v>
      </c>
      <c r="BG22" s="49" t="s">
        <v>66</v>
      </c>
      <c r="BH22" s="49" t="s">
        <v>67</v>
      </c>
      <c r="BI22" s="49" t="s">
        <v>68</v>
      </c>
      <c r="BJ22" s="49" t="s">
        <v>69</v>
      </c>
      <c r="BK22" s="49" t="s">
        <v>70</v>
      </c>
      <c r="BL22" s="49" t="s">
        <v>71</v>
      </c>
      <c r="BM22" s="49" t="s">
        <v>72</v>
      </c>
      <c r="BN22" s="49" t="s">
        <v>73</v>
      </c>
      <c r="BO22" s="49" t="s">
        <v>59</v>
      </c>
      <c r="BP22" s="49" t="s">
        <v>74</v>
      </c>
      <c r="BQ22" s="49" t="s">
        <v>28</v>
      </c>
    </row>
    <row r="23" ht="15.25" spans="1:69">
      <c r="A23" s="27">
        <v>1</v>
      </c>
      <c r="B23" s="27" t="s">
        <v>125</v>
      </c>
      <c r="C23" s="27" t="s">
        <v>125</v>
      </c>
      <c r="D23" s="27" t="s">
        <v>76</v>
      </c>
      <c r="E23" s="27" t="s">
        <v>89</v>
      </c>
      <c r="F23" s="28">
        <v>2</v>
      </c>
      <c r="G23" s="29" t="s">
        <v>174</v>
      </c>
      <c r="H23" s="28">
        <f>F23*G23</f>
        <v>400</v>
      </c>
      <c r="I23" s="29" t="s">
        <v>164</v>
      </c>
      <c r="J23" s="28">
        <v>1.79</v>
      </c>
      <c r="K23" s="28">
        <v>2.5</v>
      </c>
      <c r="L23" s="28">
        <f>H23</f>
        <v>400</v>
      </c>
      <c r="M23" s="28">
        <f>ROUND(L23*I23%,2)</f>
        <v>8</v>
      </c>
      <c r="N23" s="28">
        <f>H23-M23</f>
        <v>392</v>
      </c>
      <c r="O23" s="28">
        <f>ROUND(N23*J23%,2)</f>
        <v>7.02</v>
      </c>
      <c r="P23" s="28">
        <f>ROUND(N23-O23,2)</f>
        <v>384.98</v>
      </c>
      <c r="Q23" s="28">
        <f>ROUND(P23*K23%,2)</f>
        <v>9.62</v>
      </c>
      <c r="R23" s="28">
        <f>M23+O23+Q23</f>
        <v>24.64</v>
      </c>
      <c r="S23" s="28">
        <f>(H23-R23)</f>
        <v>375.36</v>
      </c>
      <c r="T23" s="28" t="s">
        <v>165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5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375.36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375.36</v>
      </c>
      <c r="AJ23" s="28">
        <f>IF($C$21=3,0,AG23+AH23)</f>
        <v>0</v>
      </c>
      <c r="AK23" s="28">
        <f>IF($C$21=3,AE23+AG23+AH23,0)</f>
        <v>0</v>
      </c>
      <c r="AL23" s="28">
        <v>3</v>
      </c>
      <c r="AM23" s="28">
        <f>F23/AL23</f>
        <v>0.666666666666667</v>
      </c>
      <c r="AN23" s="28">
        <f>AI23/AM23</f>
        <v>563.04</v>
      </c>
      <c r="AO23" s="28">
        <f>AJ23/AM23</f>
        <v>0</v>
      </c>
      <c r="AP23" s="28">
        <f>AK23/AM23</f>
        <v>0</v>
      </c>
      <c r="AQ23" s="28" t="s">
        <v>76</v>
      </c>
      <c r="AR23" s="28">
        <f>AN23+AO23+AP23</f>
        <v>563.04</v>
      </c>
      <c r="AS23" s="50" t="s">
        <v>166</v>
      </c>
      <c r="AT23" s="50" t="s">
        <v>76</v>
      </c>
      <c r="AU23" s="29" t="s">
        <v>167</v>
      </c>
      <c r="AV23" s="29" t="s">
        <v>175</v>
      </c>
      <c r="AW23" s="50">
        <f>AM23</f>
        <v>0.666666666666667</v>
      </c>
      <c r="AX23" s="50">
        <f>AR23</f>
        <v>563.04</v>
      </c>
      <c r="AY23" s="50">
        <f>AU23+AW23</f>
        <v>0.666666666666667</v>
      </c>
      <c r="AZ23" s="50">
        <f>ROUND(((AU23*AV23)+(AW23*AX23))/(AU23+AW23),5)</f>
        <v>563.04</v>
      </c>
      <c r="BA23" s="52"/>
      <c r="BB23" s="52" t="s">
        <v>80</v>
      </c>
      <c r="BC23" s="53" t="s">
        <v>81</v>
      </c>
      <c r="BD23" s="54" t="s">
        <v>82</v>
      </c>
      <c r="BE23" s="54" t="s">
        <v>83</v>
      </c>
      <c r="BF23" s="52"/>
      <c r="BG23" s="52"/>
      <c r="BH23" s="52"/>
      <c r="BI23" s="50"/>
      <c r="BJ23" s="50"/>
      <c r="BK23" s="50"/>
      <c r="BL23" s="50" t="s">
        <v>84</v>
      </c>
      <c r="BM23" s="29" t="s">
        <v>176</v>
      </c>
      <c r="BN23" s="29" t="s">
        <v>177</v>
      </c>
      <c r="BO23" s="50">
        <f>ROUND((((AW23*AZ23)+(BN23*BM23))/(AW23+BN23)),5)</f>
        <v>190.0066</v>
      </c>
      <c r="BP23" s="55">
        <f>BN23+AW23</f>
        <v>80.6666666666667</v>
      </c>
      <c r="BQ23" s="56">
        <v>88363222</v>
      </c>
    </row>
    <row r="24" ht="15.25" spans="1:69">
      <c r="A24" s="16"/>
      <c r="B24" s="30"/>
      <c r="C24" s="30"/>
      <c r="D24" s="31" t="s">
        <v>87</v>
      </c>
      <c r="E24" s="31"/>
      <c r="F24" s="31"/>
      <c r="G24" s="32"/>
      <c r="H24" s="33">
        <f>SUM(H23:H23)</f>
        <v>400</v>
      </c>
      <c r="I24" s="27"/>
      <c r="J24" s="27"/>
      <c r="K24" s="27"/>
      <c r="L24" s="27"/>
      <c r="M24" s="27"/>
      <c r="N24" s="27"/>
      <c r="O24" s="27"/>
      <c r="P24" s="27"/>
      <c r="Q24" s="27"/>
      <c r="R24" s="33">
        <f t="shared" ref="R24:Y24" si="1">SUM(R23:R23)</f>
        <v>24.64</v>
      </c>
      <c r="S24" s="41">
        <f t="shared" si="1"/>
        <v>375.36</v>
      </c>
      <c r="T24" s="33"/>
      <c r="U24" s="33"/>
      <c r="V24" s="42">
        <f t="shared" si="1"/>
        <v>0</v>
      </c>
      <c r="W24" s="42">
        <f t="shared" si="1"/>
        <v>0</v>
      </c>
      <c r="X24" s="42">
        <f t="shared" si="1"/>
        <v>0</v>
      </c>
      <c r="Y24" s="42">
        <f t="shared" si="1"/>
        <v>0</v>
      </c>
      <c r="Z24" s="42"/>
      <c r="AA24" s="42">
        <f t="shared" ref="AA24:AE24" si="2">SUM(AA23:AA23)</f>
        <v>0</v>
      </c>
      <c r="AB24" s="33">
        <f t="shared" si="2"/>
        <v>0</v>
      </c>
      <c r="AC24" s="46">
        <f t="shared" si="2"/>
        <v>375.36</v>
      </c>
      <c r="AD24" s="47">
        <f t="shared" si="2"/>
        <v>120</v>
      </c>
      <c r="AE24" s="47">
        <f t="shared" si="2"/>
        <v>0</v>
      </c>
      <c r="AF24" s="46"/>
      <c r="AG24" s="47">
        <f t="shared" ref="AG24:AK24" si="3">SUM(AG23:AG23)</f>
        <v>0</v>
      </c>
      <c r="AH24" s="47">
        <f t="shared" si="3"/>
        <v>0</v>
      </c>
      <c r="AI24" s="47">
        <f t="shared" si="3"/>
        <v>375.36</v>
      </c>
      <c r="AJ24" s="47">
        <f t="shared" si="3"/>
        <v>0</v>
      </c>
      <c r="AK24" s="47">
        <f t="shared" si="3"/>
        <v>0</v>
      </c>
      <c r="AL24" s="46"/>
      <c r="AM24" s="46"/>
      <c r="AN24" s="46"/>
      <c r="AO24" s="46"/>
      <c r="AP24" s="46"/>
      <c r="AQ24" s="46"/>
      <c r="AR24" s="46"/>
      <c r="AS24" s="16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12" workbookViewId="0">
      <selection activeCell="J31" sqref="J31"/>
    </sheetView>
  </sheetViews>
  <sheetFormatPr defaultColWidth="8.70909090909091" defaultRowHeight="14.5"/>
  <cols>
    <col min="8" max="8" width="9.42727272727273" customWidth="1"/>
  </cols>
  <sheetData>
    <row r="1" ht="18.5" spans="1:69">
      <c r="A1" s="1" t="s">
        <v>131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</row>
    <row r="2" ht="19.25" spans="1:69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</row>
    <row r="3" ht="15.25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4"/>
      <c r="J4" s="34"/>
      <c r="K4" s="34"/>
      <c r="L4" s="35"/>
      <c r="M4" s="35"/>
      <c r="N4" s="35"/>
      <c r="O4" s="35"/>
      <c r="P4" s="35"/>
      <c r="Q4" s="35"/>
      <c r="R4" s="35"/>
      <c r="S4" s="35"/>
      <c r="T4" s="35"/>
      <c r="U4" s="34"/>
      <c r="V4" s="34"/>
      <c r="W4" s="34"/>
      <c r="X4" s="34"/>
      <c r="Y4" s="34"/>
      <c r="Z4" s="34"/>
      <c r="AA4" s="34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16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4"/>
      <c r="J5" s="34"/>
      <c r="K5" s="34"/>
      <c r="L5" s="35"/>
      <c r="M5" s="35"/>
      <c r="N5" s="35"/>
      <c r="O5" s="35"/>
      <c r="P5" s="35"/>
      <c r="Q5" s="35"/>
      <c r="R5" s="35"/>
      <c r="S5" s="35"/>
      <c r="T5" s="35"/>
      <c r="U5" s="34"/>
      <c r="V5" s="34"/>
      <c r="W5" s="34"/>
      <c r="X5" s="34"/>
      <c r="Y5" s="34"/>
      <c r="Z5" s="34"/>
      <c r="AA5" s="34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16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4"/>
      <c r="J6" s="34"/>
      <c r="K6" s="34"/>
      <c r="L6" s="35"/>
      <c r="M6" s="35"/>
      <c r="N6" s="35"/>
      <c r="O6" s="35"/>
      <c r="P6" s="35"/>
      <c r="Q6" s="35"/>
      <c r="R6" s="35"/>
      <c r="S6" s="35"/>
      <c r="T6" s="35"/>
      <c r="U6" s="34"/>
      <c r="V6" s="34"/>
      <c r="W6" s="34"/>
      <c r="X6" s="34"/>
      <c r="Y6" s="34"/>
      <c r="Z6" s="34"/>
      <c r="AA6" s="34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16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4"/>
      <c r="J7" s="34"/>
      <c r="K7" s="34"/>
      <c r="L7" s="35"/>
      <c r="M7" s="35"/>
      <c r="N7" s="35"/>
      <c r="O7" s="35"/>
      <c r="P7" s="35"/>
      <c r="Q7" s="35"/>
      <c r="R7" s="35"/>
      <c r="S7" s="35"/>
      <c r="T7" s="35"/>
      <c r="U7" s="34"/>
      <c r="V7" s="34"/>
      <c r="W7" s="34"/>
      <c r="X7" s="34"/>
      <c r="Y7" s="34"/>
      <c r="Z7" s="34"/>
      <c r="AA7" s="34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16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4"/>
      <c r="V8" s="34"/>
      <c r="W8" s="34"/>
      <c r="X8" s="34"/>
      <c r="Y8" s="34"/>
      <c r="Z8" s="34"/>
      <c r="AA8" s="34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16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4"/>
      <c r="V9" s="34"/>
      <c r="W9" s="34"/>
      <c r="X9" s="34"/>
      <c r="Y9" s="34"/>
      <c r="Z9" s="34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16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4"/>
      <c r="V10" s="34"/>
      <c r="W10" s="34"/>
      <c r="X10" s="34"/>
      <c r="Y10" s="34"/>
      <c r="Z10" s="34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16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65.32</v>
      </c>
      <c r="H11" s="10">
        <f t="shared" si="0"/>
        <v>1959.6</v>
      </c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4"/>
      <c r="V11" s="34"/>
      <c r="W11" s="34"/>
      <c r="X11" s="34"/>
      <c r="Y11" s="34"/>
      <c r="Z11" s="34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16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4"/>
      <c r="V12" s="34"/>
      <c r="W12" s="34"/>
      <c r="X12" s="34"/>
      <c r="Y12" s="34"/>
      <c r="Z12" s="34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16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2507.68</v>
      </c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4"/>
      <c r="V13" s="34"/>
      <c r="W13" s="34"/>
      <c r="X13" s="34"/>
      <c r="Y13" s="34"/>
      <c r="Z13" s="34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16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4"/>
      <c r="V14" s="34"/>
      <c r="W14" s="34"/>
      <c r="X14" s="34"/>
      <c r="Y14" s="34"/>
      <c r="Z14" s="34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16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4"/>
      <c r="V15" s="34"/>
      <c r="W15" s="34"/>
      <c r="X15" s="34"/>
      <c r="Y15" s="34"/>
      <c r="Z15" s="34"/>
      <c r="AA15" s="34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16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4"/>
      <c r="V16" s="34"/>
      <c r="W16" s="34"/>
      <c r="X16" s="34"/>
      <c r="Y16" s="34"/>
      <c r="Z16" s="34"/>
      <c r="AA16" s="34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16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9"/>
      <c r="T17" s="35"/>
      <c r="U17" s="34"/>
      <c r="V17" s="34"/>
      <c r="W17" s="34"/>
      <c r="X17" s="34"/>
      <c r="Y17" s="34"/>
      <c r="Z17" s="34"/>
      <c r="AA17" s="34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16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</row>
    <row r="18" ht="15.25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4"/>
      <c r="V18" s="34"/>
      <c r="W18" s="34"/>
      <c r="X18" s="34"/>
      <c r="Y18" s="34"/>
      <c r="Z18" s="34"/>
      <c r="AA18" s="34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16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</row>
    <row r="19" ht="15.25" spans="1:69">
      <c r="A19" s="16"/>
      <c r="B19" s="57" t="s">
        <v>87</v>
      </c>
      <c r="C19" s="58"/>
      <c r="D19" s="58"/>
      <c r="E19" s="58"/>
      <c r="F19" s="58"/>
      <c r="G19" s="59"/>
      <c r="H19" s="18">
        <f>SUM(H4:H18)</f>
        <v>71856.76</v>
      </c>
      <c r="I19" s="36"/>
      <c r="J19" s="36"/>
      <c r="K19" s="36"/>
      <c r="L19" s="36"/>
      <c r="M19" s="36"/>
      <c r="N19" s="36"/>
      <c r="O19" s="36"/>
      <c r="P19" s="36"/>
      <c r="Q19" s="36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</row>
    <row r="20" spans="1:69">
      <c r="A20" s="19" t="s">
        <v>0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</row>
    <row r="21" ht="15.25" spans="1:69">
      <c r="A21" s="21" t="s">
        <v>1</v>
      </c>
      <c r="B21" s="21"/>
      <c r="C21" s="22">
        <v>3</v>
      </c>
      <c r="D21" s="23" t="s">
        <v>2</v>
      </c>
      <c r="E21" s="20"/>
      <c r="F21" s="20"/>
      <c r="G21" s="20"/>
      <c r="H21" s="19"/>
      <c r="I21" s="36" t="s">
        <v>3</v>
      </c>
      <c r="J21" s="36" t="s">
        <v>4</v>
      </c>
      <c r="K21" s="36"/>
      <c r="L21" s="36" t="s">
        <v>5</v>
      </c>
      <c r="M21" s="36">
        <v>1</v>
      </c>
      <c r="N21" s="36"/>
      <c r="O21" s="36" t="s">
        <v>6</v>
      </c>
      <c r="P21" s="36">
        <v>1</v>
      </c>
      <c r="Q21" s="36" t="s">
        <v>7</v>
      </c>
      <c r="R21" s="19"/>
      <c r="S21" s="19"/>
      <c r="T21" s="19"/>
      <c r="U21" s="19"/>
      <c r="V21" s="19">
        <v>1</v>
      </c>
      <c r="W21" s="19" t="s">
        <v>8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</row>
    <row r="22" ht="59.5" spans="1:69">
      <c r="A22" s="24" t="s">
        <v>9</v>
      </c>
      <c r="B22" s="24" t="s">
        <v>10</v>
      </c>
      <c r="C22" s="25" t="s">
        <v>11</v>
      </c>
      <c r="D22" s="24" t="s">
        <v>12</v>
      </c>
      <c r="E22" s="24" t="s">
        <v>13</v>
      </c>
      <c r="F22" s="26" t="s">
        <v>14</v>
      </c>
      <c r="G22" s="24" t="s">
        <v>15</v>
      </c>
      <c r="H22" s="24" t="s">
        <v>16</v>
      </c>
      <c r="I22" s="37" t="s">
        <v>17</v>
      </c>
      <c r="J22" s="37" t="s">
        <v>18</v>
      </c>
      <c r="K22" s="37" t="s">
        <v>19</v>
      </c>
      <c r="L22" s="38" t="s">
        <v>20</v>
      </c>
      <c r="M22" s="38" t="s">
        <v>21</v>
      </c>
      <c r="N22" s="38" t="s">
        <v>22</v>
      </c>
      <c r="O22" s="38" t="s">
        <v>23</v>
      </c>
      <c r="P22" s="38" t="s">
        <v>24</v>
      </c>
      <c r="Q22" s="38" t="s">
        <v>25</v>
      </c>
      <c r="R22" s="37" t="s">
        <v>26</v>
      </c>
      <c r="S22" s="24" t="s">
        <v>27</v>
      </c>
      <c r="T22" s="24" t="s">
        <v>28</v>
      </c>
      <c r="U22" s="40" t="s">
        <v>29</v>
      </c>
      <c r="V22" s="40" t="s">
        <v>30</v>
      </c>
      <c r="W22" s="40" t="s">
        <v>31</v>
      </c>
      <c r="X22" s="40" t="s">
        <v>32</v>
      </c>
      <c r="Y22" s="40" t="s">
        <v>33</v>
      </c>
      <c r="Z22" s="40" t="s">
        <v>34</v>
      </c>
      <c r="AA22" s="40" t="s">
        <v>35</v>
      </c>
      <c r="AB22" s="40" t="s">
        <v>36</v>
      </c>
      <c r="AC22" s="43" t="s">
        <v>37</v>
      </c>
      <c r="AD22" s="43" t="s">
        <v>38</v>
      </c>
      <c r="AE22" s="44" t="s">
        <v>39</v>
      </c>
      <c r="AF22" s="44" t="s">
        <v>40</v>
      </c>
      <c r="AG22" s="44" t="s">
        <v>41</v>
      </c>
      <c r="AH22" s="43" t="s">
        <v>42</v>
      </c>
      <c r="AI22" s="43" t="s">
        <v>43</v>
      </c>
      <c r="AJ22" s="44" t="s">
        <v>44</v>
      </c>
      <c r="AK22" s="44" t="s">
        <v>45</v>
      </c>
      <c r="AL22" s="43" t="s">
        <v>46</v>
      </c>
      <c r="AM22" s="43" t="s">
        <v>47</v>
      </c>
      <c r="AN22" s="44" t="s">
        <v>48</v>
      </c>
      <c r="AO22" s="44" t="s">
        <v>49</v>
      </c>
      <c r="AP22" s="44" t="s">
        <v>50</v>
      </c>
      <c r="AQ22" s="43" t="s">
        <v>51</v>
      </c>
      <c r="AR22" s="48" t="s">
        <v>52</v>
      </c>
      <c r="AS22" s="3" t="s">
        <v>53</v>
      </c>
      <c r="AT22" s="3" t="s">
        <v>51</v>
      </c>
      <c r="AU22" s="49" t="s">
        <v>54</v>
      </c>
      <c r="AV22" s="49" t="s">
        <v>55</v>
      </c>
      <c r="AW22" s="49" t="s">
        <v>56</v>
      </c>
      <c r="AX22" s="49" t="s">
        <v>57</v>
      </c>
      <c r="AY22" s="49" t="s">
        <v>58</v>
      </c>
      <c r="AZ22" s="49" t="s">
        <v>59</v>
      </c>
      <c r="BA22" s="49" t="s">
        <v>60</v>
      </c>
      <c r="BB22" s="49" t="s">
        <v>61</v>
      </c>
      <c r="BC22" s="51" t="s">
        <v>62</v>
      </c>
      <c r="BD22" s="51" t="s">
        <v>63</v>
      </c>
      <c r="BE22" s="51" t="s">
        <v>64</v>
      </c>
      <c r="BF22" s="49" t="s">
        <v>65</v>
      </c>
      <c r="BG22" s="49" t="s">
        <v>66</v>
      </c>
      <c r="BH22" s="49" t="s">
        <v>67</v>
      </c>
      <c r="BI22" s="49" t="s">
        <v>68</v>
      </c>
      <c r="BJ22" s="49" t="s">
        <v>69</v>
      </c>
      <c r="BK22" s="49" t="s">
        <v>70</v>
      </c>
      <c r="BL22" s="49" t="s">
        <v>71</v>
      </c>
      <c r="BM22" s="49" t="s">
        <v>72</v>
      </c>
      <c r="BN22" s="49" t="s">
        <v>73</v>
      </c>
      <c r="BO22" s="49" t="s">
        <v>59</v>
      </c>
      <c r="BP22" s="49" t="s">
        <v>74</v>
      </c>
      <c r="BQ22" s="49" t="s">
        <v>28</v>
      </c>
    </row>
    <row r="23" ht="15.25" spans="1:69">
      <c r="A23" s="27">
        <v>1</v>
      </c>
      <c r="B23" s="27" t="s">
        <v>126</v>
      </c>
      <c r="C23" s="27" t="s">
        <v>126</v>
      </c>
      <c r="D23" s="27" t="s">
        <v>76</v>
      </c>
      <c r="E23" s="27" t="s">
        <v>76</v>
      </c>
      <c r="F23" s="28">
        <v>2</v>
      </c>
      <c r="G23" s="29" t="s">
        <v>174</v>
      </c>
      <c r="H23" s="28">
        <f>F23*G23</f>
        <v>400</v>
      </c>
      <c r="I23" s="29" t="s">
        <v>164</v>
      </c>
      <c r="J23" s="28">
        <v>2</v>
      </c>
      <c r="K23" s="28">
        <v>2</v>
      </c>
      <c r="L23" s="28">
        <f>H23</f>
        <v>400</v>
      </c>
      <c r="M23" s="28">
        <f>ROUND(L23*I23%,2)</f>
        <v>8</v>
      </c>
      <c r="N23" s="28">
        <f>H23-M23</f>
        <v>392</v>
      </c>
      <c r="O23" s="28">
        <f>ROUND(N23*J23%,2)</f>
        <v>7.84</v>
      </c>
      <c r="P23" s="28">
        <f>ROUND(N23-O23,2)</f>
        <v>384.16</v>
      </c>
      <c r="Q23" s="28">
        <f>ROUND(P23*K23%,2)</f>
        <v>7.68</v>
      </c>
      <c r="R23" s="28">
        <f>M23+O23+Q23</f>
        <v>23.52</v>
      </c>
      <c r="S23" s="28">
        <f>(H23-R23)</f>
        <v>376.48</v>
      </c>
      <c r="T23" s="28" t="s">
        <v>165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5">
        <v>0</v>
      </c>
      <c r="AA23" s="28">
        <f>IF($C21=3,0,S23*Z23)</f>
        <v>0</v>
      </c>
      <c r="AB23" s="28">
        <f>V23+W23+X23+Y23+AA23</f>
        <v>0</v>
      </c>
      <c r="AC23" s="28">
        <f>IF($V21=1,S23+AB23,S23)</f>
        <v>376.48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376.48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188.24</v>
      </c>
      <c r="AO23" s="28">
        <f>AJ23/AM23</f>
        <v>0</v>
      </c>
      <c r="AP23" s="28">
        <f>AK23/AM23</f>
        <v>0</v>
      </c>
      <c r="AQ23" s="28" t="s">
        <v>76</v>
      </c>
      <c r="AR23" s="28">
        <f>AN23+AO23+AP23</f>
        <v>188.24</v>
      </c>
      <c r="AS23" s="50" t="s">
        <v>77</v>
      </c>
      <c r="AT23" s="50" t="s">
        <v>76</v>
      </c>
      <c r="AU23" s="29" t="s">
        <v>78</v>
      </c>
      <c r="AV23" s="29" t="s">
        <v>178</v>
      </c>
      <c r="AW23" s="50">
        <f>AM23</f>
        <v>2</v>
      </c>
      <c r="AX23" s="50">
        <f>AR23</f>
        <v>188.24</v>
      </c>
      <c r="AY23" s="50">
        <f>AU23+AW23</f>
        <v>14092</v>
      </c>
      <c r="AZ23" s="50">
        <f>ROUND(((AU23*AV23)+(AW23*AX23))/(AU23+AW23),5)</f>
        <v>121.1908</v>
      </c>
      <c r="BA23" s="52"/>
      <c r="BB23" s="52" t="s">
        <v>80</v>
      </c>
      <c r="BC23" s="54" t="s">
        <v>81</v>
      </c>
      <c r="BD23" s="54" t="s">
        <v>82</v>
      </c>
      <c r="BE23" s="54" t="s">
        <v>83</v>
      </c>
      <c r="BF23" s="52"/>
      <c r="BG23" s="52"/>
      <c r="BH23" s="52"/>
      <c r="BI23" s="50"/>
      <c r="BJ23" s="50"/>
      <c r="BK23" s="50"/>
      <c r="BL23" s="50" t="s">
        <v>84</v>
      </c>
      <c r="BM23" s="29" t="s">
        <v>179</v>
      </c>
      <c r="BN23" s="29" t="s">
        <v>180</v>
      </c>
      <c r="BO23" s="50">
        <f>ROUND((((AW23*AZ23)+(BN23*BM23))/(AW23+BN23)),5)</f>
        <v>146.93407</v>
      </c>
      <c r="BP23" s="55">
        <f>BN23+AW23</f>
        <v>689</v>
      </c>
      <c r="BQ23" s="56">
        <v>88363221</v>
      </c>
    </row>
    <row r="24" ht="15.25" spans="1:69">
      <c r="A24" s="16"/>
      <c r="B24" s="30"/>
      <c r="C24" s="30"/>
      <c r="D24" s="31" t="s">
        <v>87</v>
      </c>
      <c r="E24" s="31"/>
      <c r="F24" s="31"/>
      <c r="G24" s="32"/>
      <c r="H24" s="33">
        <f>SUM(H23:H23)</f>
        <v>400</v>
      </c>
      <c r="I24" s="27"/>
      <c r="J24" s="27"/>
      <c r="K24" s="27"/>
      <c r="L24" s="27"/>
      <c r="M24" s="27"/>
      <c r="N24" s="27"/>
      <c r="O24" s="27"/>
      <c r="P24" s="27"/>
      <c r="Q24" s="27"/>
      <c r="R24" s="33">
        <f t="shared" ref="R24:X24" si="1">SUM(R23:R23)</f>
        <v>23.52</v>
      </c>
      <c r="S24" s="41">
        <f t="shared" si="1"/>
        <v>376.48</v>
      </c>
      <c r="T24" s="33"/>
      <c r="U24" s="33"/>
      <c r="V24" s="42">
        <f t="shared" si="1"/>
        <v>0</v>
      </c>
      <c r="W24" s="42">
        <f t="shared" si="1"/>
        <v>0</v>
      </c>
      <c r="X24" s="42">
        <f t="shared" si="1"/>
        <v>0</v>
      </c>
      <c r="Y24" s="42"/>
      <c r="Z24" s="42"/>
      <c r="AA24" s="42"/>
      <c r="AB24" s="33">
        <f t="shared" ref="AB24:AE24" si="2">SUM(AB23:AB23)</f>
        <v>0</v>
      </c>
      <c r="AC24" s="46">
        <f t="shared" si="2"/>
        <v>376.48</v>
      </c>
      <c r="AD24" s="47">
        <f t="shared" si="2"/>
        <v>120</v>
      </c>
      <c r="AE24" s="47">
        <f t="shared" si="2"/>
        <v>0</v>
      </c>
      <c r="AF24" s="46"/>
      <c r="AG24" s="47">
        <f t="shared" ref="AG24:AK24" si="3">SUM(AG23:AG23)</f>
        <v>0</v>
      </c>
      <c r="AH24" s="47">
        <f t="shared" si="3"/>
        <v>0</v>
      </c>
      <c r="AI24" s="47">
        <f t="shared" si="3"/>
        <v>376.48</v>
      </c>
      <c r="AJ24" s="47">
        <f t="shared" si="3"/>
        <v>0</v>
      </c>
      <c r="AK24" s="47">
        <f t="shared" si="3"/>
        <v>0</v>
      </c>
      <c r="AL24" s="46"/>
      <c r="AM24" s="46"/>
      <c r="AN24" s="46"/>
      <c r="AO24" s="46"/>
      <c r="AP24" s="46"/>
      <c r="AQ24" s="46"/>
      <c r="AR24" s="46"/>
      <c r="AS24" s="16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9" workbookViewId="0">
      <selection activeCell="J31" sqref="J31"/>
    </sheetView>
  </sheetViews>
  <sheetFormatPr defaultColWidth="8.70909090909091" defaultRowHeight="14.5"/>
  <cols>
    <col min="8" max="8" width="9.42727272727273" customWidth="1"/>
  </cols>
  <sheetData>
    <row r="1" ht="18.5" spans="1:69">
      <c r="A1" s="1" t="s">
        <v>131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</row>
    <row r="2" ht="19.25" spans="1:69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</row>
    <row r="3" ht="15.25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4"/>
      <c r="J4" s="34"/>
      <c r="K4" s="34"/>
      <c r="L4" s="35"/>
      <c r="M4" s="35"/>
      <c r="N4" s="35"/>
      <c r="O4" s="35"/>
      <c r="P4" s="35"/>
      <c r="Q4" s="35"/>
      <c r="R4" s="35"/>
      <c r="S4" s="35"/>
      <c r="T4" s="35"/>
      <c r="U4" s="34"/>
      <c r="V4" s="34"/>
      <c r="W4" s="34"/>
      <c r="X4" s="34"/>
      <c r="Y4" s="34"/>
      <c r="Z4" s="34"/>
      <c r="AA4" s="34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16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4"/>
      <c r="J5" s="34"/>
      <c r="K5" s="34"/>
      <c r="L5" s="35"/>
      <c r="M5" s="35"/>
      <c r="N5" s="35"/>
      <c r="O5" s="35"/>
      <c r="P5" s="35"/>
      <c r="Q5" s="35"/>
      <c r="R5" s="35"/>
      <c r="S5" s="35"/>
      <c r="T5" s="35"/>
      <c r="U5" s="34"/>
      <c r="V5" s="34"/>
      <c r="W5" s="34"/>
      <c r="X5" s="34"/>
      <c r="Y5" s="34"/>
      <c r="Z5" s="34"/>
      <c r="AA5" s="34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16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4"/>
      <c r="J6" s="34"/>
      <c r="K6" s="34"/>
      <c r="L6" s="35"/>
      <c r="M6" s="35"/>
      <c r="N6" s="35"/>
      <c r="O6" s="35"/>
      <c r="P6" s="35"/>
      <c r="Q6" s="35"/>
      <c r="R6" s="35"/>
      <c r="S6" s="35"/>
      <c r="T6" s="35"/>
      <c r="U6" s="34"/>
      <c r="V6" s="34"/>
      <c r="W6" s="34"/>
      <c r="X6" s="34"/>
      <c r="Y6" s="34"/>
      <c r="Z6" s="34"/>
      <c r="AA6" s="34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16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4"/>
      <c r="J7" s="34"/>
      <c r="K7" s="34"/>
      <c r="L7" s="35"/>
      <c r="M7" s="35"/>
      <c r="N7" s="35"/>
      <c r="O7" s="35"/>
      <c r="P7" s="35"/>
      <c r="Q7" s="35"/>
      <c r="R7" s="35"/>
      <c r="S7" s="35"/>
      <c r="T7" s="35"/>
      <c r="U7" s="34"/>
      <c r="V7" s="34"/>
      <c r="W7" s="34"/>
      <c r="X7" s="34"/>
      <c r="Y7" s="34"/>
      <c r="Z7" s="34"/>
      <c r="AA7" s="34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16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4"/>
      <c r="V8" s="34"/>
      <c r="W8" s="34"/>
      <c r="X8" s="34"/>
      <c r="Y8" s="34"/>
      <c r="Z8" s="34"/>
      <c r="AA8" s="34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16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4"/>
      <c r="V9" s="34"/>
      <c r="W9" s="34"/>
      <c r="X9" s="34"/>
      <c r="Y9" s="34"/>
      <c r="Z9" s="34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16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4"/>
      <c r="V10" s="34"/>
      <c r="W10" s="34"/>
      <c r="X10" s="34"/>
      <c r="Y10" s="34"/>
      <c r="Z10" s="34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16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65.32</v>
      </c>
      <c r="H11" s="10">
        <f t="shared" si="0"/>
        <v>1959.6</v>
      </c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4"/>
      <c r="V11" s="34"/>
      <c r="W11" s="34"/>
      <c r="X11" s="34"/>
      <c r="Y11" s="34"/>
      <c r="Z11" s="34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16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4"/>
      <c r="V12" s="34"/>
      <c r="W12" s="34"/>
      <c r="X12" s="34"/>
      <c r="Y12" s="34"/>
      <c r="Z12" s="34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16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2507.68</v>
      </c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4"/>
      <c r="V13" s="34"/>
      <c r="W13" s="34"/>
      <c r="X13" s="34"/>
      <c r="Y13" s="34"/>
      <c r="Z13" s="34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16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4"/>
      <c r="V14" s="34"/>
      <c r="W14" s="34"/>
      <c r="X14" s="34"/>
      <c r="Y14" s="34"/>
      <c r="Z14" s="34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16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4"/>
      <c r="V15" s="34"/>
      <c r="W15" s="34"/>
      <c r="X15" s="34"/>
      <c r="Y15" s="34"/>
      <c r="Z15" s="34"/>
      <c r="AA15" s="34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16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4"/>
      <c r="V16" s="34"/>
      <c r="W16" s="34"/>
      <c r="X16" s="34"/>
      <c r="Y16" s="34"/>
      <c r="Z16" s="34"/>
      <c r="AA16" s="34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16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9"/>
      <c r="T17" s="35"/>
      <c r="U17" s="34"/>
      <c r="V17" s="34"/>
      <c r="W17" s="34"/>
      <c r="X17" s="34"/>
      <c r="Y17" s="34"/>
      <c r="Z17" s="34"/>
      <c r="AA17" s="34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16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</row>
    <row r="18" ht="15.25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4"/>
      <c r="V18" s="34"/>
      <c r="W18" s="34"/>
      <c r="X18" s="34"/>
      <c r="Y18" s="34"/>
      <c r="Z18" s="34"/>
      <c r="AA18" s="34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16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</row>
    <row r="19" ht="15.25" spans="1:69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36"/>
      <c r="J19" s="36"/>
      <c r="K19" s="36"/>
      <c r="L19" s="36"/>
      <c r="M19" s="36"/>
      <c r="N19" s="36"/>
      <c r="O19" s="36"/>
      <c r="P19" s="36"/>
      <c r="Q19" s="36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</row>
    <row r="20" spans="1:69">
      <c r="A20" s="19" t="s">
        <v>0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</row>
    <row r="21" ht="15.25" spans="1:69">
      <c r="A21" s="21" t="s">
        <v>1</v>
      </c>
      <c r="B21" s="21"/>
      <c r="C21" s="22">
        <v>3</v>
      </c>
      <c r="D21" s="23" t="s">
        <v>2</v>
      </c>
      <c r="E21" s="20"/>
      <c r="F21" s="20"/>
      <c r="G21" s="20"/>
      <c r="H21" s="19"/>
      <c r="I21" s="36" t="s">
        <v>3</v>
      </c>
      <c r="J21" s="36" t="s">
        <v>4</v>
      </c>
      <c r="K21" s="36"/>
      <c r="L21" s="36" t="s">
        <v>5</v>
      </c>
      <c r="M21" s="36">
        <v>1</v>
      </c>
      <c r="N21" s="36"/>
      <c r="O21" s="36" t="s">
        <v>6</v>
      </c>
      <c r="P21" s="36">
        <v>1</v>
      </c>
      <c r="Q21" s="36" t="s">
        <v>7</v>
      </c>
      <c r="R21" s="19"/>
      <c r="S21" s="19"/>
      <c r="T21" s="19"/>
      <c r="U21" s="19"/>
      <c r="V21" s="19">
        <v>1</v>
      </c>
      <c r="W21" s="19" t="s">
        <v>8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</row>
    <row r="22" ht="59.5" spans="1:69">
      <c r="A22" s="24" t="s">
        <v>9</v>
      </c>
      <c r="B22" s="24" t="s">
        <v>10</v>
      </c>
      <c r="C22" s="25" t="s">
        <v>11</v>
      </c>
      <c r="D22" s="24" t="s">
        <v>12</v>
      </c>
      <c r="E22" s="24" t="s">
        <v>13</v>
      </c>
      <c r="F22" s="26" t="s">
        <v>14</v>
      </c>
      <c r="G22" s="24" t="s">
        <v>15</v>
      </c>
      <c r="H22" s="24" t="s">
        <v>16</v>
      </c>
      <c r="I22" s="37" t="s">
        <v>17</v>
      </c>
      <c r="J22" s="37" t="s">
        <v>18</v>
      </c>
      <c r="K22" s="37" t="s">
        <v>19</v>
      </c>
      <c r="L22" s="38" t="s">
        <v>20</v>
      </c>
      <c r="M22" s="38" t="s">
        <v>21</v>
      </c>
      <c r="N22" s="38" t="s">
        <v>22</v>
      </c>
      <c r="O22" s="38" t="s">
        <v>23</v>
      </c>
      <c r="P22" s="38" t="s">
        <v>24</v>
      </c>
      <c r="Q22" s="38" t="s">
        <v>25</v>
      </c>
      <c r="R22" s="37" t="s">
        <v>26</v>
      </c>
      <c r="S22" s="24" t="s">
        <v>27</v>
      </c>
      <c r="T22" s="24" t="s">
        <v>28</v>
      </c>
      <c r="U22" s="40" t="s">
        <v>29</v>
      </c>
      <c r="V22" s="40" t="s">
        <v>30</v>
      </c>
      <c r="W22" s="40" t="s">
        <v>31</v>
      </c>
      <c r="X22" s="40" t="s">
        <v>32</v>
      </c>
      <c r="Y22" s="40" t="s">
        <v>33</v>
      </c>
      <c r="Z22" s="40" t="s">
        <v>34</v>
      </c>
      <c r="AA22" s="40" t="s">
        <v>35</v>
      </c>
      <c r="AB22" s="40" t="s">
        <v>36</v>
      </c>
      <c r="AC22" s="43" t="s">
        <v>37</v>
      </c>
      <c r="AD22" s="43" t="s">
        <v>38</v>
      </c>
      <c r="AE22" s="44" t="s">
        <v>39</v>
      </c>
      <c r="AF22" s="44" t="s">
        <v>40</v>
      </c>
      <c r="AG22" s="44" t="s">
        <v>41</v>
      </c>
      <c r="AH22" s="43" t="s">
        <v>42</v>
      </c>
      <c r="AI22" s="43" t="s">
        <v>43</v>
      </c>
      <c r="AJ22" s="44" t="s">
        <v>44</v>
      </c>
      <c r="AK22" s="44" t="s">
        <v>45</v>
      </c>
      <c r="AL22" s="43" t="s">
        <v>46</v>
      </c>
      <c r="AM22" s="43" t="s">
        <v>47</v>
      </c>
      <c r="AN22" s="44" t="s">
        <v>48</v>
      </c>
      <c r="AO22" s="44" t="s">
        <v>49</v>
      </c>
      <c r="AP22" s="44" t="s">
        <v>50</v>
      </c>
      <c r="AQ22" s="43" t="s">
        <v>51</v>
      </c>
      <c r="AR22" s="48" t="s">
        <v>52</v>
      </c>
      <c r="AS22" s="3" t="s">
        <v>53</v>
      </c>
      <c r="AT22" s="3" t="s">
        <v>51</v>
      </c>
      <c r="AU22" s="49" t="s">
        <v>54</v>
      </c>
      <c r="AV22" s="49" t="s">
        <v>55</v>
      </c>
      <c r="AW22" s="49" t="s">
        <v>56</v>
      </c>
      <c r="AX22" s="49" t="s">
        <v>57</v>
      </c>
      <c r="AY22" s="49" t="s">
        <v>58</v>
      </c>
      <c r="AZ22" s="49" t="s">
        <v>59</v>
      </c>
      <c r="BA22" s="49" t="s">
        <v>60</v>
      </c>
      <c r="BB22" s="49" t="s">
        <v>61</v>
      </c>
      <c r="BC22" s="51" t="s">
        <v>62</v>
      </c>
      <c r="BD22" s="51" t="s">
        <v>63</v>
      </c>
      <c r="BE22" s="51" t="s">
        <v>64</v>
      </c>
      <c r="BF22" s="49" t="s">
        <v>65</v>
      </c>
      <c r="BG22" s="49" t="s">
        <v>66</v>
      </c>
      <c r="BH22" s="49" t="s">
        <v>67</v>
      </c>
      <c r="BI22" s="49" t="s">
        <v>68</v>
      </c>
      <c r="BJ22" s="49" t="s">
        <v>69</v>
      </c>
      <c r="BK22" s="49" t="s">
        <v>70</v>
      </c>
      <c r="BL22" s="49" t="s">
        <v>71</v>
      </c>
      <c r="BM22" s="49" t="s">
        <v>72</v>
      </c>
      <c r="BN22" s="49" t="s">
        <v>73</v>
      </c>
      <c r="BO22" s="49" t="s">
        <v>59</v>
      </c>
      <c r="BP22" s="49" t="s">
        <v>74</v>
      </c>
      <c r="BQ22" s="49" t="s">
        <v>28</v>
      </c>
    </row>
    <row r="23" ht="15.25" spans="1:69">
      <c r="A23" s="27">
        <v>1</v>
      </c>
      <c r="B23" s="27" t="s">
        <v>127</v>
      </c>
      <c r="C23" s="27" t="s">
        <v>127</v>
      </c>
      <c r="D23" s="27" t="s">
        <v>76</v>
      </c>
      <c r="E23" s="27" t="s">
        <v>76</v>
      </c>
      <c r="F23" s="28">
        <v>2</v>
      </c>
      <c r="G23" s="29" t="s">
        <v>174</v>
      </c>
      <c r="H23" s="28">
        <f>F23*G23</f>
        <v>400</v>
      </c>
      <c r="I23" s="29" t="s">
        <v>164</v>
      </c>
      <c r="J23" s="28">
        <v>2</v>
      </c>
      <c r="K23" s="28">
        <v>2</v>
      </c>
      <c r="L23" s="28">
        <f>H23</f>
        <v>400</v>
      </c>
      <c r="M23" s="28">
        <f>ROUND(L23*I23%,2)</f>
        <v>8</v>
      </c>
      <c r="N23" s="28">
        <f>H23-M23</f>
        <v>392</v>
      </c>
      <c r="O23" s="28">
        <f>ROUND(N23*J23%,2)</f>
        <v>7.84</v>
      </c>
      <c r="P23" s="28">
        <f>ROUND(N23-O23,2)</f>
        <v>384.16</v>
      </c>
      <c r="Q23" s="28">
        <f>ROUND(P23*K23%,2)</f>
        <v>7.68</v>
      </c>
      <c r="R23" s="28">
        <f>M23+O23+Q23</f>
        <v>23.52</v>
      </c>
      <c r="S23" s="28">
        <f>(H23-R23)</f>
        <v>376.48</v>
      </c>
      <c r="T23" s="28" t="s">
        <v>165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5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376.48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376.48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188.24</v>
      </c>
      <c r="AO23" s="28">
        <f>AJ23/AM23</f>
        <v>0</v>
      </c>
      <c r="AP23" s="28">
        <f>AK23/AM23</f>
        <v>0</v>
      </c>
      <c r="AQ23" s="28" t="s">
        <v>76</v>
      </c>
      <c r="AR23" s="28">
        <f>AN23+AO23+AP23</f>
        <v>188.24</v>
      </c>
      <c r="AS23" s="50" t="s">
        <v>166</v>
      </c>
      <c r="AT23" s="50" t="s">
        <v>76</v>
      </c>
      <c r="AU23" s="29" t="s">
        <v>167</v>
      </c>
      <c r="AV23" s="29" t="s">
        <v>181</v>
      </c>
      <c r="AW23" s="50">
        <f>AM23</f>
        <v>2</v>
      </c>
      <c r="AX23" s="50">
        <f>AR23</f>
        <v>188.24</v>
      </c>
      <c r="AY23" s="50">
        <f>AU23+AW23</f>
        <v>2</v>
      </c>
      <c r="AZ23" s="50">
        <f>ROUND(((AU23*AV23)+(AW23*AX23))/(AU23+AW23),5)</f>
        <v>188.24</v>
      </c>
      <c r="BA23" s="52"/>
      <c r="BB23" s="52" t="s">
        <v>80</v>
      </c>
      <c r="BC23" s="53" t="s">
        <v>81</v>
      </c>
      <c r="BD23" s="54" t="s">
        <v>82</v>
      </c>
      <c r="BE23" s="54" t="s">
        <v>83</v>
      </c>
      <c r="BF23" s="52"/>
      <c r="BG23" s="52"/>
      <c r="BH23" s="52"/>
      <c r="BI23" s="50"/>
      <c r="BJ23" s="50"/>
      <c r="BK23" s="50"/>
      <c r="BL23" s="50" t="s">
        <v>84</v>
      </c>
      <c r="BM23" s="29" t="s">
        <v>181</v>
      </c>
      <c r="BN23" s="29" t="s">
        <v>182</v>
      </c>
      <c r="BO23" s="50">
        <f>ROUND((((AW23*AZ23)+(BN23*BM23))/(AW23+BN23)),5)</f>
        <v>186.96</v>
      </c>
      <c r="BP23" s="55">
        <f>BN23+AW23</f>
        <v>6</v>
      </c>
      <c r="BQ23" s="56">
        <v>88363222</v>
      </c>
    </row>
    <row r="24" ht="15.25" spans="1:69">
      <c r="A24" s="16"/>
      <c r="B24" s="30"/>
      <c r="C24" s="30"/>
      <c r="D24" s="31" t="s">
        <v>87</v>
      </c>
      <c r="E24" s="31"/>
      <c r="F24" s="31"/>
      <c r="G24" s="32"/>
      <c r="H24" s="33">
        <f>SUM(H23:H23)</f>
        <v>400</v>
      </c>
      <c r="I24" s="27"/>
      <c r="J24" s="27"/>
      <c r="K24" s="27"/>
      <c r="L24" s="27"/>
      <c r="M24" s="27"/>
      <c r="N24" s="27"/>
      <c r="O24" s="27"/>
      <c r="P24" s="27"/>
      <c r="Q24" s="27"/>
      <c r="R24" s="33">
        <f t="shared" ref="R24:Y24" si="1">SUM(R23:R23)</f>
        <v>23.52</v>
      </c>
      <c r="S24" s="41">
        <f t="shared" si="1"/>
        <v>376.48</v>
      </c>
      <c r="T24" s="33"/>
      <c r="U24" s="33"/>
      <c r="V24" s="42">
        <f t="shared" si="1"/>
        <v>0</v>
      </c>
      <c r="W24" s="42">
        <f t="shared" si="1"/>
        <v>0</v>
      </c>
      <c r="X24" s="42">
        <f t="shared" si="1"/>
        <v>0</v>
      </c>
      <c r="Y24" s="42">
        <f t="shared" si="1"/>
        <v>0</v>
      </c>
      <c r="Z24" s="42"/>
      <c r="AA24" s="42">
        <f t="shared" ref="AA24:AE24" si="2">SUM(AA23:AA23)</f>
        <v>0</v>
      </c>
      <c r="AB24" s="33">
        <f t="shared" si="2"/>
        <v>0</v>
      </c>
      <c r="AC24" s="46">
        <f t="shared" si="2"/>
        <v>376.48</v>
      </c>
      <c r="AD24" s="47">
        <f t="shared" si="2"/>
        <v>120</v>
      </c>
      <c r="AE24" s="47">
        <f t="shared" si="2"/>
        <v>0</v>
      </c>
      <c r="AF24" s="46"/>
      <c r="AG24" s="47">
        <f t="shared" ref="AG24:AK24" si="3">SUM(AG23:AG23)</f>
        <v>0</v>
      </c>
      <c r="AH24" s="47">
        <f t="shared" si="3"/>
        <v>0</v>
      </c>
      <c r="AI24" s="47">
        <f t="shared" si="3"/>
        <v>376.48</v>
      </c>
      <c r="AJ24" s="47">
        <f t="shared" si="3"/>
        <v>0</v>
      </c>
      <c r="AK24" s="47">
        <f t="shared" si="3"/>
        <v>0</v>
      </c>
      <c r="AL24" s="46"/>
      <c r="AM24" s="46"/>
      <c r="AN24" s="46"/>
      <c r="AO24" s="46"/>
      <c r="AP24" s="46"/>
      <c r="AQ24" s="46"/>
      <c r="AR24" s="46"/>
      <c r="AS24" s="16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12" workbookViewId="0">
      <selection activeCell="J31" sqref="J31"/>
    </sheetView>
  </sheetViews>
  <sheetFormatPr defaultColWidth="8.70909090909091" defaultRowHeight="14.5"/>
  <cols>
    <col min="8" max="8" width="9.42727272727273" customWidth="1"/>
  </cols>
  <sheetData>
    <row r="1" ht="18.5" spans="1:69">
      <c r="A1" s="1" t="s">
        <v>131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</row>
    <row r="2" ht="19.25" spans="1:69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</row>
    <row r="3" ht="15.25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4"/>
      <c r="J4" s="34"/>
      <c r="K4" s="34"/>
      <c r="L4" s="35"/>
      <c r="M4" s="35"/>
      <c r="N4" s="35"/>
      <c r="O4" s="35"/>
      <c r="P4" s="35"/>
      <c r="Q4" s="35"/>
      <c r="R4" s="35"/>
      <c r="S4" s="35"/>
      <c r="T4" s="35"/>
      <c r="U4" s="34"/>
      <c r="V4" s="34"/>
      <c r="W4" s="34"/>
      <c r="X4" s="34"/>
      <c r="Y4" s="34"/>
      <c r="Z4" s="34"/>
      <c r="AA4" s="34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16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4"/>
      <c r="J5" s="34"/>
      <c r="K5" s="34"/>
      <c r="L5" s="35"/>
      <c r="M5" s="35"/>
      <c r="N5" s="35"/>
      <c r="O5" s="35"/>
      <c r="P5" s="35"/>
      <c r="Q5" s="35"/>
      <c r="R5" s="35"/>
      <c r="S5" s="35"/>
      <c r="T5" s="35"/>
      <c r="U5" s="34"/>
      <c r="V5" s="34"/>
      <c r="W5" s="34"/>
      <c r="X5" s="34"/>
      <c r="Y5" s="34"/>
      <c r="Z5" s="34"/>
      <c r="AA5" s="34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16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4"/>
      <c r="J6" s="34"/>
      <c r="K6" s="34"/>
      <c r="L6" s="35"/>
      <c r="M6" s="35"/>
      <c r="N6" s="35"/>
      <c r="O6" s="35"/>
      <c r="P6" s="35"/>
      <c r="Q6" s="35"/>
      <c r="R6" s="35"/>
      <c r="S6" s="35"/>
      <c r="T6" s="35"/>
      <c r="U6" s="34"/>
      <c r="V6" s="34"/>
      <c r="W6" s="34"/>
      <c r="X6" s="34"/>
      <c r="Y6" s="34"/>
      <c r="Z6" s="34"/>
      <c r="AA6" s="34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16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4"/>
      <c r="J7" s="34"/>
      <c r="K7" s="34"/>
      <c r="L7" s="35"/>
      <c r="M7" s="35"/>
      <c r="N7" s="35"/>
      <c r="O7" s="35"/>
      <c r="P7" s="35"/>
      <c r="Q7" s="35"/>
      <c r="R7" s="35"/>
      <c r="S7" s="35"/>
      <c r="T7" s="35"/>
      <c r="U7" s="34"/>
      <c r="V7" s="34"/>
      <c r="W7" s="34"/>
      <c r="X7" s="34"/>
      <c r="Y7" s="34"/>
      <c r="Z7" s="34"/>
      <c r="AA7" s="34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16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4"/>
      <c r="V8" s="34"/>
      <c r="W8" s="34"/>
      <c r="X8" s="34"/>
      <c r="Y8" s="34"/>
      <c r="Z8" s="34"/>
      <c r="AA8" s="34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16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4"/>
      <c r="V9" s="34"/>
      <c r="W9" s="34"/>
      <c r="X9" s="34"/>
      <c r="Y9" s="34"/>
      <c r="Z9" s="34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16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4"/>
      <c r="V10" s="34"/>
      <c r="W10" s="34"/>
      <c r="X10" s="34"/>
      <c r="Y10" s="34"/>
      <c r="Z10" s="34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16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65.32</v>
      </c>
      <c r="H11" s="10">
        <f t="shared" si="0"/>
        <v>1959.6</v>
      </c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4"/>
      <c r="V11" s="34"/>
      <c r="W11" s="34"/>
      <c r="X11" s="34"/>
      <c r="Y11" s="34"/>
      <c r="Z11" s="34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16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4"/>
      <c r="V12" s="34"/>
      <c r="W12" s="34"/>
      <c r="X12" s="34"/>
      <c r="Y12" s="34"/>
      <c r="Z12" s="34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16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2507.68</v>
      </c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4"/>
      <c r="V13" s="34"/>
      <c r="W13" s="34"/>
      <c r="X13" s="34"/>
      <c r="Y13" s="34"/>
      <c r="Z13" s="34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16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4"/>
      <c r="V14" s="34"/>
      <c r="W14" s="34"/>
      <c r="X14" s="34"/>
      <c r="Y14" s="34"/>
      <c r="Z14" s="34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16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4"/>
      <c r="V15" s="34"/>
      <c r="W15" s="34"/>
      <c r="X15" s="34"/>
      <c r="Y15" s="34"/>
      <c r="Z15" s="34"/>
      <c r="AA15" s="34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16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4"/>
      <c r="V16" s="34"/>
      <c r="W16" s="34"/>
      <c r="X16" s="34"/>
      <c r="Y16" s="34"/>
      <c r="Z16" s="34"/>
      <c r="AA16" s="34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16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9"/>
      <c r="T17" s="35"/>
      <c r="U17" s="34"/>
      <c r="V17" s="34"/>
      <c r="W17" s="34"/>
      <c r="X17" s="34"/>
      <c r="Y17" s="34"/>
      <c r="Z17" s="34"/>
      <c r="AA17" s="34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16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</row>
    <row r="18" ht="15.25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4"/>
      <c r="V18" s="34"/>
      <c r="W18" s="34"/>
      <c r="X18" s="34"/>
      <c r="Y18" s="34"/>
      <c r="Z18" s="34"/>
      <c r="AA18" s="34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16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</row>
    <row r="19" ht="15.25" spans="1:69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36"/>
      <c r="J19" s="36"/>
      <c r="K19" s="36"/>
      <c r="L19" s="36"/>
      <c r="M19" s="36"/>
      <c r="N19" s="36"/>
      <c r="O19" s="36"/>
      <c r="P19" s="36"/>
      <c r="Q19" s="36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</row>
    <row r="20" spans="1:69">
      <c r="A20" s="19" t="s">
        <v>0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</row>
    <row r="21" ht="15.25" spans="1:69">
      <c r="A21" s="21" t="s">
        <v>1</v>
      </c>
      <c r="B21" s="21"/>
      <c r="C21" s="22">
        <v>3</v>
      </c>
      <c r="D21" s="23" t="s">
        <v>2</v>
      </c>
      <c r="E21" s="20"/>
      <c r="F21" s="20"/>
      <c r="G21" s="20"/>
      <c r="H21" s="19"/>
      <c r="I21" s="36" t="s">
        <v>3</v>
      </c>
      <c r="J21" s="36" t="s">
        <v>4</v>
      </c>
      <c r="K21" s="36"/>
      <c r="L21" s="36" t="s">
        <v>5</v>
      </c>
      <c r="M21" s="36">
        <v>1</v>
      </c>
      <c r="N21" s="36"/>
      <c r="O21" s="36" t="s">
        <v>6</v>
      </c>
      <c r="P21" s="36">
        <v>1</v>
      </c>
      <c r="Q21" s="36" t="s">
        <v>7</v>
      </c>
      <c r="R21" s="19"/>
      <c r="S21" s="19"/>
      <c r="T21" s="19"/>
      <c r="U21" s="19"/>
      <c r="V21" s="19">
        <v>1</v>
      </c>
      <c r="W21" s="19" t="s">
        <v>8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</row>
    <row r="22" ht="59.5" spans="1:69">
      <c r="A22" s="24" t="s">
        <v>9</v>
      </c>
      <c r="B22" s="24" t="s">
        <v>10</v>
      </c>
      <c r="C22" s="25" t="s">
        <v>11</v>
      </c>
      <c r="D22" s="24" t="s">
        <v>12</v>
      </c>
      <c r="E22" s="24" t="s">
        <v>13</v>
      </c>
      <c r="F22" s="26" t="s">
        <v>14</v>
      </c>
      <c r="G22" s="24" t="s">
        <v>15</v>
      </c>
      <c r="H22" s="24" t="s">
        <v>16</v>
      </c>
      <c r="I22" s="37" t="s">
        <v>17</v>
      </c>
      <c r="J22" s="37" t="s">
        <v>18</v>
      </c>
      <c r="K22" s="37" t="s">
        <v>19</v>
      </c>
      <c r="L22" s="38" t="s">
        <v>20</v>
      </c>
      <c r="M22" s="38" t="s">
        <v>21</v>
      </c>
      <c r="N22" s="38" t="s">
        <v>22</v>
      </c>
      <c r="O22" s="38" t="s">
        <v>23</v>
      </c>
      <c r="P22" s="38" t="s">
        <v>24</v>
      </c>
      <c r="Q22" s="38" t="s">
        <v>25</v>
      </c>
      <c r="R22" s="37" t="s">
        <v>26</v>
      </c>
      <c r="S22" s="24" t="s">
        <v>27</v>
      </c>
      <c r="T22" s="24" t="s">
        <v>28</v>
      </c>
      <c r="U22" s="40" t="s">
        <v>29</v>
      </c>
      <c r="V22" s="40" t="s">
        <v>30</v>
      </c>
      <c r="W22" s="40" t="s">
        <v>31</v>
      </c>
      <c r="X22" s="40" t="s">
        <v>32</v>
      </c>
      <c r="Y22" s="40" t="s">
        <v>33</v>
      </c>
      <c r="Z22" s="40" t="s">
        <v>34</v>
      </c>
      <c r="AA22" s="40" t="s">
        <v>35</v>
      </c>
      <c r="AB22" s="40" t="s">
        <v>36</v>
      </c>
      <c r="AC22" s="43" t="s">
        <v>37</v>
      </c>
      <c r="AD22" s="43" t="s">
        <v>38</v>
      </c>
      <c r="AE22" s="44" t="s">
        <v>39</v>
      </c>
      <c r="AF22" s="44" t="s">
        <v>40</v>
      </c>
      <c r="AG22" s="44" t="s">
        <v>41</v>
      </c>
      <c r="AH22" s="43" t="s">
        <v>42</v>
      </c>
      <c r="AI22" s="43" t="s">
        <v>43</v>
      </c>
      <c r="AJ22" s="44" t="s">
        <v>44</v>
      </c>
      <c r="AK22" s="44" t="s">
        <v>45</v>
      </c>
      <c r="AL22" s="43" t="s">
        <v>46</v>
      </c>
      <c r="AM22" s="43" t="s">
        <v>47</v>
      </c>
      <c r="AN22" s="44" t="s">
        <v>48</v>
      </c>
      <c r="AO22" s="44" t="s">
        <v>49</v>
      </c>
      <c r="AP22" s="44" t="s">
        <v>50</v>
      </c>
      <c r="AQ22" s="43" t="s">
        <v>51</v>
      </c>
      <c r="AR22" s="48" t="s">
        <v>52</v>
      </c>
      <c r="AS22" s="3" t="s">
        <v>53</v>
      </c>
      <c r="AT22" s="3" t="s">
        <v>51</v>
      </c>
      <c r="AU22" s="49" t="s">
        <v>54</v>
      </c>
      <c r="AV22" s="49" t="s">
        <v>55</v>
      </c>
      <c r="AW22" s="49" t="s">
        <v>56</v>
      </c>
      <c r="AX22" s="49" t="s">
        <v>57</v>
      </c>
      <c r="AY22" s="49" t="s">
        <v>58</v>
      </c>
      <c r="AZ22" s="49" t="s">
        <v>59</v>
      </c>
      <c r="BA22" s="49" t="s">
        <v>60</v>
      </c>
      <c r="BB22" s="49" t="s">
        <v>61</v>
      </c>
      <c r="BC22" s="51" t="s">
        <v>62</v>
      </c>
      <c r="BD22" s="51" t="s">
        <v>63</v>
      </c>
      <c r="BE22" s="51" t="s">
        <v>64</v>
      </c>
      <c r="BF22" s="49" t="s">
        <v>65</v>
      </c>
      <c r="BG22" s="49" t="s">
        <v>66</v>
      </c>
      <c r="BH22" s="49" t="s">
        <v>67</v>
      </c>
      <c r="BI22" s="49" t="s">
        <v>68</v>
      </c>
      <c r="BJ22" s="49" t="s">
        <v>69</v>
      </c>
      <c r="BK22" s="49" t="s">
        <v>70</v>
      </c>
      <c r="BL22" s="49" t="s">
        <v>71</v>
      </c>
      <c r="BM22" s="49" t="s">
        <v>72</v>
      </c>
      <c r="BN22" s="49" t="s">
        <v>73</v>
      </c>
      <c r="BO22" s="49" t="s">
        <v>59</v>
      </c>
      <c r="BP22" s="49" t="s">
        <v>74</v>
      </c>
      <c r="BQ22" s="49" t="s">
        <v>28</v>
      </c>
    </row>
    <row r="23" ht="15.25" spans="1:69">
      <c r="A23" s="27">
        <v>1</v>
      </c>
      <c r="B23" s="27" t="s">
        <v>129</v>
      </c>
      <c r="C23" s="27" t="s">
        <v>129</v>
      </c>
      <c r="D23" s="27" t="s">
        <v>76</v>
      </c>
      <c r="E23" s="27" t="s">
        <v>89</v>
      </c>
      <c r="F23" s="28">
        <v>2</v>
      </c>
      <c r="G23" s="29" t="s">
        <v>174</v>
      </c>
      <c r="H23" s="28">
        <f>F23*G23</f>
        <v>400</v>
      </c>
      <c r="I23" s="29" t="s">
        <v>164</v>
      </c>
      <c r="J23" s="28">
        <v>2</v>
      </c>
      <c r="K23" s="28">
        <v>2</v>
      </c>
      <c r="L23" s="28">
        <f>H23</f>
        <v>400</v>
      </c>
      <c r="M23" s="28">
        <f>ROUND(L23*I23%,2)</f>
        <v>8</v>
      </c>
      <c r="N23" s="28">
        <f>H23-M23</f>
        <v>392</v>
      </c>
      <c r="O23" s="28">
        <f>ROUND(N23*J23%,2)</f>
        <v>7.84</v>
      </c>
      <c r="P23" s="28">
        <f>ROUND(N23-O23,2)</f>
        <v>384.16</v>
      </c>
      <c r="Q23" s="28">
        <f>ROUND(P23*K23%,2)</f>
        <v>7.68</v>
      </c>
      <c r="R23" s="28">
        <f>M23+O23+Q23</f>
        <v>23.52</v>
      </c>
      <c r="S23" s="28">
        <f>(H23-R23)</f>
        <v>376.48</v>
      </c>
      <c r="T23" s="28" t="s">
        <v>165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5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376.48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376.48</v>
      </c>
      <c r="AJ23" s="28">
        <f>IF($C$21=3,0,AG23+AH23)</f>
        <v>0</v>
      </c>
      <c r="AK23" s="28">
        <f>IF($C$21=3,AE23+AG23+AH23,0)</f>
        <v>0</v>
      </c>
      <c r="AL23" s="28">
        <v>3</v>
      </c>
      <c r="AM23" s="28">
        <f>F23/AL23</f>
        <v>0.666666666666667</v>
      </c>
      <c r="AN23" s="28">
        <f>AI23/AM23</f>
        <v>564.72</v>
      </c>
      <c r="AO23" s="28">
        <f>AJ23/AM23</f>
        <v>0</v>
      </c>
      <c r="AP23" s="28">
        <f>AK23/AM23</f>
        <v>0</v>
      </c>
      <c r="AQ23" s="28" t="s">
        <v>76</v>
      </c>
      <c r="AR23" s="28">
        <f>AN23+AO23+AP23</f>
        <v>564.72</v>
      </c>
      <c r="AS23" s="50" t="s">
        <v>166</v>
      </c>
      <c r="AT23" s="50" t="s">
        <v>76</v>
      </c>
      <c r="AU23" s="29" t="s">
        <v>167</v>
      </c>
      <c r="AV23" s="29" t="s">
        <v>181</v>
      </c>
      <c r="AW23" s="50">
        <f>AM23</f>
        <v>0.666666666666667</v>
      </c>
      <c r="AX23" s="50">
        <f>AR23</f>
        <v>564.72</v>
      </c>
      <c r="AY23" s="50">
        <f>AU23+AW23</f>
        <v>0.666666666666667</v>
      </c>
      <c r="AZ23" s="50">
        <f>ROUND(((AU23*AV23)+(AW23*AX23))/(AU23+AW23),5)</f>
        <v>564.72</v>
      </c>
      <c r="BA23" s="52"/>
      <c r="BB23" s="52" t="s">
        <v>80</v>
      </c>
      <c r="BC23" s="53" t="s">
        <v>81</v>
      </c>
      <c r="BD23" s="54" t="s">
        <v>82</v>
      </c>
      <c r="BE23" s="54" t="s">
        <v>83</v>
      </c>
      <c r="BF23" s="52"/>
      <c r="BG23" s="52"/>
      <c r="BH23" s="52"/>
      <c r="BI23" s="50"/>
      <c r="BJ23" s="50"/>
      <c r="BK23" s="50"/>
      <c r="BL23" s="50" t="s">
        <v>84</v>
      </c>
      <c r="BM23" s="29" t="s">
        <v>181</v>
      </c>
      <c r="BN23" s="29" t="s">
        <v>182</v>
      </c>
      <c r="BO23" s="50">
        <f>ROUND((((AW23*AZ23)+(BN23*BM23))/(AW23+BN23)),5)</f>
        <v>240.37714</v>
      </c>
      <c r="BP23" s="55">
        <f>BN23+AW23</f>
        <v>4.66666666666667</v>
      </c>
      <c r="BQ23" s="56">
        <v>88363222</v>
      </c>
    </row>
    <row r="24" ht="15.25" spans="1:69">
      <c r="A24" s="16"/>
      <c r="B24" s="30"/>
      <c r="C24" s="30"/>
      <c r="D24" s="31" t="s">
        <v>87</v>
      </c>
      <c r="E24" s="31"/>
      <c r="F24" s="31"/>
      <c r="G24" s="32"/>
      <c r="H24" s="33">
        <f>SUM(H23:H23)</f>
        <v>400</v>
      </c>
      <c r="I24" s="27"/>
      <c r="J24" s="27"/>
      <c r="K24" s="27"/>
      <c r="L24" s="27"/>
      <c r="M24" s="27"/>
      <c r="N24" s="27"/>
      <c r="O24" s="27"/>
      <c r="P24" s="27"/>
      <c r="Q24" s="27"/>
      <c r="R24" s="33">
        <f t="shared" ref="R24:Y24" si="1">SUM(R23:R23)</f>
        <v>23.52</v>
      </c>
      <c r="S24" s="41">
        <f t="shared" si="1"/>
        <v>376.48</v>
      </c>
      <c r="T24" s="33"/>
      <c r="U24" s="33"/>
      <c r="V24" s="42">
        <f t="shared" si="1"/>
        <v>0</v>
      </c>
      <c r="W24" s="42">
        <f t="shared" si="1"/>
        <v>0</v>
      </c>
      <c r="X24" s="42">
        <f t="shared" si="1"/>
        <v>0</v>
      </c>
      <c r="Y24" s="42">
        <f t="shared" si="1"/>
        <v>0</v>
      </c>
      <c r="Z24" s="42"/>
      <c r="AA24" s="42">
        <f t="shared" ref="AA24:AE24" si="2">SUM(AA23:AA23)</f>
        <v>0</v>
      </c>
      <c r="AB24" s="33">
        <f t="shared" si="2"/>
        <v>0</v>
      </c>
      <c r="AC24" s="46">
        <f t="shared" si="2"/>
        <v>376.48</v>
      </c>
      <c r="AD24" s="47">
        <f t="shared" si="2"/>
        <v>120</v>
      </c>
      <c r="AE24" s="47">
        <f t="shared" si="2"/>
        <v>0</v>
      </c>
      <c r="AF24" s="46"/>
      <c r="AG24" s="47">
        <f t="shared" ref="AG24:AK24" si="3">SUM(AG23:AG23)</f>
        <v>0</v>
      </c>
      <c r="AH24" s="47">
        <f t="shared" si="3"/>
        <v>0</v>
      </c>
      <c r="AI24" s="47">
        <f t="shared" si="3"/>
        <v>376.48</v>
      </c>
      <c r="AJ24" s="47">
        <f t="shared" si="3"/>
        <v>0</v>
      </c>
      <c r="AK24" s="47">
        <f t="shared" si="3"/>
        <v>0</v>
      </c>
      <c r="AL24" s="46"/>
      <c r="AM24" s="46"/>
      <c r="AN24" s="46"/>
      <c r="AO24" s="46"/>
      <c r="AP24" s="46"/>
      <c r="AQ24" s="46"/>
      <c r="AR24" s="46"/>
      <c r="AS24" s="16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10" workbookViewId="0">
      <selection activeCell="L19" sqref="L19"/>
    </sheetView>
  </sheetViews>
  <sheetFormatPr defaultColWidth="8.70909090909091" defaultRowHeight="14.5"/>
  <sheetData>
    <row r="1" ht="18.5" spans="1:69">
      <c r="A1" s="1" t="s">
        <v>131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</row>
    <row r="2" ht="19.25" spans="1:69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</row>
    <row r="3" ht="15.25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4"/>
      <c r="J4" s="34"/>
      <c r="K4" s="34"/>
      <c r="L4" s="35"/>
      <c r="M4" s="35"/>
      <c r="N4" s="35"/>
      <c r="O4" s="35"/>
      <c r="P4" s="35"/>
      <c r="Q4" s="35"/>
      <c r="R4" s="35"/>
      <c r="S4" s="35"/>
      <c r="T4" s="35"/>
      <c r="U4" s="34"/>
      <c r="V4" s="34"/>
      <c r="W4" s="34"/>
      <c r="X4" s="34"/>
      <c r="Y4" s="34"/>
      <c r="Z4" s="34"/>
      <c r="AA4" s="34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16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4"/>
      <c r="J5" s="34"/>
      <c r="K5" s="34"/>
      <c r="L5" s="35"/>
      <c r="M5" s="35"/>
      <c r="N5" s="35"/>
      <c r="O5" s="35"/>
      <c r="P5" s="35"/>
      <c r="Q5" s="35"/>
      <c r="R5" s="35"/>
      <c r="S5" s="35"/>
      <c r="T5" s="35"/>
      <c r="U5" s="34"/>
      <c r="V5" s="34"/>
      <c r="W5" s="34"/>
      <c r="X5" s="34"/>
      <c r="Y5" s="34"/>
      <c r="Z5" s="34"/>
      <c r="AA5" s="34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16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4"/>
      <c r="J6" s="34"/>
      <c r="K6" s="34"/>
      <c r="L6" s="35"/>
      <c r="M6" s="35"/>
      <c r="N6" s="35"/>
      <c r="O6" s="35"/>
      <c r="P6" s="35"/>
      <c r="Q6" s="35"/>
      <c r="R6" s="35"/>
      <c r="S6" s="35"/>
      <c r="T6" s="35"/>
      <c r="U6" s="34"/>
      <c r="V6" s="34"/>
      <c r="W6" s="34"/>
      <c r="X6" s="34"/>
      <c r="Y6" s="34"/>
      <c r="Z6" s="34"/>
      <c r="AA6" s="34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16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4"/>
      <c r="J7" s="34"/>
      <c r="K7" s="34"/>
      <c r="L7" s="35"/>
      <c r="M7" s="35"/>
      <c r="N7" s="35"/>
      <c r="O7" s="35"/>
      <c r="P7" s="35"/>
      <c r="Q7" s="35"/>
      <c r="R7" s="35"/>
      <c r="S7" s="35"/>
      <c r="T7" s="35"/>
      <c r="U7" s="34"/>
      <c r="V7" s="34"/>
      <c r="W7" s="34"/>
      <c r="X7" s="34"/>
      <c r="Y7" s="34"/>
      <c r="Z7" s="34"/>
      <c r="AA7" s="34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16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4"/>
      <c r="V8" s="34"/>
      <c r="W8" s="34"/>
      <c r="X8" s="34"/>
      <c r="Y8" s="34"/>
      <c r="Z8" s="34"/>
      <c r="AA8" s="34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16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4"/>
      <c r="V9" s="34"/>
      <c r="W9" s="34"/>
      <c r="X9" s="34"/>
      <c r="Y9" s="34"/>
      <c r="Z9" s="34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16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4"/>
      <c r="V10" s="34"/>
      <c r="W10" s="34"/>
      <c r="X10" s="34"/>
      <c r="Y10" s="34"/>
      <c r="Z10" s="34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16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65.32</v>
      </c>
      <c r="H11" s="10">
        <f t="shared" si="0"/>
        <v>1959.6</v>
      </c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4"/>
      <c r="V11" s="34"/>
      <c r="W11" s="34"/>
      <c r="X11" s="34"/>
      <c r="Y11" s="34"/>
      <c r="Z11" s="34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16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4"/>
      <c r="V12" s="34"/>
      <c r="W12" s="34"/>
      <c r="X12" s="34"/>
      <c r="Y12" s="34"/>
      <c r="Z12" s="34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16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2507.68</v>
      </c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4"/>
      <c r="V13" s="34"/>
      <c r="W13" s="34"/>
      <c r="X13" s="34"/>
      <c r="Y13" s="34"/>
      <c r="Z13" s="34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16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4"/>
      <c r="V14" s="34"/>
      <c r="W14" s="34"/>
      <c r="X14" s="34"/>
      <c r="Y14" s="34"/>
      <c r="Z14" s="34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16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4"/>
      <c r="V15" s="34"/>
      <c r="W15" s="34"/>
      <c r="X15" s="34"/>
      <c r="Y15" s="34"/>
      <c r="Z15" s="34"/>
      <c r="AA15" s="34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16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4"/>
      <c r="V16" s="34"/>
      <c r="W16" s="34"/>
      <c r="X16" s="34"/>
      <c r="Y16" s="34"/>
      <c r="Z16" s="34"/>
      <c r="AA16" s="34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16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9"/>
      <c r="T17" s="35"/>
      <c r="U17" s="34"/>
      <c r="V17" s="34"/>
      <c r="W17" s="34"/>
      <c r="X17" s="34"/>
      <c r="Y17" s="34"/>
      <c r="Z17" s="34"/>
      <c r="AA17" s="34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16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</row>
    <row r="18" ht="15.25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4"/>
      <c r="V18" s="34"/>
      <c r="W18" s="34"/>
      <c r="X18" s="34"/>
      <c r="Y18" s="34"/>
      <c r="Z18" s="34"/>
      <c r="AA18" s="34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16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</row>
    <row r="19" ht="15.25" spans="1:69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36"/>
      <c r="J19" s="36"/>
      <c r="K19" s="36"/>
      <c r="L19" s="36"/>
      <c r="M19" s="36"/>
      <c r="N19" s="36"/>
      <c r="O19" s="36"/>
      <c r="P19" s="36"/>
      <c r="Q19" s="36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</row>
    <row r="20" spans="1:69">
      <c r="A20" s="19" t="s">
        <v>0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</row>
    <row r="21" ht="15.25" spans="1:69">
      <c r="A21" s="21" t="s">
        <v>1</v>
      </c>
      <c r="B21" s="21"/>
      <c r="C21" s="22">
        <v>3</v>
      </c>
      <c r="D21" s="23" t="s">
        <v>2</v>
      </c>
      <c r="E21" s="20"/>
      <c r="F21" s="20"/>
      <c r="G21" s="20"/>
      <c r="H21" s="19"/>
      <c r="I21" s="36" t="s">
        <v>3</v>
      </c>
      <c r="J21" s="36" t="s">
        <v>4</v>
      </c>
      <c r="K21" s="36"/>
      <c r="L21" s="36" t="s">
        <v>5</v>
      </c>
      <c r="M21" s="36">
        <v>1</v>
      </c>
      <c r="N21" s="36"/>
      <c r="O21" s="36" t="s">
        <v>6</v>
      </c>
      <c r="P21" s="36">
        <v>1</v>
      </c>
      <c r="Q21" s="36" t="s">
        <v>7</v>
      </c>
      <c r="R21" s="19"/>
      <c r="S21" s="19"/>
      <c r="T21" s="19"/>
      <c r="U21" s="19"/>
      <c r="V21" s="19">
        <v>1</v>
      </c>
      <c r="W21" s="19" t="s">
        <v>8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</row>
    <row r="22" ht="59.5" spans="1:69">
      <c r="A22" s="24" t="s">
        <v>9</v>
      </c>
      <c r="B22" s="24" t="s">
        <v>10</v>
      </c>
      <c r="C22" s="25" t="s">
        <v>11</v>
      </c>
      <c r="D22" s="24" t="s">
        <v>12</v>
      </c>
      <c r="E22" s="24" t="s">
        <v>13</v>
      </c>
      <c r="F22" s="26" t="s">
        <v>14</v>
      </c>
      <c r="G22" s="24" t="s">
        <v>15</v>
      </c>
      <c r="H22" s="24" t="s">
        <v>16</v>
      </c>
      <c r="I22" s="37" t="s">
        <v>17</v>
      </c>
      <c r="J22" s="37" t="s">
        <v>18</v>
      </c>
      <c r="K22" s="37" t="s">
        <v>19</v>
      </c>
      <c r="L22" s="38" t="s">
        <v>20</v>
      </c>
      <c r="M22" s="38" t="s">
        <v>21</v>
      </c>
      <c r="N22" s="38" t="s">
        <v>22</v>
      </c>
      <c r="O22" s="38" t="s">
        <v>23</v>
      </c>
      <c r="P22" s="38" t="s">
        <v>24</v>
      </c>
      <c r="Q22" s="38" t="s">
        <v>25</v>
      </c>
      <c r="R22" s="37" t="s">
        <v>26</v>
      </c>
      <c r="S22" s="24" t="s">
        <v>27</v>
      </c>
      <c r="T22" s="24" t="s">
        <v>28</v>
      </c>
      <c r="U22" s="40" t="s">
        <v>29</v>
      </c>
      <c r="V22" s="40" t="s">
        <v>30</v>
      </c>
      <c r="W22" s="40" t="s">
        <v>31</v>
      </c>
      <c r="X22" s="40" t="s">
        <v>32</v>
      </c>
      <c r="Y22" s="40" t="s">
        <v>33</v>
      </c>
      <c r="Z22" s="40" t="s">
        <v>34</v>
      </c>
      <c r="AA22" s="40" t="s">
        <v>35</v>
      </c>
      <c r="AB22" s="40" t="s">
        <v>36</v>
      </c>
      <c r="AC22" s="43" t="s">
        <v>37</v>
      </c>
      <c r="AD22" s="43" t="s">
        <v>38</v>
      </c>
      <c r="AE22" s="44" t="s">
        <v>39</v>
      </c>
      <c r="AF22" s="44" t="s">
        <v>40</v>
      </c>
      <c r="AG22" s="44" t="s">
        <v>41</v>
      </c>
      <c r="AH22" s="43" t="s">
        <v>42</v>
      </c>
      <c r="AI22" s="43" t="s">
        <v>43</v>
      </c>
      <c r="AJ22" s="44" t="s">
        <v>44</v>
      </c>
      <c r="AK22" s="44" t="s">
        <v>45</v>
      </c>
      <c r="AL22" s="43" t="s">
        <v>46</v>
      </c>
      <c r="AM22" s="43" t="s">
        <v>47</v>
      </c>
      <c r="AN22" s="44" t="s">
        <v>48</v>
      </c>
      <c r="AO22" s="44" t="s">
        <v>49</v>
      </c>
      <c r="AP22" s="44" t="s">
        <v>50</v>
      </c>
      <c r="AQ22" s="43" t="s">
        <v>51</v>
      </c>
      <c r="AR22" s="48" t="s">
        <v>52</v>
      </c>
      <c r="AS22" s="3" t="s">
        <v>53</v>
      </c>
      <c r="AT22" s="3" t="s">
        <v>51</v>
      </c>
      <c r="AU22" s="49" t="s">
        <v>54</v>
      </c>
      <c r="AV22" s="49" t="s">
        <v>55</v>
      </c>
      <c r="AW22" s="49" t="s">
        <v>56</v>
      </c>
      <c r="AX22" s="49" t="s">
        <v>57</v>
      </c>
      <c r="AY22" s="49" t="s">
        <v>58</v>
      </c>
      <c r="AZ22" s="49" t="s">
        <v>59</v>
      </c>
      <c r="BA22" s="49" t="s">
        <v>60</v>
      </c>
      <c r="BB22" s="49" t="s">
        <v>61</v>
      </c>
      <c r="BC22" s="51" t="s">
        <v>62</v>
      </c>
      <c r="BD22" s="51" t="s">
        <v>63</v>
      </c>
      <c r="BE22" s="51" t="s">
        <v>64</v>
      </c>
      <c r="BF22" s="49" t="s">
        <v>65</v>
      </c>
      <c r="BG22" s="49" t="s">
        <v>66</v>
      </c>
      <c r="BH22" s="49" t="s">
        <v>67</v>
      </c>
      <c r="BI22" s="49" t="s">
        <v>68</v>
      </c>
      <c r="BJ22" s="49" t="s">
        <v>69</v>
      </c>
      <c r="BK22" s="49" t="s">
        <v>70</v>
      </c>
      <c r="BL22" s="49" t="s">
        <v>71</v>
      </c>
      <c r="BM22" s="49" t="s">
        <v>72</v>
      </c>
      <c r="BN22" s="49" t="s">
        <v>73</v>
      </c>
      <c r="BO22" s="49" t="s">
        <v>59</v>
      </c>
      <c r="BP22" s="49" t="s">
        <v>74</v>
      </c>
      <c r="BQ22" s="49" t="s">
        <v>28</v>
      </c>
    </row>
    <row r="23" ht="15.25" spans="1:69">
      <c r="A23" s="27">
        <v>1</v>
      </c>
      <c r="B23" s="27" t="s">
        <v>130</v>
      </c>
      <c r="C23" s="27" t="s">
        <v>130</v>
      </c>
      <c r="D23" s="27" t="s">
        <v>76</v>
      </c>
      <c r="E23" s="27" t="s">
        <v>76</v>
      </c>
      <c r="F23" s="28">
        <v>2</v>
      </c>
      <c r="G23" s="29" t="s">
        <v>174</v>
      </c>
      <c r="H23" s="28">
        <f>F23*G23</f>
        <v>400</v>
      </c>
      <c r="I23" s="29" t="s">
        <v>164</v>
      </c>
      <c r="J23" s="28">
        <v>2</v>
      </c>
      <c r="K23" s="28">
        <v>2</v>
      </c>
      <c r="L23" s="28">
        <f>H23</f>
        <v>400</v>
      </c>
      <c r="M23" s="28">
        <f>ROUND(L23*I23%,2)</f>
        <v>8</v>
      </c>
      <c r="N23" s="28">
        <f>H23-M23</f>
        <v>392</v>
      </c>
      <c r="O23" s="28">
        <f>ROUND(N23*J23%,2)</f>
        <v>7.84</v>
      </c>
      <c r="P23" s="28">
        <f>ROUND(N23-O23,2)</f>
        <v>384.16</v>
      </c>
      <c r="Q23" s="28">
        <f>ROUND(P23*K23%,2)</f>
        <v>7.68</v>
      </c>
      <c r="R23" s="28">
        <f>M23+O23+Q23</f>
        <v>23.52</v>
      </c>
      <c r="S23" s="28">
        <f>(H23-R23)</f>
        <v>376.48</v>
      </c>
      <c r="T23" s="28" t="s">
        <v>165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5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376.48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376.48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188.24</v>
      </c>
      <c r="AO23" s="28">
        <f>AJ23/AM23</f>
        <v>0</v>
      </c>
      <c r="AP23" s="28">
        <f>AK23/AM23</f>
        <v>0</v>
      </c>
      <c r="AQ23" s="28" t="s">
        <v>76</v>
      </c>
      <c r="AR23" s="28">
        <f>AN23+AO23+AP23</f>
        <v>188.24</v>
      </c>
      <c r="AS23" s="50" t="s">
        <v>77</v>
      </c>
      <c r="AT23" s="50" t="s">
        <v>76</v>
      </c>
      <c r="AU23" s="29" t="s">
        <v>183</v>
      </c>
      <c r="AV23" s="29" t="s">
        <v>184</v>
      </c>
      <c r="AW23" s="50">
        <f>AM23</f>
        <v>2</v>
      </c>
      <c r="AX23" s="50">
        <f>AR23</f>
        <v>188.24</v>
      </c>
      <c r="AY23" s="50">
        <f>AU23+AW23</f>
        <v>18</v>
      </c>
      <c r="AZ23" s="50">
        <f>ROUND(((AU23*AV23)+(AW23*AX23))/(AU23+AW23),5)</f>
        <v>186.08428</v>
      </c>
      <c r="BA23" s="52"/>
      <c r="BB23" s="52" t="s">
        <v>80</v>
      </c>
      <c r="BC23" s="53" t="s">
        <v>81</v>
      </c>
      <c r="BD23" s="54" t="s">
        <v>82</v>
      </c>
      <c r="BE23" s="54" t="s">
        <v>83</v>
      </c>
      <c r="BF23" s="52"/>
      <c r="BG23" s="52"/>
      <c r="BH23" s="52"/>
      <c r="BI23" s="50"/>
      <c r="BJ23" s="50"/>
      <c r="BK23" s="50"/>
      <c r="BL23" s="50" t="s">
        <v>84</v>
      </c>
      <c r="BM23" s="29" t="s">
        <v>185</v>
      </c>
      <c r="BN23" s="29" t="s">
        <v>186</v>
      </c>
      <c r="BO23" s="50">
        <f>ROUND((((AW23*AZ23)+(BN23*BM23))/(AW23+BN23)),5)</f>
        <v>184.80458</v>
      </c>
      <c r="BP23" s="55">
        <f>BN23+AW23</f>
        <v>20</v>
      </c>
      <c r="BQ23" s="56">
        <v>88363221</v>
      </c>
    </row>
    <row r="24" ht="15.25" spans="1:69">
      <c r="A24" s="16"/>
      <c r="B24" s="30"/>
      <c r="C24" s="30"/>
      <c r="D24" s="31" t="s">
        <v>87</v>
      </c>
      <c r="E24" s="31"/>
      <c r="F24" s="31"/>
      <c r="G24" s="32"/>
      <c r="H24" s="33">
        <f>SUM(H23:H23)</f>
        <v>400</v>
      </c>
      <c r="I24" s="27"/>
      <c r="J24" s="27"/>
      <c r="K24" s="27"/>
      <c r="L24" s="27"/>
      <c r="M24" s="27"/>
      <c r="N24" s="27"/>
      <c r="O24" s="27"/>
      <c r="P24" s="27"/>
      <c r="Q24" s="27"/>
      <c r="R24" s="33">
        <f t="shared" ref="R24:Y24" si="1">SUM(R23:R23)</f>
        <v>23.52</v>
      </c>
      <c r="S24" s="41">
        <f t="shared" si="1"/>
        <v>376.48</v>
      </c>
      <c r="T24" s="33"/>
      <c r="U24" s="33"/>
      <c r="V24" s="42">
        <f t="shared" si="1"/>
        <v>0</v>
      </c>
      <c r="W24" s="42">
        <f t="shared" si="1"/>
        <v>0</v>
      </c>
      <c r="X24" s="42">
        <f t="shared" si="1"/>
        <v>0</v>
      </c>
      <c r="Y24" s="42">
        <f t="shared" si="1"/>
        <v>0</v>
      </c>
      <c r="Z24" s="42"/>
      <c r="AA24" s="42">
        <f t="shared" ref="AA24:AE24" si="2">SUM(AA23:AA23)</f>
        <v>0</v>
      </c>
      <c r="AB24" s="33">
        <f t="shared" si="2"/>
        <v>0</v>
      </c>
      <c r="AC24" s="46">
        <f t="shared" si="2"/>
        <v>376.48</v>
      </c>
      <c r="AD24" s="47">
        <f t="shared" si="2"/>
        <v>120</v>
      </c>
      <c r="AE24" s="47">
        <f t="shared" si="2"/>
        <v>0</v>
      </c>
      <c r="AF24" s="46"/>
      <c r="AG24" s="47">
        <f t="shared" ref="AG24:AK24" si="3">SUM(AG23:AG23)</f>
        <v>0</v>
      </c>
      <c r="AH24" s="47">
        <f t="shared" si="3"/>
        <v>0</v>
      </c>
      <c r="AI24" s="47">
        <f t="shared" si="3"/>
        <v>376.48</v>
      </c>
      <c r="AJ24" s="47">
        <f t="shared" si="3"/>
        <v>0</v>
      </c>
      <c r="AK24" s="47">
        <f t="shared" si="3"/>
        <v>0</v>
      </c>
      <c r="AL24" s="46"/>
      <c r="AM24" s="46"/>
      <c r="AN24" s="46"/>
      <c r="AO24" s="46"/>
      <c r="AP24" s="46"/>
      <c r="AQ24" s="46"/>
      <c r="AR24" s="46"/>
      <c r="AS24" s="16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ImportPoToGRNUDGeneralSameUOM</vt:lpstr>
      <vt:lpstr>ImportPoToGRNUDGeneralDiffUOM</vt:lpstr>
      <vt:lpstr>ImportPoToGRNUDServiceSameUOM</vt:lpstr>
      <vt:lpstr>ImportPoToGRNRCGeneralSameUOM</vt:lpstr>
      <vt:lpstr>ImportPoToGRNRCGeneralDiffUOM</vt:lpstr>
      <vt:lpstr>ImportPoToGRNRCServiceSameUOM</vt:lpstr>
      <vt:lpstr>ImportPoToGRNPLGeneralSameUOM</vt:lpstr>
      <vt:lpstr>ImportPoToGRNPLGeneralDiffUOM</vt:lpstr>
      <vt:lpstr>ImportPoToGRNPLServiceSameUOM</vt:lpstr>
      <vt:lpstr>ImportDirectGRNUDGeneralSameUOM</vt:lpstr>
      <vt:lpstr>ImportDirectGRNUDGeneralDiffUOM</vt:lpstr>
      <vt:lpstr>ImportDirectGRNUDServiceSameUOM</vt:lpstr>
      <vt:lpstr>ImportDirectGRNRCGeneralSameUOM</vt:lpstr>
      <vt:lpstr>ImportDirectGRNRCGeneralDiffUOM</vt:lpstr>
      <vt:lpstr>ImportDirectGRNRCServiceSameUOM</vt:lpstr>
      <vt:lpstr>ImportDirectGRNPLGeneralSameUOM</vt:lpstr>
      <vt:lpstr>ImportDirectGRNPLGeneralDiffUOM</vt:lpstr>
      <vt:lpstr>ImportDirectGRNPLServiceSameUOM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Sakthi R</cp:lastModifiedBy>
  <dcterms:created xsi:type="dcterms:W3CDTF">2025-12-11T12:04:00Z</dcterms:created>
  <dcterms:modified xsi:type="dcterms:W3CDTF">2025-12-11T14:10:59Z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1033-12.2.0.23155</vt:lpwstr>
  </property>
</Properties>
</file>