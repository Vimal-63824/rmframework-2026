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firstSheet="12" activeTab="13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<sst xmlns="http://schemas.openxmlformats.org/spreadsheetml/2006/main" count="2396" uniqueCount="182">
  <si>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</si>
  <si>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</si>
  <si>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</si>
  <si>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</si>
  <si>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</si>
  <si>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</si>
  <si>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</si>
  <si>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</si>
  <si>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</si>
  <si>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</si>
  <si>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</si>
  <si>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</si>
  <si>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</si>
  <si>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</si>
  <si>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</si>
  <si>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</si>
  <si>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</si>
  <si>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</si>
  <si>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</si>
  <si>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</si>
  <si>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</si>
  <si>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</si>
  <si>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</si>
  <si>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</si>
  <si>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</si>
  <si>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</si>
  <si>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</si>
  <si>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</si>
  <si>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</si>
  <si>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</si>
  <si>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</si>
  <si>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</si>
  <si>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</si>
  <si>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</si>
  <si>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</si>
  <si>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</si>
  <si>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</si>
  <si>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</si>
  <si>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</si>
  <si>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</si>
  <si>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</si>
  <si>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</si>
  <si>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</si>
  <si>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</si>
  <si>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</si>
  <si>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</si>
  <si>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</si>
  <si>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</si>
  <si>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</si>
  <si>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</si>
  <si>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</si>
  <si>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</si>
  <si>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</si>
  <si>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</si>
  <si>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</si>
  <si>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</si>
  <si>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</si>
  <si>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</si>
  <si>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</si>
  <si>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</si>
  <si>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</si>
  <si>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</si>
  <si>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</si>
  <si>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</si>
  <si>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</si>
  <si>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</si>
  <si>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</si>
  <si>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</si>
  <si>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</si>
  <si>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</si>
  <si>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</si>
  <si>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</si>
  <si>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</si>
  <si>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</si>
  <si>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</si>
  <si>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</si>
  <si>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</si>
  <si>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</si>
  <si>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</si>
  <si>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</si>
  <si>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</si>
  <si>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</si>
  <si>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</si>
  <si>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</si>
  <si>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</si>
  <si>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</si>
  <si>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</si>
  <si>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</si>
  <si>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</si>
  <si>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</si>
  <si>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</si>
  <si>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</si>
  <si>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</si>
  <si>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</si>
  <si>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</si>
  <si>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</si>
  <si>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</si>
  <si>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</si>
  <si>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</si>
  <si>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</si>
  <si>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</si>
  <si>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</si>
  <si>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</si>
  <si>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</si>
  <si>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</si>
  <si>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</si>
  <si>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</si>
  <si>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</si>
  <si>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</si>
  <si>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</si>
  <si>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ITEM-GWL-SIMILAR-02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</si>
  <si>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</si>
  <si>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</si>
  <si>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</si>
  <si>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</si>
  <si>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</si>
  <si>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</si>
  <si>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</si>
  <si>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</si>
  <si>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KD</t>
  </si>
  <si>
    <t>8033.52</t>
  </si>
  <si>
    <t>70</t>
  </si>
  <si>
    <t>VD Asbl. Val.</t>
  </si>
  <si>
    <t>Pur. Value</t>
  </si>
  <si>
    <t>Tax%</t>
  </si>
  <si>
    <t>Unit cost (Stk. UOM)</t>
  </si>
  <si>
    <t>ITEM-GWL-SERVICE-02</t>
  </si>
  <si>
    <t>116.334</t>
  </si>
  <si>
    <t>6294.86566</t>
  </si>
  <si>
    <t>246.36</t>
  </si>
  <si>
    <t>120</t>
  </si>
  <si>
    <t>Before Qty</t>
  </si>
  <si>
    <t>Before Unit Cost</t>
  </si>
  <si>
    <t>ITEM-GWL-SIMILAR-RC-02</t>
  </si>
  <si>
    <t>19792.25</t>
  </si>
  <si>
    <t>62</t>
  </si>
  <si>
    <t>ITEM-GWL-SERVICE-RC-02</t>
  </si>
  <si>
    <t>ITEM-GWL-SIMILAR-PL-02</t>
  </si>
  <si>
    <t>1</t>
  </si>
  <si>
    <t>44</t>
  </si>
  <si>
    <t>ITEM-GWL-SERVICE-PL-02</t>
  </si>
  <si>
    <t>ITEM-GWL-DISSIMILAR-04</t>
  </si>
  <si>
    <t>KGS</t>
  </si>
  <si>
    <t>59375.9</t>
  </si>
  <si>
    <t>25</t>
  </si>
  <si>
    <t>ITEM-GWL-DISSIMILAR-RC-04</t>
  </si>
  <si>
    <t>ITEM-GWL-DISSIMILAR-PL-04</t>
  </si>
  <si>
    <t>20</t>
  </si>
  <si>
    <t>INS WH-1</t>
  </si>
  <si>
    <t>18386.775</t>
  </si>
  <si>
    <t>RM WH-49</t>
  </si>
  <si>
    <t>14156.1407</t>
  </si>
  <si>
    <t>113</t>
  </si>
  <si>
    <t>No.</t>
  </si>
  <si>
    <t>Item Desc</t>
  </si>
  <si>
    <t>110</t>
  </si>
  <si>
    <t>124.545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</si>
  <si>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</si>
  <si>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</si>
  <si>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</si>
  <si>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</si>
  <si>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</si>
  <si>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</si>
  <si>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</si>
  <si>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</si>
  <si>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</si>
  <si>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</si>
  <si>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</si>
  <si>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</si>
  <si>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</si>
  <si>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</si>
  <si>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</si>
  <si>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</si>
  <si>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</si>
  <si>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</si>
  <si>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</si>
  <si>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250</t>
  </si>
  <si>
    <t>15</t>
  </si>
  <si>
    <t>41.515</t>
  </si>
  <si>
    <t>16</t>
  </si>
  <si>
    <t>10</t>
  </si>
  <si>
    <t>55159.9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</si>
</sst>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000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0000"/>
      <name val="Arial"/>
      <charset val="134"/>
    </font>
    <font>
      <sz val="9"/>
      <color rgb="FF004153"/>
      <name val="Arial"/>
      <charset val="134"/>
    </font>
    <font>
      <sz val="9"/>
      <color rgb="FF000000"/>
      <name val="Times New Roman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5" applyNumberFormat="0" applyFill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27" applyNumberFormat="0" applyAlignment="0" applyProtection="0">
      <alignment vertical="center"/>
    </xf>
    <xf numFmtId="0" fontId="19" fillId="17" borderId="28" applyNumberFormat="0" applyAlignment="0" applyProtection="0">
      <alignment vertical="center"/>
    </xf>
    <xf numFmtId="0" fontId="20" fillId="17" borderId="27" applyNumberFormat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3" fillId="0" borderId="31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7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3" fillId="0" borderId="0" xfId="0" applyFo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0" fontId="4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4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5" fillId="0" borderId="0" xfId="0" applyFo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1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7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1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8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2" fillId="0" borderId="7" xfId="0" applyNumberFormat="1" applyFont="1" applyBorder="1" applyAlignment="1">
      <alignment horizontal="left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0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0" fontId="4" fillId="8" borderId="7" xfId="0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4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E6" workbookViewId="0">
      <selection activeCell="AP25" sqref="AP25"/>
    </sheetView>
  </sheetViews>
  <sheetFormatPr defaultColWidth="8.71428571428571" defaultRowHeight="15"/>
  <cols>
    <col min="1" max="1" width="25.5714285714286" customWidth="1"/>
    <col min="2" max="2" width="21.8571428571429" customWidth="1"/>
    <col min="3" max="3" width="27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  <col min="70" max="70" width="5.42857142857143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O16" s="64"/>
      <c r="BP16" s="64"/>
      <c r="BQ16" s="64"/>
    </row>
    <row r="17" spans="1:70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O17" s="64"/>
      <c r="BP17" s="64"/>
      <c r="BQ17" s="64"/>
    </row>
    <row r="18" ht="15.75" spans="1:70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O18" s="64"/>
      <c r="BP18" s="64"/>
      <c r="BQ18" s="64"/>
    </row>
    <row r="19" ht="15.75" spans="1:70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O19" s="64"/>
      <c r="BP19" s="64"/>
      <c r="BQ19" s="64"/>
    </row>
    <row r="20" s="131" customFormat="1" spans="1:70">
      <c r="A20" s="133" t="s">
        <v>42</v>
      </c>
      <c r="B20" s="133"/>
      <c r="C20" s="133"/>
      <c r="D20" s="133"/>
      <c r="E20" s="133"/>
      <c r="F20" s="133"/>
      <c r="G20" s="133"/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5"/>
    </row>
    <row r="21" s="131" customFormat="1" spans="1:70">
      <c r="A21" s="88" t="s">
        <v>43</v>
      </c>
      <c r="B21" s="88"/>
      <c r="C21" s="90">
        <v>3</v>
      </c>
      <c r="D21" s="90" t="s">
        <v>44</v>
      </c>
      <c r="E21" s="90"/>
      <c r="F21" s="90"/>
      <c r="G21" s="90"/>
      <c r="H21" s="90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136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P21" s="137"/>
      <c r="BQ21" s="137"/>
    </row>
    <row r="22" s="132" customFormat="1" ht="15.75" spans="1:70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138" t="s">
        <v>55</v>
      </c>
      <c r="M22" s="138" t="s">
        <v>56</v>
      </c>
      <c r="N22" s="138" t="s">
        <v>57</v>
      </c>
      <c r="O22" s="138" t="s">
        <v>58</v>
      </c>
      <c r="P22" s="138" t="s">
        <v>59</v>
      </c>
      <c r="Q22" s="138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139" t="s">
        <v>88</v>
      </c>
      <c r="AT22" s="139" t="s">
        <v>86</v>
      </c>
      <c r="AU22" s="101" t="s">
        <v>89</v>
      </c>
      <c r="AV22" s="101" t="s">
        <v>90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  <c r="BR22" s="140"/>
    </row>
    <row r="23" s="131" customFormat="1" ht="15.75" spans="1:70">
      <c r="A23" s="88">
        <v>1</v>
      </c>
      <c r="B23" s="88" t="s">
        <v>110</v>
      </c>
      <c r="C23" s="88" t="s">
        <v>110</v>
      </c>
      <c r="D23" s="88" t="s">
        <v>12</v>
      </c>
      <c r="E23" s="88" t="s">
        <v>12</v>
      </c>
      <c r="F23" s="103">
        <v>2</v>
      </c>
      <c r="G23" s="103">
        <v>100</v>
      </c>
      <c r="H23" s="121">
        <f>F23*G23</f>
        <v>200</v>
      </c>
      <c r="I23" s="137">
        <v>1</v>
      </c>
      <c r="J23" s="121">
        <v>2</v>
      </c>
      <c r="K23" s="121">
        <v>4</v>
      </c>
      <c r="L23" s="121">
        <f>H23</f>
        <v>200</v>
      </c>
      <c r="M23" s="121">
        <f>ROUND(L23*I23%,2)</f>
        <v>2</v>
      </c>
      <c r="N23" s="121">
        <f>H23-M23</f>
        <v>198</v>
      </c>
      <c r="O23" s="121">
        <f>ROUND(N23*J23%,2)</f>
        <v>3.96</v>
      </c>
      <c r="P23" s="121">
        <f>ROUND(N23-O23,2)</f>
        <v>194.04</v>
      </c>
      <c r="Q23" s="121">
        <f>ROUND(P23*K23%,2)</f>
        <v>7.76</v>
      </c>
      <c r="R23" s="121">
        <f>M23+O23+Q23</f>
        <v>13.72</v>
      </c>
      <c r="S23" s="121">
        <f>(H23-R23)</f>
        <v>186.28</v>
      </c>
      <c r="T23" s="121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1">
        <f>IF($V21=1,S23+AB23,S23)</f>
        <v>186.28</v>
      </c>
      <c r="AD23" s="121">
        <v>120</v>
      </c>
      <c r="AE23" s="121">
        <f>IF($P$21=1,(S23/$S$24)*$E$35,AD23/$AD$24*$E$35)</f>
        <v>0</v>
      </c>
      <c r="AF23" s="121"/>
      <c r="AG23" s="121">
        <f>IF($P$21=1,(S23/$S$24)*$E$37,AD23/$AD$24*$E$37)</f>
        <v>0</v>
      </c>
      <c r="AH23" s="121">
        <f>IF($P$21=1,(S23/$S$24)*$E$37,AD23/$AD$24*$E$37)</f>
        <v>0</v>
      </c>
      <c r="AI23" s="121">
        <f>S23*$M$21</f>
        <v>15833.8</v>
      </c>
      <c r="AJ23" s="121">
        <f>IF($C$21=3,0,AG23+AH23)</f>
        <v>0</v>
      </c>
      <c r="AK23" s="121">
        <f>IF($C$21=3,AE23+AG23+AH23,0)</f>
        <v>0</v>
      </c>
      <c r="AL23" s="121">
        <v>1</v>
      </c>
      <c r="AM23" s="121">
        <f>F23/AL23</f>
        <v>2</v>
      </c>
      <c r="AN23" s="121">
        <f>AI23/AM23</f>
        <v>7916.9</v>
      </c>
      <c r="AO23" s="121">
        <f>AJ23/AM23</f>
        <v>0</v>
      </c>
      <c r="AP23" s="121">
        <f>AK23/AM23</f>
        <v>0</v>
      </c>
      <c r="AQ23" s="121" t="s">
        <v>12</v>
      </c>
      <c r="AR23" s="121">
        <f>AN23+AO23+AP23</f>
        <v>7916.9</v>
      </c>
      <c r="AS23" s="121" t="s">
        <v>112</v>
      </c>
      <c r="AT23" s="121" t="s">
        <v>12</v>
      </c>
      <c r="AU23" t="s">
        <v>113</v>
      </c>
      <c r="AV23" t="s">
        <v>114</v>
      </c>
      <c r="AW23" s="121">
        <f>AM23</f>
        <v>2</v>
      </c>
      <c r="AX23" s="121">
        <f>AR23</f>
        <v>7916.9</v>
      </c>
      <c r="AY23" s="121">
        <f>AU23+AW23</f>
        <v>2</v>
      </c>
      <c r="AZ23" s="121">
        <f>ROUND(((AU23*AV23)+(AW23*AX23))/(AU23+AW23),5)</f>
        <v>7916.9</v>
      </c>
      <c r="BA23" s="141"/>
      <c r="BB23" s="141" t="s">
        <v>115</v>
      </c>
      <c r="BC23" s="141" t="s">
        <v>116</v>
      </c>
      <c r="BD23" s="142" t="s">
        <v>117</v>
      </c>
      <c r="BE23" s="142" t="s">
        <v>118</v>
      </c>
      <c r="BF23" s="141"/>
      <c r="BG23" s="141"/>
      <c r="BH23" s="141"/>
      <c r="BI23" s="121"/>
      <c r="BJ23" s="121"/>
      <c r="BK23" s="121"/>
      <c r="BL23" s="121" t="s">
        <v>119</v>
      </c>
      <c r="BM23" t="s">
        <v>120</v>
      </c>
      <c r="BN23" t="s">
        <v>121</v>
      </c>
      <c r="BO23" s="121">
        <f>ROUND((((AW23*AZ23)+(BN23*BM23))/(AW23+BN23)),5)</f>
        <v>5978.94273</v>
      </c>
      <c r="BP23" s="141">
        <f>BN23+AW23</f>
        <v>4</v>
      </c>
      <c r="BQ23" s="141">
        <v>88363222</v>
      </c>
    </row>
    <row r="24" s="131" customFormat="1" spans="1:70">
      <c r="A24" s="136"/>
      <c r="B24" s="137"/>
      <c r="C24" s="137"/>
      <c r="D24" s="143" t="s">
        <v>41</v>
      </c>
      <c r="E24" s="143"/>
      <c r="F24" s="143"/>
      <c r="G24" s="143"/>
      <c r="H24" s="143">
        <f>SUM(H23:H23)</f>
        <v>200</v>
      </c>
      <c r="I24" s="136"/>
      <c r="J24" s="136"/>
      <c r="K24" s="136"/>
      <c r="L24" s="136"/>
      <c r="M24" s="136"/>
      <c r="N24" s="136"/>
      <c r="O24" s="136"/>
      <c r="P24" s="136"/>
      <c r="Q24" s="136"/>
      <c r="R24" s="143">
        <f t="shared" ref="R24:Y24" si="1">SUM(R23:R23)</f>
        <v>13.72</v>
      </c>
      <c r="S24" s="144">
        <f t="shared" si="1"/>
        <v>186.28</v>
      </c>
      <c r="T24" s="143"/>
      <c r="U24" s="143"/>
      <c r="V24" s="145">
        <f t="shared" si="1"/>
        <v>0</v>
      </c>
      <c r="W24" s="145">
        <f t="shared" si="1"/>
        <v>0</v>
      </c>
      <c r="X24" s="145">
        <f t="shared" si="1"/>
        <v>0</v>
      </c>
      <c r="Y24" s="145">
        <f t="shared" si="1"/>
        <v>0</v>
      </c>
      <c r="Z24" s="145"/>
      <c r="AA24" s="145">
        <f t="shared" ref="AA24:AE24" si="2">SUM(AA23:AA23)</f>
        <v>0</v>
      </c>
      <c r="AB24" s="143">
        <f t="shared" si="2"/>
        <v>0</v>
      </c>
      <c r="AC24" s="98">
        <f t="shared" si="2"/>
        <v>186.28</v>
      </c>
      <c r="AD24" s="146">
        <f t="shared" si="2"/>
        <v>120</v>
      </c>
      <c r="AE24" s="146">
        <f t="shared" si="2"/>
        <v>0</v>
      </c>
      <c r="AF24" s="98"/>
      <c r="AG24" s="146">
        <f t="shared" ref="AG24:AK24" si="3">SUM(AG23:AG23)</f>
        <v>0</v>
      </c>
      <c r="AH24" s="146">
        <f t="shared" si="3"/>
        <v>0</v>
      </c>
      <c r="AI24" s="146">
        <f t="shared" si="3"/>
        <v>15833.8</v>
      </c>
      <c r="AJ24" s="146">
        <f t="shared" si="3"/>
        <v>0</v>
      </c>
      <c r="AK24" s="146">
        <f t="shared" si="3"/>
        <v>0</v>
      </c>
      <c r="AL24" s="98"/>
      <c r="AM24" s="98"/>
      <c r="AN24" s="98"/>
      <c r="AO24" s="98"/>
      <c r="AP24" s="98"/>
      <c r="AQ24" s="98"/>
      <c r="AR24" s="98"/>
      <c r="AS24" s="136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P24" s="137"/>
      <c r="BQ24" s="13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9" workbookViewId="0">
      <selection activeCell="BL23" sqref="BL23"/>
    </sheetView>
  </sheetViews>
  <sheetFormatPr defaultColWidth="8.71428571428571" defaultRowHeight="15"/>
  <cols>
    <col min="1" max="1" width="7.57142857142857" customWidth="1"/>
    <col min="2" max="3" width="22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9.28571428571429" customWidth="1"/>
    <col min="46" max="46" width="13" customWidth="1"/>
    <col min="47" max="47" width="18" customWidth="1"/>
    <col min="48" max="48" width="24.4285714285714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9.42857142857143" customWidth="1"/>
    <col min="65" max="65" width="49.1428571428571" customWidth="1"/>
    <col min="66" max="66" width="43.8571428571429" customWidth="1"/>
    <col min="67" max="67" width="22.7142857142857" customWidth="1"/>
    <col min="68" max="68" width="40.8571428571429" customWidth="1"/>
    <col min="69" max="69" width="7.57142857142857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54</v>
      </c>
      <c r="K22" s="95" t="s">
        <v>53</v>
      </c>
      <c r="L22" s="122" t="s">
        <v>55</v>
      </c>
      <c r="M22" s="122" t="s">
        <v>56</v>
      </c>
      <c r="N22" s="122" t="s">
        <v>59</v>
      </c>
      <c r="O22" s="122" t="s">
        <v>60</v>
      </c>
      <c r="P22" s="122" t="s">
        <v>122</v>
      </c>
      <c r="Q22" s="122" t="s">
        <v>58</v>
      </c>
      <c r="R22" s="95" t="s">
        <v>61</v>
      </c>
      <c r="S22" s="94" t="s">
        <v>123</v>
      </c>
      <c r="T22" s="94" t="s">
        <v>63</v>
      </c>
      <c r="U22" s="97" t="s">
        <v>124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125</v>
      </c>
      <c r="AS22" s="94" t="s">
        <v>88</v>
      </c>
      <c r="AT22" s="94" t="s">
        <v>86</v>
      </c>
      <c r="AU22" s="94" t="s">
        <v>89</v>
      </c>
      <c r="AV22" s="94" t="s">
        <v>90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94" t="s">
        <v>106</v>
      </c>
      <c r="BM22" s="94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75" spans="1:69">
      <c r="A23" s="88">
        <v>1</v>
      </c>
      <c r="B23" s="44" t="s">
        <v>126</v>
      </c>
      <c r="C23" s="44" t="s">
        <v>126</v>
      </c>
      <c r="D23" s="88" t="s">
        <v>12</v>
      </c>
      <c r="E23" s="88" t="s">
        <v>12</v>
      </c>
      <c r="F23" s="103">
        <v>2</v>
      </c>
      <c r="G23" s="103">
        <v>100</v>
      </c>
      <c r="H23" s="115">
        <f>F23*G23</f>
        <v>200</v>
      </c>
      <c r="I23" s="93">
        <v>1</v>
      </c>
      <c r="J23" s="115">
        <v>2</v>
      </c>
      <c r="K23" s="115">
        <v>4</v>
      </c>
      <c r="L23" s="115">
        <f>IF(OR(I23=0,I23="0"),0,H23)</f>
        <v>200</v>
      </c>
      <c r="M23" s="115">
        <f>ROUND(L23*I23%,3)</f>
        <v>2</v>
      </c>
      <c r="N23" s="115">
        <f>H23-M23</f>
        <v>198</v>
      </c>
      <c r="O23" s="115">
        <f>ROUND(N23*J23%,3)</f>
        <v>3.96</v>
      </c>
      <c r="P23" s="115">
        <f>ROUND(N23-O23,2)</f>
        <v>194.04</v>
      </c>
      <c r="Q23" s="115">
        <f>ROUND(P23*K23%,2)</f>
        <v>7.76</v>
      </c>
      <c r="R23" s="123">
        <f>ROUND(M23+O23+Q23,3)</f>
        <v>13.72</v>
      </c>
      <c r="S23" s="115">
        <f>(H23-R23)</f>
        <v>186.28</v>
      </c>
      <c r="T23" s="115">
        <v>88363222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4">
        <f>IF($V21=1,S23+AB23,S23)</f>
        <v>186.28</v>
      </c>
      <c r="AD23" s="123">
        <v>120</v>
      </c>
      <c r="AE23" s="123">
        <f>IF($P$21=1,(S23/$S$23)*$E$30,AD23/$AD$4*$E$30)</f>
        <v>0</v>
      </c>
      <c r="AF23" s="123"/>
      <c r="AG23" s="123">
        <f>IF($P$21=1,(S23/$S$23)*$E$20,AD23/$AD$23*$E$20)</f>
        <v>0</v>
      </c>
      <c r="AH23" s="123">
        <f>IF($P$21=1,(S23/$S$23)*$E$21,AD23/$AD$23*$E$21)</f>
        <v>0</v>
      </c>
      <c r="AI23" s="123">
        <f>S23*$M21</f>
        <v>15833.8</v>
      </c>
      <c r="AJ23" s="123">
        <f>IF($C$2=3,0,AG23+AH23)</f>
        <v>0</v>
      </c>
      <c r="AK23" s="123">
        <f>IF($C$2=3,AE23+AG23+AH23,0)</f>
        <v>0</v>
      </c>
      <c r="AL23" s="125">
        <v>3</v>
      </c>
      <c r="AM23" s="123">
        <f>F23/AL23</f>
        <v>0.666666666666667</v>
      </c>
      <c r="AN23" s="123">
        <f>ROUND(AI23/AM23,5)</f>
        <v>23750.7</v>
      </c>
      <c r="AO23" s="123">
        <f>AJ23/AM23</f>
        <v>0</v>
      </c>
      <c r="AP23" s="123">
        <f>AK23/AM23</f>
        <v>0</v>
      </c>
      <c r="AQ23" s="123" t="s">
        <v>12</v>
      </c>
      <c r="AR23" s="123">
        <f>ROUND(AN23+AO23+AP23,5)</f>
        <v>23750.7</v>
      </c>
      <c r="AS23" s="126" t="s">
        <v>112</v>
      </c>
      <c r="AT23" s="115" t="s">
        <v>12</v>
      </c>
      <c r="AU23" s="117" t="s">
        <v>127</v>
      </c>
      <c r="AV23" s="117" t="s">
        <v>128</v>
      </c>
      <c r="AW23" s="115">
        <f>AM23</f>
        <v>0.666666666666667</v>
      </c>
      <c r="AX23" s="123">
        <f>AR23</f>
        <v>23750.7</v>
      </c>
      <c r="AY23" s="115">
        <f>AU23+AW23</f>
        <v>117.000666666667</v>
      </c>
      <c r="AZ23" s="127">
        <f>ROUND(((AU23*AV23)+(AW23*AX23))/(AU23+AW23),5)</f>
        <v>6394.32854</v>
      </c>
      <c r="BA23" s="116"/>
      <c r="BB23" s="116" t="s">
        <v>115</v>
      </c>
      <c r="BC23" s="116" t="s">
        <v>116</v>
      </c>
      <c r="BD23" s="128" t="s">
        <v>117</v>
      </c>
      <c r="BE23" s="128" t="s">
        <v>118</v>
      </c>
      <c r="BF23" s="116"/>
      <c r="BG23" s="116"/>
      <c r="BH23" s="116"/>
      <c r="BI23" s="115"/>
      <c r="BJ23" s="115"/>
      <c r="BK23" s="115"/>
      <c r="BL23" s="129" t="s">
        <v>119</v>
      </c>
      <c r="BM23" s="117" t="s">
        <v>129</v>
      </c>
      <c r="BN23" s="117" t="s">
        <v>130</v>
      </c>
      <c r="BO23" s="115">
        <f>ROUND((((AW23*AZ23)+(BN23*BM23))/(AW23+BN23)),5)</f>
        <v>280.32668</v>
      </c>
      <c r="BP23" s="116">
        <f>ROUND(BN23+AW23,3)</f>
        <v>120.667</v>
      </c>
      <c r="BQ23" s="130">
        <v>123562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200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13.72</v>
      </c>
      <c r="S24" s="111">
        <f t="shared" si="1"/>
        <v>186.28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186.28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15833.8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hyperlinks>
    <hyperlink ref="AS23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F9" workbookViewId="0">
      <selection activeCell="BL27" sqref="BL27"/>
    </sheetView>
  </sheetViews>
  <sheetFormatPr defaultColWidth="8.71428571428571" defaultRowHeight="15"/>
  <cols>
    <col min="1" max="1" width="7.57142857142857" customWidth="1"/>
    <col min="2" max="3" width="25.2857142857143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133</v>
      </c>
      <c r="C23" s="44" t="s">
        <v>133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>
        <v>113</v>
      </c>
      <c r="AV23" t="s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21" t="s">
        <v>119</v>
      </c>
      <c r="BM23" t="s">
        <v>134</v>
      </c>
      <c r="BN23" t="s">
        <v>135</v>
      </c>
      <c r="BO23" s="104">
        <f>ROUND((((AW23*AZ23)+(BN23*BM23))/(AW23+BN23)),5)</f>
        <v>8572.52323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H12" workbookViewId="0">
      <selection activeCell="BL24" sqref="BL24"/>
    </sheetView>
  </sheetViews>
  <sheetFormatPr defaultColWidth="8.71428571428571" defaultRowHeight="15"/>
  <cols>
    <col min="1" max="1" width="7.57142857142857" customWidth="1"/>
    <col min="2" max="3" width="25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118" t="s">
        <v>41</v>
      </c>
      <c r="C19" s="119"/>
      <c r="D19" s="119"/>
      <c r="E19" s="119"/>
      <c r="F19" s="119"/>
      <c r="G19" s="120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136</v>
      </c>
      <c r="C23" s="44" t="s">
        <v>136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X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/>
      <c r="Z24" s="112"/>
      <c r="AA24" s="112"/>
      <c r="AB24" s="110">
        <f t="shared" ref="AB24:AE24" si="2">SUM(AB23:AB23)</f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I9" workbookViewId="0">
      <selection activeCell="BL23" sqref="BL23"/>
    </sheetView>
  </sheetViews>
  <sheetFormatPr defaultColWidth="8.71428571428571" defaultRowHeight="15"/>
  <cols>
    <col min="1" max="1" width="7.57142857142857" customWidth="1"/>
    <col min="2" max="3" width="24.7142857142857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88" t="s">
        <v>137</v>
      </c>
      <c r="C23" s="88" t="s">
        <v>137</v>
      </c>
      <c r="D23" s="88" t="s">
        <v>12</v>
      </c>
      <c r="E23" s="88" t="s">
        <v>12</v>
      </c>
      <c r="F23" s="103">
        <v>2</v>
      </c>
      <c r="G23">
        <v>250</v>
      </c>
      <c r="H23" s="104">
        <f>F23*G23</f>
        <v>500</v>
      </c>
      <c r="I23" t="s">
        <v>138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>
        <v>113</v>
      </c>
      <c r="AV23" t="s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>
        <v>134</v>
      </c>
      <c r="BN23" t="s">
        <v>139</v>
      </c>
      <c r="BO23" s="104">
        <f>ROUND((((AW23*AZ23)+(BN23*BM23))/(AW23+BN23)),5)</f>
        <v>8482.8221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" workbookViewId="0">
      <selection activeCell="BP23" sqref="BP23"/>
    </sheetView>
  </sheetViews>
  <sheetFormatPr defaultColWidth="8.71428571428571" defaultRowHeight="15"/>
  <cols>
    <col min="1" max="1" width="7.57142857142857" customWidth="1"/>
    <col min="2" max="3" width="25.1428571428571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88" t="s">
        <v>140</v>
      </c>
      <c r="C23" s="88" t="s">
        <v>140</v>
      </c>
      <c r="D23" s="88" t="s">
        <v>12</v>
      </c>
      <c r="E23" s="88" t="s">
        <v>12</v>
      </c>
      <c r="F23" s="103">
        <v>2</v>
      </c>
      <c r="G23">
        <v>250</v>
      </c>
      <c r="H23" s="104">
        <f>F23*G23</f>
        <v>500</v>
      </c>
      <c r="I23" t="s">
        <v>138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6" workbookViewId="0">
      <selection activeCell="O19" sqref="O19"/>
    </sheetView>
  </sheetViews>
  <sheetFormatPr defaultColWidth="8.71428571428571" defaultRowHeight="15"/>
  <cols>
    <col min="1" max="1" width="7.57142857142857" customWidth="1"/>
    <col min="2" max="3" width="24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141</v>
      </c>
      <c r="C23" s="44" t="s">
        <v>141</v>
      </c>
      <c r="D23" s="88" t="s">
        <v>12</v>
      </c>
      <c r="E23" s="88" t="s">
        <v>142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>
        <v>113</v>
      </c>
      <c r="AV23" t="s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>
        <v>143</v>
      </c>
      <c r="BN23" t="s">
        <v>144</v>
      </c>
      <c r="BO23" s="104">
        <f>ROUND((((AW23*AZ23)+(BN23*BM23))/(AW23+BN23)),5)</f>
        <v>9181.28366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K9" workbookViewId="0">
      <selection activeCell="BP25" sqref="BP25"/>
    </sheetView>
  </sheetViews>
  <sheetFormatPr defaultColWidth="8.71428571428571" defaultRowHeight="15"/>
  <cols>
    <col min="1" max="1" width="7.57142857142857" customWidth="1"/>
    <col min="2" max="3" width="28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145</v>
      </c>
      <c r="C23" s="44" t="s">
        <v>145</v>
      </c>
      <c r="D23" s="88" t="s">
        <v>12</v>
      </c>
      <c r="E23" s="88" t="s">
        <v>12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>
        <v>113</v>
      </c>
      <c r="AV23" t="s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>
        <v>143</v>
      </c>
      <c r="BN23" t="s">
        <v>144</v>
      </c>
      <c r="BO23" s="104">
        <f>ROUND((((AW23*AZ23)+(BN23*BM23))/(AW23+BN23)),5)</f>
        <v>26398.17586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2" workbookViewId="0">
      <selection activeCell="M21" sqref="M21"/>
    </sheetView>
  </sheetViews>
  <sheetFormatPr defaultColWidth="8.71428571428571" defaultRowHeight="15"/>
  <cols>
    <col min="1" max="1" width="7.57142857142857" customWidth="1"/>
    <col min="2" max="3" width="27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21" t="s">
        <v>146</v>
      </c>
      <c r="C23" s="21" t="s">
        <v>146</v>
      </c>
      <c r="D23" s="88" t="s">
        <v>12</v>
      </c>
      <c r="E23" s="88" t="s">
        <v>12</v>
      </c>
      <c r="F23" s="103">
        <v>3</v>
      </c>
      <c r="G23">
        <v>250</v>
      </c>
      <c r="H23" s="104">
        <f>F23*G23</f>
        <v>750</v>
      </c>
      <c r="I23" t="s">
        <v>138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>
        <v>113</v>
      </c>
      <c r="AV23" t="s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>
        <v>143</v>
      </c>
      <c r="BN23" t="s">
        <v>147</v>
      </c>
      <c r="BO23" s="104">
        <f>ROUND((((AW23*AZ23)+(BN23*BM23))/(AW23+BN23)),5)</f>
        <v>25610.66503</v>
      </c>
      <c r="BP23" s="108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115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116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M1" workbookViewId="0">
      <selection activeCell="AT14" sqref="AT14"/>
    </sheetView>
  </sheetViews>
  <sheetFormatPr defaultColWidth="9.85714285714286" defaultRowHeight="15" outlineLevelRow="4"/>
  <cols>
    <col min="1" max="1" width="9.85714285714286" style="1"/>
    <col min="2" max="2" width="25.5714285714286" style="1" customWidth="1"/>
    <col min="3" max="3" width="26" style="1" customWidth="1"/>
    <col min="4" max="19" width="9.85714285714286" style="1"/>
    <col min="20" max="20" width="10.1428571428571" style="1" customWidth="1"/>
    <col min="21" max="34" width="9.85714285714286" style="1"/>
    <col min="35" max="35" width="11.4285714285714" style="1"/>
    <col min="36" max="38" width="9.85714285714286" style="1"/>
    <col min="39" max="39" width="17.4285714285714" style="1" customWidth="1"/>
    <col min="40" max="43" width="9.85714285714286" style="1"/>
    <col min="44" max="44" width="25.7142857142857" style="1" customWidth="1"/>
    <col min="45" max="49" width="9.85714285714286" style="1"/>
    <col min="50" max="50" width="16.7142857142857" style="1" customWidth="1"/>
    <col min="51" max="51" width="9.85714285714286" style="1"/>
    <col min="52" max="52" width="11.5714285714286" style="1" customWidth="1"/>
    <col min="53" max="66" width="9.85714285714286" style="1"/>
    <col min="67" max="67" width="12" style="1"/>
    <col min="68" max="16384" width="9.8571428571428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110</v>
      </c>
      <c r="C4" s="20" t="s">
        <v>110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148</v>
      </c>
      <c r="AT4" s="28" t="s">
        <v>12</v>
      </c>
      <c r="AU4" s="1" t="s">
        <v>113</v>
      </c>
      <c r="AV4" s="1" t="s">
        <v>149</v>
      </c>
      <c r="AW4" s="28">
        <f>AM4</f>
        <v>2</v>
      </c>
      <c r="AX4" s="28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150</v>
      </c>
      <c r="BM4" s="1" t="s">
        <v>151</v>
      </c>
      <c r="BN4" s="1" t="s">
        <v>152</v>
      </c>
      <c r="BO4" s="28">
        <f>ROUND((((AW4*AZ4)+(BN4*BM4))/(AW4+BN4)),5)</f>
        <v>13833.80666</v>
      </c>
      <c r="BP4" s="34">
        <f>BN4+AW4</f>
        <v>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topLeftCell="P1" workbookViewId="0">
      <selection activeCell="M3" sqref="M3"/>
    </sheetView>
  </sheetViews>
  <sheetFormatPr defaultColWidth="8.71428571428571" defaultRowHeight="15"/>
  <cols>
    <col min="1" max="1" width="8.71428571428571" style="1"/>
    <col min="2" max="2" width="19.1428571428571" style="1" customWidth="1"/>
    <col min="3" max="3" width="25.8571428571429" style="1" customWidth="1"/>
    <col min="4" max="19" width="8.71428571428571" style="1"/>
    <col min="20" max="20" width="10.1428571428571" style="1" customWidth="1"/>
    <col min="21" max="51" width="8.71428571428571" style="1"/>
    <col min="52" max="52" width="12" style="1"/>
    <col min="53" max="66" width="8.71428571428571" style="1"/>
    <col min="67" max="67" width="12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126</v>
      </c>
      <c r="C4" s="44" t="s">
        <v>126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S4*$M$2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155</v>
      </c>
      <c r="AV4" s="23" t="s">
        <v>156</v>
      </c>
      <c r="AW4" s="28">
        <f>AM4</f>
        <v>2</v>
      </c>
      <c r="AX4" s="28">
        <f>AR4</f>
        <v>18386.775</v>
      </c>
      <c r="AY4" s="28">
        <f>AU4+AW4</f>
        <v>112</v>
      </c>
      <c r="AZ4" s="28">
        <f>ROUND(((AU4*AV4)+(AW4*AX4))/(AU4+AW4),5)</f>
        <v>450.65625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156</v>
      </c>
      <c r="BN4" s="23" t="s">
        <v>157</v>
      </c>
      <c r="BO4" s="28">
        <f>ROUND((((AW4*AZ4)+(BN4*BM4))/(AW4+BN4)),5)</f>
        <v>217.71964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158</v>
      </c>
      <c r="H7" s="55"/>
      <c r="I7" s="56">
        <f>H5</f>
        <v>500</v>
      </c>
      <c r="J7" s="56"/>
      <c r="K7" s="5"/>
      <c r="L7" s="5"/>
      <c r="M7" s="57" t="s">
        <v>159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160</v>
      </c>
      <c r="BI7" s="147" t="s">
        <v>161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162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163</v>
      </c>
      <c r="BI8" s="147" t="s">
        <v>164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165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166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167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142</v>
      </c>
      <c r="O10" s="20">
        <v>0.001</v>
      </c>
      <c r="P10" s="20" t="s">
        <v>168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169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170</v>
      </c>
      <c r="BN12" s="5" t="s">
        <v>171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W1" workbookViewId="0">
      <selection activeCell="BF13" sqref="BF13"/>
    </sheetView>
  </sheetViews>
  <sheetFormatPr defaultColWidth="8.71428571428571" defaultRowHeight="15" outlineLevelRow="4"/>
  <cols>
    <col min="1" max="1" width="8.71428571428571" style="1"/>
    <col min="2" max="2" width="21.1428571428571" style="1" customWidth="1"/>
    <col min="3" max="3" width="21.2857142857143" style="1" customWidth="1"/>
    <col min="4" max="18" width="8.71428571428571" style="1"/>
    <col min="19" max="19" width="9.28571428571429" style="1"/>
    <col min="20" max="20" width="10.1428571428571" style="1" customWidth="1"/>
    <col min="21" max="28" width="8.71428571428571" style="1"/>
    <col min="29" max="29" width="9.28571428571429" style="1"/>
    <col min="30" max="39" width="8.71428571428571" style="1"/>
    <col min="40" max="40" width="10.1428571428571" style="1"/>
    <col min="41" max="43" width="8.71428571428571" style="1"/>
    <col min="44" max="44" width="10.1428571428571" style="1"/>
    <col min="45" max="49" width="8.71428571428571" style="1"/>
    <col min="50" max="50" width="10.1428571428571" style="1"/>
    <col min="51" max="51" width="8.71428571428571" style="1"/>
    <col min="52" max="52" width="12" style="1"/>
    <col min="53" max="66" width="8.71428571428571" style="1"/>
    <col min="67" max="67" width="13.2857142857143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133</v>
      </c>
      <c r="C4" s="44" t="s">
        <v>133</v>
      </c>
      <c r="D4" s="20" t="s">
        <v>12</v>
      </c>
      <c r="E4" s="20" t="s">
        <v>12</v>
      </c>
      <c r="F4" s="22">
        <v>2</v>
      </c>
      <c r="G4" s="1" t="s">
        <v>176</v>
      </c>
      <c r="H4" s="22">
        <f>F4*G4</f>
        <v>500</v>
      </c>
      <c r="I4" s="1" t="s">
        <v>138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1" t="s">
        <v>113</v>
      </c>
      <c r="BN4" s="1" t="s">
        <v>113</v>
      </c>
      <c r="BO4" s="28">
        <f>ROUND((((AW4*AZ4)+(BN4*BM4))/(AW4+BN4)),5)</f>
        <v>18386.775</v>
      </c>
      <c r="BP4" s="34">
        <f>BN4+AW4</f>
        <v>1152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Y9" sqref="Y9"/>
    </sheetView>
  </sheetViews>
  <sheetFormatPr defaultColWidth="8.71428571428571" defaultRowHeight="15" outlineLevelRow="4"/>
  <cols>
    <col min="1" max="1" width="8.71428571428571" style="1"/>
    <col min="2" max="2" width="23.4285714285714" style="1" customWidth="1"/>
    <col min="3" max="3" width="29.4285714285714" style="1" customWidth="1"/>
    <col min="4" max="18" width="8.71428571428571" style="1"/>
    <col min="19" max="19" width="9.28571428571429" style="1"/>
    <col min="20" max="20" width="10.1428571428571" style="1" customWidth="1"/>
    <col min="21" max="51" width="8.71428571428571" style="1"/>
    <col min="52" max="52" width="10.7142857142857" style="1"/>
    <col min="53" max="66" width="8.71428571428571" style="1"/>
    <col min="67" max="67" width="10.5714285714286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136</v>
      </c>
      <c r="C4" s="44" t="s">
        <v>136</v>
      </c>
      <c r="D4" s="20" t="s">
        <v>12</v>
      </c>
      <c r="E4" s="20" t="s">
        <v>12</v>
      </c>
      <c r="F4" s="22">
        <v>2</v>
      </c>
      <c r="G4" s="1" t="s">
        <v>176</v>
      </c>
      <c r="H4" s="22">
        <f>F4*G4</f>
        <v>500</v>
      </c>
      <c r="I4" s="1" t="s">
        <v>138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177</v>
      </c>
      <c r="AV4" s="23" t="s">
        <v>178</v>
      </c>
      <c r="AW4" s="28">
        <f>AM4</f>
        <v>2</v>
      </c>
      <c r="AX4" s="29">
        <f>AR4</f>
        <v>18386.775</v>
      </c>
      <c r="AY4" s="28">
        <f>AU4+AW4</f>
        <v>17</v>
      </c>
      <c r="AZ4" s="28">
        <f>ROUND(((AU4*AV4)+(AW4*AX4))/(AU4+AW4),5)</f>
        <v>2199.78088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178</v>
      </c>
      <c r="BN4" s="23" t="s">
        <v>157</v>
      </c>
      <c r="BO4" s="28">
        <f>ROUND((((AW4*AZ4)+(BN4*BM4))/(AW4+BN4)),5)</f>
        <v>658.16239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AO1" workbookViewId="0">
      <selection activeCell="BA10" sqref="BA10"/>
    </sheetView>
  </sheetViews>
  <sheetFormatPr defaultColWidth="8.71428571428571" defaultRowHeight="15" outlineLevelRow="4"/>
  <cols>
    <col min="1" max="1" width="8.71428571428571" style="1"/>
    <col min="2" max="2" width="27.2857142857143" style="1" customWidth="1"/>
    <col min="3" max="3" width="25.4285714285714" style="1" customWidth="1"/>
    <col min="4" max="18" width="8.71428571428571" style="1"/>
    <col min="19" max="19" width="9.28571428571429" style="1"/>
    <col min="20" max="20" width="10.1428571428571" style="1" customWidth="1"/>
    <col min="21" max="34" width="8.71428571428571" style="1"/>
    <col min="35" max="35" width="11.4285714285714" style="1"/>
    <col min="36" max="39" width="8.71428571428571" style="1"/>
    <col min="40" max="40" width="10.1428571428571" style="1"/>
    <col min="41" max="43" width="8.71428571428571" style="1"/>
    <col min="44" max="44" width="10.1428571428571" style="1"/>
    <col min="45" max="49" width="8.71428571428571" style="1"/>
    <col min="50" max="50" width="10.1428571428571" style="1"/>
    <col min="51" max="51" width="8.71428571428571" style="1"/>
    <col min="52" max="52" width="12" style="1"/>
    <col min="53" max="66" width="8.71428571428571" style="1"/>
    <col min="67" max="67" width="12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20" t="s">
        <v>137</v>
      </c>
      <c r="C4" s="20" t="s">
        <v>137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1" t="s">
        <v>113</v>
      </c>
      <c r="AV4" s="1" t="s">
        <v>149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1" t="s">
        <v>149</v>
      </c>
      <c r="BN4" s="1" t="s">
        <v>179</v>
      </c>
      <c r="BO4" s="28">
        <f>ROUND((((AW4*AZ4)+(BN4*BM4))/(AW4+BN4)),5)</f>
        <v>18386.775</v>
      </c>
      <c r="BP4" s="34">
        <f>BN4+AW4</f>
        <v>1107</v>
      </c>
      <c r="BQ4" s="35">
        <v>123562</v>
      </c>
    </row>
    <row r="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L1" workbookViewId="0">
      <selection activeCell="T13" sqref="T13"/>
    </sheetView>
  </sheetViews>
  <sheetFormatPr defaultColWidth="8.85714285714286" defaultRowHeight="15"/>
  <cols>
    <col min="1" max="1" width="8.85714285714286" style="23"/>
    <col min="2" max="2" width="28" style="23" customWidth="1"/>
    <col min="3" max="3" width="23" style="23" customWidth="1"/>
    <col min="4" max="11" width="8.85714285714286" style="23"/>
    <col min="12" max="12" width="15.7142857142857" style="23" customWidth="1"/>
    <col min="13" max="13" width="9.14285714285714" style="23" customWidth="1"/>
    <col min="14" max="14" width="13.8571428571429" style="23" customWidth="1"/>
    <col min="15" max="15" width="11.2857142857143" style="23" customWidth="1"/>
    <col min="16" max="16" width="17.8571428571429" style="23" customWidth="1"/>
    <col min="17" max="18" width="8.85714285714286" style="23"/>
    <col min="19" max="19" width="9.28571428571429" style="23"/>
    <col min="20" max="20" width="10.1428571428571" style="23" customWidth="1"/>
    <col min="21" max="51" width="8.85714285714286" style="23"/>
    <col min="52" max="52" width="10.7142857142857" style="23"/>
    <col min="53" max="63" width="8.85714285714286" style="23"/>
    <col min="64" max="64" width="11" style="23" customWidth="1"/>
    <col min="65" max="66" width="8.85714285714286" style="23"/>
    <col min="67" max="67" width="10.7142857142857" style="23"/>
    <col min="68" max="16384" width="8.85714285714286" style="23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140</v>
      </c>
      <c r="C4" s="20" t="s">
        <v>140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180</v>
      </c>
      <c r="AV4" s="23" t="s">
        <v>178</v>
      </c>
      <c r="AW4" s="28">
        <f>AM4</f>
        <v>2</v>
      </c>
      <c r="AX4" s="29">
        <f>AR4</f>
        <v>18386.775</v>
      </c>
      <c r="AY4" s="28">
        <f>AU4+AW4</f>
        <v>12</v>
      </c>
      <c r="AZ4" s="28">
        <f>ROUND(((AU4*AV4)+(AW4*AX4))/(AU4+AW4),5)</f>
        <v>3099.05833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178</v>
      </c>
      <c r="BN4" s="23" t="s">
        <v>157</v>
      </c>
      <c r="BO4" s="28">
        <f>ROUND((((AW4*AZ4)+(BN4*BM4))/(AW4+BN4)),5)</f>
        <v>915.09881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158</v>
      </c>
      <c r="H7" s="55"/>
      <c r="I7" s="56">
        <f>H5</f>
        <v>500</v>
      </c>
      <c r="J7" s="56"/>
      <c r="K7" s="5"/>
      <c r="L7" s="5"/>
      <c r="M7" s="57" t="s">
        <v>159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160</v>
      </c>
      <c r="BI7" s="147" t="s">
        <v>161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162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163</v>
      </c>
      <c r="BI8" s="147" t="s">
        <v>164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165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166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167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142</v>
      </c>
      <c r="O10" s="20">
        <v>0.001</v>
      </c>
      <c r="P10" s="20" t="s">
        <v>168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169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170</v>
      </c>
      <c r="BN12" s="5" t="s">
        <v>171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S4" sqref="S4"/>
    </sheetView>
  </sheetViews>
  <sheetFormatPr defaultColWidth="9.85714285714286" defaultRowHeight="15" outlineLevelRow="4"/>
  <cols>
    <col min="1" max="1" width="9.85714285714286" style="1"/>
    <col min="2" max="2" width="25.5714285714286" style="1" customWidth="1"/>
    <col min="3" max="3" width="26" style="1" customWidth="1"/>
    <col min="4" max="19" width="9.85714285714286" style="1"/>
    <col min="20" max="20" width="10.1428571428571" style="1" customWidth="1"/>
    <col min="21" max="16384" width="9.8571428571428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141</v>
      </c>
      <c r="C4" s="20" t="s">
        <v>141</v>
      </c>
      <c r="D4" s="20" t="s">
        <v>12</v>
      </c>
      <c r="E4" s="20" t="s">
        <v>142</v>
      </c>
      <c r="F4" s="22">
        <v>3</v>
      </c>
      <c r="G4" s="22">
        <v>250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55159.9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55159.9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55159.9</v>
      </c>
      <c r="AS4" s="6" t="s">
        <v>148</v>
      </c>
      <c r="AT4" s="28" t="s">
        <v>12</v>
      </c>
      <c r="AU4" s="1" t="s">
        <v>113</v>
      </c>
      <c r="AV4" s="1" t="s">
        <v>181</v>
      </c>
      <c r="AW4" s="28">
        <f>AM4</f>
        <v>1</v>
      </c>
      <c r="AX4" s="28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150</v>
      </c>
      <c r="BM4" s="1" t="s">
        <v>181</v>
      </c>
      <c r="BN4" s="1" t="s">
        <v>147</v>
      </c>
      <c r="BO4" s="28">
        <f>ROUND((((AW4*AZ4)+(BN4*BM4))/(AW4+BN4)),5)</f>
        <v>55159.9</v>
      </c>
      <c r="BP4" s="34">
        <f>BN4+AW4</f>
        <v>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Z1" workbookViewId="0">
      <selection activeCell="U12" sqref="U12"/>
    </sheetView>
  </sheetViews>
  <sheetFormatPr defaultColWidth="8.71428571428571" defaultRowHeight="15" outlineLevelRow="4"/>
  <cols>
    <col min="1" max="1" width="8.71428571428571" style="1"/>
    <col min="2" max="3" width="26.5428571428571" style="1" customWidth="1"/>
    <col min="4" max="18" width="8.71428571428571" style="1"/>
    <col min="19" max="19" width="9.28571428571429" style="1"/>
    <col min="20" max="20" width="10.1428571428571" style="1" customWidth="1"/>
    <col min="21" max="66" width="8.71428571428571" style="1"/>
    <col min="67" max="67" width="13.2857142857143" style="1"/>
    <col min="68" max="68" width="12.8571428571429" style="1"/>
    <col min="69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145</v>
      </c>
      <c r="C4" s="44" t="s">
        <v>145</v>
      </c>
      <c r="D4" s="20" t="s">
        <v>12</v>
      </c>
      <c r="E4" s="20" t="s">
        <v>142</v>
      </c>
      <c r="F4" s="22">
        <v>3</v>
      </c>
      <c r="G4" s="1" t="s">
        <v>176</v>
      </c>
      <c r="H4" s="22">
        <f>F4*G4</f>
        <v>750</v>
      </c>
      <c r="I4" s="1" t="s">
        <v>138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148</v>
      </c>
      <c r="AT4" s="28" t="s">
        <v>12</v>
      </c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1" t="s">
        <v>113</v>
      </c>
      <c r="BN4" s="1" t="s">
        <v>113</v>
      </c>
      <c r="BO4" s="28">
        <f>ROUND((((AW4*AZ4)+(BN4*BM4))/(AW4+BN4)),5)</f>
        <v>55159.9</v>
      </c>
      <c r="BP4" s="34">
        <f>BN4+AW4</f>
        <v>192.66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AE11" sqref="AE11"/>
    </sheetView>
  </sheetViews>
  <sheetFormatPr defaultColWidth="8.71428571428571" defaultRowHeight="15" outlineLevelRow="4"/>
  <cols>
    <col min="1" max="1" width="8.71428571428571" style="1"/>
    <col min="2" max="2" width="27.2857142857143" style="1" customWidth="1"/>
    <col min="3" max="3" width="25.4285714285714" style="1" customWidth="1"/>
    <col min="4" max="18" width="8.71428571428571" style="1"/>
    <col min="19" max="19" width="9.28571428571429" style="1"/>
    <col min="20" max="20" width="10.1428571428571" style="1" customWidth="1"/>
    <col min="21" max="51" width="8.71428571428571" style="1"/>
    <col min="52" max="52" width="9" style="1"/>
    <col min="53" max="66" width="8.71428571428571" style="1"/>
    <col min="67" max="67" width="13.2857142857143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1" t="s">
        <v>146</v>
      </c>
      <c r="C4" s="21" t="s">
        <v>146</v>
      </c>
      <c r="D4" s="20" t="s">
        <v>12</v>
      </c>
      <c r="E4" s="20" t="s">
        <v>142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148</v>
      </c>
      <c r="AT4" s="28" t="s">
        <v>12</v>
      </c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1" t="s">
        <v>113</v>
      </c>
      <c r="BN4" s="1" t="s">
        <v>113</v>
      </c>
      <c r="BO4" s="28">
        <f>ROUND((((AW4*AZ4)+(BN4*BM4))/(AW4+BN4)),5)</f>
        <v>55159.9</v>
      </c>
      <c r="BP4" s="34">
        <f>BN4+AW4</f>
        <v>154.331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2026-04-30T14:02:13Z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