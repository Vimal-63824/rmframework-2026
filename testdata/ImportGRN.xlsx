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6" activeTab="17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<sst xmlns="http://schemas.openxmlformats.org/spreadsheetml/2006/main" count="2398" uniqueCount="199">
  <si>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</si>
  <si>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</si>
  <si>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</si>
  <si>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</si>
  <si>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</si>
  <si>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</si>
  <si>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</si>
  <si>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</si>
  <si>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</si>
  <si>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</si>
  <si>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</si>
  <si>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</si>
  <si>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</si>
  <si>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</si>
  <si>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</si>
  <si>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</si>
  <si>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</si>
  <si>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</si>
  <si>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</si>
  <si>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</si>
  <si>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</si>
  <si>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</si>
  <si>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</si>
  <si>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</si>
  <si>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</si>
  <si>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</si>
  <si>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</si>
  <si>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</si>
  <si>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</si>
  <si>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</si>
  <si>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</si>
  <si>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</si>
  <si>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</si>
  <si>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</si>
  <si>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</si>
  <si>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</si>
  <si>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</si>
  <si>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</si>
  <si>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</si>
  <si>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</si>
  <si>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</si>
  <si>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</si>
  <si>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</si>
  <si>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</si>
  <si>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</si>
  <si>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</si>
  <si>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</si>
  <si>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</si>
  <si>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</si>
  <si>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</si>
  <si>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</si>
  <si>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</si>
  <si>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</si>
  <si>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</si>
  <si>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</si>
  <si>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</si>
  <si>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</si>
  <si>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</si>
  <si>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</si>
  <si>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</si>
  <si>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</si>
  <si>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</si>
  <si>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</si>
  <si>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</si>
  <si>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</si>
  <si>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</si>
  <si>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</si>
  <si>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</si>
  <si>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</si>
  <si>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</si>
  <si>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</si>
  <si>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</si>
  <si>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</si>
  <si>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</si>
  <si>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</si>
  <si>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</si>
  <si>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</si>
  <si>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</si>
  <si>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</si>
  <si>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</si>
  <si>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</si>
  <si>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</si>
  <si>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</si>
  <si>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</si>
  <si>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</si>
  <si>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</si>
  <si>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</si>
  <si>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</si>
  <si>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</si>
  <si>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</si>
  <si>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</si>
  <si>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</si>
  <si>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</si>
  <si>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</si>
  <si>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</si>
  <si>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</si>
  <si>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</si>
  <si>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</si>
  <si>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</si>
  <si>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</si>
  <si>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</si>
  <si>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</si>
  <si>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</si>
  <si>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</si>
  <si>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</si>
  <si>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</si>
  <si>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</si>
  <si>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</si>
  <si>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</si>
  <si>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</si>
  <si>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</si>
  <si>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</si>
  <si>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</si>
  <si>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</si>
  <si>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</si>
  <si>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</si>
  <si>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</si>
  <si>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</si>
  <si>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</si>
  <si>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WH</t>
  </si>
  <si>
    <t>6454.29073</t>
  </si>
  <si>
    <t>106</t>
  </si>
  <si>
    <t>VD Asbl. Val.</t>
  </si>
  <si>
    <t>Pur. Value</t>
  </si>
  <si>
    <t>Tax%</t>
  </si>
  <si>
    <t>Unit cost (Stk. UOM)</t>
  </si>
  <si>
    <t>ITEM-GWL-SERVICE-02</t>
  </si>
  <si>
    <t>INS WH-1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</si>
  <si>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</si>
  <si>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</si>
  <si>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</si>
  <si>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</si>
  <si>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</si>
  <si>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</si>
  <si>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</si>
  <si>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8156.97779</t>
  </si>
  <si>
    <t>54</t>
  </si>
  <si>
    <t>ITEM-GWL-SERVICE-RC-02</t>
  </si>
  <si>
    <t>GWL_Item_Similar_Pl_02</t>
  </si>
  <si>
    <t>100</t>
  </si>
  <si>
    <t>1</t>
  </si>
  <si>
    <t>8415</t>
  </si>
  <si>
    <t>RM KD</t>
  </si>
  <si>
    <t>8213.55001</t>
  </si>
  <si>
    <t>84</t>
  </si>
  <si>
    <t>GWL_Item_Service_Pl_03</t>
  </si>
  <si>
    <t>ITEM-GWL-DISSIMILAR-02</t>
  </si>
  <si>
    <t>23750.7</t>
  </si>
  <si>
    <t>21855.47652</t>
  </si>
  <si>
    <t>31.344</t>
  </si>
  <si>
    <t>ITEM-GWL-DISSIMILAR-RC-02</t>
  </si>
  <si>
    <t>25245</t>
  </si>
  <si>
    <t>24721.96746</t>
  </si>
  <si>
    <t>19.674</t>
  </si>
  <si>
    <t>GWL_Item_Dissimilar_Pl_02</t>
  </si>
  <si>
    <t>24598.03202</t>
  </si>
  <si>
    <t>33.344</t>
  </si>
  <si>
    <t>INS KD</t>
  </si>
  <si>
    <t>No.</t>
  </si>
  <si>
    <t>Item Desc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</si>
  <si>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</si>
  <si>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</si>
  <si>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</si>
  <si>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</si>
  <si>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</si>
  <si>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</si>
  <si>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</si>
  <si>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</si>
  <si>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</si>
  <si>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</si>
  <si>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</si>
  <si>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</si>
  <si>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</si>
  <si>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</si>
  <si>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</si>
  <si>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</si>
  <si>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</si>
  <si>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</si>
  <si>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</si>
  <si>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</si>
  <si>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</si>
  <si>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</si>
  <si>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</si>
  <si>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1216.94021</t>
  </si>
  <si>
    <t>1150</t>
  </si>
  <si>
    <t>15</t>
  </si>
  <si>
    <t>41.515</t>
  </si>
  <si>
    <t>GWL_Item_FP_Pl_Similar_01</t>
  </si>
  <si>
    <t>50</t>
  </si>
  <si>
    <t>1115.07779</t>
  </si>
  <si>
    <t>1105</t>
  </si>
  <si>
    <t>GWL_Item_Service_Pl_01</t>
  </si>
  <si>
    <t>10</t>
  </si>
  <si>
    <t>11143.5</t>
  </si>
  <si>
    <t>3717.81605</t>
  </si>
  <si>
    <t>248.661</t>
  </si>
  <si>
    <t>GWL_Item_FP_Pl_Dissimilar_01</t>
  </si>
  <si>
    <t>4802.16109</t>
  </si>
  <si>
    <t>209.665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</si>
</sst>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  <numFmt numFmtId="181" formatCode="0.00_);[Red]\(0.00\)"/>
    <numFmt numFmtId="182" formatCode="0.000"/>
    <numFmt numFmtId="183" formatCode="0.000_ "/>
    <numFmt numFmtId="184" formatCode="0.00000_ "/>
  </numFmts>
  <fonts count="28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5" applyNumberFormat="0" applyFill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6" borderId="27" applyNumberFormat="0" applyAlignment="0" applyProtection="0">
      <alignment vertical="center"/>
    </xf>
    <xf numFmtId="0" fontId="18" fillId="17" borderId="28" applyNumberFormat="0" applyAlignment="0" applyProtection="0">
      <alignment vertical="center"/>
    </xf>
    <xf numFmtId="0" fontId="19" fillId="17" borderId="27" applyNumberFormat="0" applyAlignment="0" applyProtection="0">
      <alignment vertical="center"/>
    </xf>
    <xf numFmtId="0" fontId="20" fillId="18" borderId="29" applyNumberFormat="0" applyAlignment="0" applyProtection="0">
      <alignment vertical="center"/>
    </xf>
    <xf numFmtId="0" fontId="21" fillId="0" borderId="30" applyNumberFormat="0" applyFill="0" applyAlignment="0" applyProtection="0">
      <alignment vertical="center"/>
    </xf>
    <xf numFmtId="0" fontId="22" fillId="0" borderId="31" applyNumberFormat="0" applyFill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7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182" fontId="2" fillId="0" borderId="1" xfId="49" applyNumberFormat="1" applyFont="1" applyFill="1" applyBorder="1" applyAlignment="1"/>
    <xf numFmtId="0" fontId="3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3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4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5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2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6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2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7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83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3" fillId="8" borderId="7" xfId="0" applyFont="1" applyFill="1" applyBorder="1" applyAlignment="1">
      <alignment vertical="top"/>
    </xf>
    <xf numFmtId="184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3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2" fillId="0" borderId="7" xfId="0" applyNumberFormat="1" applyFont="1" applyBorder="1" applyAlignment="1">
      <alignment horizontal="left" vertical="top"/>
    </xf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D6" workbookViewId="0">
      <selection activeCell="C24" sqref="C24"/>
    </sheetView>
  </sheetViews>
  <sheetFormatPr defaultColWidth="8.71818181818182" defaultRowHeight="14.5"/>
  <cols>
    <col min="1" max="1" width="25.5727272727273" customWidth="1"/>
    <col min="2" max="2" width="21.8545454545455" customWidth="1"/>
    <col min="3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  <col min="70" max="70" width="5.42727272727273" customWidth="1"/>
  </cols>
  <sheetData>
    <row r="1" ht="18.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2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2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O16" s="64"/>
      <c r="BP16" s="64"/>
      <c r="BQ16" s="64"/>
    </row>
    <row r="17" spans="1:70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O17" s="64"/>
      <c r="BP17" s="64"/>
      <c r="BQ17" s="64"/>
    </row>
    <row r="18" ht="15.25" spans="1:70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O18" s="64"/>
      <c r="BP18" s="64"/>
      <c r="BQ18" s="64"/>
    </row>
    <row r="19" ht="15.25" spans="1:70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O19" s="64"/>
      <c r="BP19" s="64"/>
      <c r="BQ19" s="64"/>
    </row>
    <row r="20" s="130" customFormat="1" spans="1:70">
      <c r="A20" s="132" t="s">
        <v>42</v>
      </c>
      <c r="B20" s="132"/>
      <c r="C20" s="132"/>
      <c r="D20" s="132"/>
      <c r="E20" s="132"/>
      <c r="F20" s="132"/>
      <c r="G20" s="132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34"/>
    </row>
    <row r="21" s="130" customFormat="1" spans="1:70">
      <c r="A21" s="88" t="s">
        <v>43</v>
      </c>
      <c r="B21" s="88"/>
      <c r="C21" s="90">
        <v>3</v>
      </c>
      <c r="D21" s="90" t="s">
        <v>44</v>
      </c>
      <c r="E21" s="90"/>
      <c r="F21" s="90"/>
      <c r="G21" s="90"/>
      <c r="H21" s="90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135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136"/>
      <c r="BE21" s="136"/>
      <c r="BF21" s="136"/>
      <c r="BG21" s="136"/>
      <c r="BH21" s="136"/>
      <c r="BI21" s="136"/>
      <c r="BJ21" s="136"/>
      <c r="BK21" s="136"/>
      <c r="BL21" s="136"/>
      <c r="BM21" s="136"/>
      <c r="BN21" s="136"/>
      <c r="BO21" s="136"/>
      <c r="BP21" s="136"/>
      <c r="BQ21" s="136"/>
    </row>
    <row r="22" s="131" customFormat="1" ht="15.25" spans="1:70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137" t="s">
        <v>55</v>
      </c>
      <c r="M22" s="137" t="s">
        <v>56</v>
      </c>
      <c r="N22" s="137" t="s">
        <v>57</v>
      </c>
      <c r="O22" s="137" t="s">
        <v>58</v>
      </c>
      <c r="P22" s="137" t="s">
        <v>59</v>
      </c>
      <c r="Q22" s="137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138" t="s">
        <v>88</v>
      </c>
      <c r="AT22" s="138" t="s">
        <v>86</v>
      </c>
      <c r="AU22" s="101" t="s">
        <v>89</v>
      </c>
      <c r="AV22" s="101" t="s">
        <v>90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  <c r="BR22" s="139"/>
    </row>
    <row r="23" s="130" customFormat="1" ht="15.25" spans="1:70">
      <c r="A23" s="88">
        <v>1</v>
      </c>
      <c r="B23" s="88" t="s">
        <v>110</v>
      </c>
      <c r="C23" s="88" t="s">
        <v>110</v>
      </c>
      <c r="D23" s="88" t="s">
        <v>12</v>
      </c>
      <c r="E23" s="88" t="s">
        <v>12</v>
      </c>
      <c r="F23" s="103">
        <v>2</v>
      </c>
      <c r="G23" s="103">
        <v>100</v>
      </c>
      <c r="H23" s="140">
        <f>F23*G23</f>
        <v>200</v>
      </c>
      <c r="I23" s="136">
        <v>1</v>
      </c>
      <c r="J23" s="140">
        <v>2</v>
      </c>
      <c r="K23" s="140">
        <v>4</v>
      </c>
      <c r="L23" s="140">
        <f>H23</f>
        <v>200</v>
      </c>
      <c r="M23" s="140">
        <f>ROUND(L23*I23%,2)</f>
        <v>2</v>
      </c>
      <c r="N23" s="140">
        <f>H23-M23</f>
        <v>198</v>
      </c>
      <c r="O23" s="140">
        <f>ROUND(N23*J23%,2)</f>
        <v>3.96</v>
      </c>
      <c r="P23" s="140">
        <f>ROUND(N23-O23,2)</f>
        <v>194.04</v>
      </c>
      <c r="Q23" s="140">
        <f>ROUND(P23*K23%,2)</f>
        <v>7.76</v>
      </c>
      <c r="R23" s="140">
        <f>M23+O23+Q23</f>
        <v>13.72</v>
      </c>
      <c r="S23" s="140">
        <f>(H23-R23)</f>
        <v>186.28</v>
      </c>
      <c r="T23" s="140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40">
        <f>IF($V21=1,S23+AB23,S23)</f>
        <v>186.28</v>
      </c>
      <c r="AD23" s="140">
        <v>120</v>
      </c>
      <c r="AE23" s="140">
        <f>IF($P$21=1,(S23/$S$24)*$E$35,AD23/$AD$24*$E$35)</f>
        <v>0</v>
      </c>
      <c r="AF23" s="140"/>
      <c r="AG23" s="140">
        <f>IF($P$21=1,(S23/$S$24)*$E$37,AD23/$AD$24*$E$37)</f>
        <v>0</v>
      </c>
      <c r="AH23" s="140">
        <f>IF($P$21=1,(S23/$S$24)*$E$37,AD23/$AD$24*$E$37)</f>
        <v>0</v>
      </c>
      <c r="AI23" s="140">
        <f>S23*$M$21</f>
        <v>15833.8</v>
      </c>
      <c r="AJ23" s="140">
        <f>IF($C$21=3,0,AG23+AH23)</f>
        <v>0</v>
      </c>
      <c r="AK23" s="140">
        <f>IF($C$21=3,AE23+AG23+AH23,0)</f>
        <v>0</v>
      </c>
      <c r="AL23" s="140">
        <v>1</v>
      </c>
      <c r="AM23" s="140">
        <f>F23/AL23</f>
        <v>2</v>
      </c>
      <c r="AN23" s="140">
        <f>AI23/AM23</f>
        <v>7916.9</v>
      </c>
      <c r="AO23" s="140">
        <f>AJ23/AM23</f>
        <v>0</v>
      </c>
      <c r="AP23" s="140">
        <f>AK23/AM23</f>
        <v>0</v>
      </c>
      <c r="AQ23" s="140" t="s">
        <v>12</v>
      </c>
      <c r="AR23" s="140">
        <f>AN23+AO23+AP23</f>
        <v>7916.9</v>
      </c>
      <c r="AS23" s="140" t="s">
        <v>112</v>
      </c>
      <c r="AT23" s="140" t="s">
        <v>12</v>
      </c>
      <c r="AU23" t="s">
        <v>113</v>
      </c>
      <c r="AV23" t="s">
        <v>114</v>
      </c>
      <c r="AW23" s="140">
        <f>AM23</f>
        <v>2</v>
      </c>
      <c r="AX23" s="140">
        <f>AR23</f>
        <v>7916.9</v>
      </c>
      <c r="AY23" s="140">
        <f>AU23+AW23</f>
        <v>2</v>
      </c>
      <c r="AZ23" s="140">
        <f>ROUND(((AU23*AV23)+(AW23*AX23))/(AU23+AW23),5)</f>
        <v>7916.9</v>
      </c>
      <c r="BA23" s="141"/>
      <c r="BB23" s="141" t="s">
        <v>115</v>
      </c>
      <c r="BC23" s="141" t="s">
        <v>116</v>
      </c>
      <c r="BD23" s="142" t="s">
        <v>117</v>
      </c>
      <c r="BE23" s="142" t="s">
        <v>118</v>
      </c>
      <c r="BF23" s="141"/>
      <c r="BG23" s="141"/>
      <c r="BH23" s="141"/>
      <c r="BI23" s="140"/>
      <c r="BJ23" s="140"/>
      <c r="BK23" s="140"/>
      <c r="BL23" s="140" t="s">
        <v>119</v>
      </c>
      <c r="BM23" t="s">
        <v>120</v>
      </c>
      <c r="BN23" t="s">
        <v>121</v>
      </c>
      <c r="BO23" s="140">
        <f>ROUND((((AW23*AZ23)+(BN23*BM23))/(AW23+BN23)),5)</f>
        <v>5978.94273</v>
      </c>
      <c r="BP23" s="141">
        <f>BN23+AW23</f>
        <v>4</v>
      </c>
      <c r="BQ23" s="141">
        <v>88363222</v>
      </c>
    </row>
    <row r="24" s="130" customFormat="1" spans="1:70">
      <c r="A24" s="135"/>
      <c r="B24" s="136"/>
      <c r="C24" s="136"/>
      <c r="D24" s="143" t="s">
        <v>41</v>
      </c>
      <c r="E24" s="143"/>
      <c r="F24" s="143"/>
      <c r="G24" s="143"/>
      <c r="H24" s="143">
        <f>SUM(H23:H23)</f>
        <v>200</v>
      </c>
      <c r="I24" s="135"/>
      <c r="J24" s="135"/>
      <c r="K24" s="135"/>
      <c r="L24" s="135"/>
      <c r="M24" s="135"/>
      <c r="N24" s="135"/>
      <c r="O24" s="135"/>
      <c r="P24" s="135"/>
      <c r="Q24" s="135"/>
      <c r="R24" s="143">
        <f t="shared" ref="R24:Y24" si="1">SUM(R23:R23)</f>
        <v>13.72</v>
      </c>
      <c r="S24" s="144">
        <f t="shared" si="1"/>
        <v>186.28</v>
      </c>
      <c r="T24" s="143"/>
      <c r="U24" s="143"/>
      <c r="V24" s="145">
        <f t="shared" si="1"/>
        <v>0</v>
      </c>
      <c r="W24" s="145">
        <f t="shared" si="1"/>
        <v>0</v>
      </c>
      <c r="X24" s="145">
        <f t="shared" si="1"/>
        <v>0</v>
      </c>
      <c r="Y24" s="145">
        <f t="shared" si="1"/>
        <v>0</v>
      </c>
      <c r="Z24" s="145"/>
      <c r="AA24" s="145">
        <f t="shared" ref="AA24:AE24" si="2">SUM(AA23:AA23)</f>
        <v>0</v>
      </c>
      <c r="AB24" s="143">
        <f t="shared" si="2"/>
        <v>0</v>
      </c>
      <c r="AC24" s="98">
        <f t="shared" si="2"/>
        <v>186.28</v>
      </c>
      <c r="AD24" s="146">
        <f t="shared" si="2"/>
        <v>120</v>
      </c>
      <c r="AE24" s="146">
        <f t="shared" si="2"/>
        <v>0</v>
      </c>
      <c r="AF24" s="98"/>
      <c r="AG24" s="146">
        <f t="shared" ref="AG24:AK24" si="3">SUM(AG23:AG23)</f>
        <v>0</v>
      </c>
      <c r="AH24" s="146">
        <f t="shared" si="3"/>
        <v>0</v>
      </c>
      <c r="AI24" s="146">
        <f t="shared" si="3"/>
        <v>15833.8</v>
      </c>
      <c r="AJ24" s="146">
        <f t="shared" si="3"/>
        <v>0</v>
      </c>
      <c r="AK24" s="146">
        <f t="shared" si="3"/>
        <v>0</v>
      </c>
      <c r="AL24" s="98"/>
      <c r="AM24" s="98"/>
      <c r="AN24" s="98"/>
      <c r="AO24" s="98"/>
      <c r="AP24" s="98"/>
      <c r="AQ24" s="98"/>
      <c r="AR24" s="98"/>
      <c r="AS24" s="135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  <c r="BQ24" s="136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9" workbookViewId="0">
      <selection activeCell="C27" sqref="C27"/>
    </sheetView>
  </sheetViews>
  <sheetFormatPr defaultColWidth="8.71818181818182" defaultRowHeight="14.5"/>
  <cols>
    <col min="1" max="1" width="7.57272727272727" customWidth="1"/>
    <col min="2" max="3" width="2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10.7181818181818" customWidth="1"/>
    <col min="21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9.28181818181818" customWidth="1"/>
    <col min="46" max="46" width="13" customWidth="1"/>
    <col min="47" max="47" width="18" customWidth="1"/>
    <col min="48" max="48" width="24.4272727272727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49.1454545454545" customWidth="1"/>
    <col min="66" max="66" width="43.8545454545455" customWidth="1"/>
    <col min="67" max="67" width="22.7181818181818" customWidth="1"/>
    <col min="68" max="68" width="40.8545454545455" customWidth="1"/>
    <col min="69" max="69" width="7.57272727272727" customWidth="1"/>
  </cols>
  <sheetData>
    <row r="1" ht="18.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2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2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2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2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2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54</v>
      </c>
      <c r="K22" s="95" t="s">
        <v>53</v>
      </c>
      <c r="L22" s="120" t="s">
        <v>55</v>
      </c>
      <c r="M22" s="120" t="s">
        <v>56</v>
      </c>
      <c r="N22" s="120" t="s">
        <v>59</v>
      </c>
      <c r="O22" s="120" t="s">
        <v>60</v>
      </c>
      <c r="P22" s="120" t="s">
        <v>122</v>
      </c>
      <c r="Q22" s="120" t="s">
        <v>58</v>
      </c>
      <c r="R22" s="95" t="s">
        <v>61</v>
      </c>
      <c r="S22" s="94" t="s">
        <v>123</v>
      </c>
      <c r="T22" s="94" t="s">
        <v>63</v>
      </c>
      <c r="U22" s="97" t="s">
        <v>124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125</v>
      </c>
      <c r="AS22" s="94" t="s">
        <v>88</v>
      </c>
      <c r="AT22" s="94" t="s">
        <v>86</v>
      </c>
      <c r="AU22" s="94" t="s">
        <v>89</v>
      </c>
      <c r="AV22" s="94" t="s">
        <v>90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94" t="s">
        <v>106</v>
      </c>
      <c r="BM22" s="94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25" spans="1:69">
      <c r="A23" s="88">
        <v>1</v>
      </c>
      <c r="B23" s="44" t="s">
        <v>126</v>
      </c>
      <c r="C23" s="44" t="s">
        <v>126</v>
      </c>
      <c r="D23" s="88" t="s">
        <v>12</v>
      </c>
      <c r="E23" s="88" t="s">
        <v>12</v>
      </c>
      <c r="F23" s="103">
        <v>2</v>
      </c>
      <c r="G23" s="103">
        <v>100</v>
      </c>
      <c r="H23" s="115">
        <f>F23*G23</f>
        <v>200</v>
      </c>
      <c r="I23" s="93">
        <v>1</v>
      </c>
      <c r="J23" s="115">
        <v>2</v>
      </c>
      <c r="K23" s="115">
        <v>4</v>
      </c>
      <c r="L23" s="115">
        <f>IF(OR(I23=0,I23="0"),0,H23)</f>
        <v>200</v>
      </c>
      <c r="M23" s="115">
        <f>ROUND(L23*I23%,3)</f>
        <v>2</v>
      </c>
      <c r="N23" s="115">
        <f>H23-M23</f>
        <v>198</v>
      </c>
      <c r="O23" s="115">
        <f>ROUND(N23*J23%,3)</f>
        <v>3.96</v>
      </c>
      <c r="P23" s="115">
        <f>ROUND(N23-O23,2)</f>
        <v>194.04</v>
      </c>
      <c r="Q23" s="115">
        <f>ROUND(P23*K23%,2)</f>
        <v>7.76</v>
      </c>
      <c r="R23" s="121">
        <f>ROUND(M23+O23+Q23,3)</f>
        <v>13.72</v>
      </c>
      <c r="S23" s="115">
        <f>(H23-R23)</f>
        <v>186.28</v>
      </c>
      <c r="T23" s="115">
        <v>88363222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2">
        <f>IF($V21=1,S23+AB23,S23)</f>
        <v>186.28</v>
      </c>
      <c r="AD23" s="121">
        <v>120</v>
      </c>
      <c r="AE23" s="121">
        <f>IF($P$21=1,(S23/$S$23)*$E$30,AD23/$AD$4*$E$30)</f>
        <v>0</v>
      </c>
      <c r="AF23" s="121"/>
      <c r="AG23" s="121">
        <f>IF($P$21=1,(S23/$S$23)*$E$20,AD23/$AD$23*$E$20)</f>
        <v>0</v>
      </c>
      <c r="AH23" s="121">
        <f>IF($P$21=1,(S23/$S$23)*$E$21,AD23/$AD$23*$E$21)</f>
        <v>0</v>
      </c>
      <c r="AI23" s="121">
        <f>S23*$M21</f>
        <v>15833.8</v>
      </c>
      <c r="AJ23" s="121">
        <f>IF($C$2=3,0,AG23+AH23)</f>
        <v>0</v>
      </c>
      <c r="AK23" s="121">
        <f>IF($C$2=3,AE23+AG23+AH23,0)</f>
        <v>0</v>
      </c>
      <c r="AL23" s="123">
        <v>3</v>
      </c>
      <c r="AM23" s="121">
        <f>F23/AL23</f>
        <v>0.666666666666667</v>
      </c>
      <c r="AN23" s="121">
        <f>ROUND(AI23/AM23,5)</f>
        <v>23750.7</v>
      </c>
      <c r="AO23" s="121">
        <f>AJ23/AM23</f>
        <v>0</v>
      </c>
      <c r="AP23" s="121">
        <f>AK23/AM23</f>
        <v>0</v>
      </c>
      <c r="AQ23" s="121" t="s">
        <v>12</v>
      </c>
      <c r="AR23" s="121">
        <f>ROUND(AN23+AO23+AP23,5)</f>
        <v>23750.7</v>
      </c>
      <c r="AS23" s="124" t="s">
        <v>127</v>
      </c>
      <c r="AT23" s="115" t="s">
        <v>12</v>
      </c>
      <c r="AU23" s="116" t="s">
        <v>128</v>
      </c>
      <c r="AV23" s="116" t="s">
        <v>129</v>
      </c>
      <c r="AW23" s="115">
        <f>AM23</f>
        <v>0.666666666666667</v>
      </c>
      <c r="AX23" s="121">
        <f>AR23</f>
        <v>23750.7</v>
      </c>
      <c r="AY23" s="115">
        <f>AU23+AW23</f>
        <v>117.000666666667</v>
      </c>
      <c r="AZ23" s="125">
        <f>ROUND(((AU23*AV23)+(AW23*AX23))/(AU23+AW23),5)</f>
        <v>6394.32854</v>
      </c>
      <c r="BA23" s="126"/>
      <c r="BB23" s="126" t="s">
        <v>115</v>
      </c>
      <c r="BC23" s="126" t="s">
        <v>116</v>
      </c>
      <c r="BD23" s="127" t="s">
        <v>117</v>
      </c>
      <c r="BE23" s="127" t="s">
        <v>118</v>
      </c>
      <c r="BF23" s="126"/>
      <c r="BG23" s="126"/>
      <c r="BH23" s="126"/>
      <c r="BI23" s="115"/>
      <c r="BJ23" s="115"/>
      <c r="BK23" s="115"/>
      <c r="BL23" s="128" t="s">
        <v>119</v>
      </c>
      <c r="BM23" s="116" t="s">
        <v>130</v>
      </c>
      <c r="BN23" s="116" t="s">
        <v>131</v>
      </c>
      <c r="BO23" s="115">
        <f>ROUND((((AW23*AZ23)+(BN23*BM23))/(AW23+BN23)),5)</f>
        <v>280.32668</v>
      </c>
      <c r="BP23" s="126">
        <f>ROUND(BN23+AW23,3)</f>
        <v>120.667</v>
      </c>
      <c r="BQ23" s="129">
        <v>123562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13.72</v>
      </c>
      <c r="S24" s="111">
        <f t="shared" si="1"/>
        <v>186.28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186.28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15833.8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hyperlinks>
    <hyperlink ref="AS23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C9" workbookViewId="0">
      <selection activeCell="G24" sqref="G24"/>
    </sheetView>
  </sheetViews>
  <sheetFormatPr defaultColWidth="8.71818181818182" defaultRowHeight="14.5"/>
  <cols>
    <col min="1" max="1" width="7.57272727272727" customWidth="1"/>
    <col min="2" max="3" width="25.281818181818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2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2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2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2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2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132</v>
      </c>
      <c r="AV22" s="100" t="s">
        <v>133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25" spans="1:69">
      <c r="A23" s="88">
        <v>1</v>
      </c>
      <c r="B23" s="44" t="s">
        <v>134</v>
      </c>
      <c r="C23" s="44" t="s">
        <v>134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6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>
        <v>113</v>
      </c>
      <c r="AV23" t="s">
        <v>114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135</v>
      </c>
      <c r="BN23" t="s">
        <v>136</v>
      </c>
      <c r="BO23" s="104">
        <f>ROUND((((AW23*AZ23)+(BN23*BM23))/(AW23+BN23)),5)</f>
        <v>8572.52323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C12" workbookViewId="0">
      <selection activeCell="G24" sqref="G24"/>
    </sheetView>
  </sheetViews>
  <sheetFormatPr defaultColWidth="8.71818181818182" defaultRowHeight="14.5"/>
  <cols>
    <col min="1" max="1" width="7.57272727272727" customWidth="1"/>
    <col min="2" max="3" width="25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2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2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2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25" spans="1:69">
      <c r="A19" s="63"/>
      <c r="B19" s="117" t="s">
        <v>41</v>
      </c>
      <c r="C19" s="118"/>
      <c r="D19" s="118"/>
      <c r="E19" s="118"/>
      <c r="F19" s="118"/>
      <c r="G19" s="119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2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132</v>
      </c>
      <c r="AV22" s="100" t="s">
        <v>133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25" spans="1:69">
      <c r="A23" s="88">
        <v>1</v>
      </c>
      <c r="B23" s="44" t="s">
        <v>137</v>
      </c>
      <c r="C23" s="44" t="s">
        <v>137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6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6"/>
      <c r="AV23" s="116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6"/>
      <c r="BN23" s="116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X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/>
      <c r="Z24" s="112"/>
      <c r="AA24" s="112"/>
      <c r="AB24" s="110">
        <f t="shared" ref="AB24:AE24" si="2">SUM(AB23:AB23)</f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BO23" sqref="BO23"/>
    </sheetView>
  </sheetViews>
  <sheetFormatPr defaultColWidth="8.71818181818182" defaultRowHeight="14.5"/>
  <cols>
    <col min="1" max="1" width="7.57272727272727" customWidth="1"/>
    <col min="2" max="3" width="24.718181818181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2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2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2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2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2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132</v>
      </c>
      <c r="AV22" s="100" t="s">
        <v>133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25" spans="1:69">
      <c r="A23" s="88">
        <v>1</v>
      </c>
      <c r="B23" s="88" t="s">
        <v>138</v>
      </c>
      <c r="C23" s="88" t="s">
        <v>138</v>
      </c>
      <c r="D23" s="88" t="s">
        <v>12</v>
      </c>
      <c r="E23" s="88" t="s">
        <v>12</v>
      </c>
      <c r="F23" s="103">
        <v>2</v>
      </c>
      <c r="G23" t="s">
        <v>139</v>
      </c>
      <c r="H23" s="104">
        <f>F23*G23</f>
        <v>200</v>
      </c>
      <c r="I23" t="s">
        <v>140</v>
      </c>
      <c r="J23" s="104">
        <v>2</v>
      </c>
      <c r="K23" s="104">
        <v>4</v>
      </c>
      <c r="L23" s="104">
        <f>H23</f>
        <v>200</v>
      </c>
      <c r="M23" s="104">
        <f>ROUND(L23*I23%,2)</f>
        <v>2</v>
      </c>
      <c r="N23" s="104">
        <f>H23-M23</f>
        <v>198</v>
      </c>
      <c r="O23" s="104">
        <f>ROUND(N23*J23%,2)</f>
        <v>3.96</v>
      </c>
      <c r="P23" s="104">
        <f>ROUND(N23-O23,2)</f>
        <v>194.04</v>
      </c>
      <c r="Q23" s="104">
        <f>ROUND(P23*K23%,2)</f>
        <v>7.76</v>
      </c>
      <c r="R23" s="104">
        <f>M23+O23+Q23</f>
        <v>13.72</v>
      </c>
      <c r="S23" s="104">
        <f>(H23-R23)</f>
        <v>186.28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186.28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15833.8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7916.9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7916.9</v>
      </c>
      <c r="AS23" s="104" t="s">
        <v>112</v>
      </c>
      <c r="AT23" s="104" t="s">
        <v>12</v>
      </c>
      <c r="AU23" t="s">
        <v>113</v>
      </c>
      <c r="AV23" t="s">
        <v>141</v>
      </c>
      <c r="AW23" s="104">
        <f>AM23</f>
        <v>2</v>
      </c>
      <c r="AX23" s="104">
        <f>AR23</f>
        <v>7916.9</v>
      </c>
      <c r="AY23" s="104">
        <f>AU23+AW23</f>
        <v>2</v>
      </c>
      <c r="AZ23" s="104">
        <f>ROUND(((AU23*AV23)+(AW23*AX23))/(AU23+AW23),5)</f>
        <v>7916.9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142</v>
      </c>
      <c r="BM23" t="s">
        <v>143</v>
      </c>
      <c r="BN23" t="s">
        <v>144</v>
      </c>
      <c r="BO23" s="104">
        <f>ROUND((((AW23*AZ23)+(BN23*BM23))/(AW23+BN23)),5)</f>
        <v>8206.33872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13.72</v>
      </c>
      <c r="S24" s="111">
        <f t="shared" si="1"/>
        <v>186.28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186.28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15833.8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8" workbookViewId="0">
      <selection activeCell="AZ23" sqref="AZ23"/>
    </sheetView>
  </sheetViews>
  <sheetFormatPr defaultColWidth="8.71818181818182" defaultRowHeight="14.5"/>
  <cols>
    <col min="1" max="1" width="7.57272727272727" customWidth="1"/>
    <col min="2" max="3" width="25.1454545454545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2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2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2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2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2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132</v>
      </c>
      <c r="AV22" s="100" t="s">
        <v>133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25" spans="1:69">
      <c r="A23" s="88">
        <v>1</v>
      </c>
      <c r="B23" s="88" t="s">
        <v>145</v>
      </c>
      <c r="C23" s="88" t="s">
        <v>145</v>
      </c>
      <c r="D23" s="88" t="s">
        <v>12</v>
      </c>
      <c r="E23" s="88" t="s">
        <v>12</v>
      </c>
      <c r="F23" s="103">
        <v>2</v>
      </c>
      <c r="G23" t="s">
        <v>139</v>
      </c>
      <c r="H23" s="104">
        <f>F23*G23</f>
        <v>200</v>
      </c>
      <c r="I23" t="s">
        <v>140</v>
      </c>
      <c r="J23" s="104">
        <v>2</v>
      </c>
      <c r="K23" s="104">
        <v>4</v>
      </c>
      <c r="L23" s="104">
        <f>H23</f>
        <v>200</v>
      </c>
      <c r="M23" s="104">
        <f>ROUND(L23*I23%,2)</f>
        <v>2</v>
      </c>
      <c r="N23" s="104">
        <f>H23-M23</f>
        <v>198</v>
      </c>
      <c r="O23" s="104">
        <f>ROUND(N23*J23%,2)</f>
        <v>3.96</v>
      </c>
      <c r="P23" s="104">
        <f>ROUND(N23-O23,2)</f>
        <v>194.04</v>
      </c>
      <c r="Q23" s="104">
        <f>ROUND(P23*K23%,2)</f>
        <v>7.76</v>
      </c>
      <c r="R23" s="104">
        <f>M23+O23+Q23</f>
        <v>13.72</v>
      </c>
      <c r="S23" s="104">
        <f>(H23-R23)</f>
        <v>186.28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186.28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15833.8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7916.9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7916.9</v>
      </c>
      <c r="AS23" s="104" t="s">
        <v>112</v>
      </c>
      <c r="AT23" s="104" t="s">
        <v>12</v>
      </c>
      <c r="AU23" s="116"/>
      <c r="AV23" s="116"/>
      <c r="AW23" s="104">
        <f>AM23</f>
        <v>2</v>
      </c>
      <c r="AX23" s="104">
        <f>AR23</f>
        <v>7916.9</v>
      </c>
      <c r="AY23" s="104">
        <f>AU23+AW23</f>
        <v>2</v>
      </c>
      <c r="AZ23" s="104">
        <f>ROUND(((AU23*AV23)+(AW23*AX23))/(AU23+AW23),5)</f>
        <v>7916.9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6"/>
      <c r="BN23" s="116"/>
      <c r="BO23" s="104">
        <f>ROUND((((AW23*AZ23)+(BN23*BM23))/(AW23+BN23)),5)</f>
        <v>7916.9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13.72</v>
      </c>
      <c r="S24" s="111">
        <f t="shared" si="1"/>
        <v>186.28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186.28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15833.8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9" workbookViewId="0">
      <selection activeCell="C23" sqref="C23"/>
    </sheetView>
  </sheetViews>
  <sheetFormatPr defaultColWidth="8.71818181818182" defaultRowHeight="14.5"/>
  <cols>
    <col min="1" max="1" width="7.57272727272727" customWidth="1"/>
    <col min="2" max="3" width="24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2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2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2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2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2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132</v>
      </c>
      <c r="AV22" s="100" t="s">
        <v>133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25" spans="1:69">
      <c r="A23" s="88">
        <v>1</v>
      </c>
      <c r="B23" s="44" t="s">
        <v>146</v>
      </c>
      <c r="C23" s="44" t="s">
        <v>146</v>
      </c>
      <c r="D23" s="88" t="s">
        <v>12</v>
      </c>
      <c r="E23" s="88" t="s">
        <v>12</v>
      </c>
      <c r="F23" s="103">
        <v>3</v>
      </c>
      <c r="G23" s="103">
        <v>100</v>
      </c>
      <c r="H23" s="104">
        <f>F23*G23</f>
        <v>300</v>
      </c>
      <c r="I23" s="116">
        <v>1</v>
      </c>
      <c r="J23" s="104">
        <v>2</v>
      </c>
      <c r="K23" s="104">
        <v>4</v>
      </c>
      <c r="L23" s="104">
        <f>H23</f>
        <v>300</v>
      </c>
      <c r="M23" s="104">
        <f>ROUND(L23*I23%,2)</f>
        <v>3</v>
      </c>
      <c r="N23" s="104">
        <f>H23-M23</f>
        <v>297</v>
      </c>
      <c r="O23" s="104">
        <f>ROUND(N23*J23%,2)</f>
        <v>5.94</v>
      </c>
      <c r="P23" s="104">
        <f>ROUND(N23-O23,2)</f>
        <v>291.06</v>
      </c>
      <c r="Q23" s="104">
        <f>ROUND(P23*K23%,2)</f>
        <v>11.64</v>
      </c>
      <c r="R23" s="104">
        <f>M23+O23+Q23</f>
        <v>20.58</v>
      </c>
      <c r="S23" s="104">
        <f>(H23-R23)</f>
        <v>279.42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279.42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23750.7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23750.7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23750.7</v>
      </c>
      <c r="AS23" s="104" t="s">
        <v>112</v>
      </c>
      <c r="AT23" s="104" t="s">
        <v>12</v>
      </c>
      <c r="AU23" t="s">
        <v>113</v>
      </c>
      <c r="AV23" t="s">
        <v>147</v>
      </c>
      <c r="AW23" s="104">
        <f>AM23</f>
        <v>1</v>
      </c>
      <c r="AX23" s="104">
        <f>AR23</f>
        <v>23750.7</v>
      </c>
      <c r="AY23" s="104">
        <f>AU23+AW23</f>
        <v>1</v>
      </c>
      <c r="AZ23" s="104">
        <f>ROUND(((AU23*AV23)+(AW23*AX23))/(AU23+AW23),5)</f>
        <v>23750.7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148</v>
      </c>
      <c r="BN23" t="s">
        <v>149</v>
      </c>
      <c r="BO23" s="104">
        <f>ROUND((((AW23*AZ23)+(BN23*BM23))/(AW23+BN23)),5)</f>
        <v>21092.09434</v>
      </c>
      <c r="BP23" s="108">
        <f>BN23+AW23</f>
        <v>22.344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300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20.58</v>
      </c>
      <c r="S24" s="111">
        <f t="shared" si="1"/>
        <v>279.42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279.42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23750.7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9" workbookViewId="0">
      <selection activeCell="F26" sqref="F26"/>
    </sheetView>
  </sheetViews>
  <sheetFormatPr defaultColWidth="8.71818181818182" defaultRowHeight="14.5"/>
  <cols>
    <col min="1" max="1" width="7.57272727272727" customWidth="1"/>
    <col min="2" max="3" width="2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2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2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2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2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2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132</v>
      </c>
      <c r="AV22" s="100" t="s">
        <v>133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25" spans="1:69">
      <c r="A23" s="88">
        <v>1</v>
      </c>
      <c r="B23" s="44" t="s">
        <v>150</v>
      </c>
      <c r="C23" s="44" t="s">
        <v>150</v>
      </c>
      <c r="D23" s="88" t="s">
        <v>12</v>
      </c>
      <c r="E23" s="88" t="s">
        <v>12</v>
      </c>
      <c r="F23" s="103">
        <v>3</v>
      </c>
      <c r="G23" s="103">
        <v>250</v>
      </c>
      <c r="H23" s="104">
        <f>F23*G23</f>
        <v>750</v>
      </c>
      <c r="I23" s="116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>
        <v>113</v>
      </c>
      <c r="AV23" t="s">
        <v>151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152</v>
      </c>
      <c r="BN23" t="s">
        <v>153</v>
      </c>
      <c r="BO23" s="104">
        <f>ROUND((((AW23*AZ23)+(BN23*BM23))/(AW23+BN23)),5)</f>
        <v>26398.17586</v>
      </c>
      <c r="BP23" s="108">
        <f>BN23+AW23</f>
        <v>14.34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12" workbookViewId="0">
      <selection activeCell="BM28" sqref="BM28"/>
    </sheetView>
  </sheetViews>
  <sheetFormatPr defaultColWidth="8.71818181818182" defaultRowHeight="14.5"/>
  <cols>
    <col min="1" max="1" width="7.57272727272727" customWidth="1"/>
    <col min="2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2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2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2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2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2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132</v>
      </c>
      <c r="AV22" s="100" t="s">
        <v>133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25" spans="1:69">
      <c r="A23" s="88">
        <v>1</v>
      </c>
      <c r="B23" s="88" t="s">
        <v>154</v>
      </c>
      <c r="C23" s="88" t="s">
        <v>154</v>
      </c>
      <c r="D23" s="88" t="s">
        <v>12</v>
      </c>
      <c r="E23" s="88" t="s">
        <v>12</v>
      </c>
      <c r="F23" s="103">
        <v>3</v>
      </c>
      <c r="G23" t="s">
        <v>139</v>
      </c>
      <c r="H23" s="104">
        <f>F23*G23</f>
        <v>300</v>
      </c>
      <c r="I23" t="s">
        <v>140</v>
      </c>
      <c r="J23" s="104">
        <v>2</v>
      </c>
      <c r="K23" s="104">
        <v>4</v>
      </c>
      <c r="L23" s="104">
        <f>H23</f>
        <v>300</v>
      </c>
      <c r="M23" s="104">
        <f>ROUND(L23*I23%,2)</f>
        <v>3</v>
      </c>
      <c r="N23" s="104">
        <f>H23-M23</f>
        <v>297</v>
      </c>
      <c r="O23" s="104">
        <f>ROUND(N23*J23%,2)</f>
        <v>5.94</v>
      </c>
      <c r="P23" s="104">
        <f>ROUND(N23-O23,2)</f>
        <v>291.06</v>
      </c>
      <c r="Q23" s="104">
        <f>ROUND(P23*K23%,2)</f>
        <v>11.64</v>
      </c>
      <c r="R23" s="104">
        <f>M23+O23+Q23</f>
        <v>20.58</v>
      </c>
      <c r="S23" s="104">
        <f>(H23-R23)</f>
        <v>279.42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279.42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23750.7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23750.7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23750.7</v>
      </c>
      <c r="AS23" s="104" t="s">
        <v>112</v>
      </c>
      <c r="AT23" s="104" t="s">
        <v>12</v>
      </c>
      <c r="AU23" t="s">
        <v>113</v>
      </c>
      <c r="AV23" t="s">
        <v>151</v>
      </c>
      <c r="AW23" s="104">
        <f>AM23</f>
        <v>1</v>
      </c>
      <c r="AX23" s="104">
        <f>AR23</f>
        <v>23750.7</v>
      </c>
      <c r="AY23" s="104">
        <f>AU23+AW23</f>
        <v>1</v>
      </c>
      <c r="AZ23" s="104">
        <f>ROUND(((AU23*AV23)+(AW23*AX23))/(AU23+AW23),5)</f>
        <v>23750.7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155</v>
      </c>
      <c r="BN23" t="s">
        <v>156</v>
      </c>
      <c r="BO23" s="104">
        <f>ROUND((((AW23*AZ23)+(BN23*BM23))/(AW23+BN23)),5)</f>
        <v>24573.84339</v>
      </c>
      <c r="BP23" s="108">
        <f>BN23+AW23</f>
        <v>21.01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300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20.58</v>
      </c>
      <c r="S24" s="111">
        <f t="shared" si="1"/>
        <v>279.42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279.42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23750.7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115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0" sqref="I10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454545454545" style="1" customWidth="1"/>
    <col min="21" max="51" width="9.85454545454546" style="1"/>
    <col min="52" max="52" width="11.5727272727273" style="1" customWidth="1"/>
    <col min="53" max="66" width="9.85454545454546" style="1"/>
    <col min="67" max="67" width="12" style="1"/>
    <col min="68" max="16384" width="9.8545454545454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4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1">
        <v>5</v>
      </c>
      <c r="G4" s="21">
        <v>150</v>
      </c>
      <c r="H4" s="21">
        <f>F4*G4</f>
        <v>750</v>
      </c>
      <c r="I4" s="21">
        <v>1</v>
      </c>
      <c r="J4" s="21">
        <v>8</v>
      </c>
      <c r="K4" s="21">
        <v>5</v>
      </c>
      <c r="L4" s="21">
        <f>H4</f>
        <v>750</v>
      </c>
      <c r="M4" s="21">
        <f>ROUND(L4*I4%,2)</f>
        <v>7.5</v>
      </c>
      <c r="N4" s="21">
        <f>H4-M4</f>
        <v>742.5</v>
      </c>
      <c r="O4" s="21">
        <f>ROUND(N4*J4%,2)</f>
        <v>59.4</v>
      </c>
      <c r="P4" s="21">
        <f>ROUND(N4-O4,2)</f>
        <v>683.1</v>
      </c>
      <c r="Q4" s="21">
        <f>ROUND(P4*K4%,2)</f>
        <v>34.16</v>
      </c>
      <c r="R4" s="21">
        <f>M4+O4+Q4</f>
        <v>101.06</v>
      </c>
      <c r="S4" s="21">
        <f>(H4-R4)</f>
        <v>648.94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4</v>
      </c>
      <c r="AA4" s="21">
        <f>IF($C2=3,0,(S4*Z4)/100)</f>
        <v>0</v>
      </c>
      <c r="AB4" s="21">
        <f>V4+W4+X4+Y4+AA4</f>
        <v>0</v>
      </c>
      <c r="AC4" s="21">
        <f>IF($V2=1,S4+AB4,S4)</f>
        <v>648.94</v>
      </c>
      <c r="AD4" s="21">
        <v>120</v>
      </c>
      <c r="AE4" s="21">
        <f>IF($P$2=1,(S4/$S$5)*$E$16,AD4/$AD$5*$E$16)</f>
        <v>0</v>
      </c>
      <c r="AF4" s="21"/>
      <c r="AG4" s="21">
        <f>IF($P$2=1,(S4/$S$5)*$E$18,AD4/$AD$5*$E$18)</f>
        <v>0</v>
      </c>
      <c r="AH4" s="21">
        <f>IF($P$2=1,(S4/$S$5)*$E$18,AD4/$AD$5*$E$18)</f>
        <v>0</v>
      </c>
      <c r="AI4" s="21">
        <f>S4*$M$2</f>
        <v>648.94</v>
      </c>
      <c r="AJ4" s="21">
        <f>IF($C$2=3,0,AG4+AH4)</f>
        <v>0</v>
      </c>
      <c r="AK4" s="21">
        <f>IF($C$2=3,AE4+AG4+AH4,0)</f>
        <v>0</v>
      </c>
      <c r="AL4" s="21">
        <v>1</v>
      </c>
      <c r="AM4" s="21">
        <f>F4/AL4</f>
        <v>5</v>
      </c>
      <c r="AN4" s="21">
        <f>AI4/AM4</f>
        <v>129.788</v>
      </c>
      <c r="AO4" s="21">
        <f>AJ4/AM4</f>
        <v>0</v>
      </c>
      <c r="AP4" s="21">
        <f>AK4/AM4</f>
        <v>0</v>
      </c>
      <c r="AQ4" s="21" t="s">
        <v>12</v>
      </c>
      <c r="AR4" s="6">
        <f>ROUND(AN4+AO4+AP4,5)</f>
        <v>129.788</v>
      </c>
      <c r="AS4" s="6" t="s">
        <v>157</v>
      </c>
      <c r="AT4" s="28" t="s">
        <v>12</v>
      </c>
      <c r="AW4" s="28">
        <f>AM4</f>
        <v>5</v>
      </c>
      <c r="AX4" s="28">
        <f>AR4</f>
        <v>129.788</v>
      </c>
      <c r="AY4" s="28">
        <f>AU4+AW4</f>
        <v>14095</v>
      </c>
      <c r="AZ4" s="28">
        <f>ROUND(((AU4*AV4)+(AW4*AX4))/(AU4+AW4),5)</f>
        <v>129.788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142</v>
      </c>
      <c r="BM4" s="1" t="s">
        <v>113</v>
      </c>
      <c r="BN4" s="1" t="s">
        <v>113</v>
      </c>
      <c r="BO4" s="28">
        <f>ROUND((((AW4*AZ4)+(BN4*BM4))/(AW4+BN4)),5)</f>
        <v>129.788</v>
      </c>
      <c r="BP4" s="34">
        <f>BN4+AW4</f>
        <v>696</v>
      </c>
      <c r="BQ4" s="35">
        <v>123562</v>
      </c>
    </row>
    <row r="5" ht="15.2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648.94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workbookViewId="0">
      <selection activeCell="K14" sqref="K14"/>
    </sheetView>
  </sheetViews>
  <sheetFormatPr defaultColWidth="8.71818181818182" defaultRowHeight="14.5"/>
  <cols>
    <col min="1" max="1" width="8.71818181818182" style="1"/>
    <col min="2" max="2" width="19.1454545454545" style="1" customWidth="1"/>
    <col min="3" max="3" width="25.8545454545455" style="1" customWidth="1"/>
    <col min="4" max="19" width="8.71818181818182" style="1"/>
    <col min="20" max="20" width="10.1454545454545" style="1" customWidth="1"/>
    <col min="21" max="51" width="8.71818181818182" style="1"/>
    <col min="52" max="52" width="12" style="1"/>
    <col min="53" max="66" width="8.71818181818182" style="1"/>
    <col min="67" max="67" width="1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158</v>
      </c>
      <c r="B3" s="10" t="s">
        <v>3</v>
      </c>
      <c r="C3" s="10" t="s">
        <v>159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44" t="s">
        <v>126</v>
      </c>
      <c r="C4" s="44" t="s">
        <v>126</v>
      </c>
      <c r="D4" s="20" t="s">
        <v>12</v>
      </c>
      <c r="E4" s="20" t="s">
        <v>12</v>
      </c>
      <c r="F4" s="21">
        <v>2</v>
      </c>
      <c r="G4" s="21">
        <v>150</v>
      </c>
      <c r="H4" s="21">
        <f>F4*G4</f>
        <v>300</v>
      </c>
      <c r="I4" s="21">
        <v>1</v>
      </c>
      <c r="J4" s="21">
        <v>8</v>
      </c>
      <c r="K4" s="21">
        <v>5</v>
      </c>
      <c r="L4" s="21">
        <f>H4</f>
        <v>300</v>
      </c>
      <c r="M4" s="21">
        <f>ROUND(L4*I4%,2)</f>
        <v>3</v>
      </c>
      <c r="N4" s="21">
        <f>H4-M4</f>
        <v>297</v>
      </c>
      <c r="O4" s="21">
        <f>ROUND(N4*J4%,2)</f>
        <v>23.76</v>
      </c>
      <c r="P4" s="21">
        <f>ROUND(N4-O4,2)</f>
        <v>273.24</v>
      </c>
      <c r="Q4" s="21">
        <f>ROUND(P4*K4%,2)</f>
        <v>13.66</v>
      </c>
      <c r="R4" s="21">
        <f>M4+O4+Q4</f>
        <v>40.42</v>
      </c>
      <c r="S4" s="21">
        <f>(H4-R4)</f>
        <v>259.58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259.58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S4*$M$2</f>
        <v>259.58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2</v>
      </c>
      <c r="AN4" s="23">
        <f>ROUND(AI4/AM4,5)</f>
        <v>129.79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129.79</v>
      </c>
      <c r="AS4" s="27" t="s">
        <v>127</v>
      </c>
      <c r="AT4" s="28" t="s">
        <v>12</v>
      </c>
      <c r="AU4" s="22" t="s">
        <v>160</v>
      </c>
      <c r="AV4" s="22" t="s">
        <v>161</v>
      </c>
      <c r="AW4" s="28">
        <f>AM4</f>
        <v>2</v>
      </c>
      <c r="AX4" s="28">
        <f>AR4</f>
        <v>129.79</v>
      </c>
      <c r="AY4" s="28">
        <f>AU4+AW4</f>
        <v>112</v>
      </c>
      <c r="AZ4" s="28">
        <f>ROUND(((AU4*AV4)+(AW4*AX4))/(AU4+AW4),5)</f>
        <v>124.63866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162</v>
      </c>
      <c r="BM4" s="22" t="s">
        <v>161</v>
      </c>
      <c r="BN4" s="22" t="s">
        <v>163</v>
      </c>
      <c r="BO4" s="28">
        <f>ROUND((((AW4*AZ4)+(BN4*BM4))/(AW4+BN4)),5)</f>
        <v>124.57176</v>
      </c>
      <c r="BP4" s="34">
        <f>BN4+AW4</f>
        <v>7</v>
      </c>
      <c r="BQ4" s="35">
        <v>123562</v>
      </c>
    </row>
    <row r="5" ht="15.2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300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40.42</v>
      </c>
      <c r="S5" s="39">
        <f t="shared" si="0"/>
        <v>259.58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259.58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259.58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2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25" spans="1:69">
      <c r="A7" s="5"/>
      <c r="B7" s="5"/>
      <c r="C7" s="5"/>
      <c r="D7" s="5"/>
      <c r="E7" s="5"/>
      <c r="F7" s="5"/>
      <c r="G7" s="54" t="s">
        <v>164</v>
      </c>
      <c r="H7" s="55"/>
      <c r="I7" s="56">
        <f>H5</f>
        <v>300</v>
      </c>
      <c r="J7" s="56"/>
      <c r="K7" s="5"/>
      <c r="L7" s="5"/>
      <c r="M7" s="57" t="s">
        <v>165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166</v>
      </c>
      <c r="BI7" s="147" t="s">
        <v>167</v>
      </c>
      <c r="BJ7" s="5"/>
      <c r="BK7" s="5"/>
      <c r="BL7" s="5"/>
      <c r="BM7" s="5"/>
      <c r="BN7" s="5"/>
      <c r="BO7" s="5"/>
      <c r="BP7" s="6"/>
      <c r="BQ7" s="6"/>
    </row>
    <row r="8" ht="15.25" spans="1:69">
      <c r="A8" s="5"/>
      <c r="B8" s="5"/>
      <c r="C8" s="5"/>
      <c r="D8" s="5"/>
      <c r="E8" s="5"/>
      <c r="F8" s="5"/>
      <c r="G8" s="54" t="s">
        <v>168</v>
      </c>
      <c r="H8" s="55"/>
      <c r="I8" s="56">
        <f>R5</f>
        <v>40.42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169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170</v>
      </c>
      <c r="BI8" s="147" t="s">
        <v>171</v>
      </c>
      <c r="BJ8" s="5"/>
      <c r="BK8" s="5"/>
      <c r="BL8" s="5"/>
      <c r="BM8" s="5"/>
      <c r="BN8" s="5"/>
      <c r="BO8" s="5"/>
      <c r="BP8" s="6"/>
      <c r="BQ8" s="6"/>
    </row>
    <row r="9" ht="15.25" spans="1:69">
      <c r="A9" s="5"/>
      <c r="B9" s="5"/>
      <c r="C9" s="5"/>
      <c r="D9" s="5"/>
      <c r="E9" s="5"/>
      <c r="F9" s="5"/>
      <c r="G9" s="54" t="s">
        <v>172</v>
      </c>
      <c r="H9" s="55"/>
      <c r="I9" s="56">
        <f>S5</f>
        <v>259.58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173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25" spans="1:69">
      <c r="A10" s="5"/>
      <c r="B10" s="5"/>
      <c r="C10" s="5"/>
      <c r="D10" s="5"/>
      <c r="E10" s="5"/>
      <c r="F10" s="5"/>
      <c r="G10" s="54" t="s">
        <v>174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169</v>
      </c>
      <c r="O10" s="20">
        <v>0.001</v>
      </c>
      <c r="P10" s="20" t="s">
        <v>175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25" spans="1:69">
      <c r="A11" s="5"/>
      <c r="B11" s="5"/>
      <c r="C11" s="5"/>
      <c r="D11" s="5"/>
      <c r="E11" s="5"/>
      <c r="F11" s="5"/>
      <c r="G11" s="54" t="s">
        <v>176</v>
      </c>
      <c r="H11" s="55"/>
      <c r="I11" s="61">
        <f>I9+I10</f>
        <v>259.58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177</v>
      </c>
      <c r="BN12" s="5" t="s">
        <v>178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179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180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181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182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J9" sqref="J9"/>
    </sheetView>
  </sheetViews>
  <sheetFormatPr defaultColWidth="8.71818181818182" defaultRowHeight="14.5" outlineLevelRow="4"/>
  <cols>
    <col min="1" max="1" width="8.71818181818182" style="1"/>
    <col min="2" max="2" width="21.1454545454545" style="1" customWidth="1"/>
    <col min="3" max="3" width="21.2818181818182" style="1" customWidth="1"/>
    <col min="4" max="19" width="8.71818181818182" style="1"/>
    <col min="20" max="20" width="10.1454545454545" style="1" customWidth="1"/>
    <col min="21" max="51" width="8.71818181818182" style="1"/>
    <col min="52" max="52" width="10.5727272727273" style="1"/>
    <col min="53" max="66" width="8.71818181818182" style="1"/>
    <col min="67" max="67" width="13.281818181818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158</v>
      </c>
      <c r="B3" s="10" t="s">
        <v>3</v>
      </c>
      <c r="C3" s="10" t="s">
        <v>159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44" t="s">
        <v>134</v>
      </c>
      <c r="C4" s="44" t="s">
        <v>134</v>
      </c>
      <c r="D4" s="20" t="s">
        <v>12</v>
      </c>
      <c r="E4" s="20" t="s">
        <v>12</v>
      </c>
      <c r="F4" s="21">
        <v>2</v>
      </c>
      <c r="G4" s="22">
        <v>250</v>
      </c>
      <c r="H4" s="21">
        <f>F4*G4</f>
        <v>500</v>
      </c>
      <c r="I4" s="22">
        <v>1</v>
      </c>
      <c r="J4" s="21">
        <v>8</v>
      </c>
      <c r="K4" s="21">
        <v>5</v>
      </c>
      <c r="L4" s="21">
        <f>IF(OR(I4=0,I4="0"),0,H4)</f>
        <v>500</v>
      </c>
      <c r="M4" s="21">
        <f>ROUND(L4*I4%,3)</f>
        <v>5</v>
      </c>
      <c r="N4" s="21">
        <f>H4-M4</f>
        <v>495</v>
      </c>
      <c r="O4" s="21">
        <f>ROUND(N4*J4%,3)</f>
        <v>39.6</v>
      </c>
      <c r="P4" s="21">
        <f>ROUND(N4-O4,2)</f>
        <v>455.4</v>
      </c>
      <c r="Q4" s="21">
        <f>ROUND(P4*K4%,2)</f>
        <v>22.77</v>
      </c>
      <c r="R4" s="23">
        <f>ROUND(M4+O4+Q4,3)</f>
        <v>67.37</v>
      </c>
      <c r="S4" s="24">
        <f>(H4-R4)</f>
        <v>432.63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432.63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432.63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2</v>
      </c>
      <c r="AN4" s="23">
        <f>ROUND(AI4/AM4,5)</f>
        <v>216.315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216.315</v>
      </c>
      <c r="AS4" s="27" t="s">
        <v>127</v>
      </c>
      <c r="AT4" s="28" t="s">
        <v>12</v>
      </c>
      <c r="AU4" s="1" t="s">
        <v>113</v>
      </c>
      <c r="AV4" s="1" t="s">
        <v>161</v>
      </c>
      <c r="AW4" s="28">
        <f>AM4</f>
        <v>2</v>
      </c>
      <c r="AX4" s="29">
        <f>AR4</f>
        <v>216.315</v>
      </c>
      <c r="AY4" s="28">
        <f>AU4+AW4</f>
        <v>2</v>
      </c>
      <c r="AZ4" s="28">
        <f>ROUND(((AU4*AV4)+(AW4*AX4))/(AU4+AW4),5)</f>
        <v>216.315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162</v>
      </c>
      <c r="BM4" s="1" t="s">
        <v>183</v>
      </c>
      <c r="BN4" s="1" t="s">
        <v>184</v>
      </c>
      <c r="BO4" s="28">
        <f>ROUND((((AW4*AZ4)+(BN4*BM4))/(AW4+BN4)),5)</f>
        <v>1215.20301</v>
      </c>
      <c r="BP4" s="34">
        <f>BN4+AW4</f>
        <v>1152</v>
      </c>
      <c r="BQ4" s="35">
        <v>123562</v>
      </c>
    </row>
    <row r="5" ht="15.2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432.63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2" sqref="I12"/>
    </sheetView>
  </sheetViews>
  <sheetFormatPr defaultColWidth="8.71818181818182" defaultRowHeight="14.5" outlineLevelRow="4"/>
  <cols>
    <col min="1" max="1" width="8.71818181818182" style="1"/>
    <col min="2" max="2" width="23.4272727272727" style="1" customWidth="1"/>
    <col min="3" max="3" width="29.4272727272727" style="1" customWidth="1"/>
    <col min="4" max="19" width="8.71818181818182" style="1"/>
    <col min="20" max="20" width="10.1454545454545" style="1" customWidth="1"/>
    <col min="21" max="51" width="8.71818181818182" style="1"/>
    <col min="52" max="52" width="10.7181818181818" style="1"/>
    <col min="53" max="66" width="8.71818181818182" style="1"/>
    <col min="67" max="67" width="10.5727272727273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158</v>
      </c>
      <c r="B3" s="10" t="s">
        <v>3</v>
      </c>
      <c r="C3" s="10" t="s">
        <v>159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44" t="s">
        <v>137</v>
      </c>
      <c r="C4" s="44" t="s">
        <v>137</v>
      </c>
      <c r="D4" s="20" t="s">
        <v>12</v>
      </c>
      <c r="E4" s="20" t="s">
        <v>12</v>
      </c>
      <c r="F4" s="21">
        <v>2</v>
      </c>
      <c r="G4" s="22">
        <v>250</v>
      </c>
      <c r="H4" s="21">
        <f>F4*G4</f>
        <v>500</v>
      </c>
      <c r="I4" s="22">
        <v>1</v>
      </c>
      <c r="J4" s="21">
        <v>8</v>
      </c>
      <c r="K4" s="21">
        <v>5</v>
      </c>
      <c r="L4" s="21">
        <f>IF(OR(I4=0,I4="0"),0,H4)</f>
        <v>500</v>
      </c>
      <c r="M4" s="21">
        <f>ROUND(L4*I4%,3)</f>
        <v>5</v>
      </c>
      <c r="N4" s="21">
        <f>H4-M4</f>
        <v>495</v>
      </c>
      <c r="O4" s="21">
        <f>ROUND(N4*J4%,3)</f>
        <v>39.6</v>
      </c>
      <c r="P4" s="21">
        <f>ROUND(N4-O4,2)</f>
        <v>455.4</v>
      </c>
      <c r="Q4" s="21">
        <f>ROUND(P4*K4%,2)</f>
        <v>22.77</v>
      </c>
      <c r="R4" s="23">
        <f>ROUND(M4+O4+Q4,3)</f>
        <v>67.37</v>
      </c>
      <c r="S4" s="24">
        <f>(H4-R4)</f>
        <v>432.63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432.63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432.63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2</v>
      </c>
      <c r="AN4" s="23">
        <f>ROUND(AI4/AM4,5)</f>
        <v>216.315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216.315</v>
      </c>
      <c r="AS4" s="27" t="s">
        <v>127</v>
      </c>
      <c r="AT4" s="28" t="s">
        <v>12</v>
      </c>
      <c r="AU4" s="22" t="s">
        <v>185</v>
      </c>
      <c r="AV4" s="22" t="s">
        <v>186</v>
      </c>
      <c r="AW4" s="28">
        <f>AM4</f>
        <v>2</v>
      </c>
      <c r="AX4" s="29">
        <f>AR4</f>
        <v>216.315</v>
      </c>
      <c r="AY4" s="28">
        <f>AU4+AW4</f>
        <v>17</v>
      </c>
      <c r="AZ4" s="28">
        <f>ROUND(((AU4*AV4)+(AW4*AX4))/(AU4+AW4),5)</f>
        <v>62.07971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162</v>
      </c>
      <c r="BM4" s="22" t="s">
        <v>186</v>
      </c>
      <c r="BN4" s="22" t="s">
        <v>163</v>
      </c>
      <c r="BO4" s="28">
        <f>ROUND((((AW4*AZ4)+(BN4*BM4))/(AW4+BN4)),5)</f>
        <v>47.39063</v>
      </c>
      <c r="BP4" s="34">
        <f>BN4+AW4</f>
        <v>7</v>
      </c>
      <c r="BQ4" s="35">
        <v>123562</v>
      </c>
    </row>
    <row r="5" ht="15.2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432.63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A1" workbookViewId="0">
      <selection activeCell="BP4" sqref="BP4"/>
    </sheetView>
  </sheetViews>
  <sheetFormatPr defaultColWidth="8.71818181818182" defaultRowHeight="14.5" outlineLevelRow="4"/>
  <cols>
    <col min="1" max="1" width="8.71818181818182" style="1"/>
    <col min="2" max="2" width="27.2818181818182" style="1" customWidth="1"/>
    <col min="3" max="3" width="25.4272727272727" style="1" customWidth="1"/>
    <col min="4" max="19" width="8.71818181818182" style="1"/>
    <col min="20" max="20" width="10.1454545454545" style="1" customWidth="1"/>
    <col min="21" max="66" width="8.71818181818182" style="1"/>
    <col min="67" max="67" width="1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158</v>
      </c>
      <c r="B3" s="10" t="s">
        <v>3</v>
      </c>
      <c r="C3" s="10" t="s">
        <v>159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0" t="s">
        <v>187</v>
      </c>
      <c r="C4" s="20" t="s">
        <v>187</v>
      </c>
      <c r="D4" s="20" t="s">
        <v>12</v>
      </c>
      <c r="E4" s="20" t="s">
        <v>12</v>
      </c>
      <c r="F4" s="21">
        <v>5</v>
      </c>
      <c r="G4" s="22" t="s">
        <v>188</v>
      </c>
      <c r="H4" s="21">
        <f>F4*G4</f>
        <v>250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250</v>
      </c>
      <c r="O4" s="21">
        <f>ROUND(N4*J4%,3)</f>
        <v>20</v>
      </c>
      <c r="P4" s="21">
        <f>ROUND(N4-O4,2)</f>
        <v>230</v>
      </c>
      <c r="Q4" s="21">
        <f>ROUND(P4*K4%,2)</f>
        <v>11.5</v>
      </c>
      <c r="R4" s="23">
        <f>ROUND(M4+O4+Q4,3)</f>
        <v>31.5</v>
      </c>
      <c r="S4" s="24">
        <f>(H4-R4)</f>
        <v>218.5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218.5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218.5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43.7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43.7</v>
      </c>
      <c r="AS4" s="27" t="s">
        <v>127</v>
      </c>
      <c r="AT4" s="28" t="s">
        <v>12</v>
      </c>
      <c r="AU4" s="1" t="s">
        <v>113</v>
      </c>
      <c r="AV4" s="1" t="s">
        <v>161</v>
      </c>
      <c r="AW4" s="28">
        <f>AM4</f>
        <v>5</v>
      </c>
      <c r="AX4" s="29">
        <f>AR4</f>
        <v>43.7</v>
      </c>
      <c r="AY4" s="28">
        <f>AU4+AW4</f>
        <v>15</v>
      </c>
      <c r="AZ4" s="28">
        <f>ROUND(((AU4*AV4)+(AW4*AX4))/(AU4+AW4),5)</f>
        <v>43.7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162</v>
      </c>
      <c r="BM4" s="1" t="s">
        <v>189</v>
      </c>
      <c r="BN4" s="1" t="s">
        <v>190</v>
      </c>
      <c r="BO4" s="28">
        <f>ROUND((((AW4*AZ4)+(BN4*BM4))/(AW4+BN4)),5)</f>
        <v>931.81735</v>
      </c>
      <c r="BP4" s="34">
        <f>BN4+AW4</f>
        <v>755</v>
      </c>
      <c r="BQ4" s="35">
        <v>123562</v>
      </c>
    </row>
    <row r="5" ht="15.2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31.5</v>
      </c>
      <c r="S5" s="39">
        <f t="shared" si="0"/>
        <v>218.5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218.5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218.5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BJ1" workbookViewId="0">
      <selection activeCell="BP4" sqref="BP4"/>
    </sheetView>
  </sheetViews>
  <sheetFormatPr defaultColWidth="8.85454545454546" defaultRowHeight="14.5"/>
  <cols>
    <col min="1" max="1" width="8.85454545454546" style="22"/>
    <col min="2" max="2" width="28" style="22" customWidth="1"/>
    <col min="3" max="3" width="23" style="22" customWidth="1"/>
    <col min="4" max="11" width="8.85454545454546" style="22"/>
    <col min="12" max="12" width="15.7181818181818" style="22" customWidth="1"/>
    <col min="13" max="13" width="9.14545454545454" style="22" customWidth="1"/>
    <col min="14" max="14" width="13.8545454545455" style="22" customWidth="1"/>
    <col min="15" max="15" width="11.2818181818182" style="22" customWidth="1"/>
    <col min="16" max="16" width="17.8545454545455" style="22" customWidth="1"/>
    <col min="17" max="19" width="8.85454545454546" style="22"/>
    <col min="20" max="20" width="10.1454545454545" style="22" customWidth="1"/>
    <col min="21" max="51" width="8.85454545454546" style="22"/>
    <col min="52" max="52" width="10.7181818181818" style="22"/>
    <col min="53" max="63" width="8.85454545454546" style="22"/>
    <col min="64" max="64" width="11" style="22" customWidth="1"/>
    <col min="65" max="66" width="8.85454545454546" style="22"/>
    <col min="67" max="67" width="10.7181818181818" style="22"/>
    <col min="68" max="16384" width="8.85454545454546" style="22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158</v>
      </c>
      <c r="B3" s="10" t="s">
        <v>3</v>
      </c>
      <c r="C3" s="10" t="s">
        <v>159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0" t="s">
        <v>191</v>
      </c>
      <c r="C4" s="20" t="s">
        <v>191</v>
      </c>
      <c r="D4" s="20" t="s">
        <v>12</v>
      </c>
      <c r="E4" s="20" t="s">
        <v>12</v>
      </c>
      <c r="F4" s="21">
        <v>5</v>
      </c>
      <c r="G4" s="22" t="s">
        <v>188</v>
      </c>
      <c r="H4" s="21">
        <f>F4*G4</f>
        <v>250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250</v>
      </c>
      <c r="O4" s="21">
        <f>ROUND(N4*J4%,3)</f>
        <v>20</v>
      </c>
      <c r="P4" s="21">
        <f>ROUND(N4-O4,2)</f>
        <v>230</v>
      </c>
      <c r="Q4" s="21">
        <f>ROUND(P4*K4%,2)</f>
        <v>11.5</v>
      </c>
      <c r="R4" s="23">
        <f>ROUND(M4+O4+Q4,3)</f>
        <v>31.5</v>
      </c>
      <c r="S4" s="24">
        <f>(H4-R4)</f>
        <v>218.5</v>
      </c>
      <c r="T4" s="21">
        <v>88363222</v>
      </c>
      <c r="U4" s="21">
        <v>0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218.5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218.5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43.7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43.7</v>
      </c>
      <c r="AS4" s="27" t="s">
        <v>127</v>
      </c>
      <c r="AT4" s="28" t="s">
        <v>12</v>
      </c>
      <c r="AU4" s="22" t="s">
        <v>192</v>
      </c>
      <c r="AV4" s="22" t="s">
        <v>186</v>
      </c>
      <c r="AW4" s="28">
        <f>AM4</f>
        <v>5</v>
      </c>
      <c r="AX4" s="29">
        <f>AR4</f>
        <v>43.7</v>
      </c>
      <c r="AY4" s="28">
        <f>AU4+AW4</f>
        <v>15</v>
      </c>
      <c r="AZ4" s="28">
        <f>ROUND(((AU4*AV4)+(AW4*AX4))/(AU4+AW4),5)</f>
        <v>42.24333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162</v>
      </c>
      <c r="BM4" s="22" t="s">
        <v>186</v>
      </c>
      <c r="BN4" s="22" t="s">
        <v>163</v>
      </c>
      <c r="BO4" s="28">
        <f>ROUND((((AW4*AZ4)+(BN4*BM4))/(AW4+BN4)),5)</f>
        <v>41.87917</v>
      </c>
      <c r="BP4" s="34">
        <f>BN4+AW4</f>
        <v>10</v>
      </c>
      <c r="BQ4" s="35">
        <v>123562</v>
      </c>
    </row>
    <row r="5" ht="15.2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31.5</v>
      </c>
      <c r="S5" s="39">
        <f t="shared" si="0"/>
        <v>218.5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218.5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218.5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2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25" spans="1:69">
      <c r="A7" s="5"/>
      <c r="B7" s="5"/>
      <c r="C7" s="5"/>
      <c r="D7" s="5"/>
      <c r="E7" s="5"/>
      <c r="F7" s="5"/>
      <c r="G7" s="54" t="s">
        <v>164</v>
      </c>
      <c r="H7" s="55"/>
      <c r="I7" s="56">
        <f>H5</f>
        <v>250</v>
      </c>
      <c r="J7" s="56"/>
      <c r="K7" s="5"/>
      <c r="L7" s="5"/>
      <c r="M7" s="57" t="s">
        <v>165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166</v>
      </c>
      <c r="BI7" s="147" t="s">
        <v>167</v>
      </c>
      <c r="BJ7" s="5"/>
      <c r="BK7" s="5"/>
      <c r="BL7" s="5"/>
      <c r="BM7" s="5"/>
      <c r="BN7" s="5"/>
      <c r="BO7" s="5"/>
      <c r="BP7" s="6"/>
      <c r="BQ7" s="6"/>
    </row>
    <row r="8" ht="15.25" spans="1:69">
      <c r="A8" s="5"/>
      <c r="B8" s="5"/>
      <c r="C8" s="5"/>
      <c r="D8" s="5"/>
      <c r="E8" s="5"/>
      <c r="F8" s="5"/>
      <c r="G8" s="54" t="s">
        <v>168</v>
      </c>
      <c r="H8" s="55"/>
      <c r="I8" s="56">
        <f>R5</f>
        <v>31.5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169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170</v>
      </c>
      <c r="BI8" s="147" t="s">
        <v>171</v>
      </c>
      <c r="BJ8" s="5"/>
      <c r="BK8" s="5"/>
      <c r="BL8" s="5"/>
      <c r="BM8" s="5"/>
      <c r="BN8" s="5"/>
      <c r="BO8" s="5"/>
      <c r="BP8" s="6"/>
      <c r="BQ8" s="6"/>
    </row>
    <row r="9" ht="15.25" spans="1:69">
      <c r="A9" s="5"/>
      <c r="B9" s="5"/>
      <c r="C9" s="5"/>
      <c r="D9" s="5"/>
      <c r="E9" s="5"/>
      <c r="F9" s="5"/>
      <c r="G9" s="54" t="s">
        <v>172</v>
      </c>
      <c r="H9" s="55"/>
      <c r="I9" s="56">
        <f>S5</f>
        <v>218.5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173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25" spans="1:69">
      <c r="A10" s="5"/>
      <c r="B10" s="5"/>
      <c r="C10" s="5"/>
      <c r="D10" s="5"/>
      <c r="E10" s="5"/>
      <c r="F10" s="5"/>
      <c r="G10" s="54" t="s">
        <v>174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169</v>
      </c>
      <c r="O10" s="20">
        <v>0.001</v>
      </c>
      <c r="P10" s="20" t="s">
        <v>175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25" spans="1:69">
      <c r="A11" s="5"/>
      <c r="B11" s="5"/>
      <c r="C11" s="5"/>
      <c r="D11" s="5"/>
      <c r="E11" s="5"/>
      <c r="F11" s="5"/>
      <c r="G11" s="54" t="s">
        <v>176</v>
      </c>
      <c r="H11" s="55"/>
      <c r="I11" s="61">
        <f>I9+I10</f>
        <v>218.5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177</v>
      </c>
      <c r="BN12" s="5" t="s">
        <v>178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179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180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181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182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H11" sqref="H11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454545454545" style="1" customWidth="1"/>
    <col min="21" max="16384" width="9.8545454545454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4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44" t="s">
        <v>146</v>
      </c>
      <c r="C4" s="20" t="s">
        <v>146</v>
      </c>
      <c r="D4" s="20" t="s">
        <v>12</v>
      </c>
      <c r="E4" s="20" t="s">
        <v>169</v>
      </c>
      <c r="F4" s="21">
        <v>3</v>
      </c>
      <c r="G4" s="21">
        <v>250</v>
      </c>
      <c r="H4" s="21">
        <f>F4*G4</f>
        <v>750</v>
      </c>
      <c r="I4" s="21">
        <v>1</v>
      </c>
      <c r="J4" s="21">
        <v>8</v>
      </c>
      <c r="K4" s="21">
        <v>5</v>
      </c>
      <c r="L4" s="21">
        <f>H4</f>
        <v>750</v>
      </c>
      <c r="M4" s="21">
        <f>ROUND(L4*I4%,2)</f>
        <v>7.5</v>
      </c>
      <c r="N4" s="21">
        <f>H4-M4</f>
        <v>742.5</v>
      </c>
      <c r="O4" s="21">
        <f>ROUND(N4*J4%,2)</f>
        <v>59.4</v>
      </c>
      <c r="P4" s="21">
        <f>ROUND(N4-O4,2)</f>
        <v>683.1</v>
      </c>
      <c r="Q4" s="21">
        <f>ROUND(P4*K4%,2)</f>
        <v>34.16</v>
      </c>
      <c r="R4" s="21">
        <f>M4+O4+Q4</f>
        <v>101.06</v>
      </c>
      <c r="S4" s="21">
        <f>(H4-R4)</f>
        <v>648.94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4</v>
      </c>
      <c r="AA4" s="21">
        <f>IF($C2=3,0,(S4*Z4)/100)</f>
        <v>0</v>
      </c>
      <c r="AB4" s="21">
        <f>V4+W4+X4+Y4+AA4</f>
        <v>0</v>
      </c>
      <c r="AC4" s="21">
        <f>IF($V2=1,S4+AB4,S4)</f>
        <v>648.94</v>
      </c>
      <c r="AD4" s="21">
        <v>120</v>
      </c>
      <c r="AE4" s="21">
        <f>IF($P$2=1,(S4/$S$5)*$E$16,AD4/$AD$5*$E$16)</f>
        <v>0</v>
      </c>
      <c r="AF4" s="21"/>
      <c r="AG4" s="21">
        <f>IF($P$2=1,(S4/$S$5)*$E$18,AD4/$AD$5*$E$18)</f>
        <v>0</v>
      </c>
      <c r="AH4" s="21">
        <f>IF($P$2=1,(S4/$S$5)*$E$18,AD4/$AD$5*$E$18)</f>
        <v>0</v>
      </c>
      <c r="AI4" s="21">
        <f>S4*$M$2</f>
        <v>648.94</v>
      </c>
      <c r="AJ4" s="21">
        <f>IF($C$2=3,0,AG4+AH4)</f>
        <v>0</v>
      </c>
      <c r="AK4" s="21">
        <f>IF($C$2=3,AE4+AG4+AH4,0)</f>
        <v>0</v>
      </c>
      <c r="AL4" s="21">
        <v>3</v>
      </c>
      <c r="AM4" s="21">
        <f>F4/AL4</f>
        <v>1</v>
      </c>
      <c r="AN4" s="21">
        <f>AI4/AM4</f>
        <v>648.94</v>
      </c>
      <c r="AO4" s="21">
        <f>AJ4/AM4</f>
        <v>0</v>
      </c>
      <c r="AP4" s="21">
        <f>AK4/AM4</f>
        <v>0</v>
      </c>
      <c r="AQ4" s="21" t="s">
        <v>12</v>
      </c>
      <c r="AR4" s="6">
        <f>ROUND(AN4+AO4+AP4,5)</f>
        <v>648.94</v>
      </c>
      <c r="AS4" s="6" t="s">
        <v>157</v>
      </c>
      <c r="AT4" s="28" t="s">
        <v>12</v>
      </c>
      <c r="AW4" s="28">
        <f>AM4</f>
        <v>1</v>
      </c>
      <c r="AX4" s="28">
        <f>AR4</f>
        <v>648.94</v>
      </c>
      <c r="AY4" s="28">
        <f>AU4+AW4</f>
        <v>1</v>
      </c>
      <c r="AZ4" s="28">
        <f>ROUND(((AU4*AV4)+(AW4*AX4))/(AU4+AW4),5)</f>
        <v>648.94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142</v>
      </c>
      <c r="BM4" s="1" t="s">
        <v>113</v>
      </c>
      <c r="BN4" s="1" t="s">
        <v>113</v>
      </c>
      <c r="BO4" s="28">
        <f>ROUND((((AW4*AZ4)+(BN4*BM4))/(AW4+BN4)),5)</f>
        <v>648.94</v>
      </c>
      <c r="BP4" s="34">
        <f>BN4+AW4</f>
        <v>1</v>
      </c>
      <c r="BQ4" s="35">
        <v>123562</v>
      </c>
    </row>
    <row r="5" ht="15.2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648.94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1818181818182" defaultRowHeight="14.5" outlineLevelRow="4"/>
  <cols>
    <col min="1" max="1" width="8.71818181818182" style="1"/>
    <col min="2" max="3" width="26.5454545454545" style="1" customWidth="1"/>
    <col min="4" max="19" width="8.71818181818182" style="1"/>
    <col min="20" max="20" width="10.1454545454545" style="1" customWidth="1"/>
    <col min="21" max="66" width="8.71818181818182" style="1"/>
    <col min="67" max="67" width="13.2818181818182" style="1"/>
    <col min="68" max="68" width="12.8545454545455" style="1"/>
    <col min="69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158</v>
      </c>
      <c r="B3" s="10" t="s">
        <v>3</v>
      </c>
      <c r="C3" s="10" t="s">
        <v>159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44" t="s">
        <v>150</v>
      </c>
      <c r="C4" s="44" t="s">
        <v>150</v>
      </c>
      <c r="D4" s="20" t="s">
        <v>12</v>
      </c>
      <c r="E4" s="20" t="s">
        <v>169</v>
      </c>
      <c r="F4" s="21">
        <v>3</v>
      </c>
      <c r="G4" s="22">
        <v>250</v>
      </c>
      <c r="H4" s="21">
        <f>F4*G4</f>
        <v>750</v>
      </c>
      <c r="I4" s="22">
        <v>1</v>
      </c>
      <c r="J4" s="21">
        <v>8</v>
      </c>
      <c r="K4" s="21">
        <v>5</v>
      </c>
      <c r="L4" s="21">
        <f>IF(OR(I4=0,I4="0"),0,H4)</f>
        <v>750</v>
      </c>
      <c r="M4" s="21">
        <f>ROUND(L4*I4%,3)</f>
        <v>7.5</v>
      </c>
      <c r="N4" s="21">
        <f>H4-M4</f>
        <v>742.5</v>
      </c>
      <c r="O4" s="21">
        <f>ROUND(N4*J4%,3)</f>
        <v>59.4</v>
      </c>
      <c r="P4" s="21">
        <f>ROUND(N4-O4,2)</f>
        <v>683.1</v>
      </c>
      <c r="Q4" s="21">
        <f>ROUND(P4*K4%,2)</f>
        <v>34.16</v>
      </c>
      <c r="R4" s="23">
        <f>ROUND(M4+O4+Q4,3)</f>
        <v>101.06</v>
      </c>
      <c r="S4" s="24">
        <f>(H4-R4)</f>
        <v>648.94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648.94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648.94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>F4/AL4</f>
        <v>1</v>
      </c>
      <c r="AN4" s="23">
        <f>ROUND(AI4/AM4,5)</f>
        <v>648.94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648.94</v>
      </c>
      <c r="AS4" s="27" t="s">
        <v>127</v>
      </c>
      <c r="AT4" s="28" t="s">
        <v>12</v>
      </c>
      <c r="AU4" s="1" t="s">
        <v>113</v>
      </c>
      <c r="AV4" s="1" t="s">
        <v>193</v>
      </c>
      <c r="AW4" s="28">
        <f>AM4</f>
        <v>1</v>
      </c>
      <c r="AX4" s="29">
        <f>AR4</f>
        <v>648.94</v>
      </c>
      <c r="AY4" s="28">
        <f>AU4+AW4</f>
        <v>1</v>
      </c>
      <c r="AZ4" s="28">
        <f>ROUND(((AU4*AV4)+(AW4*AX4))/(AU4+AW4),5)</f>
        <v>648.94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162</v>
      </c>
      <c r="BM4" s="1" t="s">
        <v>194</v>
      </c>
      <c r="BN4" s="1" t="s">
        <v>195</v>
      </c>
      <c r="BO4" s="28">
        <f>ROUND((((AW4*AZ4)+(BN4*BM4))/(AW4+BN4)),5)</f>
        <v>3705.52388</v>
      </c>
      <c r="BP4" s="34">
        <f>BN4+AW4</f>
        <v>192.66</v>
      </c>
      <c r="BQ4" s="35">
        <v>123562</v>
      </c>
    </row>
    <row r="5" ht="15.2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648.94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BI1" workbookViewId="0">
      <selection activeCell="BS11" sqref="BS11"/>
    </sheetView>
  </sheetViews>
  <sheetFormatPr defaultColWidth="8.71818181818182" defaultRowHeight="14.5" outlineLevelRow="4"/>
  <cols>
    <col min="1" max="1" width="8.71818181818182" style="1"/>
    <col min="2" max="2" width="27.2818181818182" style="1" customWidth="1"/>
    <col min="3" max="3" width="25.4272727272727" style="1" customWidth="1"/>
    <col min="4" max="19" width="8.71818181818182" style="1"/>
    <col min="20" max="20" width="10.1454545454545" style="1" customWidth="1"/>
    <col min="21" max="51" width="8.71818181818182" style="1"/>
    <col min="52" max="52" width="9" style="1"/>
    <col min="53" max="66" width="8.71818181818182" style="1"/>
    <col min="67" max="67" width="13.281818181818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158</v>
      </c>
      <c r="B3" s="10" t="s">
        <v>3</v>
      </c>
      <c r="C3" s="10" t="s">
        <v>159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0" t="s">
        <v>196</v>
      </c>
      <c r="C4" s="20" t="s">
        <v>196</v>
      </c>
      <c r="D4" s="20" t="s">
        <v>12</v>
      </c>
      <c r="E4" s="20" t="s">
        <v>169</v>
      </c>
      <c r="F4" s="21">
        <v>3</v>
      </c>
      <c r="G4" s="22" t="s">
        <v>188</v>
      </c>
      <c r="H4" s="21">
        <f>F4*G4</f>
        <v>150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150</v>
      </c>
      <c r="O4" s="21">
        <f>ROUND(N4*J4%,3)</f>
        <v>12</v>
      </c>
      <c r="P4" s="21">
        <f>ROUND(N4-O4,2)</f>
        <v>138</v>
      </c>
      <c r="Q4" s="21">
        <f>ROUND(P4*K4%,2)</f>
        <v>6.9</v>
      </c>
      <c r="R4" s="23">
        <f>ROUND(M4+O4+Q4,3)</f>
        <v>18.9</v>
      </c>
      <c r="S4" s="24">
        <f>(H4-R4)</f>
        <v>131.1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131.1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131.1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>F4/AL4</f>
        <v>1</v>
      </c>
      <c r="AN4" s="23">
        <f>ROUND(AI4/AM4,5)</f>
        <v>131.1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131.1</v>
      </c>
      <c r="AS4" s="27" t="s">
        <v>127</v>
      </c>
      <c r="AT4" s="28" t="s">
        <v>12</v>
      </c>
      <c r="AU4" s="1" t="s">
        <v>113</v>
      </c>
      <c r="AV4" s="1" t="s">
        <v>193</v>
      </c>
      <c r="AW4" s="28">
        <f>AM4</f>
        <v>1</v>
      </c>
      <c r="AX4" s="29">
        <f>AR4</f>
        <v>131.1</v>
      </c>
      <c r="AY4" s="28">
        <f>AU4+AW4</f>
        <v>1</v>
      </c>
      <c r="AZ4" s="28">
        <f>ROUND(((AU4*AV4)+(AW4*AX4))/(AU4+AW4),5)</f>
        <v>131.1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162</v>
      </c>
      <c r="BM4" s="1" t="s">
        <v>197</v>
      </c>
      <c r="BN4" s="1" t="s">
        <v>198</v>
      </c>
      <c r="BO4" s="28">
        <f>ROUND((((AW4*AZ4)+(BN4*BM4))/(AW4+BN4)),5)</f>
        <v>4341.27911</v>
      </c>
      <c r="BP4" s="34">
        <f>BN4+AW4</f>
        <v>154.331</v>
      </c>
      <c r="BQ4" s="35">
        <v>123562</v>
      </c>
    </row>
    <row r="5" ht="15.2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150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18.9</v>
      </c>
      <c r="S5" s="39">
        <f t="shared" si="0"/>
        <v>131.1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131.1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131.1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2026-04-21T16:12:59Z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