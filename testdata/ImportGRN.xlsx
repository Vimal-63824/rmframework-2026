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Administrator\Documents\GitHub - Repos\roadmap\testdata\"/>
    </mc:Choice>
  </mc:AlternateContent>
  <bookViews>
    <workbookView xWindow="0" yWindow="0" windowWidth="20400" windowHeight="7755" firstSheet="14" activeTab="14"/>
  </bookViews>
  <sheets>
    <sheet name="ImportPoToGRNUDGeneralSameUOM" sheetId="11" r:id="rId1"/>
    <sheet name="ImportPoToGRNUDServiceSameUOM" sheetId="12" r:id="rId2"/>
    <sheet name="ImportPoToGRNRCGeneralSameUOM" sheetId="13" r:id="rId3"/>
    <sheet name="ImportPoToGRNRCServiceSameUOM" sheetId="14" r:id="rId4"/>
    <sheet name="ImportPoToGRNPLGeneralSameUOM" sheetId="15" r:id="rId5"/>
    <sheet name="ImportPoToGRNPLServiceSameUOM" sheetId="16" r:id="rId6"/>
    <sheet name="ImportDirectGRNUDGeneralSameUOM" sheetId="2" r:id="rId7"/>
    <sheet name="ImportDirectGRNUDGeneralDiffUOM" sheetId="3" r:id="rId8"/>
    <sheet name="ImportDirectGRNUDServiceSameUOM" sheetId="4" r:id="rId9"/>
    <sheet name="ImportDirectGRNRCGeneralSameUOM" sheetId="5" r:id="rId10"/>
    <sheet name="ImportDirectGRNRCGeneralDiffUOM" sheetId="6" r:id="rId11"/>
    <sheet name="ImportDirectGRNRCServiceSameUOM" sheetId="7" r:id="rId12"/>
    <sheet name="ImportDirectGRNPLGeneralSameUOM" sheetId="8" r:id="rId13"/>
    <sheet name="ImportDirectGRNPLGeneralDiffUOM" sheetId="9" r:id="rId14"/>
    <sheet name="ImportDirectGRNPLServiceSam (2" sheetId="10" r:id="rId15"/>
    <sheet name="ImportDirectGRNPLServiceSameUOM" sheetId="1" r:id="rId16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M14" i="16" l="1"/>
  <c r="BN13" i="16"/>
  <c r="BM13" i="16"/>
  <c r="BM17" i="16" s="1"/>
  <c r="BN17" i="16" s="1"/>
  <c r="AD5" i="16"/>
  <c r="AH5" i="16" s="1"/>
  <c r="X5" i="16"/>
  <c r="AM4" i="16"/>
  <c r="AW4" i="16" s="1"/>
  <c r="AK4" i="16"/>
  <c r="AP4" i="16" s="1"/>
  <c r="AH4" i="16"/>
  <c r="AG4" i="16"/>
  <c r="AJ4" i="16" s="1"/>
  <c r="Y4" i="16"/>
  <c r="X4" i="16"/>
  <c r="L4" i="16"/>
  <c r="M4" i="16" s="1"/>
  <c r="H4" i="16"/>
  <c r="H5" i="16" s="1"/>
  <c r="I7" i="16" s="1"/>
  <c r="AD5" i="15"/>
  <c r="AH5" i="15" s="1"/>
  <c r="X5" i="15"/>
  <c r="W5" i="15"/>
  <c r="H5" i="15"/>
  <c r="AM4" i="15"/>
  <c r="AW4" i="15" s="1"/>
  <c r="AJ4" i="15"/>
  <c r="AO4" i="15" s="1"/>
  <c r="AG4" i="15"/>
  <c r="AG5" i="15" s="1"/>
  <c r="AA4" i="15"/>
  <c r="Y4" i="15"/>
  <c r="X4" i="15"/>
  <c r="W4" i="15"/>
  <c r="V4" i="15"/>
  <c r="V5" i="15" s="1"/>
  <c r="L4" i="15"/>
  <c r="M4" i="15" s="1"/>
  <c r="H4" i="15"/>
  <c r="AD5" i="14"/>
  <c r="AH5" i="14" s="1"/>
  <c r="X5" i="14"/>
  <c r="W5" i="14"/>
  <c r="H5" i="14"/>
  <c r="AM4" i="14"/>
  <c r="AW4" i="14" s="1"/>
  <c r="AJ4" i="14"/>
  <c r="AO4" i="14" s="1"/>
  <c r="AG4" i="14"/>
  <c r="AG5" i="14" s="1"/>
  <c r="AA4" i="14"/>
  <c r="Y4" i="14"/>
  <c r="X4" i="14"/>
  <c r="W4" i="14"/>
  <c r="V4" i="14"/>
  <c r="V5" i="14" s="1"/>
  <c r="L4" i="14"/>
  <c r="M4" i="14" s="1"/>
  <c r="H4" i="14"/>
  <c r="AD5" i="13"/>
  <c r="AH5" i="13" s="1"/>
  <c r="W5" i="13"/>
  <c r="H5" i="13"/>
  <c r="AM4" i="13"/>
  <c r="AW4" i="13" s="1"/>
  <c r="AJ4" i="13"/>
  <c r="AO4" i="13" s="1"/>
  <c r="AG4" i="13"/>
  <c r="AG5" i="13" s="1"/>
  <c r="AA4" i="13"/>
  <c r="Y4" i="13"/>
  <c r="X4" i="13"/>
  <c r="X5" i="13" s="1"/>
  <c r="W4" i="13"/>
  <c r="V4" i="13"/>
  <c r="V5" i="13" s="1"/>
  <c r="L4" i="13"/>
  <c r="M4" i="13" s="1"/>
  <c r="H4" i="13"/>
  <c r="BM14" i="12"/>
  <c r="BN13" i="12"/>
  <c r="BM17" i="12" s="1"/>
  <c r="BN17" i="12" s="1"/>
  <c r="BM13" i="12"/>
  <c r="AH5" i="12"/>
  <c r="AG5" i="12"/>
  <c r="AD5" i="12"/>
  <c r="AW4" i="12"/>
  <c r="AM4" i="12"/>
  <c r="AJ4" i="12"/>
  <c r="AJ5" i="12" s="1"/>
  <c r="AH4" i="12"/>
  <c r="AG4" i="12"/>
  <c r="AE4" i="12"/>
  <c r="AE5" i="12" s="1"/>
  <c r="AA4" i="12"/>
  <c r="Y4" i="12"/>
  <c r="X4" i="12"/>
  <c r="X5" i="12" s="1"/>
  <c r="W4" i="12"/>
  <c r="W5" i="12" s="1"/>
  <c r="V4" i="12"/>
  <c r="AB4" i="12" s="1"/>
  <c r="AB5" i="12" s="1"/>
  <c r="I10" i="12" s="1"/>
  <c r="L4" i="12"/>
  <c r="M4" i="12" s="1"/>
  <c r="H4" i="12"/>
  <c r="H5" i="12" s="1"/>
  <c r="I7" i="12" s="1"/>
  <c r="AD5" i="11"/>
  <c r="AW4" i="11"/>
  <c r="AM4" i="11"/>
  <c r="AJ4" i="11"/>
  <c r="AJ5" i="11" s="1"/>
  <c r="AA4" i="11"/>
  <c r="Y4" i="11"/>
  <c r="X4" i="11"/>
  <c r="X5" i="11" s="1"/>
  <c r="W4" i="11"/>
  <c r="W5" i="11" s="1"/>
  <c r="V4" i="11"/>
  <c r="AB4" i="11" s="1"/>
  <c r="AB5" i="11" s="1"/>
  <c r="L4" i="11"/>
  <c r="M4" i="11" s="1"/>
  <c r="H4" i="11"/>
  <c r="H5" i="11" s="1"/>
  <c r="AD24" i="10"/>
  <c r="X24" i="10"/>
  <c r="AM23" i="10"/>
  <c r="AW23" i="10" s="1"/>
  <c r="AJ23" i="10"/>
  <c r="AJ24" i="10" s="1"/>
  <c r="AA23" i="10"/>
  <c r="AA24" i="10" s="1"/>
  <c r="Y23" i="10"/>
  <c r="Y24" i="10" s="1"/>
  <c r="X23" i="10"/>
  <c r="W23" i="10"/>
  <c r="W24" i="10" s="1"/>
  <c r="V23" i="10"/>
  <c r="V24" i="10" s="1"/>
  <c r="M23" i="10"/>
  <c r="L23" i="10"/>
  <c r="H23" i="10"/>
  <c r="H24" i="10" s="1"/>
  <c r="H18" i="10"/>
  <c r="H17" i="10"/>
  <c r="H16" i="10"/>
  <c r="H15" i="10"/>
  <c r="H14" i="10"/>
  <c r="H13" i="10"/>
  <c r="H12" i="10"/>
  <c r="H11" i="10"/>
  <c r="H10" i="10"/>
  <c r="H9" i="10"/>
  <c r="H8" i="10"/>
  <c r="H7" i="10"/>
  <c r="H6" i="10"/>
  <c r="H5" i="10"/>
  <c r="H4" i="10"/>
  <c r="H19" i="10" s="1"/>
  <c r="AJ24" i="9"/>
  <c r="AD24" i="9"/>
  <c r="AA24" i="9"/>
  <c r="V24" i="9"/>
  <c r="BP23" i="9"/>
  <c r="AW23" i="9"/>
  <c r="AO23" i="9"/>
  <c r="AM23" i="9"/>
  <c r="AJ23" i="9"/>
  <c r="AA23" i="9"/>
  <c r="Y23" i="9"/>
  <c r="Y24" i="9" s="1"/>
  <c r="X23" i="9"/>
  <c r="X24" i="9" s="1"/>
  <c r="W23" i="9"/>
  <c r="AB23" i="9" s="1"/>
  <c r="AB24" i="9" s="1"/>
  <c r="V23" i="9"/>
  <c r="H23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19" i="9" s="1"/>
  <c r="AD24" i="8"/>
  <c r="X24" i="8"/>
  <c r="AM23" i="8"/>
  <c r="AW23" i="8" s="1"/>
  <c r="AJ23" i="8"/>
  <c r="AJ24" i="8" s="1"/>
  <c r="AA23" i="8"/>
  <c r="AA24" i="8" s="1"/>
  <c r="Y23" i="8"/>
  <c r="Y24" i="8" s="1"/>
  <c r="X23" i="8"/>
  <c r="W23" i="8"/>
  <c r="W24" i="8" s="1"/>
  <c r="V23" i="8"/>
  <c r="V24" i="8" s="1"/>
  <c r="M23" i="8"/>
  <c r="L23" i="8"/>
  <c r="H23" i="8"/>
  <c r="H24" i="8" s="1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H5" i="8"/>
  <c r="H4" i="8"/>
  <c r="AJ24" i="7"/>
  <c r="AD24" i="7"/>
  <c r="X24" i="7"/>
  <c r="AM23" i="7"/>
  <c r="AW23" i="7" s="1"/>
  <c r="AJ23" i="7"/>
  <c r="AO23" i="7" s="1"/>
  <c r="AA23" i="7"/>
  <c r="Y23" i="7"/>
  <c r="X23" i="7"/>
  <c r="W23" i="7"/>
  <c r="W24" i="7" s="1"/>
  <c r="V23" i="7"/>
  <c r="V24" i="7" s="1"/>
  <c r="M23" i="7"/>
  <c r="L23" i="7"/>
  <c r="H23" i="7"/>
  <c r="H24" i="7" s="1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19" i="7" s="1"/>
  <c r="AD24" i="6"/>
  <c r="AA24" i="6"/>
  <c r="V24" i="6"/>
  <c r="BP23" i="6"/>
  <c r="AO23" i="6"/>
  <c r="AM23" i="6"/>
  <c r="AW23" i="6" s="1"/>
  <c r="AJ23" i="6"/>
  <c r="AJ24" i="6" s="1"/>
  <c r="AA23" i="6"/>
  <c r="Y23" i="6"/>
  <c r="Y24" i="6" s="1"/>
  <c r="X23" i="6"/>
  <c r="X24" i="6" s="1"/>
  <c r="W23" i="6"/>
  <c r="W24" i="6" s="1"/>
  <c r="V23" i="6"/>
  <c r="AB23" i="6" s="1"/>
  <c r="AB24" i="6" s="1"/>
  <c r="H23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H4" i="6"/>
  <c r="H19" i="6" s="1"/>
  <c r="AD24" i="5"/>
  <c r="X24" i="5"/>
  <c r="AM23" i="5"/>
  <c r="AW23" i="5" s="1"/>
  <c r="AJ23" i="5"/>
  <c r="AJ24" i="5" s="1"/>
  <c r="AA23" i="5"/>
  <c r="AA24" i="5" s="1"/>
  <c r="Y23" i="5"/>
  <c r="Y24" i="5" s="1"/>
  <c r="X23" i="5"/>
  <c r="W23" i="5"/>
  <c r="W24" i="5" s="1"/>
  <c r="V23" i="5"/>
  <c r="V24" i="5" s="1"/>
  <c r="H23" i="5"/>
  <c r="H24" i="5" s="1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19" i="5" s="1"/>
  <c r="AD24" i="4"/>
  <c r="AA24" i="4"/>
  <c r="V24" i="4"/>
  <c r="BP23" i="4"/>
  <c r="AO23" i="4"/>
  <c r="AM23" i="4"/>
  <c r="AW23" i="4" s="1"/>
  <c r="AJ23" i="4"/>
  <c r="AJ24" i="4" s="1"/>
  <c r="AA23" i="4"/>
  <c r="Y23" i="4"/>
  <c r="Y24" i="4" s="1"/>
  <c r="X23" i="4"/>
  <c r="X24" i="4" s="1"/>
  <c r="W23" i="4"/>
  <c r="W24" i="4" s="1"/>
  <c r="V23" i="4"/>
  <c r="AB23" i="4" s="1"/>
  <c r="AB24" i="4" s="1"/>
  <c r="H23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19" i="4" s="1"/>
  <c r="AD24" i="3"/>
  <c r="AM23" i="3"/>
  <c r="AW23" i="3" s="1"/>
  <c r="AJ23" i="3"/>
  <c r="AJ24" i="3" s="1"/>
  <c r="AA23" i="3"/>
  <c r="AA24" i="3" s="1"/>
  <c r="Y23" i="3"/>
  <c r="Y24" i="3" s="1"/>
  <c r="X23" i="3"/>
  <c r="X24" i="3" s="1"/>
  <c r="W23" i="3"/>
  <c r="W24" i="3" s="1"/>
  <c r="V23" i="3"/>
  <c r="V24" i="3" s="1"/>
  <c r="H23" i="3"/>
  <c r="H24" i="3" s="1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19" i="3" s="1"/>
  <c r="H5" i="3"/>
  <c r="H4" i="3"/>
  <c r="AD24" i="2"/>
  <c r="AA24" i="2"/>
  <c r="X24" i="2"/>
  <c r="W24" i="2"/>
  <c r="V24" i="2"/>
  <c r="AM23" i="2"/>
  <c r="AW23" i="2" s="1"/>
  <c r="AJ23" i="2"/>
  <c r="AJ24" i="2" s="1"/>
  <c r="AA23" i="2"/>
  <c r="Y23" i="2"/>
  <c r="Y24" i="2" s="1"/>
  <c r="X23" i="2"/>
  <c r="W23" i="2"/>
  <c r="V23" i="2"/>
  <c r="AB23" i="2" s="1"/>
  <c r="AB24" i="2" s="1"/>
  <c r="H23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19" i="2" s="1"/>
  <c r="AD24" i="1"/>
  <c r="Y24" i="1"/>
  <c r="W24" i="1"/>
  <c r="H24" i="1"/>
  <c r="AW23" i="1"/>
  <c r="AY23" i="1" s="1"/>
  <c r="AM23" i="1"/>
  <c r="AJ23" i="1"/>
  <c r="AJ24" i="1" s="1"/>
  <c r="AA23" i="1"/>
  <c r="AA24" i="1" s="1"/>
  <c r="Y23" i="1"/>
  <c r="X23" i="1"/>
  <c r="X24" i="1" s="1"/>
  <c r="W23" i="1"/>
  <c r="V23" i="1"/>
  <c r="V24" i="1" s="1"/>
  <c r="L23" i="1"/>
  <c r="M23" i="1" s="1"/>
  <c r="H23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19" i="1" s="1"/>
  <c r="H4" i="1"/>
  <c r="AY4" i="15" l="1"/>
  <c r="BP4" i="15"/>
  <c r="AY4" i="16"/>
  <c r="BP4" i="16"/>
  <c r="N4" i="12"/>
  <c r="AY4" i="14"/>
  <c r="BP4" i="14"/>
  <c r="N4" i="11"/>
  <c r="AY4" i="13"/>
  <c r="BP4" i="13"/>
  <c r="AO4" i="16"/>
  <c r="AJ5" i="16"/>
  <c r="AO4" i="11"/>
  <c r="BP4" i="11"/>
  <c r="V5" i="11"/>
  <c r="AO4" i="12"/>
  <c r="BP4" i="12"/>
  <c r="V5" i="12"/>
  <c r="AB4" i="13"/>
  <c r="AB5" i="13" s="1"/>
  <c r="AH4" i="13"/>
  <c r="AJ5" i="13"/>
  <c r="AB4" i="14"/>
  <c r="AB5" i="14" s="1"/>
  <c r="AH4" i="14"/>
  <c r="AJ5" i="14"/>
  <c r="AB4" i="15"/>
  <c r="AB5" i="15" s="1"/>
  <c r="AH4" i="15"/>
  <c r="AJ5" i="15"/>
  <c r="AY4" i="11"/>
  <c r="AK4" i="12"/>
  <c r="AY4" i="12"/>
  <c r="N4" i="13"/>
  <c r="N4" i="14"/>
  <c r="N4" i="15"/>
  <c r="N4" i="16"/>
  <c r="AG5" i="16"/>
  <c r="AK5" i="16"/>
  <c r="AE4" i="13"/>
  <c r="AE4" i="14"/>
  <c r="AE4" i="15"/>
  <c r="AE4" i="16"/>
  <c r="AE5" i="16" s="1"/>
  <c r="AY23" i="2"/>
  <c r="BP23" i="2"/>
  <c r="AO23" i="2"/>
  <c r="AB23" i="3"/>
  <c r="AB24" i="3" s="1"/>
  <c r="AB23" i="7"/>
  <c r="AB24" i="7" s="1"/>
  <c r="L23" i="2"/>
  <c r="M23" i="2" s="1"/>
  <c r="H24" i="2"/>
  <c r="H24" i="4"/>
  <c r="L23" i="4"/>
  <c r="M23" i="4" s="1"/>
  <c r="H24" i="6"/>
  <c r="L23" i="6"/>
  <c r="M23" i="6" s="1"/>
  <c r="H24" i="9"/>
  <c r="L23" i="9"/>
  <c r="M23" i="9" s="1"/>
  <c r="AB23" i="10"/>
  <c r="AB24" i="10" s="1"/>
  <c r="AY23" i="3"/>
  <c r="BP23" i="3"/>
  <c r="AY23" i="5"/>
  <c r="BP23" i="5"/>
  <c r="AY23" i="8"/>
  <c r="BP23" i="8"/>
  <c r="AY23" i="10"/>
  <c r="BP23" i="10"/>
  <c r="L23" i="3"/>
  <c r="M23" i="3" s="1"/>
  <c r="AY23" i="4"/>
  <c r="AB23" i="5"/>
  <c r="AB24" i="5" s="1"/>
  <c r="AY23" i="6"/>
  <c r="AY23" i="7"/>
  <c r="BP23" i="7"/>
  <c r="H19" i="8"/>
  <c r="AB23" i="8"/>
  <c r="AB24" i="8" s="1"/>
  <c r="N23" i="5"/>
  <c r="N23" i="7"/>
  <c r="N23" i="8"/>
  <c r="AY23" i="9"/>
  <c r="W24" i="9"/>
  <c r="N23" i="10"/>
  <c r="AO23" i="3"/>
  <c r="AO23" i="5"/>
  <c r="AO23" i="8"/>
  <c r="AO23" i="10"/>
  <c r="L23" i="5"/>
  <c r="M23" i="5" s="1"/>
  <c r="N23" i="1"/>
  <c r="AB23" i="1"/>
  <c r="AB24" i="1" s="1"/>
  <c r="AO23" i="1"/>
  <c r="BP23" i="1"/>
  <c r="AK4" i="13" l="1"/>
  <c r="AE5" i="13"/>
  <c r="O4" i="13"/>
  <c r="O4" i="16"/>
  <c r="O4" i="11"/>
  <c r="O4" i="12"/>
  <c r="AK4" i="15"/>
  <c r="AE5" i="15"/>
  <c r="O4" i="15"/>
  <c r="AK5" i="12"/>
  <c r="AP4" i="12"/>
  <c r="AK4" i="14"/>
  <c r="AE5" i="14"/>
  <c r="O4" i="14"/>
  <c r="O23" i="5"/>
  <c r="P23" i="5" s="1"/>
  <c r="Q23" i="5" s="1"/>
  <c r="R23" i="5" s="1"/>
  <c r="O23" i="8"/>
  <c r="N23" i="4"/>
  <c r="N23" i="3"/>
  <c r="O23" i="10"/>
  <c r="O23" i="7"/>
  <c r="N23" i="9"/>
  <c r="N23" i="6"/>
  <c r="N23" i="2"/>
  <c r="O23" i="1"/>
  <c r="P4" i="14" l="1"/>
  <c r="Q4" i="14" s="1"/>
  <c r="R4" i="14" s="1"/>
  <c r="AP4" i="15"/>
  <c r="AK5" i="15"/>
  <c r="P4" i="11"/>
  <c r="Q4" i="11" s="1"/>
  <c r="R4" i="11" s="1"/>
  <c r="P4" i="13"/>
  <c r="Q4" i="13" s="1"/>
  <c r="R4" i="13" s="1"/>
  <c r="AP4" i="14"/>
  <c r="AK5" i="14"/>
  <c r="P4" i="15"/>
  <c r="Q4" i="15" s="1"/>
  <c r="R4" i="15" s="1"/>
  <c r="P4" i="12"/>
  <c r="Q4" i="12" s="1"/>
  <c r="R4" i="12" s="1"/>
  <c r="P4" i="16"/>
  <c r="Q4" i="16" s="1"/>
  <c r="R4" i="16" s="1"/>
  <c r="AP4" i="13"/>
  <c r="AK5" i="13"/>
  <c r="R24" i="5"/>
  <c r="S23" i="5"/>
  <c r="P23" i="7"/>
  <c r="Q23" i="7" s="1"/>
  <c r="R23" i="7" s="1"/>
  <c r="O23" i="2"/>
  <c r="O23" i="4"/>
  <c r="O23" i="6"/>
  <c r="R23" i="8"/>
  <c r="O23" i="9"/>
  <c r="P23" i="10"/>
  <c r="Q23" i="10" s="1"/>
  <c r="R23" i="10" s="1"/>
  <c r="P23" i="3"/>
  <c r="Q23" i="3" s="1"/>
  <c r="O23" i="3"/>
  <c r="P23" i="8"/>
  <c r="Q23" i="8" s="1"/>
  <c r="P23" i="1"/>
  <c r="Q23" i="1" s="1"/>
  <c r="R23" i="1" s="1"/>
  <c r="R5" i="12" l="1"/>
  <c r="I8" i="12" s="1"/>
  <c r="S4" i="12"/>
  <c r="R5" i="15"/>
  <c r="S4" i="15"/>
  <c r="R5" i="11"/>
  <c r="S4" i="11"/>
  <c r="R5" i="16"/>
  <c r="I8" i="16" s="1"/>
  <c r="S4" i="16"/>
  <c r="R5" i="13"/>
  <c r="S4" i="13"/>
  <c r="R5" i="14"/>
  <c r="S4" i="14"/>
  <c r="R24" i="7"/>
  <c r="S23" i="7"/>
  <c r="R24" i="10"/>
  <c r="S23" i="10"/>
  <c r="R24" i="8"/>
  <c r="S23" i="8"/>
  <c r="P23" i="4"/>
  <c r="Q23" i="4" s="1"/>
  <c r="R23" i="4" s="1"/>
  <c r="AG23" i="5"/>
  <c r="AG24" i="5" s="1"/>
  <c r="S24" i="5"/>
  <c r="AE23" i="5" s="1"/>
  <c r="AI23" i="5"/>
  <c r="AC23" i="5"/>
  <c r="AC24" i="5" s="1"/>
  <c r="AH23" i="5"/>
  <c r="AH24" i="5" s="1"/>
  <c r="R23" i="3"/>
  <c r="P23" i="9"/>
  <c r="Q23" i="9" s="1"/>
  <c r="R23" i="9" s="1"/>
  <c r="P23" i="6"/>
  <c r="Q23" i="6" s="1"/>
  <c r="R23" i="6" s="1"/>
  <c r="P23" i="2"/>
  <c r="Q23" i="2" s="1"/>
  <c r="R23" i="2" s="1"/>
  <c r="R24" i="1"/>
  <c r="S23" i="1"/>
  <c r="S5" i="14" l="1"/>
  <c r="AI4" i="14"/>
  <c r="AC4" i="14"/>
  <c r="AC5" i="14" s="1"/>
  <c r="AA4" i="16"/>
  <c r="V4" i="16"/>
  <c r="S5" i="16"/>
  <c r="I9" i="16" s="1"/>
  <c r="AI4" i="16"/>
  <c r="W4" i="16"/>
  <c r="W5" i="16" s="1"/>
  <c r="S5" i="13"/>
  <c r="AI4" i="13"/>
  <c r="AC4" i="13"/>
  <c r="AC5" i="13" s="1"/>
  <c r="S5" i="11"/>
  <c r="AE4" i="11" s="1"/>
  <c r="AI4" i="11"/>
  <c r="AC4" i="11"/>
  <c r="AC5" i="11" s="1"/>
  <c r="AH4" i="11"/>
  <c r="AH5" i="11" s="1"/>
  <c r="AG4" i="11"/>
  <c r="AG5" i="11" s="1"/>
  <c r="S5" i="12"/>
  <c r="I9" i="12" s="1"/>
  <c r="I11" i="12" s="1"/>
  <c r="AI4" i="12"/>
  <c r="AC4" i="12"/>
  <c r="AC5" i="12" s="1"/>
  <c r="S5" i="15"/>
  <c r="AI4" i="15"/>
  <c r="AC4" i="15"/>
  <c r="AC5" i="15" s="1"/>
  <c r="R24" i="2"/>
  <c r="S23" i="2"/>
  <c r="R24" i="9"/>
  <c r="S23" i="9"/>
  <c r="R24" i="6"/>
  <c r="S23" i="6"/>
  <c r="R24" i="4"/>
  <c r="S23" i="4"/>
  <c r="AK23" i="5"/>
  <c r="AE24" i="5"/>
  <c r="AG23" i="10"/>
  <c r="AG24" i="10" s="1"/>
  <c r="AE23" i="10"/>
  <c r="S24" i="10"/>
  <c r="AI23" i="10"/>
  <c r="AC23" i="10"/>
  <c r="AC24" i="10" s="1"/>
  <c r="AH23" i="10"/>
  <c r="AH24" i="10" s="1"/>
  <c r="AI24" i="5"/>
  <c r="AN23" i="5"/>
  <c r="R24" i="3"/>
  <c r="S23" i="3"/>
  <c r="S24" i="8"/>
  <c r="AG23" i="8" s="1"/>
  <c r="AG24" i="8" s="1"/>
  <c r="AI23" i="8"/>
  <c r="AC23" i="8"/>
  <c r="AC24" i="8" s="1"/>
  <c r="AG23" i="7"/>
  <c r="AG24" i="7" s="1"/>
  <c r="AE23" i="7"/>
  <c r="S24" i="7"/>
  <c r="AI23" i="7"/>
  <c r="AC23" i="7"/>
  <c r="AC24" i="7" s="1"/>
  <c r="AH23" i="7"/>
  <c r="AH24" i="7" s="1"/>
  <c r="AG23" i="1"/>
  <c r="AG24" i="1" s="1"/>
  <c r="AE23" i="1"/>
  <c r="S24" i="1"/>
  <c r="AI23" i="1"/>
  <c r="AC23" i="1"/>
  <c r="AC24" i="1" s="1"/>
  <c r="AH23" i="1"/>
  <c r="AH24" i="1" s="1"/>
  <c r="AE5" i="11" l="1"/>
  <c r="AK4" i="11"/>
  <c r="AN4" i="12"/>
  <c r="AR4" i="12" s="1"/>
  <c r="AX4" i="12" s="1"/>
  <c r="AZ4" i="12" s="1"/>
  <c r="BO4" i="12" s="1"/>
  <c r="AI5" i="12"/>
  <c r="AI5" i="15"/>
  <c r="AN4" i="15"/>
  <c r="AR4" i="15" s="1"/>
  <c r="AX4" i="15" s="1"/>
  <c r="AZ4" i="15" s="1"/>
  <c r="BO4" i="15" s="1"/>
  <c r="AI5" i="13"/>
  <c r="AN4" i="13"/>
  <c r="AR4" i="13" s="1"/>
  <c r="AX4" i="13" s="1"/>
  <c r="AZ4" i="13" s="1"/>
  <c r="BO4" i="13" s="1"/>
  <c r="AI5" i="16"/>
  <c r="AN4" i="16"/>
  <c r="AR4" i="16" s="1"/>
  <c r="AX4" i="16" s="1"/>
  <c r="AZ4" i="16" s="1"/>
  <c r="BO4" i="16" s="1"/>
  <c r="AN4" i="11"/>
  <c r="AI5" i="11"/>
  <c r="AI5" i="14"/>
  <c r="AN4" i="14"/>
  <c r="AR4" i="14" s="1"/>
  <c r="AX4" i="14" s="1"/>
  <c r="AZ4" i="14" s="1"/>
  <c r="BO4" i="14" s="1"/>
  <c r="V5" i="16"/>
  <c r="AB4" i="16"/>
  <c r="AK23" i="7"/>
  <c r="AE24" i="7"/>
  <c r="S24" i="3"/>
  <c r="AG23" i="3" s="1"/>
  <c r="AG24" i="3" s="1"/>
  <c r="AI23" i="3"/>
  <c r="AC23" i="3"/>
  <c r="AC24" i="3" s="1"/>
  <c r="AH23" i="3"/>
  <c r="AH24" i="3" s="1"/>
  <c r="AK23" i="10"/>
  <c r="AE24" i="10"/>
  <c r="S24" i="9"/>
  <c r="AH23" i="9" s="1"/>
  <c r="AH24" i="9" s="1"/>
  <c r="AI23" i="9"/>
  <c r="AC23" i="9"/>
  <c r="AC24" i="9" s="1"/>
  <c r="AE23" i="9"/>
  <c r="AH23" i="8"/>
  <c r="AH24" i="8" s="1"/>
  <c r="AE23" i="8"/>
  <c r="AR23" i="5"/>
  <c r="AX23" i="5" s="1"/>
  <c r="AZ23" i="5" s="1"/>
  <c r="BO23" i="5" s="1"/>
  <c r="AI24" i="10"/>
  <c r="AN23" i="10"/>
  <c r="S24" i="6"/>
  <c r="AI23" i="6"/>
  <c r="AC23" i="6"/>
  <c r="AC24" i="6" s="1"/>
  <c r="AH23" i="6"/>
  <c r="AH24" i="6" s="1"/>
  <c r="AG23" i="6"/>
  <c r="AG24" i="6" s="1"/>
  <c r="AE23" i="6"/>
  <c r="S24" i="2"/>
  <c r="AE23" i="2" s="1"/>
  <c r="AI23" i="2"/>
  <c r="AC23" i="2"/>
  <c r="AC24" i="2" s="1"/>
  <c r="AG23" i="2"/>
  <c r="AG24" i="2" s="1"/>
  <c r="AI24" i="8"/>
  <c r="AN23" i="8"/>
  <c r="S24" i="4"/>
  <c r="AE23" i="4" s="1"/>
  <c r="AI23" i="4"/>
  <c r="AC23" i="4"/>
  <c r="AC24" i="4" s="1"/>
  <c r="AG23" i="4"/>
  <c r="AG24" i="4" s="1"/>
  <c r="AI24" i="7"/>
  <c r="AN23" i="7"/>
  <c r="AK24" i="5"/>
  <c r="AP23" i="5"/>
  <c r="AK23" i="1"/>
  <c r="AE24" i="1"/>
  <c r="AI24" i="1"/>
  <c r="AN23" i="1"/>
  <c r="AK5" i="11" l="1"/>
  <c r="AP4" i="11"/>
  <c r="AR4" i="11" s="1"/>
  <c r="AX4" i="11" s="1"/>
  <c r="AZ4" i="11" s="1"/>
  <c r="BO4" i="11" s="1"/>
  <c r="AB5" i="16"/>
  <c r="I10" i="16" s="1"/>
  <c r="I11" i="16" s="1"/>
  <c r="AC4" i="16"/>
  <c r="AC5" i="16" s="1"/>
  <c r="AK23" i="2"/>
  <c r="AE24" i="2"/>
  <c r="AE24" i="4"/>
  <c r="AE24" i="9"/>
  <c r="AI24" i="9"/>
  <c r="AN23" i="9"/>
  <c r="AI24" i="3"/>
  <c r="AN23" i="3"/>
  <c r="AR23" i="7"/>
  <c r="AX23" i="7" s="1"/>
  <c r="AZ23" i="7" s="1"/>
  <c r="BO23" i="7" s="1"/>
  <c r="AH23" i="4"/>
  <c r="AH24" i="4" s="1"/>
  <c r="AH23" i="2"/>
  <c r="AH24" i="2" s="1"/>
  <c r="AK23" i="6"/>
  <c r="AE24" i="6"/>
  <c r="AI24" i="6"/>
  <c r="AN23" i="6"/>
  <c r="AG23" i="9"/>
  <c r="AG24" i="9" s="1"/>
  <c r="AK23" i="8"/>
  <c r="AE24" i="8"/>
  <c r="AE23" i="3"/>
  <c r="AI24" i="4"/>
  <c r="AN23" i="4"/>
  <c r="AI24" i="2"/>
  <c r="AN23" i="2"/>
  <c r="AR23" i="10"/>
  <c r="AX23" i="10" s="1"/>
  <c r="AZ23" i="10" s="1"/>
  <c r="BO23" i="10" s="1"/>
  <c r="AK24" i="10"/>
  <c r="AP23" i="10"/>
  <c r="AP23" i="7"/>
  <c r="AK24" i="7"/>
  <c r="AK24" i="1"/>
  <c r="AP23" i="1"/>
  <c r="AR23" i="1" s="1"/>
  <c r="AX23" i="1" s="1"/>
  <c r="AZ23" i="1" s="1"/>
  <c r="BO23" i="1" s="1"/>
  <c r="AK24" i="8" l="1"/>
  <c r="AP23" i="8"/>
  <c r="AR23" i="8" s="1"/>
  <c r="AX23" i="8" s="1"/>
  <c r="AZ23" i="8" s="1"/>
  <c r="BO23" i="8" s="1"/>
  <c r="AK24" i="6"/>
  <c r="AP23" i="6"/>
  <c r="AR23" i="6" s="1"/>
  <c r="AX23" i="6" s="1"/>
  <c r="AZ23" i="6" s="1"/>
  <c r="BO23" i="6" s="1"/>
  <c r="AK23" i="4"/>
  <c r="AK23" i="3"/>
  <c r="AE24" i="3"/>
  <c r="AK23" i="9"/>
  <c r="AK24" i="2"/>
  <c r="AP23" i="2"/>
  <c r="AR23" i="2" s="1"/>
  <c r="AX23" i="2" s="1"/>
  <c r="AZ23" i="2" s="1"/>
  <c r="BO23" i="2" s="1"/>
  <c r="AK24" i="3" l="1"/>
  <c r="AP23" i="3"/>
  <c r="AR23" i="3" s="1"/>
  <c r="AX23" i="3" s="1"/>
  <c r="AZ23" i="3" s="1"/>
  <c r="BO23" i="3" s="1"/>
  <c r="AK24" i="9"/>
  <c r="AP23" i="9"/>
  <c r="AR23" i="9" s="1"/>
  <c r="AX23" i="9" s="1"/>
  <c r="AZ23" i="9" s="1"/>
  <c r="BO23" i="9" s="1"/>
  <c r="AK24" i="4"/>
  <c r="AP23" i="4"/>
  <c r="AR23" i="4" s="1"/>
  <c r="AX23" i="4" s="1"/>
  <c r="AZ23" i="4" s="1"/>
  <c r="BO23" i="4" s="1"/>
</calcChain>
</file>

<file path=xl/sharedStrings.xml><?xml version="1.0" encoding="utf-8"?>
<sst xmlns="http://schemas.openxmlformats.org/spreadsheetml/2006/main" count="2307" uniqueCount="187">
  <si>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</si>
  <si>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</si>
  <si>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</si>
  <si>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</si>
  <si>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</si>
  <si>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</si>
  <si>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</si>
  <si>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</si>
  <si>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</si>
  <si>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</si>
  <si>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</si>
  <si>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</si>
  <si>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</si>
  <si>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</si>
  <si>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</si>
  <si>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</si>
  <si>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</si>
  <si>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</si>
  <si>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</si>
  <si>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</si>
  <si>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</si>
  <si>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</si>
  <si>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</si>
  <si>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</si>
  <si>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</si>
  <si>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</si>
  <si>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</si>
  <si>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</si>
  <si>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</si>
  <si>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</si>
  <si>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</si>
  <si>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</si>
  <si>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</si>
  <si>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</si>
  <si>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</si>
  <si>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</si>
  <si>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</si>
  <si>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</si>
  <si>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</si>
  <si>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</si>
  <si>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</si>
  <si>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</si>
  <si>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</si>
  <si>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</si>
  <si>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</si>
  <si>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</si>
  <si>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</si>
  <si>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</si>
  <si>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</si>
  <si>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</si>
  <si>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</si>
  <si>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</si>
  <si>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</si>
  <si>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</si>
  <si>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</si>
  <si>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</si>
  <si>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</si>
  <si>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</si>
  <si>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</si>
  <si>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</si>
  <si>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</si>
  <si>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</si>
  <si>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</si>
  <si>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</si>
  <si>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</si>
  <si>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</si>
  <si>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</si>
  <si>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</si>
  <si>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</si>
  <si>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</si>
  <si>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</si>
  <si>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</si>
  <si>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</si>
  <si>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</si>
  <si>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</si>
  <si>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</si>
  <si>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</si>
  <si>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</si>
  <si>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</si>
  <si>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</si>
  <si>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</si>
  <si>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</si>
  <si>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</si>
  <si>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</si>
  <si>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</si>
  <si>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</si>
  <si>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</si>
  <si>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</si>
  <si>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</si>
  <si>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</si>
  <si>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</si>
  <si>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</si>
  <si>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</si>
  <si>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</si>
  <si>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</si>
  <si>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</si>
  <si>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</si>
  <si>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</si>
  <si>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</si>
  <si>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</si>
  <si>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</si>
  <si>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</si>
  <si>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</si>
  <si>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</si>
  <si>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</si>
  <si>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</si>
  <si>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</si>
  <si>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</si>
  <si>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</si>
  <si>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</si>
  <si>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GWL-WAL-SERVICE-PRICELIST-01</t>
  </si>
  <si>
    <t>200</t>
  </si>
  <si>
    <t>2</t>
  </si>
  <si>
    <t>HSN1</t>
  </si>
  <si>
    <t>INS KD</t>
  </si>
  <si>
    <t>16</t>
  </si>
  <si>
    <t>185.81481</t>
  </si>
  <si>
    <t>Receipt Qty &amp; Unit cost</t>
  </si>
  <si>
    <t>LOT</t>
  </si>
  <si>
    <t>RM</t>
  </si>
  <si>
    <t>RMS</t>
  </si>
  <si>
    <t>RM KD</t>
  </si>
  <si>
    <t>184.66239</t>
  </si>
  <si>
    <t>18</t>
  </si>
  <si>
    <t>GWL-RM-WAL-FP-001</t>
  </si>
  <si>
    <t>250</t>
  </si>
  <si>
    <t>INS</t>
  </si>
  <si>
    <t>0</t>
  </si>
  <si>
    <t>GWL-RM-WAL-FP-001-DIS-UOM</t>
  </si>
  <si>
    <t>KGS</t>
  </si>
  <si>
    <t>GWL-WAL-SERVICE-01</t>
  </si>
  <si>
    <t>455</t>
  </si>
  <si>
    <t>330.98625</t>
  </si>
  <si>
    <t>NA</t>
  </si>
  <si>
    <t>R100</t>
  </si>
  <si>
    <t>269.19614</t>
  </si>
  <si>
    <t>24</t>
  </si>
  <si>
    <t>GWL-RM-WAL-01 RateContract</t>
  </si>
  <si>
    <t>187.68</t>
  </si>
  <si>
    <t>186.89799</t>
  </si>
  <si>
    <t>80</t>
  </si>
  <si>
    <t>GWL-RM-WAL-01 RateContract-DIS-UOM</t>
  </si>
  <si>
    <t>GWL-WAL-SERVICE-RATECONTRACT-01</t>
  </si>
  <si>
    <t>14090</t>
  </si>
  <si>
    <t>121.18128</t>
  </si>
  <si>
    <t>147.00901</t>
  </si>
  <si>
    <t>687</t>
  </si>
  <si>
    <t>GWL-RM-WAL-01 PriceList</t>
  </si>
  <si>
    <t>186.32</t>
  </si>
  <si>
    <t>4</t>
  </si>
  <si>
    <t>GWL-RM-WAL-01 PriceList-DIS-UOM</t>
  </si>
  <si>
    <t>121.22038</t>
  </si>
  <si>
    <t>146.85967</t>
  </si>
  <si>
    <t>691</t>
  </si>
  <si>
    <t>No.</t>
  </si>
  <si>
    <t>Item Desc</t>
  </si>
  <si>
    <t>VD Asbl. Val.</t>
  </si>
  <si>
    <t>Pur. Value</t>
  </si>
  <si>
    <t>Tax%</t>
  </si>
  <si>
    <t>Unit cost (Stk. UOM)</t>
  </si>
  <si>
    <t>INS WH-1</t>
  </si>
  <si>
    <t>110</t>
  </si>
  <si>
    <t>124.545</t>
  </si>
  <si>
    <t>RM WH-49</t>
  </si>
  <si>
    <t>5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</si>
  <si>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</si>
  <si>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</si>
  <si>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</si>
  <si>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</si>
  <si>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</si>
  <si>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</si>
  <si>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</si>
  <si>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</si>
  <si>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</si>
  <si>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</si>
  <si>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</si>
  <si>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</si>
  <si>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</si>
  <si>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</si>
  <si>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</si>
  <si>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</si>
  <si>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</si>
  <si>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</si>
  <si>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50</t>
  </si>
  <si>
    <t>15</t>
  </si>
  <si>
    <t>41.515</t>
  </si>
  <si>
    <t>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</si>
</sst>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0.00_);[Red]\(0.00\)"/>
  </numFmts>
  <fonts count="7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u/>
      <sz val="14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b/>
      <sz val="11"/>
      <color theme="1"/>
      <name val="Calibri Light"/>
      <charset val="134"/>
      <scheme val="major"/>
    </font>
    <font>
      <sz val="10"/>
      <color rgb="FF000000"/>
      <name val="Consolas"/>
      <charset val="134"/>
    </font>
    <font>
      <sz val="9"/>
      <color rgb="FF004153"/>
      <name val="Arial"/>
      <charset val="134"/>
    </font>
  </fonts>
  <fills count="1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79857783745845"/>
        <bgColor indexed="64"/>
      </patternFill>
    </fill>
    <fill>
      <patternFill patternType="solid">
        <fgColor theme="7" tint="0.79982909634693444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</borders>
  <cellStyleXfs count="2">
    <xf numFmtId="0" fontId="0" fillId="0" borderId="0"/>
    <xf numFmtId="0" fontId="1" fillId="0" borderId="0">
      <alignment vertical="center"/>
    </xf>
  </cellStyleXfs>
  <cellXfs count="122">
    <xf numFmtId="0" fontId="0" fillId="0" borderId="0" xfId="0"/>
    <xf numFmtId="0" fontId="2" fillId="0" borderId="0" xfId="0" applyFont="1" applyFill="1" applyBorder="1" applyAlignment="1">
      <alignment horizontal="left" vertical="top"/>
    </xf>
    <xf numFmtId="0" fontId="2" fillId="0" borderId="0" xfId="0" applyFont="1" applyFill="1" applyBorder="1" applyAlignment="1">
      <alignment horizontal="left" vertical="top"/>
    </xf>
    <xf numFmtId="0" fontId="3" fillId="0" borderId="0" xfId="0" applyFont="1" applyFill="1" applyAlignment="1"/>
    <xf numFmtId="0" fontId="0" fillId="0" borderId="0" xfId="0" applyFill="1" applyAlignment="1"/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3" fillId="0" borderId="4" xfId="0" applyFont="1" applyFill="1" applyBorder="1" applyAlignment="1"/>
    <xf numFmtId="0" fontId="3" fillId="0" borderId="5" xfId="0" applyFont="1" applyFill="1" applyBorder="1" applyAlignment="1"/>
    <xf numFmtId="164" fontId="3" fillId="0" borderId="5" xfId="0" applyNumberFormat="1" applyFont="1" applyFill="1" applyBorder="1" applyAlignment="1"/>
    <xf numFmtId="2" fontId="3" fillId="0" borderId="5" xfId="0" applyNumberFormat="1" applyFont="1" applyFill="1" applyBorder="1" applyAlignment="1"/>
    <xf numFmtId="2" fontId="3" fillId="0" borderId="6" xfId="0" applyNumberFormat="1" applyFont="1" applyFill="1" applyBorder="1" applyAlignment="1"/>
    <xf numFmtId="10" fontId="3" fillId="0" borderId="0" xfId="0" applyNumberFormat="1" applyFont="1" applyFill="1" applyBorder="1" applyAlignment="1"/>
    <xf numFmtId="2" fontId="3" fillId="0" borderId="0" xfId="0" applyNumberFormat="1" applyFont="1" applyFill="1" applyBorder="1" applyAlignment="1"/>
    <xf numFmtId="0" fontId="5" fillId="0" borderId="0" xfId="0" applyFont="1" applyFill="1" applyAlignment="1"/>
    <xf numFmtId="0" fontId="3" fillId="0" borderId="7" xfId="0" applyFont="1" applyFill="1" applyBorder="1" applyAlignment="1"/>
    <xf numFmtId="0" fontId="3" fillId="0" borderId="8" xfId="0" applyFont="1" applyFill="1" applyBorder="1" applyAlignment="1"/>
    <xf numFmtId="164" fontId="3" fillId="0" borderId="8" xfId="0" applyNumberFormat="1" applyFont="1" applyFill="1" applyBorder="1" applyAlignment="1"/>
    <xf numFmtId="2" fontId="3" fillId="0" borderId="8" xfId="0" applyNumberFormat="1" applyFont="1" applyFill="1" applyBorder="1" applyAlignment="1"/>
    <xf numFmtId="2" fontId="3" fillId="0" borderId="9" xfId="0" applyNumberFormat="1" applyFont="1" applyFill="1" applyBorder="1" applyAlignment="1"/>
    <xf numFmtId="0" fontId="4" fillId="3" borderId="10" xfId="0" applyFont="1" applyFill="1" applyBorder="1" applyAlignment="1">
      <alignment horizontal="center" vertical="top"/>
    </xf>
    <xf numFmtId="0" fontId="4" fillId="3" borderId="11" xfId="0" applyFont="1" applyFill="1" applyBorder="1" applyAlignment="1">
      <alignment vertical="top"/>
    </xf>
    <xf numFmtId="0" fontId="3" fillId="0" borderId="0" xfId="0" applyFont="1" applyFill="1" applyBorder="1" applyAlignment="1"/>
    <xf numFmtId="0" fontId="4" fillId="0" borderId="0" xfId="0" applyFont="1" applyFill="1" applyBorder="1" applyAlignment="1"/>
    <xf numFmtId="0" fontId="4" fillId="0" borderId="0" xfId="0" applyFont="1" applyFill="1" applyBorder="1" applyAlignment="1">
      <alignment horizontal="center"/>
    </xf>
    <xf numFmtId="0" fontId="3" fillId="0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left" vertical="center"/>
    </xf>
    <xf numFmtId="0" fontId="4" fillId="2" borderId="12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0" fontId="4" fillId="6" borderId="12" xfId="0" applyFont="1" applyFill="1" applyBorder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4" fillId="7" borderId="12" xfId="0" applyFont="1" applyFill="1" applyBorder="1" applyAlignment="1">
      <alignment horizontal="center" vertical="center" wrapText="1"/>
    </xf>
    <xf numFmtId="0" fontId="4" fillId="8" borderId="12" xfId="0" applyFont="1" applyFill="1" applyBorder="1" applyAlignment="1">
      <alignment horizontal="center" vertical="center"/>
    </xf>
    <xf numFmtId="0" fontId="3" fillId="2" borderId="2" xfId="0" applyFont="1" applyFill="1" applyBorder="1" applyAlignment="1"/>
    <xf numFmtId="0" fontId="3" fillId="2" borderId="13" xfId="0" applyFont="1" applyFill="1" applyBorder="1" applyAlignment="1"/>
    <xf numFmtId="0" fontId="3" fillId="0" borderId="14" xfId="0" applyFont="1" applyFill="1" applyBorder="1" applyAlignment="1"/>
    <xf numFmtId="0" fontId="3" fillId="0" borderId="14" xfId="0" applyNumberFormat="1" applyFont="1" applyFill="1" applyBorder="1" applyAlignment="1"/>
    <xf numFmtId="10" fontId="3" fillId="0" borderId="14" xfId="0" applyNumberFormat="1" applyFont="1" applyFill="1" applyBorder="1" applyAlignment="1"/>
    <xf numFmtId="0" fontId="3" fillId="0" borderId="5" xfId="0" applyNumberFormat="1" applyFont="1" applyFill="1" applyBorder="1" applyAlignment="1"/>
    <xf numFmtId="0" fontId="0" fillId="0" borderId="5" xfId="0" applyNumberFormat="1" applyFill="1" applyBorder="1" applyAlignment="1"/>
    <xf numFmtId="0" fontId="0" fillId="0" borderId="15" xfId="0" applyNumberFormat="1" applyFill="1" applyBorder="1" applyAlignment="1"/>
    <xf numFmtId="0" fontId="0" fillId="0" borderId="15" xfId="0" applyNumberFormat="1" applyFont="1" applyFill="1" applyBorder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0" fillId="0" borderId="0" xfId="0" applyFill="1" applyBorder="1" applyAlignment="1"/>
    <xf numFmtId="0" fontId="4" fillId="3" borderId="16" xfId="0" applyFont="1" applyFill="1" applyBorder="1" applyAlignment="1"/>
    <xf numFmtId="0" fontId="4" fillId="3" borderId="17" xfId="0" applyFont="1" applyFill="1" applyBorder="1" applyAlignment="1"/>
    <xf numFmtId="0" fontId="4" fillId="3" borderId="14" xfId="0" applyFont="1" applyFill="1" applyBorder="1" applyAlignment="1"/>
    <xf numFmtId="0" fontId="4" fillId="3" borderId="14" xfId="0" applyNumberFormat="1" applyFont="1" applyFill="1" applyBorder="1" applyAlignment="1"/>
    <xf numFmtId="2" fontId="4" fillId="3" borderId="14" xfId="0" applyNumberFormat="1" applyFont="1" applyFill="1" applyBorder="1" applyAlignment="1"/>
    <xf numFmtId="0" fontId="4" fillId="7" borderId="14" xfId="0" applyFont="1" applyFill="1" applyBorder="1" applyAlignment="1"/>
    <xf numFmtId="2" fontId="4" fillId="7" borderId="14" xfId="0" applyNumberFormat="1" applyFont="1" applyFill="1" applyBorder="1" applyAlignment="1"/>
    <xf numFmtId="0" fontId="4" fillId="3" borderId="18" xfId="0" applyFont="1" applyFill="1" applyBorder="1" applyAlignment="1">
      <alignment horizontal="center" vertical="top"/>
    </xf>
    <xf numFmtId="0" fontId="4" fillId="3" borderId="19" xfId="0" applyFont="1" applyFill="1" applyBorder="1" applyAlignment="1">
      <alignment horizontal="center" vertical="top"/>
    </xf>
    <xf numFmtId="0" fontId="4" fillId="3" borderId="20" xfId="0" applyFont="1" applyFill="1" applyBorder="1" applyAlignment="1">
      <alignment horizontal="center" vertical="top"/>
    </xf>
    <xf numFmtId="0" fontId="4" fillId="0" borderId="0" xfId="1" applyFont="1" applyFill="1" applyBorder="1" applyAlignment="1"/>
    <xf numFmtId="0" fontId="4" fillId="0" borderId="0" xfId="1" applyFont="1" applyFill="1" applyBorder="1" applyAlignment="1">
      <alignment horizontal="center"/>
    </xf>
    <xf numFmtId="0" fontId="3" fillId="0" borderId="0" xfId="1" applyFont="1" applyFill="1" applyBorder="1" applyAlignment="1"/>
    <xf numFmtId="0" fontId="3" fillId="0" borderId="0" xfId="1" applyFont="1" applyFill="1" applyAlignment="1"/>
    <xf numFmtId="0" fontId="1" fillId="0" borderId="0" xfId="1" applyFill="1" applyAlignment="1"/>
    <xf numFmtId="0" fontId="1" fillId="0" borderId="0" xfId="1">
      <alignment vertical="center"/>
    </xf>
    <xf numFmtId="0" fontId="3" fillId="0" borderId="0" xfId="1" applyFont="1" applyFill="1" applyBorder="1" applyAlignment="1">
      <alignment horizontal="left" vertical="center"/>
    </xf>
    <xf numFmtId="0" fontId="4" fillId="0" borderId="0" xfId="1" applyFont="1" applyFill="1" applyBorder="1" applyAlignment="1">
      <alignment horizontal="center" vertical="center"/>
    </xf>
    <xf numFmtId="0" fontId="4" fillId="0" borderId="0" xfId="1" applyFont="1" applyFill="1" applyBorder="1" applyAlignment="1">
      <alignment horizontal="left" vertical="center"/>
    </xf>
    <xf numFmtId="0" fontId="4" fillId="2" borderId="12" xfId="1" applyFont="1" applyFill="1" applyBorder="1" applyAlignment="1">
      <alignment horizontal="center" vertical="center"/>
    </xf>
    <xf numFmtId="0" fontId="4" fillId="2" borderId="12" xfId="1" applyFont="1" applyFill="1" applyBorder="1" applyAlignment="1">
      <alignment horizontal="left" vertical="center"/>
    </xf>
    <xf numFmtId="0" fontId="4" fillId="2" borderId="12" xfId="1" applyFont="1" applyFill="1" applyBorder="1" applyAlignment="1">
      <alignment horizontal="center" vertical="center" wrapText="1"/>
    </xf>
    <xf numFmtId="0" fontId="4" fillId="4" borderId="12" xfId="1" applyFont="1" applyFill="1" applyBorder="1" applyAlignment="1">
      <alignment horizontal="center" vertical="center"/>
    </xf>
    <xf numFmtId="0" fontId="4" fillId="9" borderId="12" xfId="1" applyFont="1" applyFill="1" applyBorder="1" applyAlignment="1">
      <alignment horizontal="center" vertical="center"/>
    </xf>
    <xf numFmtId="0" fontId="4" fillId="6" borderId="12" xfId="1" applyFont="1" applyFill="1" applyBorder="1" applyAlignment="1">
      <alignment horizontal="center" vertical="center"/>
    </xf>
    <xf numFmtId="0" fontId="4" fillId="7" borderId="12" xfId="1" applyFont="1" applyFill="1" applyBorder="1" applyAlignment="1">
      <alignment horizontal="center" vertical="center"/>
    </xf>
    <xf numFmtId="0" fontId="4" fillId="7" borderId="12" xfId="1" applyFont="1" applyFill="1" applyBorder="1" applyAlignment="1">
      <alignment horizontal="center" vertical="center" wrapText="1"/>
    </xf>
    <xf numFmtId="0" fontId="4" fillId="8" borderId="12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3" fillId="2" borderId="2" xfId="1" applyFont="1" applyFill="1" applyBorder="1" applyAlignment="1"/>
    <xf numFmtId="0" fontId="3" fillId="2" borderId="13" xfId="1" applyFont="1" applyFill="1" applyBorder="1" applyAlignment="1"/>
    <xf numFmtId="0" fontId="3" fillId="0" borderId="14" xfId="1" applyFont="1" applyFill="1" applyBorder="1" applyAlignment="1"/>
    <xf numFmtId="0" fontId="3" fillId="0" borderId="14" xfId="1" applyNumberFormat="1" applyFont="1" applyFill="1" applyBorder="1" applyAlignment="1"/>
    <xf numFmtId="0" fontId="3" fillId="0" borderId="5" xfId="1" applyNumberFormat="1" applyFont="1" applyFill="1" applyBorder="1" applyAlignment="1"/>
    <xf numFmtId="0" fontId="1" fillId="0" borderId="5" xfId="1" applyNumberFormat="1" applyFill="1" applyBorder="1" applyAlignment="1"/>
    <xf numFmtId="0" fontId="1" fillId="0" borderId="15" xfId="1" applyFill="1" applyBorder="1" applyAlignment="1">
      <alignment vertical="center"/>
    </xf>
    <xf numFmtId="0" fontId="0" fillId="0" borderId="15" xfId="1" applyNumberFormat="1" applyFont="1" applyFill="1" applyBorder="1" applyAlignment="1">
      <alignment vertical="center"/>
    </xf>
    <xf numFmtId="0" fontId="1" fillId="0" borderId="0" xfId="1" applyNumberFormat="1" applyFill="1" applyAlignment="1"/>
    <xf numFmtId="0" fontId="1" fillId="0" borderId="0" xfId="1" applyNumberFormat="1" applyFill="1" applyAlignment="1">
      <alignment horizontal="center"/>
    </xf>
    <xf numFmtId="0" fontId="1" fillId="0" borderId="0" xfId="1" applyFill="1" applyBorder="1" applyAlignment="1"/>
    <xf numFmtId="0" fontId="4" fillId="3" borderId="16" xfId="1" applyFont="1" applyFill="1" applyBorder="1" applyAlignment="1"/>
    <xf numFmtId="0" fontId="4" fillId="3" borderId="17" xfId="1" applyFont="1" applyFill="1" applyBorder="1" applyAlignment="1"/>
    <xf numFmtId="0" fontId="4" fillId="3" borderId="14" xfId="1" applyNumberFormat="1" applyFont="1" applyFill="1" applyBorder="1" applyAlignment="1"/>
    <xf numFmtId="0" fontId="4" fillId="3" borderId="14" xfId="1" applyFont="1" applyFill="1" applyBorder="1" applyAlignment="1"/>
    <xf numFmtId="2" fontId="4" fillId="3" borderId="14" xfId="1" applyNumberFormat="1" applyFont="1" applyFill="1" applyBorder="1" applyAlignment="1"/>
    <xf numFmtId="0" fontId="4" fillId="7" borderId="14" xfId="1" applyFont="1" applyFill="1" applyBorder="1" applyAlignment="1"/>
    <xf numFmtId="2" fontId="4" fillId="7" borderId="14" xfId="1" applyNumberFormat="1" applyFont="1" applyFill="1" applyBorder="1" applyAlignment="1"/>
    <xf numFmtId="0" fontId="4" fillId="2" borderId="14" xfId="1" applyFont="1" applyFill="1" applyBorder="1" applyAlignment="1">
      <alignment horizontal="center" vertical="center"/>
    </xf>
    <xf numFmtId="0" fontId="4" fillId="4" borderId="14" xfId="1" applyFont="1" applyFill="1" applyBorder="1" applyAlignment="1">
      <alignment horizontal="center" vertical="center"/>
    </xf>
    <xf numFmtId="0" fontId="4" fillId="10" borderId="14" xfId="1" applyFont="1" applyFill="1" applyBorder="1" applyAlignment="1">
      <alignment horizontal="center" vertical="center"/>
    </xf>
    <xf numFmtId="0" fontId="4" fillId="6" borderId="14" xfId="1" applyFont="1" applyFill="1" applyBorder="1" applyAlignment="1">
      <alignment horizontal="center" vertical="center"/>
    </xf>
    <xf numFmtId="0" fontId="4" fillId="7" borderId="14" xfId="1" applyFont="1" applyFill="1" applyBorder="1" applyAlignment="1">
      <alignment horizontal="center" vertical="center"/>
    </xf>
    <xf numFmtId="0" fontId="4" fillId="8" borderId="14" xfId="1" applyFont="1" applyFill="1" applyBorder="1" applyAlignment="1">
      <alignment horizontal="center" vertical="center" wrapText="1"/>
    </xf>
    <xf numFmtId="165" fontId="3" fillId="0" borderId="14" xfId="1" applyNumberFormat="1" applyFont="1" applyFill="1" applyBorder="1" applyAlignment="1"/>
    <xf numFmtId="2" fontId="3" fillId="0" borderId="14" xfId="1" applyNumberFormat="1" applyFont="1" applyFill="1" applyBorder="1" applyAlignment="1"/>
    <xf numFmtId="164" fontId="3" fillId="0" borderId="14" xfId="1" applyNumberFormat="1" applyFont="1" applyFill="1" applyBorder="1" applyAlignment="1"/>
    <xf numFmtId="0" fontId="6" fillId="11" borderId="21" xfId="1" applyFont="1" applyFill="1" applyBorder="1" applyAlignment="1">
      <alignment vertical="center"/>
    </xf>
    <xf numFmtId="0" fontId="1" fillId="0" borderId="0" xfId="1" applyFill="1" applyAlignment="1">
      <alignment vertical="center"/>
    </xf>
    <xf numFmtId="0" fontId="1" fillId="0" borderId="15" xfId="1" applyNumberFormat="1" applyFill="1" applyBorder="1" applyAlignment="1"/>
    <xf numFmtId="0" fontId="6" fillId="0" borderId="0" xfId="1" applyFont="1" applyFill="1" applyAlignment="1">
      <alignment vertical="center"/>
    </xf>
    <xf numFmtId="0" fontId="3" fillId="0" borderId="22" xfId="1" applyFont="1" applyFill="1" applyBorder="1" applyAlignment="1">
      <alignment horizontal="left"/>
    </xf>
    <xf numFmtId="0" fontId="3" fillId="0" borderId="17" xfId="1" applyFont="1" applyFill="1" applyBorder="1" applyAlignment="1">
      <alignment horizontal="left"/>
    </xf>
    <xf numFmtId="0" fontId="4" fillId="0" borderId="14" xfId="1" applyFont="1" applyFill="1" applyBorder="1" applyAlignment="1">
      <alignment horizontal="right"/>
    </xf>
    <xf numFmtId="0" fontId="4" fillId="12" borderId="22" xfId="1" applyFont="1" applyFill="1" applyBorder="1" applyAlignment="1">
      <alignment horizontal="center"/>
    </xf>
    <xf numFmtId="0" fontId="4" fillId="12" borderId="16" xfId="1" applyFont="1" applyFill="1" applyBorder="1" applyAlignment="1">
      <alignment horizontal="center"/>
    </xf>
    <xf numFmtId="0" fontId="4" fillId="12" borderId="17" xfId="1" applyFont="1" applyFill="1" applyBorder="1" applyAlignment="1">
      <alignment horizontal="center"/>
    </xf>
    <xf numFmtId="0" fontId="3" fillId="0" borderId="0" xfId="1" quotePrefix="1" applyFont="1" applyFill="1" applyAlignment="1"/>
    <xf numFmtId="0" fontId="3" fillId="0" borderId="12" xfId="1" applyFont="1" applyFill="1" applyBorder="1" applyAlignment="1"/>
    <xf numFmtId="0" fontId="4" fillId="7" borderId="14" xfId="1" applyFont="1" applyFill="1" applyBorder="1" applyAlignment="1">
      <alignment horizontal="right"/>
    </xf>
    <xf numFmtId="2" fontId="3" fillId="0" borderId="5" xfId="1" applyNumberFormat="1" applyFont="1" applyFill="1" applyBorder="1" applyAlignment="1"/>
    <xf numFmtId="164" fontId="3" fillId="0" borderId="5" xfId="1" applyNumberFormat="1" applyFont="1" applyFill="1" applyBorder="1" applyAlignment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workbookViewId="0">
      <selection activeCell="C7" sqref="C7"/>
    </sheetView>
  </sheetViews>
  <sheetFormatPr defaultColWidth="9.85546875" defaultRowHeight="15"/>
  <cols>
    <col min="1" max="1" width="9.85546875" style="66"/>
    <col min="2" max="2" width="25.5703125" style="66" customWidth="1"/>
    <col min="3" max="3" width="26" style="66" customWidth="1"/>
    <col min="4" max="16384" width="9.85546875" style="66"/>
  </cols>
  <sheetData>
    <row r="1" spans="1:69">
      <c r="A1" s="61" t="s">
        <v>42</v>
      </c>
      <c r="B1" s="62"/>
      <c r="C1" s="62"/>
      <c r="D1" s="62"/>
      <c r="E1" s="62"/>
      <c r="F1" s="62"/>
      <c r="G1" s="62"/>
      <c r="H1" s="61"/>
      <c r="I1" s="63"/>
      <c r="J1" s="63"/>
      <c r="K1" s="63"/>
      <c r="L1" s="63"/>
      <c r="M1" s="63"/>
      <c r="N1" s="63"/>
      <c r="O1" s="63"/>
      <c r="P1" s="63"/>
      <c r="Q1" s="63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4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65"/>
      <c r="BO1" s="65"/>
      <c r="BP1" s="65"/>
      <c r="BQ1" s="65"/>
    </row>
    <row r="2" spans="1:69" ht="15.75" thickBot="1">
      <c r="A2" s="67" t="s">
        <v>43</v>
      </c>
      <c r="B2" s="67"/>
      <c r="C2" s="68">
        <v>3</v>
      </c>
      <c r="D2" s="69" t="s">
        <v>44</v>
      </c>
      <c r="E2" s="62"/>
      <c r="F2" s="62"/>
      <c r="G2" s="62"/>
      <c r="H2" s="61"/>
      <c r="I2" s="63" t="s">
        <v>45</v>
      </c>
      <c r="J2" s="63" t="s">
        <v>46</v>
      </c>
      <c r="K2" s="63"/>
      <c r="L2" s="63" t="s">
        <v>47</v>
      </c>
      <c r="M2" s="63">
        <v>1</v>
      </c>
      <c r="N2" s="63"/>
      <c r="O2" s="63" t="s">
        <v>48</v>
      </c>
      <c r="P2" s="63">
        <v>1</v>
      </c>
      <c r="Q2" s="63" t="s">
        <v>49</v>
      </c>
      <c r="R2" s="61"/>
      <c r="S2" s="61"/>
      <c r="T2" s="61"/>
      <c r="U2" s="61"/>
      <c r="V2" s="61">
        <v>1</v>
      </c>
      <c r="W2" s="61" t="s">
        <v>50</v>
      </c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4"/>
      <c r="AT2" s="65"/>
      <c r="AU2" s="65"/>
      <c r="AV2" s="65"/>
      <c r="AW2" s="65"/>
      <c r="AX2" s="65"/>
      <c r="AY2" s="65"/>
      <c r="AZ2" s="65"/>
      <c r="BA2" s="65"/>
      <c r="BB2" s="65"/>
      <c r="BC2" s="65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</row>
    <row r="3" spans="1:69" ht="61.5" thickTop="1" thickBot="1">
      <c r="A3" s="70" t="s">
        <v>2</v>
      </c>
      <c r="B3" s="70" t="s">
        <v>3</v>
      </c>
      <c r="C3" s="71" t="s">
        <v>4</v>
      </c>
      <c r="D3" s="70" t="s">
        <v>5</v>
      </c>
      <c r="E3" s="70" t="s">
        <v>6</v>
      </c>
      <c r="F3" s="72" t="s">
        <v>51</v>
      </c>
      <c r="G3" s="70" t="s">
        <v>8</v>
      </c>
      <c r="H3" s="70" t="s">
        <v>9</v>
      </c>
      <c r="I3" s="73" t="s">
        <v>52</v>
      </c>
      <c r="J3" s="73" t="s">
        <v>53</v>
      </c>
      <c r="K3" s="73" t="s">
        <v>54</v>
      </c>
      <c r="L3" s="74" t="s">
        <v>55</v>
      </c>
      <c r="M3" s="74" t="s">
        <v>56</v>
      </c>
      <c r="N3" s="74" t="s">
        <v>57</v>
      </c>
      <c r="O3" s="74" t="s">
        <v>58</v>
      </c>
      <c r="P3" s="74" t="s">
        <v>59</v>
      </c>
      <c r="Q3" s="74" t="s">
        <v>60</v>
      </c>
      <c r="R3" s="73" t="s">
        <v>61</v>
      </c>
      <c r="S3" s="70" t="s">
        <v>62</v>
      </c>
      <c r="T3" s="70" t="s">
        <v>63</v>
      </c>
      <c r="U3" s="75" t="s">
        <v>64</v>
      </c>
      <c r="V3" s="75" t="s">
        <v>65</v>
      </c>
      <c r="W3" s="75" t="s">
        <v>66</v>
      </c>
      <c r="X3" s="75" t="s">
        <v>67</v>
      </c>
      <c r="Y3" s="75" t="s">
        <v>68</v>
      </c>
      <c r="Z3" s="75" t="s">
        <v>69</v>
      </c>
      <c r="AA3" s="75" t="s">
        <v>70</v>
      </c>
      <c r="AB3" s="75" t="s">
        <v>71</v>
      </c>
      <c r="AC3" s="76" t="s">
        <v>72</v>
      </c>
      <c r="AD3" s="76" t="s">
        <v>73</v>
      </c>
      <c r="AE3" s="77" t="s">
        <v>74</v>
      </c>
      <c r="AF3" s="77" t="s">
        <v>75</v>
      </c>
      <c r="AG3" s="77" t="s">
        <v>76</v>
      </c>
      <c r="AH3" s="76" t="s">
        <v>77</v>
      </c>
      <c r="AI3" s="76" t="s">
        <v>78</v>
      </c>
      <c r="AJ3" s="77" t="s">
        <v>79</v>
      </c>
      <c r="AK3" s="77" t="s">
        <v>80</v>
      </c>
      <c r="AL3" s="76" t="s">
        <v>81</v>
      </c>
      <c r="AM3" s="76" t="s">
        <v>82</v>
      </c>
      <c r="AN3" s="77" t="s">
        <v>83</v>
      </c>
      <c r="AO3" s="77" t="s">
        <v>84</v>
      </c>
      <c r="AP3" s="77" t="s">
        <v>85</v>
      </c>
      <c r="AQ3" s="76" t="s">
        <v>86</v>
      </c>
      <c r="AR3" s="78" t="s">
        <v>87</v>
      </c>
      <c r="AS3" s="79" t="s">
        <v>88</v>
      </c>
      <c r="AT3" s="79" t="s">
        <v>86</v>
      </c>
      <c r="AU3" s="80" t="s">
        <v>89</v>
      </c>
      <c r="AV3" s="80" t="s">
        <v>90</v>
      </c>
      <c r="AW3" s="80" t="s">
        <v>91</v>
      </c>
      <c r="AX3" s="80" t="s">
        <v>92</v>
      </c>
      <c r="AY3" s="80" t="s">
        <v>93</v>
      </c>
      <c r="AZ3" s="80" t="s">
        <v>94</v>
      </c>
      <c r="BA3" s="80" t="s">
        <v>95</v>
      </c>
      <c r="BB3" s="80" t="s">
        <v>96</v>
      </c>
      <c r="BC3" s="81" t="s">
        <v>97</v>
      </c>
      <c r="BD3" s="81" t="s">
        <v>98</v>
      </c>
      <c r="BE3" s="81" t="s">
        <v>99</v>
      </c>
      <c r="BF3" s="80" t="s">
        <v>100</v>
      </c>
      <c r="BG3" s="80" t="s">
        <v>101</v>
      </c>
      <c r="BH3" s="80" t="s">
        <v>102</v>
      </c>
      <c r="BI3" s="80" t="s">
        <v>103</v>
      </c>
      <c r="BJ3" s="80" t="s">
        <v>104</v>
      </c>
      <c r="BK3" s="80" t="s">
        <v>105</v>
      </c>
      <c r="BL3" s="80" t="s">
        <v>106</v>
      </c>
      <c r="BM3" s="80" t="s">
        <v>107</v>
      </c>
      <c r="BN3" s="80" t="s">
        <v>108</v>
      </c>
      <c r="BO3" s="80" t="s">
        <v>94</v>
      </c>
      <c r="BP3" s="80" t="s">
        <v>109</v>
      </c>
      <c r="BQ3" s="80" t="s">
        <v>63</v>
      </c>
    </row>
    <row r="4" spans="1:69" ht="15.75" thickBot="1">
      <c r="A4" s="82">
        <v>1</v>
      </c>
      <c r="B4" s="82" t="s">
        <v>124</v>
      </c>
      <c r="C4" s="82" t="s">
        <v>124</v>
      </c>
      <c r="D4" s="82" t="s">
        <v>12</v>
      </c>
      <c r="E4" s="82" t="s">
        <v>12</v>
      </c>
      <c r="F4" s="83">
        <v>5</v>
      </c>
      <c r="G4" s="83">
        <v>150</v>
      </c>
      <c r="H4" s="83">
        <f>F4*G4</f>
        <v>750</v>
      </c>
      <c r="I4" s="83">
        <v>5</v>
      </c>
      <c r="J4" s="83">
        <v>8</v>
      </c>
      <c r="K4" s="83">
        <v>5</v>
      </c>
      <c r="L4" s="83">
        <f>H4</f>
        <v>750</v>
      </c>
      <c r="M4" s="83">
        <f>ROUND(L4*I4%,2)</f>
        <v>37.5</v>
      </c>
      <c r="N4" s="83">
        <f>H4-M4</f>
        <v>712.5</v>
      </c>
      <c r="O4" s="83">
        <f>ROUND(N4*J4%,2)</f>
        <v>57</v>
      </c>
      <c r="P4" s="83">
        <f>ROUND(N4-O4,2)</f>
        <v>655.5</v>
      </c>
      <c r="Q4" s="83">
        <f>ROUND(P4*K4%,2)</f>
        <v>32.78</v>
      </c>
      <c r="R4" s="83">
        <f>M4+O4+Q4</f>
        <v>127.28</v>
      </c>
      <c r="S4" s="83">
        <f>(H4-R4)</f>
        <v>622.72</v>
      </c>
      <c r="T4" s="83">
        <v>85080200</v>
      </c>
      <c r="U4" s="83">
        <v>18</v>
      </c>
      <c r="V4" s="83">
        <f>IF(OR($C$2=1,$C$2=4),ROUND((((S4*U4)/100)/2),2),0)</f>
        <v>0</v>
      </c>
      <c r="W4" s="83">
        <f>IF($C$2=1,ROUND((((S4*U4)/100)/2),2),0)</f>
        <v>0</v>
      </c>
      <c r="X4" s="83">
        <f>IF($C$2=2,ROUND(((S4*U4)/100),2),0)</f>
        <v>0</v>
      </c>
      <c r="Y4" s="83">
        <f>IF($C$2=4,ROUND((((S4*U4)/100)/2),2),0)</f>
        <v>0</v>
      </c>
      <c r="Z4" s="83">
        <v>4</v>
      </c>
      <c r="AA4" s="83">
        <f>IF($C2=3,0,(S4*Z4)/100)</f>
        <v>0</v>
      </c>
      <c r="AB4" s="83">
        <f>V4+W4+X4+Y4+AA4</f>
        <v>0</v>
      </c>
      <c r="AC4" s="83">
        <f>IF($V2=1,S4+AB4,S4)</f>
        <v>622.72</v>
      </c>
      <c r="AD4" s="83">
        <v>120</v>
      </c>
      <c r="AE4" s="83">
        <f>IF($P$2=1,(S4/$S$5)*$E$16,AD4/$AD$5*$E$16)</f>
        <v>0</v>
      </c>
      <c r="AF4" s="83"/>
      <c r="AG4" s="83">
        <f>IF($P$2=1,(S4/$S$5)*$E$18,AD4/$AD$5*$E$18)</f>
        <v>0</v>
      </c>
      <c r="AH4" s="83">
        <f>IF($P$2=1,(S4/$S$5)*$E$18,AD4/$AD$5*$E$18)</f>
        <v>0</v>
      </c>
      <c r="AI4" s="83">
        <f>S4*$M$2</f>
        <v>622.72</v>
      </c>
      <c r="AJ4" s="83">
        <f>IF($C$2=3,0,AG4+AH4)</f>
        <v>0</v>
      </c>
      <c r="AK4" s="83">
        <f>IF($C$2=3,AE4+AG4+AH4,0)</f>
        <v>0</v>
      </c>
      <c r="AL4" s="83">
        <v>1</v>
      </c>
      <c r="AM4" s="83">
        <f>F4/AL4</f>
        <v>5</v>
      </c>
      <c r="AN4" s="83">
        <f>AI4/AM4</f>
        <v>124.54400000000001</v>
      </c>
      <c r="AO4" s="83">
        <f>AJ4/AM4</f>
        <v>0</v>
      </c>
      <c r="AP4" s="83">
        <f>AK4/AM4</f>
        <v>0</v>
      </c>
      <c r="AQ4" s="83" t="s">
        <v>12</v>
      </c>
      <c r="AR4" s="65">
        <f>ROUND(AN4+AO4+AP4,5)</f>
        <v>124.544</v>
      </c>
      <c r="AS4" s="65" t="s">
        <v>114</v>
      </c>
      <c r="AT4" s="84" t="s">
        <v>12</v>
      </c>
      <c r="AU4" s="65" t="s">
        <v>143</v>
      </c>
      <c r="AV4" s="65" t="s">
        <v>151</v>
      </c>
      <c r="AW4" s="84">
        <f>AM4</f>
        <v>5</v>
      </c>
      <c r="AX4" s="84">
        <f>AR4</f>
        <v>124.544</v>
      </c>
      <c r="AY4" s="84">
        <f>AU4+AW4</f>
        <v>14095</v>
      </c>
      <c r="AZ4" s="84">
        <f>ROUND(((AU4*AV4)+(AW4*AX4))/(AU4+AW4),5)</f>
        <v>121.22156</v>
      </c>
      <c r="BA4" s="85"/>
      <c r="BB4" s="85" t="s">
        <v>117</v>
      </c>
      <c r="BC4" s="86" t="s">
        <v>118</v>
      </c>
      <c r="BD4" s="87" t="s">
        <v>119</v>
      </c>
      <c r="BE4" s="87" t="s">
        <v>120</v>
      </c>
      <c r="BF4" s="85"/>
      <c r="BG4" s="85"/>
      <c r="BH4" s="85"/>
      <c r="BI4" s="84"/>
      <c r="BJ4" s="65"/>
      <c r="BK4" s="65"/>
      <c r="BL4" s="84" t="s">
        <v>121</v>
      </c>
      <c r="BM4" s="65" t="s">
        <v>152</v>
      </c>
      <c r="BN4" s="65" t="s">
        <v>153</v>
      </c>
      <c r="BO4" s="84">
        <f>ROUND((((AW4*AZ4)+(BN4*BM4))/(AW4+BN4)),5)</f>
        <v>146.67549</v>
      </c>
      <c r="BP4" s="88">
        <f>BN4+AW4</f>
        <v>696</v>
      </c>
      <c r="BQ4" s="89">
        <v>123562</v>
      </c>
    </row>
    <row r="5" spans="1:69" ht="15.75" thickBot="1">
      <c r="A5" s="64"/>
      <c r="B5" s="90"/>
      <c r="C5" s="90"/>
      <c r="D5" s="91" t="s">
        <v>41</v>
      </c>
      <c r="E5" s="91"/>
      <c r="F5" s="91"/>
      <c r="G5" s="92"/>
      <c r="H5" s="93">
        <f>SUM(H4:H4)</f>
        <v>750</v>
      </c>
      <c r="I5" s="82"/>
      <c r="J5" s="82"/>
      <c r="K5" s="82"/>
      <c r="L5" s="82"/>
      <c r="M5" s="82"/>
      <c r="N5" s="82"/>
      <c r="O5" s="82"/>
      <c r="P5" s="82"/>
      <c r="Q5" s="82"/>
      <c r="R5" s="94">
        <f t="shared" ref="R5:X5" si="0">SUM(R4:R4)</f>
        <v>127.28</v>
      </c>
      <c r="S5" s="93">
        <f t="shared" si="0"/>
        <v>622.72</v>
      </c>
      <c r="T5" s="94"/>
      <c r="U5" s="94"/>
      <c r="V5" s="95">
        <f t="shared" si="0"/>
        <v>0</v>
      </c>
      <c r="W5" s="95">
        <f t="shared" si="0"/>
        <v>0</v>
      </c>
      <c r="X5" s="95">
        <f t="shared" si="0"/>
        <v>0</v>
      </c>
      <c r="Y5" s="95"/>
      <c r="Z5" s="95"/>
      <c r="AA5" s="95"/>
      <c r="AB5" s="94">
        <f t="shared" ref="AB5:AE5" si="1">SUM(AB4:AB4)</f>
        <v>0</v>
      </c>
      <c r="AC5" s="96">
        <f t="shared" si="1"/>
        <v>622.72</v>
      </c>
      <c r="AD5" s="97">
        <f t="shared" si="1"/>
        <v>120</v>
      </c>
      <c r="AE5" s="97">
        <f t="shared" si="1"/>
        <v>0</v>
      </c>
      <c r="AF5" s="96"/>
      <c r="AG5" s="97">
        <f t="shared" ref="AG5:AK5" si="2">SUM(AG4:AG4)</f>
        <v>0</v>
      </c>
      <c r="AH5" s="97">
        <f t="shared" si="2"/>
        <v>0</v>
      </c>
      <c r="AI5" s="97">
        <f t="shared" si="2"/>
        <v>622.72</v>
      </c>
      <c r="AJ5" s="97">
        <f t="shared" si="2"/>
        <v>0</v>
      </c>
      <c r="AK5" s="97">
        <f t="shared" si="2"/>
        <v>0</v>
      </c>
      <c r="AL5" s="96"/>
      <c r="AM5" s="96"/>
      <c r="AN5" s="96"/>
      <c r="AO5" s="96"/>
      <c r="AP5" s="96"/>
      <c r="AQ5" s="96"/>
      <c r="AR5" s="96"/>
      <c r="AS5" s="64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</row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17"/>
  <sheetViews>
    <sheetView workbookViewId="0">
      <selection activeCell="C7" sqref="C7"/>
    </sheetView>
  </sheetViews>
  <sheetFormatPr defaultColWidth="8.7109375" defaultRowHeight="15"/>
  <cols>
    <col min="1" max="1" width="8.7109375" style="66"/>
    <col min="2" max="2" width="19.140625" style="66" customWidth="1"/>
    <col min="3" max="3" width="25.85546875" style="66" customWidth="1"/>
    <col min="4" max="16384" width="8.7109375" style="66"/>
  </cols>
  <sheetData>
    <row r="1" spans="1:69">
      <c r="A1" s="61" t="s">
        <v>42</v>
      </c>
      <c r="B1" s="62"/>
      <c r="C1" s="62"/>
      <c r="D1" s="62"/>
      <c r="E1" s="62"/>
      <c r="F1" s="62"/>
      <c r="G1" s="62"/>
      <c r="H1" s="61"/>
      <c r="I1" s="63"/>
      <c r="J1" s="63"/>
      <c r="K1" s="63"/>
      <c r="L1" s="63"/>
      <c r="M1" s="63"/>
      <c r="N1" s="63"/>
      <c r="O1" s="63"/>
      <c r="P1" s="63"/>
      <c r="Q1" s="63"/>
      <c r="R1" s="61"/>
      <c r="S1" s="61"/>
      <c r="T1" s="61"/>
      <c r="U1" s="61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5"/>
      <c r="BQ1" s="65"/>
    </row>
    <row r="2" spans="1:69" ht="15.75" thickBot="1">
      <c r="A2" s="67" t="s">
        <v>43</v>
      </c>
      <c r="B2" s="67"/>
      <c r="C2" s="68">
        <v>3</v>
      </c>
      <c r="D2" s="69" t="s">
        <v>44</v>
      </c>
      <c r="E2" s="62"/>
      <c r="F2" s="62"/>
      <c r="G2" s="62"/>
      <c r="H2" s="61"/>
      <c r="I2" s="63" t="s">
        <v>45</v>
      </c>
      <c r="J2" s="63" t="s">
        <v>46</v>
      </c>
      <c r="K2" s="63"/>
      <c r="L2" s="63" t="s">
        <v>47</v>
      </c>
      <c r="M2" s="63">
        <v>1</v>
      </c>
      <c r="N2" s="63"/>
      <c r="O2" s="63" t="s">
        <v>48</v>
      </c>
      <c r="P2" s="63">
        <v>2</v>
      </c>
      <c r="Q2" s="63" t="s">
        <v>49</v>
      </c>
      <c r="R2" s="61"/>
      <c r="S2" s="61"/>
      <c r="T2" s="61"/>
      <c r="U2" s="61"/>
      <c r="V2" s="61">
        <v>1</v>
      </c>
      <c r="W2" s="61" t="s">
        <v>50</v>
      </c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5"/>
      <c r="BQ2" s="65"/>
    </row>
    <row r="3" spans="1:69" ht="61.5" thickTop="1" thickBot="1">
      <c r="A3" s="98" t="s">
        <v>154</v>
      </c>
      <c r="B3" s="98" t="s">
        <v>3</v>
      </c>
      <c r="C3" s="98" t="s">
        <v>155</v>
      </c>
      <c r="D3" s="98" t="s">
        <v>5</v>
      </c>
      <c r="E3" s="98" t="s">
        <v>6</v>
      </c>
      <c r="F3" s="98" t="s">
        <v>7</v>
      </c>
      <c r="G3" s="98" t="s">
        <v>8</v>
      </c>
      <c r="H3" s="98" t="s">
        <v>9</v>
      </c>
      <c r="I3" s="99" t="s">
        <v>52</v>
      </c>
      <c r="J3" s="99" t="s">
        <v>54</v>
      </c>
      <c r="K3" s="99" t="s">
        <v>53</v>
      </c>
      <c r="L3" s="100" t="s">
        <v>55</v>
      </c>
      <c r="M3" s="100" t="s">
        <v>56</v>
      </c>
      <c r="N3" s="100" t="s">
        <v>59</v>
      </c>
      <c r="O3" s="100" t="s">
        <v>60</v>
      </c>
      <c r="P3" s="100" t="s">
        <v>156</v>
      </c>
      <c r="Q3" s="100" t="s">
        <v>58</v>
      </c>
      <c r="R3" s="99" t="s">
        <v>61</v>
      </c>
      <c r="S3" s="98" t="s">
        <v>157</v>
      </c>
      <c r="T3" s="98" t="s">
        <v>63</v>
      </c>
      <c r="U3" s="101" t="s">
        <v>158</v>
      </c>
      <c r="V3" s="101" t="s">
        <v>65</v>
      </c>
      <c r="W3" s="101" t="s">
        <v>66</v>
      </c>
      <c r="X3" s="101" t="s">
        <v>67</v>
      </c>
      <c r="Y3" s="75" t="s">
        <v>68</v>
      </c>
      <c r="Z3" s="75" t="s">
        <v>69</v>
      </c>
      <c r="AA3" s="75" t="s">
        <v>70</v>
      </c>
      <c r="AB3" s="75" t="s">
        <v>71</v>
      </c>
      <c r="AC3" s="102" t="s">
        <v>72</v>
      </c>
      <c r="AD3" s="102" t="s">
        <v>73</v>
      </c>
      <c r="AE3" s="102" t="s">
        <v>74</v>
      </c>
      <c r="AF3" s="102" t="s">
        <v>75</v>
      </c>
      <c r="AG3" s="102" t="s">
        <v>76</v>
      </c>
      <c r="AH3" s="102" t="s">
        <v>77</v>
      </c>
      <c r="AI3" s="102" t="s">
        <v>78</v>
      </c>
      <c r="AJ3" s="102" t="s">
        <v>79</v>
      </c>
      <c r="AK3" s="102" t="s">
        <v>80</v>
      </c>
      <c r="AL3" s="102" t="s">
        <v>81</v>
      </c>
      <c r="AM3" s="102" t="s">
        <v>82</v>
      </c>
      <c r="AN3" s="102" t="s">
        <v>83</v>
      </c>
      <c r="AO3" s="102" t="s">
        <v>84</v>
      </c>
      <c r="AP3" s="102" t="s">
        <v>85</v>
      </c>
      <c r="AQ3" s="102" t="s">
        <v>86</v>
      </c>
      <c r="AR3" s="103" t="s">
        <v>159</v>
      </c>
      <c r="AS3" s="79" t="s">
        <v>88</v>
      </c>
      <c r="AT3" s="79" t="s">
        <v>86</v>
      </c>
      <c r="AU3" s="80" t="s">
        <v>89</v>
      </c>
      <c r="AV3" s="80" t="s">
        <v>90</v>
      </c>
      <c r="AW3" s="80" t="s">
        <v>91</v>
      </c>
      <c r="AX3" s="80" t="s">
        <v>92</v>
      </c>
      <c r="AY3" s="80" t="s">
        <v>93</v>
      </c>
      <c r="AZ3" s="80" t="s">
        <v>94</v>
      </c>
      <c r="BA3" s="80" t="s">
        <v>95</v>
      </c>
      <c r="BB3" s="80" t="s">
        <v>96</v>
      </c>
      <c r="BC3" s="81" t="s">
        <v>97</v>
      </c>
      <c r="BD3" s="81" t="s">
        <v>98</v>
      </c>
      <c r="BE3" s="81" t="s">
        <v>99</v>
      </c>
      <c r="BF3" s="80" t="s">
        <v>100</v>
      </c>
      <c r="BG3" s="80" t="s">
        <v>101</v>
      </c>
      <c r="BH3" s="80" t="s">
        <v>102</v>
      </c>
      <c r="BI3" s="80" t="s">
        <v>103</v>
      </c>
      <c r="BJ3" s="80" t="s">
        <v>104</v>
      </c>
      <c r="BK3" s="80" t="s">
        <v>105</v>
      </c>
      <c r="BL3" s="80" t="s">
        <v>106</v>
      </c>
      <c r="BM3" s="80" t="s">
        <v>107</v>
      </c>
      <c r="BN3" s="80" t="s">
        <v>108</v>
      </c>
      <c r="BO3" s="80" t="s">
        <v>94</v>
      </c>
      <c r="BP3" s="80" t="s">
        <v>109</v>
      </c>
      <c r="BQ3" s="80" t="s">
        <v>63</v>
      </c>
    </row>
    <row r="4" spans="1:69" ht="15.75" thickBot="1">
      <c r="A4" s="82">
        <v>1</v>
      </c>
      <c r="B4" s="82" t="s">
        <v>130</v>
      </c>
      <c r="C4" s="82" t="s">
        <v>130</v>
      </c>
      <c r="D4" s="82" t="s">
        <v>12</v>
      </c>
      <c r="E4" s="82" t="s">
        <v>12</v>
      </c>
      <c r="F4" s="83">
        <v>5</v>
      </c>
      <c r="G4" s="83">
        <v>150</v>
      </c>
      <c r="H4" s="83">
        <f>F4*G4</f>
        <v>750</v>
      </c>
      <c r="I4" s="83">
        <v>5</v>
      </c>
      <c r="J4" s="83">
        <v>8</v>
      </c>
      <c r="K4" s="83">
        <v>5</v>
      </c>
      <c r="L4" s="83">
        <f>H4</f>
        <v>750</v>
      </c>
      <c r="M4" s="83">
        <f>ROUND(L4*I4%,2)</f>
        <v>37.5</v>
      </c>
      <c r="N4" s="83">
        <f>H4-M4</f>
        <v>712.5</v>
      </c>
      <c r="O4" s="83">
        <f>ROUND(N4*J4%,2)</f>
        <v>57</v>
      </c>
      <c r="P4" s="83">
        <f>ROUND(N4-O4,2)</f>
        <v>655.5</v>
      </c>
      <c r="Q4" s="83">
        <f>ROUND(P4*K4%,2)</f>
        <v>32.78</v>
      </c>
      <c r="R4" s="83">
        <f>M4+O4+Q4</f>
        <v>127.28</v>
      </c>
      <c r="S4" s="83">
        <f>(H4-R4)</f>
        <v>622.72</v>
      </c>
      <c r="T4" s="83">
        <v>88363222</v>
      </c>
      <c r="U4" s="83">
        <v>18</v>
      </c>
      <c r="V4" s="83">
        <f>IF(OR($C$2=1,$C$2=4),ROUND((((S4*U4)/100)/2),2),0)</f>
        <v>0</v>
      </c>
      <c r="W4" s="83">
        <f>IF($C$2=1,ROUND((((S4*U4)/100)/2),2),0)</f>
        <v>0</v>
      </c>
      <c r="X4" s="83">
        <f>IF($C$2=2,ROUND(((S4*U4)/100),2),0)</f>
        <v>0</v>
      </c>
      <c r="Y4" s="83">
        <f>IF($C$2=4,ROUND((((S4*U4)/100)/2),2),0)</f>
        <v>0</v>
      </c>
      <c r="Z4" s="83">
        <v>0</v>
      </c>
      <c r="AA4" s="83">
        <f>IF($C2=3,0,(S4*Z4)/100)</f>
        <v>0</v>
      </c>
      <c r="AB4" s="83">
        <f>V4+W4+X4+Y4+AA4</f>
        <v>0</v>
      </c>
      <c r="AC4" s="104">
        <f>IF($V2=1,S4+AB4,S4)</f>
        <v>622.72</v>
      </c>
      <c r="AD4" s="105">
        <v>120</v>
      </c>
      <c r="AE4" s="105">
        <f>IF($P$2=1,(S4/$S$5)*$E$16,AD4/$AD$5*$E$16)</f>
        <v>0</v>
      </c>
      <c r="AF4" s="105"/>
      <c r="AG4" s="105">
        <f>IF($P$2=1,(S4/$S$5)*$E$18,AD4/$AD$5*$E$18)</f>
        <v>0</v>
      </c>
      <c r="AH4" s="105">
        <f>IF($P$2=1,(S4/$S$5)*$E$19,AD4/$AD$5*$E$19)</f>
        <v>0</v>
      </c>
      <c r="AI4" s="105">
        <f>S4*$M$2</f>
        <v>622.72</v>
      </c>
      <c r="AJ4" s="105">
        <f>IF($C$2=3,0,AG4+AH4)</f>
        <v>0</v>
      </c>
      <c r="AK4" s="105">
        <f>IF($C$2=3,AE4+AG4+AH4,0)</f>
        <v>0</v>
      </c>
      <c r="AL4" s="106">
        <v>1</v>
      </c>
      <c r="AM4" s="105">
        <f>F4/AL4</f>
        <v>5</v>
      </c>
      <c r="AN4" s="105">
        <f>ROUND(AI4/AM4,5)</f>
        <v>124.544</v>
      </c>
      <c r="AO4" s="105">
        <f>AJ4/AM4</f>
        <v>0</v>
      </c>
      <c r="AP4" s="105">
        <f>AK4/AM4</f>
        <v>0</v>
      </c>
      <c r="AQ4" s="105" t="s">
        <v>12</v>
      </c>
      <c r="AR4" s="105">
        <f>ROUND(AN4+AO4+AP4,5)</f>
        <v>124.544</v>
      </c>
      <c r="AS4" s="107" t="s">
        <v>160</v>
      </c>
      <c r="AT4" s="84" t="s">
        <v>12</v>
      </c>
      <c r="AU4" s="108" t="s">
        <v>161</v>
      </c>
      <c r="AV4" s="108" t="s">
        <v>162</v>
      </c>
      <c r="AW4" s="84">
        <f>AM4</f>
        <v>5</v>
      </c>
      <c r="AX4" s="84">
        <f>AR4</f>
        <v>124.544</v>
      </c>
      <c r="AY4" s="84">
        <f>AU4+AW4</f>
        <v>115</v>
      </c>
      <c r="AZ4" s="84">
        <f>ROUND(((AU4*AV4)+(AW4*AX4))/(AU4+AW4),3)</f>
        <v>124.545</v>
      </c>
      <c r="BA4" s="85"/>
      <c r="BB4" s="85" t="s">
        <v>117</v>
      </c>
      <c r="BC4" s="109" t="s">
        <v>118</v>
      </c>
      <c r="BD4" s="87" t="s">
        <v>119</v>
      </c>
      <c r="BE4" s="87" t="s">
        <v>120</v>
      </c>
      <c r="BF4" s="85"/>
      <c r="BG4" s="85"/>
      <c r="BH4" s="85"/>
      <c r="BI4" s="84"/>
      <c r="BJ4" s="84"/>
      <c r="BK4" s="84"/>
      <c r="BL4" s="110" t="s">
        <v>163</v>
      </c>
      <c r="BM4" s="108" t="s">
        <v>162</v>
      </c>
      <c r="BN4" s="108" t="s">
        <v>164</v>
      </c>
      <c r="BO4" s="84">
        <f>ROUND((((AW4*AZ4)+(BN4*BM4))/(AW4+BN4)),5)</f>
        <v>124.545</v>
      </c>
      <c r="BP4" s="88">
        <f>ROUND(BN4+AW4,3)</f>
        <v>10</v>
      </c>
      <c r="BQ4" s="89">
        <v>123562</v>
      </c>
    </row>
    <row r="5" spans="1:69" ht="15.75" thickBot="1">
      <c r="A5" s="64"/>
      <c r="B5" s="90"/>
      <c r="C5" s="90"/>
      <c r="D5" s="91" t="s">
        <v>41</v>
      </c>
      <c r="E5" s="91"/>
      <c r="F5" s="91"/>
      <c r="G5" s="92"/>
      <c r="H5" s="93">
        <f>SUM(H4:H4)</f>
        <v>750</v>
      </c>
      <c r="I5" s="82"/>
      <c r="J5" s="82"/>
      <c r="K5" s="82"/>
      <c r="L5" s="82"/>
      <c r="M5" s="82"/>
      <c r="N5" s="82"/>
      <c r="O5" s="82"/>
      <c r="P5" s="82"/>
      <c r="Q5" s="82"/>
      <c r="R5" s="94">
        <f t="shared" ref="R5:X5" si="0">SUM(R4:R4)</f>
        <v>127.28</v>
      </c>
      <c r="S5" s="93">
        <f t="shared" si="0"/>
        <v>622.72</v>
      </c>
      <c r="T5" s="94"/>
      <c r="U5" s="94"/>
      <c r="V5" s="95">
        <f t="shared" si="0"/>
        <v>0</v>
      </c>
      <c r="W5" s="95">
        <f t="shared" si="0"/>
        <v>0</v>
      </c>
      <c r="X5" s="95">
        <f t="shared" si="0"/>
        <v>0</v>
      </c>
      <c r="Y5" s="95"/>
      <c r="Z5" s="95"/>
      <c r="AA5" s="95"/>
      <c r="AB5" s="94">
        <f t="shared" ref="AB5:AE5" si="1">SUM(AB4:AB4)</f>
        <v>0</v>
      </c>
      <c r="AC5" s="96">
        <f t="shared" si="1"/>
        <v>622.72</v>
      </c>
      <c r="AD5" s="97">
        <f t="shared" si="1"/>
        <v>120</v>
      </c>
      <c r="AE5" s="97">
        <f t="shared" si="1"/>
        <v>0</v>
      </c>
      <c r="AF5" s="96"/>
      <c r="AG5" s="97">
        <f t="shared" ref="AG5:AK5" si="2">SUM(AG4:AG4)</f>
        <v>0</v>
      </c>
      <c r="AH5" s="97">
        <f>IF($P$2=1,(S5/$S$5)*$E$19,AD5/$AD$5*$E$19)</f>
        <v>0</v>
      </c>
      <c r="AI5" s="97">
        <f t="shared" si="2"/>
        <v>622.72</v>
      </c>
      <c r="AJ5" s="97">
        <f t="shared" si="2"/>
        <v>0</v>
      </c>
      <c r="AK5" s="97">
        <f t="shared" si="2"/>
        <v>0</v>
      </c>
      <c r="AL5" s="96"/>
      <c r="AM5" s="96"/>
      <c r="AN5" s="96"/>
      <c r="AO5" s="96"/>
      <c r="AP5" s="96"/>
      <c r="AQ5" s="96"/>
      <c r="AR5" s="96"/>
      <c r="AS5" s="64"/>
      <c r="AT5" s="64"/>
      <c r="AU5" s="65"/>
      <c r="AV5" s="65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5"/>
      <c r="BQ5" s="65"/>
    </row>
    <row r="6" spans="1:69" ht="15.75" thickBot="1">
      <c r="A6" s="64"/>
      <c r="B6" s="64"/>
      <c r="C6" s="64"/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  <c r="AA6" s="64"/>
      <c r="AB6" s="64"/>
      <c r="AC6" s="64"/>
      <c r="AD6" s="64"/>
      <c r="AE6" s="64"/>
      <c r="AF6" s="64"/>
      <c r="AG6" s="64"/>
      <c r="AH6" s="64"/>
      <c r="AI6" s="64"/>
      <c r="AJ6" s="64"/>
      <c r="AK6" s="64"/>
      <c r="AL6" s="64"/>
      <c r="AM6" s="64"/>
      <c r="AN6" s="64"/>
      <c r="AO6" s="64"/>
      <c r="AP6" s="64"/>
      <c r="AQ6" s="64"/>
      <c r="AR6" s="64"/>
      <c r="AS6" s="64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5"/>
      <c r="BQ6" s="65"/>
    </row>
    <row r="7" spans="1:69" ht="15.75" thickBot="1">
      <c r="A7" s="64"/>
      <c r="B7" s="64"/>
      <c r="C7" s="64"/>
      <c r="D7" s="64"/>
      <c r="E7" s="64"/>
      <c r="F7" s="64"/>
      <c r="G7" s="111" t="s">
        <v>165</v>
      </c>
      <c r="H7" s="112"/>
      <c r="I7" s="113">
        <f>H5</f>
        <v>750</v>
      </c>
      <c r="J7" s="113"/>
      <c r="K7" s="64"/>
      <c r="L7" s="64"/>
      <c r="M7" s="114" t="s">
        <v>166</v>
      </c>
      <c r="N7" s="115"/>
      <c r="O7" s="115"/>
      <c r="P7" s="116"/>
      <c r="Q7" s="64"/>
      <c r="R7" s="64"/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/>
      <c r="AF7" s="64"/>
      <c r="AG7" s="64"/>
      <c r="AH7" s="64"/>
      <c r="AI7" s="64"/>
      <c r="AJ7" s="64"/>
      <c r="AK7" s="64"/>
      <c r="AL7" s="64"/>
      <c r="AM7" s="64"/>
      <c r="AN7" s="64"/>
      <c r="AO7" s="64"/>
      <c r="AP7" s="64"/>
      <c r="AQ7" s="64"/>
      <c r="AR7" s="64"/>
      <c r="AS7" s="64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 t="s">
        <v>167</v>
      </c>
      <c r="BI7" s="117" t="s">
        <v>168</v>
      </c>
      <c r="BJ7" s="64"/>
      <c r="BK7" s="64"/>
      <c r="BL7" s="64"/>
      <c r="BM7" s="64"/>
      <c r="BN7" s="64"/>
      <c r="BO7" s="64"/>
      <c r="BP7" s="65"/>
      <c r="BQ7" s="65"/>
    </row>
    <row r="8" spans="1:69" ht="15.75" thickBot="1">
      <c r="A8" s="64"/>
      <c r="B8" s="64"/>
      <c r="C8" s="64"/>
      <c r="D8" s="64"/>
      <c r="E8" s="64"/>
      <c r="F8" s="64"/>
      <c r="G8" s="111" t="s">
        <v>169</v>
      </c>
      <c r="H8" s="112"/>
      <c r="I8" s="113">
        <f>R5</f>
        <v>127.28</v>
      </c>
      <c r="J8" s="113"/>
      <c r="K8" s="64"/>
      <c r="L8" s="64"/>
      <c r="M8" s="118">
        <v>1</v>
      </c>
      <c r="N8" s="118" t="s">
        <v>12</v>
      </c>
      <c r="O8" s="118">
        <v>2</v>
      </c>
      <c r="P8" s="118" t="s">
        <v>129</v>
      </c>
      <c r="Q8" s="64"/>
      <c r="R8" s="64"/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  <c r="AG8" s="64"/>
      <c r="AH8" s="64"/>
      <c r="AI8" s="64"/>
      <c r="AJ8" s="64"/>
      <c r="AK8" s="64"/>
      <c r="AL8" s="64"/>
      <c r="AM8" s="64"/>
      <c r="AN8" s="64"/>
      <c r="AO8" s="64"/>
      <c r="AP8" s="64"/>
      <c r="AQ8" s="64"/>
      <c r="AR8" s="64"/>
      <c r="AS8" s="64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 t="s">
        <v>170</v>
      </c>
      <c r="BI8" s="117" t="s">
        <v>171</v>
      </c>
      <c r="BJ8" s="64"/>
      <c r="BK8" s="64"/>
      <c r="BL8" s="64"/>
      <c r="BM8" s="64"/>
      <c r="BN8" s="64"/>
      <c r="BO8" s="64"/>
      <c r="BP8" s="65"/>
      <c r="BQ8" s="65"/>
    </row>
    <row r="9" spans="1:69" ht="15.75" thickBot="1">
      <c r="A9" s="64"/>
      <c r="B9" s="64"/>
      <c r="C9" s="64"/>
      <c r="D9" s="64"/>
      <c r="E9" s="64"/>
      <c r="F9" s="64"/>
      <c r="G9" s="111" t="s">
        <v>172</v>
      </c>
      <c r="H9" s="112"/>
      <c r="I9" s="113">
        <f>S5</f>
        <v>622.72</v>
      </c>
      <c r="J9" s="113"/>
      <c r="K9" s="64"/>
      <c r="L9" s="64"/>
      <c r="M9" s="82">
        <v>1</v>
      </c>
      <c r="N9" s="82" t="s">
        <v>12</v>
      </c>
      <c r="O9" s="82">
        <v>2.5</v>
      </c>
      <c r="P9" s="82" t="s">
        <v>173</v>
      </c>
      <c r="Q9" s="64"/>
      <c r="R9" s="64"/>
      <c r="S9" s="64"/>
      <c r="T9" s="64"/>
      <c r="U9" s="64"/>
      <c r="V9" s="64"/>
      <c r="W9" s="64"/>
      <c r="X9" s="64"/>
      <c r="Y9" s="64"/>
      <c r="Z9" s="64"/>
      <c r="AA9" s="64"/>
      <c r="AB9" s="64"/>
      <c r="AC9" s="64"/>
      <c r="AD9" s="64"/>
      <c r="AE9" s="64"/>
      <c r="AF9" s="64"/>
      <c r="AG9" s="64"/>
      <c r="AH9" s="64"/>
      <c r="AI9" s="64"/>
      <c r="AJ9" s="64"/>
      <c r="AK9" s="64"/>
      <c r="AL9" s="64"/>
      <c r="AM9" s="64"/>
      <c r="AN9" s="64"/>
      <c r="AO9" s="64"/>
      <c r="AP9" s="64"/>
      <c r="AQ9" s="64"/>
      <c r="AR9" s="64"/>
      <c r="AS9" s="64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5"/>
      <c r="BQ9" s="65"/>
    </row>
    <row r="10" spans="1:69" ht="15.75" thickBot="1">
      <c r="A10" s="64"/>
      <c r="B10" s="64"/>
      <c r="C10" s="64"/>
      <c r="D10" s="64"/>
      <c r="E10" s="64"/>
      <c r="F10" s="64"/>
      <c r="G10" s="111" t="s">
        <v>174</v>
      </c>
      <c r="H10" s="112"/>
      <c r="I10" s="113">
        <f>AB5</f>
        <v>0</v>
      </c>
      <c r="J10" s="113"/>
      <c r="K10" s="64"/>
      <c r="L10" s="64"/>
      <c r="M10" s="82">
        <v>1</v>
      </c>
      <c r="N10" s="82" t="s">
        <v>129</v>
      </c>
      <c r="O10" s="82">
        <v>1E-3</v>
      </c>
      <c r="P10" s="82" t="s">
        <v>175</v>
      </c>
      <c r="Q10" s="64"/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64"/>
      <c r="AE10" s="64"/>
      <c r="AF10" s="64"/>
      <c r="AG10" s="64"/>
      <c r="AH10" s="64"/>
      <c r="AI10" s="64"/>
      <c r="AJ10" s="64"/>
      <c r="AK10" s="64"/>
      <c r="AL10" s="64"/>
      <c r="AM10" s="64"/>
      <c r="AN10" s="64"/>
      <c r="AO10" s="64"/>
      <c r="AP10" s="64"/>
      <c r="AQ10" s="64"/>
      <c r="AR10" s="64"/>
      <c r="AS10" s="64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5"/>
      <c r="BQ10" s="65"/>
    </row>
    <row r="11" spans="1:69" ht="15.75" thickBot="1">
      <c r="A11" s="64"/>
      <c r="B11" s="64"/>
      <c r="C11" s="64"/>
      <c r="D11" s="64"/>
      <c r="E11" s="64"/>
      <c r="F11" s="64"/>
      <c r="G11" s="111" t="s">
        <v>176</v>
      </c>
      <c r="H11" s="112"/>
      <c r="I11" s="119">
        <f>I9+I10</f>
        <v>622.72</v>
      </c>
      <c r="J11" s="119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64"/>
      <c r="AE11" s="64"/>
      <c r="AF11" s="64"/>
      <c r="AG11" s="64"/>
      <c r="AH11" s="64"/>
      <c r="AI11" s="64"/>
      <c r="AJ11" s="64"/>
      <c r="AK11" s="64"/>
      <c r="AL11" s="64"/>
      <c r="AM11" s="64"/>
      <c r="AN11" s="64"/>
      <c r="AO11" s="64"/>
      <c r="AP11" s="64"/>
      <c r="AQ11" s="64"/>
      <c r="AR11" s="64"/>
      <c r="AS11" s="64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5"/>
      <c r="BQ11" s="65"/>
    </row>
    <row r="12" spans="1:69">
      <c r="A12" s="64"/>
      <c r="B12" s="64"/>
      <c r="C12" s="64"/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64"/>
      <c r="AE12" s="64"/>
      <c r="AF12" s="64"/>
      <c r="AG12" s="64"/>
      <c r="AH12" s="64"/>
      <c r="AI12" s="64"/>
      <c r="AJ12" s="64"/>
      <c r="AK12" s="64"/>
      <c r="AL12" s="64"/>
      <c r="AM12" s="64"/>
      <c r="AN12" s="64"/>
      <c r="AO12" s="64"/>
      <c r="AP12" s="64"/>
      <c r="AQ12" s="64"/>
      <c r="AR12" s="64"/>
      <c r="AS12" s="64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 t="s">
        <v>177</v>
      </c>
      <c r="BN12" s="64" t="s">
        <v>178</v>
      </c>
      <c r="BO12" s="64"/>
      <c r="BP12" s="65"/>
      <c r="BQ12" s="65"/>
    </row>
    <row r="13" spans="1:69">
      <c r="A13" s="64"/>
      <c r="B13" s="64"/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4"/>
      <c r="AJ13" s="64"/>
      <c r="AK13" s="64"/>
      <c r="AL13" s="64"/>
      <c r="AM13" s="64"/>
      <c r="AN13" s="64"/>
      <c r="AO13" s="64"/>
      <c r="AP13" s="64"/>
      <c r="AQ13" s="64"/>
      <c r="AR13" s="64"/>
      <c r="AS13" s="64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 t="s">
        <v>179</v>
      </c>
      <c r="BL13" s="64">
        <v>12.5</v>
      </c>
      <c r="BM13" s="64">
        <f>BL15*BL16</f>
        <v>18277.77</v>
      </c>
      <c r="BN13" s="64">
        <f>BL13*BL14</f>
        <v>6092.59</v>
      </c>
      <c r="BO13" s="64"/>
      <c r="BP13" s="65"/>
      <c r="BQ13" s="65"/>
    </row>
    <row r="14" spans="1:69">
      <c r="A14" s="64"/>
      <c r="B14" s="64"/>
      <c r="C14" s="64"/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4"/>
      <c r="AJ14" s="64"/>
      <c r="AK14" s="64"/>
      <c r="AL14" s="64"/>
      <c r="AM14" s="64"/>
      <c r="AN14" s="64"/>
      <c r="AO14" s="64"/>
      <c r="AP14" s="64"/>
      <c r="AQ14" s="64"/>
      <c r="AR14" s="64"/>
      <c r="AS14" s="64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 t="s">
        <v>180</v>
      </c>
      <c r="BL14" s="64">
        <v>487.40719999999999</v>
      </c>
      <c r="BM14" s="64">
        <f>BL13+BL15</f>
        <v>50</v>
      </c>
      <c r="BN14" s="64"/>
      <c r="BO14" s="64"/>
      <c r="BP14" s="65"/>
      <c r="BQ14" s="65"/>
    </row>
    <row r="15" spans="1:69">
      <c r="A15" s="64"/>
      <c r="B15" s="64"/>
      <c r="C15" s="64"/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4"/>
      <c r="AA15" s="64"/>
      <c r="AB15" s="64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4"/>
      <c r="AN15" s="64"/>
      <c r="AO15" s="64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 t="s">
        <v>181</v>
      </c>
      <c r="BL15" s="64">
        <v>37.5</v>
      </c>
      <c r="BM15" s="64"/>
      <c r="BN15" s="64"/>
      <c r="BO15" s="64"/>
      <c r="BP15" s="65"/>
      <c r="BQ15" s="65"/>
    </row>
    <row r="16" spans="1:69">
      <c r="A16" s="64"/>
      <c r="B16" s="64"/>
      <c r="C16" s="64"/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64"/>
      <c r="X16" s="64"/>
      <c r="Y16" s="64"/>
      <c r="Z16" s="64"/>
      <c r="AA16" s="64"/>
      <c r="AB16" s="64"/>
      <c r="AC16" s="64"/>
      <c r="AD16" s="64"/>
      <c r="AE16" s="64"/>
      <c r="AF16" s="64"/>
      <c r="AG16" s="64"/>
      <c r="AH16" s="64"/>
      <c r="AI16" s="64"/>
      <c r="AJ16" s="64"/>
      <c r="AK16" s="64"/>
      <c r="AL16" s="64"/>
      <c r="AM16" s="64"/>
      <c r="AN16" s="64"/>
      <c r="AO16" s="64"/>
      <c r="AP16" s="64"/>
      <c r="AQ16" s="64"/>
      <c r="AR16" s="64"/>
      <c r="AS16" s="64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 t="s">
        <v>182</v>
      </c>
      <c r="BL16" s="64">
        <v>487.40719999999999</v>
      </c>
      <c r="BM16" s="64"/>
      <c r="BN16" s="64"/>
      <c r="BO16" s="64"/>
      <c r="BP16" s="65"/>
      <c r="BQ16" s="65"/>
    </row>
    <row r="17" spans="1:69">
      <c r="A17" s="64"/>
      <c r="B17" s="64"/>
      <c r="C17" s="64"/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  <c r="AA17" s="64"/>
      <c r="AB17" s="64"/>
      <c r="AC17" s="64"/>
      <c r="AD17" s="64"/>
      <c r="AE17" s="64"/>
      <c r="AF17" s="64"/>
      <c r="AG17" s="64"/>
      <c r="AH17" s="64"/>
      <c r="AI17" s="64"/>
      <c r="AJ17" s="64"/>
      <c r="AK17" s="64"/>
      <c r="AL17" s="64"/>
      <c r="AM17" s="64"/>
      <c r="AN17" s="64"/>
      <c r="AO17" s="64"/>
      <c r="AP17" s="64"/>
      <c r="AQ17" s="64"/>
      <c r="AR17" s="64"/>
      <c r="AS17" s="64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>
        <f>BM13+BN13</f>
        <v>24370.36</v>
      </c>
      <c r="BN17" s="64">
        <f>BM17/BM14</f>
        <v>487.40719999999999</v>
      </c>
      <c r="BO17" s="64"/>
      <c r="BP17" s="65"/>
      <c r="BQ17" s="65"/>
    </row>
  </sheetData>
  <mergeCells count="12">
    <mergeCell ref="G9:H9"/>
    <mergeCell ref="I9:J9"/>
    <mergeCell ref="G10:H10"/>
    <mergeCell ref="I10:J10"/>
    <mergeCell ref="G11:H11"/>
    <mergeCell ref="I11:J11"/>
    <mergeCell ref="A2:B2"/>
    <mergeCell ref="G7:H7"/>
    <mergeCell ref="I7:J7"/>
    <mergeCell ref="M7:P7"/>
    <mergeCell ref="G8:H8"/>
    <mergeCell ref="I8:J8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workbookViewId="0">
      <selection activeCell="C7" sqref="C7"/>
    </sheetView>
  </sheetViews>
  <sheetFormatPr defaultColWidth="8.7109375" defaultRowHeight="15"/>
  <cols>
    <col min="1" max="1" width="8.7109375" style="66"/>
    <col min="2" max="2" width="21.140625" style="66" customWidth="1"/>
    <col min="3" max="3" width="21.28515625" style="66" customWidth="1"/>
    <col min="4" max="16384" width="8.7109375" style="66"/>
  </cols>
  <sheetData>
    <row r="1" spans="1:69">
      <c r="A1" s="61" t="s">
        <v>42</v>
      </c>
      <c r="B1" s="62"/>
      <c r="C1" s="62"/>
      <c r="D1" s="62"/>
      <c r="E1" s="62"/>
      <c r="F1" s="62"/>
      <c r="G1" s="62"/>
      <c r="H1" s="61"/>
      <c r="I1" s="63"/>
      <c r="J1" s="63"/>
      <c r="K1" s="63"/>
      <c r="L1" s="63"/>
      <c r="M1" s="63"/>
      <c r="N1" s="63"/>
      <c r="O1" s="63"/>
      <c r="P1" s="63"/>
      <c r="Q1" s="63"/>
      <c r="R1" s="61"/>
      <c r="S1" s="61"/>
      <c r="T1" s="61"/>
      <c r="U1" s="61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5"/>
      <c r="BQ1" s="65"/>
    </row>
    <row r="2" spans="1:69" ht="15.75" thickBot="1">
      <c r="A2" s="67" t="s">
        <v>43</v>
      </c>
      <c r="B2" s="67"/>
      <c r="C2" s="68">
        <v>3</v>
      </c>
      <c r="D2" s="69" t="s">
        <v>44</v>
      </c>
      <c r="E2" s="62"/>
      <c r="F2" s="62"/>
      <c r="G2" s="62"/>
      <c r="H2" s="61"/>
      <c r="I2" s="63" t="s">
        <v>45</v>
      </c>
      <c r="J2" s="63" t="s">
        <v>46</v>
      </c>
      <c r="K2" s="63"/>
      <c r="L2" s="63" t="s">
        <v>47</v>
      </c>
      <c r="M2" s="63">
        <v>1</v>
      </c>
      <c r="N2" s="63"/>
      <c r="O2" s="63" t="s">
        <v>48</v>
      </c>
      <c r="P2" s="63">
        <v>2</v>
      </c>
      <c r="Q2" s="63" t="s">
        <v>49</v>
      </c>
      <c r="R2" s="61"/>
      <c r="S2" s="61"/>
      <c r="T2" s="61"/>
      <c r="U2" s="61"/>
      <c r="V2" s="61">
        <v>1</v>
      </c>
      <c r="W2" s="61" t="s">
        <v>50</v>
      </c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5"/>
      <c r="BQ2" s="65"/>
    </row>
    <row r="3" spans="1:69" ht="61.5" thickTop="1" thickBot="1">
      <c r="A3" s="98" t="s">
        <v>154</v>
      </c>
      <c r="B3" s="98" t="s">
        <v>3</v>
      </c>
      <c r="C3" s="98" t="s">
        <v>155</v>
      </c>
      <c r="D3" s="98" t="s">
        <v>5</v>
      </c>
      <c r="E3" s="98" t="s">
        <v>6</v>
      </c>
      <c r="F3" s="98" t="s">
        <v>7</v>
      </c>
      <c r="G3" s="98" t="s">
        <v>8</v>
      </c>
      <c r="H3" s="98" t="s">
        <v>9</v>
      </c>
      <c r="I3" s="99" t="s">
        <v>52</v>
      </c>
      <c r="J3" s="99" t="s">
        <v>54</v>
      </c>
      <c r="K3" s="99" t="s">
        <v>53</v>
      </c>
      <c r="L3" s="100" t="s">
        <v>55</v>
      </c>
      <c r="M3" s="100" t="s">
        <v>56</v>
      </c>
      <c r="N3" s="100" t="s">
        <v>59</v>
      </c>
      <c r="O3" s="100" t="s">
        <v>60</v>
      </c>
      <c r="P3" s="100" t="s">
        <v>156</v>
      </c>
      <c r="Q3" s="100" t="s">
        <v>58</v>
      </c>
      <c r="R3" s="99" t="s">
        <v>61</v>
      </c>
      <c r="S3" s="98" t="s">
        <v>157</v>
      </c>
      <c r="T3" s="98" t="s">
        <v>63</v>
      </c>
      <c r="U3" s="101" t="s">
        <v>158</v>
      </c>
      <c r="V3" s="101" t="s">
        <v>65</v>
      </c>
      <c r="W3" s="101" t="s">
        <v>66</v>
      </c>
      <c r="X3" s="101" t="s">
        <v>67</v>
      </c>
      <c r="Y3" s="75" t="s">
        <v>68</v>
      </c>
      <c r="Z3" s="75" t="s">
        <v>69</v>
      </c>
      <c r="AA3" s="75" t="s">
        <v>70</v>
      </c>
      <c r="AB3" s="75" t="s">
        <v>71</v>
      </c>
      <c r="AC3" s="102" t="s">
        <v>72</v>
      </c>
      <c r="AD3" s="102" t="s">
        <v>73</v>
      </c>
      <c r="AE3" s="102" t="s">
        <v>74</v>
      </c>
      <c r="AF3" s="102" t="s">
        <v>75</v>
      </c>
      <c r="AG3" s="102" t="s">
        <v>76</v>
      </c>
      <c r="AH3" s="102" t="s">
        <v>77</v>
      </c>
      <c r="AI3" s="102" t="s">
        <v>78</v>
      </c>
      <c r="AJ3" s="102" t="s">
        <v>79</v>
      </c>
      <c r="AK3" s="102" t="s">
        <v>80</v>
      </c>
      <c r="AL3" s="102" t="s">
        <v>81</v>
      </c>
      <c r="AM3" s="102" t="s">
        <v>82</v>
      </c>
      <c r="AN3" s="102" t="s">
        <v>83</v>
      </c>
      <c r="AO3" s="102" t="s">
        <v>84</v>
      </c>
      <c r="AP3" s="102" t="s">
        <v>85</v>
      </c>
      <c r="AQ3" s="102" t="s">
        <v>86</v>
      </c>
      <c r="AR3" s="103" t="s">
        <v>159</v>
      </c>
      <c r="AS3" s="79" t="s">
        <v>88</v>
      </c>
      <c r="AT3" s="79" t="s">
        <v>86</v>
      </c>
      <c r="AU3" s="80" t="s">
        <v>89</v>
      </c>
      <c r="AV3" s="80" t="s">
        <v>90</v>
      </c>
      <c r="AW3" s="80" t="s">
        <v>91</v>
      </c>
      <c r="AX3" s="80" t="s">
        <v>92</v>
      </c>
      <c r="AY3" s="80" t="s">
        <v>93</v>
      </c>
      <c r="AZ3" s="80" t="s">
        <v>94</v>
      </c>
      <c r="BA3" s="80" t="s">
        <v>95</v>
      </c>
      <c r="BB3" s="80" t="s">
        <v>96</v>
      </c>
      <c r="BC3" s="81" t="s">
        <v>97</v>
      </c>
      <c r="BD3" s="81" t="s">
        <v>98</v>
      </c>
      <c r="BE3" s="81" t="s">
        <v>99</v>
      </c>
      <c r="BF3" s="80" t="s">
        <v>100</v>
      </c>
      <c r="BG3" s="80" t="s">
        <v>101</v>
      </c>
      <c r="BH3" s="80" t="s">
        <v>102</v>
      </c>
      <c r="BI3" s="80" t="s">
        <v>103</v>
      </c>
      <c r="BJ3" s="80" t="s">
        <v>104</v>
      </c>
      <c r="BK3" s="80" t="s">
        <v>105</v>
      </c>
      <c r="BL3" s="80" t="s">
        <v>106</v>
      </c>
      <c r="BM3" s="80" t="s">
        <v>107</v>
      </c>
      <c r="BN3" s="80" t="s">
        <v>108</v>
      </c>
      <c r="BO3" s="80" t="s">
        <v>94</v>
      </c>
      <c r="BP3" s="80" t="s">
        <v>109</v>
      </c>
      <c r="BQ3" s="80" t="s">
        <v>63</v>
      </c>
    </row>
    <row r="4" spans="1:69" ht="15.75" thickBot="1">
      <c r="A4" s="82">
        <v>1</v>
      </c>
      <c r="B4" s="82" t="s">
        <v>137</v>
      </c>
      <c r="C4" s="82" t="s">
        <v>137</v>
      </c>
      <c r="D4" s="82" t="s">
        <v>12</v>
      </c>
      <c r="E4" s="82" t="s">
        <v>12</v>
      </c>
      <c r="F4" s="83">
        <v>5</v>
      </c>
      <c r="G4" s="108" t="s">
        <v>183</v>
      </c>
      <c r="H4" s="83">
        <f>F4*G4</f>
        <v>250</v>
      </c>
      <c r="I4" s="108" t="s">
        <v>164</v>
      </c>
      <c r="J4" s="83">
        <v>8</v>
      </c>
      <c r="K4" s="83">
        <v>5</v>
      </c>
      <c r="L4" s="83">
        <f>IF(OR(I4=0,I4="0"),0,H4)</f>
        <v>250</v>
      </c>
      <c r="M4" s="83">
        <f>ROUND(L4*I4%,3)</f>
        <v>12.5</v>
      </c>
      <c r="N4" s="83">
        <f>H4-M4</f>
        <v>237.5</v>
      </c>
      <c r="O4" s="83">
        <f>ROUND(N4*J4%,3)</f>
        <v>19</v>
      </c>
      <c r="P4" s="83">
        <f>ROUND(N4-O4,2)</f>
        <v>218.5</v>
      </c>
      <c r="Q4" s="83">
        <f>ROUND(P4*K4%,2)</f>
        <v>10.93</v>
      </c>
      <c r="R4" s="105">
        <f>ROUND(M4+O4+Q4,3)</f>
        <v>42.43</v>
      </c>
      <c r="S4" s="105">
        <f>(H4-R4)</f>
        <v>207.57</v>
      </c>
      <c r="T4" s="83">
        <v>88363222</v>
      </c>
      <c r="U4" s="83">
        <v>18</v>
      </c>
      <c r="V4" s="83">
        <f>IF(OR($C$2=1,$C$2=4),ROUND((((S4*U4)/100)/2),2),0)</f>
        <v>0</v>
      </c>
      <c r="W4" s="83">
        <f>IF($C$2=1,ROUND((((S4*U4)/100)/2),2),0)</f>
        <v>0</v>
      </c>
      <c r="X4" s="83">
        <f>IF($C$2=2,ROUND(((S4*U4)/100),2),0)</f>
        <v>0</v>
      </c>
      <c r="Y4" s="83">
        <f>IF($C$2=4,ROUND((((S4*U4)/100)/2),2),0)</f>
        <v>0</v>
      </c>
      <c r="Z4" s="83">
        <v>0</v>
      </c>
      <c r="AA4" s="83">
        <f>IF($C2=3,0,(S4*Z4)/100)</f>
        <v>0</v>
      </c>
      <c r="AB4" s="83">
        <f>V4+W4+X4+Y4+AA4</f>
        <v>0</v>
      </c>
      <c r="AC4" s="104">
        <f>IF($V2=1,S4+AB4,S4)</f>
        <v>207.57</v>
      </c>
      <c r="AD4" s="105">
        <v>120</v>
      </c>
      <c r="AE4" s="105">
        <f>IF($P$2=1,(S4/$S$5)*$E$16,AD4/$AD$5*$E$16)</f>
        <v>0</v>
      </c>
      <c r="AF4" s="105"/>
      <c r="AG4" s="105">
        <f>IF($P$2=1,(S4/$S$5)*$E$18,AD4/$AD$5*$E$18)</f>
        <v>0</v>
      </c>
      <c r="AH4" s="105">
        <f>IF($P$2=1,(S4/$S$5)*$E$19,AD4/$AD$5*$E$19)</f>
        <v>0</v>
      </c>
      <c r="AI4" s="105">
        <f>S4*$M2</f>
        <v>207.57</v>
      </c>
      <c r="AJ4" s="105">
        <f>IF($C$2=3,0,AG4+AH4)</f>
        <v>0</v>
      </c>
      <c r="AK4" s="105">
        <f>IF($C$2=3,AE4+AG4+AH4,0)</f>
        <v>0</v>
      </c>
      <c r="AL4" s="106">
        <v>1</v>
      </c>
      <c r="AM4" s="105">
        <f>F4/AL4</f>
        <v>5</v>
      </c>
      <c r="AN4" s="105">
        <f>ROUND(AI4/AM4,5)</f>
        <v>41.514000000000003</v>
      </c>
      <c r="AO4" s="105">
        <f>AJ4/AM4</f>
        <v>0</v>
      </c>
      <c r="AP4" s="105">
        <f>AK4/AM4</f>
        <v>0</v>
      </c>
      <c r="AQ4" s="105" t="s">
        <v>12</v>
      </c>
      <c r="AR4" s="105">
        <f>ROUND(AN4+AO4+AP4,5)</f>
        <v>41.514000000000003</v>
      </c>
      <c r="AS4" s="107" t="s">
        <v>160</v>
      </c>
      <c r="AT4" s="84" t="s">
        <v>12</v>
      </c>
      <c r="AU4" s="108" t="s">
        <v>184</v>
      </c>
      <c r="AV4" s="108" t="s">
        <v>185</v>
      </c>
      <c r="AW4" s="84">
        <f>AM4</f>
        <v>5</v>
      </c>
      <c r="AX4" s="120">
        <f>AR4</f>
        <v>41.514000000000003</v>
      </c>
      <c r="AY4" s="84">
        <f>AU4+AW4</f>
        <v>20</v>
      </c>
      <c r="AZ4" s="84">
        <f>ROUND(((AU4*AV4)+(AW4*AX4))/(AU4+AW4),3)</f>
        <v>41.515000000000001</v>
      </c>
      <c r="BA4" s="85"/>
      <c r="BB4" s="85" t="s">
        <v>117</v>
      </c>
      <c r="BC4" s="109" t="s">
        <v>118</v>
      </c>
      <c r="BD4" s="87" t="s">
        <v>119</v>
      </c>
      <c r="BE4" s="87" t="s">
        <v>120</v>
      </c>
      <c r="BF4" s="85"/>
      <c r="BG4" s="85"/>
      <c r="BH4" s="85"/>
      <c r="BI4" s="84"/>
      <c r="BJ4" s="84"/>
      <c r="BK4" s="84"/>
      <c r="BL4" s="110" t="s">
        <v>163</v>
      </c>
      <c r="BM4" s="108" t="s">
        <v>185</v>
      </c>
      <c r="BN4" s="108" t="s">
        <v>164</v>
      </c>
      <c r="BO4" s="84">
        <f>ROUND((((AW4*AZ4)+(BN4*BM4))/(AW4+BN4)),5)</f>
        <v>41.515000000000001</v>
      </c>
      <c r="BP4" s="88">
        <f>ROUND(BN4+AW4,3)</f>
        <v>10</v>
      </c>
      <c r="BQ4" s="89">
        <v>123562</v>
      </c>
    </row>
    <row r="5" spans="1:69" ht="15.75" thickBot="1">
      <c r="A5" s="64"/>
      <c r="B5" s="90"/>
      <c r="C5" s="90"/>
      <c r="D5" s="91" t="s">
        <v>41</v>
      </c>
      <c r="E5" s="91"/>
      <c r="F5" s="91"/>
      <c r="G5" s="92"/>
      <c r="H5" s="93">
        <f>SUM(H4:H4)</f>
        <v>250</v>
      </c>
      <c r="I5" s="82"/>
      <c r="J5" s="82"/>
      <c r="K5" s="82"/>
      <c r="L5" s="82"/>
      <c r="M5" s="82"/>
      <c r="N5" s="82"/>
      <c r="O5" s="82"/>
      <c r="P5" s="82"/>
      <c r="Q5" s="82"/>
      <c r="R5" s="94">
        <f t="shared" ref="R5:X5" si="0">SUM(R4:R4)</f>
        <v>42.43</v>
      </c>
      <c r="S5" s="93">
        <f t="shared" si="0"/>
        <v>207.57</v>
      </c>
      <c r="T5" s="94"/>
      <c r="U5" s="94"/>
      <c r="V5" s="95">
        <f t="shared" si="0"/>
        <v>0</v>
      </c>
      <c r="W5" s="95">
        <f t="shared" si="0"/>
        <v>0</v>
      </c>
      <c r="X5" s="95">
        <f t="shared" si="0"/>
        <v>0</v>
      </c>
      <c r="Y5" s="95"/>
      <c r="Z5" s="95"/>
      <c r="AA5" s="95"/>
      <c r="AB5" s="94">
        <f t="shared" ref="AB5:AE5" si="1">SUM(AB4:AB4)</f>
        <v>0</v>
      </c>
      <c r="AC5" s="96">
        <f t="shared" si="1"/>
        <v>207.57</v>
      </c>
      <c r="AD5" s="97">
        <f t="shared" si="1"/>
        <v>120</v>
      </c>
      <c r="AE5" s="97">
        <f t="shared" si="1"/>
        <v>0</v>
      </c>
      <c r="AF5" s="96"/>
      <c r="AG5" s="97">
        <f t="shared" ref="AG5:AK5" si="2">SUM(AG4:AG4)</f>
        <v>0</v>
      </c>
      <c r="AH5" s="97">
        <f>IF($P$2=1,(S5/$S$5)*$E$19,AD5/$AD$5*$E$19)</f>
        <v>0</v>
      </c>
      <c r="AI5" s="97">
        <f t="shared" si="2"/>
        <v>207.57</v>
      </c>
      <c r="AJ5" s="97">
        <f t="shared" si="2"/>
        <v>0</v>
      </c>
      <c r="AK5" s="97">
        <f t="shared" si="2"/>
        <v>0</v>
      </c>
      <c r="AL5" s="96"/>
      <c r="AM5" s="96"/>
      <c r="AN5" s="96"/>
      <c r="AO5" s="96"/>
      <c r="AP5" s="96"/>
      <c r="AQ5" s="96"/>
      <c r="AR5" s="96"/>
      <c r="AS5" s="64"/>
      <c r="AT5" s="64"/>
      <c r="AU5" s="65"/>
      <c r="AV5" s="65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5"/>
      <c r="BQ5" s="65"/>
    </row>
  </sheetData>
  <mergeCells count="1">
    <mergeCell ref="A2:B2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workbookViewId="0">
      <selection activeCell="C7" sqref="C7"/>
    </sheetView>
  </sheetViews>
  <sheetFormatPr defaultColWidth="8.7109375" defaultRowHeight="15"/>
  <cols>
    <col min="1" max="1" width="8.7109375" style="66"/>
    <col min="2" max="2" width="23.42578125" style="66" customWidth="1"/>
    <col min="3" max="3" width="29.42578125" style="66" customWidth="1"/>
    <col min="4" max="16384" width="8.7109375" style="66"/>
  </cols>
  <sheetData>
    <row r="1" spans="1:69">
      <c r="A1" s="61" t="s">
        <v>42</v>
      </c>
      <c r="B1" s="62"/>
      <c r="C1" s="62"/>
      <c r="D1" s="62"/>
      <c r="E1" s="62"/>
      <c r="F1" s="62"/>
      <c r="G1" s="62"/>
      <c r="H1" s="61"/>
      <c r="I1" s="63"/>
      <c r="J1" s="63"/>
      <c r="K1" s="63"/>
      <c r="L1" s="63"/>
      <c r="M1" s="63"/>
      <c r="N1" s="63"/>
      <c r="O1" s="63"/>
      <c r="P1" s="63"/>
      <c r="Q1" s="63"/>
      <c r="R1" s="61"/>
      <c r="S1" s="61"/>
      <c r="T1" s="61"/>
      <c r="U1" s="61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5"/>
      <c r="BQ1" s="65"/>
    </row>
    <row r="2" spans="1:69" ht="15.75" thickBot="1">
      <c r="A2" s="67" t="s">
        <v>43</v>
      </c>
      <c r="B2" s="67"/>
      <c r="C2" s="68">
        <v>3</v>
      </c>
      <c r="D2" s="69" t="s">
        <v>44</v>
      </c>
      <c r="E2" s="62"/>
      <c r="F2" s="62"/>
      <c r="G2" s="62"/>
      <c r="H2" s="61"/>
      <c r="I2" s="63" t="s">
        <v>45</v>
      </c>
      <c r="J2" s="63" t="s">
        <v>46</v>
      </c>
      <c r="K2" s="63"/>
      <c r="L2" s="63" t="s">
        <v>47</v>
      </c>
      <c r="M2" s="63">
        <v>1</v>
      </c>
      <c r="N2" s="63"/>
      <c r="O2" s="63" t="s">
        <v>48</v>
      </c>
      <c r="P2" s="63">
        <v>2</v>
      </c>
      <c r="Q2" s="63" t="s">
        <v>49</v>
      </c>
      <c r="R2" s="61"/>
      <c r="S2" s="61"/>
      <c r="T2" s="61"/>
      <c r="U2" s="61"/>
      <c r="V2" s="61">
        <v>1</v>
      </c>
      <c r="W2" s="61" t="s">
        <v>50</v>
      </c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5"/>
      <c r="BQ2" s="65"/>
    </row>
    <row r="3" spans="1:69" ht="61.5" thickTop="1" thickBot="1">
      <c r="A3" s="98" t="s">
        <v>154</v>
      </c>
      <c r="B3" s="98" t="s">
        <v>3</v>
      </c>
      <c r="C3" s="98" t="s">
        <v>155</v>
      </c>
      <c r="D3" s="98" t="s">
        <v>5</v>
      </c>
      <c r="E3" s="98" t="s">
        <v>6</v>
      </c>
      <c r="F3" s="98" t="s">
        <v>7</v>
      </c>
      <c r="G3" s="98" t="s">
        <v>8</v>
      </c>
      <c r="H3" s="98" t="s">
        <v>9</v>
      </c>
      <c r="I3" s="99" t="s">
        <v>52</v>
      </c>
      <c r="J3" s="99" t="s">
        <v>54</v>
      </c>
      <c r="K3" s="99" t="s">
        <v>53</v>
      </c>
      <c r="L3" s="100" t="s">
        <v>55</v>
      </c>
      <c r="M3" s="100" t="s">
        <v>56</v>
      </c>
      <c r="N3" s="100" t="s">
        <v>59</v>
      </c>
      <c r="O3" s="100" t="s">
        <v>60</v>
      </c>
      <c r="P3" s="100" t="s">
        <v>156</v>
      </c>
      <c r="Q3" s="100" t="s">
        <v>58</v>
      </c>
      <c r="R3" s="99" t="s">
        <v>61</v>
      </c>
      <c r="S3" s="98" t="s">
        <v>157</v>
      </c>
      <c r="T3" s="98" t="s">
        <v>63</v>
      </c>
      <c r="U3" s="101" t="s">
        <v>158</v>
      </c>
      <c r="V3" s="101" t="s">
        <v>65</v>
      </c>
      <c r="W3" s="101" t="s">
        <v>66</v>
      </c>
      <c r="X3" s="101" t="s">
        <v>67</v>
      </c>
      <c r="Y3" s="75" t="s">
        <v>68</v>
      </c>
      <c r="Z3" s="75" t="s">
        <v>69</v>
      </c>
      <c r="AA3" s="75" t="s">
        <v>70</v>
      </c>
      <c r="AB3" s="75" t="s">
        <v>71</v>
      </c>
      <c r="AC3" s="102" t="s">
        <v>72</v>
      </c>
      <c r="AD3" s="102" t="s">
        <v>73</v>
      </c>
      <c r="AE3" s="102" t="s">
        <v>74</v>
      </c>
      <c r="AF3" s="102" t="s">
        <v>75</v>
      </c>
      <c r="AG3" s="102" t="s">
        <v>76</v>
      </c>
      <c r="AH3" s="102" t="s">
        <v>77</v>
      </c>
      <c r="AI3" s="102" t="s">
        <v>78</v>
      </c>
      <c r="AJ3" s="102" t="s">
        <v>79</v>
      </c>
      <c r="AK3" s="102" t="s">
        <v>80</v>
      </c>
      <c r="AL3" s="102" t="s">
        <v>81</v>
      </c>
      <c r="AM3" s="102" t="s">
        <v>82</v>
      </c>
      <c r="AN3" s="102" t="s">
        <v>83</v>
      </c>
      <c r="AO3" s="102" t="s">
        <v>84</v>
      </c>
      <c r="AP3" s="102" t="s">
        <v>85</v>
      </c>
      <c r="AQ3" s="102" t="s">
        <v>86</v>
      </c>
      <c r="AR3" s="103" t="s">
        <v>159</v>
      </c>
      <c r="AS3" s="79" t="s">
        <v>88</v>
      </c>
      <c r="AT3" s="79" t="s">
        <v>86</v>
      </c>
      <c r="AU3" s="80" t="s">
        <v>89</v>
      </c>
      <c r="AV3" s="80" t="s">
        <v>90</v>
      </c>
      <c r="AW3" s="80" t="s">
        <v>91</v>
      </c>
      <c r="AX3" s="80" t="s">
        <v>92</v>
      </c>
      <c r="AY3" s="80" t="s">
        <v>93</v>
      </c>
      <c r="AZ3" s="80" t="s">
        <v>94</v>
      </c>
      <c r="BA3" s="80" t="s">
        <v>95</v>
      </c>
      <c r="BB3" s="80" t="s">
        <v>96</v>
      </c>
      <c r="BC3" s="81" t="s">
        <v>97</v>
      </c>
      <c r="BD3" s="81" t="s">
        <v>98</v>
      </c>
      <c r="BE3" s="81" t="s">
        <v>99</v>
      </c>
      <c r="BF3" s="80" t="s">
        <v>100</v>
      </c>
      <c r="BG3" s="80" t="s">
        <v>101</v>
      </c>
      <c r="BH3" s="80" t="s">
        <v>102</v>
      </c>
      <c r="BI3" s="80" t="s">
        <v>103</v>
      </c>
      <c r="BJ3" s="80" t="s">
        <v>104</v>
      </c>
      <c r="BK3" s="80" t="s">
        <v>105</v>
      </c>
      <c r="BL3" s="80" t="s">
        <v>106</v>
      </c>
      <c r="BM3" s="80" t="s">
        <v>107</v>
      </c>
      <c r="BN3" s="80" t="s">
        <v>108</v>
      </c>
      <c r="BO3" s="80" t="s">
        <v>94</v>
      </c>
      <c r="BP3" s="80" t="s">
        <v>109</v>
      </c>
      <c r="BQ3" s="80" t="s">
        <v>63</v>
      </c>
    </row>
    <row r="4" spans="1:69" ht="15.75" thickBot="1">
      <c r="A4" s="82">
        <v>1</v>
      </c>
      <c r="B4" s="82" t="s">
        <v>142</v>
      </c>
      <c r="C4" s="82" t="s">
        <v>142</v>
      </c>
      <c r="D4" s="82" t="s">
        <v>12</v>
      </c>
      <c r="E4" s="82" t="s">
        <v>12</v>
      </c>
      <c r="F4" s="83">
        <v>5</v>
      </c>
      <c r="G4" s="108" t="s">
        <v>183</v>
      </c>
      <c r="H4" s="83">
        <f>F4*G4</f>
        <v>250</v>
      </c>
      <c r="I4" s="108" t="s">
        <v>164</v>
      </c>
      <c r="J4" s="83">
        <v>8</v>
      </c>
      <c r="K4" s="83">
        <v>5</v>
      </c>
      <c r="L4" s="83">
        <f>IF(OR(I4=0,I4="0"),0,H4)</f>
        <v>250</v>
      </c>
      <c r="M4" s="83">
        <f>ROUND(L4*I4%,3)</f>
        <v>12.5</v>
      </c>
      <c r="N4" s="83">
        <f>H4-M4</f>
        <v>237.5</v>
      </c>
      <c r="O4" s="83">
        <f>ROUND(N4*J4%,3)</f>
        <v>19</v>
      </c>
      <c r="P4" s="83">
        <f>ROUND(N4-O4,2)</f>
        <v>218.5</v>
      </c>
      <c r="Q4" s="83">
        <f>ROUND(P4*K4%,2)</f>
        <v>10.93</v>
      </c>
      <c r="R4" s="105">
        <f>ROUND(M4+O4+Q4,3)</f>
        <v>42.43</v>
      </c>
      <c r="S4" s="105">
        <f>(H4-R4)</f>
        <v>207.57</v>
      </c>
      <c r="T4" s="83">
        <v>88363222</v>
      </c>
      <c r="U4" s="83">
        <v>18</v>
      </c>
      <c r="V4" s="83">
        <f>IF(OR($C$2=1,$C$2=4),ROUND((((S4*U4)/100)/2),2),0)</f>
        <v>0</v>
      </c>
      <c r="W4" s="83">
        <f>IF($C$2=1,ROUND((((S4*U4)/100)/2),2),0)</f>
        <v>0</v>
      </c>
      <c r="X4" s="83">
        <f>IF($C$2=2,ROUND(((S4*U4)/100),2),0)</f>
        <v>0</v>
      </c>
      <c r="Y4" s="83">
        <f>IF($C$2=4,ROUND((((S4*U4)/100)/2),2),0)</f>
        <v>0</v>
      </c>
      <c r="Z4" s="83">
        <v>0</v>
      </c>
      <c r="AA4" s="83">
        <f>IF($C2=3,0,(S4*Z4)/100)</f>
        <v>0</v>
      </c>
      <c r="AB4" s="83">
        <f>V4+W4+X4+Y4+AA4</f>
        <v>0</v>
      </c>
      <c r="AC4" s="104">
        <f>IF($V2=1,S4+AB4,S4)</f>
        <v>207.57</v>
      </c>
      <c r="AD4" s="105">
        <v>120</v>
      </c>
      <c r="AE4" s="105">
        <f>IF($P$2=1,(S4/$S$5)*$E$16,AD4/$AD$5*$E$16)</f>
        <v>0</v>
      </c>
      <c r="AF4" s="105"/>
      <c r="AG4" s="105">
        <f>IF($P$2=1,(S4/$S$5)*$E$18,AD4/$AD$5*$E$18)</f>
        <v>0</v>
      </c>
      <c r="AH4" s="105">
        <f>IF($P$2=1,(S4/$S$5)*$E$19,AD4/$AD$5*$E$19)</f>
        <v>0</v>
      </c>
      <c r="AI4" s="105">
        <f>S4*$M2</f>
        <v>207.57</v>
      </c>
      <c r="AJ4" s="105">
        <f>IF($C$2=3,0,AG4+AH4)</f>
        <v>0</v>
      </c>
      <c r="AK4" s="105">
        <f>IF($C$2=3,AE4+AG4+AH4,0)</f>
        <v>0</v>
      </c>
      <c r="AL4" s="106">
        <v>1</v>
      </c>
      <c r="AM4" s="105">
        <f>F4/AL4</f>
        <v>5</v>
      </c>
      <c r="AN4" s="105">
        <f>ROUND(AI4/AM4,5)</f>
        <v>41.514000000000003</v>
      </c>
      <c r="AO4" s="105">
        <f>AJ4/AM4</f>
        <v>0</v>
      </c>
      <c r="AP4" s="105">
        <f>AK4/AM4</f>
        <v>0</v>
      </c>
      <c r="AQ4" s="105" t="s">
        <v>12</v>
      </c>
      <c r="AR4" s="105">
        <f>ROUND(AN4+AO4+AP4,5)</f>
        <v>41.514000000000003</v>
      </c>
      <c r="AS4" s="107" t="s">
        <v>160</v>
      </c>
      <c r="AT4" s="84" t="s">
        <v>12</v>
      </c>
      <c r="AU4" s="108" t="s">
        <v>184</v>
      </c>
      <c r="AV4" s="108" t="s">
        <v>185</v>
      </c>
      <c r="AW4" s="84">
        <f>AM4</f>
        <v>5</v>
      </c>
      <c r="AX4" s="120">
        <f>AR4</f>
        <v>41.514000000000003</v>
      </c>
      <c r="AY4" s="84">
        <f>AU4+AW4</f>
        <v>20</v>
      </c>
      <c r="AZ4" s="84">
        <f>ROUND(((AU4*AV4)+(AW4*AX4))/(AU4+AW4),3)</f>
        <v>41.515000000000001</v>
      </c>
      <c r="BA4" s="85"/>
      <c r="BB4" s="85" t="s">
        <v>117</v>
      </c>
      <c r="BC4" s="109" t="s">
        <v>118</v>
      </c>
      <c r="BD4" s="87" t="s">
        <v>119</v>
      </c>
      <c r="BE4" s="87" t="s">
        <v>120</v>
      </c>
      <c r="BF4" s="85"/>
      <c r="BG4" s="85"/>
      <c r="BH4" s="85"/>
      <c r="BI4" s="84"/>
      <c r="BJ4" s="84"/>
      <c r="BK4" s="84"/>
      <c r="BL4" s="110" t="s">
        <v>163</v>
      </c>
      <c r="BM4" s="108" t="s">
        <v>185</v>
      </c>
      <c r="BN4" s="108" t="s">
        <v>164</v>
      </c>
      <c r="BO4" s="84">
        <f>ROUND((((AW4*AZ4)+(BN4*BM4))/(AW4+BN4)),5)</f>
        <v>41.515000000000001</v>
      </c>
      <c r="BP4" s="88">
        <f>ROUND(BN4+AW4,3)</f>
        <v>10</v>
      </c>
      <c r="BQ4" s="89">
        <v>123562</v>
      </c>
    </row>
    <row r="5" spans="1:69" ht="15.75" thickBot="1">
      <c r="A5" s="64"/>
      <c r="B5" s="90"/>
      <c r="C5" s="90"/>
      <c r="D5" s="91" t="s">
        <v>41</v>
      </c>
      <c r="E5" s="91"/>
      <c r="F5" s="91"/>
      <c r="G5" s="92"/>
      <c r="H5" s="93">
        <f>SUM(H4:H4)</f>
        <v>250</v>
      </c>
      <c r="I5" s="82"/>
      <c r="J5" s="82"/>
      <c r="K5" s="82"/>
      <c r="L5" s="82"/>
      <c r="M5" s="82"/>
      <c r="N5" s="82"/>
      <c r="O5" s="82"/>
      <c r="P5" s="82"/>
      <c r="Q5" s="82"/>
      <c r="R5" s="94">
        <f t="shared" ref="R5:X5" si="0">SUM(R4:R4)</f>
        <v>42.43</v>
      </c>
      <c r="S5" s="93">
        <f t="shared" si="0"/>
        <v>207.57</v>
      </c>
      <c r="T5" s="94"/>
      <c r="U5" s="94"/>
      <c r="V5" s="95">
        <f t="shared" si="0"/>
        <v>0</v>
      </c>
      <c r="W5" s="95">
        <f t="shared" si="0"/>
        <v>0</v>
      </c>
      <c r="X5" s="95">
        <f t="shared" si="0"/>
        <v>0</v>
      </c>
      <c r="Y5" s="95"/>
      <c r="Z5" s="95"/>
      <c r="AA5" s="95"/>
      <c r="AB5" s="94">
        <f t="shared" ref="AB5:AE5" si="1">SUM(AB4:AB4)</f>
        <v>0</v>
      </c>
      <c r="AC5" s="96">
        <f t="shared" si="1"/>
        <v>207.57</v>
      </c>
      <c r="AD5" s="97">
        <f t="shared" si="1"/>
        <v>120</v>
      </c>
      <c r="AE5" s="97">
        <f t="shared" si="1"/>
        <v>0</v>
      </c>
      <c r="AF5" s="96"/>
      <c r="AG5" s="97">
        <f t="shared" ref="AG5:AK5" si="2">SUM(AG4:AG4)</f>
        <v>0</v>
      </c>
      <c r="AH5" s="97">
        <f>IF($P$2=1,(S5/$S$5)*$E$19,AD5/$AD$5*$E$19)</f>
        <v>0</v>
      </c>
      <c r="AI5" s="97">
        <f t="shared" si="2"/>
        <v>207.57</v>
      </c>
      <c r="AJ5" s="97">
        <f t="shared" si="2"/>
        <v>0</v>
      </c>
      <c r="AK5" s="97">
        <f t="shared" si="2"/>
        <v>0</v>
      </c>
      <c r="AL5" s="96"/>
      <c r="AM5" s="96"/>
      <c r="AN5" s="96"/>
      <c r="AO5" s="96"/>
      <c r="AP5" s="96"/>
      <c r="AQ5" s="96"/>
      <c r="AR5" s="96"/>
      <c r="AS5" s="64"/>
      <c r="AT5" s="64"/>
      <c r="AU5" s="65"/>
      <c r="AV5" s="65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5"/>
      <c r="BQ5" s="65"/>
    </row>
  </sheetData>
  <mergeCells count="1">
    <mergeCell ref="A2:B2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workbookViewId="0">
      <selection activeCell="C7" sqref="C7"/>
    </sheetView>
  </sheetViews>
  <sheetFormatPr defaultColWidth="8.7109375" defaultRowHeight="15"/>
  <cols>
    <col min="1" max="1" width="8.7109375" style="66"/>
    <col min="2" max="2" width="27.28515625" style="66" customWidth="1"/>
    <col min="3" max="3" width="25.42578125" style="66" customWidth="1"/>
    <col min="4" max="16384" width="8.7109375" style="66"/>
  </cols>
  <sheetData>
    <row r="1" spans="1:69">
      <c r="A1" s="61" t="s">
        <v>42</v>
      </c>
      <c r="B1" s="62"/>
      <c r="C1" s="62"/>
      <c r="D1" s="62"/>
      <c r="E1" s="62"/>
      <c r="F1" s="62"/>
      <c r="G1" s="62"/>
      <c r="H1" s="61"/>
      <c r="I1" s="63"/>
      <c r="J1" s="63"/>
      <c r="K1" s="63"/>
      <c r="L1" s="63"/>
      <c r="M1" s="63"/>
      <c r="N1" s="63"/>
      <c r="O1" s="63"/>
      <c r="P1" s="63"/>
      <c r="Q1" s="63"/>
      <c r="R1" s="61"/>
      <c r="S1" s="61"/>
      <c r="T1" s="61"/>
      <c r="U1" s="61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5"/>
      <c r="BQ1" s="65"/>
    </row>
    <row r="2" spans="1:69" ht="15.75" thickBot="1">
      <c r="A2" s="67" t="s">
        <v>43</v>
      </c>
      <c r="B2" s="67"/>
      <c r="C2" s="68">
        <v>3</v>
      </c>
      <c r="D2" s="69" t="s">
        <v>44</v>
      </c>
      <c r="E2" s="62"/>
      <c r="F2" s="62"/>
      <c r="G2" s="62"/>
      <c r="H2" s="61"/>
      <c r="I2" s="63" t="s">
        <v>45</v>
      </c>
      <c r="J2" s="63" t="s">
        <v>46</v>
      </c>
      <c r="K2" s="63"/>
      <c r="L2" s="63" t="s">
        <v>47</v>
      </c>
      <c r="M2" s="63">
        <v>1</v>
      </c>
      <c r="N2" s="63"/>
      <c r="O2" s="63" t="s">
        <v>48</v>
      </c>
      <c r="P2" s="63">
        <v>2</v>
      </c>
      <c r="Q2" s="63" t="s">
        <v>49</v>
      </c>
      <c r="R2" s="61"/>
      <c r="S2" s="61"/>
      <c r="T2" s="61"/>
      <c r="U2" s="61"/>
      <c r="V2" s="61">
        <v>1</v>
      </c>
      <c r="W2" s="61" t="s">
        <v>50</v>
      </c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5"/>
      <c r="BQ2" s="65"/>
    </row>
    <row r="3" spans="1:69" ht="61.5" thickTop="1" thickBot="1">
      <c r="A3" s="98" t="s">
        <v>154</v>
      </c>
      <c r="B3" s="98" t="s">
        <v>3</v>
      </c>
      <c r="C3" s="98" t="s">
        <v>155</v>
      </c>
      <c r="D3" s="98" t="s">
        <v>5</v>
      </c>
      <c r="E3" s="98" t="s">
        <v>6</v>
      </c>
      <c r="F3" s="98" t="s">
        <v>7</v>
      </c>
      <c r="G3" s="98" t="s">
        <v>8</v>
      </c>
      <c r="H3" s="98" t="s">
        <v>9</v>
      </c>
      <c r="I3" s="99" t="s">
        <v>52</v>
      </c>
      <c r="J3" s="99" t="s">
        <v>54</v>
      </c>
      <c r="K3" s="99" t="s">
        <v>53</v>
      </c>
      <c r="L3" s="100" t="s">
        <v>55</v>
      </c>
      <c r="M3" s="100" t="s">
        <v>56</v>
      </c>
      <c r="N3" s="100" t="s">
        <v>59</v>
      </c>
      <c r="O3" s="100" t="s">
        <v>60</v>
      </c>
      <c r="P3" s="100" t="s">
        <v>156</v>
      </c>
      <c r="Q3" s="100" t="s">
        <v>58</v>
      </c>
      <c r="R3" s="99" t="s">
        <v>61</v>
      </c>
      <c r="S3" s="98" t="s">
        <v>157</v>
      </c>
      <c r="T3" s="98" t="s">
        <v>63</v>
      </c>
      <c r="U3" s="101" t="s">
        <v>158</v>
      </c>
      <c r="V3" s="101" t="s">
        <v>65</v>
      </c>
      <c r="W3" s="101" t="s">
        <v>66</v>
      </c>
      <c r="X3" s="101" t="s">
        <v>67</v>
      </c>
      <c r="Y3" s="75" t="s">
        <v>68</v>
      </c>
      <c r="Z3" s="75" t="s">
        <v>69</v>
      </c>
      <c r="AA3" s="75" t="s">
        <v>70</v>
      </c>
      <c r="AB3" s="75" t="s">
        <v>71</v>
      </c>
      <c r="AC3" s="102" t="s">
        <v>72</v>
      </c>
      <c r="AD3" s="102" t="s">
        <v>73</v>
      </c>
      <c r="AE3" s="102" t="s">
        <v>74</v>
      </c>
      <c r="AF3" s="102" t="s">
        <v>75</v>
      </c>
      <c r="AG3" s="102" t="s">
        <v>76</v>
      </c>
      <c r="AH3" s="102" t="s">
        <v>77</v>
      </c>
      <c r="AI3" s="102" t="s">
        <v>78</v>
      </c>
      <c r="AJ3" s="102" t="s">
        <v>79</v>
      </c>
      <c r="AK3" s="102" t="s">
        <v>80</v>
      </c>
      <c r="AL3" s="102" t="s">
        <v>81</v>
      </c>
      <c r="AM3" s="102" t="s">
        <v>82</v>
      </c>
      <c r="AN3" s="102" t="s">
        <v>83</v>
      </c>
      <c r="AO3" s="102" t="s">
        <v>84</v>
      </c>
      <c r="AP3" s="102" t="s">
        <v>85</v>
      </c>
      <c r="AQ3" s="102" t="s">
        <v>86</v>
      </c>
      <c r="AR3" s="103" t="s">
        <v>159</v>
      </c>
      <c r="AS3" s="79" t="s">
        <v>88</v>
      </c>
      <c r="AT3" s="79" t="s">
        <v>86</v>
      </c>
      <c r="AU3" s="80" t="s">
        <v>89</v>
      </c>
      <c r="AV3" s="80" t="s">
        <v>90</v>
      </c>
      <c r="AW3" s="80" t="s">
        <v>91</v>
      </c>
      <c r="AX3" s="80" t="s">
        <v>92</v>
      </c>
      <c r="AY3" s="80" t="s">
        <v>93</v>
      </c>
      <c r="AZ3" s="80" t="s">
        <v>94</v>
      </c>
      <c r="BA3" s="80" t="s">
        <v>95</v>
      </c>
      <c r="BB3" s="80" t="s">
        <v>96</v>
      </c>
      <c r="BC3" s="81" t="s">
        <v>97</v>
      </c>
      <c r="BD3" s="81" t="s">
        <v>98</v>
      </c>
      <c r="BE3" s="81" t="s">
        <v>99</v>
      </c>
      <c r="BF3" s="80" t="s">
        <v>100</v>
      </c>
      <c r="BG3" s="80" t="s">
        <v>101</v>
      </c>
      <c r="BH3" s="80" t="s">
        <v>102</v>
      </c>
      <c r="BI3" s="80" t="s">
        <v>103</v>
      </c>
      <c r="BJ3" s="80" t="s">
        <v>104</v>
      </c>
      <c r="BK3" s="80" t="s">
        <v>105</v>
      </c>
      <c r="BL3" s="80" t="s">
        <v>106</v>
      </c>
      <c r="BM3" s="80" t="s">
        <v>107</v>
      </c>
      <c r="BN3" s="80" t="s">
        <v>108</v>
      </c>
      <c r="BO3" s="80" t="s">
        <v>94</v>
      </c>
      <c r="BP3" s="80" t="s">
        <v>109</v>
      </c>
      <c r="BQ3" s="80" t="s">
        <v>63</v>
      </c>
    </row>
    <row r="4" spans="1:69" ht="15.75" thickBot="1">
      <c r="A4" s="82">
        <v>1</v>
      </c>
      <c r="B4" s="82" t="s">
        <v>147</v>
      </c>
      <c r="C4" s="82" t="s">
        <v>147</v>
      </c>
      <c r="D4" s="82" t="s">
        <v>12</v>
      </c>
      <c r="E4" s="82" t="s">
        <v>12</v>
      </c>
      <c r="F4" s="83">
        <v>5</v>
      </c>
      <c r="G4" s="108" t="s">
        <v>183</v>
      </c>
      <c r="H4" s="83">
        <f>F4*G4</f>
        <v>250</v>
      </c>
      <c r="I4" s="108" t="s">
        <v>164</v>
      </c>
      <c r="J4" s="83">
        <v>8</v>
      </c>
      <c r="K4" s="83">
        <v>5</v>
      </c>
      <c r="L4" s="83">
        <f>IF(OR(I4=0,I4="0"),0,H4)</f>
        <v>250</v>
      </c>
      <c r="M4" s="83">
        <f>ROUND(L4*I4%,3)</f>
        <v>12.5</v>
      </c>
      <c r="N4" s="83">
        <f>H4-M4</f>
        <v>237.5</v>
      </c>
      <c r="O4" s="83">
        <f>ROUND(N4*J4%,3)</f>
        <v>19</v>
      </c>
      <c r="P4" s="83">
        <f>ROUND(N4-O4,2)</f>
        <v>218.5</v>
      </c>
      <c r="Q4" s="83">
        <f>ROUND(P4*K4%,2)</f>
        <v>10.93</v>
      </c>
      <c r="R4" s="105">
        <f>ROUND(M4+O4+Q4,3)</f>
        <v>42.43</v>
      </c>
      <c r="S4" s="105">
        <f>(H4-R4)</f>
        <v>207.57</v>
      </c>
      <c r="T4" s="83">
        <v>88363222</v>
      </c>
      <c r="U4" s="83">
        <v>18</v>
      </c>
      <c r="V4" s="83">
        <f>IF(OR($C$2=1,$C$2=4),ROUND((((S4*U4)/100)/2),2),0)</f>
        <v>0</v>
      </c>
      <c r="W4" s="83">
        <f>IF($C$2=1,ROUND((((S4*U4)/100)/2),2),0)</f>
        <v>0</v>
      </c>
      <c r="X4" s="83">
        <f>IF($C$2=2,ROUND(((S4*U4)/100),2),0)</f>
        <v>0</v>
      </c>
      <c r="Y4" s="83">
        <f>IF($C$2=4,ROUND((((S4*U4)/100)/2),2),0)</f>
        <v>0</v>
      </c>
      <c r="Z4" s="83">
        <v>0</v>
      </c>
      <c r="AA4" s="83">
        <f>IF($C2=3,0,(S4*Z4)/100)</f>
        <v>0</v>
      </c>
      <c r="AB4" s="83">
        <f>V4+W4+X4+Y4+AA4</f>
        <v>0</v>
      </c>
      <c r="AC4" s="104">
        <f>IF($V2=1,S4+AB4,S4)</f>
        <v>207.57</v>
      </c>
      <c r="AD4" s="105">
        <v>120</v>
      </c>
      <c r="AE4" s="105">
        <f>IF($P$2=1,(S4/$S$5)*$E$16,AD4/$AD$5*$E$16)</f>
        <v>0</v>
      </c>
      <c r="AF4" s="105"/>
      <c r="AG4" s="105">
        <f>IF($P$2=1,(S4/$S$5)*$E$18,AD4/$AD$5*$E$18)</f>
        <v>0</v>
      </c>
      <c r="AH4" s="105">
        <f>IF($P$2=1,(S4/$S$5)*$E$19,AD4/$AD$5*$E$19)</f>
        <v>0</v>
      </c>
      <c r="AI4" s="105">
        <f>S4*$M2</f>
        <v>207.57</v>
      </c>
      <c r="AJ4" s="105">
        <f>IF($C$2=3,0,AG4+AH4)</f>
        <v>0</v>
      </c>
      <c r="AK4" s="105">
        <f>IF($C$2=3,AE4+AG4+AH4,0)</f>
        <v>0</v>
      </c>
      <c r="AL4" s="106">
        <v>1</v>
      </c>
      <c r="AM4" s="105">
        <f>F4/AL4</f>
        <v>5</v>
      </c>
      <c r="AN4" s="105">
        <f>ROUND(AI4/AM4,5)</f>
        <v>41.514000000000003</v>
      </c>
      <c r="AO4" s="105">
        <f>AJ4/AM4</f>
        <v>0</v>
      </c>
      <c r="AP4" s="105">
        <f>AK4/AM4</f>
        <v>0</v>
      </c>
      <c r="AQ4" s="105" t="s">
        <v>12</v>
      </c>
      <c r="AR4" s="105">
        <f>ROUND(AN4+AO4+AP4,5)</f>
        <v>41.514000000000003</v>
      </c>
      <c r="AS4" s="107" t="s">
        <v>160</v>
      </c>
      <c r="AT4" s="84" t="s">
        <v>12</v>
      </c>
      <c r="AU4" s="108" t="s">
        <v>186</v>
      </c>
      <c r="AV4" s="108" t="s">
        <v>185</v>
      </c>
      <c r="AW4" s="84">
        <f>AM4</f>
        <v>5</v>
      </c>
      <c r="AX4" s="120">
        <f>AR4</f>
        <v>41.514000000000003</v>
      </c>
      <c r="AY4" s="84">
        <f>AU4+AW4</f>
        <v>15</v>
      </c>
      <c r="AZ4" s="121">
        <f>ROUND(((AU4*AV4)+(AW4*AX4))/(AU4+AW4),3)</f>
        <v>41.515000000000001</v>
      </c>
      <c r="BA4" s="85"/>
      <c r="BB4" s="85" t="s">
        <v>117</v>
      </c>
      <c r="BC4" s="109" t="s">
        <v>118</v>
      </c>
      <c r="BD4" s="87" t="s">
        <v>119</v>
      </c>
      <c r="BE4" s="87" t="s">
        <v>120</v>
      </c>
      <c r="BF4" s="85"/>
      <c r="BG4" s="85"/>
      <c r="BH4" s="85"/>
      <c r="BI4" s="84"/>
      <c r="BJ4" s="84"/>
      <c r="BK4" s="84"/>
      <c r="BL4" s="110" t="s">
        <v>163</v>
      </c>
      <c r="BM4" s="108" t="s">
        <v>185</v>
      </c>
      <c r="BN4" s="108" t="s">
        <v>164</v>
      </c>
      <c r="BO4" s="84">
        <f>ROUND((((AW4*AZ4)+(BN4*BM4))/(AW4+BN4)),5)</f>
        <v>41.515000000000001</v>
      </c>
      <c r="BP4" s="88">
        <f>ROUND(BN4+AW4,3)</f>
        <v>10</v>
      </c>
      <c r="BQ4" s="89">
        <v>123562</v>
      </c>
    </row>
    <row r="5" spans="1:69" ht="15.75" thickBot="1">
      <c r="A5" s="64"/>
      <c r="B5" s="90"/>
      <c r="C5" s="90"/>
      <c r="D5" s="91" t="s">
        <v>41</v>
      </c>
      <c r="E5" s="91"/>
      <c r="F5" s="91"/>
      <c r="G5" s="92"/>
      <c r="H5" s="93">
        <f>SUM(H4:H4)</f>
        <v>250</v>
      </c>
      <c r="I5" s="82"/>
      <c r="J5" s="82"/>
      <c r="K5" s="82"/>
      <c r="L5" s="82"/>
      <c r="M5" s="82"/>
      <c r="N5" s="82"/>
      <c r="O5" s="82"/>
      <c r="P5" s="82"/>
      <c r="Q5" s="82"/>
      <c r="R5" s="94">
        <f t="shared" ref="R5:X5" si="0">SUM(R4:R4)</f>
        <v>42.43</v>
      </c>
      <c r="S5" s="93">
        <f t="shared" si="0"/>
        <v>207.57</v>
      </c>
      <c r="T5" s="94"/>
      <c r="U5" s="94"/>
      <c r="V5" s="95">
        <f t="shared" si="0"/>
        <v>0</v>
      </c>
      <c r="W5" s="95">
        <f t="shared" si="0"/>
        <v>0</v>
      </c>
      <c r="X5" s="95">
        <f t="shared" si="0"/>
        <v>0</v>
      </c>
      <c r="Y5" s="95"/>
      <c r="Z5" s="95"/>
      <c r="AA5" s="95"/>
      <c r="AB5" s="94">
        <f t="shared" ref="AB5:AE5" si="1">SUM(AB4:AB4)</f>
        <v>0</v>
      </c>
      <c r="AC5" s="96">
        <f t="shared" si="1"/>
        <v>207.57</v>
      </c>
      <c r="AD5" s="97">
        <f t="shared" si="1"/>
        <v>120</v>
      </c>
      <c r="AE5" s="97">
        <f t="shared" si="1"/>
        <v>0</v>
      </c>
      <c r="AF5" s="96"/>
      <c r="AG5" s="97">
        <f t="shared" ref="AG5:AK5" si="2">SUM(AG4:AG4)</f>
        <v>0</v>
      </c>
      <c r="AH5" s="97">
        <f>IF($P$2=1,(S5/$S$5)*$E$19,AD5/$AD$5*$E$19)</f>
        <v>0</v>
      </c>
      <c r="AI5" s="97">
        <f t="shared" si="2"/>
        <v>207.57</v>
      </c>
      <c r="AJ5" s="97">
        <f t="shared" si="2"/>
        <v>0</v>
      </c>
      <c r="AK5" s="97">
        <f t="shared" si="2"/>
        <v>0</v>
      </c>
      <c r="AL5" s="96"/>
      <c r="AM5" s="96"/>
      <c r="AN5" s="96"/>
      <c r="AO5" s="96"/>
      <c r="AP5" s="96"/>
      <c r="AQ5" s="96"/>
      <c r="AR5" s="96"/>
      <c r="AS5" s="64"/>
      <c r="AT5" s="64"/>
      <c r="AU5" s="65"/>
      <c r="AV5" s="65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5"/>
      <c r="BQ5" s="65"/>
    </row>
  </sheetData>
  <mergeCells count="1">
    <mergeCell ref="A2:B2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18"/>
  <sheetViews>
    <sheetView workbookViewId="0">
      <selection activeCell="C7" sqref="C7"/>
    </sheetView>
  </sheetViews>
  <sheetFormatPr defaultColWidth="8.85546875" defaultRowHeight="15"/>
  <cols>
    <col min="1" max="1" width="8.85546875" style="108"/>
    <col min="2" max="2" width="28" style="108" customWidth="1"/>
    <col min="3" max="3" width="23" style="108" customWidth="1"/>
    <col min="4" max="12" width="8.85546875" style="108"/>
    <col min="13" max="13" width="9.140625" style="108" customWidth="1"/>
    <col min="14" max="14" width="13.85546875" style="108" customWidth="1"/>
    <col min="15" max="63" width="8.85546875" style="108"/>
    <col min="64" max="64" width="11" style="108" customWidth="1"/>
    <col min="65" max="16384" width="8.85546875" style="108"/>
  </cols>
  <sheetData>
    <row r="1" spans="1:69">
      <c r="A1" s="61" t="s">
        <v>42</v>
      </c>
      <c r="B1" s="62"/>
      <c r="C1" s="62"/>
      <c r="D1" s="62"/>
      <c r="E1" s="62"/>
      <c r="F1" s="62"/>
      <c r="G1" s="62"/>
      <c r="H1" s="61"/>
      <c r="I1" s="63"/>
      <c r="J1" s="63"/>
      <c r="K1" s="63"/>
      <c r="L1" s="63"/>
      <c r="M1" s="63"/>
      <c r="N1" s="63"/>
      <c r="O1" s="63"/>
      <c r="P1" s="63"/>
      <c r="Q1" s="63"/>
      <c r="R1" s="61"/>
      <c r="S1" s="61"/>
      <c r="T1" s="61"/>
      <c r="U1" s="61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5"/>
      <c r="BQ1" s="65"/>
    </row>
    <row r="2" spans="1:69" ht="15.75" thickBot="1">
      <c r="A2" s="67" t="s">
        <v>43</v>
      </c>
      <c r="B2" s="67"/>
      <c r="C2" s="68">
        <v>1</v>
      </c>
      <c r="D2" s="69" t="s">
        <v>44</v>
      </c>
      <c r="E2" s="62"/>
      <c r="F2" s="62"/>
      <c r="G2" s="62"/>
      <c r="H2" s="61"/>
      <c r="I2" s="63" t="s">
        <v>45</v>
      </c>
      <c r="J2" s="63" t="s">
        <v>46</v>
      </c>
      <c r="K2" s="63"/>
      <c r="L2" s="63" t="s">
        <v>47</v>
      </c>
      <c r="M2" s="63">
        <v>1</v>
      </c>
      <c r="N2" s="63"/>
      <c r="O2" s="63" t="s">
        <v>48</v>
      </c>
      <c r="P2" s="63">
        <v>2</v>
      </c>
      <c r="Q2" s="63" t="s">
        <v>49</v>
      </c>
      <c r="R2" s="61"/>
      <c r="S2" s="61"/>
      <c r="T2" s="61"/>
      <c r="U2" s="61"/>
      <c r="V2" s="61">
        <v>1</v>
      </c>
      <c r="W2" s="61" t="s">
        <v>50</v>
      </c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5"/>
      <c r="BQ2" s="65"/>
    </row>
    <row r="3" spans="1:69" ht="61.5" thickTop="1" thickBot="1">
      <c r="A3" s="98" t="s">
        <v>154</v>
      </c>
      <c r="B3" s="98" t="s">
        <v>3</v>
      </c>
      <c r="C3" s="98" t="s">
        <v>155</v>
      </c>
      <c r="D3" s="98" t="s">
        <v>5</v>
      </c>
      <c r="E3" s="98" t="s">
        <v>6</v>
      </c>
      <c r="F3" s="98" t="s">
        <v>7</v>
      </c>
      <c r="G3" s="98" t="s">
        <v>8</v>
      </c>
      <c r="H3" s="98" t="s">
        <v>9</v>
      </c>
      <c r="I3" s="99" t="s">
        <v>52</v>
      </c>
      <c r="J3" s="99" t="s">
        <v>54</v>
      </c>
      <c r="K3" s="99" t="s">
        <v>53</v>
      </c>
      <c r="L3" s="100" t="s">
        <v>55</v>
      </c>
      <c r="M3" s="100" t="s">
        <v>56</v>
      </c>
      <c r="N3" s="100" t="s">
        <v>59</v>
      </c>
      <c r="O3" s="100" t="s">
        <v>60</v>
      </c>
      <c r="P3" s="100" t="s">
        <v>156</v>
      </c>
      <c r="Q3" s="100" t="s">
        <v>58</v>
      </c>
      <c r="R3" s="99" t="s">
        <v>61</v>
      </c>
      <c r="S3" s="98" t="s">
        <v>157</v>
      </c>
      <c r="T3" s="98" t="s">
        <v>63</v>
      </c>
      <c r="U3" s="101" t="s">
        <v>158</v>
      </c>
      <c r="V3" s="101" t="s">
        <v>65</v>
      </c>
      <c r="W3" s="101" t="s">
        <v>66</v>
      </c>
      <c r="X3" s="101" t="s">
        <v>67</v>
      </c>
      <c r="Y3" s="75" t="s">
        <v>68</v>
      </c>
      <c r="Z3" s="75" t="s">
        <v>69</v>
      </c>
      <c r="AA3" s="75" t="s">
        <v>70</v>
      </c>
      <c r="AB3" s="75" t="s">
        <v>71</v>
      </c>
      <c r="AC3" s="102" t="s">
        <v>72</v>
      </c>
      <c r="AD3" s="102" t="s">
        <v>73</v>
      </c>
      <c r="AE3" s="102" t="s">
        <v>74</v>
      </c>
      <c r="AF3" s="102" t="s">
        <v>75</v>
      </c>
      <c r="AG3" s="102" t="s">
        <v>76</v>
      </c>
      <c r="AH3" s="102" t="s">
        <v>77</v>
      </c>
      <c r="AI3" s="102" t="s">
        <v>78</v>
      </c>
      <c r="AJ3" s="102" t="s">
        <v>79</v>
      </c>
      <c r="AK3" s="102" t="s">
        <v>80</v>
      </c>
      <c r="AL3" s="102" t="s">
        <v>81</v>
      </c>
      <c r="AM3" s="102" t="s">
        <v>82</v>
      </c>
      <c r="AN3" s="102" t="s">
        <v>83</v>
      </c>
      <c r="AO3" s="102" t="s">
        <v>84</v>
      </c>
      <c r="AP3" s="102" t="s">
        <v>85</v>
      </c>
      <c r="AQ3" s="102" t="s">
        <v>86</v>
      </c>
      <c r="AR3" s="103" t="s">
        <v>159</v>
      </c>
      <c r="AS3" s="79" t="s">
        <v>88</v>
      </c>
      <c r="AT3" s="79" t="s">
        <v>86</v>
      </c>
      <c r="AU3" s="80" t="s">
        <v>89</v>
      </c>
      <c r="AV3" s="80" t="s">
        <v>90</v>
      </c>
      <c r="AW3" s="80" t="s">
        <v>91</v>
      </c>
      <c r="AX3" s="80" t="s">
        <v>92</v>
      </c>
      <c r="AY3" s="80" t="s">
        <v>93</v>
      </c>
      <c r="AZ3" s="80" t="s">
        <v>94</v>
      </c>
      <c r="BA3" s="80" t="s">
        <v>95</v>
      </c>
      <c r="BB3" s="80" t="s">
        <v>96</v>
      </c>
      <c r="BC3" s="81" t="s">
        <v>97</v>
      </c>
      <c r="BD3" s="81" t="s">
        <v>98</v>
      </c>
      <c r="BE3" s="81" t="s">
        <v>99</v>
      </c>
      <c r="BF3" s="80" t="s">
        <v>100</v>
      </c>
      <c r="BG3" s="80" t="s">
        <v>101</v>
      </c>
      <c r="BH3" s="80" t="s">
        <v>102</v>
      </c>
      <c r="BI3" s="80" t="s">
        <v>103</v>
      </c>
      <c r="BJ3" s="80" t="s">
        <v>104</v>
      </c>
      <c r="BK3" s="80" t="s">
        <v>105</v>
      </c>
      <c r="BL3" s="80" t="s">
        <v>106</v>
      </c>
      <c r="BM3" s="80" t="s">
        <v>107</v>
      </c>
      <c r="BN3" s="80" t="s">
        <v>108</v>
      </c>
      <c r="BO3" s="80" t="s">
        <v>94</v>
      </c>
      <c r="BP3" s="80" t="s">
        <v>109</v>
      </c>
      <c r="BQ3" s="80" t="s">
        <v>63</v>
      </c>
    </row>
    <row r="4" spans="1:69" ht="15.75" thickBot="1">
      <c r="A4" s="82">
        <v>1</v>
      </c>
      <c r="B4" s="82" t="s">
        <v>110</v>
      </c>
      <c r="C4" s="82" t="s">
        <v>110</v>
      </c>
      <c r="D4" s="82" t="s">
        <v>12</v>
      </c>
      <c r="E4" s="82" t="s">
        <v>12</v>
      </c>
      <c r="F4" s="83">
        <v>5</v>
      </c>
      <c r="G4" s="108" t="s">
        <v>183</v>
      </c>
      <c r="H4" s="83">
        <f>F4*G4</f>
        <v>250</v>
      </c>
      <c r="I4" s="108" t="s">
        <v>164</v>
      </c>
      <c r="J4" s="83">
        <v>8</v>
      </c>
      <c r="K4" s="83">
        <v>5</v>
      </c>
      <c r="L4" s="83">
        <f>IF(OR(I4=0,I4="0"),0,H4)</f>
        <v>250</v>
      </c>
      <c r="M4" s="83">
        <f>ROUND(L4*I4%,3)</f>
        <v>12.5</v>
      </c>
      <c r="N4" s="83">
        <f>H4-M4</f>
        <v>237.5</v>
      </c>
      <c r="O4" s="83">
        <f>ROUND(N4*J4%,3)</f>
        <v>19</v>
      </c>
      <c r="P4" s="83">
        <f>ROUND(N4-O4,2)</f>
        <v>218.5</v>
      </c>
      <c r="Q4" s="83">
        <f>ROUND(P4*K4%,2)</f>
        <v>10.93</v>
      </c>
      <c r="R4" s="105">
        <f>ROUND(M4+O4+Q4,3)</f>
        <v>42.43</v>
      </c>
      <c r="S4" s="105">
        <f>(H4-R4)</f>
        <v>207.57</v>
      </c>
      <c r="T4" s="83">
        <v>88363222</v>
      </c>
      <c r="U4" s="83">
        <v>18</v>
      </c>
      <c r="V4" s="83">
        <f>IF(OR($C$2=1,$C$2=4),ROUND((((S4*U4)/100)/2),2),0)</f>
        <v>18.68</v>
      </c>
      <c r="W4" s="83">
        <f>IF($C$2=1,ROUND((((S4*U4)/100)/2),2),0)</f>
        <v>18.68</v>
      </c>
      <c r="X4" s="83">
        <f>IF($C$2=2,ROUND(((S4*U4)/100),2),0)</f>
        <v>0</v>
      </c>
      <c r="Y4" s="83">
        <f>IF($C$2=4,ROUND((((S4*U4)/100)/2),2),0)</f>
        <v>0</v>
      </c>
      <c r="Z4" s="83">
        <v>0</v>
      </c>
      <c r="AA4" s="83">
        <f>IF($C2=3,0,(S4*Z4)/100)</f>
        <v>0</v>
      </c>
      <c r="AB4" s="83">
        <f>V4+W4+X4+Y4+AA4</f>
        <v>37.36</v>
      </c>
      <c r="AC4" s="104">
        <f>IF($V2=1,S4+AB4,S4)</f>
        <v>244.93</v>
      </c>
      <c r="AD4" s="105">
        <v>120</v>
      </c>
      <c r="AE4" s="105">
        <f>IF($P$2=1,(S4/$S$5)*$E$16,AD4/$AD$5*$E$16)</f>
        <v>0</v>
      </c>
      <c r="AF4" s="105"/>
      <c r="AG4" s="105">
        <f>IF($P$2=1,(S4/$S$5)*$E$18,AD4/$AD$5*$E$18)</f>
        <v>0</v>
      </c>
      <c r="AH4" s="105">
        <f>IF($P$2=1,(S4/$S$5)*$E$19,AD4/$AD$5*$E$19)</f>
        <v>0</v>
      </c>
      <c r="AI4" s="105">
        <f>S4*$M2</f>
        <v>207.57</v>
      </c>
      <c r="AJ4" s="105">
        <f>IF($C$2=3,0,AG4+AH4)</f>
        <v>0</v>
      </c>
      <c r="AK4" s="105">
        <f>IF($C$2=3,AE4+AG4+AH4,0)</f>
        <v>0</v>
      </c>
      <c r="AL4" s="106">
        <v>1</v>
      </c>
      <c r="AM4" s="105">
        <f>F4/AL4</f>
        <v>5</v>
      </c>
      <c r="AN4" s="105">
        <f>ROUND(AI4/AM4,5)</f>
        <v>41.514000000000003</v>
      </c>
      <c r="AO4" s="105">
        <f>AJ4/AM4</f>
        <v>0</v>
      </c>
      <c r="AP4" s="105">
        <f>AK4/AM4</f>
        <v>0</v>
      </c>
      <c r="AQ4" s="105" t="s">
        <v>12</v>
      </c>
      <c r="AR4" s="105">
        <f>ROUND(AN4+AO4+AP4,5)</f>
        <v>41.514000000000003</v>
      </c>
      <c r="AS4" s="107" t="s">
        <v>160</v>
      </c>
      <c r="AT4" s="84" t="s">
        <v>12</v>
      </c>
      <c r="AU4" s="108" t="s">
        <v>186</v>
      </c>
      <c r="AV4" s="108" t="s">
        <v>185</v>
      </c>
      <c r="AW4" s="84">
        <f>AM4</f>
        <v>5</v>
      </c>
      <c r="AX4" s="120">
        <f>AR4</f>
        <v>41.514000000000003</v>
      </c>
      <c r="AY4" s="84">
        <f>AU4+AW4</f>
        <v>15</v>
      </c>
      <c r="AZ4" s="121">
        <f>ROUND(((AU4*AV4)+(AW4*AX4))/(AU4+AW4),3)</f>
        <v>41.515000000000001</v>
      </c>
      <c r="BA4" s="85"/>
      <c r="BB4" s="85" t="s">
        <v>117</v>
      </c>
      <c r="BC4" s="109" t="s">
        <v>118</v>
      </c>
      <c r="BD4" s="87" t="s">
        <v>119</v>
      </c>
      <c r="BE4" s="87" t="s">
        <v>120</v>
      </c>
      <c r="BF4" s="85"/>
      <c r="BG4" s="85"/>
      <c r="BH4" s="85"/>
      <c r="BI4" s="84"/>
      <c r="BJ4" s="84"/>
      <c r="BK4" s="84"/>
      <c r="BL4" s="110" t="s">
        <v>163</v>
      </c>
      <c r="BM4" s="108" t="s">
        <v>185</v>
      </c>
      <c r="BN4" s="108" t="s">
        <v>164</v>
      </c>
      <c r="BO4" s="84">
        <f>ROUND((((AW4*AZ4)+(BN4*BM4))/(AW4+BN4)),5)</f>
        <v>41.515000000000001</v>
      </c>
      <c r="BP4" s="88">
        <f>ROUND(BN4+AW4,3)</f>
        <v>10</v>
      </c>
      <c r="BQ4" s="89">
        <v>123562</v>
      </c>
    </row>
    <row r="5" spans="1:69" ht="15.75" thickBot="1">
      <c r="A5" s="64"/>
      <c r="B5" s="90"/>
      <c r="C5" s="90"/>
      <c r="D5" s="91" t="s">
        <v>41</v>
      </c>
      <c r="E5" s="91"/>
      <c r="F5" s="91"/>
      <c r="G5" s="92"/>
      <c r="H5" s="93">
        <f>SUM(H4:H4)</f>
        <v>250</v>
      </c>
      <c r="I5" s="82"/>
      <c r="J5" s="82"/>
      <c r="K5" s="82"/>
      <c r="L5" s="82"/>
      <c r="M5" s="82"/>
      <c r="N5" s="82"/>
      <c r="O5" s="82"/>
      <c r="P5" s="82"/>
      <c r="Q5" s="82"/>
      <c r="R5" s="94">
        <f t="shared" ref="R5:X5" si="0">SUM(R4:R4)</f>
        <v>42.43</v>
      </c>
      <c r="S5" s="93">
        <f t="shared" si="0"/>
        <v>207.57</v>
      </c>
      <c r="T5" s="94"/>
      <c r="U5" s="94"/>
      <c r="V5" s="95">
        <f t="shared" si="0"/>
        <v>18.68</v>
      </c>
      <c r="W5" s="95">
        <f t="shared" si="0"/>
        <v>18.68</v>
      </c>
      <c r="X5" s="95">
        <f t="shared" si="0"/>
        <v>0</v>
      </c>
      <c r="Y5" s="95"/>
      <c r="Z5" s="95"/>
      <c r="AA5" s="95"/>
      <c r="AB5" s="94">
        <f t="shared" ref="AB5:AE5" si="1">SUM(AB4:AB4)</f>
        <v>37.36</v>
      </c>
      <c r="AC5" s="96">
        <f t="shared" si="1"/>
        <v>244.93</v>
      </c>
      <c r="AD5" s="97">
        <f t="shared" si="1"/>
        <v>120</v>
      </c>
      <c r="AE5" s="97">
        <f t="shared" si="1"/>
        <v>0</v>
      </c>
      <c r="AF5" s="96"/>
      <c r="AG5" s="97">
        <f t="shared" ref="AG5:AK5" si="2">SUM(AG4:AG4)</f>
        <v>0</v>
      </c>
      <c r="AH5" s="97">
        <f>IF($P$2=1,(S5/$S$5)*$E$19,AD5/$AD$5*$E$19)</f>
        <v>0</v>
      </c>
      <c r="AI5" s="97">
        <f t="shared" si="2"/>
        <v>207.57</v>
      </c>
      <c r="AJ5" s="97">
        <f t="shared" si="2"/>
        <v>0</v>
      </c>
      <c r="AK5" s="97">
        <f t="shared" si="2"/>
        <v>0</v>
      </c>
      <c r="AL5" s="96"/>
      <c r="AM5" s="96"/>
      <c r="AN5" s="96"/>
      <c r="AO5" s="96"/>
      <c r="AP5" s="96"/>
      <c r="AQ5" s="96"/>
      <c r="AR5" s="96"/>
      <c r="AS5" s="64"/>
      <c r="AT5" s="64"/>
      <c r="AU5" s="65"/>
      <c r="AV5" s="65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5"/>
      <c r="BQ5" s="65"/>
    </row>
    <row r="6" spans="1:69" ht="15.75" thickBot="1">
      <c r="A6" s="64"/>
      <c r="B6" s="64"/>
      <c r="C6" s="64"/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  <c r="AA6" s="64"/>
      <c r="AB6" s="64"/>
      <c r="AC6" s="64"/>
      <c r="AD6" s="64"/>
      <c r="AE6" s="64"/>
      <c r="AF6" s="64"/>
      <c r="AG6" s="64"/>
      <c r="AH6" s="64"/>
      <c r="AI6" s="64"/>
      <c r="AJ6" s="64"/>
      <c r="AK6" s="64"/>
      <c r="AL6" s="64"/>
      <c r="AM6" s="64"/>
      <c r="AN6" s="64"/>
      <c r="AO6" s="64"/>
      <c r="AP6" s="64"/>
      <c r="AQ6" s="64"/>
      <c r="AR6" s="64"/>
      <c r="AS6" s="64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5"/>
      <c r="BQ6" s="65"/>
    </row>
    <row r="7" spans="1:69" ht="15.75" thickBot="1">
      <c r="A7" s="64"/>
      <c r="B7" s="64"/>
      <c r="C7" s="64"/>
      <c r="D7" s="64"/>
      <c r="E7" s="64"/>
      <c r="F7" s="64"/>
      <c r="G7" s="111" t="s">
        <v>165</v>
      </c>
      <c r="H7" s="112"/>
      <c r="I7" s="113">
        <f>H5</f>
        <v>250</v>
      </c>
      <c r="J7" s="113"/>
      <c r="K7" s="64"/>
      <c r="L7" s="64"/>
      <c r="M7" s="114" t="s">
        <v>166</v>
      </c>
      <c r="N7" s="115"/>
      <c r="O7" s="115"/>
      <c r="P7" s="116"/>
      <c r="Q7" s="64"/>
      <c r="R7" s="64"/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/>
      <c r="AF7" s="64"/>
      <c r="AG7" s="64"/>
      <c r="AH7" s="64"/>
      <c r="AI7" s="64"/>
      <c r="AJ7" s="64"/>
      <c r="AK7" s="64"/>
      <c r="AL7" s="64"/>
      <c r="AM7" s="64"/>
      <c r="AN7" s="64"/>
      <c r="AO7" s="64"/>
      <c r="AP7" s="64"/>
      <c r="AQ7" s="64"/>
      <c r="AR7" s="64"/>
      <c r="AS7" s="64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 t="s">
        <v>167</v>
      </c>
      <c r="BI7" s="117" t="s">
        <v>168</v>
      </c>
      <c r="BJ7" s="64"/>
      <c r="BK7" s="64"/>
      <c r="BL7" s="64"/>
      <c r="BM7" s="64"/>
      <c r="BN7" s="64"/>
      <c r="BO7" s="64"/>
      <c r="BP7" s="65"/>
      <c r="BQ7" s="65"/>
    </row>
    <row r="8" spans="1:69" ht="15.75" thickBot="1">
      <c r="A8" s="64"/>
      <c r="B8" s="64"/>
      <c r="C8" s="64"/>
      <c r="D8" s="64"/>
      <c r="E8" s="64"/>
      <c r="F8" s="64"/>
      <c r="G8" s="111" t="s">
        <v>169</v>
      </c>
      <c r="H8" s="112"/>
      <c r="I8" s="113">
        <f>R5</f>
        <v>42.43</v>
      </c>
      <c r="J8" s="113"/>
      <c r="K8" s="64"/>
      <c r="L8" s="64"/>
      <c r="M8" s="118">
        <v>1</v>
      </c>
      <c r="N8" s="118" t="s">
        <v>12</v>
      </c>
      <c r="O8" s="118">
        <v>2</v>
      </c>
      <c r="P8" s="118" t="s">
        <v>129</v>
      </c>
      <c r="Q8" s="64"/>
      <c r="R8" s="64"/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  <c r="AG8" s="64"/>
      <c r="AH8" s="64"/>
      <c r="AI8" s="64"/>
      <c r="AJ8" s="64"/>
      <c r="AK8" s="64"/>
      <c r="AL8" s="64"/>
      <c r="AM8" s="64"/>
      <c r="AN8" s="64"/>
      <c r="AO8" s="64"/>
      <c r="AP8" s="64"/>
      <c r="AQ8" s="64"/>
      <c r="AR8" s="64"/>
      <c r="AS8" s="64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 t="s">
        <v>170</v>
      </c>
      <c r="BI8" s="117" t="s">
        <v>171</v>
      </c>
      <c r="BJ8" s="64"/>
      <c r="BK8" s="64"/>
      <c r="BL8" s="64"/>
      <c r="BM8" s="64"/>
      <c r="BN8" s="64"/>
      <c r="BO8" s="64"/>
      <c r="BP8" s="65"/>
      <c r="BQ8" s="65"/>
    </row>
    <row r="9" spans="1:69" ht="15.75" thickBot="1">
      <c r="A9" s="64"/>
      <c r="B9" s="64"/>
      <c r="C9" s="64"/>
      <c r="D9" s="64"/>
      <c r="E9" s="64"/>
      <c r="F9" s="64"/>
      <c r="G9" s="111" t="s">
        <v>172</v>
      </c>
      <c r="H9" s="112"/>
      <c r="I9" s="113">
        <f>S5</f>
        <v>207.57</v>
      </c>
      <c r="J9" s="113"/>
      <c r="K9" s="64"/>
      <c r="L9" s="64"/>
      <c r="M9" s="82">
        <v>1</v>
      </c>
      <c r="N9" s="82" t="s">
        <v>12</v>
      </c>
      <c r="O9" s="82">
        <v>2.5</v>
      </c>
      <c r="P9" s="82" t="s">
        <v>173</v>
      </c>
      <c r="Q9" s="64"/>
      <c r="R9" s="64"/>
      <c r="S9" s="64"/>
      <c r="T9" s="64"/>
      <c r="U9" s="64"/>
      <c r="V9" s="64"/>
      <c r="W9" s="64"/>
      <c r="X9" s="64"/>
      <c r="Y9" s="64"/>
      <c r="Z9" s="64"/>
      <c r="AA9" s="64"/>
      <c r="AB9" s="64"/>
      <c r="AC9" s="64"/>
      <c r="AD9" s="64"/>
      <c r="AE9" s="64"/>
      <c r="AF9" s="64"/>
      <c r="AG9" s="64"/>
      <c r="AH9" s="64"/>
      <c r="AI9" s="64"/>
      <c r="AJ9" s="64"/>
      <c r="AK9" s="64"/>
      <c r="AL9" s="64"/>
      <c r="AM9" s="64"/>
      <c r="AN9" s="64"/>
      <c r="AO9" s="64"/>
      <c r="AP9" s="64"/>
      <c r="AQ9" s="64"/>
      <c r="AR9" s="64"/>
      <c r="AS9" s="64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5"/>
      <c r="BQ9" s="65"/>
    </row>
    <row r="10" spans="1:69" ht="15.75" thickBot="1">
      <c r="A10" s="64"/>
      <c r="B10" s="64"/>
      <c r="C10" s="64"/>
      <c r="D10" s="64"/>
      <c r="E10" s="64"/>
      <c r="F10" s="64"/>
      <c r="G10" s="111" t="s">
        <v>174</v>
      </c>
      <c r="H10" s="112"/>
      <c r="I10" s="113">
        <f>AB5</f>
        <v>37.36</v>
      </c>
      <c r="J10" s="113"/>
      <c r="K10" s="64"/>
      <c r="L10" s="64"/>
      <c r="M10" s="82">
        <v>1</v>
      </c>
      <c r="N10" s="82" t="s">
        <v>129</v>
      </c>
      <c r="O10" s="82">
        <v>1E-3</v>
      </c>
      <c r="P10" s="82" t="s">
        <v>175</v>
      </c>
      <c r="Q10" s="64"/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64"/>
      <c r="AE10" s="64"/>
      <c r="AF10" s="64"/>
      <c r="AG10" s="64"/>
      <c r="AH10" s="64"/>
      <c r="AI10" s="64"/>
      <c r="AJ10" s="64"/>
      <c r="AK10" s="64"/>
      <c r="AL10" s="64"/>
      <c r="AM10" s="64"/>
      <c r="AN10" s="64"/>
      <c r="AO10" s="64"/>
      <c r="AP10" s="64"/>
      <c r="AQ10" s="64"/>
      <c r="AR10" s="64"/>
      <c r="AS10" s="64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5"/>
      <c r="BQ10" s="65"/>
    </row>
    <row r="11" spans="1:69" ht="15.75" thickBot="1">
      <c r="A11" s="64"/>
      <c r="B11" s="64"/>
      <c r="C11" s="64"/>
      <c r="D11" s="64"/>
      <c r="E11" s="64"/>
      <c r="F11" s="64"/>
      <c r="G11" s="111" t="s">
        <v>176</v>
      </c>
      <c r="H11" s="112"/>
      <c r="I11" s="119">
        <f>I9+I10</f>
        <v>244.93</v>
      </c>
      <c r="J11" s="119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64"/>
      <c r="AE11" s="64"/>
      <c r="AF11" s="64"/>
      <c r="AG11" s="64"/>
      <c r="AH11" s="64"/>
      <c r="AI11" s="64"/>
      <c r="AJ11" s="64"/>
      <c r="AK11" s="64"/>
      <c r="AL11" s="64"/>
      <c r="AM11" s="64"/>
      <c r="AN11" s="64"/>
      <c r="AO11" s="64"/>
      <c r="AP11" s="64"/>
      <c r="AQ11" s="64"/>
      <c r="AR11" s="64"/>
      <c r="AS11" s="64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5"/>
      <c r="BQ11" s="65"/>
    </row>
    <row r="12" spans="1:69">
      <c r="A12" s="64"/>
      <c r="B12" s="64"/>
      <c r="C12" s="64"/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64"/>
      <c r="AE12" s="64"/>
      <c r="AF12" s="64"/>
      <c r="AG12" s="64"/>
      <c r="AH12" s="64"/>
      <c r="AI12" s="64"/>
      <c r="AJ12" s="64"/>
      <c r="AK12" s="64"/>
      <c r="AL12" s="64"/>
      <c r="AM12" s="64"/>
      <c r="AN12" s="64"/>
      <c r="AO12" s="64"/>
      <c r="AP12" s="64"/>
      <c r="AQ12" s="64"/>
      <c r="AR12" s="64"/>
      <c r="AS12" s="64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 t="s">
        <v>177</v>
      </c>
      <c r="BN12" s="64" t="s">
        <v>178</v>
      </c>
      <c r="BO12" s="64"/>
      <c r="BP12" s="65"/>
      <c r="BQ12" s="65"/>
    </row>
    <row r="13" spans="1:69">
      <c r="A13" s="64"/>
      <c r="B13" s="64"/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4"/>
      <c r="AJ13" s="64"/>
      <c r="AK13" s="64"/>
      <c r="AL13" s="64"/>
      <c r="AM13" s="64"/>
      <c r="AN13" s="64"/>
      <c r="AO13" s="64"/>
      <c r="AP13" s="64"/>
      <c r="AQ13" s="64"/>
      <c r="AR13" s="64"/>
      <c r="AS13" s="64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 t="s">
        <v>179</v>
      </c>
      <c r="BL13" s="64">
        <v>12.5</v>
      </c>
      <c r="BM13" s="64">
        <f>BL15*BL16</f>
        <v>18277.77</v>
      </c>
      <c r="BN13" s="64">
        <f>BL13*BL14</f>
        <v>6092.59</v>
      </c>
      <c r="BO13" s="64"/>
      <c r="BP13" s="65"/>
      <c r="BQ13" s="65"/>
    </row>
    <row r="14" spans="1:69">
      <c r="A14" s="64"/>
      <c r="B14" s="64"/>
      <c r="C14" s="64"/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4"/>
      <c r="AJ14" s="64"/>
      <c r="AK14" s="64"/>
      <c r="AL14" s="64"/>
      <c r="AM14" s="64"/>
      <c r="AN14" s="64"/>
      <c r="AO14" s="64"/>
      <c r="AP14" s="64"/>
      <c r="AQ14" s="64"/>
      <c r="AR14" s="64"/>
      <c r="AS14" s="64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 t="s">
        <v>180</v>
      </c>
      <c r="BL14" s="64">
        <v>487.40719999999999</v>
      </c>
      <c r="BM14" s="64">
        <f>BL13+BL15</f>
        <v>50</v>
      </c>
      <c r="BN14" s="64"/>
      <c r="BO14" s="64"/>
      <c r="BP14" s="65"/>
      <c r="BQ14" s="65"/>
    </row>
    <row r="15" spans="1:69">
      <c r="A15" s="64"/>
      <c r="B15" s="64"/>
      <c r="C15" s="64"/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4"/>
      <c r="AA15" s="64"/>
      <c r="AB15" s="64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4"/>
      <c r="AN15" s="64"/>
      <c r="AO15" s="64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 t="s">
        <v>181</v>
      </c>
      <c r="BL15" s="64">
        <v>37.5</v>
      </c>
      <c r="BM15" s="64"/>
      <c r="BN15" s="64"/>
      <c r="BO15" s="64"/>
      <c r="BP15" s="65"/>
      <c r="BQ15" s="65"/>
    </row>
    <row r="16" spans="1:69">
      <c r="A16" s="64"/>
      <c r="B16" s="64"/>
      <c r="C16" s="64"/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64"/>
      <c r="X16" s="64"/>
      <c r="Y16" s="64"/>
      <c r="Z16" s="64"/>
      <c r="AA16" s="64"/>
      <c r="AB16" s="64"/>
      <c r="AC16" s="64"/>
      <c r="AD16" s="64"/>
      <c r="AE16" s="64"/>
      <c r="AF16" s="64"/>
      <c r="AG16" s="64"/>
      <c r="AH16" s="64"/>
      <c r="AI16" s="64"/>
      <c r="AJ16" s="64"/>
      <c r="AK16" s="64"/>
      <c r="AL16" s="64"/>
      <c r="AM16" s="64"/>
      <c r="AN16" s="64"/>
      <c r="AO16" s="64"/>
      <c r="AP16" s="64"/>
      <c r="AQ16" s="64"/>
      <c r="AR16" s="64"/>
      <c r="AS16" s="64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 t="s">
        <v>182</v>
      </c>
      <c r="BL16" s="64">
        <v>487.40719999999999</v>
      </c>
      <c r="BM16" s="64"/>
      <c r="BN16" s="64"/>
      <c r="BO16" s="64"/>
      <c r="BP16" s="65"/>
      <c r="BQ16" s="65"/>
    </row>
    <row r="17" spans="1:69">
      <c r="A17" s="64"/>
      <c r="B17" s="64"/>
      <c r="C17" s="64"/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  <c r="AA17" s="64"/>
      <c r="AB17" s="64"/>
      <c r="AC17" s="64"/>
      <c r="AD17" s="64"/>
      <c r="AE17" s="64"/>
      <c r="AF17" s="64"/>
      <c r="AG17" s="64"/>
      <c r="AH17" s="64"/>
      <c r="AI17" s="64"/>
      <c r="AJ17" s="64"/>
      <c r="AK17" s="64"/>
      <c r="AL17" s="64"/>
      <c r="AM17" s="64"/>
      <c r="AN17" s="64"/>
      <c r="AO17" s="64"/>
      <c r="AP17" s="64"/>
      <c r="AQ17" s="64"/>
      <c r="AR17" s="64"/>
      <c r="AS17" s="64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>
        <f>BM13+BN13</f>
        <v>24370.36</v>
      </c>
      <c r="BN17" s="64">
        <f>BM17/BM14</f>
        <v>487.40719999999999</v>
      </c>
      <c r="BO17" s="64"/>
      <c r="BP17" s="65"/>
      <c r="BQ17" s="65"/>
    </row>
    <row r="18" spans="1:69">
      <c r="A18" s="64"/>
      <c r="B18" s="64"/>
      <c r="C18" s="64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  <c r="AA18" s="64"/>
      <c r="AB18" s="64"/>
      <c r="AC18" s="64"/>
      <c r="AD18" s="64"/>
      <c r="AE18" s="64"/>
      <c r="AF18" s="64"/>
      <c r="AG18" s="64"/>
      <c r="AH18" s="64"/>
      <c r="AI18" s="64"/>
      <c r="AJ18" s="64"/>
      <c r="AK18" s="64"/>
      <c r="AL18" s="64"/>
      <c r="AM18" s="64"/>
      <c r="AN18" s="64"/>
      <c r="AO18" s="64"/>
      <c r="AP18" s="64"/>
      <c r="AQ18" s="64"/>
      <c r="AR18" s="64"/>
      <c r="AS18" s="64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5"/>
      <c r="BQ18" s="65"/>
    </row>
  </sheetData>
  <mergeCells count="12">
    <mergeCell ref="G9:H9"/>
    <mergeCell ref="I9:J9"/>
    <mergeCell ref="G10:H10"/>
    <mergeCell ref="I10:J10"/>
    <mergeCell ref="G11:H11"/>
    <mergeCell ref="I11:J11"/>
    <mergeCell ref="A2:B2"/>
    <mergeCell ref="G7:H7"/>
    <mergeCell ref="I7:J7"/>
    <mergeCell ref="M7:P7"/>
    <mergeCell ref="G8:H8"/>
    <mergeCell ref="I8:J8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A12" workbookViewId="0">
      <selection activeCell="J31" sqref="J31"/>
    </sheetView>
  </sheetViews>
  <sheetFormatPr defaultColWidth="8.7109375" defaultRowHeight="15"/>
  <cols>
    <col min="8" max="8" width="9.42578125" bestFit="1" customWidth="1"/>
  </cols>
  <sheetData>
    <row r="1" spans="1:69" ht="18.7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spans="1:69" ht="19.5" thickBo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spans="1:69" ht="15.75" thickTop="1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65.319999999999993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2507.6800000000003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>F17*G17</f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</row>
    <row r="18" spans="1:69" ht="15.75" thickBot="1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</row>
    <row r="19" spans="1:69" ht="15.75" thickTop="1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71856.759999999995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 ht="15.75" thickBot="1">
      <c r="A21" s="28" t="s">
        <v>43</v>
      </c>
      <c r="B21" s="28"/>
      <c r="C21" s="9">
        <v>3</v>
      </c>
      <c r="D21" s="29" t="s">
        <v>44</v>
      </c>
      <c r="E21" s="27"/>
      <c r="F21" s="27"/>
      <c r="G21" s="27"/>
      <c r="H21" s="26"/>
      <c r="I21" s="25" t="s">
        <v>45</v>
      </c>
      <c r="J21" s="25" t="s">
        <v>46</v>
      </c>
      <c r="K21" s="25"/>
      <c r="L21" s="25" t="s">
        <v>47</v>
      </c>
      <c r="M21" s="25">
        <v>1</v>
      </c>
      <c r="N21" s="25"/>
      <c r="O21" s="25" t="s">
        <v>48</v>
      </c>
      <c r="P21" s="25">
        <v>1</v>
      </c>
      <c r="Q21" s="25" t="s">
        <v>49</v>
      </c>
      <c r="R21" s="26"/>
      <c r="S21" s="26"/>
      <c r="T21" s="26"/>
      <c r="U21" s="26"/>
      <c r="V21" s="26">
        <v>1</v>
      </c>
      <c r="W21" s="26" t="s">
        <v>50</v>
      </c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3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</row>
    <row r="22" spans="1:69" ht="61.5" thickTop="1" thickBot="1">
      <c r="A22" s="30" t="s">
        <v>2</v>
      </c>
      <c r="B22" s="30" t="s">
        <v>3</v>
      </c>
      <c r="C22" s="31" t="s">
        <v>4</v>
      </c>
      <c r="D22" s="30" t="s">
        <v>5</v>
      </c>
      <c r="E22" s="30" t="s">
        <v>6</v>
      </c>
      <c r="F22" s="32" t="s">
        <v>51</v>
      </c>
      <c r="G22" s="30" t="s">
        <v>8</v>
      </c>
      <c r="H22" s="30" t="s">
        <v>9</v>
      </c>
      <c r="I22" s="33" t="s">
        <v>52</v>
      </c>
      <c r="J22" s="33" t="s">
        <v>53</v>
      </c>
      <c r="K22" s="33" t="s">
        <v>54</v>
      </c>
      <c r="L22" s="34" t="s">
        <v>55</v>
      </c>
      <c r="M22" s="34" t="s">
        <v>56</v>
      </c>
      <c r="N22" s="34" t="s">
        <v>57</v>
      </c>
      <c r="O22" s="34" t="s">
        <v>58</v>
      </c>
      <c r="P22" s="34" t="s">
        <v>59</v>
      </c>
      <c r="Q22" s="34" t="s">
        <v>60</v>
      </c>
      <c r="R22" s="33" t="s">
        <v>61</v>
      </c>
      <c r="S22" s="30" t="s">
        <v>62</v>
      </c>
      <c r="T22" s="30" t="s">
        <v>63</v>
      </c>
      <c r="U22" s="35" t="s">
        <v>64</v>
      </c>
      <c r="V22" s="35" t="s">
        <v>65</v>
      </c>
      <c r="W22" s="35" t="s">
        <v>66</v>
      </c>
      <c r="X22" s="35" t="s">
        <v>67</v>
      </c>
      <c r="Y22" s="35" t="s">
        <v>68</v>
      </c>
      <c r="Z22" s="35" t="s">
        <v>69</v>
      </c>
      <c r="AA22" s="35" t="s">
        <v>70</v>
      </c>
      <c r="AB22" s="35" t="s">
        <v>71</v>
      </c>
      <c r="AC22" s="36" t="s">
        <v>72</v>
      </c>
      <c r="AD22" s="36" t="s">
        <v>73</v>
      </c>
      <c r="AE22" s="37" t="s">
        <v>74</v>
      </c>
      <c r="AF22" s="37" t="s">
        <v>75</v>
      </c>
      <c r="AG22" s="37" t="s">
        <v>76</v>
      </c>
      <c r="AH22" s="36" t="s">
        <v>77</v>
      </c>
      <c r="AI22" s="36" t="s">
        <v>78</v>
      </c>
      <c r="AJ22" s="37" t="s">
        <v>79</v>
      </c>
      <c r="AK22" s="37" t="s">
        <v>80</v>
      </c>
      <c r="AL22" s="36" t="s">
        <v>81</v>
      </c>
      <c r="AM22" s="36" t="s">
        <v>82</v>
      </c>
      <c r="AN22" s="37" t="s">
        <v>83</v>
      </c>
      <c r="AO22" s="37" t="s">
        <v>84</v>
      </c>
      <c r="AP22" s="37" t="s">
        <v>85</v>
      </c>
      <c r="AQ22" s="36" t="s">
        <v>86</v>
      </c>
      <c r="AR22" s="38" t="s">
        <v>87</v>
      </c>
      <c r="AS22" s="6" t="s">
        <v>88</v>
      </c>
      <c r="AT22" s="6" t="s">
        <v>86</v>
      </c>
      <c r="AU22" s="39" t="s">
        <v>89</v>
      </c>
      <c r="AV22" s="39" t="s">
        <v>90</v>
      </c>
      <c r="AW22" s="39" t="s">
        <v>91</v>
      </c>
      <c r="AX22" s="39" t="s">
        <v>92</v>
      </c>
      <c r="AY22" s="39" t="s">
        <v>93</v>
      </c>
      <c r="AZ22" s="39" t="s">
        <v>94</v>
      </c>
      <c r="BA22" s="39" t="s">
        <v>95</v>
      </c>
      <c r="BB22" s="39" t="s">
        <v>96</v>
      </c>
      <c r="BC22" s="40" t="s">
        <v>97</v>
      </c>
      <c r="BD22" s="40" t="s">
        <v>98</v>
      </c>
      <c r="BE22" s="40" t="s">
        <v>99</v>
      </c>
      <c r="BF22" s="39" t="s">
        <v>100</v>
      </c>
      <c r="BG22" s="39" t="s">
        <v>101</v>
      </c>
      <c r="BH22" s="39" t="s">
        <v>102</v>
      </c>
      <c r="BI22" s="39" t="s">
        <v>103</v>
      </c>
      <c r="BJ22" s="39" t="s">
        <v>104</v>
      </c>
      <c r="BK22" s="39" t="s">
        <v>105</v>
      </c>
      <c r="BL22" s="39" t="s">
        <v>106</v>
      </c>
      <c r="BM22" s="39" t="s">
        <v>107</v>
      </c>
      <c r="BN22" s="39" t="s">
        <v>108</v>
      </c>
      <c r="BO22" s="39" t="s">
        <v>94</v>
      </c>
      <c r="BP22" s="39" t="s">
        <v>109</v>
      </c>
      <c r="BQ22" s="39" t="s">
        <v>63</v>
      </c>
    </row>
    <row r="23" spans="1:69" ht="15.75" thickBot="1">
      <c r="A23" s="41">
        <v>1</v>
      </c>
      <c r="B23" s="41" t="s">
        <v>124</v>
      </c>
      <c r="C23" s="41" t="s">
        <v>124</v>
      </c>
      <c r="D23" s="41" t="s">
        <v>12</v>
      </c>
      <c r="E23" s="41" t="s">
        <v>12</v>
      </c>
      <c r="F23" s="42">
        <v>2</v>
      </c>
      <c r="G23" s="4" t="s">
        <v>125</v>
      </c>
      <c r="H23" s="42">
        <f>F23*G23</f>
        <v>500</v>
      </c>
      <c r="I23" s="4" t="s">
        <v>112</v>
      </c>
      <c r="J23" s="42">
        <v>2</v>
      </c>
      <c r="K23" s="42">
        <v>2</v>
      </c>
      <c r="L23" s="42">
        <f>H23</f>
        <v>500</v>
      </c>
      <c r="M23" s="42">
        <f>ROUND(L23*I23%,2)</f>
        <v>10</v>
      </c>
      <c r="N23" s="42">
        <f>H23-M23</f>
        <v>490</v>
      </c>
      <c r="O23" s="42">
        <f>ROUND(N23*J23%,2)</f>
        <v>9.8000000000000007</v>
      </c>
      <c r="P23" s="42">
        <f>ROUND(N23-O23,2)</f>
        <v>480.2</v>
      </c>
      <c r="Q23" s="42">
        <f>ROUND(P23*K23%,2)</f>
        <v>9.6</v>
      </c>
      <c r="R23" s="42">
        <f>M23+O23+Q23</f>
        <v>29.4</v>
      </c>
      <c r="S23" s="42">
        <f>(H23-R23)</f>
        <v>470.6</v>
      </c>
      <c r="T23" s="42" t="s">
        <v>113</v>
      </c>
      <c r="U23" s="42">
        <v>0.18</v>
      </c>
      <c r="V23" s="42">
        <f>IF(OR($C$21=1,$C$21=4),ROUND(((S23*U23)/2),2),0)</f>
        <v>0</v>
      </c>
      <c r="W23" s="42">
        <f>IF($C$21=1,ROUND(((S23*U23)/2),2),0)</f>
        <v>0</v>
      </c>
      <c r="X23" s="42">
        <f>IF($C$21=2,ROUND(((S23*U23)),2),0)</f>
        <v>0</v>
      </c>
      <c r="Y23" s="42">
        <f>IF($C$21=4,ROUND(((S23*U23)/2),2),0)</f>
        <v>0</v>
      </c>
      <c r="Z23" s="42">
        <v>0</v>
      </c>
      <c r="AA23" s="42">
        <f>IF($C21=3,0,ROUND(S23*Z23,2))</f>
        <v>0</v>
      </c>
      <c r="AB23" s="42">
        <f>V23+W23+X23+Y23+AA23</f>
        <v>0</v>
      </c>
      <c r="AC23" s="42">
        <f>IF($V21=1,S23+AB23,S23)</f>
        <v>470.6</v>
      </c>
      <c r="AD23" s="42">
        <v>120</v>
      </c>
      <c r="AE23" s="42">
        <f>IF($P$21=1,(S23/$S$24)*$E$35,AD23/$AD$24*$E$35)</f>
        <v>0</v>
      </c>
      <c r="AF23" s="42"/>
      <c r="AG23" s="42">
        <f>IF($P$21=1,(S23/$S$24)*$E$37,AD23/$AD$24*$E$37)</f>
        <v>0</v>
      </c>
      <c r="AH23" s="42">
        <f>IF($P$21=1,(S23/$S$24)*$E$37,AD23/$AD$24*$E$37)</f>
        <v>0</v>
      </c>
      <c r="AI23" s="42">
        <f>S23*$M$21</f>
        <v>470.6</v>
      </c>
      <c r="AJ23" s="42">
        <f>IF($C$21=3,0,AG23+AH23)</f>
        <v>0</v>
      </c>
      <c r="AK23" s="42">
        <f>IF($C$21=3,AE23+AG23+AH23,0)</f>
        <v>0</v>
      </c>
      <c r="AL23" s="42">
        <v>1</v>
      </c>
      <c r="AM23" s="42">
        <f>F23/AL23</f>
        <v>2</v>
      </c>
      <c r="AN23" s="42">
        <f>AI23/AM23</f>
        <v>235.3</v>
      </c>
      <c r="AO23" s="42">
        <f>AJ23/AM23</f>
        <v>0</v>
      </c>
      <c r="AP23" s="42">
        <f>AK23/AM23</f>
        <v>0</v>
      </c>
      <c r="AQ23" s="42" t="s">
        <v>12</v>
      </c>
      <c r="AR23" s="42">
        <f>AN23+AO23+AP23</f>
        <v>235.3</v>
      </c>
      <c r="AS23" s="44" t="s">
        <v>126</v>
      </c>
      <c r="AT23" s="44" t="s">
        <v>12</v>
      </c>
      <c r="AU23" s="4"/>
      <c r="AV23" s="4"/>
      <c r="AW23" s="44">
        <f>AM23</f>
        <v>2</v>
      </c>
      <c r="AX23" s="44">
        <f>AR23</f>
        <v>235.3</v>
      </c>
      <c r="AY23" s="44">
        <f>AU23+AW23</f>
        <v>2</v>
      </c>
      <c r="AZ23" s="44">
        <f>ROUND(((AU23*AV23)+(AW23*AX23))/(AU23+AW23),5)</f>
        <v>235.3</v>
      </c>
      <c r="BA23" s="45"/>
      <c r="BB23" s="45" t="s">
        <v>117</v>
      </c>
      <c r="BC23" s="46" t="s">
        <v>118</v>
      </c>
      <c r="BD23" s="47" t="s">
        <v>119</v>
      </c>
      <c r="BE23" s="47" t="s">
        <v>120</v>
      </c>
      <c r="BF23" s="45"/>
      <c r="BG23" s="45"/>
      <c r="BH23" s="45"/>
      <c r="BI23" s="44"/>
      <c r="BJ23" s="44"/>
      <c r="BK23" s="44"/>
      <c r="BL23" s="44" t="s">
        <v>121</v>
      </c>
      <c r="BM23" s="4" t="s">
        <v>127</v>
      </c>
      <c r="BN23" s="4" t="s">
        <v>127</v>
      </c>
      <c r="BO23" s="44">
        <f>ROUND((((AW23*AZ23)+(BN23*BM23))/(AW23+BN23)),5)</f>
        <v>235.3</v>
      </c>
      <c r="BP23" s="48">
        <f>BN23+AW23</f>
        <v>2</v>
      </c>
      <c r="BQ23" s="49">
        <v>88363222</v>
      </c>
    </row>
    <row r="24" spans="1:69" ht="15.75" thickBot="1">
      <c r="A24" s="3"/>
      <c r="B24" s="50"/>
      <c r="C24" s="50"/>
      <c r="D24" s="51" t="s">
        <v>41</v>
      </c>
      <c r="E24" s="51"/>
      <c r="F24" s="51"/>
      <c r="G24" s="52"/>
      <c r="H24" s="53">
        <f>SUM(H23:H23)</f>
        <v>500</v>
      </c>
      <c r="I24" s="41"/>
      <c r="J24" s="41"/>
      <c r="K24" s="41"/>
      <c r="L24" s="41"/>
      <c r="M24" s="41"/>
      <c r="N24" s="41"/>
      <c r="O24" s="41"/>
      <c r="P24" s="41"/>
      <c r="Q24" s="41"/>
      <c r="R24" s="53">
        <f t="shared" ref="R24:Y24" si="1">SUM(R23:R23)</f>
        <v>29.4</v>
      </c>
      <c r="S24" s="54">
        <f t="shared" si="1"/>
        <v>470.6</v>
      </c>
      <c r="T24" s="53"/>
      <c r="U24" s="53"/>
      <c r="V24" s="55">
        <f t="shared" si="1"/>
        <v>0</v>
      </c>
      <c r="W24" s="55">
        <f t="shared" si="1"/>
        <v>0</v>
      </c>
      <c r="X24" s="55">
        <f t="shared" si="1"/>
        <v>0</v>
      </c>
      <c r="Y24" s="55">
        <f t="shared" si="1"/>
        <v>0</v>
      </c>
      <c r="Z24" s="55"/>
      <c r="AA24" s="55">
        <f t="shared" ref="AA24:AE24" si="2">SUM(AA23:AA23)</f>
        <v>0</v>
      </c>
      <c r="AB24" s="53">
        <f t="shared" si="2"/>
        <v>0</v>
      </c>
      <c r="AC24" s="56">
        <f t="shared" si="2"/>
        <v>470.6</v>
      </c>
      <c r="AD24" s="57">
        <f t="shared" si="2"/>
        <v>120</v>
      </c>
      <c r="AE24" s="57">
        <f t="shared" si="2"/>
        <v>0</v>
      </c>
      <c r="AF24" s="56"/>
      <c r="AG24" s="57">
        <f t="shared" ref="AG24:AK24" si="3">SUM(AG23:AG23)</f>
        <v>0</v>
      </c>
      <c r="AH24" s="57">
        <f t="shared" si="3"/>
        <v>0</v>
      </c>
      <c r="AI24" s="57">
        <f t="shared" si="3"/>
        <v>470.6</v>
      </c>
      <c r="AJ24" s="57">
        <f t="shared" si="3"/>
        <v>0</v>
      </c>
      <c r="AK24" s="57">
        <f t="shared" si="3"/>
        <v>0</v>
      </c>
      <c r="AL24" s="56"/>
      <c r="AM24" s="56"/>
      <c r="AN24" s="56"/>
      <c r="AO24" s="56"/>
      <c r="AP24" s="56"/>
      <c r="AQ24" s="56"/>
      <c r="AR24" s="56"/>
      <c r="AS24" s="3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A15" workbookViewId="0">
      <selection activeCell="J31" sqref="J31"/>
    </sheetView>
  </sheetViews>
  <sheetFormatPr defaultColWidth="8.7109375" defaultRowHeight="15"/>
  <cols>
    <col min="8" max="8" width="9.42578125" bestFit="1" customWidth="1"/>
  </cols>
  <sheetData>
    <row r="1" spans="1:69" ht="18.7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spans="1:69" ht="19.5" thickBo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spans="1:69" ht="15.75" thickTop="1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65.319999999999993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2507.6800000000003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>F17*G17</f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</row>
    <row r="18" spans="1:69" ht="15.75" thickBot="1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</row>
    <row r="19" spans="1:69" ht="15.75" thickTop="1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71856.759999999995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 ht="15.75" thickBot="1">
      <c r="A21" s="28" t="s">
        <v>43</v>
      </c>
      <c r="B21" s="28"/>
      <c r="C21" s="9">
        <v>3</v>
      </c>
      <c r="D21" s="29" t="s">
        <v>44</v>
      </c>
      <c r="E21" s="27"/>
      <c r="F21" s="27"/>
      <c r="G21" s="27"/>
      <c r="H21" s="26"/>
      <c r="I21" s="25" t="s">
        <v>45</v>
      </c>
      <c r="J21" s="25" t="s">
        <v>46</v>
      </c>
      <c r="K21" s="25"/>
      <c r="L21" s="25" t="s">
        <v>47</v>
      </c>
      <c r="M21" s="25">
        <v>1</v>
      </c>
      <c r="N21" s="25"/>
      <c r="O21" s="25" t="s">
        <v>48</v>
      </c>
      <c r="P21" s="25">
        <v>1</v>
      </c>
      <c r="Q21" s="25" t="s">
        <v>49</v>
      </c>
      <c r="R21" s="26"/>
      <c r="S21" s="26"/>
      <c r="T21" s="26"/>
      <c r="U21" s="26"/>
      <c r="V21" s="26">
        <v>1</v>
      </c>
      <c r="W21" s="26" t="s">
        <v>50</v>
      </c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3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</row>
    <row r="22" spans="1:69" ht="61.5" thickTop="1" thickBot="1">
      <c r="A22" s="30" t="s">
        <v>2</v>
      </c>
      <c r="B22" s="30" t="s">
        <v>3</v>
      </c>
      <c r="C22" s="31" t="s">
        <v>4</v>
      </c>
      <c r="D22" s="30" t="s">
        <v>5</v>
      </c>
      <c r="E22" s="30" t="s">
        <v>6</v>
      </c>
      <c r="F22" s="32" t="s">
        <v>51</v>
      </c>
      <c r="G22" s="30" t="s">
        <v>8</v>
      </c>
      <c r="H22" s="30" t="s">
        <v>9</v>
      </c>
      <c r="I22" s="33" t="s">
        <v>52</v>
      </c>
      <c r="J22" s="33" t="s">
        <v>53</v>
      </c>
      <c r="K22" s="33" t="s">
        <v>54</v>
      </c>
      <c r="L22" s="34" t="s">
        <v>55</v>
      </c>
      <c r="M22" s="34" t="s">
        <v>56</v>
      </c>
      <c r="N22" s="34" t="s">
        <v>57</v>
      </c>
      <c r="O22" s="34" t="s">
        <v>58</v>
      </c>
      <c r="P22" s="34" t="s">
        <v>59</v>
      </c>
      <c r="Q22" s="34" t="s">
        <v>60</v>
      </c>
      <c r="R22" s="33" t="s">
        <v>61</v>
      </c>
      <c r="S22" s="30" t="s">
        <v>62</v>
      </c>
      <c r="T22" s="30" t="s">
        <v>63</v>
      </c>
      <c r="U22" s="35" t="s">
        <v>64</v>
      </c>
      <c r="V22" s="35" t="s">
        <v>65</v>
      </c>
      <c r="W22" s="35" t="s">
        <v>66</v>
      </c>
      <c r="X22" s="35" t="s">
        <v>67</v>
      </c>
      <c r="Y22" s="35" t="s">
        <v>68</v>
      </c>
      <c r="Z22" s="35" t="s">
        <v>69</v>
      </c>
      <c r="AA22" s="35" t="s">
        <v>70</v>
      </c>
      <c r="AB22" s="35" t="s">
        <v>71</v>
      </c>
      <c r="AC22" s="36" t="s">
        <v>72</v>
      </c>
      <c r="AD22" s="36" t="s">
        <v>73</v>
      </c>
      <c r="AE22" s="37" t="s">
        <v>74</v>
      </c>
      <c r="AF22" s="37" t="s">
        <v>75</v>
      </c>
      <c r="AG22" s="37" t="s">
        <v>76</v>
      </c>
      <c r="AH22" s="36" t="s">
        <v>77</v>
      </c>
      <c r="AI22" s="36" t="s">
        <v>78</v>
      </c>
      <c r="AJ22" s="37" t="s">
        <v>79</v>
      </c>
      <c r="AK22" s="37" t="s">
        <v>80</v>
      </c>
      <c r="AL22" s="36" t="s">
        <v>81</v>
      </c>
      <c r="AM22" s="36" t="s">
        <v>82</v>
      </c>
      <c r="AN22" s="37" t="s">
        <v>83</v>
      </c>
      <c r="AO22" s="37" t="s">
        <v>84</v>
      </c>
      <c r="AP22" s="37" t="s">
        <v>85</v>
      </c>
      <c r="AQ22" s="36" t="s">
        <v>86</v>
      </c>
      <c r="AR22" s="38" t="s">
        <v>87</v>
      </c>
      <c r="AS22" s="6" t="s">
        <v>88</v>
      </c>
      <c r="AT22" s="6" t="s">
        <v>86</v>
      </c>
      <c r="AU22" s="39" t="s">
        <v>89</v>
      </c>
      <c r="AV22" s="39" t="s">
        <v>90</v>
      </c>
      <c r="AW22" s="39" t="s">
        <v>91</v>
      </c>
      <c r="AX22" s="39" t="s">
        <v>92</v>
      </c>
      <c r="AY22" s="39" t="s">
        <v>93</v>
      </c>
      <c r="AZ22" s="39" t="s">
        <v>94</v>
      </c>
      <c r="BA22" s="39" t="s">
        <v>95</v>
      </c>
      <c r="BB22" s="39" t="s">
        <v>96</v>
      </c>
      <c r="BC22" s="40" t="s">
        <v>97</v>
      </c>
      <c r="BD22" s="40" t="s">
        <v>98</v>
      </c>
      <c r="BE22" s="40" t="s">
        <v>99</v>
      </c>
      <c r="BF22" s="39" t="s">
        <v>100</v>
      </c>
      <c r="BG22" s="39" t="s">
        <v>101</v>
      </c>
      <c r="BH22" s="39" t="s">
        <v>102</v>
      </c>
      <c r="BI22" s="39" t="s">
        <v>103</v>
      </c>
      <c r="BJ22" s="39" t="s">
        <v>104</v>
      </c>
      <c r="BK22" s="39" t="s">
        <v>105</v>
      </c>
      <c r="BL22" s="39" t="s">
        <v>106</v>
      </c>
      <c r="BM22" s="39" t="s">
        <v>107</v>
      </c>
      <c r="BN22" s="39" t="s">
        <v>108</v>
      </c>
      <c r="BO22" s="39" t="s">
        <v>94</v>
      </c>
      <c r="BP22" s="39" t="s">
        <v>109</v>
      </c>
      <c r="BQ22" s="39" t="s">
        <v>63</v>
      </c>
    </row>
    <row r="23" spans="1:69" ht="15.75" thickBot="1">
      <c r="A23" s="41">
        <v>1</v>
      </c>
      <c r="B23" s="41" t="s">
        <v>128</v>
      </c>
      <c r="C23" s="41" t="s">
        <v>128</v>
      </c>
      <c r="D23" s="41" t="s">
        <v>12</v>
      </c>
      <c r="E23" s="41" t="s">
        <v>129</v>
      </c>
      <c r="F23" s="42">
        <v>2</v>
      </c>
      <c r="G23" s="4" t="s">
        <v>125</v>
      </c>
      <c r="H23" s="42">
        <f>F23*G23</f>
        <v>500</v>
      </c>
      <c r="I23" s="4" t="s">
        <v>112</v>
      </c>
      <c r="J23" s="42">
        <v>2</v>
      </c>
      <c r="K23" s="42">
        <v>2</v>
      </c>
      <c r="L23" s="42">
        <f>H23</f>
        <v>500</v>
      </c>
      <c r="M23" s="42">
        <f>ROUND(L23*I23%,2)</f>
        <v>10</v>
      </c>
      <c r="N23" s="42">
        <f>H23-M23</f>
        <v>490</v>
      </c>
      <c r="O23" s="42">
        <f>ROUND(N23*J23%,2)</f>
        <v>9.8000000000000007</v>
      </c>
      <c r="P23" s="42">
        <f>ROUND(N23-O23,2)</f>
        <v>480.2</v>
      </c>
      <c r="Q23" s="42">
        <f>ROUND(P23*K23%,2)</f>
        <v>9.6</v>
      </c>
      <c r="R23" s="42">
        <f>M23+O23+Q23</f>
        <v>29.4</v>
      </c>
      <c r="S23" s="42">
        <f>(H23-R23)</f>
        <v>470.6</v>
      </c>
      <c r="T23" s="42" t="s">
        <v>113</v>
      </c>
      <c r="U23" s="42">
        <v>0.18</v>
      </c>
      <c r="V23" s="42">
        <f>IF(OR($C$21=1,$C$21=4),ROUND(((S23*U23)/2),2),0)</f>
        <v>0</v>
      </c>
      <c r="W23" s="42">
        <f>IF($C$21=1,ROUND(((S23*U23)/2),2),0)</f>
        <v>0</v>
      </c>
      <c r="X23" s="42">
        <f>IF($C$21=2,ROUND(((S23*U23)),2),0)</f>
        <v>0</v>
      </c>
      <c r="Y23" s="42">
        <f>IF($C$21=4,ROUND(((S23*U23)/2),2),0)</f>
        <v>0</v>
      </c>
      <c r="Z23" s="42">
        <v>0</v>
      </c>
      <c r="AA23" s="42">
        <f>IF($C21=3,0,ROUND(S23*Z23,2))</f>
        <v>0</v>
      </c>
      <c r="AB23" s="42">
        <f>V23+W23+X23+Y23+AA23</f>
        <v>0</v>
      </c>
      <c r="AC23" s="42">
        <f>IF($V21=1,S23+AB23,S23)</f>
        <v>470.6</v>
      </c>
      <c r="AD23" s="42">
        <v>120</v>
      </c>
      <c r="AE23" s="42">
        <f>IF($P$21=1,(S23/$S$24)*$E$35,AD23/$AD$24*$E$35)</f>
        <v>0</v>
      </c>
      <c r="AF23" s="42"/>
      <c r="AG23" s="42">
        <f>IF($P$21=1,(S23/$S$24)*$E$37,AD23/$AD$24*$E$37)</f>
        <v>0</v>
      </c>
      <c r="AH23" s="42">
        <f>IF($P$21=1,(S23/$S$24)*$E$37,AD23/$AD$24*$E$37)</f>
        <v>0</v>
      </c>
      <c r="AI23" s="42">
        <f>S23*$M$21</f>
        <v>470.6</v>
      </c>
      <c r="AJ23" s="42">
        <f>IF($C$21=3,0,AG23+AH23)</f>
        <v>0</v>
      </c>
      <c r="AK23" s="42">
        <f>IF($C$21=3,AE23+AG23+AH23,0)</f>
        <v>0</v>
      </c>
      <c r="AL23" s="42">
        <v>3</v>
      </c>
      <c r="AM23" s="42">
        <f>F23/AL23</f>
        <v>0.66666666666666663</v>
      </c>
      <c r="AN23" s="42">
        <f>AI23/AM23</f>
        <v>705.90000000000009</v>
      </c>
      <c r="AO23" s="42">
        <f>AJ23/AM23</f>
        <v>0</v>
      </c>
      <c r="AP23" s="42">
        <f>AK23/AM23</f>
        <v>0</v>
      </c>
      <c r="AQ23" s="42" t="s">
        <v>12</v>
      </c>
      <c r="AR23" s="42">
        <f>AN23+AO23+AP23</f>
        <v>705.90000000000009</v>
      </c>
      <c r="AS23" s="44" t="s">
        <v>126</v>
      </c>
      <c r="AT23" s="44" t="s">
        <v>12</v>
      </c>
      <c r="AU23" s="4"/>
      <c r="AV23" s="4"/>
      <c r="AW23" s="44">
        <f>AM23</f>
        <v>0.66666666666666663</v>
      </c>
      <c r="AX23" s="44">
        <f>AR23</f>
        <v>705.90000000000009</v>
      </c>
      <c r="AY23" s="44">
        <f>AU23+AW23</f>
        <v>0.66666666666666663</v>
      </c>
      <c r="AZ23" s="44">
        <f>ROUND(((AU23*AV23)+(AW23*AX23))/(AU23+AW23),5)</f>
        <v>705.9</v>
      </c>
      <c r="BA23" s="45"/>
      <c r="BB23" s="45" t="s">
        <v>117</v>
      </c>
      <c r="BC23" s="46" t="s">
        <v>118</v>
      </c>
      <c r="BD23" s="47" t="s">
        <v>119</v>
      </c>
      <c r="BE23" s="47" t="s">
        <v>120</v>
      </c>
      <c r="BF23" s="45"/>
      <c r="BG23" s="45"/>
      <c r="BH23" s="45"/>
      <c r="BI23" s="44"/>
      <c r="BJ23" s="44"/>
      <c r="BK23" s="44"/>
      <c r="BL23" s="44" t="s">
        <v>121</v>
      </c>
      <c r="BM23" s="4" t="s">
        <v>127</v>
      </c>
      <c r="BN23" s="4" t="s">
        <v>127</v>
      </c>
      <c r="BO23" s="44">
        <f>ROUND((((AW23*AZ23)+(BN23*BM23))/(AW23+BN23)),5)</f>
        <v>705.9</v>
      </c>
      <c r="BP23" s="48">
        <f>BN23+AW23</f>
        <v>0.66666666666666663</v>
      </c>
      <c r="BQ23" s="49">
        <v>88363222</v>
      </c>
    </row>
    <row r="24" spans="1:69" ht="15.75" thickBot="1">
      <c r="A24" s="3"/>
      <c r="B24" s="50"/>
      <c r="C24" s="50"/>
      <c r="D24" s="51" t="s">
        <v>41</v>
      </c>
      <c r="E24" s="51"/>
      <c r="F24" s="51"/>
      <c r="G24" s="52"/>
      <c r="H24" s="53">
        <f>SUM(H23:H23)</f>
        <v>500</v>
      </c>
      <c r="I24" s="41"/>
      <c r="J24" s="41"/>
      <c r="K24" s="41"/>
      <c r="L24" s="41"/>
      <c r="M24" s="41"/>
      <c r="N24" s="41"/>
      <c r="O24" s="41"/>
      <c r="P24" s="41"/>
      <c r="Q24" s="41"/>
      <c r="R24" s="53">
        <f t="shared" ref="R24:Y24" si="1">SUM(R23:R23)</f>
        <v>29.4</v>
      </c>
      <c r="S24" s="54">
        <f t="shared" si="1"/>
        <v>470.6</v>
      </c>
      <c r="T24" s="53"/>
      <c r="U24" s="53"/>
      <c r="V24" s="55">
        <f t="shared" si="1"/>
        <v>0</v>
      </c>
      <c r="W24" s="55">
        <f t="shared" si="1"/>
        <v>0</v>
      </c>
      <c r="X24" s="55">
        <f t="shared" si="1"/>
        <v>0</v>
      </c>
      <c r="Y24" s="55">
        <f t="shared" si="1"/>
        <v>0</v>
      </c>
      <c r="Z24" s="55"/>
      <c r="AA24" s="55">
        <f t="shared" ref="AA24:AE24" si="2">SUM(AA23:AA23)</f>
        <v>0</v>
      </c>
      <c r="AB24" s="53">
        <f t="shared" si="2"/>
        <v>0</v>
      </c>
      <c r="AC24" s="56">
        <f t="shared" si="2"/>
        <v>470.6</v>
      </c>
      <c r="AD24" s="57">
        <f t="shared" si="2"/>
        <v>120</v>
      </c>
      <c r="AE24" s="57">
        <f t="shared" si="2"/>
        <v>0</v>
      </c>
      <c r="AF24" s="56"/>
      <c r="AG24" s="57">
        <f t="shared" ref="AG24:AK24" si="3">SUM(AG23:AG23)</f>
        <v>0</v>
      </c>
      <c r="AH24" s="57">
        <f t="shared" si="3"/>
        <v>0</v>
      </c>
      <c r="AI24" s="57">
        <f t="shared" si="3"/>
        <v>470.6</v>
      </c>
      <c r="AJ24" s="57">
        <f t="shared" si="3"/>
        <v>0</v>
      </c>
      <c r="AK24" s="57">
        <f t="shared" si="3"/>
        <v>0</v>
      </c>
      <c r="AL24" s="56"/>
      <c r="AM24" s="56"/>
      <c r="AN24" s="56"/>
      <c r="AO24" s="56"/>
      <c r="AP24" s="56"/>
      <c r="AQ24" s="56"/>
      <c r="AR24" s="56"/>
      <c r="AS24" s="3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A9" workbookViewId="0">
      <selection activeCell="J31" sqref="J31"/>
    </sheetView>
  </sheetViews>
  <sheetFormatPr defaultColWidth="8.7109375" defaultRowHeight="15"/>
  <cols>
    <col min="2" max="2" width="16" customWidth="1"/>
    <col min="8" max="8" width="9.42578125" bestFit="1" customWidth="1"/>
  </cols>
  <sheetData>
    <row r="1" spans="1:69" ht="18.7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spans="1:69" ht="19.5" thickBo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spans="1:69" ht="15.75" thickTop="1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65.319999999999993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2507.6800000000003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>F17*G17</f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</row>
    <row r="18" spans="1:69" ht="15.75" thickBot="1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</row>
    <row r="19" spans="1:69" ht="15.75" thickTop="1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71856.759999999995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 ht="15.75" thickBot="1">
      <c r="A21" s="28" t="s">
        <v>43</v>
      </c>
      <c r="B21" s="28"/>
      <c r="C21" s="9">
        <v>3</v>
      </c>
      <c r="D21" s="29" t="s">
        <v>44</v>
      </c>
      <c r="E21" s="27"/>
      <c r="F21" s="27"/>
      <c r="G21" s="27"/>
      <c r="H21" s="26"/>
      <c r="I21" s="25" t="s">
        <v>45</v>
      </c>
      <c r="J21" s="25" t="s">
        <v>46</v>
      </c>
      <c r="K21" s="25"/>
      <c r="L21" s="25" t="s">
        <v>47</v>
      </c>
      <c r="M21" s="25">
        <v>1</v>
      </c>
      <c r="N21" s="25"/>
      <c r="O21" s="25" t="s">
        <v>48</v>
      </c>
      <c r="P21" s="25">
        <v>1</v>
      </c>
      <c r="Q21" s="25" t="s">
        <v>49</v>
      </c>
      <c r="R21" s="26"/>
      <c r="S21" s="26"/>
      <c r="T21" s="26"/>
      <c r="U21" s="26"/>
      <c r="V21" s="26">
        <v>1</v>
      </c>
      <c r="W21" s="26" t="s">
        <v>50</v>
      </c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3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</row>
    <row r="22" spans="1:69" ht="61.5" thickTop="1" thickBot="1">
      <c r="A22" s="30" t="s">
        <v>2</v>
      </c>
      <c r="B22" s="30" t="s">
        <v>3</v>
      </c>
      <c r="C22" s="31" t="s">
        <v>4</v>
      </c>
      <c r="D22" s="30" t="s">
        <v>5</v>
      </c>
      <c r="E22" s="30" t="s">
        <v>6</v>
      </c>
      <c r="F22" s="32" t="s">
        <v>51</v>
      </c>
      <c r="G22" s="30" t="s">
        <v>8</v>
      </c>
      <c r="H22" s="30" t="s">
        <v>9</v>
      </c>
      <c r="I22" s="33" t="s">
        <v>52</v>
      </c>
      <c r="J22" s="33" t="s">
        <v>53</v>
      </c>
      <c r="K22" s="33" t="s">
        <v>54</v>
      </c>
      <c r="L22" s="34" t="s">
        <v>55</v>
      </c>
      <c r="M22" s="34" t="s">
        <v>56</v>
      </c>
      <c r="N22" s="34" t="s">
        <v>57</v>
      </c>
      <c r="O22" s="34" t="s">
        <v>58</v>
      </c>
      <c r="P22" s="34" t="s">
        <v>59</v>
      </c>
      <c r="Q22" s="34" t="s">
        <v>60</v>
      </c>
      <c r="R22" s="33" t="s">
        <v>61</v>
      </c>
      <c r="S22" s="30" t="s">
        <v>62</v>
      </c>
      <c r="T22" s="30" t="s">
        <v>63</v>
      </c>
      <c r="U22" s="35" t="s">
        <v>64</v>
      </c>
      <c r="V22" s="35" t="s">
        <v>65</v>
      </c>
      <c r="W22" s="35" t="s">
        <v>66</v>
      </c>
      <c r="X22" s="35" t="s">
        <v>67</v>
      </c>
      <c r="Y22" s="35" t="s">
        <v>68</v>
      </c>
      <c r="Z22" s="35" t="s">
        <v>69</v>
      </c>
      <c r="AA22" s="35" t="s">
        <v>70</v>
      </c>
      <c r="AB22" s="35" t="s">
        <v>71</v>
      </c>
      <c r="AC22" s="36" t="s">
        <v>72</v>
      </c>
      <c r="AD22" s="36" t="s">
        <v>73</v>
      </c>
      <c r="AE22" s="37" t="s">
        <v>74</v>
      </c>
      <c r="AF22" s="37" t="s">
        <v>75</v>
      </c>
      <c r="AG22" s="37" t="s">
        <v>76</v>
      </c>
      <c r="AH22" s="36" t="s">
        <v>77</v>
      </c>
      <c r="AI22" s="36" t="s">
        <v>78</v>
      </c>
      <c r="AJ22" s="37" t="s">
        <v>79</v>
      </c>
      <c r="AK22" s="37" t="s">
        <v>80</v>
      </c>
      <c r="AL22" s="36" t="s">
        <v>81</v>
      </c>
      <c r="AM22" s="36" t="s">
        <v>82</v>
      </c>
      <c r="AN22" s="37" t="s">
        <v>83</v>
      </c>
      <c r="AO22" s="37" t="s">
        <v>84</v>
      </c>
      <c r="AP22" s="37" t="s">
        <v>85</v>
      </c>
      <c r="AQ22" s="36" t="s">
        <v>86</v>
      </c>
      <c r="AR22" s="38" t="s">
        <v>87</v>
      </c>
      <c r="AS22" s="6" t="s">
        <v>88</v>
      </c>
      <c r="AT22" s="6" t="s">
        <v>86</v>
      </c>
      <c r="AU22" s="39" t="s">
        <v>89</v>
      </c>
      <c r="AV22" s="39" t="s">
        <v>90</v>
      </c>
      <c r="AW22" s="39" t="s">
        <v>91</v>
      </c>
      <c r="AX22" s="39" t="s">
        <v>92</v>
      </c>
      <c r="AY22" s="39" t="s">
        <v>93</v>
      </c>
      <c r="AZ22" s="39" t="s">
        <v>94</v>
      </c>
      <c r="BA22" s="39" t="s">
        <v>95</v>
      </c>
      <c r="BB22" s="39" t="s">
        <v>96</v>
      </c>
      <c r="BC22" s="40" t="s">
        <v>97</v>
      </c>
      <c r="BD22" s="40" t="s">
        <v>98</v>
      </c>
      <c r="BE22" s="40" t="s">
        <v>99</v>
      </c>
      <c r="BF22" s="39" t="s">
        <v>100</v>
      </c>
      <c r="BG22" s="39" t="s">
        <v>101</v>
      </c>
      <c r="BH22" s="39" t="s">
        <v>102</v>
      </c>
      <c r="BI22" s="39" t="s">
        <v>103</v>
      </c>
      <c r="BJ22" s="39" t="s">
        <v>104</v>
      </c>
      <c r="BK22" s="39" t="s">
        <v>105</v>
      </c>
      <c r="BL22" s="39" t="s">
        <v>106</v>
      </c>
      <c r="BM22" s="39" t="s">
        <v>107</v>
      </c>
      <c r="BN22" s="39" t="s">
        <v>108</v>
      </c>
      <c r="BO22" s="39" t="s">
        <v>94</v>
      </c>
      <c r="BP22" s="39" t="s">
        <v>109</v>
      </c>
      <c r="BQ22" s="39" t="s">
        <v>63</v>
      </c>
    </row>
    <row r="23" spans="1:69" ht="15.75" thickBot="1">
      <c r="A23" s="41">
        <v>1</v>
      </c>
      <c r="B23" s="41" t="s">
        <v>130</v>
      </c>
      <c r="C23" s="41" t="s">
        <v>130</v>
      </c>
      <c r="D23" s="41" t="s">
        <v>12</v>
      </c>
      <c r="E23" s="41" t="s">
        <v>12</v>
      </c>
      <c r="F23" s="42">
        <v>2</v>
      </c>
      <c r="G23" s="4" t="s">
        <v>131</v>
      </c>
      <c r="H23" s="42">
        <f>F23*G23</f>
        <v>910</v>
      </c>
      <c r="I23" s="4">
        <v>2</v>
      </c>
      <c r="J23" s="42">
        <v>2</v>
      </c>
      <c r="K23" s="42">
        <v>3</v>
      </c>
      <c r="L23" s="42">
        <f>H23</f>
        <v>910</v>
      </c>
      <c r="M23" s="42">
        <f>ROUND(L23*I23%,2)</f>
        <v>18.2</v>
      </c>
      <c r="N23" s="42">
        <f>H23-M23</f>
        <v>891.8</v>
      </c>
      <c r="O23" s="42">
        <f>ROUND(N23*J23%,2)</f>
        <v>17.84</v>
      </c>
      <c r="P23" s="42">
        <f>ROUND(N23-O23,2)</f>
        <v>873.96</v>
      </c>
      <c r="Q23" s="42">
        <f>ROUND(P23*K23%,2)</f>
        <v>26.22</v>
      </c>
      <c r="R23" s="42">
        <f>M23+O23+Q23</f>
        <v>62.26</v>
      </c>
      <c r="S23" s="42">
        <f>(H23-R23)</f>
        <v>847.74</v>
      </c>
      <c r="T23" s="42" t="s">
        <v>113</v>
      </c>
      <c r="U23" s="42">
        <v>0.18</v>
      </c>
      <c r="V23" s="42">
        <f>IF(OR($C$21=1,$C$21=4),ROUND(((S23*U23)/2),2),0)</f>
        <v>0</v>
      </c>
      <c r="W23" s="42">
        <f>IF($C$21=1,ROUND(((S23*U23)/2),2),0)</f>
        <v>0</v>
      </c>
      <c r="X23" s="42">
        <f>IF($C$21=2,ROUND(((S23*U23)),2),0)</f>
        <v>0</v>
      </c>
      <c r="Y23" s="42">
        <f>IF($C$21=4,ROUND(((S23*U23)/2),2),0)</f>
        <v>0</v>
      </c>
      <c r="Z23" s="43">
        <v>0</v>
      </c>
      <c r="AA23" s="42">
        <f>IF($C21=3,0,ROUND(S23*Z23,2))</f>
        <v>0</v>
      </c>
      <c r="AB23" s="42">
        <f>V23+W23+X23+Y23+AA23</f>
        <v>0</v>
      </c>
      <c r="AC23" s="42">
        <f>IF($V21=1,S23+AB23,S23)</f>
        <v>847.74</v>
      </c>
      <c r="AD23" s="42">
        <v>120</v>
      </c>
      <c r="AE23" s="42">
        <f>IF($P$21=1,(S23/$S$24)*$E$35,AD23/$AD$24*$E$35)</f>
        <v>0</v>
      </c>
      <c r="AF23" s="42"/>
      <c r="AG23" s="42">
        <f>IF($P$21=1,(S23/$S$24)*$E$37,AD23/$AD$24*$E$37)</f>
        <v>0</v>
      </c>
      <c r="AH23" s="42">
        <f>IF($P$21=1,(S23/$S$24)*$E$37,AD23/$AD$24*$E$37)</f>
        <v>0</v>
      </c>
      <c r="AI23" s="42">
        <f>S23*$M$21</f>
        <v>847.74</v>
      </c>
      <c r="AJ23" s="42">
        <f>IF($C$21=3,0,AG23+AH23)</f>
        <v>0</v>
      </c>
      <c r="AK23" s="42">
        <f>IF($C$21=3,AE23+AG23+AH23,0)</f>
        <v>0</v>
      </c>
      <c r="AL23" s="42">
        <v>1</v>
      </c>
      <c r="AM23" s="42">
        <f>F23/AL23</f>
        <v>2</v>
      </c>
      <c r="AN23" s="42">
        <f>AI23/AM23</f>
        <v>423.87</v>
      </c>
      <c r="AO23" s="42">
        <f>AJ23/AM23</f>
        <v>0</v>
      </c>
      <c r="AP23" s="42">
        <f>AK23/AM23</f>
        <v>0</v>
      </c>
      <c r="AQ23" s="42" t="s">
        <v>12</v>
      </c>
      <c r="AR23" s="42">
        <f>AN23+AO23+AP23</f>
        <v>423.87</v>
      </c>
      <c r="AS23" s="44" t="s">
        <v>114</v>
      </c>
      <c r="AT23" s="44" t="s">
        <v>12</v>
      </c>
      <c r="AU23" s="4" t="s">
        <v>112</v>
      </c>
      <c r="AV23" s="4" t="s">
        <v>132</v>
      </c>
      <c r="AW23" s="44">
        <f>AM23</f>
        <v>2</v>
      </c>
      <c r="AX23" s="44">
        <f>AR23</f>
        <v>423.87</v>
      </c>
      <c r="AY23" s="44">
        <f>AU23+AW23</f>
        <v>4</v>
      </c>
      <c r="AZ23" s="44">
        <f>ROUND(((AU23*AV23)+(AW23*AX23))/(AU23+AW23),5)</f>
        <v>377.42813000000001</v>
      </c>
      <c r="BA23" s="45"/>
      <c r="BB23" s="45" t="s">
        <v>117</v>
      </c>
      <c r="BC23" s="46" t="s">
        <v>133</v>
      </c>
      <c r="BD23" s="47" t="s">
        <v>119</v>
      </c>
      <c r="BE23" s="47" t="s">
        <v>120</v>
      </c>
      <c r="BF23" s="45"/>
      <c r="BG23" s="45"/>
      <c r="BH23" s="45"/>
      <c r="BI23" s="44"/>
      <c r="BJ23" s="44"/>
      <c r="BK23" s="44"/>
      <c r="BL23" s="44" t="s">
        <v>134</v>
      </c>
      <c r="BM23" s="4" t="s">
        <v>135</v>
      </c>
      <c r="BN23" s="4" t="s">
        <v>136</v>
      </c>
      <c r="BO23" s="44">
        <f>ROUND((((AW23*AZ23)+(BN23*BM23))/(AW23+BN23)),5)</f>
        <v>277.52168</v>
      </c>
      <c r="BP23" s="48">
        <f>BN23+AW23</f>
        <v>26</v>
      </c>
      <c r="BQ23" s="49">
        <v>88363222</v>
      </c>
    </row>
    <row r="24" spans="1:69" ht="15.75" thickBot="1">
      <c r="A24" s="3"/>
      <c r="B24" s="50"/>
      <c r="C24" s="50"/>
      <c r="D24" s="51" t="s">
        <v>41</v>
      </c>
      <c r="E24" s="51"/>
      <c r="F24" s="51"/>
      <c r="G24" s="52"/>
      <c r="H24" s="53">
        <f>SUM(H23:H23)</f>
        <v>910</v>
      </c>
      <c r="I24" s="41"/>
      <c r="J24" s="41"/>
      <c r="K24" s="41"/>
      <c r="L24" s="41"/>
      <c r="M24" s="41"/>
      <c r="N24" s="41"/>
      <c r="O24" s="41"/>
      <c r="P24" s="41"/>
      <c r="Q24" s="41"/>
      <c r="R24" s="53">
        <f t="shared" ref="R24:Y24" si="1">SUM(R23:R23)</f>
        <v>62.26</v>
      </c>
      <c r="S24" s="54">
        <f t="shared" si="1"/>
        <v>847.74</v>
      </c>
      <c r="T24" s="53"/>
      <c r="U24" s="53"/>
      <c r="V24" s="55">
        <f t="shared" si="1"/>
        <v>0</v>
      </c>
      <c r="W24" s="55">
        <f t="shared" si="1"/>
        <v>0</v>
      </c>
      <c r="X24" s="55">
        <f t="shared" si="1"/>
        <v>0</v>
      </c>
      <c r="Y24" s="55">
        <f t="shared" si="1"/>
        <v>0</v>
      </c>
      <c r="Z24" s="55"/>
      <c r="AA24" s="55">
        <f t="shared" ref="AA24:AE24" si="2">SUM(AA23:AA23)</f>
        <v>0</v>
      </c>
      <c r="AB24" s="53">
        <f t="shared" si="2"/>
        <v>0</v>
      </c>
      <c r="AC24" s="56">
        <f t="shared" si="2"/>
        <v>847.74</v>
      </c>
      <c r="AD24" s="57">
        <f t="shared" si="2"/>
        <v>120</v>
      </c>
      <c r="AE24" s="57">
        <f t="shared" si="2"/>
        <v>0</v>
      </c>
      <c r="AF24" s="56"/>
      <c r="AG24" s="57">
        <f t="shared" ref="AG24:AK24" si="3">SUM(AG23:AG23)</f>
        <v>0</v>
      </c>
      <c r="AH24" s="57">
        <f t="shared" si="3"/>
        <v>0</v>
      </c>
      <c r="AI24" s="57">
        <f t="shared" si="3"/>
        <v>847.74</v>
      </c>
      <c r="AJ24" s="57">
        <f t="shared" si="3"/>
        <v>0</v>
      </c>
      <c r="AK24" s="57">
        <f t="shared" si="3"/>
        <v>0</v>
      </c>
      <c r="AL24" s="56"/>
      <c r="AM24" s="56"/>
      <c r="AN24" s="56"/>
      <c r="AO24" s="56"/>
      <c r="AP24" s="56"/>
      <c r="AQ24" s="56"/>
      <c r="AR24" s="56"/>
      <c r="AS24" s="3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workbookViewId="0">
      <selection activeCell="J31" sqref="J31"/>
    </sheetView>
  </sheetViews>
  <sheetFormatPr defaultColWidth="8.7109375" defaultRowHeight="15"/>
  <cols>
    <col min="8" max="8" width="9.42578125" bestFit="1" customWidth="1"/>
  </cols>
  <sheetData>
    <row r="1" spans="1:69" ht="18.7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spans="1:69" ht="19.5" thickBo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spans="1:69" ht="15.75" thickTop="1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65.319999999999993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2507.6800000000003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>F17*G17</f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</row>
    <row r="18" spans="1:69" ht="15.75" thickBot="1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</row>
    <row r="19" spans="1:69" ht="15.75" thickTop="1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71856.759999999995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 ht="15.75" thickBot="1">
      <c r="A21" s="28" t="s">
        <v>43</v>
      </c>
      <c r="B21" s="28"/>
      <c r="C21" s="9">
        <v>3</v>
      </c>
      <c r="D21" s="29" t="s">
        <v>44</v>
      </c>
      <c r="E21" s="27"/>
      <c r="F21" s="27"/>
      <c r="G21" s="27"/>
      <c r="H21" s="26"/>
      <c r="I21" s="25" t="s">
        <v>45</v>
      </c>
      <c r="J21" s="25" t="s">
        <v>46</v>
      </c>
      <c r="K21" s="25"/>
      <c r="L21" s="25" t="s">
        <v>47</v>
      </c>
      <c r="M21" s="25">
        <v>1</v>
      </c>
      <c r="N21" s="25"/>
      <c r="O21" s="25" t="s">
        <v>48</v>
      </c>
      <c r="P21" s="25">
        <v>1</v>
      </c>
      <c r="Q21" s="25" t="s">
        <v>49</v>
      </c>
      <c r="R21" s="26"/>
      <c r="S21" s="26"/>
      <c r="T21" s="26"/>
      <c r="U21" s="26"/>
      <c r="V21" s="26">
        <v>1</v>
      </c>
      <c r="W21" s="26" t="s">
        <v>50</v>
      </c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3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</row>
    <row r="22" spans="1:69" ht="61.5" thickTop="1" thickBot="1">
      <c r="A22" s="30" t="s">
        <v>2</v>
      </c>
      <c r="B22" s="30" t="s">
        <v>3</v>
      </c>
      <c r="C22" s="31" t="s">
        <v>4</v>
      </c>
      <c r="D22" s="30" t="s">
        <v>5</v>
      </c>
      <c r="E22" s="30" t="s">
        <v>6</v>
      </c>
      <c r="F22" s="32" t="s">
        <v>51</v>
      </c>
      <c r="G22" s="30" t="s">
        <v>8</v>
      </c>
      <c r="H22" s="30" t="s">
        <v>9</v>
      </c>
      <c r="I22" s="33" t="s">
        <v>52</v>
      </c>
      <c r="J22" s="33" t="s">
        <v>53</v>
      </c>
      <c r="K22" s="33" t="s">
        <v>54</v>
      </c>
      <c r="L22" s="34" t="s">
        <v>55</v>
      </c>
      <c r="M22" s="34" t="s">
        <v>56</v>
      </c>
      <c r="N22" s="34" t="s">
        <v>57</v>
      </c>
      <c r="O22" s="34" t="s">
        <v>58</v>
      </c>
      <c r="P22" s="34" t="s">
        <v>59</v>
      </c>
      <c r="Q22" s="34" t="s">
        <v>60</v>
      </c>
      <c r="R22" s="33" t="s">
        <v>61</v>
      </c>
      <c r="S22" s="30" t="s">
        <v>62</v>
      </c>
      <c r="T22" s="30" t="s">
        <v>63</v>
      </c>
      <c r="U22" s="35" t="s">
        <v>64</v>
      </c>
      <c r="V22" s="35" t="s">
        <v>65</v>
      </c>
      <c r="W22" s="35" t="s">
        <v>66</v>
      </c>
      <c r="X22" s="35" t="s">
        <v>67</v>
      </c>
      <c r="Y22" s="35" t="s">
        <v>68</v>
      </c>
      <c r="Z22" s="35" t="s">
        <v>69</v>
      </c>
      <c r="AA22" s="35" t="s">
        <v>70</v>
      </c>
      <c r="AB22" s="35" t="s">
        <v>71</v>
      </c>
      <c r="AC22" s="36" t="s">
        <v>72</v>
      </c>
      <c r="AD22" s="36" t="s">
        <v>73</v>
      </c>
      <c r="AE22" s="37" t="s">
        <v>74</v>
      </c>
      <c r="AF22" s="37" t="s">
        <v>75</v>
      </c>
      <c r="AG22" s="37" t="s">
        <v>76</v>
      </c>
      <c r="AH22" s="36" t="s">
        <v>77</v>
      </c>
      <c r="AI22" s="36" t="s">
        <v>78</v>
      </c>
      <c r="AJ22" s="37" t="s">
        <v>79</v>
      </c>
      <c r="AK22" s="37" t="s">
        <v>80</v>
      </c>
      <c r="AL22" s="36" t="s">
        <v>81</v>
      </c>
      <c r="AM22" s="36" t="s">
        <v>82</v>
      </c>
      <c r="AN22" s="37" t="s">
        <v>83</v>
      </c>
      <c r="AO22" s="37" t="s">
        <v>84</v>
      </c>
      <c r="AP22" s="37" t="s">
        <v>85</v>
      </c>
      <c r="AQ22" s="36" t="s">
        <v>86</v>
      </c>
      <c r="AR22" s="38" t="s">
        <v>87</v>
      </c>
      <c r="AS22" s="6" t="s">
        <v>88</v>
      </c>
      <c r="AT22" s="6" t="s">
        <v>86</v>
      </c>
      <c r="AU22" s="39" t="s">
        <v>89</v>
      </c>
      <c r="AV22" s="39" t="s">
        <v>90</v>
      </c>
      <c r="AW22" s="39" t="s">
        <v>91</v>
      </c>
      <c r="AX22" s="39" t="s">
        <v>92</v>
      </c>
      <c r="AY22" s="39" t="s">
        <v>93</v>
      </c>
      <c r="AZ22" s="39" t="s">
        <v>94</v>
      </c>
      <c r="BA22" s="39" t="s">
        <v>95</v>
      </c>
      <c r="BB22" s="39" t="s">
        <v>96</v>
      </c>
      <c r="BC22" s="40" t="s">
        <v>97</v>
      </c>
      <c r="BD22" s="40" t="s">
        <v>98</v>
      </c>
      <c r="BE22" s="40" t="s">
        <v>99</v>
      </c>
      <c r="BF22" s="39" t="s">
        <v>100</v>
      </c>
      <c r="BG22" s="39" t="s">
        <v>101</v>
      </c>
      <c r="BH22" s="39" t="s">
        <v>102</v>
      </c>
      <c r="BI22" s="39" t="s">
        <v>103</v>
      </c>
      <c r="BJ22" s="39" t="s">
        <v>104</v>
      </c>
      <c r="BK22" s="39" t="s">
        <v>105</v>
      </c>
      <c r="BL22" s="39" t="s">
        <v>106</v>
      </c>
      <c r="BM22" s="39" t="s">
        <v>107</v>
      </c>
      <c r="BN22" s="39" t="s">
        <v>108</v>
      </c>
      <c r="BO22" s="39" t="s">
        <v>94</v>
      </c>
      <c r="BP22" s="39" t="s">
        <v>109</v>
      </c>
      <c r="BQ22" s="39" t="s">
        <v>63</v>
      </c>
    </row>
    <row r="23" spans="1:69" ht="15.75" thickBot="1">
      <c r="A23" s="41">
        <v>1</v>
      </c>
      <c r="B23" s="41" t="s">
        <v>137</v>
      </c>
      <c r="C23" s="41" t="s">
        <v>137</v>
      </c>
      <c r="D23" s="41" t="s">
        <v>12</v>
      </c>
      <c r="E23" s="41" t="s">
        <v>12</v>
      </c>
      <c r="F23" s="42">
        <v>2</v>
      </c>
      <c r="G23" s="4" t="s">
        <v>111</v>
      </c>
      <c r="H23" s="42">
        <f>F23*G23</f>
        <v>400</v>
      </c>
      <c r="I23" s="4" t="s">
        <v>112</v>
      </c>
      <c r="J23" s="42">
        <v>1.79</v>
      </c>
      <c r="K23" s="42">
        <v>2.5</v>
      </c>
      <c r="L23" s="42">
        <f>H23</f>
        <v>400</v>
      </c>
      <c r="M23" s="42">
        <f>ROUND(L23*I23%,2)</f>
        <v>8</v>
      </c>
      <c r="N23" s="42">
        <f>H23-M23</f>
        <v>392</v>
      </c>
      <c r="O23" s="42">
        <f>ROUND(N23*J23%,2)</f>
        <v>7.02</v>
      </c>
      <c r="P23" s="42">
        <f>ROUND(N23-O23,2)</f>
        <v>384.98</v>
      </c>
      <c r="Q23" s="42">
        <f>ROUND(P23*K23%,2)</f>
        <v>9.6199999999999992</v>
      </c>
      <c r="R23" s="42">
        <f>M23+O23+Q23</f>
        <v>24.64</v>
      </c>
      <c r="S23" s="42">
        <f>(H23-R23)</f>
        <v>375.36</v>
      </c>
      <c r="T23" s="42" t="s">
        <v>113</v>
      </c>
      <c r="U23" s="42">
        <v>0.18</v>
      </c>
      <c r="V23" s="42">
        <f>IF(OR($C$21=1,$C$21=4),ROUND(((S23*U23)/2),2),0)</f>
        <v>0</v>
      </c>
      <c r="W23" s="42">
        <f>IF($C$21=1,ROUND(((S23*U23)/2),2),0)</f>
        <v>0</v>
      </c>
      <c r="X23" s="42">
        <f>IF($C$21=2,ROUND(((S23*U23)),2),0)</f>
        <v>0</v>
      </c>
      <c r="Y23" s="42">
        <f>IF($C$21=4,ROUND(((S23*U23)/2),2),0)</f>
        <v>0</v>
      </c>
      <c r="Z23" s="43">
        <v>0</v>
      </c>
      <c r="AA23" s="42">
        <f>IF($C21=3,0,ROUND(S23*Z23,2))</f>
        <v>0</v>
      </c>
      <c r="AB23" s="42">
        <f>V23+W23+X23+Y23+AA23</f>
        <v>0</v>
      </c>
      <c r="AC23" s="42">
        <f>IF($V21=1,S23+AB23,S23)</f>
        <v>375.36</v>
      </c>
      <c r="AD23" s="42">
        <v>120</v>
      </c>
      <c r="AE23" s="42">
        <f>IF($P$21=1,(S23/$S$24)*$E$35,AD23/$AD$24*$E$35)</f>
        <v>0</v>
      </c>
      <c r="AF23" s="42"/>
      <c r="AG23" s="42">
        <f>IF($P$21=1,(S23/$S$24)*$E$37,AD23/$AD$24*$E$37)</f>
        <v>0</v>
      </c>
      <c r="AH23" s="42">
        <f>IF($P$21=1,(S23/$S$24)*$E$37,AD23/$AD$24*$E$37)</f>
        <v>0</v>
      </c>
      <c r="AI23" s="42">
        <f>S23*$M$21</f>
        <v>375.36</v>
      </c>
      <c r="AJ23" s="42">
        <f>IF($C$21=3,0,AG23+AH23)</f>
        <v>0</v>
      </c>
      <c r="AK23" s="42">
        <f>IF($C$21=3,AE23+AG23+AH23,0)</f>
        <v>0</v>
      </c>
      <c r="AL23" s="42">
        <v>1</v>
      </c>
      <c r="AM23" s="42">
        <f>F23/AL23</f>
        <v>2</v>
      </c>
      <c r="AN23" s="42">
        <f>AI23/AM23</f>
        <v>187.68</v>
      </c>
      <c r="AO23" s="42">
        <f>AJ23/AM23</f>
        <v>0</v>
      </c>
      <c r="AP23" s="42">
        <f>AK23/AM23</f>
        <v>0</v>
      </c>
      <c r="AQ23" s="42" t="s">
        <v>12</v>
      </c>
      <c r="AR23" s="42">
        <f>AN23+AO23+AP23</f>
        <v>187.68</v>
      </c>
      <c r="AS23" s="44" t="s">
        <v>126</v>
      </c>
      <c r="AT23" s="44" t="s">
        <v>12</v>
      </c>
      <c r="AU23" s="4" t="s">
        <v>127</v>
      </c>
      <c r="AV23" s="4" t="s">
        <v>138</v>
      </c>
      <c r="AW23" s="44">
        <f>AM23</f>
        <v>2</v>
      </c>
      <c r="AX23" s="44">
        <f>AR23</f>
        <v>187.68</v>
      </c>
      <c r="AY23" s="44">
        <f>AU23+AW23</f>
        <v>2</v>
      </c>
      <c r="AZ23" s="44">
        <f>ROUND(((AU23*AV23)+(AW23*AX23))/(AU23+AW23),5)</f>
        <v>187.68</v>
      </c>
      <c r="BA23" s="45"/>
      <c r="BB23" s="45" t="s">
        <v>117</v>
      </c>
      <c r="BC23" s="46" t="s">
        <v>118</v>
      </c>
      <c r="BD23" s="47" t="s">
        <v>119</v>
      </c>
      <c r="BE23" s="47" t="s">
        <v>120</v>
      </c>
      <c r="BF23" s="45"/>
      <c r="BG23" s="45"/>
      <c r="BH23" s="45"/>
      <c r="BI23" s="44"/>
      <c r="BJ23" s="44"/>
      <c r="BK23" s="44"/>
      <c r="BL23" s="44" t="s">
        <v>121</v>
      </c>
      <c r="BM23" s="4" t="s">
        <v>139</v>
      </c>
      <c r="BN23" s="4" t="s">
        <v>140</v>
      </c>
      <c r="BO23" s="44">
        <f>ROUND((((AW23*AZ23)+(BN23*BM23))/(AW23+BN23)),5)</f>
        <v>186.91705999999999</v>
      </c>
      <c r="BP23" s="48">
        <f>BN23+AW23</f>
        <v>82</v>
      </c>
      <c r="BQ23" s="49">
        <v>88363222</v>
      </c>
    </row>
    <row r="24" spans="1:69" ht="15.75" thickBot="1">
      <c r="A24" s="3"/>
      <c r="B24" s="50"/>
      <c r="C24" s="50"/>
      <c r="D24" s="51" t="s">
        <v>41</v>
      </c>
      <c r="E24" s="51"/>
      <c r="F24" s="51"/>
      <c r="G24" s="52"/>
      <c r="H24" s="53">
        <f>SUM(H23:H23)</f>
        <v>400</v>
      </c>
      <c r="I24" s="41"/>
      <c r="J24" s="41"/>
      <c r="K24" s="41"/>
      <c r="L24" s="41"/>
      <c r="M24" s="41"/>
      <c r="N24" s="41"/>
      <c r="O24" s="41"/>
      <c r="P24" s="41"/>
      <c r="Q24" s="41"/>
      <c r="R24" s="53">
        <f t="shared" ref="R24:Y24" si="1">SUM(R23:R23)</f>
        <v>24.64</v>
      </c>
      <c r="S24" s="54">
        <f t="shared" si="1"/>
        <v>375.36</v>
      </c>
      <c r="T24" s="53"/>
      <c r="U24" s="53"/>
      <c r="V24" s="55">
        <f t="shared" si="1"/>
        <v>0</v>
      </c>
      <c r="W24" s="55">
        <f t="shared" si="1"/>
        <v>0</v>
      </c>
      <c r="X24" s="55">
        <f t="shared" si="1"/>
        <v>0</v>
      </c>
      <c r="Y24" s="55">
        <f t="shared" si="1"/>
        <v>0</v>
      </c>
      <c r="Z24" s="55"/>
      <c r="AA24" s="55">
        <f t="shared" ref="AA24:AE24" si="2">SUM(AA23:AA23)</f>
        <v>0</v>
      </c>
      <c r="AB24" s="53">
        <f t="shared" si="2"/>
        <v>0</v>
      </c>
      <c r="AC24" s="56">
        <f t="shared" si="2"/>
        <v>375.36</v>
      </c>
      <c r="AD24" s="57">
        <f t="shared" si="2"/>
        <v>120</v>
      </c>
      <c r="AE24" s="57">
        <f t="shared" si="2"/>
        <v>0</v>
      </c>
      <c r="AF24" s="56"/>
      <c r="AG24" s="57">
        <f t="shared" ref="AG24:AK24" si="3">SUM(AG23:AG23)</f>
        <v>0</v>
      </c>
      <c r="AH24" s="57">
        <f t="shared" si="3"/>
        <v>0</v>
      </c>
      <c r="AI24" s="57">
        <f t="shared" si="3"/>
        <v>375.36</v>
      </c>
      <c r="AJ24" s="57">
        <f t="shared" si="3"/>
        <v>0</v>
      </c>
      <c r="AK24" s="57">
        <f t="shared" si="3"/>
        <v>0</v>
      </c>
      <c r="AL24" s="56"/>
      <c r="AM24" s="56"/>
      <c r="AN24" s="56"/>
      <c r="AO24" s="56"/>
      <c r="AP24" s="56"/>
      <c r="AQ24" s="56"/>
      <c r="AR24" s="56"/>
      <c r="AS24" s="3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B9" workbookViewId="0">
      <selection activeCell="J31" sqref="J31"/>
    </sheetView>
  </sheetViews>
  <sheetFormatPr defaultColWidth="8.7109375" defaultRowHeight="15"/>
  <cols>
    <col min="2" max="2" width="26.5703125" customWidth="1"/>
    <col min="8" max="8" width="9.42578125" bestFit="1" customWidth="1"/>
  </cols>
  <sheetData>
    <row r="1" spans="1:69" ht="18.7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spans="1:69" ht="19.5" thickBo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spans="1:69" ht="15.75" thickTop="1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65.319999999999993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2507.6800000000003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>F17*G17</f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</row>
    <row r="18" spans="1:69" ht="15.75" thickBot="1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</row>
    <row r="19" spans="1:69" ht="15.75" thickTop="1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71856.759999999995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 ht="15.75" thickBot="1">
      <c r="A21" s="28" t="s">
        <v>43</v>
      </c>
      <c r="B21" s="28"/>
      <c r="C21" s="9">
        <v>3</v>
      </c>
      <c r="D21" s="29" t="s">
        <v>44</v>
      </c>
      <c r="E21" s="27"/>
      <c r="F21" s="27"/>
      <c r="G21" s="27"/>
      <c r="H21" s="26"/>
      <c r="I21" s="25" t="s">
        <v>45</v>
      </c>
      <c r="J21" s="25" t="s">
        <v>46</v>
      </c>
      <c r="K21" s="25"/>
      <c r="L21" s="25" t="s">
        <v>47</v>
      </c>
      <c r="M21" s="25">
        <v>1</v>
      </c>
      <c r="N21" s="25"/>
      <c r="O21" s="25" t="s">
        <v>48</v>
      </c>
      <c r="P21" s="25">
        <v>1</v>
      </c>
      <c r="Q21" s="25" t="s">
        <v>49</v>
      </c>
      <c r="R21" s="26"/>
      <c r="S21" s="26"/>
      <c r="T21" s="26"/>
      <c r="U21" s="26"/>
      <c r="V21" s="26">
        <v>1</v>
      </c>
      <c r="W21" s="26" t="s">
        <v>50</v>
      </c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3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</row>
    <row r="22" spans="1:69" ht="61.5" thickTop="1" thickBot="1">
      <c r="A22" s="30" t="s">
        <v>2</v>
      </c>
      <c r="B22" s="30" t="s">
        <v>3</v>
      </c>
      <c r="C22" s="31" t="s">
        <v>4</v>
      </c>
      <c r="D22" s="30" t="s">
        <v>5</v>
      </c>
      <c r="E22" s="30" t="s">
        <v>6</v>
      </c>
      <c r="F22" s="32" t="s">
        <v>51</v>
      </c>
      <c r="G22" s="30" t="s">
        <v>8</v>
      </c>
      <c r="H22" s="30" t="s">
        <v>9</v>
      </c>
      <c r="I22" s="33" t="s">
        <v>52</v>
      </c>
      <c r="J22" s="33" t="s">
        <v>53</v>
      </c>
      <c r="K22" s="33" t="s">
        <v>54</v>
      </c>
      <c r="L22" s="34" t="s">
        <v>55</v>
      </c>
      <c r="M22" s="34" t="s">
        <v>56</v>
      </c>
      <c r="N22" s="34" t="s">
        <v>57</v>
      </c>
      <c r="O22" s="34" t="s">
        <v>58</v>
      </c>
      <c r="P22" s="34" t="s">
        <v>59</v>
      </c>
      <c r="Q22" s="34" t="s">
        <v>60</v>
      </c>
      <c r="R22" s="33" t="s">
        <v>61</v>
      </c>
      <c r="S22" s="30" t="s">
        <v>62</v>
      </c>
      <c r="T22" s="30" t="s">
        <v>63</v>
      </c>
      <c r="U22" s="35" t="s">
        <v>64</v>
      </c>
      <c r="V22" s="35" t="s">
        <v>65</v>
      </c>
      <c r="W22" s="35" t="s">
        <v>66</v>
      </c>
      <c r="X22" s="35" t="s">
        <v>67</v>
      </c>
      <c r="Y22" s="35" t="s">
        <v>68</v>
      </c>
      <c r="Z22" s="35" t="s">
        <v>69</v>
      </c>
      <c r="AA22" s="35" t="s">
        <v>70</v>
      </c>
      <c r="AB22" s="35" t="s">
        <v>71</v>
      </c>
      <c r="AC22" s="36" t="s">
        <v>72</v>
      </c>
      <c r="AD22" s="36" t="s">
        <v>73</v>
      </c>
      <c r="AE22" s="37" t="s">
        <v>74</v>
      </c>
      <c r="AF22" s="37" t="s">
        <v>75</v>
      </c>
      <c r="AG22" s="37" t="s">
        <v>76</v>
      </c>
      <c r="AH22" s="36" t="s">
        <v>77</v>
      </c>
      <c r="AI22" s="36" t="s">
        <v>78</v>
      </c>
      <c r="AJ22" s="37" t="s">
        <v>79</v>
      </c>
      <c r="AK22" s="37" t="s">
        <v>80</v>
      </c>
      <c r="AL22" s="36" t="s">
        <v>81</v>
      </c>
      <c r="AM22" s="36" t="s">
        <v>82</v>
      </c>
      <c r="AN22" s="37" t="s">
        <v>83</v>
      </c>
      <c r="AO22" s="37" t="s">
        <v>84</v>
      </c>
      <c r="AP22" s="37" t="s">
        <v>85</v>
      </c>
      <c r="AQ22" s="36" t="s">
        <v>86</v>
      </c>
      <c r="AR22" s="38" t="s">
        <v>87</v>
      </c>
      <c r="AS22" s="6" t="s">
        <v>88</v>
      </c>
      <c r="AT22" s="6" t="s">
        <v>86</v>
      </c>
      <c r="AU22" s="39" t="s">
        <v>89</v>
      </c>
      <c r="AV22" s="39" t="s">
        <v>90</v>
      </c>
      <c r="AW22" s="39" t="s">
        <v>91</v>
      </c>
      <c r="AX22" s="39" t="s">
        <v>92</v>
      </c>
      <c r="AY22" s="39" t="s">
        <v>93</v>
      </c>
      <c r="AZ22" s="39" t="s">
        <v>94</v>
      </c>
      <c r="BA22" s="39" t="s">
        <v>95</v>
      </c>
      <c r="BB22" s="39" t="s">
        <v>96</v>
      </c>
      <c r="BC22" s="40" t="s">
        <v>97</v>
      </c>
      <c r="BD22" s="40" t="s">
        <v>98</v>
      </c>
      <c r="BE22" s="40" t="s">
        <v>99</v>
      </c>
      <c r="BF22" s="39" t="s">
        <v>100</v>
      </c>
      <c r="BG22" s="39" t="s">
        <v>101</v>
      </c>
      <c r="BH22" s="39" t="s">
        <v>102</v>
      </c>
      <c r="BI22" s="39" t="s">
        <v>103</v>
      </c>
      <c r="BJ22" s="39" t="s">
        <v>104</v>
      </c>
      <c r="BK22" s="39" t="s">
        <v>105</v>
      </c>
      <c r="BL22" s="39" t="s">
        <v>106</v>
      </c>
      <c r="BM22" s="39" t="s">
        <v>107</v>
      </c>
      <c r="BN22" s="39" t="s">
        <v>108</v>
      </c>
      <c r="BO22" s="39" t="s">
        <v>94</v>
      </c>
      <c r="BP22" s="39" t="s">
        <v>109</v>
      </c>
      <c r="BQ22" s="39" t="s">
        <v>63</v>
      </c>
    </row>
    <row r="23" spans="1:69" ht="15.75" thickBot="1">
      <c r="A23" s="41">
        <v>1</v>
      </c>
      <c r="B23" s="41" t="s">
        <v>141</v>
      </c>
      <c r="C23" s="41" t="s">
        <v>141</v>
      </c>
      <c r="D23" s="41" t="s">
        <v>12</v>
      </c>
      <c r="E23" s="41" t="s">
        <v>129</v>
      </c>
      <c r="F23" s="42">
        <v>2</v>
      </c>
      <c r="G23" s="4" t="s">
        <v>111</v>
      </c>
      <c r="H23" s="42">
        <f>F23*G23</f>
        <v>400</v>
      </c>
      <c r="I23" s="4" t="s">
        <v>112</v>
      </c>
      <c r="J23" s="42">
        <v>1.79</v>
      </c>
      <c r="K23" s="42">
        <v>2.5</v>
      </c>
      <c r="L23" s="42">
        <f>H23</f>
        <v>400</v>
      </c>
      <c r="M23" s="42">
        <f>ROUND(L23*I23%,2)</f>
        <v>8</v>
      </c>
      <c r="N23" s="42">
        <f>H23-M23</f>
        <v>392</v>
      </c>
      <c r="O23" s="42">
        <f>ROUND(N23*J23%,2)</f>
        <v>7.02</v>
      </c>
      <c r="P23" s="42">
        <f>ROUND(N23-O23,2)</f>
        <v>384.98</v>
      </c>
      <c r="Q23" s="42">
        <f>ROUND(P23*K23%,2)</f>
        <v>9.6199999999999992</v>
      </c>
      <c r="R23" s="42">
        <f>M23+O23+Q23</f>
        <v>24.64</v>
      </c>
      <c r="S23" s="42">
        <f>(H23-R23)</f>
        <v>375.36</v>
      </c>
      <c r="T23" s="42" t="s">
        <v>113</v>
      </c>
      <c r="U23" s="42">
        <v>0.18</v>
      </c>
      <c r="V23" s="42">
        <f>IF(OR($C$21=1,$C$21=4),ROUND(((S23*U23)/2),2),0)</f>
        <v>0</v>
      </c>
      <c r="W23" s="42">
        <f>IF($C$21=1,ROUND(((S23*U23)/2),2),0)</f>
        <v>0</v>
      </c>
      <c r="X23" s="42">
        <f>IF($C$21=2,ROUND(((S23*U23)),2),0)</f>
        <v>0</v>
      </c>
      <c r="Y23" s="42">
        <f>IF($C$21=4,ROUND(((S23*U23)/2),2),0)</f>
        <v>0</v>
      </c>
      <c r="Z23" s="43">
        <v>0</v>
      </c>
      <c r="AA23" s="42">
        <f>IF($C21=3,0,ROUND(S23*Z23,2))</f>
        <v>0</v>
      </c>
      <c r="AB23" s="42">
        <f>V23+W23+X23+Y23+AA23</f>
        <v>0</v>
      </c>
      <c r="AC23" s="42">
        <f>IF($V21=1,S23+AB23,S23)</f>
        <v>375.36</v>
      </c>
      <c r="AD23" s="42">
        <v>120</v>
      </c>
      <c r="AE23" s="42">
        <f>IF($P$21=1,(S23/$S$24)*$E$35,AD23/$AD$24*$E$35)</f>
        <v>0</v>
      </c>
      <c r="AF23" s="42"/>
      <c r="AG23" s="42">
        <f>IF($P$21=1,(S23/$S$24)*$E$37,AD23/$AD$24*$E$37)</f>
        <v>0</v>
      </c>
      <c r="AH23" s="42">
        <f>IF($P$21=1,(S23/$S$24)*$E$37,AD23/$AD$24*$E$37)</f>
        <v>0</v>
      </c>
      <c r="AI23" s="42">
        <f>S23*$M$21</f>
        <v>375.36</v>
      </c>
      <c r="AJ23" s="42">
        <f>IF($C$21=3,0,AG23+AH23)</f>
        <v>0</v>
      </c>
      <c r="AK23" s="42">
        <f>IF($C$21=3,AE23+AG23+AH23,0)</f>
        <v>0</v>
      </c>
      <c r="AL23" s="42">
        <v>3</v>
      </c>
      <c r="AM23" s="42">
        <f>F23/AL23</f>
        <v>0.66666666666666663</v>
      </c>
      <c r="AN23" s="42">
        <f>AI23/AM23</f>
        <v>563.04000000000008</v>
      </c>
      <c r="AO23" s="42">
        <f>AJ23/AM23</f>
        <v>0</v>
      </c>
      <c r="AP23" s="42">
        <f>AK23/AM23</f>
        <v>0</v>
      </c>
      <c r="AQ23" s="42" t="s">
        <v>12</v>
      </c>
      <c r="AR23" s="42">
        <f>AN23+AO23+AP23</f>
        <v>563.04000000000008</v>
      </c>
      <c r="AS23" s="44" t="s">
        <v>126</v>
      </c>
      <c r="AT23" s="44" t="s">
        <v>12</v>
      </c>
      <c r="AU23" s="4" t="s">
        <v>127</v>
      </c>
      <c r="AV23" s="4" t="s">
        <v>138</v>
      </c>
      <c r="AW23" s="44">
        <f>AM23</f>
        <v>0.66666666666666663</v>
      </c>
      <c r="AX23" s="44">
        <f>AR23</f>
        <v>563.04000000000008</v>
      </c>
      <c r="AY23" s="44">
        <f>AU23+AW23</f>
        <v>0.66666666666666663</v>
      </c>
      <c r="AZ23" s="44">
        <f>ROUND(((AU23*AV23)+(AW23*AX23))/(AU23+AW23),5)</f>
        <v>563.04</v>
      </c>
      <c r="BA23" s="45"/>
      <c r="BB23" s="45" t="s">
        <v>117</v>
      </c>
      <c r="BC23" s="46" t="s">
        <v>118</v>
      </c>
      <c r="BD23" s="47" t="s">
        <v>119</v>
      </c>
      <c r="BE23" s="47" t="s">
        <v>120</v>
      </c>
      <c r="BF23" s="45"/>
      <c r="BG23" s="45"/>
      <c r="BH23" s="45"/>
      <c r="BI23" s="44"/>
      <c r="BJ23" s="44"/>
      <c r="BK23" s="44"/>
      <c r="BL23" s="44" t="s">
        <v>121</v>
      </c>
      <c r="BM23" s="4" t="s">
        <v>139</v>
      </c>
      <c r="BN23" s="4" t="s">
        <v>140</v>
      </c>
      <c r="BO23" s="44">
        <f>ROUND((((AW23*AZ23)+(BN23*BM23))/(AW23+BN23)),5)</f>
        <v>190.00659999999999</v>
      </c>
      <c r="BP23" s="48">
        <f>BN23+AW23</f>
        <v>80.666666666666671</v>
      </c>
      <c r="BQ23" s="49">
        <v>88363222</v>
      </c>
    </row>
    <row r="24" spans="1:69" ht="15.75" thickBot="1">
      <c r="A24" s="3"/>
      <c r="B24" s="50"/>
      <c r="C24" s="50"/>
      <c r="D24" s="51" t="s">
        <v>41</v>
      </c>
      <c r="E24" s="51"/>
      <c r="F24" s="51"/>
      <c r="G24" s="52"/>
      <c r="H24" s="53">
        <f>SUM(H23:H23)</f>
        <v>400</v>
      </c>
      <c r="I24" s="41"/>
      <c r="J24" s="41"/>
      <c r="K24" s="41"/>
      <c r="L24" s="41"/>
      <c r="M24" s="41"/>
      <c r="N24" s="41"/>
      <c r="O24" s="41"/>
      <c r="P24" s="41"/>
      <c r="Q24" s="41"/>
      <c r="R24" s="53">
        <f t="shared" ref="R24:Y24" si="1">SUM(R23:R23)</f>
        <v>24.64</v>
      </c>
      <c r="S24" s="54">
        <f t="shared" si="1"/>
        <v>375.36</v>
      </c>
      <c r="T24" s="53"/>
      <c r="U24" s="53"/>
      <c r="V24" s="55">
        <f t="shared" si="1"/>
        <v>0</v>
      </c>
      <c r="W24" s="55">
        <f t="shared" si="1"/>
        <v>0</v>
      </c>
      <c r="X24" s="55">
        <f t="shared" si="1"/>
        <v>0</v>
      </c>
      <c r="Y24" s="55">
        <f t="shared" si="1"/>
        <v>0</v>
      </c>
      <c r="Z24" s="55"/>
      <c r="AA24" s="55">
        <f t="shared" ref="AA24:AE24" si="2">SUM(AA23:AA23)</f>
        <v>0</v>
      </c>
      <c r="AB24" s="53">
        <f t="shared" si="2"/>
        <v>0</v>
      </c>
      <c r="AC24" s="56">
        <f t="shared" si="2"/>
        <v>375.36</v>
      </c>
      <c r="AD24" s="57">
        <f t="shared" si="2"/>
        <v>120</v>
      </c>
      <c r="AE24" s="57">
        <f t="shared" si="2"/>
        <v>0</v>
      </c>
      <c r="AF24" s="56"/>
      <c r="AG24" s="57">
        <f t="shared" ref="AG24:AK24" si="3">SUM(AG23:AG23)</f>
        <v>0</v>
      </c>
      <c r="AH24" s="57">
        <f t="shared" si="3"/>
        <v>0</v>
      </c>
      <c r="AI24" s="57">
        <f t="shared" si="3"/>
        <v>375.36</v>
      </c>
      <c r="AJ24" s="57">
        <f t="shared" si="3"/>
        <v>0</v>
      </c>
      <c r="AK24" s="57">
        <f t="shared" si="3"/>
        <v>0</v>
      </c>
      <c r="AL24" s="56"/>
      <c r="AM24" s="56"/>
      <c r="AN24" s="56"/>
      <c r="AO24" s="56"/>
      <c r="AP24" s="56"/>
      <c r="AQ24" s="56"/>
      <c r="AR24" s="56"/>
      <c r="AS24" s="3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A12" workbookViewId="0">
      <selection activeCell="J31" sqref="J31"/>
    </sheetView>
  </sheetViews>
  <sheetFormatPr defaultColWidth="8.7109375" defaultRowHeight="15"/>
  <cols>
    <col min="8" max="8" width="9.42578125" bestFit="1" customWidth="1"/>
  </cols>
  <sheetData>
    <row r="1" spans="1:69" ht="18.7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spans="1:69" ht="19.5" thickBo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spans="1:69" ht="15.75" thickTop="1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65.319999999999993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2507.6800000000003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>F17*G17</f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</row>
    <row r="18" spans="1:69" ht="15.75" thickBot="1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</row>
    <row r="19" spans="1:69" ht="15.75" thickTop="1">
      <c r="A19" s="3"/>
      <c r="B19" s="58" t="s">
        <v>41</v>
      </c>
      <c r="C19" s="59"/>
      <c r="D19" s="59"/>
      <c r="E19" s="59"/>
      <c r="F19" s="59"/>
      <c r="G19" s="60"/>
      <c r="H19" s="24">
        <f>SUM(H4:H18)</f>
        <v>71856.759999999995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 ht="15.75" thickBot="1">
      <c r="A21" s="28" t="s">
        <v>43</v>
      </c>
      <c r="B21" s="28"/>
      <c r="C21" s="9">
        <v>3</v>
      </c>
      <c r="D21" s="29" t="s">
        <v>44</v>
      </c>
      <c r="E21" s="27"/>
      <c r="F21" s="27"/>
      <c r="G21" s="27"/>
      <c r="H21" s="26"/>
      <c r="I21" s="25" t="s">
        <v>45</v>
      </c>
      <c r="J21" s="25" t="s">
        <v>46</v>
      </c>
      <c r="K21" s="25"/>
      <c r="L21" s="25" t="s">
        <v>47</v>
      </c>
      <c r="M21" s="25">
        <v>1</v>
      </c>
      <c r="N21" s="25"/>
      <c r="O21" s="25" t="s">
        <v>48</v>
      </c>
      <c r="P21" s="25">
        <v>1</v>
      </c>
      <c r="Q21" s="25" t="s">
        <v>49</v>
      </c>
      <c r="R21" s="26"/>
      <c r="S21" s="26"/>
      <c r="T21" s="26"/>
      <c r="U21" s="26"/>
      <c r="V21" s="26">
        <v>1</v>
      </c>
      <c r="W21" s="26" t="s">
        <v>50</v>
      </c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3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</row>
    <row r="22" spans="1:69" ht="61.5" thickTop="1" thickBot="1">
      <c r="A22" s="30" t="s">
        <v>2</v>
      </c>
      <c r="B22" s="30" t="s">
        <v>3</v>
      </c>
      <c r="C22" s="31" t="s">
        <v>4</v>
      </c>
      <c r="D22" s="30" t="s">
        <v>5</v>
      </c>
      <c r="E22" s="30" t="s">
        <v>6</v>
      </c>
      <c r="F22" s="32" t="s">
        <v>51</v>
      </c>
      <c r="G22" s="30" t="s">
        <v>8</v>
      </c>
      <c r="H22" s="30" t="s">
        <v>9</v>
      </c>
      <c r="I22" s="33" t="s">
        <v>52</v>
      </c>
      <c r="J22" s="33" t="s">
        <v>53</v>
      </c>
      <c r="K22" s="33" t="s">
        <v>54</v>
      </c>
      <c r="L22" s="34" t="s">
        <v>55</v>
      </c>
      <c r="M22" s="34" t="s">
        <v>56</v>
      </c>
      <c r="N22" s="34" t="s">
        <v>57</v>
      </c>
      <c r="O22" s="34" t="s">
        <v>58</v>
      </c>
      <c r="P22" s="34" t="s">
        <v>59</v>
      </c>
      <c r="Q22" s="34" t="s">
        <v>60</v>
      </c>
      <c r="R22" s="33" t="s">
        <v>61</v>
      </c>
      <c r="S22" s="30" t="s">
        <v>62</v>
      </c>
      <c r="T22" s="30" t="s">
        <v>63</v>
      </c>
      <c r="U22" s="35" t="s">
        <v>64</v>
      </c>
      <c r="V22" s="35" t="s">
        <v>65</v>
      </c>
      <c r="W22" s="35" t="s">
        <v>66</v>
      </c>
      <c r="X22" s="35" t="s">
        <v>67</v>
      </c>
      <c r="Y22" s="35" t="s">
        <v>68</v>
      </c>
      <c r="Z22" s="35" t="s">
        <v>69</v>
      </c>
      <c r="AA22" s="35" t="s">
        <v>70</v>
      </c>
      <c r="AB22" s="35" t="s">
        <v>71</v>
      </c>
      <c r="AC22" s="36" t="s">
        <v>72</v>
      </c>
      <c r="AD22" s="36" t="s">
        <v>73</v>
      </c>
      <c r="AE22" s="37" t="s">
        <v>74</v>
      </c>
      <c r="AF22" s="37" t="s">
        <v>75</v>
      </c>
      <c r="AG22" s="37" t="s">
        <v>76</v>
      </c>
      <c r="AH22" s="36" t="s">
        <v>77</v>
      </c>
      <c r="AI22" s="36" t="s">
        <v>78</v>
      </c>
      <c r="AJ22" s="37" t="s">
        <v>79</v>
      </c>
      <c r="AK22" s="37" t="s">
        <v>80</v>
      </c>
      <c r="AL22" s="36" t="s">
        <v>81</v>
      </c>
      <c r="AM22" s="36" t="s">
        <v>82</v>
      </c>
      <c r="AN22" s="37" t="s">
        <v>83</v>
      </c>
      <c r="AO22" s="37" t="s">
        <v>84</v>
      </c>
      <c r="AP22" s="37" t="s">
        <v>85</v>
      </c>
      <c r="AQ22" s="36" t="s">
        <v>86</v>
      </c>
      <c r="AR22" s="38" t="s">
        <v>87</v>
      </c>
      <c r="AS22" s="6" t="s">
        <v>88</v>
      </c>
      <c r="AT22" s="6" t="s">
        <v>86</v>
      </c>
      <c r="AU22" s="39" t="s">
        <v>89</v>
      </c>
      <c r="AV22" s="39" t="s">
        <v>90</v>
      </c>
      <c r="AW22" s="39" t="s">
        <v>91</v>
      </c>
      <c r="AX22" s="39" t="s">
        <v>92</v>
      </c>
      <c r="AY22" s="39" t="s">
        <v>93</v>
      </c>
      <c r="AZ22" s="39" t="s">
        <v>94</v>
      </c>
      <c r="BA22" s="39" t="s">
        <v>95</v>
      </c>
      <c r="BB22" s="39" t="s">
        <v>96</v>
      </c>
      <c r="BC22" s="40" t="s">
        <v>97</v>
      </c>
      <c r="BD22" s="40" t="s">
        <v>98</v>
      </c>
      <c r="BE22" s="40" t="s">
        <v>99</v>
      </c>
      <c r="BF22" s="39" t="s">
        <v>100</v>
      </c>
      <c r="BG22" s="39" t="s">
        <v>101</v>
      </c>
      <c r="BH22" s="39" t="s">
        <v>102</v>
      </c>
      <c r="BI22" s="39" t="s">
        <v>103</v>
      </c>
      <c r="BJ22" s="39" t="s">
        <v>104</v>
      </c>
      <c r="BK22" s="39" t="s">
        <v>105</v>
      </c>
      <c r="BL22" s="39" t="s">
        <v>106</v>
      </c>
      <c r="BM22" s="39" t="s">
        <v>107</v>
      </c>
      <c r="BN22" s="39" t="s">
        <v>108</v>
      </c>
      <c r="BO22" s="39" t="s">
        <v>94</v>
      </c>
      <c r="BP22" s="39" t="s">
        <v>109</v>
      </c>
      <c r="BQ22" s="39" t="s">
        <v>63</v>
      </c>
    </row>
    <row r="23" spans="1:69" ht="15.75" thickBot="1">
      <c r="A23" s="41">
        <v>1</v>
      </c>
      <c r="B23" s="41" t="s">
        <v>142</v>
      </c>
      <c r="C23" s="41" t="s">
        <v>142</v>
      </c>
      <c r="D23" s="41" t="s">
        <v>12</v>
      </c>
      <c r="E23" s="41" t="s">
        <v>12</v>
      </c>
      <c r="F23" s="42">
        <v>2</v>
      </c>
      <c r="G23" s="4" t="s">
        <v>111</v>
      </c>
      <c r="H23" s="42">
        <f>F23*G23</f>
        <v>400</v>
      </c>
      <c r="I23" s="4" t="s">
        <v>112</v>
      </c>
      <c r="J23" s="42">
        <v>2</v>
      </c>
      <c r="K23" s="42">
        <v>2</v>
      </c>
      <c r="L23" s="42">
        <f>H23</f>
        <v>400</v>
      </c>
      <c r="M23" s="42">
        <f>ROUND(L23*I23%,2)</f>
        <v>8</v>
      </c>
      <c r="N23" s="42">
        <f>H23-M23</f>
        <v>392</v>
      </c>
      <c r="O23" s="42">
        <f>ROUND(N23*J23%,2)</f>
        <v>7.84</v>
      </c>
      <c r="P23" s="42">
        <f>ROUND(N23-O23,2)</f>
        <v>384.16</v>
      </c>
      <c r="Q23" s="42">
        <f>ROUND(P23*K23%,2)</f>
        <v>7.68</v>
      </c>
      <c r="R23" s="42">
        <f>M23+O23+Q23</f>
        <v>23.52</v>
      </c>
      <c r="S23" s="42">
        <f>(H23-R23)</f>
        <v>376.48</v>
      </c>
      <c r="T23" s="42" t="s">
        <v>113</v>
      </c>
      <c r="U23" s="42">
        <v>0.18</v>
      </c>
      <c r="V23" s="42">
        <f>IF(OR($C$21=1,$C$21=4),ROUND(((S23*U23)/2),2),0)</f>
        <v>0</v>
      </c>
      <c r="W23" s="42">
        <f>IF($C$21=1,ROUND(((S23*U23)/2),2),0)</f>
        <v>0</v>
      </c>
      <c r="X23" s="42">
        <f>IF($C$21=2,ROUND(((S23*U23)),2),0)</f>
        <v>0</v>
      </c>
      <c r="Y23" s="42">
        <f>IF($C$21=4,ROUND(((S23*U23)/2),2),0)</f>
        <v>0</v>
      </c>
      <c r="Z23" s="43">
        <v>0</v>
      </c>
      <c r="AA23" s="42">
        <f>IF($C21=3,0,S23*Z23)</f>
        <v>0</v>
      </c>
      <c r="AB23" s="42">
        <f>V23+W23+X23+Y23+AA23</f>
        <v>0</v>
      </c>
      <c r="AC23" s="42">
        <f>IF($V21=1,S23+AB23,S23)</f>
        <v>376.48</v>
      </c>
      <c r="AD23" s="42">
        <v>120</v>
      </c>
      <c r="AE23" s="42">
        <f>IF($P$21=1,(S23/$S$24)*$E$35,AD23/$AD$24*$E$35)</f>
        <v>0</v>
      </c>
      <c r="AF23" s="42"/>
      <c r="AG23" s="42">
        <f>IF($P$21=1,(S23/$S$24)*$E$37,AD23/$AD$24*$E$37)</f>
        <v>0</v>
      </c>
      <c r="AH23" s="42">
        <f>IF($P$21=1,(S23/$S$24)*$E$37,AD23/$AD$24*$E$37)</f>
        <v>0</v>
      </c>
      <c r="AI23" s="42">
        <f>S23*$M$21</f>
        <v>376.48</v>
      </c>
      <c r="AJ23" s="42">
        <f>IF($C$21=3,0,AG23+AH23)</f>
        <v>0</v>
      </c>
      <c r="AK23" s="42">
        <f>IF($C$21=3,AE23+AG23+AH23,0)</f>
        <v>0</v>
      </c>
      <c r="AL23" s="42">
        <v>1</v>
      </c>
      <c r="AM23" s="42">
        <f>F23/AL23</f>
        <v>2</v>
      </c>
      <c r="AN23" s="42">
        <f>AI23/AM23</f>
        <v>188.24</v>
      </c>
      <c r="AO23" s="42">
        <f>AJ23/AM23</f>
        <v>0</v>
      </c>
      <c r="AP23" s="42">
        <f>AK23/AM23</f>
        <v>0</v>
      </c>
      <c r="AQ23" s="42" t="s">
        <v>12</v>
      </c>
      <c r="AR23" s="42">
        <f>AN23+AO23+AP23</f>
        <v>188.24</v>
      </c>
      <c r="AS23" s="44" t="s">
        <v>114</v>
      </c>
      <c r="AT23" s="44" t="s">
        <v>12</v>
      </c>
      <c r="AU23" s="4" t="s">
        <v>143</v>
      </c>
      <c r="AV23" s="4" t="s">
        <v>144</v>
      </c>
      <c r="AW23" s="44">
        <f>AM23</f>
        <v>2</v>
      </c>
      <c r="AX23" s="44">
        <f>AR23</f>
        <v>188.24</v>
      </c>
      <c r="AY23" s="44">
        <f>AU23+AW23</f>
        <v>14092</v>
      </c>
      <c r="AZ23" s="44">
        <f>ROUND(((AU23*AV23)+(AW23*AX23))/(AU23+AW23),5)</f>
        <v>121.1908</v>
      </c>
      <c r="BA23" s="45"/>
      <c r="BB23" s="45" t="s">
        <v>117</v>
      </c>
      <c r="BC23" s="47" t="s">
        <v>118</v>
      </c>
      <c r="BD23" s="47" t="s">
        <v>119</v>
      </c>
      <c r="BE23" s="47" t="s">
        <v>120</v>
      </c>
      <c r="BF23" s="45"/>
      <c r="BG23" s="45"/>
      <c r="BH23" s="45"/>
      <c r="BI23" s="44"/>
      <c r="BJ23" s="44"/>
      <c r="BK23" s="44"/>
      <c r="BL23" s="44" t="s">
        <v>121</v>
      </c>
      <c r="BM23" s="4" t="s">
        <v>145</v>
      </c>
      <c r="BN23" s="4" t="s">
        <v>146</v>
      </c>
      <c r="BO23" s="44">
        <f>ROUND((((AW23*AZ23)+(BN23*BM23))/(AW23+BN23)),5)</f>
        <v>146.93406999999999</v>
      </c>
      <c r="BP23" s="48">
        <f>BN23+AW23</f>
        <v>689</v>
      </c>
      <c r="BQ23" s="49">
        <v>88363221</v>
      </c>
    </row>
    <row r="24" spans="1:69" ht="15.75" thickBot="1">
      <c r="A24" s="3"/>
      <c r="B24" s="50"/>
      <c r="C24" s="50"/>
      <c r="D24" s="51" t="s">
        <v>41</v>
      </c>
      <c r="E24" s="51"/>
      <c r="F24" s="51"/>
      <c r="G24" s="52"/>
      <c r="H24" s="53">
        <f>SUM(H23:H23)</f>
        <v>400</v>
      </c>
      <c r="I24" s="41"/>
      <c r="J24" s="41"/>
      <c r="K24" s="41"/>
      <c r="L24" s="41"/>
      <c r="M24" s="41"/>
      <c r="N24" s="41"/>
      <c r="O24" s="41"/>
      <c r="P24" s="41"/>
      <c r="Q24" s="41"/>
      <c r="R24" s="53">
        <f t="shared" ref="R24:X24" si="1">SUM(R23:R23)</f>
        <v>23.52</v>
      </c>
      <c r="S24" s="54">
        <f t="shared" si="1"/>
        <v>376.48</v>
      </c>
      <c r="T24" s="53"/>
      <c r="U24" s="53"/>
      <c r="V24" s="55">
        <f t="shared" si="1"/>
        <v>0</v>
      </c>
      <c r="W24" s="55">
        <f t="shared" si="1"/>
        <v>0</v>
      </c>
      <c r="X24" s="55">
        <f t="shared" si="1"/>
        <v>0</v>
      </c>
      <c r="Y24" s="55"/>
      <c r="Z24" s="55"/>
      <c r="AA24" s="55"/>
      <c r="AB24" s="53">
        <f t="shared" ref="AB24:AE24" si="2">SUM(AB23:AB23)</f>
        <v>0</v>
      </c>
      <c r="AC24" s="56">
        <f t="shared" si="2"/>
        <v>376.48</v>
      </c>
      <c r="AD24" s="57">
        <f t="shared" si="2"/>
        <v>120</v>
      </c>
      <c r="AE24" s="57">
        <f t="shared" si="2"/>
        <v>0</v>
      </c>
      <c r="AF24" s="56"/>
      <c r="AG24" s="57">
        <f t="shared" ref="AG24:AK24" si="3">SUM(AG23:AG23)</f>
        <v>0</v>
      </c>
      <c r="AH24" s="57">
        <f t="shared" si="3"/>
        <v>0</v>
      </c>
      <c r="AI24" s="57">
        <f t="shared" si="3"/>
        <v>376.48</v>
      </c>
      <c r="AJ24" s="57">
        <f t="shared" si="3"/>
        <v>0</v>
      </c>
      <c r="AK24" s="57">
        <f t="shared" si="3"/>
        <v>0</v>
      </c>
      <c r="AL24" s="56"/>
      <c r="AM24" s="56"/>
      <c r="AN24" s="56"/>
      <c r="AO24" s="56"/>
      <c r="AP24" s="56"/>
      <c r="AQ24" s="56"/>
      <c r="AR24" s="56"/>
      <c r="AS24" s="3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A9" workbookViewId="0">
      <selection activeCell="J31" sqref="J31"/>
    </sheetView>
  </sheetViews>
  <sheetFormatPr defaultColWidth="8.7109375" defaultRowHeight="15"/>
  <cols>
    <col min="8" max="8" width="9.42578125" bestFit="1" customWidth="1"/>
  </cols>
  <sheetData>
    <row r="1" spans="1:69" ht="18.7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spans="1:69" ht="19.5" thickBo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spans="1:69" ht="15.75" thickTop="1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65.319999999999993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2507.6800000000003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>F17*G17</f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</row>
    <row r="18" spans="1:69" ht="15.75" thickBot="1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</row>
    <row r="19" spans="1:69" ht="15.75" thickTop="1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71856.759999999995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 ht="15.75" thickBot="1">
      <c r="A21" s="28" t="s">
        <v>43</v>
      </c>
      <c r="B21" s="28"/>
      <c r="C21" s="9">
        <v>3</v>
      </c>
      <c r="D21" s="29" t="s">
        <v>44</v>
      </c>
      <c r="E21" s="27"/>
      <c r="F21" s="27"/>
      <c r="G21" s="27"/>
      <c r="H21" s="26"/>
      <c r="I21" s="25" t="s">
        <v>45</v>
      </c>
      <c r="J21" s="25" t="s">
        <v>46</v>
      </c>
      <c r="K21" s="25"/>
      <c r="L21" s="25" t="s">
        <v>47</v>
      </c>
      <c r="M21" s="25">
        <v>1</v>
      </c>
      <c r="N21" s="25"/>
      <c r="O21" s="25" t="s">
        <v>48</v>
      </c>
      <c r="P21" s="25">
        <v>1</v>
      </c>
      <c r="Q21" s="25" t="s">
        <v>49</v>
      </c>
      <c r="R21" s="26"/>
      <c r="S21" s="26"/>
      <c r="T21" s="26"/>
      <c r="U21" s="26"/>
      <c r="V21" s="26">
        <v>1</v>
      </c>
      <c r="W21" s="26" t="s">
        <v>50</v>
      </c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3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</row>
    <row r="22" spans="1:69" ht="61.5" thickTop="1" thickBot="1">
      <c r="A22" s="30" t="s">
        <v>2</v>
      </c>
      <c r="B22" s="30" t="s">
        <v>3</v>
      </c>
      <c r="C22" s="31" t="s">
        <v>4</v>
      </c>
      <c r="D22" s="30" t="s">
        <v>5</v>
      </c>
      <c r="E22" s="30" t="s">
        <v>6</v>
      </c>
      <c r="F22" s="32" t="s">
        <v>51</v>
      </c>
      <c r="G22" s="30" t="s">
        <v>8</v>
      </c>
      <c r="H22" s="30" t="s">
        <v>9</v>
      </c>
      <c r="I22" s="33" t="s">
        <v>52</v>
      </c>
      <c r="J22" s="33" t="s">
        <v>53</v>
      </c>
      <c r="K22" s="33" t="s">
        <v>54</v>
      </c>
      <c r="L22" s="34" t="s">
        <v>55</v>
      </c>
      <c r="M22" s="34" t="s">
        <v>56</v>
      </c>
      <c r="N22" s="34" t="s">
        <v>57</v>
      </c>
      <c r="O22" s="34" t="s">
        <v>58</v>
      </c>
      <c r="P22" s="34" t="s">
        <v>59</v>
      </c>
      <c r="Q22" s="34" t="s">
        <v>60</v>
      </c>
      <c r="R22" s="33" t="s">
        <v>61</v>
      </c>
      <c r="S22" s="30" t="s">
        <v>62</v>
      </c>
      <c r="T22" s="30" t="s">
        <v>63</v>
      </c>
      <c r="U22" s="35" t="s">
        <v>64</v>
      </c>
      <c r="V22" s="35" t="s">
        <v>65</v>
      </c>
      <c r="W22" s="35" t="s">
        <v>66</v>
      </c>
      <c r="X22" s="35" t="s">
        <v>67</v>
      </c>
      <c r="Y22" s="35" t="s">
        <v>68</v>
      </c>
      <c r="Z22" s="35" t="s">
        <v>69</v>
      </c>
      <c r="AA22" s="35" t="s">
        <v>70</v>
      </c>
      <c r="AB22" s="35" t="s">
        <v>71</v>
      </c>
      <c r="AC22" s="36" t="s">
        <v>72</v>
      </c>
      <c r="AD22" s="36" t="s">
        <v>73</v>
      </c>
      <c r="AE22" s="37" t="s">
        <v>74</v>
      </c>
      <c r="AF22" s="37" t="s">
        <v>75</v>
      </c>
      <c r="AG22" s="37" t="s">
        <v>76</v>
      </c>
      <c r="AH22" s="36" t="s">
        <v>77</v>
      </c>
      <c r="AI22" s="36" t="s">
        <v>78</v>
      </c>
      <c r="AJ22" s="37" t="s">
        <v>79</v>
      </c>
      <c r="AK22" s="37" t="s">
        <v>80</v>
      </c>
      <c r="AL22" s="36" t="s">
        <v>81</v>
      </c>
      <c r="AM22" s="36" t="s">
        <v>82</v>
      </c>
      <c r="AN22" s="37" t="s">
        <v>83</v>
      </c>
      <c r="AO22" s="37" t="s">
        <v>84</v>
      </c>
      <c r="AP22" s="37" t="s">
        <v>85</v>
      </c>
      <c r="AQ22" s="36" t="s">
        <v>86</v>
      </c>
      <c r="AR22" s="38" t="s">
        <v>87</v>
      </c>
      <c r="AS22" s="6" t="s">
        <v>88</v>
      </c>
      <c r="AT22" s="6" t="s">
        <v>86</v>
      </c>
      <c r="AU22" s="39" t="s">
        <v>89</v>
      </c>
      <c r="AV22" s="39" t="s">
        <v>90</v>
      </c>
      <c r="AW22" s="39" t="s">
        <v>91</v>
      </c>
      <c r="AX22" s="39" t="s">
        <v>92</v>
      </c>
      <c r="AY22" s="39" t="s">
        <v>93</v>
      </c>
      <c r="AZ22" s="39" t="s">
        <v>94</v>
      </c>
      <c r="BA22" s="39" t="s">
        <v>95</v>
      </c>
      <c r="BB22" s="39" t="s">
        <v>96</v>
      </c>
      <c r="BC22" s="40" t="s">
        <v>97</v>
      </c>
      <c r="BD22" s="40" t="s">
        <v>98</v>
      </c>
      <c r="BE22" s="40" t="s">
        <v>99</v>
      </c>
      <c r="BF22" s="39" t="s">
        <v>100</v>
      </c>
      <c r="BG22" s="39" t="s">
        <v>101</v>
      </c>
      <c r="BH22" s="39" t="s">
        <v>102</v>
      </c>
      <c r="BI22" s="39" t="s">
        <v>103</v>
      </c>
      <c r="BJ22" s="39" t="s">
        <v>104</v>
      </c>
      <c r="BK22" s="39" t="s">
        <v>105</v>
      </c>
      <c r="BL22" s="39" t="s">
        <v>106</v>
      </c>
      <c r="BM22" s="39" t="s">
        <v>107</v>
      </c>
      <c r="BN22" s="39" t="s">
        <v>108</v>
      </c>
      <c r="BO22" s="39" t="s">
        <v>94</v>
      </c>
      <c r="BP22" s="39" t="s">
        <v>109</v>
      </c>
      <c r="BQ22" s="39" t="s">
        <v>63</v>
      </c>
    </row>
    <row r="23" spans="1:69" ht="15.75" thickBot="1">
      <c r="A23" s="41">
        <v>1</v>
      </c>
      <c r="B23" s="41" t="s">
        <v>147</v>
      </c>
      <c r="C23" s="41" t="s">
        <v>147</v>
      </c>
      <c r="D23" s="41" t="s">
        <v>12</v>
      </c>
      <c r="E23" s="41" t="s">
        <v>12</v>
      </c>
      <c r="F23" s="42">
        <v>2</v>
      </c>
      <c r="G23" s="4" t="s">
        <v>111</v>
      </c>
      <c r="H23" s="42">
        <f>F23*G23</f>
        <v>400</v>
      </c>
      <c r="I23" s="4" t="s">
        <v>112</v>
      </c>
      <c r="J23" s="42">
        <v>2</v>
      </c>
      <c r="K23" s="42">
        <v>2</v>
      </c>
      <c r="L23" s="42">
        <f>H23</f>
        <v>400</v>
      </c>
      <c r="M23" s="42">
        <f>ROUND(L23*I23%,2)</f>
        <v>8</v>
      </c>
      <c r="N23" s="42">
        <f>H23-M23</f>
        <v>392</v>
      </c>
      <c r="O23" s="42">
        <f>ROUND(N23*J23%,2)</f>
        <v>7.84</v>
      </c>
      <c r="P23" s="42">
        <f>ROUND(N23-O23,2)</f>
        <v>384.16</v>
      </c>
      <c r="Q23" s="42">
        <f>ROUND(P23*K23%,2)</f>
        <v>7.68</v>
      </c>
      <c r="R23" s="42">
        <f>M23+O23+Q23</f>
        <v>23.52</v>
      </c>
      <c r="S23" s="42">
        <f>(H23-R23)</f>
        <v>376.48</v>
      </c>
      <c r="T23" s="42" t="s">
        <v>113</v>
      </c>
      <c r="U23" s="42">
        <v>0.18</v>
      </c>
      <c r="V23" s="42">
        <f>IF(OR($C$21=1,$C$21=4),ROUND(((S23*U23)/2),2),0)</f>
        <v>0</v>
      </c>
      <c r="W23" s="42">
        <f>IF($C$21=1,ROUND(((S23*U23)/2),2),0)</f>
        <v>0</v>
      </c>
      <c r="X23" s="42">
        <f>IF($C$21=2,ROUND(((S23*U23)),2),0)</f>
        <v>0</v>
      </c>
      <c r="Y23" s="42">
        <f>IF($C$21=4,ROUND(((S23*U23)/2),2),0)</f>
        <v>0</v>
      </c>
      <c r="Z23" s="43">
        <v>0</v>
      </c>
      <c r="AA23" s="42">
        <f>IF($C21=3,0,ROUND(S23*Z23,2))</f>
        <v>0</v>
      </c>
      <c r="AB23" s="42">
        <f>V23+W23+X23+Y23+AA23</f>
        <v>0</v>
      </c>
      <c r="AC23" s="42">
        <f>IF($V21=1,S23+AB23,S23)</f>
        <v>376.48</v>
      </c>
      <c r="AD23" s="42">
        <v>120</v>
      </c>
      <c r="AE23" s="42">
        <f>IF($P$21=1,(S23/$S$24)*$E$35,AD23/$AD$24*$E$35)</f>
        <v>0</v>
      </c>
      <c r="AF23" s="42"/>
      <c r="AG23" s="42">
        <f>IF($P$21=1,(S23/$S$24)*$E$37,AD23/$AD$24*$E$37)</f>
        <v>0</v>
      </c>
      <c r="AH23" s="42">
        <f>IF($P$21=1,(S23/$S$24)*$E$37,AD23/$AD$24*$E$37)</f>
        <v>0</v>
      </c>
      <c r="AI23" s="42">
        <f>S23*$M$21</f>
        <v>376.48</v>
      </c>
      <c r="AJ23" s="42">
        <f>IF($C$21=3,0,AG23+AH23)</f>
        <v>0</v>
      </c>
      <c r="AK23" s="42">
        <f>IF($C$21=3,AE23+AG23+AH23,0)</f>
        <v>0</v>
      </c>
      <c r="AL23" s="42">
        <v>1</v>
      </c>
      <c r="AM23" s="42">
        <f>F23/AL23</f>
        <v>2</v>
      </c>
      <c r="AN23" s="42">
        <f>AI23/AM23</f>
        <v>188.24</v>
      </c>
      <c r="AO23" s="42">
        <f>AJ23/AM23</f>
        <v>0</v>
      </c>
      <c r="AP23" s="42">
        <f>AK23/AM23</f>
        <v>0</v>
      </c>
      <c r="AQ23" s="42" t="s">
        <v>12</v>
      </c>
      <c r="AR23" s="42">
        <f>AN23+AO23+AP23</f>
        <v>188.24</v>
      </c>
      <c r="AS23" s="44" t="s">
        <v>126</v>
      </c>
      <c r="AT23" s="44" t="s">
        <v>12</v>
      </c>
      <c r="AU23" s="4" t="s">
        <v>127</v>
      </c>
      <c r="AV23" s="4" t="s">
        <v>148</v>
      </c>
      <c r="AW23" s="44">
        <f>AM23</f>
        <v>2</v>
      </c>
      <c r="AX23" s="44">
        <f>AR23</f>
        <v>188.24</v>
      </c>
      <c r="AY23" s="44">
        <f>AU23+AW23</f>
        <v>2</v>
      </c>
      <c r="AZ23" s="44">
        <f>ROUND(((AU23*AV23)+(AW23*AX23))/(AU23+AW23),5)</f>
        <v>188.24</v>
      </c>
      <c r="BA23" s="45"/>
      <c r="BB23" s="45" t="s">
        <v>117</v>
      </c>
      <c r="BC23" s="46" t="s">
        <v>118</v>
      </c>
      <c r="BD23" s="47" t="s">
        <v>119</v>
      </c>
      <c r="BE23" s="47" t="s">
        <v>120</v>
      </c>
      <c r="BF23" s="45"/>
      <c r="BG23" s="45"/>
      <c r="BH23" s="45"/>
      <c r="BI23" s="44"/>
      <c r="BJ23" s="44"/>
      <c r="BK23" s="44"/>
      <c r="BL23" s="44" t="s">
        <v>121</v>
      </c>
      <c r="BM23" s="4" t="s">
        <v>148</v>
      </c>
      <c r="BN23" s="4" t="s">
        <v>149</v>
      </c>
      <c r="BO23" s="44">
        <f>ROUND((((AW23*AZ23)+(BN23*BM23))/(AW23+BN23)),5)</f>
        <v>186.96</v>
      </c>
      <c r="BP23" s="48">
        <f>BN23+AW23</f>
        <v>6</v>
      </c>
      <c r="BQ23" s="49">
        <v>88363222</v>
      </c>
    </row>
    <row r="24" spans="1:69" ht="15.75" thickBot="1">
      <c r="A24" s="3"/>
      <c r="B24" s="50"/>
      <c r="C24" s="50"/>
      <c r="D24" s="51" t="s">
        <v>41</v>
      </c>
      <c r="E24" s="51"/>
      <c r="F24" s="51"/>
      <c r="G24" s="52"/>
      <c r="H24" s="53">
        <f>SUM(H23:H23)</f>
        <v>400</v>
      </c>
      <c r="I24" s="41"/>
      <c r="J24" s="41"/>
      <c r="K24" s="41"/>
      <c r="L24" s="41"/>
      <c r="M24" s="41"/>
      <c r="N24" s="41"/>
      <c r="O24" s="41"/>
      <c r="P24" s="41"/>
      <c r="Q24" s="41"/>
      <c r="R24" s="53">
        <f t="shared" ref="R24:Y24" si="1">SUM(R23:R23)</f>
        <v>23.52</v>
      </c>
      <c r="S24" s="54">
        <f t="shared" si="1"/>
        <v>376.48</v>
      </c>
      <c r="T24" s="53"/>
      <c r="U24" s="53"/>
      <c r="V24" s="55">
        <f t="shared" si="1"/>
        <v>0</v>
      </c>
      <c r="W24" s="55">
        <f t="shared" si="1"/>
        <v>0</v>
      </c>
      <c r="X24" s="55">
        <f t="shared" si="1"/>
        <v>0</v>
      </c>
      <c r="Y24" s="55">
        <f t="shared" si="1"/>
        <v>0</v>
      </c>
      <c r="Z24" s="55"/>
      <c r="AA24" s="55">
        <f t="shared" ref="AA24:AE24" si="2">SUM(AA23:AA23)</f>
        <v>0</v>
      </c>
      <c r="AB24" s="53">
        <f t="shared" si="2"/>
        <v>0</v>
      </c>
      <c r="AC24" s="56">
        <f t="shared" si="2"/>
        <v>376.48</v>
      </c>
      <c r="AD24" s="57">
        <f t="shared" si="2"/>
        <v>120</v>
      </c>
      <c r="AE24" s="57">
        <f t="shared" si="2"/>
        <v>0</v>
      </c>
      <c r="AF24" s="56"/>
      <c r="AG24" s="57">
        <f t="shared" ref="AG24:AK24" si="3">SUM(AG23:AG23)</f>
        <v>0</v>
      </c>
      <c r="AH24" s="57">
        <f t="shared" si="3"/>
        <v>0</v>
      </c>
      <c r="AI24" s="57">
        <f t="shared" si="3"/>
        <v>376.48</v>
      </c>
      <c r="AJ24" s="57">
        <f t="shared" si="3"/>
        <v>0</v>
      </c>
      <c r="AK24" s="57">
        <f t="shared" si="3"/>
        <v>0</v>
      </c>
      <c r="AL24" s="56"/>
      <c r="AM24" s="56"/>
      <c r="AN24" s="56"/>
      <c r="AO24" s="56"/>
      <c r="AP24" s="56"/>
      <c r="AQ24" s="56"/>
      <c r="AR24" s="56"/>
      <c r="AS24" s="3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A12" workbookViewId="0">
      <selection activeCell="J31" sqref="J31"/>
    </sheetView>
  </sheetViews>
  <sheetFormatPr defaultColWidth="8.7109375" defaultRowHeight="15"/>
  <cols>
    <col min="8" max="8" width="9.42578125" bestFit="1" customWidth="1"/>
  </cols>
  <sheetData>
    <row r="1" spans="1:69" ht="18.7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spans="1:69" ht="19.5" thickBo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spans="1:69" ht="15.75" thickTop="1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65.319999999999993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2507.6800000000003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>F17*G17</f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</row>
    <row r="18" spans="1:69" ht="15.75" thickBot="1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</row>
    <row r="19" spans="1:69" ht="15.75" thickTop="1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71856.759999999995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 ht="15.75" thickBot="1">
      <c r="A21" s="28" t="s">
        <v>43</v>
      </c>
      <c r="B21" s="28"/>
      <c r="C21" s="9">
        <v>3</v>
      </c>
      <c r="D21" s="29" t="s">
        <v>44</v>
      </c>
      <c r="E21" s="27"/>
      <c r="F21" s="27"/>
      <c r="G21" s="27"/>
      <c r="H21" s="26"/>
      <c r="I21" s="25" t="s">
        <v>45</v>
      </c>
      <c r="J21" s="25" t="s">
        <v>46</v>
      </c>
      <c r="K21" s="25"/>
      <c r="L21" s="25" t="s">
        <v>47</v>
      </c>
      <c r="M21" s="25">
        <v>1</v>
      </c>
      <c r="N21" s="25"/>
      <c r="O21" s="25" t="s">
        <v>48</v>
      </c>
      <c r="P21" s="25">
        <v>1</v>
      </c>
      <c r="Q21" s="25" t="s">
        <v>49</v>
      </c>
      <c r="R21" s="26"/>
      <c r="S21" s="26"/>
      <c r="T21" s="26"/>
      <c r="U21" s="26"/>
      <c r="V21" s="26">
        <v>1</v>
      </c>
      <c r="W21" s="26" t="s">
        <v>50</v>
      </c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3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</row>
    <row r="22" spans="1:69" ht="61.5" thickTop="1" thickBot="1">
      <c r="A22" s="30" t="s">
        <v>2</v>
      </c>
      <c r="B22" s="30" t="s">
        <v>3</v>
      </c>
      <c r="C22" s="31" t="s">
        <v>4</v>
      </c>
      <c r="D22" s="30" t="s">
        <v>5</v>
      </c>
      <c r="E22" s="30" t="s">
        <v>6</v>
      </c>
      <c r="F22" s="32" t="s">
        <v>51</v>
      </c>
      <c r="G22" s="30" t="s">
        <v>8</v>
      </c>
      <c r="H22" s="30" t="s">
        <v>9</v>
      </c>
      <c r="I22" s="33" t="s">
        <v>52</v>
      </c>
      <c r="J22" s="33" t="s">
        <v>53</v>
      </c>
      <c r="K22" s="33" t="s">
        <v>54</v>
      </c>
      <c r="L22" s="34" t="s">
        <v>55</v>
      </c>
      <c r="M22" s="34" t="s">
        <v>56</v>
      </c>
      <c r="N22" s="34" t="s">
        <v>57</v>
      </c>
      <c r="O22" s="34" t="s">
        <v>58</v>
      </c>
      <c r="P22" s="34" t="s">
        <v>59</v>
      </c>
      <c r="Q22" s="34" t="s">
        <v>60</v>
      </c>
      <c r="R22" s="33" t="s">
        <v>61</v>
      </c>
      <c r="S22" s="30" t="s">
        <v>62</v>
      </c>
      <c r="T22" s="30" t="s">
        <v>63</v>
      </c>
      <c r="U22" s="35" t="s">
        <v>64</v>
      </c>
      <c r="V22" s="35" t="s">
        <v>65</v>
      </c>
      <c r="W22" s="35" t="s">
        <v>66</v>
      </c>
      <c r="X22" s="35" t="s">
        <v>67</v>
      </c>
      <c r="Y22" s="35" t="s">
        <v>68</v>
      </c>
      <c r="Z22" s="35" t="s">
        <v>69</v>
      </c>
      <c r="AA22" s="35" t="s">
        <v>70</v>
      </c>
      <c r="AB22" s="35" t="s">
        <v>71</v>
      </c>
      <c r="AC22" s="36" t="s">
        <v>72</v>
      </c>
      <c r="AD22" s="36" t="s">
        <v>73</v>
      </c>
      <c r="AE22" s="37" t="s">
        <v>74</v>
      </c>
      <c r="AF22" s="37" t="s">
        <v>75</v>
      </c>
      <c r="AG22" s="37" t="s">
        <v>76</v>
      </c>
      <c r="AH22" s="36" t="s">
        <v>77</v>
      </c>
      <c r="AI22" s="36" t="s">
        <v>78</v>
      </c>
      <c r="AJ22" s="37" t="s">
        <v>79</v>
      </c>
      <c r="AK22" s="37" t="s">
        <v>80</v>
      </c>
      <c r="AL22" s="36" t="s">
        <v>81</v>
      </c>
      <c r="AM22" s="36" t="s">
        <v>82</v>
      </c>
      <c r="AN22" s="37" t="s">
        <v>83</v>
      </c>
      <c r="AO22" s="37" t="s">
        <v>84</v>
      </c>
      <c r="AP22" s="37" t="s">
        <v>85</v>
      </c>
      <c r="AQ22" s="36" t="s">
        <v>86</v>
      </c>
      <c r="AR22" s="38" t="s">
        <v>87</v>
      </c>
      <c r="AS22" s="6" t="s">
        <v>88</v>
      </c>
      <c r="AT22" s="6" t="s">
        <v>86</v>
      </c>
      <c r="AU22" s="39" t="s">
        <v>89</v>
      </c>
      <c r="AV22" s="39" t="s">
        <v>90</v>
      </c>
      <c r="AW22" s="39" t="s">
        <v>91</v>
      </c>
      <c r="AX22" s="39" t="s">
        <v>92</v>
      </c>
      <c r="AY22" s="39" t="s">
        <v>93</v>
      </c>
      <c r="AZ22" s="39" t="s">
        <v>94</v>
      </c>
      <c r="BA22" s="39" t="s">
        <v>95</v>
      </c>
      <c r="BB22" s="39" t="s">
        <v>96</v>
      </c>
      <c r="BC22" s="40" t="s">
        <v>97</v>
      </c>
      <c r="BD22" s="40" t="s">
        <v>98</v>
      </c>
      <c r="BE22" s="40" t="s">
        <v>99</v>
      </c>
      <c r="BF22" s="39" t="s">
        <v>100</v>
      </c>
      <c r="BG22" s="39" t="s">
        <v>101</v>
      </c>
      <c r="BH22" s="39" t="s">
        <v>102</v>
      </c>
      <c r="BI22" s="39" t="s">
        <v>103</v>
      </c>
      <c r="BJ22" s="39" t="s">
        <v>104</v>
      </c>
      <c r="BK22" s="39" t="s">
        <v>105</v>
      </c>
      <c r="BL22" s="39" t="s">
        <v>106</v>
      </c>
      <c r="BM22" s="39" t="s">
        <v>107</v>
      </c>
      <c r="BN22" s="39" t="s">
        <v>108</v>
      </c>
      <c r="BO22" s="39" t="s">
        <v>94</v>
      </c>
      <c r="BP22" s="39" t="s">
        <v>109</v>
      </c>
      <c r="BQ22" s="39" t="s">
        <v>63</v>
      </c>
    </row>
    <row r="23" spans="1:69" ht="15.75" thickBot="1">
      <c r="A23" s="41">
        <v>1</v>
      </c>
      <c r="B23" s="41" t="s">
        <v>150</v>
      </c>
      <c r="C23" s="41" t="s">
        <v>150</v>
      </c>
      <c r="D23" s="41" t="s">
        <v>12</v>
      </c>
      <c r="E23" s="41" t="s">
        <v>129</v>
      </c>
      <c r="F23" s="42">
        <v>2</v>
      </c>
      <c r="G23" s="4" t="s">
        <v>111</v>
      </c>
      <c r="H23" s="42">
        <f>F23*G23</f>
        <v>400</v>
      </c>
      <c r="I23" s="4" t="s">
        <v>112</v>
      </c>
      <c r="J23" s="42">
        <v>2</v>
      </c>
      <c r="K23" s="42">
        <v>2</v>
      </c>
      <c r="L23" s="42">
        <f>H23</f>
        <v>400</v>
      </c>
      <c r="M23" s="42">
        <f>ROUND(L23*I23%,2)</f>
        <v>8</v>
      </c>
      <c r="N23" s="42">
        <f>H23-M23</f>
        <v>392</v>
      </c>
      <c r="O23" s="42">
        <f>ROUND(N23*J23%,2)</f>
        <v>7.84</v>
      </c>
      <c r="P23" s="42">
        <f>ROUND(N23-O23,2)</f>
        <v>384.16</v>
      </c>
      <c r="Q23" s="42">
        <f>ROUND(P23*K23%,2)</f>
        <v>7.68</v>
      </c>
      <c r="R23" s="42">
        <f>M23+O23+Q23</f>
        <v>23.52</v>
      </c>
      <c r="S23" s="42">
        <f>(H23-R23)</f>
        <v>376.48</v>
      </c>
      <c r="T23" s="42" t="s">
        <v>113</v>
      </c>
      <c r="U23" s="42">
        <v>0.18</v>
      </c>
      <c r="V23" s="42">
        <f>IF(OR($C$21=1,$C$21=4),ROUND(((S23*U23)/2),2),0)</f>
        <v>0</v>
      </c>
      <c r="W23" s="42">
        <f>IF($C$21=1,ROUND(((S23*U23)/2),2),0)</f>
        <v>0</v>
      </c>
      <c r="X23" s="42">
        <f>IF($C$21=2,ROUND(((S23*U23)),2),0)</f>
        <v>0</v>
      </c>
      <c r="Y23" s="42">
        <f>IF($C$21=4,ROUND(((S23*U23)/2),2),0)</f>
        <v>0</v>
      </c>
      <c r="Z23" s="43">
        <v>0</v>
      </c>
      <c r="AA23" s="42">
        <f>IF($C21=3,0,ROUND(S23*Z23,2))</f>
        <v>0</v>
      </c>
      <c r="AB23" s="42">
        <f>V23+W23+X23+Y23+AA23</f>
        <v>0</v>
      </c>
      <c r="AC23" s="42">
        <f>IF($V21=1,S23+AB23,S23)</f>
        <v>376.48</v>
      </c>
      <c r="AD23" s="42">
        <v>120</v>
      </c>
      <c r="AE23" s="42">
        <f>IF($P$21=1,(S23/$S$24)*$E$35,AD23/$AD$24*$E$35)</f>
        <v>0</v>
      </c>
      <c r="AF23" s="42"/>
      <c r="AG23" s="42">
        <f>IF($P$21=1,(S23/$S$24)*$E$37,AD23/$AD$24*$E$37)</f>
        <v>0</v>
      </c>
      <c r="AH23" s="42">
        <f>IF($P$21=1,(S23/$S$24)*$E$37,AD23/$AD$24*$E$37)</f>
        <v>0</v>
      </c>
      <c r="AI23" s="42">
        <f>S23*$M$21</f>
        <v>376.48</v>
      </c>
      <c r="AJ23" s="42">
        <f>IF($C$21=3,0,AG23+AH23)</f>
        <v>0</v>
      </c>
      <c r="AK23" s="42">
        <f>IF($C$21=3,AE23+AG23+AH23,0)</f>
        <v>0</v>
      </c>
      <c r="AL23" s="42">
        <v>3</v>
      </c>
      <c r="AM23" s="42">
        <f>F23/AL23</f>
        <v>0.66666666666666663</v>
      </c>
      <c r="AN23" s="42">
        <f>AI23/AM23</f>
        <v>564.72</v>
      </c>
      <c r="AO23" s="42">
        <f>AJ23/AM23</f>
        <v>0</v>
      </c>
      <c r="AP23" s="42">
        <f>AK23/AM23</f>
        <v>0</v>
      </c>
      <c r="AQ23" s="42" t="s">
        <v>12</v>
      </c>
      <c r="AR23" s="42">
        <f>AN23+AO23+AP23</f>
        <v>564.72</v>
      </c>
      <c r="AS23" s="44" t="s">
        <v>126</v>
      </c>
      <c r="AT23" s="44" t="s">
        <v>12</v>
      </c>
      <c r="AU23" s="4" t="s">
        <v>127</v>
      </c>
      <c r="AV23" s="4" t="s">
        <v>148</v>
      </c>
      <c r="AW23" s="44">
        <f>AM23</f>
        <v>0.66666666666666663</v>
      </c>
      <c r="AX23" s="44">
        <f>AR23</f>
        <v>564.72</v>
      </c>
      <c r="AY23" s="44">
        <f>AU23+AW23</f>
        <v>0.66666666666666663</v>
      </c>
      <c r="AZ23" s="44">
        <f>ROUND(((AU23*AV23)+(AW23*AX23))/(AU23+AW23),5)</f>
        <v>564.72</v>
      </c>
      <c r="BA23" s="45"/>
      <c r="BB23" s="45" t="s">
        <v>117</v>
      </c>
      <c r="BC23" s="46" t="s">
        <v>118</v>
      </c>
      <c r="BD23" s="47" t="s">
        <v>119</v>
      </c>
      <c r="BE23" s="47" t="s">
        <v>120</v>
      </c>
      <c r="BF23" s="45"/>
      <c r="BG23" s="45"/>
      <c r="BH23" s="45"/>
      <c r="BI23" s="44"/>
      <c r="BJ23" s="44"/>
      <c r="BK23" s="44"/>
      <c r="BL23" s="44" t="s">
        <v>121</v>
      </c>
      <c r="BM23" s="4" t="s">
        <v>148</v>
      </c>
      <c r="BN23" s="4" t="s">
        <v>149</v>
      </c>
      <c r="BO23" s="44">
        <f>ROUND((((AW23*AZ23)+(BN23*BM23))/(AW23+BN23)),5)</f>
        <v>240.37714</v>
      </c>
      <c r="BP23" s="48">
        <f>BN23+AW23</f>
        <v>4.666666666666667</v>
      </c>
      <c r="BQ23" s="49">
        <v>88363222</v>
      </c>
    </row>
    <row r="24" spans="1:69" ht="15.75" thickBot="1">
      <c r="A24" s="3"/>
      <c r="B24" s="50"/>
      <c r="C24" s="50"/>
      <c r="D24" s="51" t="s">
        <v>41</v>
      </c>
      <c r="E24" s="51"/>
      <c r="F24" s="51"/>
      <c r="G24" s="52"/>
      <c r="H24" s="53">
        <f>SUM(H23:H23)</f>
        <v>400</v>
      </c>
      <c r="I24" s="41"/>
      <c r="J24" s="41"/>
      <c r="K24" s="41"/>
      <c r="L24" s="41"/>
      <c r="M24" s="41"/>
      <c r="N24" s="41"/>
      <c r="O24" s="41"/>
      <c r="P24" s="41"/>
      <c r="Q24" s="41"/>
      <c r="R24" s="53">
        <f t="shared" ref="R24:Y24" si="1">SUM(R23:R23)</f>
        <v>23.52</v>
      </c>
      <c r="S24" s="54">
        <f t="shared" si="1"/>
        <v>376.48</v>
      </c>
      <c r="T24" s="53"/>
      <c r="U24" s="53"/>
      <c r="V24" s="55">
        <f t="shared" si="1"/>
        <v>0</v>
      </c>
      <c r="W24" s="55">
        <f t="shared" si="1"/>
        <v>0</v>
      </c>
      <c r="X24" s="55">
        <f t="shared" si="1"/>
        <v>0</v>
      </c>
      <c r="Y24" s="55">
        <f t="shared" si="1"/>
        <v>0</v>
      </c>
      <c r="Z24" s="55"/>
      <c r="AA24" s="55">
        <f t="shared" ref="AA24:AE24" si="2">SUM(AA23:AA23)</f>
        <v>0</v>
      </c>
      <c r="AB24" s="53">
        <f t="shared" si="2"/>
        <v>0</v>
      </c>
      <c r="AC24" s="56">
        <f t="shared" si="2"/>
        <v>376.48</v>
      </c>
      <c r="AD24" s="57">
        <f t="shared" si="2"/>
        <v>120</v>
      </c>
      <c r="AE24" s="57">
        <f t="shared" si="2"/>
        <v>0</v>
      </c>
      <c r="AF24" s="56"/>
      <c r="AG24" s="57">
        <f t="shared" ref="AG24:AK24" si="3">SUM(AG23:AG23)</f>
        <v>0</v>
      </c>
      <c r="AH24" s="57">
        <f t="shared" si="3"/>
        <v>0</v>
      </c>
      <c r="AI24" s="57">
        <f t="shared" si="3"/>
        <v>376.48</v>
      </c>
      <c r="AJ24" s="57">
        <f t="shared" si="3"/>
        <v>0</v>
      </c>
      <c r="AK24" s="57">
        <f t="shared" si="3"/>
        <v>0</v>
      </c>
      <c r="AL24" s="56"/>
      <c r="AM24" s="56"/>
      <c r="AN24" s="56"/>
      <c r="AO24" s="56"/>
      <c r="AP24" s="56"/>
      <c r="AQ24" s="56"/>
      <c r="AR24" s="56"/>
      <c r="AS24" s="3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abSelected="1" topLeftCell="A15" workbookViewId="0">
      <selection activeCell="I26" sqref="I26"/>
    </sheetView>
  </sheetViews>
  <sheetFormatPr defaultColWidth="8.7109375" defaultRowHeight="15"/>
  <cols>
    <col min="8" max="8" width="9.42578125" bestFit="1" customWidth="1"/>
  </cols>
  <sheetData>
    <row r="1" spans="1:69" ht="18.7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spans="1:69" ht="19.5" thickBo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spans="1:69" ht="15.75" thickTop="1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65.319999999999993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2507.6800000000003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>F17*G17</f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</row>
    <row r="18" spans="1:69" ht="15.75" thickBot="1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</row>
    <row r="19" spans="1:69" ht="15.75" thickTop="1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71856.759999999995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 ht="15.75" thickBot="1">
      <c r="A21" s="28" t="s">
        <v>43</v>
      </c>
      <c r="B21" s="28"/>
      <c r="C21" s="9">
        <v>3</v>
      </c>
      <c r="D21" s="29" t="s">
        <v>44</v>
      </c>
      <c r="E21" s="27"/>
      <c r="F21" s="27"/>
      <c r="G21" s="27"/>
      <c r="H21" s="26"/>
      <c r="I21" s="25" t="s">
        <v>45</v>
      </c>
      <c r="J21" s="25" t="s">
        <v>46</v>
      </c>
      <c r="K21" s="25"/>
      <c r="L21" s="25" t="s">
        <v>47</v>
      </c>
      <c r="M21" s="25">
        <v>1</v>
      </c>
      <c r="N21" s="25"/>
      <c r="O21" s="25" t="s">
        <v>48</v>
      </c>
      <c r="P21" s="25">
        <v>1</v>
      </c>
      <c r="Q21" s="25" t="s">
        <v>49</v>
      </c>
      <c r="R21" s="26"/>
      <c r="S21" s="26"/>
      <c r="T21" s="26"/>
      <c r="U21" s="26"/>
      <c r="V21" s="26">
        <v>1</v>
      </c>
      <c r="W21" s="26" t="s">
        <v>50</v>
      </c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3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</row>
    <row r="22" spans="1:69" ht="61.5" thickTop="1" thickBot="1">
      <c r="A22" s="30" t="s">
        <v>2</v>
      </c>
      <c r="B22" s="30" t="s">
        <v>3</v>
      </c>
      <c r="C22" s="31" t="s">
        <v>4</v>
      </c>
      <c r="D22" s="30" t="s">
        <v>5</v>
      </c>
      <c r="E22" s="30" t="s">
        <v>6</v>
      </c>
      <c r="F22" s="32" t="s">
        <v>51</v>
      </c>
      <c r="G22" s="30" t="s">
        <v>8</v>
      </c>
      <c r="H22" s="30" t="s">
        <v>9</v>
      </c>
      <c r="I22" s="33" t="s">
        <v>52</v>
      </c>
      <c r="J22" s="33" t="s">
        <v>53</v>
      </c>
      <c r="K22" s="33" t="s">
        <v>54</v>
      </c>
      <c r="L22" s="34" t="s">
        <v>55</v>
      </c>
      <c r="M22" s="34" t="s">
        <v>56</v>
      </c>
      <c r="N22" s="34" t="s">
        <v>57</v>
      </c>
      <c r="O22" s="34" t="s">
        <v>58</v>
      </c>
      <c r="P22" s="34" t="s">
        <v>59</v>
      </c>
      <c r="Q22" s="34" t="s">
        <v>60</v>
      </c>
      <c r="R22" s="33" t="s">
        <v>61</v>
      </c>
      <c r="S22" s="30" t="s">
        <v>62</v>
      </c>
      <c r="T22" s="30" t="s">
        <v>63</v>
      </c>
      <c r="U22" s="35" t="s">
        <v>64</v>
      </c>
      <c r="V22" s="35" t="s">
        <v>65</v>
      </c>
      <c r="W22" s="35" t="s">
        <v>66</v>
      </c>
      <c r="X22" s="35" t="s">
        <v>67</v>
      </c>
      <c r="Y22" s="35" t="s">
        <v>68</v>
      </c>
      <c r="Z22" s="35" t="s">
        <v>69</v>
      </c>
      <c r="AA22" s="35" t="s">
        <v>70</v>
      </c>
      <c r="AB22" s="35" t="s">
        <v>71</v>
      </c>
      <c r="AC22" s="36" t="s">
        <v>72</v>
      </c>
      <c r="AD22" s="36" t="s">
        <v>73</v>
      </c>
      <c r="AE22" s="37" t="s">
        <v>74</v>
      </c>
      <c r="AF22" s="37" t="s">
        <v>75</v>
      </c>
      <c r="AG22" s="37" t="s">
        <v>76</v>
      </c>
      <c r="AH22" s="36" t="s">
        <v>77</v>
      </c>
      <c r="AI22" s="36" t="s">
        <v>78</v>
      </c>
      <c r="AJ22" s="37" t="s">
        <v>79</v>
      </c>
      <c r="AK22" s="37" t="s">
        <v>80</v>
      </c>
      <c r="AL22" s="36" t="s">
        <v>81</v>
      </c>
      <c r="AM22" s="36" t="s">
        <v>82</v>
      </c>
      <c r="AN22" s="37" t="s">
        <v>83</v>
      </c>
      <c r="AO22" s="37" t="s">
        <v>84</v>
      </c>
      <c r="AP22" s="37" t="s">
        <v>85</v>
      </c>
      <c r="AQ22" s="36" t="s">
        <v>86</v>
      </c>
      <c r="AR22" s="38" t="s">
        <v>87</v>
      </c>
      <c r="AS22" s="6" t="s">
        <v>88</v>
      </c>
      <c r="AT22" s="6" t="s">
        <v>86</v>
      </c>
      <c r="AU22" s="39" t="s">
        <v>89</v>
      </c>
      <c r="AV22" s="39" t="s">
        <v>90</v>
      </c>
      <c r="AW22" s="39" t="s">
        <v>91</v>
      </c>
      <c r="AX22" s="39" t="s">
        <v>92</v>
      </c>
      <c r="AY22" s="39" t="s">
        <v>93</v>
      </c>
      <c r="AZ22" s="39" t="s">
        <v>94</v>
      </c>
      <c r="BA22" s="39" t="s">
        <v>95</v>
      </c>
      <c r="BB22" s="39" t="s">
        <v>96</v>
      </c>
      <c r="BC22" s="40" t="s">
        <v>97</v>
      </c>
      <c r="BD22" s="40" t="s">
        <v>98</v>
      </c>
      <c r="BE22" s="40" t="s">
        <v>99</v>
      </c>
      <c r="BF22" s="39" t="s">
        <v>100</v>
      </c>
      <c r="BG22" s="39" t="s">
        <v>101</v>
      </c>
      <c r="BH22" s="39" t="s">
        <v>102</v>
      </c>
      <c r="BI22" s="39" t="s">
        <v>103</v>
      </c>
      <c r="BJ22" s="39" t="s">
        <v>104</v>
      </c>
      <c r="BK22" s="39" t="s">
        <v>105</v>
      </c>
      <c r="BL22" s="39" t="s">
        <v>106</v>
      </c>
      <c r="BM22" s="39" t="s">
        <v>107</v>
      </c>
      <c r="BN22" s="39" t="s">
        <v>108</v>
      </c>
      <c r="BO22" s="39" t="s">
        <v>94</v>
      </c>
      <c r="BP22" s="39" t="s">
        <v>109</v>
      </c>
      <c r="BQ22" s="39" t="s">
        <v>63</v>
      </c>
    </row>
    <row r="23" spans="1:69" ht="15.75" thickBot="1">
      <c r="A23" s="41">
        <v>1</v>
      </c>
      <c r="B23" s="41" t="s">
        <v>110</v>
      </c>
      <c r="C23" s="41" t="s">
        <v>110</v>
      </c>
      <c r="D23" s="41" t="s">
        <v>12</v>
      </c>
      <c r="E23" s="41" t="s">
        <v>12</v>
      </c>
      <c r="F23" s="42">
        <v>2</v>
      </c>
      <c r="G23" s="4" t="s">
        <v>111</v>
      </c>
      <c r="H23" s="42">
        <f>F23*G23</f>
        <v>400</v>
      </c>
      <c r="I23" s="4" t="s">
        <v>112</v>
      </c>
      <c r="J23" s="42">
        <v>2</v>
      </c>
      <c r="K23" s="42">
        <v>2</v>
      </c>
      <c r="L23" s="42">
        <f>H23</f>
        <v>400</v>
      </c>
      <c r="M23" s="42">
        <f>ROUND(L23*I23%,2)</f>
        <v>8</v>
      </c>
      <c r="N23" s="42">
        <f>H23-M23</f>
        <v>392</v>
      </c>
      <c r="O23" s="42">
        <f>ROUND(N23*J23%,2)</f>
        <v>7.84</v>
      </c>
      <c r="P23" s="42">
        <f>ROUND(N23-O23,2)</f>
        <v>384.16</v>
      </c>
      <c r="Q23" s="42">
        <f>ROUND(P23*K23%,2)</f>
        <v>7.68</v>
      </c>
      <c r="R23" s="42">
        <f>M23+O23+Q23</f>
        <v>23.52</v>
      </c>
      <c r="S23" s="42">
        <f>(H23-R23)</f>
        <v>376.48</v>
      </c>
      <c r="T23" s="42" t="s">
        <v>113</v>
      </c>
      <c r="U23" s="42">
        <v>0.18</v>
      </c>
      <c r="V23" s="42">
        <f>IF(OR($C$21=1,$C$21=4),ROUND(((S23*U23)/2),2),0)</f>
        <v>0</v>
      </c>
      <c r="W23" s="42">
        <f>IF($C$21=1,ROUND(((S23*U23)/2),2),0)</f>
        <v>0</v>
      </c>
      <c r="X23" s="42">
        <f>IF($C$21=2,ROUND(((S23*U23)),2),0)</f>
        <v>0</v>
      </c>
      <c r="Y23" s="42">
        <f>IF($C$21=4,ROUND(((S23*U23)/2),2),0)</f>
        <v>0</v>
      </c>
      <c r="Z23" s="43">
        <v>0</v>
      </c>
      <c r="AA23" s="42">
        <f>IF($C21=3,0,ROUND(S23*Z23,2))</f>
        <v>0</v>
      </c>
      <c r="AB23" s="42">
        <f>V23+W23+X23+Y23+AA23</f>
        <v>0</v>
      </c>
      <c r="AC23" s="42">
        <f>IF($V21=1,S23+AB23,S23)</f>
        <v>376.48</v>
      </c>
      <c r="AD23" s="42">
        <v>120</v>
      </c>
      <c r="AE23" s="42">
        <f>IF($P$21=1,(S23/$S$24)*$E$35,AD23/$AD$24*$E$35)</f>
        <v>0</v>
      </c>
      <c r="AF23" s="42"/>
      <c r="AG23" s="42">
        <f>IF($P$21=1,(S23/$S$24)*$E$37,AD23/$AD$24*$E$37)</f>
        <v>0</v>
      </c>
      <c r="AH23" s="42">
        <f>IF($P$21=1,(S23/$S$24)*$E$37,AD23/$AD$24*$E$37)</f>
        <v>0</v>
      </c>
      <c r="AI23" s="42">
        <f>S23*$M$21</f>
        <v>376.48</v>
      </c>
      <c r="AJ23" s="42">
        <f>IF($C$21=3,0,AG23+AH23)</f>
        <v>0</v>
      </c>
      <c r="AK23" s="42">
        <f>IF($C$21=3,AE23+AG23+AH23,0)</f>
        <v>0</v>
      </c>
      <c r="AL23" s="42">
        <v>1</v>
      </c>
      <c r="AM23" s="42">
        <f>F23/AL23</f>
        <v>2</v>
      </c>
      <c r="AN23" s="42">
        <f>AI23/AM23</f>
        <v>188.24</v>
      </c>
      <c r="AO23" s="42">
        <f>AJ23/AM23</f>
        <v>0</v>
      </c>
      <c r="AP23" s="42">
        <f>AK23/AM23</f>
        <v>0</v>
      </c>
      <c r="AQ23" s="42" t="s">
        <v>12</v>
      </c>
      <c r="AR23" s="42">
        <f>AN23+AO23+AP23</f>
        <v>188.24</v>
      </c>
      <c r="AS23" s="44" t="s">
        <v>114</v>
      </c>
      <c r="AT23" s="44" t="s">
        <v>12</v>
      </c>
      <c r="AU23" s="4" t="s">
        <v>115</v>
      </c>
      <c r="AV23" s="4" t="s">
        <v>116</v>
      </c>
      <c r="AW23" s="44">
        <f>AM23</f>
        <v>2</v>
      </c>
      <c r="AX23" s="44">
        <f>AR23</f>
        <v>188.24</v>
      </c>
      <c r="AY23" s="44">
        <f>AU23+AW23</f>
        <v>18</v>
      </c>
      <c r="AZ23" s="44">
        <f>ROUND(((AU23*AV23)+(AW23*AX23))/(AU23+AW23),5)</f>
        <v>186.08428000000001</v>
      </c>
      <c r="BA23" s="45"/>
      <c r="BB23" s="45" t="s">
        <v>117</v>
      </c>
      <c r="BC23" s="46" t="s">
        <v>118</v>
      </c>
      <c r="BD23" s="47" t="s">
        <v>119</v>
      </c>
      <c r="BE23" s="47" t="s">
        <v>120</v>
      </c>
      <c r="BF23" s="45"/>
      <c r="BG23" s="45"/>
      <c r="BH23" s="45"/>
      <c r="BI23" s="44"/>
      <c r="BJ23" s="44"/>
      <c r="BK23" s="44"/>
      <c r="BL23" s="44" t="s">
        <v>121</v>
      </c>
      <c r="BM23" s="4" t="s">
        <v>122</v>
      </c>
      <c r="BN23" s="4" t="s">
        <v>123</v>
      </c>
      <c r="BO23" s="44">
        <f>ROUND((((AW23*AZ23)+(BN23*BM23))/(AW23+BN23)),5)</f>
        <v>184.80457999999999</v>
      </c>
      <c r="BP23" s="48">
        <f>BN23+AW23</f>
        <v>20</v>
      </c>
      <c r="BQ23" s="49">
        <v>88363221</v>
      </c>
    </row>
    <row r="24" spans="1:69" ht="15.75" thickBot="1">
      <c r="A24" s="3"/>
      <c r="B24" s="50"/>
      <c r="C24" s="50"/>
      <c r="D24" s="51" t="s">
        <v>41</v>
      </c>
      <c r="E24" s="51"/>
      <c r="F24" s="51"/>
      <c r="G24" s="52"/>
      <c r="H24" s="53">
        <f>SUM(H23:H23)</f>
        <v>400</v>
      </c>
      <c r="I24" s="41"/>
      <c r="J24" s="41"/>
      <c r="K24" s="41"/>
      <c r="L24" s="41"/>
      <c r="M24" s="41"/>
      <c r="N24" s="41"/>
      <c r="O24" s="41"/>
      <c r="P24" s="41"/>
      <c r="Q24" s="41"/>
      <c r="R24" s="53">
        <f t="shared" ref="R24:Y24" si="1">SUM(R23:R23)</f>
        <v>23.52</v>
      </c>
      <c r="S24" s="54">
        <f t="shared" si="1"/>
        <v>376.48</v>
      </c>
      <c r="T24" s="53"/>
      <c r="U24" s="53"/>
      <c r="V24" s="55">
        <f t="shared" si="1"/>
        <v>0</v>
      </c>
      <c r="W24" s="55">
        <f t="shared" si="1"/>
        <v>0</v>
      </c>
      <c r="X24" s="55">
        <f t="shared" si="1"/>
        <v>0</v>
      </c>
      <c r="Y24" s="55">
        <f t="shared" si="1"/>
        <v>0</v>
      </c>
      <c r="Z24" s="55"/>
      <c r="AA24" s="55">
        <f t="shared" ref="AA24:AE24" si="2">SUM(AA23:AA23)</f>
        <v>0</v>
      </c>
      <c r="AB24" s="53">
        <f t="shared" si="2"/>
        <v>0</v>
      </c>
      <c r="AC24" s="56">
        <f t="shared" si="2"/>
        <v>376.48</v>
      </c>
      <c r="AD24" s="57">
        <f t="shared" si="2"/>
        <v>120</v>
      </c>
      <c r="AE24" s="57">
        <f t="shared" si="2"/>
        <v>0</v>
      </c>
      <c r="AF24" s="56"/>
      <c r="AG24" s="57">
        <f t="shared" ref="AG24:AK24" si="3">SUM(AG23:AG23)</f>
        <v>0</v>
      </c>
      <c r="AH24" s="57">
        <f t="shared" si="3"/>
        <v>0</v>
      </c>
      <c r="AI24" s="57">
        <f t="shared" si="3"/>
        <v>376.48</v>
      </c>
      <c r="AJ24" s="57">
        <f t="shared" si="3"/>
        <v>0</v>
      </c>
      <c r="AK24" s="57">
        <f t="shared" si="3"/>
        <v>0</v>
      </c>
      <c r="AL24" s="56"/>
      <c r="AM24" s="56"/>
      <c r="AN24" s="56"/>
      <c r="AO24" s="56"/>
      <c r="AP24" s="56"/>
      <c r="AQ24" s="56"/>
      <c r="AR24" s="56"/>
      <c r="AS24" s="3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A10" workbookViewId="0">
      <selection activeCell="J22" sqref="J22"/>
    </sheetView>
  </sheetViews>
  <sheetFormatPr defaultColWidth="8.7109375" defaultRowHeight="15"/>
  <sheetData>
    <row r="1" spans="1:69" ht="18.7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spans="1:69" ht="19.5" thickBo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spans="1:69" ht="15.75" thickTop="1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65.319999999999993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2507.6800000000003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 t="shared" si="0"/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</row>
    <row r="18" spans="1:69" ht="15.75" thickBot="1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</row>
    <row r="19" spans="1:69" ht="15.75" thickTop="1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71856.759999999995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 ht="15.75" thickBot="1">
      <c r="A21" s="28" t="s">
        <v>43</v>
      </c>
      <c r="B21" s="28"/>
      <c r="C21" s="9">
        <v>3</v>
      </c>
      <c r="D21" s="29" t="s">
        <v>44</v>
      </c>
      <c r="E21" s="27"/>
      <c r="F21" s="27"/>
      <c r="G21" s="27"/>
      <c r="H21" s="26"/>
      <c r="I21" s="25" t="s">
        <v>45</v>
      </c>
      <c r="J21" s="25" t="s">
        <v>46</v>
      </c>
      <c r="K21" s="25"/>
      <c r="L21" s="25" t="s">
        <v>47</v>
      </c>
      <c r="M21" s="25">
        <v>1</v>
      </c>
      <c r="N21" s="25"/>
      <c r="O21" s="25" t="s">
        <v>48</v>
      </c>
      <c r="P21" s="25">
        <v>1</v>
      </c>
      <c r="Q21" s="25" t="s">
        <v>49</v>
      </c>
      <c r="R21" s="26"/>
      <c r="S21" s="26"/>
      <c r="T21" s="26"/>
      <c r="U21" s="26"/>
      <c r="V21" s="26">
        <v>1</v>
      </c>
      <c r="W21" s="26" t="s">
        <v>50</v>
      </c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3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</row>
    <row r="22" spans="1:69" ht="61.5" thickTop="1" thickBot="1">
      <c r="A22" s="30" t="s">
        <v>2</v>
      </c>
      <c r="B22" s="30" t="s">
        <v>3</v>
      </c>
      <c r="C22" s="31" t="s">
        <v>4</v>
      </c>
      <c r="D22" s="30" t="s">
        <v>5</v>
      </c>
      <c r="E22" s="30" t="s">
        <v>6</v>
      </c>
      <c r="F22" s="32" t="s">
        <v>51</v>
      </c>
      <c r="G22" s="30" t="s">
        <v>8</v>
      </c>
      <c r="H22" s="30" t="s">
        <v>9</v>
      </c>
      <c r="I22" s="33" t="s">
        <v>52</v>
      </c>
      <c r="J22" s="33" t="s">
        <v>53</v>
      </c>
      <c r="K22" s="33" t="s">
        <v>54</v>
      </c>
      <c r="L22" s="34" t="s">
        <v>55</v>
      </c>
      <c r="M22" s="34" t="s">
        <v>56</v>
      </c>
      <c r="N22" s="34" t="s">
        <v>57</v>
      </c>
      <c r="O22" s="34" t="s">
        <v>58</v>
      </c>
      <c r="P22" s="34" t="s">
        <v>59</v>
      </c>
      <c r="Q22" s="34" t="s">
        <v>60</v>
      </c>
      <c r="R22" s="33" t="s">
        <v>61</v>
      </c>
      <c r="S22" s="30" t="s">
        <v>62</v>
      </c>
      <c r="T22" s="30" t="s">
        <v>63</v>
      </c>
      <c r="U22" s="35" t="s">
        <v>64</v>
      </c>
      <c r="V22" s="35" t="s">
        <v>65</v>
      </c>
      <c r="W22" s="35" t="s">
        <v>66</v>
      </c>
      <c r="X22" s="35" t="s">
        <v>67</v>
      </c>
      <c r="Y22" s="35" t="s">
        <v>68</v>
      </c>
      <c r="Z22" s="35" t="s">
        <v>69</v>
      </c>
      <c r="AA22" s="35" t="s">
        <v>70</v>
      </c>
      <c r="AB22" s="35" t="s">
        <v>71</v>
      </c>
      <c r="AC22" s="36" t="s">
        <v>72</v>
      </c>
      <c r="AD22" s="36" t="s">
        <v>73</v>
      </c>
      <c r="AE22" s="37" t="s">
        <v>74</v>
      </c>
      <c r="AF22" s="37" t="s">
        <v>75</v>
      </c>
      <c r="AG22" s="37" t="s">
        <v>76</v>
      </c>
      <c r="AH22" s="36" t="s">
        <v>77</v>
      </c>
      <c r="AI22" s="36" t="s">
        <v>78</v>
      </c>
      <c r="AJ22" s="37" t="s">
        <v>79</v>
      </c>
      <c r="AK22" s="37" t="s">
        <v>80</v>
      </c>
      <c r="AL22" s="36" t="s">
        <v>81</v>
      </c>
      <c r="AM22" s="36" t="s">
        <v>82</v>
      </c>
      <c r="AN22" s="37" t="s">
        <v>83</v>
      </c>
      <c r="AO22" s="37" t="s">
        <v>84</v>
      </c>
      <c r="AP22" s="37" t="s">
        <v>85</v>
      </c>
      <c r="AQ22" s="36" t="s">
        <v>86</v>
      </c>
      <c r="AR22" s="38" t="s">
        <v>87</v>
      </c>
      <c r="AS22" s="6" t="s">
        <v>88</v>
      </c>
      <c r="AT22" s="6" t="s">
        <v>86</v>
      </c>
      <c r="AU22" s="39" t="s">
        <v>89</v>
      </c>
      <c r="AV22" s="39" t="s">
        <v>90</v>
      </c>
      <c r="AW22" s="39" t="s">
        <v>91</v>
      </c>
      <c r="AX22" s="39" t="s">
        <v>92</v>
      </c>
      <c r="AY22" s="39" t="s">
        <v>93</v>
      </c>
      <c r="AZ22" s="39" t="s">
        <v>94</v>
      </c>
      <c r="BA22" s="39" t="s">
        <v>95</v>
      </c>
      <c r="BB22" s="39" t="s">
        <v>96</v>
      </c>
      <c r="BC22" s="40" t="s">
        <v>97</v>
      </c>
      <c r="BD22" s="40" t="s">
        <v>98</v>
      </c>
      <c r="BE22" s="40" t="s">
        <v>99</v>
      </c>
      <c r="BF22" s="39" t="s">
        <v>100</v>
      </c>
      <c r="BG22" s="39" t="s">
        <v>101</v>
      </c>
      <c r="BH22" s="39" t="s">
        <v>102</v>
      </c>
      <c r="BI22" s="39" t="s">
        <v>103</v>
      </c>
      <c r="BJ22" s="39" t="s">
        <v>104</v>
      </c>
      <c r="BK22" s="39" t="s">
        <v>105</v>
      </c>
      <c r="BL22" s="39" t="s">
        <v>106</v>
      </c>
      <c r="BM22" s="39" t="s">
        <v>107</v>
      </c>
      <c r="BN22" s="39" t="s">
        <v>108</v>
      </c>
      <c r="BO22" s="39" t="s">
        <v>94</v>
      </c>
      <c r="BP22" s="39" t="s">
        <v>109</v>
      </c>
      <c r="BQ22" s="39" t="s">
        <v>63</v>
      </c>
    </row>
    <row r="23" spans="1:69" ht="15.75" thickBot="1">
      <c r="A23" s="41">
        <v>1</v>
      </c>
      <c r="B23" s="41" t="s">
        <v>110</v>
      </c>
      <c r="C23" s="41" t="s">
        <v>110</v>
      </c>
      <c r="D23" s="41" t="s">
        <v>12</v>
      </c>
      <c r="E23" s="41" t="s">
        <v>12</v>
      </c>
      <c r="F23" s="42">
        <v>2</v>
      </c>
      <c r="G23" s="4" t="s">
        <v>111</v>
      </c>
      <c r="H23" s="42">
        <f>F23*G23</f>
        <v>400</v>
      </c>
      <c r="I23" s="4" t="s">
        <v>112</v>
      </c>
      <c r="J23" s="42">
        <v>2</v>
      </c>
      <c r="K23" s="42">
        <v>2</v>
      </c>
      <c r="L23" s="42">
        <f>H23</f>
        <v>400</v>
      </c>
      <c r="M23" s="42">
        <f>ROUND(L23*I23%,2)</f>
        <v>8</v>
      </c>
      <c r="N23" s="42">
        <f>H23-M23</f>
        <v>392</v>
      </c>
      <c r="O23" s="42">
        <f>ROUND(N23*J23%,2)</f>
        <v>7.84</v>
      </c>
      <c r="P23" s="42">
        <f>ROUND(N23-O23,2)</f>
        <v>384.16</v>
      </c>
      <c r="Q23" s="42">
        <f>ROUND(P23*K23%,2)</f>
        <v>7.68</v>
      </c>
      <c r="R23" s="42">
        <f>M23+O23+Q23</f>
        <v>23.52</v>
      </c>
      <c r="S23" s="42">
        <f>(H23-R23)</f>
        <v>376.48</v>
      </c>
      <c r="T23" s="42" t="s">
        <v>113</v>
      </c>
      <c r="U23" s="42">
        <v>0.18</v>
      </c>
      <c r="V23" s="42">
        <f>IF(OR($C$21=1,$C$21=4),ROUND(((S23*U23)/2),2),0)</f>
        <v>0</v>
      </c>
      <c r="W23" s="42">
        <f>IF($C$21=1,ROUND(((S23*U23)/2),2),0)</f>
        <v>0</v>
      </c>
      <c r="X23" s="42">
        <f>IF($C$21=2,ROUND(((S23*U23)),2),0)</f>
        <v>0</v>
      </c>
      <c r="Y23" s="42">
        <f>IF($C$21=4,ROUND(((S23*U23)/2),2),0)</f>
        <v>0</v>
      </c>
      <c r="Z23" s="43">
        <v>0</v>
      </c>
      <c r="AA23" s="42">
        <f>IF($C21=3,0,ROUND(S23*Z23,2))</f>
        <v>0</v>
      </c>
      <c r="AB23" s="42">
        <f>V23+W23+X23+Y23+AA23</f>
        <v>0</v>
      </c>
      <c r="AC23" s="42">
        <f>IF($V21=1,S23+AB23,S23)</f>
        <v>376.48</v>
      </c>
      <c r="AD23" s="42">
        <v>120</v>
      </c>
      <c r="AE23" s="42">
        <f>IF($P$21=1,(S23/$S$24)*$E$35,AD23/$AD$24*$E$35)</f>
        <v>0</v>
      </c>
      <c r="AF23" s="42"/>
      <c r="AG23" s="42">
        <f>IF($P$21=1,(S23/$S$24)*$E$37,AD23/$AD$24*$E$37)</f>
        <v>0</v>
      </c>
      <c r="AH23" s="42">
        <f>IF($P$21=1,(S23/$S$24)*$E$37,AD23/$AD$24*$E$37)</f>
        <v>0</v>
      </c>
      <c r="AI23" s="42">
        <f>S23*$M$21</f>
        <v>376.48</v>
      </c>
      <c r="AJ23" s="42">
        <f>IF($C$21=3,0,AG23+AH23)</f>
        <v>0</v>
      </c>
      <c r="AK23" s="42">
        <f>IF($C$21=3,AE23+AG23+AH23,0)</f>
        <v>0</v>
      </c>
      <c r="AL23" s="42">
        <v>1</v>
      </c>
      <c r="AM23" s="42">
        <f>F23/AL23</f>
        <v>2</v>
      </c>
      <c r="AN23" s="42">
        <f>AI23/AM23</f>
        <v>188.24</v>
      </c>
      <c r="AO23" s="42">
        <f>AJ23/AM23</f>
        <v>0</v>
      </c>
      <c r="AP23" s="42">
        <f>AK23/AM23</f>
        <v>0</v>
      </c>
      <c r="AQ23" s="42" t="s">
        <v>12</v>
      </c>
      <c r="AR23" s="42">
        <f>AN23+AO23+AP23</f>
        <v>188.24</v>
      </c>
      <c r="AS23" s="44" t="s">
        <v>114</v>
      </c>
      <c r="AT23" s="44" t="s">
        <v>12</v>
      </c>
      <c r="AU23" s="4" t="s">
        <v>115</v>
      </c>
      <c r="AV23" s="4" t="s">
        <v>116</v>
      </c>
      <c r="AW23" s="44">
        <f>AM23</f>
        <v>2</v>
      </c>
      <c r="AX23" s="44">
        <f>AR23</f>
        <v>188.24</v>
      </c>
      <c r="AY23" s="44">
        <f>AU23+AW23</f>
        <v>18</v>
      </c>
      <c r="AZ23" s="44">
        <f>ROUND(((AU23*AV23)+(AW23*AX23))/(AU23+AW23),5)</f>
        <v>186.08428000000001</v>
      </c>
      <c r="BA23" s="45"/>
      <c r="BB23" s="45" t="s">
        <v>117</v>
      </c>
      <c r="BC23" s="46" t="s">
        <v>118</v>
      </c>
      <c r="BD23" s="47" t="s">
        <v>119</v>
      </c>
      <c r="BE23" s="47" t="s">
        <v>120</v>
      </c>
      <c r="BF23" s="45"/>
      <c r="BG23" s="45"/>
      <c r="BH23" s="45"/>
      <c r="BI23" s="44"/>
      <c r="BJ23" s="44"/>
      <c r="BK23" s="44"/>
      <c r="BL23" s="44" t="s">
        <v>121</v>
      </c>
      <c r="BM23" s="4" t="s">
        <v>122</v>
      </c>
      <c r="BN23" s="4" t="s">
        <v>123</v>
      </c>
      <c r="BO23" s="44">
        <f>ROUND((((AW23*AZ23)+(BN23*BM23))/(AW23+BN23)),5)</f>
        <v>184.80457999999999</v>
      </c>
      <c r="BP23" s="48">
        <f>BN23+AW23</f>
        <v>20</v>
      </c>
      <c r="BQ23" s="49">
        <v>88363221</v>
      </c>
    </row>
    <row r="24" spans="1:69" ht="15.75" thickBot="1">
      <c r="A24" s="3"/>
      <c r="B24" s="50"/>
      <c r="C24" s="50"/>
      <c r="D24" s="51" t="s">
        <v>41</v>
      </c>
      <c r="E24" s="51"/>
      <c r="F24" s="51"/>
      <c r="G24" s="52"/>
      <c r="H24" s="53">
        <f>SUM(H23:H23)</f>
        <v>400</v>
      </c>
      <c r="I24" s="41"/>
      <c r="J24" s="41"/>
      <c r="K24" s="41"/>
      <c r="L24" s="41"/>
      <c r="M24" s="41"/>
      <c r="N24" s="41"/>
      <c r="O24" s="41"/>
      <c r="P24" s="41"/>
      <c r="Q24" s="41"/>
      <c r="R24" s="53">
        <f t="shared" ref="R24:Y24" si="1">SUM(R23:R23)</f>
        <v>23.52</v>
      </c>
      <c r="S24" s="54">
        <f t="shared" si="1"/>
        <v>376.48</v>
      </c>
      <c r="T24" s="53"/>
      <c r="U24" s="53"/>
      <c r="V24" s="55">
        <f t="shared" si="1"/>
        <v>0</v>
      </c>
      <c r="W24" s="55">
        <f t="shared" si="1"/>
        <v>0</v>
      </c>
      <c r="X24" s="55">
        <f t="shared" si="1"/>
        <v>0</v>
      </c>
      <c r="Y24" s="55">
        <f t="shared" si="1"/>
        <v>0</v>
      </c>
      <c r="Z24" s="55"/>
      <c r="AA24" s="55">
        <f t="shared" ref="AA24:AE24" si="2">SUM(AA23:AA23)</f>
        <v>0</v>
      </c>
      <c r="AB24" s="53">
        <f t="shared" si="2"/>
        <v>0</v>
      </c>
      <c r="AC24" s="56">
        <f t="shared" si="2"/>
        <v>376.48</v>
      </c>
      <c r="AD24" s="57">
        <f t="shared" si="2"/>
        <v>120</v>
      </c>
      <c r="AE24" s="57">
        <f t="shared" si="2"/>
        <v>0</v>
      </c>
      <c r="AF24" s="56"/>
      <c r="AG24" s="57">
        <f t="shared" ref="AG24:AK24" si="3">SUM(AG23:AG23)</f>
        <v>0</v>
      </c>
      <c r="AH24" s="57">
        <f t="shared" si="3"/>
        <v>0</v>
      </c>
      <c r="AI24" s="57">
        <f t="shared" si="3"/>
        <v>376.48</v>
      </c>
      <c r="AJ24" s="57">
        <f t="shared" si="3"/>
        <v>0</v>
      </c>
      <c r="AK24" s="57">
        <f t="shared" si="3"/>
        <v>0</v>
      </c>
      <c r="AL24" s="56"/>
      <c r="AM24" s="56"/>
      <c r="AN24" s="56"/>
      <c r="AO24" s="56"/>
      <c r="AP24" s="56"/>
      <c r="AQ24" s="56"/>
      <c r="AR24" s="56"/>
      <c r="AS24" s="3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ImportPoToGRNUDGeneralSameUOM</vt:lpstr>
      <vt:lpstr>ImportPoToGRNUDServiceSameUOM</vt:lpstr>
      <vt:lpstr>ImportPoToGRNRCGeneralSameUOM</vt:lpstr>
      <vt:lpstr>ImportPoToGRNRCServiceSameUOM</vt:lpstr>
      <vt:lpstr>ImportPoToGRNPLGeneralSameUOM</vt:lpstr>
      <vt:lpstr>ImportPoToGRNPLServiceSameUOM</vt:lpstr>
      <vt:lpstr>ImportDirectGRNUDGeneralSameUOM</vt:lpstr>
      <vt:lpstr>ImportDirectGRNUDGeneralDiffUOM</vt:lpstr>
      <vt:lpstr>ImportDirectGRNUDServiceSameUOM</vt:lpstr>
      <vt:lpstr>ImportDirectGRNRCGeneralSameUOM</vt:lpstr>
      <vt:lpstr>ImportDirectGRNRCGeneralDiffUOM</vt:lpstr>
      <vt:lpstr>ImportDirectGRNRCServiceSameUOM</vt:lpstr>
      <vt:lpstr>ImportDirectGRNPLGeneralSameUOM</vt:lpstr>
      <vt:lpstr>ImportDirectGRNPLGeneralDiffUOM</vt:lpstr>
      <vt:lpstr>ImportDirectGRNPLServiceSam (2</vt:lpstr>
      <vt:lpstr>ImportDirectGRNPLServiceSameUOM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2025-12-11T12:04:54Z</dcterms:created>
  <dcterms:modified xsi:type="dcterms:W3CDTF">2025-12-11T12:11:03Z</dcterms:modified>
</cp:coreProperties>
</file>