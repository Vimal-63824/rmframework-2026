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020" firstSheet="1" activeTab="2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  <sheet name="ImportPoToGRNUDGeneralSameUOM" sheetId="11" r:id="rId10"/>
    <sheet name="ImportPoToGRNUDServiceSameUOM" sheetId="12" r:id="rId11"/>
    <sheet name="ImportPoToGRNRCGeneralSameUOM" sheetId="13" r:id="rId12"/>
    <sheet name="ImportPoToGRNRCServiceSameUOM" sheetId="14" r:id="rId13"/>
    <sheet name="ImportPoToGRNPLGeneralSameUOM" sheetId="15" r:id="rId14"/>
    <sheet name="ImportPoToGRNPLServiceSameUOM" sheetId="16" r:id="rId15"/>
    <sheet name="ImportPoToGRNUDGeneralDiffUOM" sheetId="17" r:id="rId16"/>
    <sheet name="ImportPoToGRNRCGeneralDiffUOM" sheetId="18" r:id="rId17"/>
    <sheet name="ImportPoToGRNPLGeneralDiffUOM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<sst xmlns="http://schemas.openxmlformats.org/spreadsheetml/2006/main" count="2417" uniqueCount="207">
  <si>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</si>
  <si>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</si>
  <si>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</si>
  <si>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</si>
  <si>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</si>
  <si>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</si>
  <si>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</si>
  <si>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</si>
  <si>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</si>
  <si>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</si>
  <si>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</si>
  <si>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</si>
  <si>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</si>
  <si>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</si>
  <si>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</si>
  <si>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</si>
  <si>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</si>
  <si>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</si>
  <si>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</si>
  <si>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</si>
  <si>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</si>
  <si>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</si>
  <si>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</si>
  <si>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</si>
  <si>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</si>
  <si>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</si>
  <si>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</si>
  <si>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</si>
  <si>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</si>
  <si>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</si>
  <si>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</si>
  <si>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</si>
  <si>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</si>
  <si>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</si>
  <si>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</si>
  <si>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</si>
  <si>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</si>
  <si>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</si>
  <si>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</si>
  <si>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</si>
  <si>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</si>
  <si>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</si>
  <si>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</si>
  <si>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</si>
  <si>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</si>
  <si>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</si>
  <si>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</si>
  <si>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</si>
  <si>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</si>
  <si>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</si>
  <si>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</si>
  <si>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</si>
  <si>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</si>
  <si>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</si>
  <si>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</si>
  <si>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</si>
  <si>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</si>
  <si>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</si>
  <si>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</si>
  <si>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</si>
  <si>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</si>
  <si>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</si>
  <si>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</si>
  <si>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</si>
  <si>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</si>
  <si>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</si>
  <si>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</si>
  <si>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</si>
  <si>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</si>
  <si>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</si>
  <si>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</si>
  <si>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</si>
  <si>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</si>
  <si>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</si>
  <si>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</si>
  <si>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</si>
  <si>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</si>
  <si>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</si>
  <si>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</si>
  <si>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</si>
  <si>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</si>
  <si>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</si>
  <si>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</si>
  <si>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</si>
  <si>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</si>
  <si>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</si>
  <si>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</si>
  <si>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</si>
  <si>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</si>
  <si>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</si>
  <si>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</si>
  <si>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</si>
  <si>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</si>
  <si>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</si>
  <si>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</si>
  <si>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</si>
  <si>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</si>
  <si>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</si>
  <si>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</si>
  <si>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</si>
  <si>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</si>
  <si>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</si>
  <si>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</si>
  <si>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</si>
  <si>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</si>
  <si>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</si>
  <si>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</si>
  <si>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</si>
  <si>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</si>
  <si>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</si>
  <si>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GWL_Item_Similar_05</t>
  </si>
  <si>
    <t>GWL_Item_Similar_05_Desc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</si>
  <si>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</si>
  <si>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</si>
  <si>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</si>
  <si>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</si>
  <si>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</si>
  <si>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</si>
  <si>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</si>
  <si>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</si>
  <si>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WH</t>
  </si>
  <si>
    <t>6454.29073</t>
  </si>
  <si>
    <t>106</t>
  </si>
  <si>
    <t>VD Asbl. Val.</t>
  </si>
  <si>
    <t>Pur. Value</t>
  </si>
  <si>
    <t>Tax%</t>
  </si>
  <si>
    <t>Unit cost (Stk. UOM)</t>
  </si>
  <si>
    <t>GWL_Item_service_05</t>
  </si>
  <si>
    <t>INS WH-1</t>
  </si>
  <si>
    <t>116.334</t>
  </si>
  <si>
    <t>6294.86566</t>
  </si>
  <si>
    <t>246.36</t>
  </si>
  <si>
    <t>120</t>
  </si>
  <si>
    <t>Before Qty</t>
  </si>
  <si>
    <t>Before Unit Cost</t>
  </si>
  <si>
    <t>GWL_Item_Similar_Rc_02</t>
  </si>
  <si>
    <t>8415</t>
  </si>
  <si>
    <t>8166.21155</t>
  </si>
  <si>
    <t>52</t>
  </si>
  <si>
    <t>GWL_Item_Service_Rc_06</t>
  </si>
  <si>
    <t>GWL_Item_Similar_Pl_02</t>
  </si>
  <si>
    <t>100</t>
  </si>
  <si>
    <t>1</t>
  </si>
  <si>
    <t>RM KD</t>
  </si>
  <si>
    <t>8213.55001</t>
  </si>
  <si>
    <t>84</t>
  </si>
  <si>
    <t>GWL_Item_Service_Pl_03</t>
  </si>
  <si>
    <t>GWL_Item_Dissimilar_05</t>
  </si>
  <si>
    <t>23750.7</t>
  </si>
  <si>
    <t>21855.47652</t>
  </si>
  <si>
    <t>31.344</t>
  </si>
  <si>
    <t>GWL_Item_Dissimilar_Rc_02</t>
  </si>
  <si>
    <t>25245</t>
  </si>
  <si>
    <t>24721.96746</t>
  </si>
  <si>
    <t>19.674</t>
  </si>
  <si>
    <t>GWL_Item_Dissimilar_Pl_02</t>
  </si>
  <si>
    <t>24598.03202</t>
  </si>
  <si>
    <t>33.344</t>
  </si>
  <si>
    <t>GWL_Item_WoQ_UD_Similar_01</t>
  </si>
  <si>
    <t>INS KD</t>
  </si>
  <si>
    <t>No.</t>
  </si>
  <si>
    <t>Item Desc</t>
  </si>
  <si>
    <t>GWL_Item_FP_service_01</t>
  </si>
  <si>
    <t>110</t>
  </si>
  <si>
    <t>124.545</t>
  </si>
  <si>
    <t>RM WH-49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</si>
  <si>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</si>
  <si>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</si>
  <si>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</si>
  <si>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</si>
  <si>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</si>
  <si>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</si>
  <si>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</si>
  <si>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</si>
  <si>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</si>
  <si>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</si>
  <si>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</si>
  <si>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</si>
  <si>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</si>
  <si>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</si>
  <si>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</si>
  <si>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</si>
  <si>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</si>
  <si>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</si>
  <si>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</si>
  <si>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</si>
  <si>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GWL_Item_FP_Rc_01</t>
  </si>
  <si>
    <t>50</t>
  </si>
  <si>
    <t>3714.5</t>
  </si>
  <si>
    <t>1362.23416</t>
  </si>
  <si>
    <t>1015</t>
  </si>
  <si>
    <t>GWL_Item_FP_Rc_Service_01</t>
  </si>
  <si>
    <t>15</t>
  </si>
  <si>
    <t>41.515</t>
  </si>
  <si>
    <t>GWL_Item_FP_Pl_Similar_01</t>
  </si>
  <si>
    <t>1142.72057</t>
  </si>
  <si>
    <t>1075</t>
  </si>
  <si>
    <t>GWL_Item_Service_Pl_01</t>
  </si>
  <si>
    <t>10</t>
  </si>
  <si>
    <t>GWL_Dissimilar_01</t>
  </si>
  <si>
    <t>GWL_Item_FP_Rc_Dissimilar_01</t>
  </si>
  <si>
    <t>11143.5</t>
  </si>
  <si>
    <t>3717.81605</t>
  </si>
  <si>
    <t>248.661</t>
  </si>
  <si>
    <t>GWL_Item_FP_Pl_Dissimilar_01</t>
  </si>
  <si>
    <t>4802.16109</t>
  </si>
  <si>
    <t>209.665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</si>
</sst>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"/>
    <numFmt numFmtId="181" formatCode="0.00_);[Red]\(0.00\)"/>
    <numFmt numFmtId="182" formatCode="0.000"/>
    <numFmt numFmtId="183" formatCode="0.000_ "/>
    <numFmt numFmtId="184" formatCode="0.00000_ "/>
  </numFmts>
  <fonts count="27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b/>
      <u/>
      <sz val="14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/>
      <right style="thin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5" applyNumberFormat="0" applyFill="0" applyAlignment="0" applyProtection="0">
      <alignment vertical="center"/>
    </xf>
    <xf numFmtId="0" fontId="14" fillId="0" borderId="25" applyNumberFormat="0" applyFill="0" applyAlignment="0" applyProtection="0">
      <alignment vertical="center"/>
    </xf>
    <xf numFmtId="0" fontId="15" fillId="0" borderId="2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6" borderId="27" applyNumberFormat="0" applyAlignment="0" applyProtection="0">
      <alignment vertical="center"/>
    </xf>
    <xf numFmtId="0" fontId="17" fillId="17" borderId="28" applyNumberFormat="0" applyAlignment="0" applyProtection="0">
      <alignment vertical="center"/>
    </xf>
    <xf numFmtId="0" fontId="18" fillId="17" borderId="27" applyNumberFormat="0" applyAlignment="0" applyProtection="0">
      <alignment vertical="center"/>
    </xf>
    <xf numFmtId="0" fontId="19" fillId="18" borderId="29" applyNumberFormat="0" applyAlignment="0" applyProtection="0">
      <alignment vertical="center"/>
    </xf>
    <xf numFmtId="0" fontId="20" fillId="0" borderId="30" applyNumberFormat="0" applyFill="0" applyAlignment="0" applyProtection="0">
      <alignment vertical="center"/>
    </xf>
    <xf numFmtId="0" fontId="21" fillId="0" borderId="31" applyNumberFormat="0" applyFill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2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47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/>
    <xf numFmtId="0" fontId="2" fillId="0" borderId="0" xfId="49" applyFont="1" applyFill="1" applyAlignment="1"/>
    <xf numFmtId="0" fontId="0" fillId="0" borderId="0" xfId="49" applyFill="1" applyAlignme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 applyAlignment="1"/>
    <xf numFmtId="0" fontId="2" fillId="2" borderId="4" xfId="49" applyFont="1" applyFill="1" applyBorder="1" applyAlignment="1"/>
    <xf numFmtId="0" fontId="2" fillId="0" borderId="1" xfId="49" applyFont="1" applyFill="1" applyBorder="1" applyAlignme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2" fontId="2" fillId="0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181" fontId="2" fillId="0" borderId="1" xfId="49" applyNumberFormat="1" applyFont="1" applyFill="1" applyBorder="1" applyAlignment="1"/>
    <xf numFmtId="182" fontId="2" fillId="0" borderId="1" xfId="49" applyNumberFormat="1" applyFont="1" applyFill="1" applyBorder="1" applyAlignment="1"/>
    <xf numFmtId="0" fontId="3" fillId="8" borderId="5" xfId="49" applyFont="1" applyFill="1" applyBorder="1" applyAlignment="1">
      <alignment vertical="center"/>
    </xf>
    <xf numFmtId="0" fontId="2" fillId="0" borderId="6" xfId="49" applyNumberFormat="1" applyFont="1" applyFill="1" applyBorder="1" applyAlignment="1"/>
    <xf numFmtId="2" fontId="2" fillId="0" borderId="6" xfId="49" applyNumberFormat="1" applyFont="1" applyFill="1" applyBorder="1" applyAlignment="1"/>
    <xf numFmtId="0" fontId="0" fillId="0" borderId="6" xfId="49" applyNumberFormat="1" applyFill="1" applyBorder="1" applyAlignment="1"/>
    <xf numFmtId="0" fontId="0" fillId="0" borderId="7" xfId="49" applyNumberFormat="1" applyFill="1" applyBorder="1" applyAlignment="1"/>
    <xf numFmtId="0" fontId="0" fillId="0" borderId="7" xfId="49" applyNumberFormat="1" applyFont="1" applyFill="1" applyBorder="1" applyAlignment="1">
      <alignment vertical="center"/>
    </xf>
    <xf numFmtId="0" fontId="3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NumberFormat="1" applyFont="1" applyFill="1" applyBorder="1" applyAlignment="1"/>
    <xf numFmtId="0" fontId="1" fillId="9" borderId="1" xfId="49" applyFont="1" applyFill="1" applyBorder="1" applyAlignment="1"/>
    <xf numFmtId="2" fontId="1" fillId="9" borderId="1" xfId="49" applyNumberFormat="1" applyFont="1" applyFill="1" applyBorder="1" applyAlignment="1"/>
    <xf numFmtId="0" fontId="1" fillId="6" borderId="1" xfId="49" applyFont="1" applyFill="1" applyBorder="1" applyAlignment="1"/>
    <xf numFmtId="2" fontId="1" fillId="6" borderId="1" xfId="49" applyNumberFormat="1" applyFont="1" applyFill="1" applyBorder="1" applyAlignment="1"/>
    <xf numFmtId="0" fontId="1" fillId="2" borderId="2" xfId="49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left" vertical="center"/>
    </xf>
    <xf numFmtId="0" fontId="1" fillId="2" borderId="2" xfId="49" applyFont="1" applyFill="1" applyBorder="1" applyAlignment="1">
      <alignment horizontal="center" vertical="center" wrapText="1"/>
    </xf>
    <xf numFmtId="0" fontId="1" fillId="3" borderId="2" xfId="49" applyFont="1" applyFill="1" applyBorder="1" applyAlignment="1">
      <alignment horizontal="center" vertical="center"/>
    </xf>
    <xf numFmtId="0" fontId="1" fillId="10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 wrapText="1"/>
    </xf>
    <xf numFmtId="0" fontId="1" fillId="7" borderId="2" xfId="49" applyFont="1" applyFill="1" applyBorder="1" applyAlignment="1">
      <alignment horizontal="center" vertical="center"/>
    </xf>
    <xf numFmtId="0" fontId="0" fillId="0" borderId="7" xfId="49" applyFill="1" applyBorder="1" applyAlignment="1">
      <alignment vertical="center"/>
    </xf>
    <xf numFmtId="0" fontId="2" fillId="0" borderId="10" xfId="49" applyFont="1" applyFill="1" applyBorder="1" applyAlignment="1">
      <alignment horizontal="left"/>
    </xf>
    <xf numFmtId="0" fontId="2" fillId="0" borderId="9" xfId="49" applyFont="1" applyFill="1" applyBorder="1" applyAlignment="1">
      <alignment horizontal="left"/>
    </xf>
    <xf numFmtId="0" fontId="1" fillId="0" borderId="1" xfId="49" applyFont="1" applyFill="1" applyBorder="1" applyAlignment="1">
      <alignment horizontal="right"/>
    </xf>
    <xf numFmtId="0" fontId="1" fillId="11" borderId="10" xfId="49" applyFont="1" applyFill="1" applyBorder="1" applyAlignment="1">
      <alignment horizontal="center"/>
    </xf>
    <xf numFmtId="0" fontId="1" fillId="11" borderId="8" xfId="49" applyFont="1" applyFill="1" applyBorder="1" applyAlignment="1">
      <alignment horizontal="center"/>
    </xf>
    <xf numFmtId="0" fontId="1" fillId="11" borderId="9" xfId="49" applyFont="1" applyFill="1" applyBorder="1" applyAlignment="1">
      <alignment horizontal="center"/>
    </xf>
    <xf numFmtId="0" fontId="2" fillId="0" borderId="2" xfId="49" applyFont="1" applyFill="1" applyBorder="1" applyAlignment="1"/>
    <xf numFmtId="0" fontId="1" fillId="6" borderId="1" xfId="49" applyFont="1" applyFill="1" applyBorder="1" applyAlignment="1">
      <alignment horizontal="right"/>
    </xf>
    <xf numFmtId="0" fontId="4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1" fillId="2" borderId="1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13" xfId="0" applyFont="1" applyFill="1" applyBorder="1" applyAlignment="1"/>
    <xf numFmtId="0" fontId="2" fillId="0" borderId="6" xfId="0" applyFont="1" applyFill="1" applyBorder="1" applyAlignment="1"/>
    <xf numFmtId="182" fontId="2" fillId="0" borderId="6" xfId="0" applyNumberFormat="1" applyFont="1" applyFill="1" applyBorder="1" applyAlignment="1"/>
    <xf numFmtId="2" fontId="2" fillId="0" borderId="6" xfId="0" applyNumberFormat="1" applyFont="1" applyFill="1" applyBorder="1" applyAlignment="1"/>
    <xf numFmtId="2" fontId="2" fillId="0" borderId="14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5" fillId="0" borderId="0" xfId="0" applyFont="1" applyFill="1" applyAlignment="1"/>
    <xf numFmtId="0" fontId="2" fillId="0" borderId="15" xfId="0" applyFont="1" applyFill="1" applyBorder="1" applyAlignment="1"/>
    <xf numFmtId="0" fontId="2" fillId="0" borderId="16" xfId="0" applyFont="1" applyFill="1" applyBorder="1" applyAlignment="1"/>
    <xf numFmtId="182" fontId="2" fillId="0" borderId="16" xfId="0" applyNumberFormat="1" applyFont="1" applyFill="1" applyBorder="1" applyAlignment="1"/>
    <xf numFmtId="2" fontId="2" fillId="0" borderId="16" xfId="0" applyNumberFormat="1" applyFont="1" applyFill="1" applyBorder="1" applyAlignment="1"/>
    <xf numFmtId="2" fontId="2" fillId="0" borderId="17" xfId="0" applyNumberFormat="1" applyFont="1" applyFill="1" applyBorder="1" applyAlignment="1"/>
    <xf numFmtId="0" fontId="1" fillId="9" borderId="18" xfId="0" applyFont="1" applyFill="1" applyBorder="1" applyAlignment="1">
      <alignment horizontal="center" vertical="top"/>
    </xf>
    <xf numFmtId="0" fontId="1" fillId="9" borderId="19" xfId="0" applyFont="1" applyFill="1" applyBorder="1" applyAlignment="1">
      <alignment vertical="top"/>
    </xf>
    <xf numFmtId="0" fontId="2" fillId="0" borderId="0" xfId="0" applyFont="1" applyFill="1" applyBorder="1" applyAlignment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center" vertical="top"/>
    </xf>
    <xf numFmtId="0" fontId="1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vertical="top"/>
    </xf>
    <xf numFmtId="0" fontId="2" fillId="0" borderId="7" xfId="0" applyFont="1" applyFill="1" applyBorder="1" applyAlignment="1">
      <alignment vertical="top"/>
    </xf>
    <xf numFmtId="0" fontId="0" fillId="0" borderId="7" xfId="0" applyFill="1" applyBorder="1" applyAlignment="1">
      <alignment vertical="top"/>
    </xf>
    <xf numFmtId="0" fontId="1" fillId="2" borderId="7" xfId="0" applyFont="1" applyFill="1" applyBorder="1" applyAlignment="1">
      <alignment horizontal="left" vertical="top"/>
    </xf>
    <xf numFmtId="0" fontId="1" fillId="3" borderId="7" xfId="0" applyFont="1" applyFill="1" applyBorder="1" applyAlignment="1">
      <alignment horizontal="left" vertical="top"/>
    </xf>
    <xf numFmtId="0" fontId="1" fillId="12" borderId="7" xfId="0" applyFont="1" applyFill="1" applyBorder="1" applyAlignment="1">
      <alignment horizontal="left" vertical="top"/>
    </xf>
    <xf numFmtId="0" fontId="1" fillId="5" borderId="7" xfId="0" applyFont="1" applyFill="1" applyBorder="1" applyAlignment="1">
      <alignment horizontal="left" vertical="top"/>
    </xf>
    <xf numFmtId="0" fontId="1" fillId="6" borderId="7" xfId="0" applyFont="1" applyFill="1" applyBorder="1" applyAlignment="1">
      <alignment horizontal="left" vertical="top"/>
    </xf>
    <xf numFmtId="0" fontId="1" fillId="7" borderId="7" xfId="0" applyFont="1" applyFill="1" applyBorder="1" applyAlignment="1">
      <alignment horizontal="left" vertical="top"/>
    </xf>
    <xf numFmtId="0" fontId="6" fillId="13" borderId="7" xfId="0" applyFont="1" applyFill="1" applyBorder="1" applyAlignment="1">
      <alignment horizontal="center" vertical="top"/>
    </xf>
    <xf numFmtId="0" fontId="2" fillId="2" borderId="7" xfId="0" applyFont="1" applyFill="1" applyBorder="1"/>
    <xf numFmtId="0" fontId="2" fillId="2" borderId="7" xfId="0" applyFont="1" applyFill="1" applyBorder="1" applyAlignment="1"/>
    <xf numFmtId="0" fontId="2" fillId="0" borderId="7" xfId="0" applyNumberFormat="1" applyFont="1" applyFill="1" applyBorder="1" applyAlignment="1">
      <alignment horizontal="left" vertical="top"/>
    </xf>
    <xf numFmtId="0" fontId="2" fillId="0" borderId="7" xfId="0" applyNumberFormat="1" applyFont="1" applyBorder="1" applyAlignment="1">
      <alignment vertical="top"/>
    </xf>
    <xf numFmtId="0" fontId="2" fillId="0" borderId="1" xfId="0" applyNumberFormat="1" applyFont="1" applyFill="1" applyBorder="1" applyAlignment="1"/>
    <xf numFmtId="0" fontId="0" fillId="0" borderId="7" xfId="0" applyNumberFormat="1" applyBorder="1" applyAlignment="1">
      <alignment vertical="top"/>
    </xf>
    <xf numFmtId="0" fontId="0" fillId="0" borderId="7" xfId="0" applyNumberFormat="1" applyFont="1" applyBorder="1" applyAlignment="1">
      <alignment vertical="top"/>
    </xf>
    <xf numFmtId="183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horizontal="center" vertical="top"/>
    </xf>
    <xf numFmtId="0" fontId="1" fillId="9" borderId="7" xfId="0" applyFont="1" applyFill="1" applyBorder="1" applyAlignment="1">
      <alignment vertical="top"/>
    </xf>
    <xf numFmtId="0" fontId="1" fillId="9" borderId="7" xfId="0" applyNumberFormat="1" applyFont="1" applyFill="1" applyBorder="1" applyAlignment="1">
      <alignment vertical="top"/>
    </xf>
    <xf numFmtId="2" fontId="1" fillId="9" borderId="7" xfId="0" applyNumberFormat="1" applyFont="1" applyFill="1" applyBorder="1" applyAlignment="1">
      <alignment vertical="top"/>
    </xf>
    <xf numFmtId="0" fontId="1" fillId="6" borderId="7" xfId="0" applyFont="1" applyFill="1" applyBorder="1" applyAlignment="1">
      <alignment vertical="top"/>
    </xf>
    <xf numFmtId="2" fontId="1" fillId="6" borderId="7" xfId="0" applyNumberFormat="1" applyFont="1" applyFill="1" applyBorder="1" applyAlignment="1">
      <alignment vertical="top"/>
    </xf>
    <xf numFmtId="0" fontId="2" fillId="0" borderId="7" xfId="0" applyNumberFormat="1" applyFont="1" applyFill="1" applyBorder="1" applyAlignment="1">
      <alignment vertical="top"/>
    </xf>
    <xf numFmtId="0" fontId="0" fillId="0" borderId="7" xfId="0" applyBorder="1" applyAlignment="1">
      <alignment vertical="top"/>
    </xf>
    <xf numFmtId="0" fontId="1" fillId="9" borderId="20" xfId="0" applyFont="1" applyFill="1" applyBorder="1" applyAlignment="1">
      <alignment horizontal="center" vertical="top"/>
    </xf>
    <xf numFmtId="0" fontId="1" fillId="9" borderId="21" xfId="0" applyFont="1" applyFill="1" applyBorder="1" applyAlignment="1">
      <alignment horizontal="center" vertical="top"/>
    </xf>
    <xf numFmtId="0" fontId="1" fillId="9" borderId="22" xfId="0" applyFont="1" applyFill="1" applyBorder="1" applyAlignment="1">
      <alignment horizontal="center" vertical="top"/>
    </xf>
    <xf numFmtId="0" fontId="1" fillId="4" borderId="7" xfId="0" applyFont="1" applyFill="1" applyBorder="1" applyAlignment="1">
      <alignment horizontal="left" vertical="top"/>
    </xf>
    <xf numFmtId="2" fontId="2" fillId="0" borderId="7" xfId="0" applyNumberFormat="1" applyFont="1" applyFill="1" applyBorder="1" applyAlignment="1">
      <alignment vertical="top"/>
    </xf>
    <xf numFmtId="181" fontId="2" fillId="0" borderId="7" xfId="0" applyNumberFormat="1" applyFont="1" applyFill="1" applyBorder="1" applyAlignment="1">
      <alignment vertical="top"/>
    </xf>
    <xf numFmtId="182" fontId="2" fillId="0" borderId="7" xfId="0" applyNumberFormat="1" applyFont="1" applyFill="1" applyBorder="1" applyAlignment="1">
      <alignment vertical="top"/>
    </xf>
    <xf numFmtId="0" fontId="3" fillId="8" borderId="7" xfId="0" applyFont="1" applyFill="1" applyBorder="1" applyAlignment="1">
      <alignment vertical="top"/>
    </xf>
    <xf numFmtId="184" fontId="2" fillId="0" borderId="7" xfId="0" applyNumberFormat="1" applyFont="1" applyFill="1" applyBorder="1" applyAlignment="1">
      <alignment vertical="top"/>
    </xf>
    <xf numFmtId="0" fontId="0" fillId="0" borderId="7" xfId="0" applyNumberFormat="1" applyFill="1" applyBorder="1" applyAlignment="1">
      <alignment vertical="top"/>
    </xf>
    <xf numFmtId="0" fontId="0" fillId="0" borderId="7" xfId="0" applyNumberFormat="1" applyFont="1" applyFill="1" applyBorder="1" applyAlignment="1">
      <alignment vertical="top"/>
    </xf>
    <xf numFmtId="0" fontId="3" fillId="0" borderId="7" xfId="0" applyFont="1" applyFill="1" applyBorder="1" applyAlignment="1">
      <alignment vertical="top"/>
    </xf>
    <xf numFmtId="0" fontId="0" fillId="0" borderId="7" xfId="0" applyNumberFormat="1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14" borderId="7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center" vertical="center"/>
    </xf>
    <xf numFmtId="0" fontId="2" fillId="0" borderId="23" xfId="0" applyFont="1" applyFill="1" applyBorder="1"/>
    <xf numFmtId="0" fontId="2" fillId="0" borderId="7" xfId="0" applyNumberFormat="1" applyFont="1" applyBorder="1" applyAlignment="1">
      <alignment horizontal="left" vertical="top"/>
    </xf>
    <xf numFmtId="0" fontId="0" fillId="0" borderId="7" xfId="0" applyNumberFormat="1" applyBorder="1" applyAlignment="1">
      <alignment horizontal="left" vertical="top"/>
    </xf>
    <xf numFmtId="0" fontId="0" fillId="0" borderId="7" xfId="0" applyNumberFormat="1" applyFont="1" applyBorder="1" applyAlignment="1">
      <alignment horizontal="left" vertical="top"/>
    </xf>
    <xf numFmtId="0" fontId="1" fillId="9" borderId="7" xfId="0" applyFont="1" applyFill="1" applyBorder="1" applyAlignment="1">
      <alignment horizontal="left" vertical="top"/>
    </xf>
    <xf numFmtId="0" fontId="1" fillId="9" borderId="7" xfId="0" applyNumberFormat="1" applyFont="1" applyFill="1" applyBorder="1" applyAlignment="1">
      <alignment horizontal="left" vertical="top"/>
    </xf>
    <xf numFmtId="2" fontId="1" fillId="9" borderId="7" xfId="0" applyNumberFormat="1" applyFont="1" applyFill="1" applyBorder="1" applyAlignment="1">
      <alignment horizontal="left" vertical="top"/>
    </xf>
    <xf numFmtId="2" fontId="1" fillId="6" borderId="7" xfId="0" applyNumberFormat="1" applyFont="1" applyFill="1" applyBorder="1" applyAlignment="1">
      <alignment horizontal="left" vertical="top"/>
    </xf>
    <xf numFmtId="0" fontId="2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theme/theme1.xml" Type="http://schemas.openxmlformats.org/officeDocument/2006/relationships/theme"/><Relationship Id="rId2" Target="worksheets/sheet2.xml" Type="http://schemas.openxmlformats.org/officeDocument/2006/relationships/worksheet"/><Relationship Id="rId20" Target="sharedStrings.xml" Type="http://schemas.openxmlformats.org/officeDocument/2006/relationships/sharedStrings"/><Relationship Id="rId21" Target="styles.xml" Type="http://schemas.openxmlformats.org/officeDocument/2006/relationships/styles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4"/>
  <sheetViews>
    <sheetView topLeftCell="E6" workbookViewId="0">
      <selection activeCell="BM19" sqref="BM19"/>
    </sheetView>
  </sheetViews>
  <sheetFormatPr defaultColWidth="8.71428571428571" defaultRowHeight="15"/>
  <cols>
    <col min="1" max="1" customWidth="true" width="25.5714285714286"/>
    <col min="2" max="2" customWidth="true" width="21.8571428571429"/>
    <col min="3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  <col min="70" max="70" customWidth="true" width="5.42857142857143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O16" s="63"/>
      <c r="BP16" s="63"/>
      <c r="BQ16" s="63"/>
    </row>
    <row r="17" spans="1:70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O17" s="63"/>
      <c r="BP17" s="63"/>
      <c r="BQ17" s="63"/>
    </row>
    <row r="18" ht="15.75" spans="1:70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O18" s="63"/>
      <c r="BP18" s="63"/>
      <c r="BQ18" s="63"/>
    </row>
    <row r="19" ht="15.75" spans="1:70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O19" s="63"/>
      <c r="BP19" s="63"/>
      <c r="BQ19" s="63"/>
    </row>
    <row r="20" s="129" customFormat="1" spans="1:70">
      <c r="A20" s="131" t="s">
        <v>42</v>
      </c>
      <c r="B20" s="131"/>
      <c r="C20" s="131"/>
      <c r="D20" s="131"/>
      <c r="E20" s="131"/>
      <c r="F20" s="131"/>
      <c r="G20" s="131"/>
      <c r="H20" s="131"/>
      <c r="I20" s="132"/>
      <c r="J20" s="132"/>
      <c r="K20" s="132"/>
      <c r="L20" s="132"/>
      <c r="M20" s="132"/>
      <c r="N20" s="132"/>
      <c r="O20" s="132"/>
      <c r="P20" s="132"/>
      <c r="Q20" s="132"/>
      <c r="R20" s="131"/>
      <c r="S20" s="131"/>
      <c r="T20" s="131"/>
      <c r="U20" s="131"/>
      <c r="V20" s="131"/>
      <c r="W20" s="131"/>
      <c r="X20" s="131"/>
      <c r="Y20" s="131"/>
      <c r="Z20" s="131"/>
      <c r="AA20" s="131"/>
      <c r="AB20" s="131"/>
      <c r="AC20" s="131"/>
      <c r="AD20" s="131"/>
      <c r="AE20" s="131"/>
      <c r="AF20" s="131"/>
      <c r="AG20" s="131"/>
      <c r="AH20" s="131"/>
      <c r="AI20" s="131"/>
      <c r="AJ20" s="131"/>
      <c r="AK20" s="131"/>
      <c r="AL20" s="131"/>
      <c r="AM20" s="131"/>
      <c r="AN20" s="131"/>
      <c r="AO20" s="131"/>
      <c r="AP20" s="131"/>
      <c r="AQ20" s="131"/>
      <c r="AR20" s="131"/>
      <c r="AS20" s="133"/>
    </row>
    <row r="21" s="129" customFormat="1" spans="1:70">
      <c r="A21" s="87" t="s">
        <v>43</v>
      </c>
      <c r="B21" s="87"/>
      <c r="C21" s="89">
        <v>3</v>
      </c>
      <c r="D21" s="89" t="s">
        <v>44</v>
      </c>
      <c r="E21" s="89"/>
      <c r="F21" s="89"/>
      <c r="G21" s="89"/>
      <c r="H21" s="89"/>
      <c r="I21" s="87" t="s">
        <v>45</v>
      </c>
      <c r="J21" s="87" t="s">
        <v>46</v>
      </c>
      <c r="K21" s="87"/>
      <c r="L21" s="87" t="s">
        <v>47</v>
      </c>
      <c r="M21" s="87">
        <v>85</v>
      </c>
      <c r="N21" s="87"/>
      <c r="O21" s="87" t="s">
        <v>48</v>
      </c>
      <c r="P21" s="87">
        <v>1</v>
      </c>
      <c r="Q21" s="87" t="s">
        <v>49</v>
      </c>
      <c r="R21" s="89"/>
      <c r="S21" s="89"/>
      <c r="T21" s="89"/>
      <c r="U21" s="89"/>
      <c r="V21" s="89">
        <v>1</v>
      </c>
      <c r="W21" s="89" t="s">
        <v>50</v>
      </c>
      <c r="X21" s="89"/>
      <c r="Y21" s="89"/>
      <c r="Z21" s="89"/>
      <c r="AA21" s="89"/>
      <c r="AB21" s="89"/>
      <c r="AC21" s="89"/>
      <c r="AD21" s="89"/>
      <c r="AE21" s="89"/>
      <c r="AF21" s="89"/>
      <c r="AG21" s="89"/>
      <c r="AH21" s="89"/>
      <c r="AI21" s="89"/>
      <c r="AJ21" s="89"/>
      <c r="AK21" s="89"/>
      <c r="AL21" s="89"/>
      <c r="AM21" s="89"/>
      <c r="AN21" s="89"/>
      <c r="AO21" s="89"/>
      <c r="AP21" s="89"/>
      <c r="AQ21" s="89"/>
      <c r="AR21" s="89"/>
      <c r="AS21" s="134"/>
      <c r="AT21" s="135"/>
      <c r="AU21" s="135"/>
      <c r="AV21" s="135"/>
      <c r="AW21" s="135"/>
      <c r="AX21" s="135"/>
      <c r="AY21" s="135"/>
      <c r="AZ21" s="135"/>
      <c r="BA21" s="135"/>
      <c r="BB21" s="135"/>
      <c r="BC21" s="135"/>
      <c r="BD21" s="135"/>
      <c r="BE21" s="135"/>
      <c r="BF21" s="135"/>
      <c r="BG21" s="135"/>
      <c r="BH21" s="135"/>
      <c r="BI21" s="135"/>
      <c r="BJ21" s="135"/>
      <c r="BK21" s="135"/>
      <c r="BL21" s="135"/>
      <c r="BM21" s="135"/>
      <c r="BN21" s="135"/>
      <c r="BO21" s="135"/>
      <c r="BP21" s="135"/>
      <c r="BQ21" s="135"/>
    </row>
    <row r="22" s="130" customFormat="1" ht="15.75" spans="1:70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136" t="s">
        <v>55</v>
      </c>
      <c r="M22" s="136" t="s">
        <v>56</v>
      </c>
      <c r="N22" s="136" t="s">
        <v>57</v>
      </c>
      <c r="O22" s="136" t="s">
        <v>58</v>
      </c>
      <c r="P22" s="136" t="s">
        <v>59</v>
      </c>
      <c r="Q22" s="136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137" t="s">
        <v>88</v>
      </c>
      <c r="AT22" s="137" t="s">
        <v>86</v>
      </c>
      <c r="AU22" s="100" t="s">
        <v>89</v>
      </c>
      <c r="AV22" s="100" t="s">
        <v>90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  <c r="BR22" s="138"/>
    </row>
    <row r="23" s="129" customFormat="1" ht="15.75" spans="1:70">
      <c r="A23" s="87">
        <v>1</v>
      </c>
      <c r="B23" s="87" t="s">
        <v>110</v>
      </c>
      <c r="C23" s="87" t="s">
        <v>111</v>
      </c>
      <c r="D23" s="87" t="s">
        <v>12</v>
      </c>
      <c r="E23" s="87" t="s">
        <v>12</v>
      </c>
      <c r="F23" s="102">
        <v>2</v>
      </c>
      <c r="G23" s="102">
        <v>100</v>
      </c>
      <c r="H23" s="139">
        <f>F23*G23</f>
        <v>200</v>
      </c>
      <c r="I23" s="135">
        <v>1</v>
      </c>
      <c r="J23" s="139">
        <v>2</v>
      </c>
      <c r="K23" s="139">
        <v>4</v>
      </c>
      <c r="L23" s="139">
        <f>H23</f>
        <v>200</v>
      </c>
      <c r="M23" s="139">
        <f>ROUND(L23*I23%,2)</f>
        <v>2</v>
      </c>
      <c r="N23" s="139">
        <f>H23-M23</f>
        <v>198</v>
      </c>
      <c r="O23" s="139">
        <f>ROUND(N23*J23%,2)</f>
        <v>3.96</v>
      </c>
      <c r="P23" s="139">
        <f>ROUND(N23-O23,2)</f>
        <v>194.04</v>
      </c>
      <c r="Q23" s="139">
        <f>ROUND(P23*K23%,2)</f>
        <v>7.76</v>
      </c>
      <c r="R23" s="139">
        <f>M23+O23+Q23</f>
        <v>13.72</v>
      </c>
      <c r="S23" s="139">
        <f>(H23-R23)</f>
        <v>186.28</v>
      </c>
      <c r="T23" s="139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39">
        <f>IF($V21=1,S23+AB23,S23)</f>
        <v>186.28</v>
      </c>
      <c r="AD23" s="139">
        <v>120</v>
      </c>
      <c r="AE23" s="139">
        <f>IF($P$21=1,(S23/$S$24)*$E$35,AD23/$AD$24*$E$35)</f>
        <v>0</v>
      </c>
      <c r="AF23" s="139"/>
      <c r="AG23" s="139">
        <f>IF($P$21=1,(S23/$S$24)*$E$37,AD23/$AD$24*$E$37)</f>
        <v>0</v>
      </c>
      <c r="AH23" s="139">
        <f>IF($P$21=1,(S23/$S$24)*$E$37,AD23/$AD$24*$E$37)</f>
        <v>0</v>
      </c>
      <c r="AI23" s="139">
        <f>S23*$M$21</f>
        <v>15833.8</v>
      </c>
      <c r="AJ23" s="139">
        <f>IF($C$21=3,0,AG23+AH23)</f>
        <v>0</v>
      </c>
      <c r="AK23" s="139">
        <f>IF($C$21=3,AE23+AG23+AH23,0)</f>
        <v>0</v>
      </c>
      <c r="AL23" s="139">
        <v>1</v>
      </c>
      <c r="AM23" s="139">
        <f>F23/AL23</f>
        <v>2</v>
      </c>
      <c r="AN23" s="139">
        <f>AI23/AM23</f>
        <v>7916.9</v>
      </c>
      <c r="AO23" s="139">
        <f>AJ23/AM23</f>
        <v>0</v>
      </c>
      <c r="AP23" s="139">
        <f>AK23/AM23</f>
        <v>0</v>
      </c>
      <c r="AQ23" s="139" t="s">
        <v>12</v>
      </c>
      <c r="AR23" s="139">
        <f>AN23+AO23+AP23</f>
        <v>7916.9</v>
      </c>
      <c r="AS23" s="139" t="s">
        <v>113</v>
      </c>
      <c r="AT23" s="139" t="s">
        <v>12</v>
      </c>
      <c r="AU23" t="s" s="0">
        <v>114</v>
      </c>
      <c r="AV23" t="s" s="0">
        <v>115</v>
      </c>
      <c r="AW23" s="139">
        <f>AM23</f>
        <v>2</v>
      </c>
      <c r="AX23" s="139">
        <f>AR23</f>
        <v>7916.9</v>
      </c>
      <c r="AY23" s="139">
        <f>AU23+AW23</f>
        <v>2</v>
      </c>
      <c r="AZ23" s="139">
        <f>ROUND(((AU23*AV23)+(AW23*AX23))/(AU23+AW23),5)</f>
        <v>7916.9</v>
      </c>
      <c r="BA23" s="140"/>
      <c r="BB23" s="140" t="s">
        <v>116</v>
      </c>
      <c r="BC23" s="140" t="s">
        <v>117</v>
      </c>
      <c r="BD23" s="141" t="s">
        <v>118</v>
      </c>
      <c r="BE23" s="141" t="s">
        <v>119</v>
      </c>
      <c r="BF23" s="140"/>
      <c r="BG23" s="140"/>
      <c r="BH23" s="140"/>
      <c r="BI23" s="139"/>
      <c r="BJ23" s="139"/>
      <c r="BK23" s="139"/>
      <c r="BL23" s="139" t="s">
        <v>120</v>
      </c>
      <c r="BM23" t="s" s="0">
        <v>121</v>
      </c>
      <c r="BN23" t="s" s="0">
        <v>122</v>
      </c>
      <c r="BO23" s="139">
        <f>ROUND((((AW23*AZ23)+(BN23*BM23))/(AW23+BN23)),5)</f>
        <v>5978.94273</v>
      </c>
      <c r="BP23" s="140">
        <f>BN23+AW23</f>
        <v>4</v>
      </c>
      <c r="BQ23" s="140">
        <v>88363222</v>
      </c>
    </row>
    <row r="24" s="129" customFormat="1" spans="1:70">
      <c r="A24" s="134"/>
      <c r="B24" s="135"/>
      <c r="C24" s="135"/>
      <c r="D24" s="142" t="s">
        <v>41</v>
      </c>
      <c r="E24" s="142"/>
      <c r="F24" s="142"/>
      <c r="G24" s="142"/>
      <c r="H24" s="142">
        <f>SUM(H23:H23)</f>
        <v>200</v>
      </c>
      <c r="I24" s="134"/>
      <c r="J24" s="134"/>
      <c r="K24" s="134"/>
      <c r="L24" s="134"/>
      <c r="M24" s="134"/>
      <c r="N24" s="134"/>
      <c r="O24" s="134"/>
      <c r="P24" s="134"/>
      <c r="Q24" s="134"/>
      <c r="R24" s="142">
        <f t="shared" ref="R24:Y24" si="1">SUM(R23:R23)</f>
        <v>13.72</v>
      </c>
      <c r="S24" s="143">
        <f t="shared" si="1"/>
        <v>186.28</v>
      </c>
      <c r="T24" s="142"/>
      <c r="U24" s="142"/>
      <c r="V24" s="144">
        <f t="shared" si="1"/>
        <v>0</v>
      </c>
      <c r="W24" s="144">
        <f t="shared" si="1"/>
        <v>0</v>
      </c>
      <c r="X24" s="144">
        <f t="shared" si="1"/>
        <v>0</v>
      </c>
      <c r="Y24" s="144">
        <f t="shared" si="1"/>
        <v>0</v>
      </c>
      <c r="Z24" s="144"/>
      <c r="AA24" s="144">
        <f t="shared" ref="AA24:AE24" si="2">SUM(AA23:AA23)</f>
        <v>0</v>
      </c>
      <c r="AB24" s="142">
        <f t="shared" si="2"/>
        <v>0</v>
      </c>
      <c r="AC24" s="97">
        <f t="shared" si="2"/>
        <v>186.28</v>
      </c>
      <c r="AD24" s="145">
        <f t="shared" si="2"/>
        <v>120</v>
      </c>
      <c r="AE24" s="145">
        <f t="shared" si="2"/>
        <v>0</v>
      </c>
      <c r="AF24" s="97"/>
      <c r="AG24" s="145">
        <f t="shared" ref="AG24:AK24" si="3">SUM(AG23:AG23)</f>
        <v>0</v>
      </c>
      <c r="AH24" s="145">
        <f t="shared" si="3"/>
        <v>0</v>
      </c>
      <c r="AI24" s="145">
        <f t="shared" si="3"/>
        <v>15833.8</v>
      </c>
      <c r="AJ24" s="145">
        <f t="shared" si="3"/>
        <v>0</v>
      </c>
      <c r="AK24" s="145">
        <f t="shared" si="3"/>
        <v>0</v>
      </c>
      <c r="AL24" s="97"/>
      <c r="AM24" s="97"/>
      <c r="AN24" s="97"/>
      <c r="AO24" s="97"/>
      <c r="AP24" s="97"/>
      <c r="AQ24" s="97"/>
      <c r="AR24" s="97"/>
      <c r="AS24" s="134"/>
      <c r="AT24" s="135"/>
      <c r="AU24" s="135"/>
      <c r="AV24" s="135"/>
      <c r="AW24" s="135"/>
      <c r="AX24" s="135"/>
      <c r="AY24" s="135"/>
      <c r="AZ24" s="135"/>
      <c r="BA24" s="135"/>
      <c r="BB24" s="135"/>
      <c r="BC24" s="135"/>
      <c r="BD24" s="135"/>
      <c r="BE24" s="135"/>
      <c r="BF24" s="135"/>
      <c r="BG24" s="135"/>
      <c r="BH24" s="135"/>
      <c r="BI24" s="135"/>
      <c r="BJ24" s="135"/>
      <c r="BK24" s="135"/>
      <c r="BL24" s="135"/>
      <c r="BM24" s="135"/>
      <c r="BN24" s="135"/>
      <c r="BO24" s="135"/>
      <c r="BP24" s="135"/>
      <c r="BQ24" s="135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Y9" workbookViewId="0">
      <selection activeCell="AZ23" sqref="AZ23"/>
    </sheetView>
  </sheetViews>
  <sheetFormatPr defaultColWidth="8.71428571428571" defaultRowHeight="15"/>
  <cols>
    <col min="1" max="1" customWidth="true" width="7.57142857142857"/>
    <col min="2" max="3" customWidth="true" width="22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9.28571428571429"/>
    <col min="46" max="46" customWidth="true" width="13.0"/>
    <col min="47" max="47" customWidth="true" width="18.0"/>
    <col min="48" max="48" customWidth="true" width="24.4285714285714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5" max="65" customWidth="true" width="49.1428571428571"/>
    <col min="66" max="66" customWidth="true" width="43.8571428571429"/>
    <col min="67" max="67" customWidth="true" width="22.7142857142857"/>
    <col min="68" max="68" customWidth="true" width="40.8571428571429"/>
    <col min="69" max="69" customWidth="true" width="7.57142857142857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54</v>
      </c>
      <c r="K22" s="94" t="s">
        <v>53</v>
      </c>
      <c r="L22" s="119" t="s">
        <v>55</v>
      </c>
      <c r="M22" s="119" t="s">
        <v>56</v>
      </c>
      <c r="N22" s="119" t="s">
        <v>59</v>
      </c>
      <c r="O22" s="119" t="s">
        <v>60</v>
      </c>
      <c r="P22" s="119" t="s">
        <v>123</v>
      </c>
      <c r="Q22" s="119" t="s">
        <v>58</v>
      </c>
      <c r="R22" s="94" t="s">
        <v>61</v>
      </c>
      <c r="S22" s="93" t="s">
        <v>124</v>
      </c>
      <c r="T22" s="93" t="s">
        <v>63</v>
      </c>
      <c r="U22" s="96" t="s">
        <v>125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126</v>
      </c>
      <c r="AS22" s="93" t="s">
        <v>88</v>
      </c>
      <c r="AT22" s="93" t="s">
        <v>86</v>
      </c>
      <c r="AU22" s="93" t="s">
        <v>89</v>
      </c>
      <c r="AV22" s="93" t="s">
        <v>90</v>
      </c>
      <c r="AW22" s="93" t="s">
        <v>91</v>
      </c>
      <c r="AX22" s="93" t="s">
        <v>92</v>
      </c>
      <c r="AY22" s="93" t="s">
        <v>93</v>
      </c>
      <c r="AZ22" s="93" t="s">
        <v>94</v>
      </c>
      <c r="BA22" s="93" t="s">
        <v>95</v>
      </c>
      <c r="BB22" s="93" t="s">
        <v>96</v>
      </c>
      <c r="BC22" s="93" t="s">
        <v>97</v>
      </c>
      <c r="BD22" s="93" t="s">
        <v>98</v>
      </c>
      <c r="BE22" s="93" t="s">
        <v>99</v>
      </c>
      <c r="BF22" s="93" t="s">
        <v>100</v>
      </c>
      <c r="BG22" s="93" t="s">
        <v>101</v>
      </c>
      <c r="BH22" s="93" t="s">
        <v>102</v>
      </c>
      <c r="BI22" s="93" t="s">
        <v>103</v>
      </c>
      <c r="BJ22" s="93" t="s">
        <v>104</v>
      </c>
      <c r="BK22" s="93" t="s">
        <v>105</v>
      </c>
      <c r="BL22" s="93" t="s">
        <v>106</v>
      </c>
      <c r="BM22" s="93" t="s">
        <v>107</v>
      </c>
      <c r="BN22" s="93" t="s">
        <v>108</v>
      </c>
      <c r="BO22" s="93" t="s">
        <v>94</v>
      </c>
      <c r="BP22" s="93" t="s">
        <v>109</v>
      </c>
      <c r="BQ22" s="93" t="s">
        <v>63</v>
      </c>
    </row>
    <row r="23" ht="15.75" spans="1:69">
      <c r="A23" s="87">
        <v>1</v>
      </c>
      <c r="B23" s="87" t="s">
        <v>127</v>
      </c>
      <c r="C23" s="87" t="s">
        <v>127</v>
      </c>
      <c r="D23" s="87" t="s">
        <v>12</v>
      </c>
      <c r="E23" s="87" t="s">
        <v>12</v>
      </c>
      <c r="F23" s="102">
        <v>2</v>
      </c>
      <c r="G23" s="102">
        <v>100</v>
      </c>
      <c r="H23" s="114">
        <f>F23*G23</f>
        <v>200</v>
      </c>
      <c r="I23" s="92">
        <v>1</v>
      </c>
      <c r="J23" s="114">
        <v>2</v>
      </c>
      <c r="K23" s="114">
        <v>4</v>
      </c>
      <c r="L23" s="114">
        <f>IF(OR(I23=0,I23="0"),0,H23)</f>
        <v>200</v>
      </c>
      <c r="M23" s="114">
        <f>ROUND(L23*I23%,3)</f>
        <v>2</v>
      </c>
      <c r="N23" s="114">
        <f>H23-M23</f>
        <v>198</v>
      </c>
      <c r="O23" s="114">
        <f>ROUND(N23*J23%,3)</f>
        <v>3.96</v>
      </c>
      <c r="P23" s="114">
        <f>ROUND(N23-O23,2)</f>
        <v>194.04</v>
      </c>
      <c r="Q23" s="114">
        <f>ROUND(P23*K23%,2)</f>
        <v>7.76</v>
      </c>
      <c r="R23" s="120">
        <f>ROUND(M23+O23+Q23,3)</f>
        <v>13.72</v>
      </c>
      <c r="S23" s="114">
        <f>(H23-R23)</f>
        <v>186.28</v>
      </c>
      <c r="T23" s="114">
        <v>88363222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21">
        <f>IF($V21=1,S23+AB23,S23)</f>
        <v>186.28</v>
      </c>
      <c r="AD23" s="120">
        <v>120</v>
      </c>
      <c r="AE23" s="120">
        <f>IF($P$21=1,(S23/$S$23)*$E$30,AD23/$AD$4*$E$30)</f>
        <v>0</v>
      </c>
      <c r="AF23" s="120"/>
      <c r="AG23" s="120">
        <f>IF($P$21=1,(S23/$S$23)*$E$20,AD23/$AD$23*$E$20)</f>
        <v>0</v>
      </c>
      <c r="AH23" s="120">
        <f>IF($P$21=1,(S23/$S$23)*$E$21,AD23/$AD$23*$E$21)</f>
        <v>0</v>
      </c>
      <c r="AI23" s="120">
        <f>S23*$M21</f>
        <v>15833.8</v>
      </c>
      <c r="AJ23" s="120">
        <f>IF($C$2=3,0,AG23+AH23)</f>
        <v>0</v>
      </c>
      <c r="AK23" s="120">
        <f>IF($C$2=3,AE23+AG23+AH23,0)</f>
        <v>0</v>
      </c>
      <c r="AL23" s="122">
        <v>3</v>
      </c>
      <c r="AM23" s="120">
        <f>F23/AL23</f>
        <v>0.666666666666667</v>
      </c>
      <c r="AN23" s="120">
        <f>ROUND(AI23/AM23,5)</f>
        <v>23750.7</v>
      </c>
      <c r="AO23" s="120">
        <f>AJ23/AM23</f>
        <v>0</v>
      </c>
      <c r="AP23" s="120">
        <f>AK23/AM23</f>
        <v>0</v>
      </c>
      <c r="AQ23" s="120" t="s">
        <v>12</v>
      </c>
      <c r="AR23" s="120">
        <f>ROUND(AN23+AO23+AP23,5)</f>
        <v>23750.7</v>
      </c>
      <c r="AS23" s="123" t="s">
        <v>128</v>
      </c>
      <c r="AT23" s="114" t="s">
        <v>12</v>
      </c>
      <c r="AU23" s="115" t="s">
        <v>129</v>
      </c>
      <c r="AV23" s="115" t="s">
        <v>130</v>
      </c>
      <c r="AW23" s="114">
        <f>AM23</f>
        <v>0.666666666666667</v>
      </c>
      <c r="AX23" s="120">
        <f>AR23</f>
        <v>23750.7</v>
      </c>
      <c r="AY23" s="114">
        <f>AU23+AW23</f>
        <v>117.000666666667</v>
      </c>
      <c r="AZ23" s="124">
        <f>ROUND(((AU23*AV23)+(AW23*AX23))/(AU23+AW23),5)</f>
        <v>6394.32854</v>
      </c>
      <c r="BA23" s="125"/>
      <c r="BB23" s="125" t="s">
        <v>116</v>
      </c>
      <c r="BC23" s="125" t="s">
        <v>117</v>
      </c>
      <c r="BD23" s="126" t="s">
        <v>118</v>
      </c>
      <c r="BE23" s="126" t="s">
        <v>119</v>
      </c>
      <c r="BF23" s="125"/>
      <c r="BG23" s="125"/>
      <c r="BH23" s="125"/>
      <c r="BI23" s="114"/>
      <c r="BJ23" s="114"/>
      <c r="BK23" s="114"/>
      <c r="BL23" s="127" t="s">
        <v>120</v>
      </c>
      <c r="BM23" s="115" t="s">
        <v>131</v>
      </c>
      <c r="BN23" s="115" t="s">
        <v>132</v>
      </c>
      <c r="BO23" s="114">
        <f>ROUND((((AW23*AZ23)+(BN23*BM23))/(AW23+BN23)),5)</f>
        <v>280.32668</v>
      </c>
      <c r="BP23" s="125">
        <f>ROUND(BN23+AW23,3)</f>
        <v>120.667</v>
      </c>
      <c r="BQ23" s="128">
        <v>123562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200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Y24" si="1">SUM(R23:R23)</f>
        <v>13.72</v>
      </c>
      <c r="S24" s="110">
        <f t="shared" si="1"/>
        <v>186.28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>
        <f t="shared" si="1"/>
        <v>0</v>
      </c>
      <c r="Z24" s="111"/>
      <c r="AA24" s="111">
        <f t="shared" ref="AA24:AE24" si="2">SUM(AA23:AA23)</f>
        <v>0</v>
      </c>
      <c r="AB24" s="109">
        <f t="shared" si="2"/>
        <v>0</v>
      </c>
      <c r="AC24" s="112">
        <f t="shared" si="2"/>
        <v>186.28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15833.8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hyperlinks>
    <hyperlink ref="AS23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abSelected="1" topLeftCell="A6" workbookViewId="0">
      <selection activeCell="D23" sqref="D23"/>
    </sheetView>
  </sheetViews>
  <sheetFormatPr defaultColWidth="8.71428571428571" defaultRowHeight="15"/>
  <cols>
    <col min="1" max="1" customWidth="true" width="7.57142857142857"/>
    <col min="2" max="3" customWidth="true" width="25.2857142857143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95" t="s">
        <v>55</v>
      </c>
      <c r="M22" s="95" t="s">
        <v>56</v>
      </c>
      <c r="N22" s="95" t="s">
        <v>57</v>
      </c>
      <c r="O22" s="95" t="s">
        <v>58</v>
      </c>
      <c r="P22" s="95" t="s">
        <v>59</v>
      </c>
      <c r="Q22" s="95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93" t="s">
        <v>88</v>
      </c>
      <c r="AT22" s="93" t="s">
        <v>86</v>
      </c>
      <c r="AU22" s="99" t="s">
        <v>133</v>
      </c>
      <c r="AV22" s="99" t="s">
        <v>134</v>
      </c>
      <c r="AW22" s="99" t="s">
        <v>91</v>
      </c>
      <c r="AX22" s="99" t="s">
        <v>92</v>
      </c>
      <c r="AY22" s="99" t="s">
        <v>93</v>
      </c>
      <c r="AZ22" s="99" t="s">
        <v>94</v>
      </c>
      <c r="BA22" s="99" t="s">
        <v>95</v>
      </c>
      <c r="BB22" s="99" t="s">
        <v>96</v>
      </c>
      <c r="BC22" s="99" t="s">
        <v>97</v>
      </c>
      <c r="BD22" s="99" t="s">
        <v>98</v>
      </c>
      <c r="BE22" s="99" t="s">
        <v>99</v>
      </c>
      <c r="BF22" s="99" t="s">
        <v>100</v>
      </c>
      <c r="BG22" s="99" t="s">
        <v>101</v>
      </c>
      <c r="BH22" s="99" t="s">
        <v>102</v>
      </c>
      <c r="BI22" s="99" t="s">
        <v>103</v>
      </c>
      <c r="BJ22" s="99" t="s">
        <v>104</v>
      </c>
      <c r="BK22" s="99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</row>
    <row r="23" ht="15.75" spans="1:69">
      <c r="A23" s="87">
        <v>1</v>
      </c>
      <c r="B23" s="87" t="s">
        <v>135</v>
      </c>
      <c r="C23" s="87" t="s">
        <v>135</v>
      </c>
      <c r="D23" s="87" t="s">
        <v>12</v>
      </c>
      <c r="E23" s="87" t="s">
        <v>12</v>
      </c>
      <c r="F23" s="102">
        <v>2</v>
      </c>
      <c r="G23" s="102">
        <v>100</v>
      </c>
      <c r="H23" s="103">
        <f>F23*G23</f>
        <v>200</v>
      </c>
      <c r="I23" s="115">
        <v>1</v>
      </c>
      <c r="J23" s="103">
        <v>2</v>
      </c>
      <c r="K23" s="103">
        <v>4</v>
      </c>
      <c r="L23" s="103">
        <f>H23</f>
        <v>200</v>
      </c>
      <c r="M23" s="103">
        <f>ROUND(L23*I23%,2)</f>
        <v>2</v>
      </c>
      <c r="N23" s="103">
        <f>H23-M23</f>
        <v>198</v>
      </c>
      <c r="O23" s="103">
        <f>ROUND(N23*J23%,2)</f>
        <v>3.96</v>
      </c>
      <c r="P23" s="103">
        <f>ROUND(N23-O23,2)</f>
        <v>194.04</v>
      </c>
      <c r="Q23" s="103">
        <f>ROUND(P23*K23%,2)</f>
        <v>7.76</v>
      </c>
      <c r="R23" s="103">
        <f>M23+O23+Q23</f>
        <v>13.72</v>
      </c>
      <c r="S23" s="103">
        <f>(H23-R23)</f>
        <v>186.28</v>
      </c>
      <c r="T23" s="103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03">
        <f>IF($V21=1,S23+AB23,S23)</f>
        <v>186.28</v>
      </c>
      <c r="AD23" s="103">
        <v>120</v>
      </c>
      <c r="AE23" s="103">
        <f>IF($P$21=1,(S23/$S$24)*$E$35,AD23/$AD$24*$E$35)</f>
        <v>0</v>
      </c>
      <c r="AF23" s="103"/>
      <c r="AG23" s="103">
        <f>IF($P$21=1,(S23/$S$24)*$E$37,AD23/$AD$24*$E$37)</f>
        <v>0</v>
      </c>
      <c r="AH23" s="103">
        <f>IF($P$21=1,(S23/$S$24)*$E$37,AD23/$AD$24*$E$37)</f>
        <v>0</v>
      </c>
      <c r="AI23" s="103">
        <f>S23*$M$21</f>
        <v>15833.8</v>
      </c>
      <c r="AJ23" s="103">
        <f>IF($C$21=3,0,AG23+AH23)</f>
        <v>0</v>
      </c>
      <c r="AK23" s="103">
        <f>IF($C$21=3,AE23+AG23+AH23,0)</f>
        <v>0</v>
      </c>
      <c r="AL23" s="103">
        <v>1</v>
      </c>
      <c r="AM23" s="103">
        <f>F23/AL23</f>
        <v>2</v>
      </c>
      <c r="AN23" s="103">
        <f>AI23/AM23</f>
        <v>7916.9</v>
      </c>
      <c r="AO23" s="103">
        <f>AJ23/AM23</f>
        <v>0</v>
      </c>
      <c r="AP23" s="103">
        <f>AK23/AM23</f>
        <v>0</v>
      </c>
      <c r="AQ23" s="103" t="s">
        <v>12</v>
      </c>
      <c r="AR23" s="103">
        <f>AN23+AO23+AP23</f>
        <v>7916.9</v>
      </c>
      <c r="AS23" s="103" t="s">
        <v>113</v>
      </c>
      <c r="AT23" s="103" t="s">
        <v>12</v>
      </c>
      <c r="AU23" t="s" s="0">
        <v>114</v>
      </c>
      <c r="AV23" t="s" s="0">
        <v>136</v>
      </c>
      <c r="AW23" s="103">
        <f>AM23</f>
        <v>2</v>
      </c>
      <c r="AX23" s="103">
        <f>AR23</f>
        <v>7916.9</v>
      </c>
      <c r="AY23" s="103">
        <f>AU23+AW23</f>
        <v>2</v>
      </c>
      <c r="AZ23" s="103">
        <f>ROUND(((AU23*AV23)+(AW23*AX23))/(AU23+AW23),5)</f>
        <v>7916.9</v>
      </c>
      <c r="BA23" s="105"/>
      <c r="BB23" s="105" t="s">
        <v>116</v>
      </c>
      <c r="BC23" s="105" t="s">
        <v>117</v>
      </c>
      <c r="BD23" s="106" t="s">
        <v>118</v>
      </c>
      <c r="BE23" s="106" t="s">
        <v>119</v>
      </c>
      <c r="BF23" s="105"/>
      <c r="BG23" s="105"/>
      <c r="BH23" s="105"/>
      <c r="BI23" s="103"/>
      <c r="BJ23" s="103"/>
      <c r="BK23" s="103"/>
      <c r="BL23" s="103" t="s">
        <v>120</v>
      </c>
      <c r="BM23" t="s" s="0">
        <v>137</v>
      </c>
      <c r="BN23" t="s" s="0">
        <v>138</v>
      </c>
      <c r="BO23" s="103">
        <f>ROUND((((AW23*AZ23)+(BN23*BM23))/(AW23+BN23)),5)</f>
        <v>8106.9762</v>
      </c>
      <c r="BP23" s="105">
        <f>BN23+AW23</f>
        <v>2</v>
      </c>
      <c r="BQ23" s="108">
        <v>88363222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200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Y24" si="1">SUM(R23:R23)</f>
        <v>13.72</v>
      </c>
      <c r="S24" s="110">
        <f t="shared" si="1"/>
        <v>186.28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>
        <f t="shared" si="1"/>
        <v>0</v>
      </c>
      <c r="Z24" s="111"/>
      <c r="AA24" s="111">
        <f t="shared" ref="AA24:AE24" si="2">SUM(AA23:AA23)</f>
        <v>0</v>
      </c>
      <c r="AB24" s="109">
        <f t="shared" si="2"/>
        <v>0</v>
      </c>
      <c r="AC24" s="112">
        <f t="shared" si="2"/>
        <v>186.28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15833.8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H33" workbookViewId="0">
      <selection activeCell="AZ23" sqref="AZ23"/>
    </sheetView>
  </sheetViews>
  <sheetFormatPr defaultColWidth="8.71428571428571" defaultRowHeight="15"/>
  <cols>
    <col min="1" max="1" customWidth="true" width="7.57142857142857"/>
    <col min="2" max="3" customWidth="true" width="25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116" t="s">
        <v>41</v>
      </c>
      <c r="C19" s="117"/>
      <c r="D19" s="117"/>
      <c r="E19" s="117"/>
      <c r="F19" s="117"/>
      <c r="G19" s="118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95" t="s">
        <v>55</v>
      </c>
      <c r="M22" s="95" t="s">
        <v>56</v>
      </c>
      <c r="N22" s="95" t="s">
        <v>57</v>
      </c>
      <c r="O22" s="95" t="s">
        <v>58</v>
      </c>
      <c r="P22" s="95" t="s">
        <v>59</v>
      </c>
      <c r="Q22" s="95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93" t="s">
        <v>88</v>
      </c>
      <c r="AT22" s="93" t="s">
        <v>86</v>
      </c>
      <c r="AU22" s="99" t="s">
        <v>133</v>
      </c>
      <c r="AV22" s="99" t="s">
        <v>134</v>
      </c>
      <c r="AW22" s="99" t="s">
        <v>91</v>
      </c>
      <c r="AX22" s="99" t="s">
        <v>92</v>
      </c>
      <c r="AY22" s="99" t="s">
        <v>93</v>
      </c>
      <c r="AZ22" s="99" t="s">
        <v>94</v>
      </c>
      <c r="BA22" s="99" t="s">
        <v>95</v>
      </c>
      <c r="BB22" s="99" t="s">
        <v>96</v>
      </c>
      <c r="BC22" s="99" t="s">
        <v>97</v>
      </c>
      <c r="BD22" s="99" t="s">
        <v>98</v>
      </c>
      <c r="BE22" s="99" t="s">
        <v>99</v>
      </c>
      <c r="BF22" s="99" t="s">
        <v>100</v>
      </c>
      <c r="BG22" s="99" t="s">
        <v>101</v>
      </c>
      <c r="BH22" s="99" t="s">
        <v>102</v>
      </c>
      <c r="BI22" s="99" t="s">
        <v>103</v>
      </c>
      <c r="BJ22" s="99" t="s">
        <v>104</v>
      </c>
      <c r="BK22" s="99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</row>
    <row r="23" ht="15.75" spans="1:69">
      <c r="A23" s="87">
        <v>1</v>
      </c>
      <c r="B23" s="87" t="s">
        <v>139</v>
      </c>
      <c r="C23" s="87" t="s">
        <v>139</v>
      </c>
      <c r="D23" s="87" t="s">
        <v>12</v>
      </c>
      <c r="E23" s="87" t="s">
        <v>12</v>
      </c>
      <c r="F23" s="102">
        <v>2</v>
      </c>
      <c r="G23" s="102">
        <v>100</v>
      </c>
      <c r="H23" s="103">
        <f>F23*G23</f>
        <v>200</v>
      </c>
      <c r="I23" s="115">
        <v>1</v>
      </c>
      <c r="J23" s="103">
        <v>2</v>
      </c>
      <c r="K23" s="103">
        <v>4</v>
      </c>
      <c r="L23" s="103">
        <f>H23</f>
        <v>200</v>
      </c>
      <c r="M23" s="103">
        <f>ROUND(L23*I23%,2)</f>
        <v>2</v>
      </c>
      <c r="N23" s="103">
        <f>H23-M23</f>
        <v>198</v>
      </c>
      <c r="O23" s="103">
        <f>ROUND(N23*J23%,2)</f>
        <v>3.96</v>
      </c>
      <c r="P23" s="103">
        <f>ROUND(N23-O23,2)</f>
        <v>194.04</v>
      </c>
      <c r="Q23" s="103">
        <f>ROUND(P23*K23%,2)</f>
        <v>7.76</v>
      </c>
      <c r="R23" s="103">
        <f>M23+O23+Q23</f>
        <v>13.72</v>
      </c>
      <c r="S23" s="103">
        <f>(H23-R23)</f>
        <v>186.28</v>
      </c>
      <c r="T23" s="103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03">
        <f>IF($V21=1,S23+AB23,S23)</f>
        <v>186.28</v>
      </c>
      <c r="AD23" s="103">
        <v>120</v>
      </c>
      <c r="AE23" s="103">
        <f>IF($P$21=1,(S23/$S$24)*$E$35,AD23/$AD$24*$E$35)</f>
        <v>0</v>
      </c>
      <c r="AF23" s="103"/>
      <c r="AG23" s="103">
        <f>IF($P$21=1,(S23/$S$24)*$E$37,AD23/$AD$24*$E$37)</f>
        <v>0</v>
      </c>
      <c r="AH23" s="103">
        <f>IF($P$21=1,(S23/$S$24)*$E$37,AD23/$AD$24*$E$37)</f>
        <v>0</v>
      </c>
      <c r="AI23" s="103">
        <f>S23*$M$21</f>
        <v>15833.8</v>
      </c>
      <c r="AJ23" s="103">
        <f>IF($C$21=3,0,AG23+AH23)</f>
        <v>0</v>
      </c>
      <c r="AK23" s="103">
        <f>IF($C$21=3,AE23+AG23+AH23,0)</f>
        <v>0</v>
      </c>
      <c r="AL23" s="103">
        <v>1</v>
      </c>
      <c r="AM23" s="103">
        <f>F23/AL23</f>
        <v>2</v>
      </c>
      <c r="AN23" s="103">
        <f>AI23/AM23</f>
        <v>7916.9</v>
      </c>
      <c r="AO23" s="103">
        <f>AJ23/AM23</f>
        <v>0</v>
      </c>
      <c r="AP23" s="103">
        <f>AK23/AM23</f>
        <v>0</v>
      </c>
      <c r="AQ23" s="103" t="s">
        <v>12</v>
      </c>
      <c r="AR23" s="103">
        <f>AN23+AO23+AP23</f>
        <v>7916.9</v>
      </c>
      <c r="AS23" s="103" t="s">
        <v>113</v>
      </c>
      <c r="AT23" s="103" t="s">
        <v>12</v>
      </c>
      <c r="AU23" s="115"/>
      <c r="AV23" s="115"/>
      <c r="AW23" s="103">
        <f>AM23</f>
        <v>2</v>
      </c>
      <c r="AX23" s="103">
        <f>AR23</f>
        <v>7916.9</v>
      </c>
      <c r="AY23" s="103">
        <f>AU23+AW23</f>
        <v>2</v>
      </c>
      <c r="AZ23" s="103">
        <f>ROUND(((AU23*AV23)+(AW23*AX23))/(AU23+AW23),5)</f>
        <v>7916.9</v>
      </c>
      <c r="BA23" s="105"/>
      <c r="BB23" s="105" t="s">
        <v>116</v>
      </c>
      <c r="BC23" s="105" t="s">
        <v>117</v>
      </c>
      <c r="BD23" s="106" t="s">
        <v>118</v>
      </c>
      <c r="BE23" s="106" t="s">
        <v>119</v>
      </c>
      <c r="BF23" s="105"/>
      <c r="BG23" s="105"/>
      <c r="BH23" s="105"/>
      <c r="BI23" s="103"/>
      <c r="BJ23" s="103"/>
      <c r="BK23" s="103"/>
      <c r="BL23" s="103" t="s">
        <v>120</v>
      </c>
      <c r="BM23" s="115"/>
      <c r="BN23" s="115"/>
      <c r="BO23" s="103">
        <f>ROUND((((AW23*AZ23)+(BN23*BM23))/(AW23+BN23)),5)</f>
        <v>7916.9</v>
      </c>
      <c r="BP23" s="105">
        <f>BN23+AW23</f>
        <v>2</v>
      </c>
      <c r="BQ23" s="108">
        <v>88363222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200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X24" si="1">SUM(R23:R23)</f>
        <v>13.72</v>
      </c>
      <c r="S24" s="110">
        <f t="shared" si="1"/>
        <v>186.28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/>
      <c r="Z24" s="111"/>
      <c r="AA24" s="111"/>
      <c r="AB24" s="109">
        <f t="shared" ref="AB24:AE24" si="2">SUM(AB23:AB23)</f>
        <v>0</v>
      </c>
      <c r="AC24" s="112">
        <f t="shared" si="2"/>
        <v>186.28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15833.8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J9" workbookViewId="0">
      <selection activeCell="BO23" sqref="BO23"/>
    </sheetView>
  </sheetViews>
  <sheetFormatPr defaultColWidth="8.71428571428571" defaultRowHeight="15"/>
  <cols>
    <col min="1" max="1" customWidth="true" width="7.57142857142857"/>
    <col min="2" max="3" customWidth="true" width="24.7142857142857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95" t="s">
        <v>55</v>
      </c>
      <c r="M22" s="95" t="s">
        <v>56</v>
      </c>
      <c r="N22" s="95" t="s">
        <v>57</v>
      </c>
      <c r="O22" s="95" t="s">
        <v>58</v>
      </c>
      <c r="P22" s="95" t="s">
        <v>59</v>
      </c>
      <c r="Q22" s="95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93" t="s">
        <v>88</v>
      </c>
      <c r="AT22" s="93" t="s">
        <v>86</v>
      </c>
      <c r="AU22" s="99" t="s">
        <v>133</v>
      </c>
      <c r="AV22" s="99" t="s">
        <v>134</v>
      </c>
      <c r="AW22" s="99" t="s">
        <v>91</v>
      </c>
      <c r="AX22" s="99" t="s">
        <v>92</v>
      </c>
      <c r="AY22" s="99" t="s">
        <v>93</v>
      </c>
      <c r="AZ22" s="99" t="s">
        <v>94</v>
      </c>
      <c r="BA22" s="99" t="s">
        <v>95</v>
      </c>
      <c r="BB22" s="99" t="s">
        <v>96</v>
      </c>
      <c r="BC22" s="99" t="s">
        <v>97</v>
      </c>
      <c r="BD22" s="99" t="s">
        <v>98</v>
      </c>
      <c r="BE22" s="99" t="s">
        <v>99</v>
      </c>
      <c r="BF22" s="99" t="s">
        <v>100</v>
      </c>
      <c r="BG22" s="99" t="s">
        <v>101</v>
      </c>
      <c r="BH22" s="99" t="s">
        <v>102</v>
      </c>
      <c r="BI22" s="99" t="s">
        <v>103</v>
      </c>
      <c r="BJ22" s="99" t="s">
        <v>104</v>
      </c>
      <c r="BK22" s="99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</row>
    <row r="23" ht="15.75" spans="1:69">
      <c r="A23" s="87">
        <v>1</v>
      </c>
      <c r="B23" s="87" t="s">
        <v>140</v>
      </c>
      <c r="C23" s="87" t="s">
        <v>140</v>
      </c>
      <c r="D23" s="87" t="s">
        <v>12</v>
      </c>
      <c r="E23" s="87" t="s">
        <v>12</v>
      </c>
      <c r="F23" s="102">
        <v>2</v>
      </c>
      <c r="G23" t="s" s="0">
        <v>141</v>
      </c>
      <c r="H23" s="103">
        <f>F23*G23</f>
        <v>200</v>
      </c>
      <c r="I23" t="s" s="0">
        <v>142</v>
      </c>
      <c r="J23" s="103">
        <v>2</v>
      </c>
      <c r="K23" s="103">
        <v>4</v>
      </c>
      <c r="L23" s="103">
        <f>H23</f>
        <v>200</v>
      </c>
      <c r="M23" s="103">
        <f>ROUND(L23*I23%,2)</f>
        <v>2</v>
      </c>
      <c r="N23" s="103">
        <f>H23-M23</f>
        <v>198</v>
      </c>
      <c r="O23" s="103">
        <f>ROUND(N23*J23%,2)</f>
        <v>3.96</v>
      </c>
      <c r="P23" s="103">
        <f>ROUND(N23-O23,2)</f>
        <v>194.04</v>
      </c>
      <c r="Q23" s="103">
        <f>ROUND(P23*K23%,2)</f>
        <v>7.76</v>
      </c>
      <c r="R23" s="103">
        <f>M23+O23+Q23</f>
        <v>13.72</v>
      </c>
      <c r="S23" s="103">
        <f>(H23-R23)</f>
        <v>186.28</v>
      </c>
      <c r="T23" s="103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03">
        <f>IF($V21=1,S23+AB23,S23)</f>
        <v>186.28</v>
      </c>
      <c r="AD23" s="103">
        <v>120</v>
      </c>
      <c r="AE23" s="103">
        <f>IF($P$21=1,(S23/$S$24)*$E$35,AD23/$AD$24*$E$35)</f>
        <v>0</v>
      </c>
      <c r="AF23" s="103"/>
      <c r="AG23" s="103">
        <f>IF($P$21=1,(S23/$S$24)*$E$37,AD23/$AD$24*$E$37)</f>
        <v>0</v>
      </c>
      <c r="AH23" s="103">
        <f>IF($P$21=1,(S23/$S$24)*$E$37,AD23/$AD$24*$E$37)</f>
        <v>0</v>
      </c>
      <c r="AI23" s="103">
        <f>S23*$M$21</f>
        <v>15833.8</v>
      </c>
      <c r="AJ23" s="103">
        <f>IF($C$21=3,0,AG23+AH23)</f>
        <v>0</v>
      </c>
      <c r="AK23" s="103">
        <f>IF($C$21=3,AE23+AG23+AH23,0)</f>
        <v>0</v>
      </c>
      <c r="AL23" s="103">
        <v>1</v>
      </c>
      <c r="AM23" s="103">
        <f>F23/AL23</f>
        <v>2</v>
      </c>
      <c r="AN23" s="103">
        <f>AI23/AM23</f>
        <v>7916.9</v>
      </c>
      <c r="AO23" s="103">
        <f>AJ23/AM23</f>
        <v>0</v>
      </c>
      <c r="AP23" s="103">
        <f>AK23/AM23</f>
        <v>0</v>
      </c>
      <c r="AQ23" s="103" t="s">
        <v>12</v>
      </c>
      <c r="AR23" s="103">
        <f>AN23+AO23+AP23</f>
        <v>7916.9</v>
      </c>
      <c r="AS23" s="103" t="s">
        <v>113</v>
      </c>
      <c r="AT23" s="103" t="s">
        <v>12</v>
      </c>
      <c r="AU23" t="s" s="0">
        <v>114</v>
      </c>
      <c r="AV23" t="s" s="0">
        <v>136</v>
      </c>
      <c r="AW23" s="103">
        <f>AM23</f>
        <v>2</v>
      </c>
      <c r="AX23" s="103">
        <f>AR23</f>
        <v>7916.9</v>
      </c>
      <c r="AY23" s="103">
        <f>AU23+AW23</f>
        <v>2</v>
      </c>
      <c r="AZ23" s="103">
        <f>ROUND(((AU23*AV23)+(AW23*AX23))/(AU23+AW23),5)</f>
        <v>7916.9</v>
      </c>
      <c r="BA23" s="105"/>
      <c r="BB23" s="105" t="s">
        <v>116</v>
      </c>
      <c r="BC23" s="105" t="s">
        <v>117</v>
      </c>
      <c r="BD23" s="106" t="s">
        <v>118</v>
      </c>
      <c r="BE23" s="106" t="s">
        <v>119</v>
      </c>
      <c r="BF23" s="105"/>
      <c r="BG23" s="105"/>
      <c r="BH23" s="105"/>
      <c r="BI23" s="103"/>
      <c r="BJ23" s="103"/>
      <c r="BK23" s="103"/>
      <c r="BL23" s="103" t="s">
        <v>143</v>
      </c>
      <c r="BM23" t="s" s="0">
        <v>144</v>
      </c>
      <c r="BN23" t="s" s="0">
        <v>145</v>
      </c>
      <c r="BO23" s="103">
        <f>ROUND((((AW23*AZ23)+(BN23*BM23))/(AW23+BN23)),5)</f>
        <v>8206.33872</v>
      </c>
      <c r="BP23" s="105">
        <f>BN23+AW23</f>
        <v>2</v>
      </c>
      <c r="BQ23" s="108">
        <v>88363222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200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Y24" si="1">SUM(R23:R23)</f>
        <v>13.72</v>
      </c>
      <c r="S24" s="110">
        <f t="shared" si="1"/>
        <v>186.28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>
        <f t="shared" si="1"/>
        <v>0</v>
      </c>
      <c r="Z24" s="111"/>
      <c r="AA24" s="111">
        <f t="shared" ref="AA24:AE24" si="2">SUM(AA23:AA23)</f>
        <v>0</v>
      </c>
      <c r="AB24" s="109">
        <f t="shared" si="2"/>
        <v>0</v>
      </c>
      <c r="AC24" s="112">
        <f t="shared" si="2"/>
        <v>186.28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15833.8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R6" workbookViewId="0">
      <selection activeCell="AZ23" sqref="AZ23"/>
    </sheetView>
  </sheetViews>
  <sheetFormatPr defaultColWidth="8.71428571428571" defaultRowHeight="15"/>
  <cols>
    <col min="1" max="1" customWidth="true" width="7.57142857142857"/>
    <col min="2" max="3" customWidth="true" width="25.1428571428571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95" t="s">
        <v>55</v>
      </c>
      <c r="M22" s="95" t="s">
        <v>56</v>
      </c>
      <c r="N22" s="95" t="s">
        <v>57</v>
      </c>
      <c r="O22" s="95" t="s">
        <v>58</v>
      </c>
      <c r="P22" s="95" t="s">
        <v>59</v>
      </c>
      <c r="Q22" s="95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93" t="s">
        <v>88</v>
      </c>
      <c r="AT22" s="93" t="s">
        <v>86</v>
      </c>
      <c r="AU22" s="99" t="s">
        <v>133</v>
      </c>
      <c r="AV22" s="99" t="s">
        <v>134</v>
      </c>
      <c r="AW22" s="99" t="s">
        <v>91</v>
      </c>
      <c r="AX22" s="99" t="s">
        <v>92</v>
      </c>
      <c r="AY22" s="99" t="s">
        <v>93</v>
      </c>
      <c r="AZ22" s="99" t="s">
        <v>94</v>
      </c>
      <c r="BA22" s="99" t="s">
        <v>95</v>
      </c>
      <c r="BB22" s="99" t="s">
        <v>96</v>
      </c>
      <c r="BC22" s="99" t="s">
        <v>97</v>
      </c>
      <c r="BD22" s="99" t="s">
        <v>98</v>
      </c>
      <c r="BE22" s="99" t="s">
        <v>99</v>
      </c>
      <c r="BF22" s="99" t="s">
        <v>100</v>
      </c>
      <c r="BG22" s="99" t="s">
        <v>101</v>
      </c>
      <c r="BH22" s="99" t="s">
        <v>102</v>
      </c>
      <c r="BI22" s="99" t="s">
        <v>103</v>
      </c>
      <c r="BJ22" s="99" t="s">
        <v>104</v>
      </c>
      <c r="BK22" s="99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</row>
    <row r="23" ht="15.75" spans="1:69">
      <c r="A23" s="87">
        <v>1</v>
      </c>
      <c r="B23" s="87" t="s">
        <v>146</v>
      </c>
      <c r="C23" s="87" t="s">
        <v>146</v>
      </c>
      <c r="D23" s="87" t="s">
        <v>12</v>
      </c>
      <c r="E23" s="87" t="s">
        <v>12</v>
      </c>
      <c r="F23" s="102">
        <v>2</v>
      </c>
      <c r="G23" t="s" s="0">
        <v>141</v>
      </c>
      <c r="H23" s="103">
        <f>F23*G23</f>
        <v>200</v>
      </c>
      <c r="I23" t="s" s="0">
        <v>142</v>
      </c>
      <c r="J23" s="103">
        <v>2</v>
      </c>
      <c r="K23" s="103">
        <v>4</v>
      </c>
      <c r="L23" s="103">
        <f>H23</f>
        <v>200</v>
      </c>
      <c r="M23" s="103">
        <f>ROUND(L23*I23%,2)</f>
        <v>2</v>
      </c>
      <c r="N23" s="103">
        <f>H23-M23</f>
        <v>198</v>
      </c>
      <c r="O23" s="103">
        <f>ROUND(N23*J23%,2)</f>
        <v>3.96</v>
      </c>
      <c r="P23" s="103">
        <f>ROUND(N23-O23,2)</f>
        <v>194.04</v>
      </c>
      <c r="Q23" s="103">
        <f>ROUND(P23*K23%,2)</f>
        <v>7.76</v>
      </c>
      <c r="R23" s="103">
        <f>M23+O23+Q23</f>
        <v>13.72</v>
      </c>
      <c r="S23" s="103">
        <f>(H23-R23)</f>
        <v>186.28</v>
      </c>
      <c r="T23" s="103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03">
        <f>IF($V21=1,S23+AB23,S23)</f>
        <v>186.28</v>
      </c>
      <c r="AD23" s="103">
        <v>120</v>
      </c>
      <c r="AE23" s="103">
        <f>IF($P$21=1,(S23/$S$24)*$E$35,AD23/$AD$24*$E$35)</f>
        <v>0</v>
      </c>
      <c r="AF23" s="103"/>
      <c r="AG23" s="103">
        <f>IF($P$21=1,(S23/$S$24)*$E$37,AD23/$AD$24*$E$37)</f>
        <v>0</v>
      </c>
      <c r="AH23" s="103">
        <f>IF($P$21=1,(S23/$S$24)*$E$37,AD23/$AD$24*$E$37)</f>
        <v>0</v>
      </c>
      <c r="AI23" s="103">
        <f>S23*$M$21</f>
        <v>15833.8</v>
      </c>
      <c r="AJ23" s="103">
        <f>IF($C$21=3,0,AG23+AH23)</f>
        <v>0</v>
      </c>
      <c r="AK23" s="103">
        <f>IF($C$21=3,AE23+AG23+AH23,0)</f>
        <v>0</v>
      </c>
      <c r="AL23" s="103">
        <v>1</v>
      </c>
      <c r="AM23" s="103">
        <f>F23/AL23</f>
        <v>2</v>
      </c>
      <c r="AN23" s="103">
        <f>AI23/AM23</f>
        <v>7916.9</v>
      </c>
      <c r="AO23" s="103">
        <f>AJ23/AM23</f>
        <v>0</v>
      </c>
      <c r="AP23" s="103">
        <f>AK23/AM23</f>
        <v>0</v>
      </c>
      <c r="AQ23" s="103" t="s">
        <v>12</v>
      </c>
      <c r="AR23" s="103">
        <f>AN23+AO23+AP23</f>
        <v>7916.9</v>
      </c>
      <c r="AS23" s="103" t="s">
        <v>113</v>
      </c>
      <c r="AT23" s="103" t="s">
        <v>12</v>
      </c>
      <c r="AU23" s="115"/>
      <c r="AV23" s="115"/>
      <c r="AW23" s="103">
        <f>AM23</f>
        <v>2</v>
      </c>
      <c r="AX23" s="103">
        <f>AR23</f>
        <v>7916.9</v>
      </c>
      <c r="AY23" s="103">
        <f>AU23+AW23</f>
        <v>2</v>
      </c>
      <c r="AZ23" s="103">
        <f>ROUND(((AU23*AV23)+(AW23*AX23))/(AU23+AW23),5)</f>
        <v>7916.9</v>
      </c>
      <c r="BA23" s="105"/>
      <c r="BB23" s="105" t="s">
        <v>116</v>
      </c>
      <c r="BC23" s="105" t="s">
        <v>117</v>
      </c>
      <c r="BD23" s="106" t="s">
        <v>118</v>
      </c>
      <c r="BE23" s="106" t="s">
        <v>119</v>
      </c>
      <c r="BF23" s="105"/>
      <c r="BG23" s="105"/>
      <c r="BH23" s="105"/>
      <c r="BI23" s="103"/>
      <c r="BJ23" s="103"/>
      <c r="BK23" s="103"/>
      <c r="BL23" s="103" t="s">
        <v>120</v>
      </c>
      <c r="BM23" s="115"/>
      <c r="BN23" s="115"/>
      <c r="BO23" s="103">
        <f>ROUND((((AW23*AZ23)+(BN23*BM23))/(AW23+BN23)),5)</f>
        <v>7916.9</v>
      </c>
      <c r="BP23" s="105">
        <f>BN23+AW23</f>
        <v>2</v>
      </c>
      <c r="BQ23" s="108">
        <v>88363222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200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Y24" si="1">SUM(R23:R23)</f>
        <v>13.72</v>
      </c>
      <c r="S24" s="110">
        <f t="shared" si="1"/>
        <v>186.28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>
        <f t="shared" si="1"/>
        <v>0</v>
      </c>
      <c r="Z24" s="111"/>
      <c r="AA24" s="111">
        <f t="shared" ref="AA24:AE24" si="2">SUM(AA23:AA23)</f>
        <v>0</v>
      </c>
      <c r="AB24" s="109">
        <f t="shared" si="2"/>
        <v>0</v>
      </c>
      <c r="AC24" s="112">
        <f t="shared" si="2"/>
        <v>186.28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15833.8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Q15" workbookViewId="0">
      <selection activeCell="AZ23" sqref="AZ23"/>
    </sheetView>
  </sheetViews>
  <sheetFormatPr defaultColWidth="8.71428571428571" defaultRowHeight="15"/>
  <cols>
    <col min="1" max="1" customWidth="true" width="7.57142857142857"/>
    <col min="2" max="3" customWidth="true" width="24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95" t="s">
        <v>55</v>
      </c>
      <c r="M22" s="95" t="s">
        <v>56</v>
      </c>
      <c r="N22" s="95" t="s">
        <v>57</v>
      </c>
      <c r="O22" s="95" t="s">
        <v>58</v>
      </c>
      <c r="P22" s="95" t="s">
        <v>59</v>
      </c>
      <c r="Q22" s="95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93" t="s">
        <v>88</v>
      </c>
      <c r="AT22" s="93" t="s">
        <v>86</v>
      </c>
      <c r="AU22" s="99" t="s">
        <v>133</v>
      </c>
      <c r="AV22" s="99" t="s">
        <v>134</v>
      </c>
      <c r="AW22" s="93" t="s">
        <v>91</v>
      </c>
      <c r="AX22" s="93" t="s">
        <v>92</v>
      </c>
      <c r="AY22" s="93" t="s">
        <v>93</v>
      </c>
      <c r="AZ22" s="93" t="s">
        <v>94</v>
      </c>
      <c r="BA22" s="93" t="s">
        <v>95</v>
      </c>
      <c r="BB22" s="93" t="s">
        <v>96</v>
      </c>
      <c r="BC22" s="93" t="s">
        <v>97</v>
      </c>
      <c r="BD22" s="93" t="s">
        <v>98</v>
      </c>
      <c r="BE22" s="93" t="s">
        <v>99</v>
      </c>
      <c r="BF22" s="93" t="s">
        <v>100</v>
      </c>
      <c r="BG22" s="93" t="s">
        <v>101</v>
      </c>
      <c r="BH22" s="93" t="s">
        <v>102</v>
      </c>
      <c r="BI22" s="93" t="s">
        <v>103</v>
      </c>
      <c r="BJ22" s="93" t="s">
        <v>104</v>
      </c>
      <c r="BK22" s="93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</row>
    <row r="23" ht="15.75" spans="1:69">
      <c r="A23" s="87">
        <v>1</v>
      </c>
      <c r="B23" s="87" t="s">
        <v>147</v>
      </c>
      <c r="C23" s="87" t="s">
        <v>147</v>
      </c>
      <c r="D23" s="87" t="s">
        <v>12</v>
      </c>
      <c r="E23" s="87" t="s">
        <v>12</v>
      </c>
      <c r="F23" s="102">
        <v>3</v>
      </c>
      <c r="G23" s="102">
        <v>100</v>
      </c>
      <c r="H23" s="103">
        <f>F23*G23</f>
        <v>300</v>
      </c>
      <c r="I23" s="115">
        <v>1</v>
      </c>
      <c r="J23" s="103">
        <v>2</v>
      </c>
      <c r="K23" s="103">
        <v>4</v>
      </c>
      <c r="L23" s="103">
        <f>H23</f>
        <v>300</v>
      </c>
      <c r="M23" s="103">
        <f>ROUND(L23*I23%,2)</f>
        <v>3</v>
      </c>
      <c r="N23" s="103">
        <f>H23-M23</f>
        <v>297</v>
      </c>
      <c r="O23" s="103">
        <f>ROUND(N23*J23%,2)</f>
        <v>5.94</v>
      </c>
      <c r="P23" s="103">
        <f>ROUND(N23-O23,2)</f>
        <v>291.06</v>
      </c>
      <c r="Q23" s="103">
        <f>ROUND(P23*K23%,2)</f>
        <v>11.64</v>
      </c>
      <c r="R23" s="103">
        <f>M23+O23+Q23</f>
        <v>20.58</v>
      </c>
      <c r="S23" s="103">
        <f>(H23-R23)</f>
        <v>279.42</v>
      </c>
      <c r="T23" s="103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03">
        <f>IF($V21=1,S23+AB23,S23)</f>
        <v>279.42</v>
      </c>
      <c r="AD23" s="103">
        <v>120</v>
      </c>
      <c r="AE23" s="103">
        <f>IF($P$21=1,(S23/$S$24)*$E$35,AD23/$AD$24*$E$35)</f>
        <v>0</v>
      </c>
      <c r="AF23" s="103"/>
      <c r="AG23" s="103">
        <f>IF($P$21=1,(S23/$S$24)*$E$37,AD23/$AD$24*$E$37)</f>
        <v>0</v>
      </c>
      <c r="AH23" s="103">
        <f>IF($P$21=1,(S23/$S$24)*$E$37,AD23/$AD$24*$E$37)</f>
        <v>0</v>
      </c>
      <c r="AI23" s="103">
        <f>S23*$M$21</f>
        <v>23750.7</v>
      </c>
      <c r="AJ23" s="103">
        <f>IF($C$21=3,0,AG23+AH23)</f>
        <v>0</v>
      </c>
      <c r="AK23" s="103">
        <f>IF($C$21=3,AE23+AG23+AH23,0)</f>
        <v>0</v>
      </c>
      <c r="AL23" s="103">
        <v>3</v>
      </c>
      <c r="AM23" s="103">
        <f>F23/AL23</f>
        <v>1</v>
      </c>
      <c r="AN23" s="103">
        <f>AI23/AM23</f>
        <v>23750.7</v>
      </c>
      <c r="AO23" s="103">
        <f>AJ23/AM23</f>
        <v>0</v>
      </c>
      <c r="AP23" s="103">
        <f>AK23/AM23</f>
        <v>0</v>
      </c>
      <c r="AQ23" s="103" t="s">
        <v>12</v>
      </c>
      <c r="AR23" s="103">
        <f>AN23+AO23+AP23</f>
        <v>23750.7</v>
      </c>
      <c r="AS23" s="103" t="s">
        <v>113</v>
      </c>
      <c r="AT23" s="103" t="s">
        <v>12</v>
      </c>
      <c r="AU23" t="s" s="0">
        <v>114</v>
      </c>
      <c r="AV23" t="s" s="0">
        <v>148</v>
      </c>
      <c r="AW23" s="103">
        <f>AM23</f>
        <v>1</v>
      </c>
      <c r="AX23" s="103">
        <f>AR23</f>
        <v>23750.7</v>
      </c>
      <c r="AY23" s="103">
        <f>AU23+AW23</f>
        <v>1</v>
      </c>
      <c r="AZ23" s="103">
        <f>ROUND(((AU23*AV23)+(AW23*AX23))/(AU23+AW23),5)</f>
        <v>23750.7</v>
      </c>
      <c r="BA23" s="105"/>
      <c r="BB23" s="105" t="s">
        <v>116</v>
      </c>
      <c r="BC23" s="105" t="s">
        <v>117</v>
      </c>
      <c r="BD23" s="106" t="s">
        <v>118</v>
      </c>
      <c r="BE23" s="106" t="s">
        <v>119</v>
      </c>
      <c r="BF23" s="105"/>
      <c r="BG23" s="105"/>
      <c r="BH23" s="105"/>
      <c r="BI23" s="103"/>
      <c r="BJ23" s="103"/>
      <c r="BK23" s="103"/>
      <c r="BL23" s="103" t="s">
        <v>120</v>
      </c>
      <c r="BM23" t="s" s="0">
        <v>149</v>
      </c>
      <c r="BN23" t="s" s="0">
        <v>150</v>
      </c>
      <c r="BO23" s="103">
        <f>ROUND((((AW23*AZ23)+(BN23*BM23))/(AW23+BN23)),5)</f>
        <v>21092.09434</v>
      </c>
      <c r="BP23" s="107">
        <f>BN23+AW23</f>
        <v>22.344</v>
      </c>
      <c r="BQ23" s="108">
        <v>88363222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300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Y24" si="1">SUM(R23:R23)</f>
        <v>20.58</v>
      </c>
      <c r="S24" s="110">
        <f t="shared" si="1"/>
        <v>279.42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>
        <f t="shared" si="1"/>
        <v>0</v>
      </c>
      <c r="Z24" s="111"/>
      <c r="AA24" s="111">
        <f t="shared" ref="AA24:AE24" si="2">SUM(AA23:AA23)</f>
        <v>0</v>
      </c>
      <c r="AB24" s="109">
        <f t="shared" si="2"/>
        <v>0</v>
      </c>
      <c r="AC24" s="112">
        <f t="shared" si="2"/>
        <v>279.42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23750.7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I9" workbookViewId="0">
      <selection activeCell="BO23" sqref="BO23"/>
    </sheetView>
  </sheetViews>
  <sheetFormatPr defaultColWidth="8.71428571428571" defaultRowHeight="15"/>
  <cols>
    <col min="1" max="1" customWidth="true" width="7.57142857142857"/>
    <col min="2" max="3" customWidth="true" width="28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95" t="s">
        <v>55</v>
      </c>
      <c r="M22" s="95" t="s">
        <v>56</v>
      </c>
      <c r="N22" s="95" t="s">
        <v>57</v>
      </c>
      <c r="O22" s="95" t="s">
        <v>58</v>
      </c>
      <c r="P22" s="95" t="s">
        <v>59</v>
      </c>
      <c r="Q22" s="95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93" t="s">
        <v>88</v>
      </c>
      <c r="AT22" s="93" t="s">
        <v>86</v>
      </c>
      <c r="AU22" s="99" t="s">
        <v>133</v>
      </c>
      <c r="AV22" s="99" t="s">
        <v>134</v>
      </c>
      <c r="AW22" s="99" t="s">
        <v>91</v>
      </c>
      <c r="AX22" s="99" t="s">
        <v>92</v>
      </c>
      <c r="AY22" s="99" t="s">
        <v>93</v>
      </c>
      <c r="AZ22" s="99" t="s">
        <v>94</v>
      </c>
      <c r="BA22" s="99" t="s">
        <v>95</v>
      </c>
      <c r="BB22" s="99" t="s">
        <v>96</v>
      </c>
      <c r="BC22" s="99" t="s">
        <v>97</v>
      </c>
      <c r="BD22" s="99" t="s">
        <v>98</v>
      </c>
      <c r="BE22" s="99" t="s">
        <v>99</v>
      </c>
      <c r="BF22" s="99" t="s">
        <v>100</v>
      </c>
      <c r="BG22" s="99" t="s">
        <v>101</v>
      </c>
      <c r="BH22" s="99" t="s">
        <v>102</v>
      </c>
      <c r="BI22" s="99" t="s">
        <v>103</v>
      </c>
      <c r="BJ22" s="99" t="s">
        <v>104</v>
      </c>
      <c r="BK22" s="99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</row>
    <row r="23" ht="15.75" spans="1:69">
      <c r="A23" s="87">
        <v>1</v>
      </c>
      <c r="B23" s="87" t="s">
        <v>151</v>
      </c>
      <c r="C23" s="87" t="s">
        <v>151</v>
      </c>
      <c r="D23" s="87" t="s">
        <v>12</v>
      </c>
      <c r="E23" s="87" t="s">
        <v>12</v>
      </c>
      <c r="F23" s="102">
        <v>3</v>
      </c>
      <c r="G23" s="102">
        <v>100</v>
      </c>
      <c r="H23" s="103">
        <f>F23*G23</f>
        <v>300</v>
      </c>
      <c r="I23" s="115">
        <v>1</v>
      </c>
      <c r="J23" s="103">
        <v>2</v>
      </c>
      <c r="K23" s="103">
        <v>4</v>
      </c>
      <c r="L23" s="103">
        <f>H23</f>
        <v>300</v>
      </c>
      <c r="M23" s="103">
        <f>ROUND(L23*I23%,2)</f>
        <v>3</v>
      </c>
      <c r="N23" s="103">
        <f>H23-M23</f>
        <v>297</v>
      </c>
      <c r="O23" s="103">
        <f>ROUND(N23*J23%,2)</f>
        <v>5.94</v>
      </c>
      <c r="P23" s="103">
        <f>ROUND(N23-O23,2)</f>
        <v>291.06</v>
      </c>
      <c r="Q23" s="103">
        <f>ROUND(P23*K23%,2)</f>
        <v>11.64</v>
      </c>
      <c r="R23" s="103">
        <f>M23+O23+Q23</f>
        <v>20.58</v>
      </c>
      <c r="S23" s="103">
        <f>(H23-R23)</f>
        <v>279.42</v>
      </c>
      <c r="T23" s="103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03">
        <f>IF($V21=1,S23+AB23,S23)</f>
        <v>279.42</v>
      </c>
      <c r="AD23" s="103">
        <v>120</v>
      </c>
      <c r="AE23" s="103">
        <f>IF($P$21=1,(S23/$S$24)*$E$35,AD23/$AD$24*$E$35)</f>
        <v>0</v>
      </c>
      <c r="AF23" s="103"/>
      <c r="AG23" s="103">
        <f>IF($P$21=1,(S23/$S$24)*$E$37,AD23/$AD$24*$E$37)</f>
        <v>0</v>
      </c>
      <c r="AH23" s="103">
        <f>IF($P$21=1,(S23/$S$24)*$E$37,AD23/$AD$24*$E$37)</f>
        <v>0</v>
      </c>
      <c r="AI23" s="103">
        <f>S23*$M$21</f>
        <v>23750.7</v>
      </c>
      <c r="AJ23" s="103">
        <f>IF($C$21=3,0,AG23+AH23)</f>
        <v>0</v>
      </c>
      <c r="AK23" s="103">
        <f>IF($C$21=3,AE23+AG23+AH23,0)</f>
        <v>0</v>
      </c>
      <c r="AL23" s="103">
        <v>3</v>
      </c>
      <c r="AM23" s="103">
        <f>F23/AL23</f>
        <v>1</v>
      </c>
      <c r="AN23" s="103">
        <f>AI23/AM23</f>
        <v>23750.7</v>
      </c>
      <c r="AO23" s="103">
        <f>AJ23/AM23</f>
        <v>0</v>
      </c>
      <c r="AP23" s="103">
        <f>AK23/AM23</f>
        <v>0</v>
      </c>
      <c r="AQ23" s="103" t="s">
        <v>12</v>
      </c>
      <c r="AR23" s="103">
        <f>AN23+AO23+AP23</f>
        <v>23750.7</v>
      </c>
      <c r="AS23" s="103" t="s">
        <v>113</v>
      </c>
      <c r="AT23" s="103" t="s">
        <v>12</v>
      </c>
      <c r="AU23" t="s" s="0">
        <v>114</v>
      </c>
      <c r="AV23" t="s" s="0">
        <v>152</v>
      </c>
      <c r="AW23" s="103">
        <f>AM23</f>
        <v>1</v>
      </c>
      <c r="AX23" s="103">
        <f>AR23</f>
        <v>23750.7</v>
      </c>
      <c r="AY23" s="103">
        <f>AU23+AW23</f>
        <v>1</v>
      </c>
      <c r="AZ23" s="103">
        <f>ROUND(((AU23*AV23)+(AW23*AX23))/(AU23+AW23),5)</f>
        <v>23750.7</v>
      </c>
      <c r="BA23" s="105"/>
      <c r="BB23" s="105" t="s">
        <v>116</v>
      </c>
      <c r="BC23" s="105" t="s">
        <v>117</v>
      </c>
      <c r="BD23" s="106" t="s">
        <v>118</v>
      </c>
      <c r="BE23" s="106" t="s">
        <v>119</v>
      </c>
      <c r="BF23" s="105"/>
      <c r="BG23" s="105"/>
      <c r="BH23" s="105"/>
      <c r="BI23" s="103"/>
      <c r="BJ23" s="103"/>
      <c r="BK23" s="103"/>
      <c r="BL23" s="103" t="s">
        <v>120</v>
      </c>
      <c r="BM23" t="s" s="0">
        <v>153</v>
      </c>
      <c r="BN23" t="s" s="0">
        <v>154</v>
      </c>
      <c r="BO23" s="103">
        <f>ROUND((((AW23*AZ23)+(BN23*BM23))/(AW23+BN23)),5)</f>
        <v>24492.71658</v>
      </c>
      <c r="BP23" s="107">
        <f>BN23+AW23</f>
        <v>14.34</v>
      </c>
      <c r="BQ23" s="108">
        <v>88363222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300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Y24" si="1">SUM(R23:R23)</f>
        <v>20.58</v>
      </c>
      <c r="S24" s="110">
        <f t="shared" si="1"/>
        <v>279.42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>
        <f t="shared" si="1"/>
        <v>0</v>
      </c>
      <c r="Z24" s="111"/>
      <c r="AA24" s="111">
        <f t="shared" ref="AA24:AE24" si="2">SUM(AA23:AA23)</f>
        <v>0</v>
      </c>
      <c r="AB24" s="109">
        <f t="shared" si="2"/>
        <v>0</v>
      </c>
      <c r="AC24" s="112">
        <f t="shared" si="2"/>
        <v>279.42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23750.7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F12" workbookViewId="0">
      <selection activeCell="BM28" sqref="BM28"/>
    </sheetView>
  </sheetViews>
  <sheetFormatPr defaultColWidth="8.71428571428571" defaultRowHeight="15"/>
  <cols>
    <col min="1" max="1" customWidth="true" width="7.57142857142857"/>
    <col min="2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95" t="s">
        <v>55</v>
      </c>
      <c r="M22" s="95" t="s">
        <v>56</v>
      </c>
      <c r="N22" s="95" t="s">
        <v>57</v>
      </c>
      <c r="O22" s="95" t="s">
        <v>58</v>
      </c>
      <c r="P22" s="95" t="s">
        <v>59</v>
      </c>
      <c r="Q22" s="95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93" t="s">
        <v>88</v>
      </c>
      <c r="AT22" s="93" t="s">
        <v>86</v>
      </c>
      <c r="AU22" s="99" t="s">
        <v>133</v>
      </c>
      <c r="AV22" s="99" t="s">
        <v>134</v>
      </c>
      <c r="AW22" s="99" t="s">
        <v>91</v>
      </c>
      <c r="AX22" s="99" t="s">
        <v>92</v>
      </c>
      <c r="AY22" s="99" t="s">
        <v>93</v>
      </c>
      <c r="AZ22" s="99" t="s">
        <v>94</v>
      </c>
      <c r="BA22" s="99" t="s">
        <v>95</v>
      </c>
      <c r="BB22" s="99" t="s">
        <v>96</v>
      </c>
      <c r="BC22" s="99" t="s">
        <v>97</v>
      </c>
      <c r="BD22" s="99" t="s">
        <v>98</v>
      </c>
      <c r="BE22" s="99" t="s">
        <v>99</v>
      </c>
      <c r="BF22" s="99" t="s">
        <v>100</v>
      </c>
      <c r="BG22" s="99" t="s">
        <v>101</v>
      </c>
      <c r="BH22" s="99" t="s">
        <v>102</v>
      </c>
      <c r="BI22" s="99" t="s">
        <v>103</v>
      </c>
      <c r="BJ22" s="99" t="s">
        <v>104</v>
      </c>
      <c r="BK22" s="99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</row>
    <row r="23" ht="15.75" spans="1:69">
      <c r="A23" s="87">
        <v>1</v>
      </c>
      <c r="B23" s="87" t="s">
        <v>155</v>
      </c>
      <c r="C23" s="87" t="s">
        <v>155</v>
      </c>
      <c r="D23" s="87" t="s">
        <v>12</v>
      </c>
      <c r="E23" s="87" t="s">
        <v>12</v>
      </c>
      <c r="F23" s="102">
        <v>3</v>
      </c>
      <c r="G23" t="s" s="0">
        <v>141</v>
      </c>
      <c r="H23" s="103">
        <f>F23*G23</f>
        <v>300</v>
      </c>
      <c r="I23" t="s" s="0">
        <v>142</v>
      </c>
      <c r="J23" s="103">
        <v>2</v>
      </c>
      <c r="K23" s="103">
        <v>4</v>
      </c>
      <c r="L23" s="103">
        <f>H23</f>
        <v>300</v>
      </c>
      <c r="M23" s="103">
        <f>ROUND(L23*I23%,2)</f>
        <v>3</v>
      </c>
      <c r="N23" s="103">
        <f>H23-M23</f>
        <v>297</v>
      </c>
      <c r="O23" s="103">
        <f>ROUND(N23*J23%,2)</f>
        <v>5.94</v>
      </c>
      <c r="P23" s="103">
        <f>ROUND(N23-O23,2)</f>
        <v>291.06</v>
      </c>
      <c r="Q23" s="103">
        <f>ROUND(P23*K23%,2)</f>
        <v>11.64</v>
      </c>
      <c r="R23" s="103">
        <f>M23+O23+Q23</f>
        <v>20.58</v>
      </c>
      <c r="S23" s="103">
        <f>(H23-R23)</f>
        <v>279.42</v>
      </c>
      <c r="T23" s="103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03">
        <f>IF($V21=1,S23+AB23,S23)</f>
        <v>279.42</v>
      </c>
      <c r="AD23" s="103">
        <v>120</v>
      </c>
      <c r="AE23" s="103">
        <f>IF($P$21=1,(S23/$S$24)*$E$35,AD23/$AD$24*$E$35)</f>
        <v>0</v>
      </c>
      <c r="AF23" s="103"/>
      <c r="AG23" s="103">
        <f>IF($P$21=1,(S23/$S$24)*$E$37,AD23/$AD$24*$E$37)</f>
        <v>0</v>
      </c>
      <c r="AH23" s="103">
        <f>IF($P$21=1,(S23/$S$24)*$E$37,AD23/$AD$24*$E$37)</f>
        <v>0</v>
      </c>
      <c r="AI23" s="103">
        <f>S23*$M$21</f>
        <v>23750.7</v>
      </c>
      <c r="AJ23" s="103">
        <f>IF($C$21=3,0,AG23+AH23)</f>
        <v>0</v>
      </c>
      <c r="AK23" s="103">
        <f>IF($C$21=3,AE23+AG23+AH23,0)</f>
        <v>0</v>
      </c>
      <c r="AL23" s="103">
        <v>3</v>
      </c>
      <c r="AM23" s="103">
        <f>F23/AL23</f>
        <v>1</v>
      </c>
      <c r="AN23" s="103">
        <f>AI23/AM23</f>
        <v>23750.7</v>
      </c>
      <c r="AO23" s="103">
        <f>AJ23/AM23</f>
        <v>0</v>
      </c>
      <c r="AP23" s="103">
        <f>AK23/AM23</f>
        <v>0</v>
      </c>
      <c r="AQ23" s="103" t="s">
        <v>12</v>
      </c>
      <c r="AR23" s="103">
        <f>AN23+AO23+AP23</f>
        <v>23750.7</v>
      </c>
      <c r="AS23" s="103" t="s">
        <v>113</v>
      </c>
      <c r="AT23" s="103" t="s">
        <v>12</v>
      </c>
      <c r="AU23" t="s" s="0">
        <v>114</v>
      </c>
      <c r="AV23" t="s" s="0">
        <v>152</v>
      </c>
      <c r="AW23" s="103">
        <f>AM23</f>
        <v>1</v>
      </c>
      <c r="AX23" s="103">
        <f>AR23</f>
        <v>23750.7</v>
      </c>
      <c r="AY23" s="103">
        <f>AU23+AW23</f>
        <v>1</v>
      </c>
      <c r="AZ23" s="103">
        <f>ROUND(((AU23*AV23)+(AW23*AX23))/(AU23+AW23),5)</f>
        <v>23750.7</v>
      </c>
      <c r="BA23" s="105"/>
      <c r="BB23" s="105" t="s">
        <v>116</v>
      </c>
      <c r="BC23" s="105" t="s">
        <v>117</v>
      </c>
      <c r="BD23" s="106" t="s">
        <v>118</v>
      </c>
      <c r="BE23" s="106" t="s">
        <v>119</v>
      </c>
      <c r="BF23" s="105"/>
      <c r="BG23" s="105"/>
      <c r="BH23" s="105"/>
      <c r="BI23" s="103"/>
      <c r="BJ23" s="103"/>
      <c r="BK23" s="103"/>
      <c r="BL23" s="103" t="s">
        <v>120</v>
      </c>
      <c r="BM23" t="s" s="0">
        <v>156</v>
      </c>
      <c r="BN23" t="s" s="0">
        <v>157</v>
      </c>
      <c r="BO23" s="103">
        <f>ROUND((((AW23*AZ23)+(BN23*BM23))/(AW23+BN23)),5)</f>
        <v>24573.84339</v>
      </c>
      <c r="BP23" s="107">
        <f>BN23+AW23</f>
        <v>21.01</v>
      </c>
      <c r="BQ23" s="108">
        <v>88363222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300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Y24" si="1">SUM(R23:R23)</f>
        <v>20.58</v>
      </c>
      <c r="S24" s="110">
        <f t="shared" si="1"/>
        <v>279.42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>
        <f t="shared" si="1"/>
        <v>0</v>
      </c>
      <c r="Z24" s="111"/>
      <c r="AA24" s="111">
        <f t="shared" ref="AA24:AE24" si="2">SUM(AA23:AA23)</f>
        <v>0</v>
      </c>
      <c r="AB24" s="109">
        <f t="shared" si="2"/>
        <v>0</v>
      </c>
      <c r="AC24" s="112">
        <f t="shared" si="2"/>
        <v>279.42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23750.7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114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C1" workbookViewId="0">
      <selection activeCell="BO4" sqref="BO4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51" style="1" width="9.85714285714286"/>
    <col min="52" max="52" customWidth="true" style="1" width="11.5714285714286"/>
    <col min="53" max="66" style="1" width="9.85714285714286"/>
    <col min="67" max="67" style="1" width="12.0"/>
    <col min="68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4" t="s">
        <v>2</v>
      </c>
      <c r="B3" s="44" t="s">
        <v>3</v>
      </c>
      <c r="C3" s="45" t="s">
        <v>4</v>
      </c>
      <c r="D3" s="44" t="s">
        <v>5</v>
      </c>
      <c r="E3" s="44" t="s">
        <v>6</v>
      </c>
      <c r="F3" s="46" t="s">
        <v>51</v>
      </c>
      <c r="G3" s="44" t="s">
        <v>8</v>
      </c>
      <c r="H3" s="44" t="s">
        <v>9</v>
      </c>
      <c r="I3" s="47" t="s">
        <v>52</v>
      </c>
      <c r="J3" s="47" t="s">
        <v>53</v>
      </c>
      <c r="K3" s="47" t="s">
        <v>54</v>
      </c>
      <c r="L3" s="48" t="s">
        <v>55</v>
      </c>
      <c r="M3" s="48" t="s">
        <v>56</v>
      </c>
      <c r="N3" s="48" t="s">
        <v>57</v>
      </c>
      <c r="O3" s="48" t="s">
        <v>58</v>
      </c>
      <c r="P3" s="48" t="s">
        <v>59</v>
      </c>
      <c r="Q3" s="48" t="s">
        <v>60</v>
      </c>
      <c r="R3" s="47" t="s">
        <v>61</v>
      </c>
      <c r="S3" s="44" t="s">
        <v>62</v>
      </c>
      <c r="T3" s="44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49" t="s">
        <v>72</v>
      </c>
      <c r="AD3" s="49" t="s">
        <v>73</v>
      </c>
      <c r="AE3" s="50" t="s">
        <v>74</v>
      </c>
      <c r="AF3" s="50" t="s">
        <v>75</v>
      </c>
      <c r="AG3" s="50" t="s">
        <v>76</v>
      </c>
      <c r="AH3" s="49" t="s">
        <v>77</v>
      </c>
      <c r="AI3" s="49" t="s">
        <v>78</v>
      </c>
      <c r="AJ3" s="50" t="s">
        <v>79</v>
      </c>
      <c r="AK3" s="50" t="s">
        <v>80</v>
      </c>
      <c r="AL3" s="49" t="s">
        <v>81</v>
      </c>
      <c r="AM3" s="49" t="s">
        <v>82</v>
      </c>
      <c r="AN3" s="50" t="s">
        <v>83</v>
      </c>
      <c r="AO3" s="50" t="s">
        <v>84</v>
      </c>
      <c r="AP3" s="50" t="s">
        <v>85</v>
      </c>
      <c r="AQ3" s="49" t="s">
        <v>86</v>
      </c>
      <c r="AR3" s="51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158</v>
      </c>
      <c r="C4" s="20" t="s">
        <v>158</v>
      </c>
      <c r="D4" s="20" t="s">
        <v>12</v>
      </c>
      <c r="E4" s="20" t="s">
        <v>12</v>
      </c>
      <c r="F4" s="21">
        <v>5</v>
      </c>
      <c r="G4" s="21">
        <v>150</v>
      </c>
      <c r="H4" s="21">
        <f>F4*G4</f>
        <v>750</v>
      </c>
      <c r="I4" s="21">
        <v>5</v>
      </c>
      <c r="J4" s="21">
        <v>8</v>
      </c>
      <c r="K4" s="21">
        <v>5</v>
      </c>
      <c r="L4" s="21">
        <f>H4</f>
        <v>750</v>
      </c>
      <c r="M4" s="21">
        <f>ROUND(L4*I4%,2)</f>
        <v>37.5</v>
      </c>
      <c r="N4" s="21">
        <f>H4-M4</f>
        <v>712.5</v>
      </c>
      <c r="O4" s="21">
        <f>ROUND(N4*J4%,2)</f>
        <v>57</v>
      </c>
      <c r="P4" s="21">
        <f>ROUND(N4-O4,2)</f>
        <v>655.5</v>
      </c>
      <c r="Q4" s="21">
        <f>ROUND(P4*K4%,2)</f>
        <v>32.78</v>
      </c>
      <c r="R4" s="21">
        <f>M4+O4+Q4</f>
        <v>127.28</v>
      </c>
      <c r="S4" s="21">
        <f>(H4-R4)</f>
        <v>622.72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4</v>
      </c>
      <c r="AA4" s="21">
        <f>IF($C2=3,0,(S4*Z4)/100)</f>
        <v>0</v>
      </c>
      <c r="AB4" s="21">
        <f>V4+W4+X4+Y4+AA4</f>
        <v>0</v>
      </c>
      <c r="AC4" s="21">
        <f>IF($V2=1,S4+AB4,S4)</f>
        <v>622.72</v>
      </c>
      <c r="AD4" s="21">
        <v>120</v>
      </c>
      <c r="AE4" s="21">
        <f>IF($P$2=1,(S4/$S$5)*$E$16,AD4/$AD$5*$E$16)</f>
        <v>0</v>
      </c>
      <c r="AF4" s="21"/>
      <c r="AG4" s="21">
        <f>IF($P$2=1,(S4/$S$5)*$E$18,AD4/$AD$5*$E$18)</f>
        <v>0</v>
      </c>
      <c r="AH4" s="21">
        <f>IF($P$2=1,(S4/$S$5)*$E$18,AD4/$AD$5*$E$18)</f>
        <v>0</v>
      </c>
      <c r="AI4" s="21">
        <f>S4*$M$2</f>
        <v>622.72</v>
      </c>
      <c r="AJ4" s="21">
        <f>IF($C$2=3,0,AG4+AH4)</f>
        <v>0</v>
      </c>
      <c r="AK4" s="21">
        <f>IF($C$2=3,AE4+AG4+AH4,0)</f>
        <v>0</v>
      </c>
      <c r="AL4" s="21">
        <v>1</v>
      </c>
      <c r="AM4" s="21">
        <f>F4/AL4</f>
        <v>5</v>
      </c>
      <c r="AN4" s="21">
        <f>AI4/AM4</f>
        <v>124.544</v>
      </c>
      <c r="AO4" s="21">
        <f>AJ4/AM4</f>
        <v>0</v>
      </c>
      <c r="AP4" s="21">
        <f>AK4/AM4</f>
        <v>0</v>
      </c>
      <c r="AQ4" s="21" t="s">
        <v>12</v>
      </c>
      <c r="AR4" s="6">
        <f>ROUND(AN4+AO4+AP4,5)</f>
        <v>124.544</v>
      </c>
      <c r="AS4" s="6" t="s">
        <v>159</v>
      </c>
      <c r="AT4" s="28" t="s">
        <v>12</v>
      </c>
      <c r="AW4" s="28">
        <f>AM4</f>
        <v>5</v>
      </c>
      <c r="AX4" s="28">
        <f>AR4</f>
        <v>124.544</v>
      </c>
      <c r="AY4" s="28">
        <f>AU4+AW4</f>
        <v>14095</v>
      </c>
      <c r="AZ4" s="28">
        <f>ROUND(((AU4*AV4)+(AW4*AX4))/(AU4+AW4),5)</f>
        <v>124.544</v>
      </c>
      <c r="BA4" s="30"/>
      <c r="BB4" s="30" t="s">
        <v>116</v>
      </c>
      <c r="BC4" s="52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6"/>
      <c r="BK4" s="6"/>
      <c r="BL4" s="28" t="s">
        <v>143</v>
      </c>
      <c r="BM4" s="1" t="s">
        <v>114</v>
      </c>
      <c r="BN4" s="1" t="s">
        <v>114</v>
      </c>
      <c r="BO4" s="28">
        <f>ROUND((((AW4*AZ4)+(BN4*BM4))/(AW4+BN4)),5)</f>
        <v>124.544</v>
      </c>
      <c r="BP4" s="34">
        <f>BN4+AW4</f>
        <v>696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127.28</v>
      </c>
      <c r="S5" s="39">
        <f t="shared" si="0"/>
        <v>622.72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622.72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622.72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topLeftCell="BB1" workbookViewId="0">
      <selection activeCell="BO4" sqref="BO4"/>
    </sheetView>
  </sheetViews>
  <sheetFormatPr defaultColWidth="8.71428571428571" defaultRowHeight="15"/>
  <cols>
    <col min="1" max="1" style="1" width="8.71428571428571"/>
    <col min="2" max="2" customWidth="true" style="1" width="19.1428571428571"/>
    <col min="3" max="3" customWidth="true" style="1" width="25.8571428571429"/>
    <col min="4" max="19" style="1" width="8.71428571428571"/>
    <col min="20" max="20" customWidth="true" style="1" width="10.1428571428571"/>
    <col min="21" max="51" style="1" width="8.71428571428571"/>
    <col min="52" max="52" style="1" width="12.0"/>
    <col min="53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123</v>
      </c>
      <c r="Q3" s="12" t="s">
        <v>58</v>
      </c>
      <c r="R3" s="11" t="s">
        <v>61</v>
      </c>
      <c r="S3" s="10" t="s">
        <v>124</v>
      </c>
      <c r="T3" s="10" t="s">
        <v>63</v>
      </c>
      <c r="U3" s="13" t="s">
        <v>125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126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162</v>
      </c>
      <c r="C4" s="20" t="s">
        <v>162</v>
      </c>
      <c r="D4" s="20" t="s">
        <v>12</v>
      </c>
      <c r="E4" s="20" t="s">
        <v>12</v>
      </c>
      <c r="F4" s="21">
        <v>5</v>
      </c>
      <c r="G4" s="21">
        <v>150</v>
      </c>
      <c r="H4" s="21">
        <f>F4*G4</f>
        <v>750</v>
      </c>
      <c r="I4" s="21">
        <v>5</v>
      </c>
      <c r="J4" s="21">
        <v>8</v>
      </c>
      <c r="K4" s="21">
        <v>5</v>
      </c>
      <c r="L4" s="21">
        <f>H4</f>
        <v>750</v>
      </c>
      <c r="M4" s="21">
        <f>ROUND(L4*I4%,2)</f>
        <v>37.5</v>
      </c>
      <c r="N4" s="21">
        <f>H4-M4</f>
        <v>712.5</v>
      </c>
      <c r="O4" s="21">
        <f>ROUND(N4*J4%,2)</f>
        <v>57</v>
      </c>
      <c r="P4" s="21">
        <f>ROUND(N4-O4,2)</f>
        <v>655.5</v>
      </c>
      <c r="Q4" s="21">
        <f>ROUND(P4*K4%,2)</f>
        <v>32.78</v>
      </c>
      <c r="R4" s="21">
        <f>M4+O4+Q4</f>
        <v>127.28</v>
      </c>
      <c r="S4" s="21">
        <f>(H4-R4)</f>
        <v>622.72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622.72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S4*$M$2</f>
        <v>622.72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124.544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124.544</v>
      </c>
      <c r="AS4" s="27" t="s">
        <v>128</v>
      </c>
      <c r="AT4" s="28" t="s">
        <v>12</v>
      </c>
      <c r="AU4" s="22" t="s">
        <v>163</v>
      </c>
      <c r="AV4" s="22" t="s">
        <v>164</v>
      </c>
      <c r="AW4" s="28">
        <f>AM4</f>
        <v>5</v>
      </c>
      <c r="AX4" s="28">
        <f>AR4</f>
        <v>124.544</v>
      </c>
      <c r="AY4" s="28">
        <f>AU4+AW4</f>
        <v>115</v>
      </c>
      <c r="AZ4" s="28">
        <f>ROUND(((AU4*AV4)+(AW4*AX4))/(AU4+AW4),5)</f>
        <v>124.54496</v>
      </c>
      <c r="BA4" s="30"/>
      <c r="BB4" s="30" t="s">
        <v>116</v>
      </c>
      <c r="BC4" s="31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28"/>
      <c r="BK4" s="28"/>
      <c r="BL4" s="33" t="s">
        <v>165</v>
      </c>
      <c r="BM4" s="22" t="s">
        <v>164</v>
      </c>
      <c r="BN4" s="22" t="s">
        <v>166</v>
      </c>
      <c r="BO4" s="28">
        <f>ROUND((((AW4*AZ4)+(BN4*BM4))/(AW4+BN4)),5)</f>
        <v>124.54498</v>
      </c>
      <c r="BP4" s="34">
        <f>BN4+AW4</f>
        <v>10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127.28</v>
      </c>
      <c r="S5" s="39">
        <f t="shared" si="0"/>
        <v>622.72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622.72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622.72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3" t="s">
        <v>167</v>
      </c>
      <c r="H7" s="54"/>
      <c r="I7" s="55">
        <f>H5</f>
        <v>750</v>
      </c>
      <c r="J7" s="55"/>
      <c r="K7" s="5"/>
      <c r="L7" s="5"/>
      <c r="M7" s="56" t="s">
        <v>168</v>
      </c>
      <c r="N7" s="57"/>
      <c r="O7" s="57"/>
      <c r="P7" s="58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169</v>
      </c>
      <c r="BI7" s="146" t="s">
        <v>170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3" t="s">
        <v>171</v>
      </c>
      <c r="H8" s="54"/>
      <c r="I8" s="55">
        <f>R5</f>
        <v>127.28</v>
      </c>
      <c r="J8" s="55"/>
      <c r="K8" s="5"/>
      <c r="L8" s="5"/>
      <c r="M8" s="59">
        <v>1</v>
      </c>
      <c r="N8" s="59" t="s">
        <v>12</v>
      </c>
      <c r="O8" s="59">
        <v>2</v>
      </c>
      <c r="P8" s="59" t="s">
        <v>172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173</v>
      </c>
      <c r="BI8" s="146" t="s">
        <v>174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3" t="s">
        <v>175</v>
      </c>
      <c r="H9" s="54"/>
      <c r="I9" s="55">
        <f>S5</f>
        <v>622.72</v>
      </c>
      <c r="J9" s="55"/>
      <c r="K9" s="5"/>
      <c r="L9" s="5"/>
      <c r="M9" s="20">
        <v>1</v>
      </c>
      <c r="N9" s="20" t="s">
        <v>12</v>
      </c>
      <c r="O9" s="20">
        <v>2.5</v>
      </c>
      <c r="P9" s="20" t="s">
        <v>176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3" t="s">
        <v>177</v>
      </c>
      <c r="H10" s="54"/>
      <c r="I10" s="55">
        <f>AB5</f>
        <v>0</v>
      </c>
      <c r="J10" s="55"/>
      <c r="K10" s="5"/>
      <c r="L10" s="5"/>
      <c r="M10" s="20">
        <v>1</v>
      </c>
      <c r="N10" s="20" t="s">
        <v>172</v>
      </c>
      <c r="O10" s="20">
        <v>0.001</v>
      </c>
      <c r="P10" s="20" t="s">
        <v>178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3" t="s">
        <v>179</v>
      </c>
      <c r="H11" s="54"/>
      <c r="I11" s="60">
        <f>I9+I10</f>
        <v>622.72</v>
      </c>
      <c r="J11" s="60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180</v>
      </c>
      <c r="BN12" s="5" t="s">
        <v>181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182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183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184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185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E1" workbookViewId="0">
      <selection activeCell="BO4" sqref="BO4"/>
    </sheetView>
  </sheetViews>
  <sheetFormatPr defaultColWidth="8.71428571428571" defaultRowHeight="15" outlineLevelRow="4"/>
  <cols>
    <col min="1" max="1" style="1" width="8.71428571428571"/>
    <col min="2" max="2" customWidth="true" style="1" width="21.1428571428571"/>
    <col min="3" max="3" customWidth="true" style="1" width="21.2857142857143"/>
    <col min="4" max="19" style="1" width="8.71428571428571"/>
    <col min="20" max="20" customWidth="true" style="1" width="10.1428571428571"/>
    <col min="21" max="51" style="1" width="8.71428571428571"/>
    <col min="52" max="52" style="1" width="10.5714285714286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123</v>
      </c>
      <c r="Q3" s="12" t="s">
        <v>58</v>
      </c>
      <c r="R3" s="11" t="s">
        <v>61</v>
      </c>
      <c r="S3" s="10" t="s">
        <v>124</v>
      </c>
      <c r="T3" s="10" t="s">
        <v>63</v>
      </c>
      <c r="U3" s="13" t="s">
        <v>125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126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186</v>
      </c>
      <c r="C4" s="20" t="s">
        <v>186</v>
      </c>
      <c r="D4" s="20" t="s">
        <v>12</v>
      </c>
      <c r="E4" s="20" t="s">
        <v>12</v>
      </c>
      <c r="F4" s="21">
        <v>5</v>
      </c>
      <c r="G4" s="22" t="s">
        <v>187</v>
      </c>
      <c r="H4" s="21">
        <f>F4*G4</f>
        <v>250</v>
      </c>
      <c r="I4" s="22">
        <v>0</v>
      </c>
      <c r="J4" s="21">
        <v>8</v>
      </c>
      <c r="K4" s="21">
        <v>5</v>
      </c>
      <c r="L4" s="21">
        <f>IF(OR(I4=0,I4="0"),0,H4)</f>
        <v>0</v>
      </c>
      <c r="M4" s="21">
        <f>ROUND(L4*I4%,3)</f>
        <v>0</v>
      </c>
      <c r="N4" s="21">
        <f>H4-M4</f>
        <v>250</v>
      </c>
      <c r="O4" s="21">
        <f>ROUND(N4*J4%,3)</f>
        <v>20</v>
      </c>
      <c r="P4" s="21">
        <f>ROUND(N4-O4,2)</f>
        <v>230</v>
      </c>
      <c r="Q4" s="21">
        <f>ROUND(P4*K4%,2)</f>
        <v>11.5</v>
      </c>
      <c r="R4" s="23">
        <f>ROUND(M4+O4+Q4,3)</f>
        <v>31.5</v>
      </c>
      <c r="S4" s="24">
        <f>(H4-R4)</f>
        <v>218.5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218.5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218.5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43.7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43.7</v>
      </c>
      <c r="AS4" s="27" t="s">
        <v>128</v>
      </c>
      <c r="AT4" s="28" t="s">
        <v>12</v>
      </c>
      <c r="AU4" s="1" t="s">
        <v>114</v>
      </c>
      <c r="AV4" s="1" t="s">
        <v>188</v>
      </c>
      <c r="AW4" s="28">
        <f>AM4</f>
        <v>5</v>
      </c>
      <c r="AX4" s="29">
        <f>AR4</f>
        <v>43.7</v>
      </c>
      <c r="AY4" s="28">
        <f>AU4+AW4</f>
        <v>20</v>
      </c>
      <c r="AZ4" s="28">
        <f>ROUND(((AU4*AV4)+(AW4*AX4))/(AU4+AW4),5)</f>
        <v>43.7</v>
      </c>
      <c r="BA4" s="30"/>
      <c r="BB4" s="30" t="s">
        <v>116</v>
      </c>
      <c r="BC4" s="31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28"/>
      <c r="BK4" s="28"/>
      <c r="BL4" s="33" t="s">
        <v>165</v>
      </c>
      <c r="BM4" s="1" t="s">
        <v>189</v>
      </c>
      <c r="BN4" s="1" t="s">
        <v>190</v>
      </c>
      <c r="BO4" s="28">
        <f>ROUND((((AW4*AZ4)+(BN4*BM4))/(AW4+BN4)),5)</f>
        <v>1304.93794</v>
      </c>
      <c r="BP4" s="34">
        <f>BN4+AW4</f>
        <v>775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250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31.5</v>
      </c>
      <c r="S5" s="39">
        <f t="shared" si="0"/>
        <v>218.5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218.5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218.5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X1" workbookViewId="0">
      <selection activeCell="BO4" sqref="BO4"/>
    </sheetView>
  </sheetViews>
  <sheetFormatPr defaultColWidth="8.71428571428571" defaultRowHeight="15" outlineLevelRow="4"/>
  <cols>
    <col min="1" max="1" style="1" width="8.71428571428571"/>
    <col min="2" max="2" customWidth="true" style="1" width="23.4285714285714"/>
    <col min="3" max="3" customWidth="true" style="1" width="29.4285714285714"/>
    <col min="4" max="19" style="1" width="8.71428571428571"/>
    <col min="20" max="20" customWidth="true" style="1" width="10.1428571428571"/>
    <col min="21" max="51" style="1" width="8.71428571428571"/>
    <col min="52" max="52" style="1" width="10.7142857142857"/>
    <col min="53" max="66" style="1" width="8.71428571428571"/>
    <col min="67" max="67" style="1" width="10.5714285714286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123</v>
      </c>
      <c r="Q3" s="12" t="s">
        <v>58</v>
      </c>
      <c r="R3" s="11" t="s">
        <v>61</v>
      </c>
      <c r="S3" s="10" t="s">
        <v>124</v>
      </c>
      <c r="T3" s="10" t="s">
        <v>63</v>
      </c>
      <c r="U3" s="13" t="s">
        <v>125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126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191</v>
      </c>
      <c r="C4" s="20" t="s">
        <v>191</v>
      </c>
      <c r="D4" s="20" t="s">
        <v>12</v>
      </c>
      <c r="E4" s="20" t="s">
        <v>12</v>
      </c>
      <c r="F4" s="21">
        <v>5</v>
      </c>
      <c r="G4" s="22" t="s">
        <v>187</v>
      </c>
      <c r="H4" s="21">
        <f>F4*G4</f>
        <v>250</v>
      </c>
      <c r="I4" s="22">
        <v>0</v>
      </c>
      <c r="J4" s="21">
        <v>8</v>
      </c>
      <c r="K4" s="21">
        <v>5</v>
      </c>
      <c r="L4" s="21">
        <f>IF(OR(I4=0,I4="0"),0,H4)</f>
        <v>0</v>
      </c>
      <c r="M4" s="21">
        <f>ROUND(L4*I4%,3)</f>
        <v>0</v>
      </c>
      <c r="N4" s="21">
        <f>H4-M4</f>
        <v>250</v>
      </c>
      <c r="O4" s="21">
        <f>ROUND(N4*J4%,3)</f>
        <v>20</v>
      </c>
      <c r="P4" s="21">
        <f>ROUND(N4-O4,2)</f>
        <v>230</v>
      </c>
      <c r="Q4" s="21">
        <f>ROUND(P4*K4%,2)</f>
        <v>11.5</v>
      </c>
      <c r="R4" s="23">
        <f>ROUND(M4+O4+Q4,3)</f>
        <v>31.5</v>
      </c>
      <c r="S4" s="24">
        <f>(H4-R4)</f>
        <v>218.5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218.5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218.5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43.7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43.7</v>
      </c>
      <c r="AS4" s="27" t="s">
        <v>128</v>
      </c>
      <c r="AT4" s="28" t="s">
        <v>12</v>
      </c>
      <c r="AU4" s="22" t="s">
        <v>192</v>
      </c>
      <c r="AV4" s="22" t="s">
        <v>193</v>
      </c>
      <c r="AW4" s="28">
        <f>AM4</f>
        <v>5</v>
      </c>
      <c r="AX4" s="29">
        <f>AR4</f>
        <v>43.7</v>
      </c>
      <c r="AY4" s="28">
        <f>AU4+AW4</f>
        <v>20</v>
      </c>
      <c r="AZ4" s="28">
        <f>ROUND(((AU4*AV4)+(AW4*AX4))/(AU4+AW4),5)</f>
        <v>42.06125</v>
      </c>
      <c r="BA4" s="30"/>
      <c r="BB4" s="30" t="s">
        <v>116</v>
      </c>
      <c r="BC4" s="31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28"/>
      <c r="BK4" s="28"/>
      <c r="BL4" s="33" t="s">
        <v>165</v>
      </c>
      <c r="BM4" s="22" t="s">
        <v>193</v>
      </c>
      <c r="BN4" s="22" t="s">
        <v>166</v>
      </c>
      <c r="BO4" s="28">
        <f>ROUND((((AW4*AZ4)+(BN4*BM4))/(AW4+BN4)),5)</f>
        <v>41.78813</v>
      </c>
      <c r="BP4" s="34">
        <f>BN4+AW4</f>
        <v>10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250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31.5</v>
      </c>
      <c r="S5" s="39">
        <f t="shared" si="0"/>
        <v>218.5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218.5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218.5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A1" workbookViewId="0">
      <selection activeCell="BP4" sqref="BP4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9" style="1" width="8.71428571428571"/>
    <col min="20" max="20" customWidth="true" style="1" width="10.1428571428571"/>
    <col min="21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123</v>
      </c>
      <c r="Q3" s="12" t="s">
        <v>58</v>
      </c>
      <c r="R3" s="11" t="s">
        <v>61</v>
      </c>
      <c r="S3" s="10" t="s">
        <v>124</v>
      </c>
      <c r="T3" s="10" t="s">
        <v>63</v>
      </c>
      <c r="U3" s="13" t="s">
        <v>125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126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194</v>
      </c>
      <c r="C4" s="20" t="s">
        <v>194</v>
      </c>
      <c r="D4" s="20" t="s">
        <v>12</v>
      </c>
      <c r="E4" s="20" t="s">
        <v>12</v>
      </c>
      <c r="F4" s="21">
        <v>5</v>
      </c>
      <c r="G4" s="22" t="s">
        <v>187</v>
      </c>
      <c r="H4" s="21">
        <f>F4*G4</f>
        <v>250</v>
      </c>
      <c r="I4" s="22">
        <v>0</v>
      </c>
      <c r="J4" s="21">
        <v>8</v>
      </c>
      <c r="K4" s="21">
        <v>5</v>
      </c>
      <c r="L4" s="21">
        <f>IF(OR(I4=0,I4="0"),0,H4)</f>
        <v>0</v>
      </c>
      <c r="M4" s="21">
        <f>ROUND(L4*I4%,3)</f>
        <v>0</v>
      </c>
      <c r="N4" s="21">
        <f>H4-M4</f>
        <v>250</v>
      </c>
      <c r="O4" s="21">
        <f>ROUND(N4*J4%,3)</f>
        <v>20</v>
      </c>
      <c r="P4" s="21">
        <f>ROUND(N4-O4,2)</f>
        <v>230</v>
      </c>
      <c r="Q4" s="21">
        <f>ROUND(P4*K4%,2)</f>
        <v>11.5</v>
      </c>
      <c r="R4" s="23">
        <f>ROUND(M4+O4+Q4,3)</f>
        <v>31.5</v>
      </c>
      <c r="S4" s="24">
        <f>(H4-R4)</f>
        <v>218.5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218.5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218.5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43.7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43.7</v>
      </c>
      <c r="AS4" s="27" t="s">
        <v>128</v>
      </c>
      <c r="AT4" s="28" t="s">
        <v>12</v>
      </c>
      <c r="AU4" s="1" t="s">
        <v>114</v>
      </c>
      <c r="AV4" s="1" t="s">
        <v>188</v>
      </c>
      <c r="AW4" s="28">
        <f>AM4</f>
        <v>5</v>
      </c>
      <c r="AX4" s="29">
        <f>AR4</f>
        <v>43.7</v>
      </c>
      <c r="AY4" s="28">
        <f>AU4+AW4</f>
        <v>15</v>
      </c>
      <c r="AZ4" s="28">
        <f>ROUND(((AU4*AV4)+(AW4*AX4))/(AU4+AW4),5)</f>
        <v>43.7</v>
      </c>
      <c r="BA4" s="30"/>
      <c r="BB4" s="30" t="s">
        <v>116</v>
      </c>
      <c r="BC4" s="31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28"/>
      <c r="BK4" s="28"/>
      <c r="BL4" s="33" t="s">
        <v>165</v>
      </c>
      <c r="BM4" s="1" t="s">
        <v>195</v>
      </c>
      <c r="BN4" s="1" t="s">
        <v>196</v>
      </c>
      <c r="BO4" s="28">
        <f>ROUND((((AW4*AZ4)+(BN4*BM4))/(AW4+BN4)),5)</f>
        <v>931.81735</v>
      </c>
      <c r="BP4" s="34">
        <f>BN4+AW4</f>
        <v>755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250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31.5</v>
      </c>
      <c r="S5" s="39">
        <f t="shared" si="0"/>
        <v>218.5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218.5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218.5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BJ1" workbookViewId="0">
      <selection activeCell="BP4" sqref="BP4"/>
    </sheetView>
  </sheetViews>
  <sheetFormatPr defaultColWidth="8.85714285714286" defaultRowHeight="15"/>
  <cols>
    <col min="1" max="1" style="22" width="8.85714285714286"/>
    <col min="2" max="2" customWidth="true" style="22" width="28.0"/>
    <col min="3" max="3" customWidth="true" style="22" width="23.0"/>
    <col min="4" max="11" style="22" width="8.85714285714286"/>
    <col min="12" max="12" customWidth="true" style="22" width="15.7142857142857"/>
    <col min="13" max="13" customWidth="true" style="22" width="9.14285714285714"/>
    <col min="14" max="14" customWidth="true" style="22" width="13.8571428571429"/>
    <col min="15" max="15" customWidth="true" style="22" width="11.2857142857143"/>
    <col min="16" max="16" customWidth="true" style="22" width="17.8571428571429"/>
    <col min="17" max="19" style="22" width="8.85714285714286"/>
    <col min="20" max="20" customWidth="true" style="22" width="10.1428571428571"/>
    <col min="21" max="51" style="22" width="8.85714285714286"/>
    <col min="52" max="52" style="22" width="10.7142857142857"/>
    <col min="53" max="63" style="22" width="8.85714285714286"/>
    <col min="64" max="64" customWidth="true" style="22" width="11.0"/>
    <col min="65" max="66" style="22" width="8.85714285714286"/>
    <col min="67" max="67" style="22" width="10.7142857142857"/>
    <col min="68" max="16384" style="22" width="8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123</v>
      </c>
      <c r="Q3" s="12" t="s">
        <v>58</v>
      </c>
      <c r="R3" s="11" t="s">
        <v>61</v>
      </c>
      <c r="S3" s="10" t="s">
        <v>124</v>
      </c>
      <c r="T3" s="10" t="s">
        <v>63</v>
      </c>
      <c r="U3" s="13" t="s">
        <v>125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126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197</v>
      </c>
      <c r="C4" s="20" t="s">
        <v>197</v>
      </c>
      <c r="D4" s="20" t="s">
        <v>12</v>
      </c>
      <c r="E4" s="20" t="s">
        <v>12</v>
      </c>
      <c r="F4" s="21">
        <v>5</v>
      </c>
      <c r="G4" s="22" t="s">
        <v>187</v>
      </c>
      <c r="H4" s="21">
        <f>F4*G4</f>
        <v>250</v>
      </c>
      <c r="I4" s="22">
        <v>0</v>
      </c>
      <c r="J4" s="21">
        <v>8</v>
      </c>
      <c r="K4" s="21">
        <v>5</v>
      </c>
      <c r="L4" s="21">
        <f>IF(OR(I4=0,I4="0"),0,H4)</f>
        <v>0</v>
      </c>
      <c r="M4" s="21">
        <f>ROUND(L4*I4%,3)</f>
        <v>0</v>
      </c>
      <c r="N4" s="21">
        <f>H4-M4</f>
        <v>250</v>
      </c>
      <c r="O4" s="21">
        <f>ROUND(N4*J4%,3)</f>
        <v>20</v>
      </c>
      <c r="P4" s="21">
        <f>ROUND(N4-O4,2)</f>
        <v>230</v>
      </c>
      <c r="Q4" s="21">
        <f>ROUND(P4*K4%,2)</f>
        <v>11.5</v>
      </c>
      <c r="R4" s="23">
        <f>ROUND(M4+O4+Q4,3)</f>
        <v>31.5</v>
      </c>
      <c r="S4" s="24">
        <f>(H4-R4)</f>
        <v>218.5</v>
      </c>
      <c r="T4" s="21">
        <v>88363222</v>
      </c>
      <c r="U4" s="21">
        <v>0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218.5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218.5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43.7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43.7</v>
      </c>
      <c r="AS4" s="27" t="s">
        <v>128</v>
      </c>
      <c r="AT4" s="28" t="s">
        <v>12</v>
      </c>
      <c r="AU4" s="22" t="s">
        <v>198</v>
      </c>
      <c r="AV4" s="22" t="s">
        <v>193</v>
      </c>
      <c r="AW4" s="28">
        <f>AM4</f>
        <v>5</v>
      </c>
      <c r="AX4" s="29">
        <f>AR4</f>
        <v>43.7</v>
      </c>
      <c r="AY4" s="28">
        <f>AU4+AW4</f>
        <v>15</v>
      </c>
      <c r="AZ4" s="28">
        <f>ROUND(((AU4*AV4)+(AW4*AX4))/(AU4+AW4),5)</f>
        <v>42.24333</v>
      </c>
      <c r="BA4" s="30"/>
      <c r="BB4" s="30" t="s">
        <v>116</v>
      </c>
      <c r="BC4" s="31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28"/>
      <c r="BK4" s="28"/>
      <c r="BL4" s="33" t="s">
        <v>165</v>
      </c>
      <c r="BM4" s="22" t="s">
        <v>193</v>
      </c>
      <c r="BN4" s="22" t="s">
        <v>166</v>
      </c>
      <c r="BO4" s="28">
        <f>ROUND((((AW4*AZ4)+(BN4*BM4))/(AW4+BN4)),5)</f>
        <v>41.87917</v>
      </c>
      <c r="BP4" s="34">
        <f>BN4+AW4</f>
        <v>10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250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31.5</v>
      </c>
      <c r="S5" s="39">
        <f t="shared" si="0"/>
        <v>218.5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218.5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218.5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3" t="s">
        <v>167</v>
      </c>
      <c r="H7" s="54"/>
      <c r="I7" s="55">
        <f>H5</f>
        <v>250</v>
      </c>
      <c r="J7" s="55"/>
      <c r="K7" s="5"/>
      <c r="L7" s="5"/>
      <c r="M7" s="56" t="s">
        <v>168</v>
      </c>
      <c r="N7" s="57"/>
      <c r="O7" s="57"/>
      <c r="P7" s="58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169</v>
      </c>
      <c r="BI7" s="146" t="s">
        <v>170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3" t="s">
        <v>171</v>
      </c>
      <c r="H8" s="54"/>
      <c r="I8" s="55">
        <f>R5</f>
        <v>31.5</v>
      </c>
      <c r="J8" s="55"/>
      <c r="K8" s="5"/>
      <c r="L8" s="5"/>
      <c r="M8" s="59">
        <v>1</v>
      </c>
      <c r="N8" s="59" t="s">
        <v>12</v>
      </c>
      <c r="O8" s="59">
        <v>2</v>
      </c>
      <c r="P8" s="59" t="s">
        <v>172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173</v>
      </c>
      <c r="BI8" s="146" t="s">
        <v>174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3" t="s">
        <v>175</v>
      </c>
      <c r="H9" s="54"/>
      <c r="I9" s="55">
        <f>S5</f>
        <v>218.5</v>
      </c>
      <c r="J9" s="55"/>
      <c r="K9" s="5"/>
      <c r="L9" s="5"/>
      <c r="M9" s="20">
        <v>1</v>
      </c>
      <c r="N9" s="20" t="s">
        <v>12</v>
      </c>
      <c r="O9" s="20">
        <v>2.5</v>
      </c>
      <c r="P9" s="20" t="s">
        <v>176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3" t="s">
        <v>177</v>
      </c>
      <c r="H10" s="54"/>
      <c r="I10" s="55">
        <f>AB5</f>
        <v>0</v>
      </c>
      <c r="J10" s="55"/>
      <c r="K10" s="5"/>
      <c r="L10" s="5"/>
      <c r="M10" s="20">
        <v>1</v>
      </c>
      <c r="N10" s="20" t="s">
        <v>172</v>
      </c>
      <c r="O10" s="20">
        <v>0.001</v>
      </c>
      <c r="P10" s="20" t="s">
        <v>178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3" t="s">
        <v>179</v>
      </c>
      <c r="H11" s="54"/>
      <c r="I11" s="60">
        <f>I9+I10</f>
        <v>218.5</v>
      </c>
      <c r="J11" s="60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180</v>
      </c>
      <c r="BN12" s="5" t="s">
        <v>181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182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183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184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185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  <row r="18" spans="1:69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6"/>
      <c r="BQ18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X1" workbookViewId="0">
      <selection activeCell="BP4" sqref="BP4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4" t="s">
        <v>2</v>
      </c>
      <c r="B3" s="44" t="s">
        <v>3</v>
      </c>
      <c r="C3" s="45" t="s">
        <v>4</v>
      </c>
      <c r="D3" s="44" t="s">
        <v>5</v>
      </c>
      <c r="E3" s="44" t="s">
        <v>6</v>
      </c>
      <c r="F3" s="46" t="s">
        <v>51</v>
      </c>
      <c r="G3" s="44" t="s">
        <v>8</v>
      </c>
      <c r="H3" s="44" t="s">
        <v>9</v>
      </c>
      <c r="I3" s="47" t="s">
        <v>52</v>
      </c>
      <c r="J3" s="47" t="s">
        <v>53</v>
      </c>
      <c r="K3" s="47" t="s">
        <v>54</v>
      </c>
      <c r="L3" s="48" t="s">
        <v>55</v>
      </c>
      <c r="M3" s="48" t="s">
        <v>56</v>
      </c>
      <c r="N3" s="48" t="s">
        <v>57</v>
      </c>
      <c r="O3" s="48" t="s">
        <v>58</v>
      </c>
      <c r="P3" s="48" t="s">
        <v>59</v>
      </c>
      <c r="Q3" s="48" t="s">
        <v>60</v>
      </c>
      <c r="R3" s="47" t="s">
        <v>61</v>
      </c>
      <c r="S3" s="44" t="s">
        <v>62</v>
      </c>
      <c r="T3" s="44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49" t="s">
        <v>72</v>
      </c>
      <c r="AD3" s="49" t="s">
        <v>73</v>
      </c>
      <c r="AE3" s="50" t="s">
        <v>74</v>
      </c>
      <c r="AF3" s="50" t="s">
        <v>75</v>
      </c>
      <c r="AG3" s="50" t="s">
        <v>76</v>
      </c>
      <c r="AH3" s="49" t="s">
        <v>77</v>
      </c>
      <c r="AI3" s="49" t="s">
        <v>78</v>
      </c>
      <c r="AJ3" s="50" t="s">
        <v>79</v>
      </c>
      <c r="AK3" s="50" t="s">
        <v>80</v>
      </c>
      <c r="AL3" s="49" t="s">
        <v>81</v>
      </c>
      <c r="AM3" s="49" t="s">
        <v>82</v>
      </c>
      <c r="AN3" s="50" t="s">
        <v>83</v>
      </c>
      <c r="AO3" s="50" t="s">
        <v>84</v>
      </c>
      <c r="AP3" s="50" t="s">
        <v>85</v>
      </c>
      <c r="AQ3" s="49" t="s">
        <v>86</v>
      </c>
      <c r="AR3" s="51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199</v>
      </c>
      <c r="C4" s="20" t="s">
        <v>199</v>
      </c>
      <c r="D4" s="20" t="s">
        <v>12</v>
      </c>
      <c r="E4" s="20" t="s">
        <v>172</v>
      </c>
      <c r="F4" s="21">
        <v>3</v>
      </c>
      <c r="G4" s="21">
        <v>150</v>
      </c>
      <c r="H4" s="21">
        <f>F4*G4</f>
        <v>450</v>
      </c>
      <c r="I4" s="21">
        <v>5</v>
      </c>
      <c r="J4" s="21">
        <v>8</v>
      </c>
      <c r="K4" s="21">
        <v>5</v>
      </c>
      <c r="L4" s="21">
        <f>H4</f>
        <v>450</v>
      </c>
      <c r="M4" s="21">
        <f>ROUND(L4*I4%,2)</f>
        <v>22.5</v>
      </c>
      <c r="N4" s="21">
        <f>H4-M4</f>
        <v>427.5</v>
      </c>
      <c r="O4" s="21">
        <f>ROUND(N4*J4%,2)</f>
        <v>34.2</v>
      </c>
      <c r="P4" s="21">
        <f>ROUND(N4-O4,2)</f>
        <v>393.3</v>
      </c>
      <c r="Q4" s="21">
        <f>ROUND(P4*K4%,2)</f>
        <v>19.67</v>
      </c>
      <c r="R4" s="21">
        <f>M4+O4+Q4</f>
        <v>76.37</v>
      </c>
      <c r="S4" s="21">
        <f>(H4-R4)</f>
        <v>373.63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4</v>
      </c>
      <c r="AA4" s="21">
        <f>IF($C2=3,0,(S4*Z4)/100)</f>
        <v>0</v>
      </c>
      <c r="AB4" s="21">
        <f>V4+W4+X4+Y4+AA4</f>
        <v>0</v>
      </c>
      <c r="AC4" s="21">
        <f>IF($V2=1,S4+AB4,S4)</f>
        <v>373.63</v>
      </c>
      <c r="AD4" s="21">
        <v>120</v>
      </c>
      <c r="AE4" s="21">
        <f>IF($P$2=1,(S4/$S$5)*$E$16,AD4/$AD$5*$E$16)</f>
        <v>0</v>
      </c>
      <c r="AF4" s="21"/>
      <c r="AG4" s="21">
        <f>IF($P$2=1,(S4/$S$5)*$E$18,AD4/$AD$5*$E$18)</f>
        <v>0</v>
      </c>
      <c r="AH4" s="21">
        <f>IF($P$2=1,(S4/$S$5)*$E$18,AD4/$AD$5*$E$18)</f>
        <v>0</v>
      </c>
      <c r="AI4" s="21">
        <f>S4*$M$2</f>
        <v>373.63</v>
      </c>
      <c r="AJ4" s="21">
        <f>IF($C$2=3,0,AG4+AH4)</f>
        <v>0</v>
      </c>
      <c r="AK4" s="21">
        <f>IF($C$2=3,AE4+AG4+AH4,0)</f>
        <v>0</v>
      </c>
      <c r="AL4" s="21">
        <v>3</v>
      </c>
      <c r="AM4" s="21">
        <f>F4/AL4</f>
        <v>1</v>
      </c>
      <c r="AN4" s="21">
        <f>AI4/AM4</f>
        <v>373.63</v>
      </c>
      <c r="AO4" s="21">
        <f>AJ4/AM4</f>
        <v>0</v>
      </c>
      <c r="AP4" s="21">
        <f>AK4/AM4</f>
        <v>0</v>
      </c>
      <c r="AQ4" s="21" t="s">
        <v>12</v>
      </c>
      <c r="AR4" s="6">
        <f>ROUND(AN4+AO4+AP4,5)</f>
        <v>373.63</v>
      </c>
      <c r="AS4" s="6" t="s">
        <v>159</v>
      </c>
      <c r="AT4" s="28" t="s">
        <v>12</v>
      </c>
      <c r="AW4" s="28">
        <f>AM4</f>
        <v>1</v>
      </c>
      <c r="AX4" s="28">
        <f>AR4</f>
        <v>373.63</v>
      </c>
      <c r="AY4" s="28">
        <f>AU4+AW4</f>
        <v>1</v>
      </c>
      <c r="AZ4" s="28">
        <f>ROUND(((AU4*AV4)+(AW4*AX4))/(AU4+AW4),5)</f>
        <v>373.63</v>
      </c>
      <c r="BA4" s="30"/>
      <c r="BB4" s="30" t="s">
        <v>116</v>
      </c>
      <c r="BC4" s="52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6"/>
      <c r="BK4" s="6"/>
      <c r="BL4" s="28" t="s">
        <v>143</v>
      </c>
      <c r="BM4" s="1" t="s">
        <v>114</v>
      </c>
      <c r="BN4" s="1" t="s">
        <v>114</v>
      </c>
      <c r="BO4" s="28">
        <f>ROUND((((AW4*AZ4)+(BN4*BM4))/(AW4+BN4)),5)</f>
        <v>373.63</v>
      </c>
      <c r="BP4" s="34">
        <f>BN4+AW4</f>
        <v>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450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76.37</v>
      </c>
      <c r="S5" s="39">
        <f t="shared" si="0"/>
        <v>373.63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373.63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373.63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V1" workbookViewId="0">
      <selection activeCell="BP4" sqref="BP4"/>
    </sheetView>
  </sheetViews>
  <sheetFormatPr defaultColWidth="8.71428571428571" defaultRowHeight="15" outlineLevelRow="4"/>
  <cols>
    <col min="1" max="1" style="1" width="8.71428571428571"/>
    <col min="2" max="2" customWidth="true" style="1" width="21.1428571428571"/>
    <col min="3" max="3" customWidth="true" style="1" width="21.2857142857143"/>
    <col min="4" max="19" style="1" width="8.71428571428571"/>
    <col min="20" max="20" customWidth="true" style="1" width="10.1428571428571"/>
    <col min="21" max="66" style="1" width="8.71428571428571"/>
    <col min="67" max="67" style="1" width="13.2857142857143"/>
    <col min="68" max="68" style="1" width="12.8571428571429"/>
    <col min="69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123</v>
      </c>
      <c r="Q3" s="12" t="s">
        <v>58</v>
      </c>
      <c r="R3" s="11" t="s">
        <v>61</v>
      </c>
      <c r="S3" s="10" t="s">
        <v>124</v>
      </c>
      <c r="T3" s="10" t="s">
        <v>63</v>
      </c>
      <c r="U3" s="13" t="s">
        <v>125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126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200</v>
      </c>
      <c r="C4" s="20" t="s">
        <v>200</v>
      </c>
      <c r="D4" s="20" t="s">
        <v>12</v>
      </c>
      <c r="E4" s="20" t="s">
        <v>172</v>
      </c>
      <c r="F4" s="21">
        <v>3</v>
      </c>
      <c r="G4" s="22" t="s">
        <v>187</v>
      </c>
      <c r="H4" s="21">
        <f>F4*G4</f>
        <v>150</v>
      </c>
      <c r="I4" s="22">
        <v>0</v>
      </c>
      <c r="J4" s="21">
        <v>8</v>
      </c>
      <c r="K4" s="21">
        <v>5</v>
      </c>
      <c r="L4" s="21">
        <f>IF(OR(I4=0,I4="0"),0,H4)</f>
        <v>0</v>
      </c>
      <c r="M4" s="21">
        <f>ROUND(L4*I4%,3)</f>
        <v>0</v>
      </c>
      <c r="N4" s="21">
        <f>H4-M4</f>
        <v>150</v>
      </c>
      <c r="O4" s="21">
        <f>ROUND(N4*J4%,3)</f>
        <v>12</v>
      </c>
      <c r="P4" s="21">
        <f>ROUND(N4-O4,2)</f>
        <v>138</v>
      </c>
      <c r="Q4" s="21">
        <f>ROUND(P4*K4%,2)</f>
        <v>6.9</v>
      </c>
      <c r="R4" s="23">
        <f>ROUND(M4+O4+Q4,3)</f>
        <v>18.9</v>
      </c>
      <c r="S4" s="24">
        <f>(H4-R4)</f>
        <v>131.1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131.1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131.1</v>
      </c>
      <c r="AJ4" s="23">
        <f>IF($C$2=3,0,AG4+AH4)</f>
        <v>0</v>
      </c>
      <c r="AK4" s="23">
        <f>IF($C$2=3,AE4+AG4+AH4,0)</f>
        <v>0</v>
      </c>
      <c r="AL4" s="26">
        <v>3</v>
      </c>
      <c r="AM4" s="23">
        <f>F4/AL4</f>
        <v>1</v>
      </c>
      <c r="AN4" s="23">
        <f>ROUND(AI4/AM4,5)</f>
        <v>131.1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131.1</v>
      </c>
      <c r="AS4" s="27" t="s">
        <v>128</v>
      </c>
      <c r="AT4" s="28" t="s">
        <v>12</v>
      </c>
      <c r="AU4" s="1" t="s">
        <v>114</v>
      </c>
      <c r="AV4" s="1" t="s">
        <v>201</v>
      </c>
      <c r="AW4" s="28">
        <f>AM4</f>
        <v>1</v>
      </c>
      <c r="AX4" s="29">
        <f>AR4</f>
        <v>131.1</v>
      </c>
      <c r="AY4" s="28">
        <f>AU4+AW4</f>
        <v>1</v>
      </c>
      <c r="AZ4" s="28">
        <f>ROUND(((AU4*AV4)+(AW4*AX4))/(AU4+AW4),5)</f>
        <v>131.1</v>
      </c>
      <c r="BA4" s="30"/>
      <c r="BB4" s="30" t="s">
        <v>116</v>
      </c>
      <c r="BC4" s="31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28"/>
      <c r="BK4" s="28"/>
      <c r="BL4" s="33" t="s">
        <v>165</v>
      </c>
      <c r="BM4" s="1" t="s">
        <v>202</v>
      </c>
      <c r="BN4" s="1" t="s">
        <v>203</v>
      </c>
      <c r="BO4" s="28">
        <f>ROUND((((AW4*AZ4)+(BN4*BM4))/(AW4+BN4)),5)</f>
        <v>3551.87499</v>
      </c>
      <c r="BP4" s="34">
        <f>BN4+AW4</f>
        <v>192.66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150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18.9</v>
      </c>
      <c r="S5" s="39">
        <f t="shared" si="0"/>
        <v>131.1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131.1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131.1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I1" workbookViewId="0">
      <selection activeCell="BO10" sqref="BO10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9" style="1" width="8.71428571428571"/>
    <col min="20" max="20" customWidth="true" style="1" width="10.1428571428571"/>
    <col min="21" max="51" style="1" width="8.71428571428571"/>
    <col min="52" max="52" style="1" width="9.0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123</v>
      </c>
      <c r="Q3" s="12" t="s">
        <v>58</v>
      </c>
      <c r="R3" s="11" t="s">
        <v>61</v>
      </c>
      <c r="S3" s="10" t="s">
        <v>124</v>
      </c>
      <c r="T3" s="10" t="s">
        <v>63</v>
      </c>
      <c r="U3" s="13" t="s">
        <v>125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126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204</v>
      </c>
      <c r="C4" s="20" t="s">
        <v>204</v>
      </c>
      <c r="D4" s="20" t="s">
        <v>12</v>
      </c>
      <c r="E4" s="20" t="s">
        <v>172</v>
      </c>
      <c r="F4" s="21">
        <v>3</v>
      </c>
      <c r="G4" s="22" t="s">
        <v>187</v>
      </c>
      <c r="H4" s="21">
        <f>F4*G4</f>
        <v>150</v>
      </c>
      <c r="I4" s="22">
        <v>0</v>
      </c>
      <c r="J4" s="21">
        <v>8</v>
      </c>
      <c r="K4" s="21">
        <v>5</v>
      </c>
      <c r="L4" s="21">
        <f>IF(OR(I4=0,I4="0"),0,H4)</f>
        <v>0</v>
      </c>
      <c r="M4" s="21">
        <f>ROUND(L4*I4%,3)</f>
        <v>0</v>
      </c>
      <c r="N4" s="21">
        <f>H4-M4</f>
        <v>150</v>
      </c>
      <c r="O4" s="21">
        <f>ROUND(N4*J4%,3)</f>
        <v>12</v>
      </c>
      <c r="P4" s="21">
        <f>ROUND(N4-O4,2)</f>
        <v>138</v>
      </c>
      <c r="Q4" s="21">
        <f>ROUND(P4*K4%,2)</f>
        <v>6.9</v>
      </c>
      <c r="R4" s="23">
        <f>ROUND(M4+O4+Q4,3)</f>
        <v>18.9</v>
      </c>
      <c r="S4" s="24">
        <f>(H4-R4)</f>
        <v>131.1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131.1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131.1</v>
      </c>
      <c r="AJ4" s="23">
        <f>IF($C$2=3,0,AG4+AH4)</f>
        <v>0</v>
      </c>
      <c r="AK4" s="23">
        <f>IF($C$2=3,AE4+AG4+AH4,0)</f>
        <v>0</v>
      </c>
      <c r="AL4" s="26">
        <v>3</v>
      </c>
      <c r="AM4" s="23">
        <f>F4/AL4</f>
        <v>1</v>
      </c>
      <c r="AN4" s="23">
        <f>ROUND(AI4/AM4,5)</f>
        <v>131.1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131.1</v>
      </c>
      <c r="AS4" s="27" t="s">
        <v>128</v>
      </c>
      <c r="AT4" s="28" t="s">
        <v>12</v>
      </c>
      <c r="AU4" s="1" t="s">
        <v>114</v>
      </c>
      <c r="AV4" s="1" t="s">
        <v>201</v>
      </c>
      <c r="AW4" s="28">
        <f>AM4</f>
        <v>1</v>
      </c>
      <c r="AX4" s="29">
        <f>AR4</f>
        <v>131.1</v>
      </c>
      <c r="AY4" s="28">
        <f>AU4+AW4</f>
        <v>1</v>
      </c>
      <c r="AZ4" s="28">
        <f>ROUND(((AU4*AV4)+(AW4*AX4))/(AU4+AW4),5)</f>
        <v>131.1</v>
      </c>
      <c r="BA4" s="30"/>
      <c r="BB4" s="30" t="s">
        <v>116</v>
      </c>
      <c r="BC4" s="31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28"/>
      <c r="BK4" s="28"/>
      <c r="BL4" s="33" t="s">
        <v>165</v>
      </c>
      <c r="BM4" s="1" t="s">
        <v>205</v>
      </c>
      <c r="BN4" s="1" t="s">
        <v>206</v>
      </c>
      <c r="BO4" s="28">
        <f>ROUND((((AW4*AZ4)+(BN4*BM4))/(AW4+BN4)),5)</f>
        <v>4341.27911</v>
      </c>
      <c r="BP4" s="34">
        <f>BN4+AW4</f>
        <v>154.331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150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18.9</v>
      </c>
      <c r="S5" s="39">
        <f t="shared" si="0"/>
        <v>131.1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131.1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131.1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ImportPoToGRNUDGeneralDiffUOM</vt:lpstr>
      <vt:lpstr>ImportPoToGRNRCGeneralDiffUOM</vt:lpstr>
      <vt:lpstr>ImportPoToGRNPLGeneralDiffUOM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Administrator</cp:lastModifiedBy>
  <dcterms:modified xsi:type="dcterms:W3CDTF">2026-03-19T12:02:03Z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