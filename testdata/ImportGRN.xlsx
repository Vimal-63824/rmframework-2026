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 firstSheet="16" activeTab="17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<sst xmlns="http://schemas.openxmlformats.org/spreadsheetml/2006/main" count="2438" uniqueCount="207">
  <si>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</si>
  <si>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</si>
  <si>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</si>
  <si>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</si>
  <si>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</si>
  <si>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</si>
  <si>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</si>
  <si>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</si>
  <si>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</si>
  <si>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</si>
  <si>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</si>
  <si>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</si>
  <si>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</si>
  <si>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</si>
  <si>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</si>
  <si>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</si>
  <si>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</si>
  <si>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</si>
  <si>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</si>
  <si>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</si>
  <si>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</si>
  <si>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</si>
  <si>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</si>
  <si>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</si>
  <si>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</si>
  <si>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</si>
  <si>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</si>
  <si>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</si>
  <si>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</si>
  <si>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</si>
  <si>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</si>
  <si>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</si>
  <si>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</si>
  <si>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</si>
  <si>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</si>
  <si>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</si>
  <si>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</si>
  <si>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</si>
  <si>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</si>
  <si>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</si>
  <si>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</si>
  <si>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</si>
  <si>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</si>
  <si>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</si>
  <si>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</si>
  <si>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</si>
  <si>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</si>
  <si>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</si>
  <si>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</si>
  <si>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</si>
  <si>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</si>
  <si>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</si>
  <si>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</si>
  <si>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</si>
  <si>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</si>
  <si>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</si>
  <si>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</si>
  <si>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</si>
  <si>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</si>
  <si>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</si>
  <si>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</si>
  <si>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</si>
  <si>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</si>
  <si>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</si>
  <si>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</si>
  <si>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</si>
  <si>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</si>
  <si>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</si>
  <si>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</si>
  <si>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</si>
  <si>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</si>
  <si>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</si>
  <si>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</si>
  <si>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</si>
  <si>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</si>
  <si>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</si>
  <si>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</si>
  <si>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</si>
  <si>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</si>
  <si>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</si>
  <si>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</si>
  <si>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</si>
  <si>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</si>
  <si>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</si>
  <si>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</si>
  <si>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</si>
  <si>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</si>
  <si>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</si>
  <si>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</si>
  <si>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</si>
  <si>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</si>
  <si>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</si>
  <si>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</si>
  <si>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</si>
  <si>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</si>
  <si>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</si>
  <si>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</si>
  <si>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</si>
  <si>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</si>
  <si>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</si>
  <si>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</si>
  <si>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</si>
  <si>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</si>
  <si>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</si>
  <si>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</si>
  <si>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</si>
  <si>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</si>
  <si>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</si>
  <si>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</si>
  <si>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</si>
  <si>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</si>
  <si>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</si>
  <si>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</si>
  <si>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</si>
  <si>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</si>
  <si>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</si>
  <si>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</si>
  <si>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</si>
  <si>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</si>
  <si>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</si>
  <si>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8052.25314</t>
  </si>
  <si>
    <t>542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</si>
  <si>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</si>
  <si>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</si>
  <si>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</si>
  <si>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</si>
  <si>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</si>
  <si>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</si>
  <si>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</si>
  <si>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</si>
  <si>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</si>
  <si>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</si>
  <si>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</si>
  <si>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</si>
  <si>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</si>
  <si>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20069.15269</t>
  </si>
  <si>
    <t>518</t>
  </si>
  <si>
    <t>ITEM-GWL-SERVICE-RC-02</t>
  </si>
  <si>
    <t>ITEM-GWL-SIMILAR-PL-02</t>
  </si>
  <si>
    <t>1</t>
  </si>
  <si>
    <t>20047.13933</t>
  </si>
  <si>
    <t>486</t>
  </si>
  <si>
    <t>ITEM-GWL-SERVICE-PL-02</t>
  </si>
  <si>
    <t>ITEM-GWL-DISSIMILAR-04</t>
  </si>
  <si>
    <t>KGS</t>
  </si>
  <si>
    <t>59375.9</t>
  </si>
  <si>
    <t>60109.36701</t>
  </si>
  <si>
    <t>240</t>
  </si>
  <si>
    <t>ITEM-GWL-DISSIMILAR-RC-04</t>
  </si>
  <si>
    <t>60311.33617</t>
  </si>
  <si>
    <t>230</t>
  </si>
  <si>
    <t>ITEM-GWL-DISSIMILAR-PL-04</t>
  </si>
  <si>
    <t>60261.1188</t>
  </si>
  <si>
    <t>232</t>
  </si>
  <si>
    <t>INS WH-1</t>
  </si>
  <si>
    <t>18387.625</t>
  </si>
  <si>
    <t>RM WH-49</t>
  </si>
  <si>
    <t>17536.37859</t>
  </si>
  <si>
    <t>505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</si>
  <si>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</si>
  <si>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</si>
  <si>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</si>
  <si>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</si>
  <si>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</si>
  <si>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</si>
  <si>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</si>
  <si>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</si>
  <si>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</si>
  <si>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</si>
  <si>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</si>
  <si>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</si>
  <si>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</si>
  <si>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</si>
  <si>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</si>
  <si>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</si>
  <si>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</si>
  <si>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</si>
  <si>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</si>
  <si>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</si>
  <si>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</si>
  <si>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</si>
  <si>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</si>
  <si>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</si>
  <si>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18386.8077</t>
  </si>
  <si>
    <t>208</t>
  </si>
  <si>
    <t>15</t>
  </si>
  <si>
    <t>41.515</t>
  </si>
  <si>
    <t>18386.79839</t>
  </si>
  <si>
    <t>218</t>
  </si>
  <si>
    <t>10</t>
  </si>
  <si>
    <t>55162.875</t>
  </si>
  <si>
    <t>55159.94917</t>
  </si>
  <si>
    <t>121</t>
  </si>
  <si>
    <t>55159.98837</t>
  </si>
  <si>
    <t>101</t>
  </si>
  <si>
    <t>55159.96071</t>
  </si>
  <si>
    <t>98</t>
  </si>
  <si>
    <t>507</t>
  </si>
  <si>
    <t>17539.73656</t>
  </si>
  <si>
    <t>544</t>
  </si>
  <si>
    <t>8051.75552</t>
  </si>
  <si>
    <t>520</t>
  </si>
  <si>
    <t>20068.08768</t>
  </si>
  <si>
    <t>488</t>
  </si>
  <si>
    <t>20046.0947</t>
  </si>
  <si>
    <t>241</t>
  </si>
  <si>
    <t>60106.32358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</si>
</sst>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H6" workbookViewId="0">
      <selection activeCell="P18" sqref="P18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 s="0">
        <v>113</v>
      </c>
      <c r="AV23" t="s" s="0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 s="0">
        <v>200</v>
      </c>
      <c r="BN23" t="s" s="0">
        <v>199</v>
      </c>
      <c r="BO23" s="121">
        <f>ROUND((((AW23*AZ23)+(BN23*BM23))/(AW23+BN23)),5)</f>
        <v>8051.75552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M9" workbookViewId="0">
      <selection activeCell="Q27" sqref="Q27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O9" workbookViewId="0">
      <selection activeCell="U23" sqref="U23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 s="0">
        <v>202</v>
      </c>
      <c r="BN23" t="s" s="0">
        <v>201</v>
      </c>
      <c r="BO23" s="104">
        <f>ROUND((((AW23*AZ23)+(BN23*BM23))/(AW23+BN23)),5)</f>
        <v>20068.08768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O12" workbookViewId="0">
      <selection activeCell="U29" sqref="U29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137</v>
      </c>
      <c r="C23" s="44" t="s">
        <v>137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Q9" workbookViewId="0">
      <selection activeCell="W27" sqref="W27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88" t="s">
        <v>138</v>
      </c>
      <c r="C23" s="88" t="s">
        <v>138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139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204</v>
      </c>
      <c r="BN23" t="s" s="0">
        <v>203</v>
      </c>
      <c r="BO23" s="104">
        <f>ROUND((((AW23*AZ23)+(BN23*BM23))/(AW23+BN23)),5)</f>
        <v>20046.0947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R15" workbookViewId="0">
      <selection activeCell="W30" sqref="W30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88" t="s">
        <v>142</v>
      </c>
      <c r="C23" s="88" t="s">
        <v>142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139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L6" workbookViewId="0">
      <selection activeCell="S18" sqref="S18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143</v>
      </c>
      <c r="C23" s="44" t="s">
        <v>143</v>
      </c>
      <c r="D23" s="88" t="s">
        <v>12</v>
      </c>
      <c r="E23" s="88" t="s">
        <v>144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145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206</v>
      </c>
      <c r="BN23" t="s" s="0">
        <v>205</v>
      </c>
      <c r="BO23" s="104">
        <f>ROUND((((AW23*AZ23)+(BN23*BM23))/(AW23+BN23)),5)</f>
        <v>60106.32358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P9" workbookViewId="0">
      <selection activeCell="U26" sqref="U26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148</v>
      </c>
      <c r="C23" s="44" t="s">
        <v>148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145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149</v>
      </c>
      <c r="BN23" t="s" s="0">
        <v>150</v>
      </c>
      <c r="BO23" s="104">
        <f>ROUND((((AW23*AZ23)+(BN23*BM23))/(AW23+BN23)),5)</f>
        <v>60307.28666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Q26" sqref="Q26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21" t="s">
        <v>151</v>
      </c>
      <c r="C23" s="21" t="s">
        <v>151</v>
      </c>
      <c r="D23" s="88" t="s">
        <v>12</v>
      </c>
      <c r="E23" s="88" t="s">
        <v>12</v>
      </c>
      <c r="F23" s="103">
        <v>3</v>
      </c>
      <c r="G23" s="0">
        <v>250</v>
      </c>
      <c r="H23" s="104">
        <f>F23*G23</f>
        <v>750</v>
      </c>
      <c r="I23" t="s" s="0">
        <v>139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145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152</v>
      </c>
      <c r="BN23" t="s" s="0">
        <v>153</v>
      </c>
      <c r="BO23" s="104">
        <f>ROUND((((AW23*AZ23)+(BN23*BM23))/(AW23+BN23)),5)</f>
        <v>60257.31958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N1" workbookViewId="0">
      <selection activeCell="V10" sqref="V10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34" style="1" width="9.85714285714286"/>
    <col min="35" max="35" style="1" width="11.4285714285714"/>
    <col min="36" max="38" style="1" width="9.85714285714286"/>
    <col min="39" max="39" customWidth="true" style="1" width="17.4285714285714"/>
    <col min="40" max="43" style="1" width="9.85714285714286"/>
    <col min="44" max="44" customWidth="true" style="1" width="25.7142857142857"/>
    <col min="45" max="49" style="1" width="9.85714285714286"/>
    <col min="50" max="50" customWidth="true" style="1" width="16.7142857142857"/>
    <col min="5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8" t="s">
        <v>12</v>
      </c>
      <c r="AU4" t="s" s="1">
        <v>113</v>
      </c>
      <c r="AV4" t="s" s="1">
        <v>155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156</v>
      </c>
      <c r="BM4" t="s" s="1">
        <v>198</v>
      </c>
      <c r="BN4" t="s" s="1">
        <v>197</v>
      </c>
      <c r="BO4" s="28">
        <f>ROUND((((AW4*AZ4)+(BN4*BM4))/(AW4+BN4)),5)</f>
        <v>17539.73321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G1" workbookViewId="0">
      <selection activeCell="U11" sqref="U11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23" t="s">
        <v>161</v>
      </c>
      <c r="AV4" s="23" t="s">
        <v>162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23" t="s">
        <v>162</v>
      </c>
      <c r="BN4" s="23" t="s">
        <v>163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164</v>
      </c>
      <c r="H7" s="55"/>
      <c r="I7" s="56">
        <f>H5</f>
        <v>500</v>
      </c>
      <c r="J7" s="56"/>
      <c r="K7" s="5"/>
      <c r="L7" s="5"/>
      <c r="M7" s="57" t="s">
        <v>165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166</v>
      </c>
      <c r="BI7" s="147" t="s">
        <v>167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168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169</v>
      </c>
      <c r="BI8" s="147" t="s">
        <v>170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171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172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173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144</v>
      </c>
      <c r="O10" s="20">
        <v>0.001</v>
      </c>
      <c r="P10" s="20" t="s">
        <v>174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175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176</v>
      </c>
      <c r="BN12" s="5" t="s">
        <v>177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178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179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180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181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W11" sqref="W11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8" style="1" width="8.71428571428571"/>
    <col min="19" max="19" style="1" width="9.28571428571429"/>
    <col min="20" max="20" customWidth="true" style="1" width="10.1428571428571"/>
    <col min="21" max="28" style="1" width="8.71428571428571"/>
    <col min="29" max="29" style="1" width="9.28571428571429"/>
    <col min="30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182</v>
      </c>
      <c r="H4" s="22">
        <f>F4*G4</f>
        <v>500</v>
      </c>
      <c r="I4" s="1" t="s">
        <v>139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1" t="s">
        <v>113</v>
      </c>
      <c r="AV4" s="1" t="s">
        <v>155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183</v>
      </c>
      <c r="BN4" s="1" t="s">
        <v>184</v>
      </c>
      <c r="BO4" s="28">
        <f>ROUND((((AW4*AZ4)+(BN4*BM4))/(AW4+BN4)),5)</f>
        <v>18386.80739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W14" sqref="W14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137</v>
      </c>
      <c r="C4" s="44" t="s">
        <v>137</v>
      </c>
      <c r="D4" s="20" t="s">
        <v>12</v>
      </c>
      <c r="E4" s="20" t="s">
        <v>12</v>
      </c>
      <c r="F4" s="22">
        <v>2</v>
      </c>
      <c r="G4" s="1" t="s">
        <v>182</v>
      </c>
      <c r="H4" s="22">
        <f>F4*G4</f>
        <v>500</v>
      </c>
      <c r="I4" s="1" t="s">
        <v>139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23" t="s">
        <v>185</v>
      </c>
      <c r="AV4" s="23" t="s">
        <v>186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23" t="s">
        <v>186</v>
      </c>
      <c r="BN4" s="23" t="s">
        <v>163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V11" sqref="V11:V12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34" style="1" width="8.71428571428571"/>
    <col min="35" max="35" style="1" width="11.4285714285714"/>
    <col min="36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138</v>
      </c>
      <c r="C4" s="20" t="s">
        <v>138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1" t="s">
        <v>113</v>
      </c>
      <c r="AV4" s="1" t="s">
        <v>155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187</v>
      </c>
      <c r="BN4" s="1" t="s">
        <v>188</v>
      </c>
      <c r="BO4" s="28">
        <f>ROUND((((AW4*AZ4)+(BN4*BM4))/(AW4+BN4)),5)</f>
        <v>18386.79818</v>
      </c>
      <c r="BP4" s="34">
        <f>BN4+AW4</f>
        <v>1107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style="23" width="8.85714285714286"/>
    <col min="2" max="2" customWidth="true" style="23" width="28.0"/>
    <col min="3" max="3" customWidth="true" style="23" width="23.0"/>
    <col min="4" max="11" style="23" width="8.85714285714286"/>
    <col min="12" max="12" customWidth="true" style="23" width="15.7142857142857"/>
    <col min="13" max="13" customWidth="true" style="23" width="9.14285714285714"/>
    <col min="14" max="14" customWidth="true" style="23" width="13.8571428571429"/>
    <col min="15" max="15" customWidth="true" style="23" width="11.2857142857143"/>
    <col min="16" max="16" customWidth="true" style="23" width="17.8571428571429"/>
    <col min="17" max="18" style="23" width="8.85714285714286"/>
    <col min="19" max="19" style="23" width="9.28571428571429"/>
    <col min="20" max="20" customWidth="true" style="23" width="10.1428571428571"/>
    <col min="21" max="51" style="23" width="8.85714285714286"/>
    <col min="52" max="52" style="23" width="10.7142857142857"/>
    <col min="53" max="63" style="23" width="8.85714285714286"/>
    <col min="64" max="64" customWidth="true" style="23" width="11.0"/>
    <col min="65" max="66" style="23" width="8.85714285714286"/>
    <col min="67" max="67" style="23" width="10.7142857142857"/>
    <col min="68" max="16384" style="23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142</v>
      </c>
      <c r="C4" s="20" t="s">
        <v>142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23" t="s">
        <v>189</v>
      </c>
      <c r="AV4" s="23" t="s">
        <v>186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23" t="s">
        <v>186</v>
      </c>
      <c r="BN4" s="23" t="s">
        <v>163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164</v>
      </c>
      <c r="H7" s="55"/>
      <c r="I7" s="56">
        <f>H5</f>
        <v>500</v>
      </c>
      <c r="J7" s="56"/>
      <c r="K7" s="5"/>
      <c r="L7" s="5"/>
      <c r="M7" s="57" t="s">
        <v>165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166</v>
      </c>
      <c r="BI7" s="147" t="s">
        <v>167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168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169</v>
      </c>
      <c r="BI8" s="147" t="s">
        <v>170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171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172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173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144</v>
      </c>
      <c r="O10" s="20">
        <v>0.001</v>
      </c>
      <c r="P10" s="20" t="s">
        <v>174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175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176</v>
      </c>
      <c r="BN12" s="5" t="s">
        <v>177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178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179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180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181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W12" sqref="W12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143</v>
      </c>
      <c r="C4" s="20" t="s">
        <v>143</v>
      </c>
      <c r="D4" s="20" t="s">
        <v>12</v>
      </c>
      <c r="E4" s="20" t="s">
        <v>144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154</v>
      </c>
      <c r="AT4" s="28" t="s">
        <v>12</v>
      </c>
      <c r="AU4" s="1" t="s">
        <v>113</v>
      </c>
      <c r="AV4" s="1" t="s">
        <v>190</v>
      </c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156</v>
      </c>
      <c r="BM4" s="1" t="s">
        <v>191</v>
      </c>
      <c r="BN4" s="1" t="s">
        <v>192</v>
      </c>
      <c r="BO4" s="28">
        <f>ROUND((((AW4*AZ4)+(BN4*BM4))/(AW4+BN4)),5)</f>
        <v>55159.94877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H1" workbookViewId="0">
      <selection activeCell="U11" sqref="U11"/>
    </sheetView>
  </sheetViews>
  <sheetFormatPr defaultColWidth="8.71428571428571" defaultRowHeight="15" outlineLevelRow="4"/>
  <cols>
    <col min="1" max="1" style="1" width="8.71428571428571"/>
    <col min="2" max="3" customWidth="true" style="1" width="26.5428571428571"/>
    <col min="4" max="18" style="1" width="8.71428571428571"/>
    <col min="19" max="19" style="1" width="9.28571428571429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148</v>
      </c>
      <c r="C4" s="44" t="s">
        <v>148</v>
      </c>
      <c r="D4" s="20" t="s">
        <v>12</v>
      </c>
      <c r="E4" s="20" t="s">
        <v>144</v>
      </c>
      <c r="F4" s="22">
        <v>3</v>
      </c>
      <c r="G4" s="1" t="s">
        <v>182</v>
      </c>
      <c r="H4" s="22">
        <f>F4*G4</f>
        <v>750</v>
      </c>
      <c r="I4" s="1" t="s">
        <v>139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154</v>
      </c>
      <c r="AT4" s="28" t="s">
        <v>12</v>
      </c>
      <c r="AU4" s="1" t="s">
        <v>113</v>
      </c>
      <c r="AV4" s="1" t="s">
        <v>190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193</v>
      </c>
      <c r="BN4" s="1" t="s">
        <v>194</v>
      </c>
      <c r="BO4" s="28">
        <f>ROUND((((AW4*AZ4)+(BN4*BM4))/(AW4+BN4)),5)</f>
        <v>55159.9875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E1" workbookViewId="0">
      <selection activeCell="N11" sqref="N11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1" t="s">
        <v>151</v>
      </c>
      <c r="C4" s="21" t="s">
        <v>151</v>
      </c>
      <c r="D4" s="20" t="s">
        <v>12</v>
      </c>
      <c r="E4" s="20" t="s">
        <v>144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154</v>
      </c>
      <c r="AT4" s="28" t="s">
        <v>12</v>
      </c>
      <c r="AU4" s="1" t="s">
        <v>113</v>
      </c>
      <c r="AV4" s="1" t="s">
        <v>190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195</v>
      </c>
      <c r="BN4" s="1" t="s">
        <v>196</v>
      </c>
      <c r="BO4" s="28">
        <f>ROUND((((AW4*AZ4)+(BN4*BM4))/(AW4+BN4)),5)</f>
        <v>55159.9601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2026-09-17T11:18:09Z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