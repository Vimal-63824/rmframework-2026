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6915" firstSheet="11" activeTab="15"/>
  </bookViews>
  <sheets>
    <sheet name="DirectGrnGenUD" sheetId="38" r:id="rId1"/>
    <sheet name="DirectGrnGenUDMulti" sheetId="39" r:id="rId2"/>
    <sheet name="DirectGrnGenUDMulti50" sheetId="40" r:id="rId3"/>
    <sheet name="DirectGrnGenUD50" sheetId="41" r:id="rId4"/>
    <sheet name="DirectGrnGenUDMultiIMP" sheetId="42" r:id="rId5"/>
    <sheet name="DirectGrnGenUDIMP" sheetId="43" r:id="rId6"/>
    <sheet name="Sheet1" sheetId="5" r:id="rId7"/>
    <sheet name="GateEntry" sheetId="27" r:id="rId8"/>
    <sheet name="PurchaseBillSerIGST" sheetId="37" r:id="rId9"/>
    <sheet name="PurchaseBill" sheetId="28" r:id="rId10"/>
    <sheet name="PurchaseBillGRNIGST" sheetId="36" r:id="rId11"/>
    <sheet name="PurchaseBillGRN" sheetId="29" r:id="rId12"/>
    <sheet name="DirectGrnMatUDD" sheetId="7" r:id="rId13"/>
    <sheet name="DirectGrnService" sheetId="3" r:id="rId14"/>
    <sheet name="DirectGrnRateContract" sheetId="4" r:id="rId15"/>
    <sheet name="DirectGrnServiceRateContract" sheetId="8" r:id="rId16"/>
    <sheet name="DirectGrnPriceList" sheetId="9" r:id="rId17"/>
    <sheet name="DirectGrnServicePriceList" sheetId="10" r:id="rId18"/>
    <sheet name="DirectGrnGenUDWOI" sheetId="11" r:id="rId19"/>
    <sheet name="DirectGrnMatUDDWOI" sheetId="12" r:id="rId20"/>
    <sheet name="DirectGrnServiceWOI" sheetId="13" r:id="rId21"/>
    <sheet name="DirectGrnRateContractWOI" sheetId="14" r:id="rId22"/>
    <sheet name="DirectGrnServiceRateContractWOI" sheetId="15" r:id="rId23"/>
    <sheet name="DirectGrnPriceListWOI" sheetId="16" r:id="rId24"/>
    <sheet name="DirectGrnServicePriceListWOI" sheetId="17" r:id="rId25"/>
    <sheet name="DIfUOMDirectGrnGenUD" sheetId="18" r:id="rId26"/>
    <sheet name="DIfUOMDirectMatUD" sheetId="19" r:id="rId27"/>
    <sheet name="DIfUOMDirectSerUD" sheetId="20" r:id="rId28"/>
    <sheet name="DIFUOMDirectGrnRateContract" sheetId="21" r:id="rId29"/>
    <sheet name="DIFUOMDirectGrnMatRateContract" sheetId="22" r:id="rId30"/>
    <sheet name="DIFUOMDirectGrnSerRateContract" sheetId="23" r:id="rId31"/>
    <sheet name="DIFUOMDirectGrnPriceList" sheetId="24" r:id="rId32"/>
    <sheet name="DIFUOMDirectGrnMatPriceList" sheetId="25" r:id="rId33"/>
    <sheet name="DIFUOMDirectGrnSerPriceList" sheetId="26" r:id="rId34"/>
  </sheets>
  <externalReferences>
    <externalReference r:id="rId35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3" i="8"/>
  <c r="AJ23"/>
  <c r="AI23"/>
  <c r="AH23"/>
  <c r="AG23"/>
  <c r="AE23"/>
  <c r="AC23"/>
  <c r="AA23"/>
  <c r="Y23"/>
  <c r="X23"/>
  <c r="W23"/>
  <c r="V23"/>
  <c r="H23" i="18"/>
  <c r="BO23"/>
  <c r="AK23" i="10"/>
  <c r="AJ23"/>
  <c r="AI23"/>
  <c r="AH23"/>
  <c r="AG23"/>
  <c r="AE23"/>
  <c r="AC23"/>
  <c r="AA23"/>
  <c r="Y23"/>
  <c r="X23"/>
  <c r="W23"/>
  <c r="V23"/>
  <c r="AK23" i="20"/>
  <c r="AJ23"/>
  <c r="AI23"/>
  <c r="AH23"/>
  <c r="AG23"/>
  <c r="AE23"/>
  <c r="AC23"/>
  <c r="AA23"/>
  <c r="Y23"/>
  <c r="X23"/>
  <c r="W23"/>
  <c r="V23"/>
  <c r="AK23" i="17"/>
  <c r="AJ23"/>
  <c r="AI23"/>
  <c r="AH23"/>
  <c r="AG23"/>
  <c r="AE23"/>
  <c r="AC23"/>
  <c r="AA23"/>
  <c r="Y23"/>
  <c r="X23"/>
  <c r="W23"/>
  <c r="V23"/>
  <c r="AK23" i="15"/>
  <c r="AJ23"/>
  <c r="AI23"/>
  <c r="AH23"/>
  <c r="AG23"/>
  <c r="AE23"/>
  <c r="AC23"/>
  <c r="AA23"/>
  <c r="Y23"/>
  <c r="X23"/>
  <c r="W23"/>
  <c r="V23"/>
  <c r="AK23" i="13"/>
  <c r="AJ23"/>
  <c r="AI23"/>
  <c r="AH23"/>
  <c r="AG23"/>
  <c r="AE23"/>
  <c r="AC23"/>
  <c r="AA23"/>
  <c r="Y23"/>
  <c r="X23"/>
  <c r="W23"/>
  <c r="V23"/>
  <c r="AK23" i="26"/>
  <c r="AJ23"/>
  <c r="AI23"/>
  <c r="AH23"/>
  <c r="AG23"/>
  <c r="AE23"/>
  <c r="AC23"/>
  <c r="AA23"/>
  <c r="Y23"/>
  <c r="X23"/>
  <c r="W23"/>
  <c r="H23"/>
  <c r="V23"/>
  <c r="V23" i="23"/>
  <c r="AK23"/>
  <c r="AJ23"/>
  <c r="AI23"/>
  <c r="AH23"/>
  <c r="AG23"/>
  <c r="AE23"/>
  <c r="AC23"/>
  <c r="AA23"/>
  <c r="Y23"/>
  <c r="X23"/>
  <c r="W23"/>
  <c r="H4" i="43"/>
  <c r="H5"/>
  <c r="H6"/>
  <c r="H7"/>
  <c r="H8"/>
  <c r="H9"/>
  <c r="H10"/>
  <c r="H11"/>
  <c r="H12"/>
  <c r="H13"/>
  <c r="H14"/>
  <c r="H15"/>
  <c r="H16"/>
  <c r="H17"/>
  <c r="H18"/>
  <c r="H19"/>
  <c r="H23"/>
  <c r="L23"/>
  <c r="M23" s="1"/>
  <c r="V23"/>
  <c r="AB23" s="1"/>
  <c r="AB24" s="1"/>
  <c r="W23"/>
  <c r="X23"/>
  <c r="X24" s="1"/>
  <c r="Y23"/>
  <c r="AA23"/>
  <c r="AJ23"/>
  <c r="AM23"/>
  <c r="AO23"/>
  <c r="AW23"/>
  <c r="AY23"/>
  <c r="H24"/>
  <c r="W24"/>
  <c r="AD24"/>
  <c r="AJ24"/>
  <c r="H4" i="42"/>
  <c r="H19" s="1"/>
  <c r="H5"/>
  <c r="H6"/>
  <c r="H7"/>
  <c r="H8"/>
  <c r="H9"/>
  <c r="H10"/>
  <c r="H11"/>
  <c r="H12"/>
  <c r="H13"/>
  <c r="H14"/>
  <c r="H15"/>
  <c r="H16"/>
  <c r="H17"/>
  <c r="H18"/>
  <c r="H23"/>
  <c r="V23"/>
  <c r="AB23" s="1"/>
  <c r="W23"/>
  <c r="X23"/>
  <c r="Y23"/>
  <c r="AA23"/>
  <c r="AJ23"/>
  <c r="AJ25" s="1"/>
  <c r="AM23"/>
  <c r="AW23" s="1"/>
  <c r="H24"/>
  <c r="L24" s="1"/>
  <c r="M24" s="1"/>
  <c r="V24"/>
  <c r="W24"/>
  <c r="X24"/>
  <c r="Y24"/>
  <c r="AJ24"/>
  <c r="AM24"/>
  <c r="AO24"/>
  <c r="AW24"/>
  <c r="V25"/>
  <c r="W25"/>
  <c r="X25"/>
  <c r="AD25"/>
  <c r="H4" i="41"/>
  <c r="H19" s="1"/>
  <c r="H5"/>
  <c r="H6"/>
  <c r="H7"/>
  <c r="H8"/>
  <c r="H9"/>
  <c r="H10"/>
  <c r="H11"/>
  <c r="H12"/>
  <c r="H13"/>
  <c r="H14"/>
  <c r="H15"/>
  <c r="H16"/>
  <c r="H17"/>
  <c r="H18"/>
  <c r="H23"/>
  <c r="X23"/>
  <c r="Y23"/>
  <c r="AK23"/>
  <c r="AK24" s="1"/>
  <c r="AM23"/>
  <c r="AP23"/>
  <c r="AW23"/>
  <c r="AY23"/>
  <c r="BP23"/>
  <c r="X24"/>
  <c r="AD24"/>
  <c r="H4" i="40"/>
  <c r="H19" s="1"/>
  <c r="H5"/>
  <c r="H6"/>
  <c r="H7"/>
  <c r="H8"/>
  <c r="H9"/>
  <c r="H10"/>
  <c r="H11"/>
  <c r="H12"/>
  <c r="H13"/>
  <c r="H14"/>
  <c r="H15"/>
  <c r="H16"/>
  <c r="H17"/>
  <c r="H18"/>
  <c r="H23"/>
  <c r="X23"/>
  <c r="Y23"/>
  <c r="AK23"/>
  <c r="AP23" s="1"/>
  <c r="AM23"/>
  <c r="AW23"/>
  <c r="AY23"/>
  <c r="BP23"/>
  <c r="H24"/>
  <c r="L24" s="1"/>
  <c r="M24" s="1"/>
  <c r="X24"/>
  <c r="Y24"/>
  <c r="AK24"/>
  <c r="AM24"/>
  <c r="AP24"/>
  <c r="AW24"/>
  <c r="X25"/>
  <c r="AD25"/>
  <c r="AK25"/>
  <c r="H4" i="39"/>
  <c r="H5"/>
  <c r="H6"/>
  <c r="H7"/>
  <c r="H8"/>
  <c r="H9"/>
  <c r="H10"/>
  <c r="H11"/>
  <c r="H12"/>
  <c r="H13"/>
  <c r="H14"/>
  <c r="H15"/>
  <c r="H16"/>
  <c r="H17"/>
  <c r="H18"/>
  <c r="H19"/>
  <c r="H23"/>
  <c r="L23"/>
  <c r="M23" s="1"/>
  <c r="X23"/>
  <c r="Y23"/>
  <c r="AK23"/>
  <c r="AK25" s="1"/>
  <c r="AM23"/>
  <c r="AP23"/>
  <c r="AW23"/>
  <c r="AY23"/>
  <c r="H24"/>
  <c r="L24" s="1"/>
  <c r="M24" s="1"/>
  <c r="X24"/>
  <c r="Y24"/>
  <c r="AK24"/>
  <c r="AM24"/>
  <c r="AP24" s="1"/>
  <c r="X25"/>
  <c r="AD25"/>
  <c r="H4" i="38"/>
  <c r="H5"/>
  <c r="H6"/>
  <c r="H7"/>
  <c r="H8"/>
  <c r="H9"/>
  <c r="H10"/>
  <c r="H11"/>
  <c r="H12"/>
  <c r="H13"/>
  <c r="H14"/>
  <c r="H15"/>
  <c r="H16"/>
  <c r="H17"/>
  <c r="H18"/>
  <c r="H19"/>
  <c r="H23"/>
  <c r="L23"/>
  <c r="M23"/>
  <c r="N23" s="1"/>
  <c r="X23"/>
  <c r="Y23"/>
  <c r="AK23"/>
  <c r="AM23"/>
  <c r="AW23" s="1"/>
  <c r="AP23"/>
  <c r="BR23"/>
  <c r="H24"/>
  <c r="X24"/>
  <c r="AD24"/>
  <c r="AK24"/>
  <c r="CC23" i="29"/>
  <c r="CB23"/>
  <c r="CC24"/>
  <c r="CB24"/>
  <c r="BZ23" i="36"/>
  <c r="CA23"/>
  <c r="AD24" i="37"/>
  <c r="BR23"/>
  <c r="AM23"/>
  <c r="AW23" s="1"/>
  <c r="AK23"/>
  <c r="AP23" s="1"/>
  <c r="Y23"/>
  <c r="H23"/>
  <c r="L23" s="1"/>
  <c r="M23" s="1"/>
  <c r="H18"/>
  <c r="H17"/>
  <c r="H16"/>
  <c r="H15"/>
  <c r="H14"/>
  <c r="H13"/>
  <c r="H12"/>
  <c r="H11"/>
  <c r="H10"/>
  <c r="H9"/>
  <c r="H8"/>
  <c r="H7"/>
  <c r="H6"/>
  <c r="H5"/>
  <c r="H4"/>
  <c r="H19" s="1"/>
  <c r="AD24" i="36"/>
  <c r="BR23"/>
  <c r="AW23"/>
  <c r="AY23" s="1"/>
  <c r="AM23"/>
  <c r="AK23"/>
  <c r="AK24" s="1"/>
  <c r="Y23"/>
  <c r="W23"/>
  <c r="W24" s="1"/>
  <c r="V23"/>
  <c r="V24" s="1"/>
  <c r="L23"/>
  <c r="M23" s="1"/>
  <c r="H23"/>
  <c r="H18"/>
  <c r="H17"/>
  <c r="H16"/>
  <c r="H15"/>
  <c r="H14"/>
  <c r="H13"/>
  <c r="H12"/>
  <c r="H11"/>
  <c r="H10"/>
  <c r="H9"/>
  <c r="H8"/>
  <c r="H7"/>
  <c r="H6"/>
  <c r="H19" s="1"/>
  <c r="H5"/>
  <c r="H4"/>
  <c r="N23" i="43" l="1"/>
  <c r="V24"/>
  <c r="BP23"/>
  <c r="BP23" i="42"/>
  <c r="AY23"/>
  <c r="N24"/>
  <c r="AO23"/>
  <c r="BP24"/>
  <c r="L23"/>
  <c r="M23" s="1"/>
  <c r="H25"/>
  <c r="AY24"/>
  <c r="H24" i="41"/>
  <c r="L23"/>
  <c r="M23" s="1"/>
  <c r="N24" i="40"/>
  <c r="BP24"/>
  <c r="L23"/>
  <c r="M23" s="1"/>
  <c r="H25"/>
  <c r="AY24"/>
  <c r="N23" i="39"/>
  <c r="AW24"/>
  <c r="N24"/>
  <c r="BP23"/>
  <c r="H25"/>
  <c r="AY23" i="38"/>
  <c r="BP23"/>
  <c r="P23"/>
  <c r="Q23" s="1"/>
  <c r="O23"/>
  <c r="R23" s="1"/>
  <c r="N23" i="36"/>
  <c r="H24"/>
  <c r="AP23"/>
  <c r="AY23" i="37"/>
  <c r="BP23"/>
  <c r="AK24"/>
  <c r="N23"/>
  <c r="H24"/>
  <c r="BP23" i="36"/>
  <c r="O23" i="43" l="1"/>
  <c r="N23" i="42"/>
  <c r="O24"/>
  <c r="P24" s="1"/>
  <c r="Q24" s="1"/>
  <c r="N23" i="41"/>
  <c r="P24" i="40"/>
  <c r="Q24" s="1"/>
  <c r="O24"/>
  <c r="N23"/>
  <c r="P24" i="39"/>
  <c r="Q24" s="1"/>
  <c r="O24"/>
  <c r="AY24"/>
  <c r="BP24"/>
  <c r="P23"/>
  <c r="Q23" s="1"/>
  <c r="O23"/>
  <c r="R24" i="38"/>
  <c r="S23"/>
  <c r="O23" i="36"/>
  <c r="P23" s="1"/>
  <c r="Q23" s="1"/>
  <c r="O23" i="37"/>
  <c r="P23" i="43" l="1"/>
  <c r="Q23" s="1"/>
  <c r="R23" s="1"/>
  <c r="O23" i="42"/>
  <c r="R24"/>
  <c r="S24" s="1"/>
  <c r="O23" i="41"/>
  <c r="O23" i="40"/>
  <c r="P23" s="1"/>
  <c r="Q23" s="1"/>
  <c r="R24"/>
  <c r="S24" s="1"/>
  <c r="R24" i="39"/>
  <c r="S24" s="1"/>
  <c r="R23"/>
  <c r="AI23" i="38"/>
  <c r="W23"/>
  <c r="W24" s="1"/>
  <c r="V23"/>
  <c r="AA23"/>
  <c r="S24"/>
  <c r="AH23" s="1"/>
  <c r="AH24" s="1"/>
  <c r="R23" i="36"/>
  <c r="P23" i="37"/>
  <c r="Q23" s="1"/>
  <c r="R23" s="1"/>
  <c r="R24" i="43" l="1"/>
  <c r="S23"/>
  <c r="AA24" i="42"/>
  <c r="AB24" s="1"/>
  <c r="AB25" s="1"/>
  <c r="AC24"/>
  <c r="AI24"/>
  <c r="AN24" s="1"/>
  <c r="R23"/>
  <c r="P23"/>
  <c r="Q23" s="1"/>
  <c r="P23" i="41"/>
  <c r="Q23" s="1"/>
  <c r="R23" s="1"/>
  <c r="W24" i="40"/>
  <c r="AI24"/>
  <c r="AN24" s="1"/>
  <c r="V24"/>
  <c r="AA24"/>
  <c r="AC24"/>
  <c r="R23"/>
  <c r="V24" i="39"/>
  <c r="AB24" s="1"/>
  <c r="AA24"/>
  <c r="AC24"/>
  <c r="AI24"/>
  <c r="AN24" s="1"/>
  <c r="W24"/>
  <c r="S23"/>
  <c r="R25"/>
  <c r="AB23" i="38"/>
  <c r="V24"/>
  <c r="AN23"/>
  <c r="AI24"/>
  <c r="AG23"/>
  <c r="AE23"/>
  <c r="AE24" s="1"/>
  <c r="R24" i="36"/>
  <c r="S23"/>
  <c r="R24" i="37"/>
  <c r="S23"/>
  <c r="X23" s="1"/>
  <c r="X24" s="1"/>
  <c r="AH23" i="43" l="1"/>
  <c r="AH24" s="1"/>
  <c r="AC23"/>
  <c r="AC24" s="1"/>
  <c r="AI23"/>
  <c r="S24"/>
  <c r="AE23" s="1"/>
  <c r="R25" i="42"/>
  <c r="S23"/>
  <c r="R24" i="41"/>
  <c r="S23"/>
  <c r="R25" i="40"/>
  <c r="S23"/>
  <c r="AB24"/>
  <c r="AI23" i="39"/>
  <c r="W23"/>
  <c r="W25" s="1"/>
  <c r="AH23"/>
  <c r="AH25" s="1"/>
  <c r="V23"/>
  <c r="AA23"/>
  <c r="AG23"/>
  <c r="AE23"/>
  <c r="AE25" s="1"/>
  <c r="S25"/>
  <c r="AJ23" i="38"/>
  <c r="AG24"/>
  <c r="AB24"/>
  <c r="AC23"/>
  <c r="AC24" s="1"/>
  <c r="S24" i="36"/>
  <c r="AA23"/>
  <c r="X23"/>
  <c r="AI23"/>
  <c r="V23" i="37"/>
  <c r="W23"/>
  <c r="W24" s="1"/>
  <c r="AI23"/>
  <c r="S24"/>
  <c r="AH23" s="1"/>
  <c r="AH24" s="1"/>
  <c r="AA23"/>
  <c r="AE24" i="43" l="1"/>
  <c r="AN23"/>
  <c r="AI24"/>
  <c r="AG23"/>
  <c r="AG24" s="1"/>
  <c r="AC23" i="42"/>
  <c r="AC25" s="1"/>
  <c r="AI23"/>
  <c r="AG23"/>
  <c r="AG25" s="1"/>
  <c r="S25"/>
  <c r="AI23" i="41"/>
  <c r="S24"/>
  <c r="W23"/>
  <c r="W24" s="1"/>
  <c r="AH23"/>
  <c r="AH24" s="1"/>
  <c r="AE23"/>
  <c r="AE24" s="1"/>
  <c r="V23"/>
  <c r="AA23"/>
  <c r="AG23"/>
  <c r="AI23" i="40"/>
  <c r="AA23"/>
  <c r="W23"/>
  <c r="W25" s="1"/>
  <c r="V23"/>
  <c r="S25"/>
  <c r="AH23" s="1"/>
  <c r="AH25" s="1"/>
  <c r="AI25" i="39"/>
  <c r="AN23"/>
  <c r="AJ23"/>
  <c r="AG25"/>
  <c r="AE24"/>
  <c r="AG24"/>
  <c r="AJ24" s="1"/>
  <c r="AO24" s="1"/>
  <c r="AR24" s="1"/>
  <c r="AX24" s="1"/>
  <c r="AZ24" s="1"/>
  <c r="BO24" s="1"/>
  <c r="AH24"/>
  <c r="AB23"/>
  <c r="V25"/>
  <c r="AJ24" i="38"/>
  <c r="AO23"/>
  <c r="AR23" s="1"/>
  <c r="AX23" s="1"/>
  <c r="AZ23" s="1"/>
  <c r="BO23" s="1"/>
  <c r="AG23" i="37"/>
  <c r="AG24" s="1"/>
  <c r="AE23"/>
  <c r="AE24" s="1"/>
  <c r="AG23" i="36"/>
  <c r="AE23"/>
  <c r="AE24" s="1"/>
  <c r="AN23"/>
  <c r="AI24"/>
  <c r="AH23"/>
  <c r="AH24" s="1"/>
  <c r="AB23"/>
  <c r="X24"/>
  <c r="AI24" i="37"/>
  <c r="AN23"/>
  <c r="V24"/>
  <c r="AB23"/>
  <c r="AK23" i="43" l="1"/>
  <c r="AH24" i="42"/>
  <c r="AE24"/>
  <c r="AG24"/>
  <c r="AN23"/>
  <c r="AI25"/>
  <c r="AE23"/>
  <c r="AH23"/>
  <c r="AH25" s="1"/>
  <c r="AB23" i="41"/>
  <c r="V24"/>
  <c r="AG24"/>
  <c r="AJ23"/>
  <c r="AN23"/>
  <c r="AI24"/>
  <c r="AN23" i="40"/>
  <c r="AI25"/>
  <c r="AB23"/>
  <c r="V25"/>
  <c r="AE24"/>
  <c r="AG24"/>
  <c r="AJ24" s="1"/>
  <c r="AO24" s="1"/>
  <c r="AR24" s="1"/>
  <c r="AX24" s="1"/>
  <c r="AZ24" s="1"/>
  <c r="BO24" s="1"/>
  <c r="AH24"/>
  <c r="AE23"/>
  <c r="AE25" s="1"/>
  <c r="AG23"/>
  <c r="AO23" i="39"/>
  <c r="AJ25"/>
  <c r="AB25"/>
  <c r="AC23"/>
  <c r="AC25" s="1"/>
  <c r="AR23"/>
  <c r="AX23" s="1"/>
  <c r="AZ23" s="1"/>
  <c r="BO23" s="1"/>
  <c r="AJ23" i="37"/>
  <c r="AJ24" s="1"/>
  <c r="AJ23" i="36"/>
  <c r="AG24"/>
  <c r="AB24"/>
  <c r="AC23"/>
  <c r="AB24" i="37"/>
  <c r="AC23"/>
  <c r="AC24" s="1"/>
  <c r="AP23" i="43" l="1"/>
  <c r="AR23" s="1"/>
  <c r="AX23" s="1"/>
  <c r="AZ23" s="1"/>
  <c r="BO23" s="1"/>
  <c r="AK24"/>
  <c r="AE25" i="42"/>
  <c r="AK23"/>
  <c r="AK24"/>
  <c r="AP24" s="1"/>
  <c r="AR24" s="1"/>
  <c r="AX24" s="1"/>
  <c r="AZ24" s="1"/>
  <c r="BO24" s="1"/>
  <c r="AB24" i="41"/>
  <c r="AC23"/>
  <c r="AC24" s="1"/>
  <c r="AJ24"/>
  <c r="AO23"/>
  <c r="AR23"/>
  <c r="AX23" s="1"/>
  <c r="AZ23" s="1"/>
  <c r="BO23" s="1"/>
  <c r="AB25" i="40"/>
  <c r="AC23"/>
  <c r="AC25" s="1"/>
  <c r="AJ23"/>
  <c r="AG25"/>
  <c r="AO23" i="37"/>
  <c r="AR23" s="1"/>
  <c r="AX23" s="1"/>
  <c r="AZ23" s="1"/>
  <c r="BO23" s="1"/>
  <c r="AC24" i="36"/>
  <c r="AO23"/>
  <c r="AJ24"/>
  <c r="AK25" i="42" l="1"/>
  <c r="AP23"/>
  <c r="AR23" s="1"/>
  <c r="AX23" s="1"/>
  <c r="AZ23" s="1"/>
  <c r="BO23" s="1"/>
  <c r="AJ25" i="40"/>
  <c r="AO23"/>
  <c r="AR23" s="1"/>
  <c r="AX23" s="1"/>
  <c r="AZ23" s="1"/>
  <c r="BO23" s="1"/>
  <c r="AR23" i="36"/>
  <c r="AX23" s="1"/>
  <c r="AZ23" s="1"/>
  <c r="BO23" s="1"/>
  <c r="AM23" i="29"/>
  <c r="AW23" s="1"/>
  <c r="AK23"/>
  <c r="Y23"/>
  <c r="X23"/>
  <c r="X24" s="1"/>
  <c r="M23" i="28"/>
  <c r="L23"/>
  <c r="H23" i="29"/>
  <c r="L23" s="1"/>
  <c r="M23" s="1"/>
  <c r="BR23"/>
  <c r="H23" i="28"/>
  <c r="AY23"/>
  <c r="BP23"/>
  <c r="AD24" i="29"/>
  <c r="H18"/>
  <c r="H17"/>
  <c r="H16"/>
  <c r="H15"/>
  <c r="H14"/>
  <c r="H13"/>
  <c r="H12"/>
  <c r="H11"/>
  <c r="H10"/>
  <c r="H9"/>
  <c r="H8"/>
  <c r="H7"/>
  <c r="H6"/>
  <c r="H5"/>
  <c r="H4"/>
  <c r="H19" s="1"/>
  <c r="AD24" i="28"/>
  <c r="BR23"/>
  <c r="AM23"/>
  <c r="AW23" s="1"/>
  <c r="AK23"/>
  <c r="Y23"/>
  <c r="X23"/>
  <c r="X24" s="1"/>
  <c r="H24"/>
  <c r="H18"/>
  <c r="H17"/>
  <c r="H16"/>
  <c r="H15"/>
  <c r="H14"/>
  <c r="H13"/>
  <c r="H12"/>
  <c r="H11"/>
  <c r="H10"/>
  <c r="H9"/>
  <c r="H8"/>
  <c r="H7"/>
  <c r="H6"/>
  <c r="H5"/>
  <c r="H4"/>
  <c r="AJ23" i="19"/>
  <c r="AH23"/>
  <c r="AG23"/>
  <c r="AE23"/>
  <c r="AC23"/>
  <c r="AB23"/>
  <c r="AA23"/>
  <c r="Y23"/>
  <c r="X23"/>
  <c r="W23"/>
  <c r="V23"/>
  <c r="S23"/>
  <c r="R23"/>
  <c r="P23"/>
  <c r="N23"/>
  <c r="L23"/>
  <c r="H23"/>
  <c r="AD24" i="27"/>
  <c r="AM23"/>
  <c r="AW23" s="1"/>
  <c r="AK23"/>
  <c r="AP23" s="1"/>
  <c r="Y23"/>
  <c r="X23"/>
  <c r="X24" s="1"/>
  <c r="M23"/>
  <c r="N23" s="1"/>
  <c r="L23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BO23" i="21"/>
  <c r="BP23"/>
  <c r="BP23" i="18"/>
  <c r="BP23" i="23"/>
  <c r="BP23" i="24"/>
  <c r="BP23" i="25"/>
  <c r="AY23" i="21"/>
  <c r="AY23" i="24"/>
  <c r="AW23"/>
  <c r="AY23" i="25"/>
  <c r="BO23" i="4"/>
  <c r="AD24"/>
  <c r="AM23"/>
  <c r="AW23" s="1"/>
  <c r="AK23"/>
  <c r="AP23" s="1"/>
  <c r="Y23"/>
  <c r="X23"/>
  <c r="X24" s="1"/>
  <c r="M23"/>
  <c r="N23" s="1"/>
  <c r="L23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V23" i="7"/>
  <c r="AM23" i="5"/>
  <c r="AW23" s="1"/>
  <c r="AK23"/>
  <c r="AP23" s="1"/>
  <c r="Y23"/>
  <c r="X23"/>
  <c r="W23"/>
  <c r="V23"/>
  <c r="H23"/>
  <c r="L23" s="1"/>
  <c r="M23" s="1"/>
  <c r="AP22"/>
  <c r="AM22"/>
  <c r="AW22" s="1"/>
  <c r="AK22"/>
  <c r="Y22"/>
  <c r="X22"/>
  <c r="W22"/>
  <c r="V22"/>
  <c r="L22"/>
  <c r="M22" s="1"/>
  <c r="H22"/>
  <c r="BP21"/>
  <c r="AW21"/>
  <c r="AY21" s="1"/>
  <c r="AP21"/>
  <c r="AM21"/>
  <c r="AK21"/>
  <c r="Y21"/>
  <c r="X21"/>
  <c r="W21"/>
  <c r="V21"/>
  <c r="M21"/>
  <c r="L21"/>
  <c r="H21"/>
  <c r="N21" s="1"/>
  <c r="AW20"/>
  <c r="AY20" s="1"/>
  <c r="AP20"/>
  <c r="AM20"/>
  <c r="AK20"/>
  <c r="Y20"/>
  <c r="X20"/>
  <c r="W20"/>
  <c r="V20"/>
  <c r="M20"/>
  <c r="L20"/>
  <c r="H20"/>
  <c r="AM18"/>
  <c r="AW18" s="1"/>
  <c r="AK18"/>
  <c r="AP18" s="1"/>
  <c r="Y18"/>
  <c r="X18"/>
  <c r="H18"/>
  <c r="L18" s="1"/>
  <c r="M18" s="1"/>
  <c r="AM17"/>
  <c r="AW17" s="1"/>
  <c r="AK17"/>
  <c r="AP17" s="1"/>
  <c r="Y17"/>
  <c r="X17"/>
  <c r="H17"/>
  <c r="AM16"/>
  <c r="AW16" s="1"/>
  <c r="AK16"/>
  <c r="AP16" s="1"/>
  <c r="Y16"/>
  <c r="X16"/>
  <c r="H16"/>
  <c r="AD24" i="25"/>
  <c r="AM23"/>
  <c r="AW23" s="1"/>
  <c r="AK23"/>
  <c r="AP23" s="1"/>
  <c r="Y23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AM23" i="24"/>
  <c r="AK23"/>
  <c r="AP23" s="1"/>
  <c r="Y23"/>
  <c r="X23"/>
  <c r="X24" s="1"/>
  <c r="H23"/>
  <c r="L23" s="1"/>
  <c r="M23" s="1"/>
  <c r="H35" i="5"/>
  <c r="X35"/>
  <c r="Y35"/>
  <c r="AK35"/>
  <c r="AP35" s="1"/>
  <c r="AM35"/>
  <c r="AW35"/>
  <c r="AY35" s="1"/>
  <c r="BP35"/>
  <c r="H36"/>
  <c r="L36"/>
  <c r="M36" s="1"/>
  <c r="X36"/>
  <c r="Y36"/>
  <c r="AK36"/>
  <c r="AM36"/>
  <c r="AW36" s="1"/>
  <c r="H37"/>
  <c r="X37"/>
  <c r="Y37"/>
  <c r="AK37"/>
  <c r="AP37" s="1"/>
  <c r="AM37"/>
  <c r="AW37" s="1"/>
  <c r="H31"/>
  <c r="L31" s="1"/>
  <c r="M31" s="1"/>
  <c r="X31"/>
  <c r="Y31"/>
  <c r="AK31"/>
  <c r="AM31"/>
  <c r="AW31" s="1"/>
  <c r="AY31" s="1"/>
  <c r="H32"/>
  <c r="L32" s="1"/>
  <c r="M32" s="1"/>
  <c r="X32"/>
  <c r="Y32"/>
  <c r="AK32"/>
  <c r="AM32"/>
  <c r="AW32" s="1"/>
  <c r="H33"/>
  <c r="L33" s="1"/>
  <c r="M33" s="1"/>
  <c r="X33"/>
  <c r="Y33"/>
  <c r="AK33"/>
  <c r="AM33"/>
  <c r="AW33" s="1"/>
  <c r="AD24" i="26"/>
  <c r="H24"/>
  <c r="AM23"/>
  <c r="AW23" s="1"/>
  <c r="AP23"/>
  <c r="X24"/>
  <c r="M23"/>
  <c r="L23"/>
  <c r="H18"/>
  <c r="H17"/>
  <c r="H16"/>
  <c r="H15"/>
  <c r="H14"/>
  <c r="H13"/>
  <c r="H12"/>
  <c r="H11"/>
  <c r="H10"/>
  <c r="H9"/>
  <c r="H8"/>
  <c r="H7"/>
  <c r="H6"/>
  <c r="H5"/>
  <c r="H4"/>
  <c r="H19" s="1"/>
  <c r="AD24" i="24"/>
  <c r="H18"/>
  <c r="H17"/>
  <c r="H16"/>
  <c r="H15"/>
  <c r="H14"/>
  <c r="H13"/>
  <c r="H12"/>
  <c r="H11"/>
  <c r="H10"/>
  <c r="H9"/>
  <c r="H8"/>
  <c r="H7"/>
  <c r="H6"/>
  <c r="H5"/>
  <c r="H19" s="1"/>
  <c r="H4"/>
  <c r="AD24" i="23"/>
  <c r="AM23"/>
  <c r="AW23" s="1"/>
  <c r="AK24"/>
  <c r="X24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AD24" i="22"/>
  <c r="AM23"/>
  <c r="AW23" s="1"/>
  <c r="AY23" s="1"/>
  <c r="AK23"/>
  <c r="Y23"/>
  <c r="X23"/>
  <c r="X24" s="1"/>
  <c r="H23"/>
  <c r="H18"/>
  <c r="H17"/>
  <c r="H16"/>
  <c r="H15"/>
  <c r="H14"/>
  <c r="H13"/>
  <c r="H12"/>
  <c r="H11"/>
  <c r="H10"/>
  <c r="H9"/>
  <c r="H8"/>
  <c r="H7"/>
  <c r="H6"/>
  <c r="H5"/>
  <c r="H4"/>
  <c r="AD24" i="21"/>
  <c r="AM23"/>
  <c r="AW23" s="1"/>
  <c r="AK23"/>
  <c r="AP23" s="1"/>
  <c r="Y23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AD24" i="20"/>
  <c r="AM23"/>
  <c r="AW23" s="1"/>
  <c r="AP23"/>
  <c r="X24"/>
  <c r="H23"/>
  <c r="H18"/>
  <c r="H17"/>
  <c r="H16"/>
  <c r="H15"/>
  <c r="H14"/>
  <c r="H13"/>
  <c r="H12"/>
  <c r="H11"/>
  <c r="H19" s="1"/>
  <c r="H10"/>
  <c r="H9"/>
  <c r="H8"/>
  <c r="H7"/>
  <c r="H6"/>
  <c r="H5"/>
  <c r="H4"/>
  <c r="AD24" i="19"/>
  <c r="AM23"/>
  <c r="AN23" s="1"/>
  <c r="AK23"/>
  <c r="AK24" s="1"/>
  <c r="X24"/>
  <c r="H24"/>
  <c r="H18"/>
  <c r="H17"/>
  <c r="H16"/>
  <c r="H15"/>
  <c r="H14"/>
  <c r="H13"/>
  <c r="H12"/>
  <c r="H11"/>
  <c r="H10"/>
  <c r="H9"/>
  <c r="H8"/>
  <c r="H7"/>
  <c r="H6"/>
  <c r="H5"/>
  <c r="H4"/>
  <c r="AD24" i="18"/>
  <c r="AM23"/>
  <c r="AW23" s="1"/>
  <c r="AK23"/>
  <c r="Y23"/>
  <c r="X23"/>
  <c r="X24" s="1"/>
  <c r="L23"/>
  <c r="M23" s="1"/>
  <c r="N23" s="1"/>
  <c r="H24"/>
  <c r="H18"/>
  <c r="H17"/>
  <c r="H16"/>
  <c r="H15"/>
  <c r="H14"/>
  <c r="H13"/>
  <c r="H12"/>
  <c r="H11"/>
  <c r="H10"/>
  <c r="H9"/>
  <c r="H8"/>
  <c r="H7"/>
  <c r="H6"/>
  <c r="H5"/>
  <c r="H4"/>
  <c r="AD24" i="17"/>
  <c r="H24"/>
  <c r="AM23"/>
  <c r="AW23" s="1"/>
  <c r="AK24"/>
  <c r="X24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6"/>
  <c r="X24"/>
  <c r="AM23"/>
  <c r="AW23" s="1"/>
  <c r="AK23"/>
  <c r="AP23" s="1"/>
  <c r="Y23"/>
  <c r="X23"/>
  <c r="H23"/>
  <c r="H18"/>
  <c r="H17"/>
  <c r="H16"/>
  <c r="H15"/>
  <c r="H14"/>
  <c r="H13"/>
  <c r="H12"/>
  <c r="H11"/>
  <c r="H10"/>
  <c r="H9"/>
  <c r="H8"/>
  <c r="H7"/>
  <c r="H6"/>
  <c r="H5"/>
  <c r="H4"/>
  <c r="H19" s="1"/>
  <c r="AD24" i="15"/>
  <c r="H24"/>
  <c r="AM23"/>
  <c r="AW23" s="1"/>
  <c r="AK24"/>
  <c r="X24"/>
  <c r="L23"/>
  <c r="M23" s="1"/>
  <c r="H23"/>
  <c r="H18"/>
  <c r="H17"/>
  <c r="H16"/>
  <c r="H15"/>
  <c r="H14"/>
  <c r="H13"/>
  <c r="H12"/>
  <c r="H11"/>
  <c r="H10"/>
  <c r="H9"/>
  <c r="H8"/>
  <c r="H7"/>
  <c r="H6"/>
  <c r="H5"/>
  <c r="H4"/>
  <c r="H19" s="1"/>
  <c r="AD24" i="14"/>
  <c r="X24"/>
  <c r="AM23"/>
  <c r="AW23" s="1"/>
  <c r="AK23"/>
  <c r="AP23" s="1"/>
  <c r="Y23"/>
  <c r="X23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AD24" i="13"/>
  <c r="H24"/>
  <c r="AM23"/>
  <c r="AW23" s="1"/>
  <c r="AK24"/>
  <c r="X24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2"/>
  <c r="X24"/>
  <c r="H24"/>
  <c r="AM23"/>
  <c r="AW23" s="1"/>
  <c r="AK23"/>
  <c r="AK24" s="1"/>
  <c r="Y23"/>
  <c r="X23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1"/>
  <c r="X24"/>
  <c r="H24"/>
  <c r="AP23"/>
  <c r="AM23"/>
  <c r="AW23" s="1"/>
  <c r="AK23"/>
  <c r="AK24" s="1"/>
  <c r="Y23"/>
  <c r="X23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0"/>
  <c r="AW23"/>
  <c r="BP23" s="1"/>
  <c r="AM23"/>
  <c r="AP23"/>
  <c r="X24"/>
  <c r="H23"/>
  <c r="H18"/>
  <c r="H17"/>
  <c r="H16"/>
  <c r="H15"/>
  <c r="H14"/>
  <c r="H13"/>
  <c r="H12"/>
  <c r="H11"/>
  <c r="H10"/>
  <c r="H9"/>
  <c r="H8"/>
  <c r="H7"/>
  <c r="H6"/>
  <c r="H5"/>
  <c r="H4"/>
  <c r="H19" s="1"/>
  <c r="AD24" i="9"/>
  <c r="AM23"/>
  <c r="AW23" s="1"/>
  <c r="AY23" s="1"/>
  <c r="AK23"/>
  <c r="AK24" s="1"/>
  <c r="Y23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AD24" i="8"/>
  <c r="AM23"/>
  <c r="AW23" s="1"/>
  <c r="AP23"/>
  <c r="X24"/>
  <c r="H23"/>
  <c r="H18"/>
  <c r="H17"/>
  <c r="H16"/>
  <c r="H15"/>
  <c r="H14"/>
  <c r="H13"/>
  <c r="H12"/>
  <c r="H11"/>
  <c r="H10"/>
  <c r="H9"/>
  <c r="H8"/>
  <c r="H7"/>
  <c r="H6"/>
  <c r="H5"/>
  <c r="H4"/>
  <c r="H19" s="1"/>
  <c r="AM15" i="5"/>
  <c r="AW15" s="1"/>
  <c r="AK15"/>
  <c r="Y15"/>
  <c r="X15"/>
  <c r="W15"/>
  <c r="V15"/>
  <c r="H15"/>
  <c r="L15" s="1"/>
  <c r="M15" s="1"/>
  <c r="AM23" i="3"/>
  <c r="AW23" s="1"/>
  <c r="AK23"/>
  <c r="AP23" s="1"/>
  <c r="Y23"/>
  <c r="X23"/>
  <c r="X24" s="1"/>
  <c r="H23"/>
  <c r="L23" s="1"/>
  <c r="M23" s="1"/>
  <c r="AM9" i="5"/>
  <c r="AW9" s="1"/>
  <c r="AK9"/>
  <c r="AP9" s="1"/>
  <c r="AH9"/>
  <c r="AG9"/>
  <c r="AE9"/>
  <c r="Y9"/>
  <c r="X9"/>
  <c r="W9"/>
  <c r="V9"/>
  <c r="H9"/>
  <c r="L9" s="1"/>
  <c r="M9" s="1"/>
  <c r="AD24" i="7"/>
  <c r="AF24"/>
  <c r="AM23"/>
  <c r="AW23" s="1"/>
  <c r="AY23" s="1"/>
  <c r="AK23"/>
  <c r="AP23" s="1"/>
  <c r="Y23"/>
  <c r="X23"/>
  <c r="X24" s="1"/>
  <c r="H23"/>
  <c r="L23" s="1"/>
  <c r="M23" s="1"/>
  <c r="N23" s="1"/>
  <c r="O23" s="1"/>
  <c r="H18"/>
  <c r="H17"/>
  <c r="H16"/>
  <c r="H15"/>
  <c r="H14"/>
  <c r="H13"/>
  <c r="H12"/>
  <c r="H11"/>
  <c r="H10"/>
  <c r="H9"/>
  <c r="H8"/>
  <c r="H7"/>
  <c r="H6"/>
  <c r="H5"/>
  <c r="H4"/>
  <c r="AD24" i="3"/>
  <c r="H18"/>
  <c r="H17"/>
  <c r="H16"/>
  <c r="H15"/>
  <c r="H14"/>
  <c r="H13"/>
  <c r="H12"/>
  <c r="H11"/>
  <c r="H10"/>
  <c r="H9"/>
  <c r="H8"/>
  <c r="H7"/>
  <c r="H19" s="1"/>
  <c r="H6"/>
  <c r="H5"/>
  <c r="H4"/>
  <c r="L23" i="23" l="1"/>
  <c r="M23" s="1"/>
  <c r="N23" s="1"/>
  <c r="N23" i="28"/>
  <c r="BP23" i="22"/>
  <c r="AY23" i="29"/>
  <c r="BP23"/>
  <c r="AP23"/>
  <c r="N23"/>
  <c r="AK24"/>
  <c r="H24"/>
  <c r="AP23" i="15"/>
  <c r="AP23" i="28"/>
  <c r="H19"/>
  <c r="AK24"/>
  <c r="AW23" i="19"/>
  <c r="AP23"/>
  <c r="BP23" i="27"/>
  <c r="AY23"/>
  <c r="O23"/>
  <c r="P23" s="1"/>
  <c r="Q23" s="1"/>
  <c r="R23" s="1"/>
  <c r="AK24"/>
  <c r="AK24" i="24"/>
  <c r="L23" i="25"/>
  <c r="M23" s="1"/>
  <c r="N23" s="1"/>
  <c r="BP23" i="4"/>
  <c r="AY23"/>
  <c r="O23"/>
  <c r="P23" s="1"/>
  <c r="Q23" s="1"/>
  <c r="R23" s="1"/>
  <c r="AK24"/>
  <c r="AK24" i="10"/>
  <c r="AP23" i="23"/>
  <c r="AP23" i="17"/>
  <c r="BP22" i="5"/>
  <c r="AY22"/>
  <c r="O21"/>
  <c r="P21" s="1"/>
  <c r="BP23"/>
  <c r="AY23"/>
  <c r="N22"/>
  <c r="BP20"/>
  <c r="N20"/>
  <c r="N23"/>
  <c r="AP23" i="13"/>
  <c r="AY18" i="5"/>
  <c r="BP18"/>
  <c r="AY17"/>
  <c r="BP17"/>
  <c r="AY16"/>
  <c r="BP16"/>
  <c r="L17"/>
  <c r="M17" s="1"/>
  <c r="L16"/>
  <c r="M16" s="1"/>
  <c r="AK24" i="20"/>
  <c r="N18" i="5"/>
  <c r="AK24" i="25"/>
  <c r="H24" i="24"/>
  <c r="N23"/>
  <c r="AP23" i="18"/>
  <c r="N36" i="5"/>
  <c r="AY33"/>
  <c r="BP33"/>
  <c r="AY37"/>
  <c r="BP37"/>
  <c r="AY36"/>
  <c r="BP36"/>
  <c r="L35"/>
  <c r="M35" s="1"/>
  <c r="N35" s="1"/>
  <c r="AP36"/>
  <c r="AP33"/>
  <c r="L37"/>
  <c r="M37" s="1"/>
  <c r="AP32"/>
  <c r="AP31"/>
  <c r="N31"/>
  <c r="AY32"/>
  <c r="BP32"/>
  <c r="N32"/>
  <c r="BP31"/>
  <c r="N33"/>
  <c r="N15"/>
  <c r="O15" s="1"/>
  <c r="P15" s="1"/>
  <c r="Q15" s="1"/>
  <c r="AJ9"/>
  <c r="AO9" s="1"/>
  <c r="AP15"/>
  <c r="H19" i="21"/>
  <c r="AK24"/>
  <c r="AP23" i="22"/>
  <c r="H19"/>
  <c r="H19" i="19"/>
  <c r="H19" i="18"/>
  <c r="BP23" i="26"/>
  <c r="AY23"/>
  <c r="AK24"/>
  <c r="N23"/>
  <c r="AY23" i="23"/>
  <c r="H24" i="22"/>
  <c r="AK24"/>
  <c r="L23"/>
  <c r="M23" s="1"/>
  <c r="N23" s="1"/>
  <c r="L23" i="21"/>
  <c r="M23" s="1"/>
  <c r="BP23" i="20"/>
  <c r="AY23"/>
  <c r="L23"/>
  <c r="M23" s="1"/>
  <c r="H24"/>
  <c r="M23" i="19"/>
  <c r="AY23" i="18"/>
  <c r="O23"/>
  <c r="AK24"/>
  <c r="O23" i="17"/>
  <c r="P23" s="1"/>
  <c r="Q23" s="1"/>
  <c r="AY23"/>
  <c r="BP23"/>
  <c r="BP23" i="16"/>
  <c r="AY23"/>
  <c r="AK24"/>
  <c r="L23"/>
  <c r="M23" s="1"/>
  <c r="H24"/>
  <c r="N23" i="15"/>
  <c r="AY23"/>
  <c r="BP23"/>
  <c r="AY23" i="14"/>
  <c r="BP23"/>
  <c r="AK24"/>
  <c r="N23"/>
  <c r="L23"/>
  <c r="M23" s="1"/>
  <c r="AY23" i="13"/>
  <c r="BP23"/>
  <c r="O23"/>
  <c r="O23" i="12"/>
  <c r="P23" s="1"/>
  <c r="Q23" s="1"/>
  <c r="AY23"/>
  <c r="BP23"/>
  <c r="AP23"/>
  <c r="O23" i="11"/>
  <c r="P23" s="1"/>
  <c r="Q23" s="1"/>
  <c r="AY23"/>
  <c r="BP23"/>
  <c r="L23" i="10"/>
  <c r="M23" s="1"/>
  <c r="AY23"/>
  <c r="H24"/>
  <c r="H19" i="9"/>
  <c r="L23"/>
  <c r="M23" s="1"/>
  <c r="N23" s="1"/>
  <c r="O23" s="1"/>
  <c r="AP23"/>
  <c r="BP23"/>
  <c r="BP23" i="8"/>
  <c r="AY23"/>
  <c r="AK24"/>
  <c r="L23"/>
  <c r="M23" s="1"/>
  <c r="H24"/>
  <c r="AY15" i="5"/>
  <c r="BP15"/>
  <c r="N9"/>
  <c r="O9" s="1"/>
  <c r="P9" s="1"/>
  <c r="Q9" s="1"/>
  <c r="AY23" i="3"/>
  <c r="BP23"/>
  <c r="N23"/>
  <c r="AY9" i="5"/>
  <c r="BP9"/>
  <c r="AK24" i="7"/>
  <c r="H19"/>
  <c r="BP23"/>
  <c r="P23"/>
  <c r="Q23" s="1"/>
  <c r="R23" s="1"/>
  <c r="S23" s="1"/>
  <c r="H24"/>
  <c r="AK24" i="3"/>
  <c r="H24"/>
  <c r="O23" i="28" l="1"/>
  <c r="O23" i="29"/>
  <c r="P23" s="1"/>
  <c r="Q23" s="1"/>
  <c r="BP23" i="19"/>
  <c r="AY23"/>
  <c r="R24" i="27"/>
  <c r="S23"/>
  <c r="R24" i="4"/>
  <c r="S23"/>
  <c r="AG23" i="5"/>
  <c r="AJ23" s="1"/>
  <c r="AO23" s="1"/>
  <c r="AH22"/>
  <c r="AG21"/>
  <c r="AJ21" s="1"/>
  <c r="AO21" s="1"/>
  <c r="AG15"/>
  <c r="AG22"/>
  <c r="AH21"/>
  <c r="AH23"/>
  <c r="Q21"/>
  <c r="R21" s="1"/>
  <c r="S21" s="1"/>
  <c r="AE20"/>
  <c r="AE21"/>
  <c r="AG20"/>
  <c r="AJ20" s="1"/>
  <c r="AO20" s="1"/>
  <c r="AE15"/>
  <c r="AE22"/>
  <c r="AH20"/>
  <c r="AE23"/>
  <c r="AH15"/>
  <c r="O22"/>
  <c r="O23"/>
  <c r="O20"/>
  <c r="O18"/>
  <c r="P18" s="1"/>
  <c r="Q18" s="1"/>
  <c r="N16"/>
  <c r="N17"/>
  <c r="O23" i="25"/>
  <c r="O23" i="24"/>
  <c r="P23" s="1"/>
  <c r="Q23" s="1"/>
  <c r="P35" i="5"/>
  <c r="Q35" s="1"/>
  <c r="O35"/>
  <c r="P36"/>
  <c r="Q36" s="1"/>
  <c r="O36"/>
  <c r="N37"/>
  <c r="O32"/>
  <c r="P32" s="1"/>
  <c r="Q32" s="1"/>
  <c r="P31"/>
  <c r="Q31" s="1"/>
  <c r="O31"/>
  <c r="O33"/>
  <c r="P33" s="1"/>
  <c r="Q33" s="1"/>
  <c r="O23" i="26"/>
  <c r="O23" i="23"/>
  <c r="O23" i="22"/>
  <c r="P23" s="1"/>
  <c r="Q23" s="1"/>
  <c r="R23" s="1"/>
  <c r="N23" i="21"/>
  <c r="N23" i="20"/>
  <c r="O23" i="19"/>
  <c r="Q23" s="1"/>
  <c r="P23" i="18"/>
  <c r="Q23" s="1"/>
  <c r="R23" s="1"/>
  <c r="R23" i="17"/>
  <c r="N23" i="16"/>
  <c r="O23" i="15"/>
  <c r="O23" i="14"/>
  <c r="P23" s="1"/>
  <c r="Q23" s="1"/>
  <c r="R23" s="1"/>
  <c r="P23" i="13"/>
  <c r="Q23" s="1"/>
  <c r="R23" s="1"/>
  <c r="R23" i="12"/>
  <c r="R23" i="11"/>
  <c r="N23" i="10"/>
  <c r="P23" i="9"/>
  <c r="Q23" s="1"/>
  <c r="R23" s="1"/>
  <c r="N23" i="8"/>
  <c r="R15" i="5"/>
  <c r="S15" s="1"/>
  <c r="O23" i="3"/>
  <c r="R9" i="5"/>
  <c r="S9" s="1"/>
  <c r="AI23" i="7"/>
  <c r="AN23" s="1"/>
  <c r="AA23"/>
  <c r="W23"/>
  <c r="P23" i="28" l="1"/>
  <c r="Q23" s="1"/>
  <c r="R23" s="1"/>
  <c r="S23" s="1"/>
  <c r="R23" i="29"/>
  <c r="S23" s="1"/>
  <c r="AE23" i="27"/>
  <c r="AE24" s="1"/>
  <c r="AG23"/>
  <c r="W23"/>
  <c r="W24" s="1"/>
  <c r="AH23"/>
  <c r="AH24" s="1"/>
  <c r="S24"/>
  <c r="AI23"/>
  <c r="AA23"/>
  <c r="V23"/>
  <c r="AE23" i="4"/>
  <c r="AE24" s="1"/>
  <c r="AG23"/>
  <c r="AH23"/>
  <c r="AH24" s="1"/>
  <c r="S24"/>
  <c r="AI23"/>
  <c r="AA23"/>
  <c r="W23"/>
  <c r="W24" s="1"/>
  <c r="V23"/>
  <c r="AI21" i="5"/>
  <c r="AN21" s="1"/>
  <c r="AR21" s="1"/>
  <c r="AX21" s="1"/>
  <c r="AZ21" s="1"/>
  <c r="BO21" s="1"/>
  <c r="AA21"/>
  <c r="AB21" s="1"/>
  <c r="AC21"/>
  <c r="AJ15"/>
  <c r="AO15" s="1"/>
  <c r="P22"/>
  <c r="Q22" s="1"/>
  <c r="R22" s="1"/>
  <c r="S22" s="1"/>
  <c r="P23"/>
  <c r="Q23" s="1"/>
  <c r="R23" s="1"/>
  <c r="S23" s="1"/>
  <c r="AJ22"/>
  <c r="AO22" s="1"/>
  <c r="P20"/>
  <c r="Q20" s="1"/>
  <c r="R20" s="1"/>
  <c r="S20" s="1"/>
  <c r="R35"/>
  <c r="S35" s="1"/>
  <c r="V35" s="1"/>
  <c r="O16"/>
  <c r="P16"/>
  <c r="Q16" s="1"/>
  <c r="R18"/>
  <c r="S18" s="1"/>
  <c r="O17"/>
  <c r="P23" i="25"/>
  <c r="Q23" s="1"/>
  <c r="R23" s="1"/>
  <c r="R23" i="24"/>
  <c r="S23" s="1"/>
  <c r="P37" i="5"/>
  <c r="Q37" s="1"/>
  <c r="O37"/>
  <c r="R36"/>
  <c r="S36" s="1"/>
  <c r="R33"/>
  <c r="S33" s="1"/>
  <c r="R32"/>
  <c r="S32" s="1"/>
  <c r="R31"/>
  <c r="S31" s="1"/>
  <c r="P23" i="26"/>
  <c r="Q23" s="1"/>
  <c r="R23" s="1"/>
  <c r="P23" i="23"/>
  <c r="Q23" s="1"/>
  <c r="R23" s="1"/>
  <c r="R24" i="22"/>
  <c r="S23"/>
  <c r="O23" i="21"/>
  <c r="P23" s="1"/>
  <c r="Q23" s="1"/>
  <c r="O23" i="20"/>
  <c r="R24" i="18"/>
  <c r="S23"/>
  <c r="R24" i="17"/>
  <c r="S23"/>
  <c r="P23" i="16"/>
  <c r="Q23" s="1"/>
  <c r="O23"/>
  <c r="P23" i="15"/>
  <c r="Q23" s="1"/>
  <c r="R23" s="1"/>
  <c r="R24" i="14"/>
  <c r="S23"/>
  <c r="R24" i="13"/>
  <c r="S23"/>
  <c r="R24" i="12"/>
  <c r="S23"/>
  <c r="R24" i="11"/>
  <c r="S23"/>
  <c r="O23" i="10"/>
  <c r="P23" s="1"/>
  <c r="Q23" s="1"/>
  <c r="R24" i="9"/>
  <c r="S23"/>
  <c r="O23" i="8"/>
  <c r="P23" s="1"/>
  <c r="Q23" s="1"/>
  <c r="AI15" i="5"/>
  <c r="AN15" s="1"/>
  <c r="AR15" s="1"/>
  <c r="AX15" s="1"/>
  <c r="AZ15" s="1"/>
  <c r="BO15" s="1"/>
  <c r="AA15"/>
  <c r="AB15" s="1"/>
  <c r="AC15"/>
  <c r="P23" i="3"/>
  <c r="Q23" s="1"/>
  <c r="R23" s="1"/>
  <c r="S23" s="1"/>
  <c r="AI9" i="5"/>
  <c r="AN9" s="1"/>
  <c r="AR9" s="1"/>
  <c r="AX9" s="1"/>
  <c r="AZ9" s="1"/>
  <c r="BO9" s="1"/>
  <c r="AA9"/>
  <c r="AB9" s="1"/>
  <c r="AC9"/>
  <c r="AB23" i="7"/>
  <c r="AC23" s="1"/>
  <c r="AC24" s="1"/>
  <c r="V23" i="29" l="1"/>
  <c r="W23"/>
  <c r="AI23"/>
  <c r="AA23"/>
  <c r="R24" i="28"/>
  <c r="AG24" i="27"/>
  <c r="AJ23"/>
  <c r="AI24"/>
  <c r="AN23"/>
  <c r="V24"/>
  <c r="AB23"/>
  <c r="V24" i="4"/>
  <c r="AB23"/>
  <c r="AG24"/>
  <c r="AJ23"/>
  <c r="AI24"/>
  <c r="AN23"/>
  <c r="AA20" i="5"/>
  <c r="AB20" s="1"/>
  <c r="AI20"/>
  <c r="AN20" s="1"/>
  <c r="AR20" s="1"/>
  <c r="AX20" s="1"/>
  <c r="AZ20" s="1"/>
  <c r="BO20" s="1"/>
  <c r="AI22"/>
  <c r="AN22" s="1"/>
  <c r="AR22" s="1"/>
  <c r="AX22" s="1"/>
  <c r="AZ22" s="1"/>
  <c r="BO22" s="1"/>
  <c r="AA22"/>
  <c r="AB22" s="1"/>
  <c r="AC22"/>
  <c r="AI23"/>
  <c r="AN23" s="1"/>
  <c r="AR23" s="1"/>
  <c r="AX23" s="1"/>
  <c r="AZ23" s="1"/>
  <c r="BO23" s="1"/>
  <c r="AA23"/>
  <c r="AB23" s="1"/>
  <c r="AC23"/>
  <c r="AC35"/>
  <c r="R16"/>
  <c r="S16" s="1"/>
  <c r="AA35"/>
  <c r="AI35"/>
  <c r="AN35" s="1"/>
  <c r="W35"/>
  <c r="AB35" s="1"/>
  <c r="V18"/>
  <c r="AC20" s="1"/>
  <c r="W18"/>
  <c r="AI18"/>
  <c r="AN18" s="1"/>
  <c r="AA18"/>
  <c r="AC18"/>
  <c r="P17"/>
  <c r="Q17" s="1"/>
  <c r="R17" s="1"/>
  <c r="S17" s="1"/>
  <c r="R24" i="25"/>
  <c r="S23"/>
  <c r="V23" i="24"/>
  <c r="W23"/>
  <c r="AI23"/>
  <c r="AN23" s="1"/>
  <c r="AA23"/>
  <c r="AA36" i="5"/>
  <c r="AC36"/>
  <c r="AI36"/>
  <c r="AN36" s="1"/>
  <c r="W36"/>
  <c r="V36"/>
  <c r="R37"/>
  <c r="S37" s="1"/>
  <c r="AA32"/>
  <c r="AI32"/>
  <c r="AN32" s="1"/>
  <c r="W32"/>
  <c r="V32"/>
  <c r="AA33"/>
  <c r="W33"/>
  <c r="V33"/>
  <c r="AI33"/>
  <c r="AN33" s="1"/>
  <c r="AC31"/>
  <c r="AI31"/>
  <c r="AN31" s="1"/>
  <c r="W31"/>
  <c r="V31"/>
  <c r="AA31"/>
  <c r="R24" i="26"/>
  <c r="S23"/>
  <c r="R24" i="24"/>
  <c r="R24" i="23"/>
  <c r="S23"/>
  <c r="AI23" i="22"/>
  <c r="AA23"/>
  <c r="S24"/>
  <c r="AH23" s="1"/>
  <c r="AH24" s="1"/>
  <c r="V23"/>
  <c r="W23"/>
  <c r="W24" s="1"/>
  <c r="R23" i="21"/>
  <c r="P23" i="20"/>
  <c r="Q23" s="1"/>
  <c r="R23" s="1"/>
  <c r="R24" i="19"/>
  <c r="AI23" i="18"/>
  <c r="AA23"/>
  <c r="S24"/>
  <c r="AH23" s="1"/>
  <c r="AH24" s="1"/>
  <c r="V23"/>
  <c r="W23"/>
  <c r="W24" s="1"/>
  <c r="S24" i="17"/>
  <c r="AC24"/>
  <c r="W24"/>
  <c r="R23" i="16"/>
  <c r="R24" i="15"/>
  <c r="S23"/>
  <c r="AG23" i="14"/>
  <c r="V23"/>
  <c r="AH23"/>
  <c r="AH24" s="1"/>
  <c r="W23"/>
  <c r="W24" s="1"/>
  <c r="S24"/>
  <c r="AI23"/>
  <c r="AA23"/>
  <c r="AE23"/>
  <c r="AE24" s="1"/>
  <c r="S24" i="13"/>
  <c r="AC24"/>
  <c r="W24"/>
  <c r="S24" i="12"/>
  <c r="AE23" s="1"/>
  <c r="AE24" s="1"/>
  <c r="AI23"/>
  <c r="AA23"/>
  <c r="AG23"/>
  <c r="V23"/>
  <c r="AH23"/>
  <c r="AH24" s="1"/>
  <c r="W23"/>
  <c r="W24" s="1"/>
  <c r="S24" i="11"/>
  <c r="AI23"/>
  <c r="AA23"/>
  <c r="V23"/>
  <c r="W23"/>
  <c r="W24" s="1"/>
  <c r="AE23"/>
  <c r="AE24" s="1"/>
  <c r="AG23"/>
  <c r="AH23"/>
  <c r="AH24" s="1"/>
  <c r="R23" i="10"/>
  <c r="AI23" i="9"/>
  <c r="AA23"/>
  <c r="S24"/>
  <c r="AH36" i="5" s="1"/>
  <c r="W23" i="9"/>
  <c r="W24" s="1"/>
  <c r="V23"/>
  <c r="AC32" i="5" s="1"/>
  <c r="R23" i="8"/>
  <c r="V23" i="3"/>
  <c r="W23"/>
  <c r="AI23"/>
  <c r="AN23" s="1"/>
  <c r="AA23"/>
  <c r="AC23"/>
  <c r="AB23" i="29" l="1"/>
  <c r="AC23" s="1"/>
  <c r="BZ23" s="1"/>
  <c r="CA23" s="1"/>
  <c r="R24"/>
  <c r="V23" i="28"/>
  <c r="W23"/>
  <c r="W24" s="1"/>
  <c r="AI23"/>
  <c r="AA23"/>
  <c r="S24"/>
  <c r="AR23" i="27"/>
  <c r="AX23" s="1"/>
  <c r="AZ23" s="1"/>
  <c r="BO23" s="1"/>
  <c r="AO23"/>
  <c r="AJ24"/>
  <c r="AB24"/>
  <c r="AC23"/>
  <c r="AC24" s="1"/>
  <c r="AB23" i="24"/>
  <c r="AC23" s="1"/>
  <c r="AO23" i="4"/>
  <c r="AR23" s="1"/>
  <c r="AX23" s="1"/>
  <c r="AZ23" s="1"/>
  <c r="AJ24"/>
  <c r="AB24"/>
  <c r="AC23"/>
  <c r="AC24" s="1"/>
  <c r="AB23" i="3"/>
  <c r="AB18" i="5"/>
  <c r="W17"/>
  <c r="AI17"/>
  <c r="AN17" s="1"/>
  <c r="AA17"/>
  <c r="AC17"/>
  <c r="V17"/>
  <c r="AI16"/>
  <c r="AN16" s="1"/>
  <c r="AA16"/>
  <c r="AC16"/>
  <c r="V16"/>
  <c r="W16"/>
  <c r="S24" i="25"/>
  <c r="AG23" s="1"/>
  <c r="AI23"/>
  <c r="AA23"/>
  <c r="V23"/>
  <c r="W23"/>
  <c r="W24" s="1"/>
  <c r="AA37" i="5"/>
  <c r="AI37"/>
  <c r="AN37" s="1"/>
  <c r="W37"/>
  <c r="AH37"/>
  <c r="V37"/>
  <c r="AG37"/>
  <c r="AE37"/>
  <c r="AE31"/>
  <c r="AH33"/>
  <c r="AC37"/>
  <c r="AG32"/>
  <c r="AE35"/>
  <c r="AG35"/>
  <c r="AJ35" s="1"/>
  <c r="AO35" s="1"/>
  <c r="AR35" s="1"/>
  <c r="AX35" s="1"/>
  <c r="AZ35" s="1"/>
  <c r="BO35" s="1"/>
  <c r="AH35"/>
  <c r="AB36"/>
  <c r="AG36"/>
  <c r="AJ36" s="1"/>
  <c r="AO36" s="1"/>
  <c r="AR36" s="1"/>
  <c r="AX36" s="1"/>
  <c r="AZ36" s="1"/>
  <c r="BO36" s="1"/>
  <c r="AE32"/>
  <c r="AE36"/>
  <c r="AB32"/>
  <c r="AH31"/>
  <c r="AE33"/>
  <c r="AB31"/>
  <c r="AC33"/>
  <c r="AG31"/>
  <c r="AB33"/>
  <c r="AH32"/>
  <c r="AJ32" s="1"/>
  <c r="AO32" s="1"/>
  <c r="AR32" s="1"/>
  <c r="AX32" s="1"/>
  <c r="AZ32" s="1"/>
  <c r="BO32" s="1"/>
  <c r="AG33"/>
  <c r="W24" i="26"/>
  <c r="S24"/>
  <c r="AC24"/>
  <c r="W24" i="24"/>
  <c r="S24"/>
  <c r="W24" i="23"/>
  <c r="S24"/>
  <c r="AC24"/>
  <c r="AN23" i="22"/>
  <c r="AI24"/>
  <c r="AB23"/>
  <c r="V24"/>
  <c r="AE23"/>
  <c r="AE24" s="1"/>
  <c r="AG23"/>
  <c r="R24" i="21"/>
  <c r="S23"/>
  <c r="R24" i="20"/>
  <c r="S23"/>
  <c r="S24" i="19"/>
  <c r="AH24" s="1"/>
  <c r="W24"/>
  <c r="AI23"/>
  <c r="AN23" i="18"/>
  <c r="AI24"/>
  <c r="AE23"/>
  <c r="AE24" s="1"/>
  <c r="AG23"/>
  <c r="AB23"/>
  <c r="V24"/>
  <c r="V24" i="17"/>
  <c r="AB23"/>
  <c r="AB24" s="1"/>
  <c r="AI24"/>
  <c r="AN23"/>
  <c r="R24" i="16"/>
  <c r="S23"/>
  <c r="W24" i="15"/>
  <c r="S24"/>
  <c r="AC24"/>
  <c r="AI24" i="14"/>
  <c r="AN23"/>
  <c r="AG24"/>
  <c r="AJ23"/>
  <c r="AB23"/>
  <c r="V24"/>
  <c r="V24" i="13"/>
  <c r="AB23"/>
  <c r="AB24" s="1"/>
  <c r="AI24"/>
  <c r="AN23"/>
  <c r="V24" i="12"/>
  <c r="AB23"/>
  <c r="AG24"/>
  <c r="AJ23"/>
  <c r="AI24"/>
  <c r="AN23"/>
  <c r="AG24" i="11"/>
  <c r="AJ23"/>
  <c r="AI24"/>
  <c r="AN23"/>
  <c r="V24"/>
  <c r="AB23"/>
  <c r="R24" i="10"/>
  <c r="S23"/>
  <c r="AB23" i="9"/>
  <c r="V24"/>
  <c r="AE23"/>
  <c r="AE24" s="1"/>
  <c r="AG23"/>
  <c r="AN23"/>
  <c r="AI24"/>
  <c r="AH23"/>
  <c r="AH24" s="1"/>
  <c r="R24" i="8"/>
  <c r="S23"/>
  <c r="R24" i="7"/>
  <c r="R24" i="3"/>
  <c r="AN23" i="29" l="1"/>
  <c r="W24"/>
  <c r="S24"/>
  <c r="AI24"/>
  <c r="AE23" i="28"/>
  <c r="AE24" s="1"/>
  <c r="AG23"/>
  <c r="AG24" s="1"/>
  <c r="AH23"/>
  <c r="AH24" s="1"/>
  <c r="V24"/>
  <c r="AB23"/>
  <c r="AI24"/>
  <c r="AN23"/>
  <c r="AJ23"/>
  <c r="AE23" i="25"/>
  <c r="AE24" s="1"/>
  <c r="AH23"/>
  <c r="AH24" s="1"/>
  <c r="AB16" i="5"/>
  <c r="AB17"/>
  <c r="AI24" i="7"/>
  <c r="AG24" i="25"/>
  <c r="AJ23"/>
  <c r="AI24"/>
  <c r="AN23"/>
  <c r="V24"/>
  <c r="AB23"/>
  <c r="AG23" i="24"/>
  <c r="AJ23" s="1"/>
  <c r="AO23" s="1"/>
  <c r="AR23" s="1"/>
  <c r="AX23" s="1"/>
  <c r="AZ23" s="1"/>
  <c r="BO23" s="1"/>
  <c r="AE23"/>
  <c r="AE24" s="1"/>
  <c r="AH23"/>
  <c r="AH24" s="1"/>
  <c r="AJ33" i="5"/>
  <c r="AO33" s="1"/>
  <c r="AR33" s="1"/>
  <c r="AX33" s="1"/>
  <c r="AZ33" s="1"/>
  <c r="BO33" s="1"/>
  <c r="AB37"/>
  <c r="AJ37"/>
  <c r="AO37" s="1"/>
  <c r="AR37" s="1"/>
  <c r="AX37" s="1"/>
  <c r="AZ37" s="1"/>
  <c r="BO37" s="1"/>
  <c r="AJ31"/>
  <c r="AO31" s="1"/>
  <c r="AR31" s="1"/>
  <c r="AX31" s="1"/>
  <c r="AZ31" s="1"/>
  <c r="BO31" s="1"/>
  <c r="V24" i="26"/>
  <c r="AB23"/>
  <c r="AB24" s="1"/>
  <c r="AI24"/>
  <c r="AN23"/>
  <c r="V24" i="24"/>
  <c r="AI24"/>
  <c r="V24" i="23"/>
  <c r="AB23"/>
  <c r="AB24" s="1"/>
  <c r="AI24"/>
  <c r="AN23"/>
  <c r="AG24" i="22"/>
  <c r="AJ23"/>
  <c r="AB24"/>
  <c r="AC23"/>
  <c r="AC24" s="1"/>
  <c r="AI23" i="21"/>
  <c r="AA23"/>
  <c r="S24"/>
  <c r="AE23" s="1"/>
  <c r="AE24" s="1"/>
  <c r="V23"/>
  <c r="W23"/>
  <c r="W24" s="1"/>
  <c r="W24" i="20"/>
  <c r="S24"/>
  <c r="AC24"/>
  <c r="AE24" i="19"/>
  <c r="AI24"/>
  <c r="V24"/>
  <c r="AJ23" i="18"/>
  <c r="AG24"/>
  <c r="AB24"/>
  <c r="AC23"/>
  <c r="AC24" s="1"/>
  <c r="AE23" i="16"/>
  <c r="AE24" s="1"/>
  <c r="AG23"/>
  <c r="V23"/>
  <c r="AH23"/>
  <c r="AH24" s="1"/>
  <c r="W23"/>
  <c r="W24" s="1"/>
  <c r="S24"/>
  <c r="AI23"/>
  <c r="AA23"/>
  <c r="AI24" i="15"/>
  <c r="AN23"/>
  <c r="V24"/>
  <c r="AB23"/>
  <c r="AB24" s="1"/>
  <c r="AJ24" i="14"/>
  <c r="AO23"/>
  <c r="AR23" s="1"/>
  <c r="AX23" s="1"/>
  <c r="AZ23" s="1"/>
  <c r="BO23" s="1"/>
  <c r="AB24"/>
  <c r="AC23"/>
  <c r="AC24" s="1"/>
  <c r="AB24" i="12"/>
  <c r="AC23"/>
  <c r="AC24" s="1"/>
  <c r="AJ24"/>
  <c r="AO23"/>
  <c r="AR23" s="1"/>
  <c r="AX23" s="1"/>
  <c r="AZ23" s="1"/>
  <c r="BO23" s="1"/>
  <c r="AB24" i="11"/>
  <c r="AC23"/>
  <c r="AC24" s="1"/>
  <c r="AJ24"/>
  <c r="AO23"/>
  <c r="AR23" s="1"/>
  <c r="AX23" s="1"/>
  <c r="AZ23" s="1"/>
  <c r="BO23" s="1"/>
  <c r="W24" i="10"/>
  <c r="S24"/>
  <c r="AC24"/>
  <c r="AB24" i="9"/>
  <c r="AC23"/>
  <c r="AC24" s="1"/>
  <c r="AJ23"/>
  <c r="AG24"/>
  <c r="W24" i="8"/>
  <c r="S24"/>
  <c r="AC24"/>
  <c r="AB24" i="7"/>
  <c r="W24"/>
  <c r="S24"/>
  <c r="W24" i="3"/>
  <c r="S24"/>
  <c r="AE23" i="29" l="1"/>
  <c r="AE24" s="1"/>
  <c r="AH23"/>
  <c r="AH24" s="1"/>
  <c r="AG23"/>
  <c r="V24"/>
  <c r="AB24"/>
  <c r="AC24"/>
  <c r="AB24" i="28"/>
  <c r="AC23"/>
  <c r="AC24" s="1"/>
  <c r="AJ24"/>
  <c r="AO23"/>
  <c r="AR23" s="1"/>
  <c r="AX23" s="1"/>
  <c r="AZ23" s="1"/>
  <c r="BO23" s="1"/>
  <c r="AO23" i="25"/>
  <c r="AR23" s="1"/>
  <c r="AX23" s="1"/>
  <c r="AZ23" s="1"/>
  <c r="BO23" s="1"/>
  <c r="AJ24"/>
  <c r="AB24"/>
  <c r="AC23"/>
  <c r="AC24" s="1"/>
  <c r="AG24" i="24"/>
  <c r="AH23" i="21"/>
  <c r="AH24" s="1"/>
  <c r="AB24" i="24"/>
  <c r="AC24"/>
  <c r="AJ24"/>
  <c r="AO23" i="22"/>
  <c r="AJ24"/>
  <c r="AB23" i="21"/>
  <c r="V24"/>
  <c r="AN23"/>
  <c r="AI24"/>
  <c r="AG23"/>
  <c r="V24" i="20"/>
  <c r="AB23"/>
  <c r="AB24" s="1"/>
  <c r="AN23"/>
  <c r="AI24"/>
  <c r="AG24" i="19"/>
  <c r="AB24"/>
  <c r="AC24"/>
  <c r="AO23" i="18"/>
  <c r="AR23" s="1"/>
  <c r="AX23" s="1"/>
  <c r="AZ23" s="1"/>
  <c r="AJ24"/>
  <c r="V24" i="16"/>
  <c r="AB23"/>
  <c r="AG24"/>
  <c r="AJ23"/>
  <c r="AI24"/>
  <c r="AN23"/>
  <c r="AI24" i="10"/>
  <c r="AN23"/>
  <c r="V24"/>
  <c r="AB23"/>
  <c r="AB24" s="1"/>
  <c r="AJ24" i="9"/>
  <c r="AO23"/>
  <c r="AR23" s="1"/>
  <c r="AX23" s="1"/>
  <c r="AZ23" s="1"/>
  <c r="BO23" s="1"/>
  <c r="AI24" i="8"/>
  <c r="AN23"/>
  <c r="V24"/>
  <c r="AB23"/>
  <c r="AB24" s="1"/>
  <c r="AH23" i="7"/>
  <c r="AH24" s="1"/>
  <c r="AE23"/>
  <c r="AE24" s="1"/>
  <c r="AG23"/>
  <c r="AG24" s="1"/>
  <c r="V24"/>
  <c r="V24" i="3"/>
  <c r="AI24"/>
  <c r="AX23" i="22" l="1"/>
  <c r="AZ23" s="1"/>
  <c r="BO23" s="1"/>
  <c r="AR23"/>
  <c r="AJ23" i="29"/>
  <c r="AO23" s="1"/>
  <c r="AR23" s="1"/>
  <c r="AX23" s="1"/>
  <c r="AZ23" s="1"/>
  <c r="BO23" s="1"/>
  <c r="AG24"/>
  <c r="AB24" i="21"/>
  <c r="AC23"/>
  <c r="AC24" s="1"/>
  <c r="AJ23"/>
  <c r="AG24"/>
  <c r="AO23" i="19"/>
  <c r="AR23" s="1"/>
  <c r="AX23" s="1"/>
  <c r="AZ23" s="1"/>
  <c r="BO23" s="1"/>
  <c r="AJ24"/>
  <c r="AB24" i="16"/>
  <c r="AC23"/>
  <c r="AC24" s="1"/>
  <c r="AO23"/>
  <c r="AR23" s="1"/>
  <c r="AX23" s="1"/>
  <c r="AZ23" s="1"/>
  <c r="BO23" s="1"/>
  <c r="AJ24"/>
  <c r="AJ23" i="7"/>
  <c r="AB24" i="3"/>
  <c r="AC24"/>
  <c r="AJ24" i="29" l="1"/>
  <c r="AO23" i="21"/>
  <c r="AR23" s="1"/>
  <c r="AX23" s="1"/>
  <c r="AZ23" s="1"/>
  <c r="AJ24"/>
  <c r="AO23" i="7"/>
  <c r="AR23" s="1"/>
  <c r="AX23" s="1"/>
  <c r="AZ23" s="1"/>
  <c r="BO23" s="1"/>
  <c r="AJ24"/>
  <c r="AE24" i="10" l="1"/>
  <c r="AH24"/>
  <c r="AH24" i="15"/>
  <c r="AE24" i="23"/>
  <c r="AH24" i="26"/>
  <c r="AE23" i="3"/>
  <c r="AE24" s="1"/>
  <c r="AE24" i="17"/>
  <c r="AH23" i="3"/>
  <c r="AH24" s="1"/>
  <c r="AE17" i="5"/>
  <c r="AH24" i="20"/>
  <c r="AE24" i="8"/>
  <c r="AG23" i="3"/>
  <c r="AH24" i="8"/>
  <c r="AE24" i="13"/>
  <c r="AH16" i="5"/>
  <c r="AG18"/>
  <c r="AE24" i="26"/>
  <c r="AG17" i="5"/>
  <c r="AJ17" s="1"/>
  <c r="AO17" s="1"/>
  <c r="AR17" s="1"/>
  <c r="AX17" s="1"/>
  <c r="AZ17" s="1"/>
  <c r="BO17" s="1"/>
  <c r="AG16"/>
  <c r="AJ16" s="1"/>
  <c r="AO16" s="1"/>
  <c r="AR16" s="1"/>
  <c r="AX16" s="1"/>
  <c r="AZ16" s="1"/>
  <c r="BO16" s="1"/>
  <c r="AH17"/>
  <c r="AH24" i="23"/>
  <c r="AE18" i="5"/>
  <c r="AE24" i="15"/>
  <c r="AH24" i="13"/>
  <c r="AE16" i="5"/>
  <c r="AH24" i="17"/>
  <c r="AE24" i="20"/>
  <c r="AH18" i="5"/>
  <c r="AG24" i="3" l="1"/>
  <c r="AJ23"/>
  <c r="AG24" i="10"/>
  <c r="AJ18" i="5"/>
  <c r="AO18" s="1"/>
  <c r="AR18" s="1"/>
  <c r="AX18" s="1"/>
  <c r="AZ18" s="1"/>
  <c r="BO18" s="1"/>
  <c r="AG24" i="15"/>
  <c r="AG24" i="13"/>
  <c r="AG24" i="8"/>
  <c r="AG24" i="26"/>
  <c r="AG24" i="23"/>
  <c r="AG24" i="17"/>
  <c r="AG24" i="20"/>
  <c r="AJ24" i="13" l="1"/>
  <c r="AO23"/>
  <c r="AR23" s="1"/>
  <c r="AX23" s="1"/>
  <c r="AZ23" s="1"/>
  <c r="BO23" s="1"/>
  <c r="AJ24" i="10"/>
  <c r="AO23"/>
  <c r="AR23" s="1"/>
  <c r="AX23" s="1"/>
  <c r="AZ23" s="1"/>
  <c r="BO23" s="1"/>
  <c r="AO23" i="23"/>
  <c r="AR23" s="1"/>
  <c r="AX23" s="1"/>
  <c r="AZ23" s="1"/>
  <c r="BO23" s="1"/>
  <c r="AJ24"/>
  <c r="AO23" i="15"/>
  <c r="AR23" s="1"/>
  <c r="AX23" s="1"/>
  <c r="AZ23" s="1"/>
  <c r="BO23" s="1"/>
  <c r="AJ24"/>
  <c r="AJ24" i="3"/>
  <c r="AO23"/>
  <c r="AR23" s="1"/>
  <c r="AX23" s="1"/>
  <c r="AZ23" s="1"/>
  <c r="BO23" s="1"/>
  <c r="AJ24" i="8"/>
  <c r="AO23"/>
  <c r="AR23" s="1"/>
  <c r="AX23" s="1"/>
  <c r="AZ23" s="1"/>
  <c r="BO23" s="1"/>
  <c r="AJ24" i="17"/>
  <c r="AO23"/>
  <c r="AR23" s="1"/>
  <c r="AX23" s="1"/>
  <c r="AZ23" s="1"/>
  <c r="BO23" s="1"/>
  <c r="AJ24" i="20"/>
  <c r="AO23"/>
  <c r="AR23" s="1"/>
  <c r="AX23" s="1"/>
  <c r="AZ23" s="1"/>
  <c r="BO23" s="1"/>
  <c r="AJ24" i="26"/>
  <c r="AO23"/>
  <c r="AR23" s="1"/>
  <c r="AX23" s="1"/>
  <c r="AZ23" s="1"/>
  <c r="BO23" s="1"/>
</calcChain>
</file>

<file path=xl/sharedStrings.xml><?xml version="1.0" encoding="utf-8"?>
<sst xmlns="http://schemas.openxmlformats.org/spreadsheetml/2006/main" count="6230" uniqueCount="399">
  <si>
    <t>Scenario  : Local Purchase - Stock UOM and Purchase UOM (Similar)</t>
  </si>
  <si>
    <t xml:space="preserve">Purchase Request </t>
  </si>
  <si>
    <t>S. No.</t>
  </si>
  <si>
    <t>Item</t>
  </si>
  <si>
    <t>Item Desc.</t>
  </si>
  <si>
    <t>Stk. UOM</t>
  </si>
  <si>
    <t>Pur. UOM</t>
  </si>
  <si>
    <t>Qty</t>
  </si>
  <si>
    <t>Unit Cost</t>
  </si>
  <si>
    <t>Gross Amt.</t>
  </si>
  <si>
    <t>RM1001</t>
  </si>
  <si>
    <t>Raw Material - 1001</t>
  </si>
  <si>
    <t>NOS</t>
  </si>
  <si>
    <t>RM1002</t>
  </si>
  <si>
    <t>Raw Material - 1002</t>
  </si>
  <si>
    <t>RM1003</t>
  </si>
  <si>
    <t>Raw Material - 1003</t>
  </si>
  <si>
    <t>RM1004</t>
  </si>
  <si>
    <t>Raw Material - 1004</t>
  </si>
  <si>
    <t>RM1005</t>
  </si>
  <si>
    <t>Raw Material - 1005</t>
  </si>
  <si>
    <t>RM1006</t>
  </si>
  <si>
    <t>Raw Material - 1006</t>
  </si>
  <si>
    <t>RM1007</t>
  </si>
  <si>
    <t>Raw Material - 1007</t>
  </si>
  <si>
    <t>RM1008</t>
  </si>
  <si>
    <t>Raw Material - 1008</t>
  </si>
  <si>
    <t>RM1009</t>
  </si>
  <si>
    <t>Raw Material - 1009</t>
  </si>
  <si>
    <t>RM1010</t>
  </si>
  <si>
    <t>Raw Material - 1010</t>
  </si>
  <si>
    <t>RM1011</t>
  </si>
  <si>
    <t>Raw Material - 1011</t>
  </si>
  <si>
    <t>RM1012</t>
  </si>
  <si>
    <t>Raw Material - 1012</t>
  </si>
  <si>
    <t>RM1013</t>
  </si>
  <si>
    <t>Raw Material - 1013</t>
  </si>
  <si>
    <t>RM1014</t>
  </si>
  <si>
    <t>Raw Material - 1014</t>
  </si>
  <si>
    <t>RM1015</t>
  </si>
  <si>
    <t>Raw Material - 1015</t>
  </si>
  <si>
    <t>Total</t>
  </si>
  <si>
    <t>Purchase Order &amp; GRN</t>
  </si>
  <si>
    <t>GST Purchase</t>
  </si>
  <si>
    <t xml:space="preserve">Cur. </t>
  </si>
  <si>
    <t>INR</t>
  </si>
  <si>
    <t>Ex. Rate</t>
  </si>
  <si>
    <t>Apportion Basis</t>
  </si>
  <si>
    <t>1 - Value Based, 2 Weight/Volume Based</t>
  </si>
  <si>
    <t>Order Qty (Pur UOM)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</si>
  <si>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</si>
  <si>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</si>
  <si>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</si>
  <si>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</si>
  <si>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</si>
  <si>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</si>
  <si>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</si>
  <si>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</si>
  <si>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</si>
  <si>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</si>
  <si>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</si>
  <si>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</si>
  <si>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</si>
  <si>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</si>
  <si>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</si>
  <si>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</si>
  <si>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</si>
  <si>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</si>
  <si>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</si>
  <si>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</si>
  <si>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</si>
  <si>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</si>
  <si>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</si>
  <si>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</si>
  <si>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</si>
  <si>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</si>
  <si>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</si>
  <si>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</si>
  <si>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</si>
  <si>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</si>
  <si>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</si>
  <si>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</si>
  <si>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</si>
  <si>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</si>
  <si>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</si>
  <si>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</si>
  <si>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</si>
  <si>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</si>
  <si>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</si>
  <si>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</si>
  <si>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</si>
  <si>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</si>
  <si>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</si>
  <si>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</si>
  <si>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</si>
  <si>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</si>
  <si>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</si>
  <si>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</si>
  <si>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</si>
  <si>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</si>
  <si>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</si>
  <si>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</si>
  <si>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</si>
  <si>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</si>
  <si>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</si>
  <si>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TVS-RM-NA-10001</t>
  </si>
  <si>
    <t>HSN1</t>
  </si>
  <si>
    <t>INS KD</t>
  </si>
  <si>
    <t>0</t>
  </si>
  <si>
    <t>200</t>
  </si>
  <si>
    <t>Receipt Qty &amp; Unit cost</t>
  </si>
  <si>
    <t>NA</t>
  </si>
  <si>
    <t>R100</t>
  </si>
  <si>
    <t>LOT</t>
  </si>
  <si>
    <t>HK-FIFO-SER-BATCH-10001</t>
  </si>
  <si>
    <t>1</t>
  </si>
  <si>
    <t>SERIAL</t>
  </si>
  <si>
    <t>TVS-SER-10001</t>
  </si>
  <si>
    <t>TVS-RM-NA-10002</t>
  </si>
  <si>
    <t>TVS-RM-KDK-20 PriceList</t>
  </si>
  <si>
    <t>HK-FIFO-SER-BATCH-10001 PriceList</t>
  </si>
  <si>
    <t>TVS-RM-NA-10001 PriceList</t>
  </si>
  <si>
    <t>TVS-RM-NA-10002 PriceList</t>
  </si>
  <si>
    <t>TVS-RM-KDK-20 RateContract</t>
  </si>
  <si>
    <t>HK-FIFO-SER-BATCH-10001 RateContract</t>
  </si>
  <si>
    <t>TVS-RM-NA-10001 RateContract</t>
  </si>
  <si>
    <t>TVS-RM-NA-10002 RateContract</t>
  </si>
  <si>
    <t>2</t>
  </si>
  <si>
    <t>300</t>
  </si>
  <si>
    <t>400</t>
  </si>
  <si>
    <t>4</t>
  </si>
  <si>
    <t>12</t>
  </si>
  <si>
    <t>250.25</t>
  </si>
  <si>
    <t>11178</t>
  </si>
  <si>
    <t>268.62529</t>
  </si>
  <si>
    <t>2159</t>
  </si>
  <si>
    <t>78.69504</t>
  </si>
  <si>
    <t>234.51578</t>
  </si>
  <si>
    <t>(1 - Local Purchase,2 Interstate Purchase, 3 Import Purchase,4-UTGST)</t>
  </si>
  <si>
    <t>(1 - Registered, 2 - Unregistered)</t>
  </si>
  <si>
    <t>UTGST</t>
  </si>
  <si>
    <t>Cess%</t>
  </si>
  <si>
    <t>CESS</t>
  </si>
  <si>
    <t>234.33</t>
  </si>
  <si>
    <t>RM</t>
  </si>
  <si>
    <t>RMS</t>
  </si>
  <si>
    <t>4246.0596</t>
  </si>
  <si>
    <t>10</t>
  </si>
  <si>
    <t>RM KD</t>
  </si>
  <si>
    <t>282.33</t>
  </si>
  <si>
    <t>6</t>
  </si>
  <si>
    <t>HSN3</t>
  </si>
  <si>
    <t>2376.6</t>
  </si>
  <si>
    <t>169.49546</t>
  </si>
  <si>
    <t>TVS-RM-KDK-200</t>
  </si>
  <si>
    <t>8</t>
  </si>
  <si>
    <t>191.368</t>
  </si>
  <si>
    <t>288.945</t>
  </si>
  <si>
    <t>16</t>
  </si>
  <si>
    <t>385.26</t>
  </si>
  <si>
    <t>456.3</t>
  </si>
  <si>
    <t>500</t>
  </si>
  <si>
    <t>20</t>
  </si>
  <si>
    <t>183.06286</t>
  </si>
  <si>
    <t>14</t>
  </si>
  <si>
    <t>183.52817</t>
  </si>
  <si>
    <t>KGS</t>
  </si>
  <si>
    <t>274.35</t>
  </si>
  <si>
    <t>26</t>
  </si>
  <si>
    <t>365.62462</t>
  </si>
  <si>
    <t>465.8</t>
  </si>
  <si>
    <t>22</t>
  </si>
  <si>
    <t>274.81636</t>
  </si>
  <si>
    <t>28</t>
  </si>
  <si>
    <t>366.12572</t>
  </si>
  <si>
    <t>846.99</t>
  </si>
  <si>
    <t>185.02695</t>
  </si>
  <si>
    <t>184.24408</t>
  </si>
  <si>
    <t>ROAU-RM-KDK-01</t>
  </si>
  <si>
    <t>ROAU-KDK-SERVICE-01</t>
  </si>
  <si>
    <t>ROAU-KDK-SERVICE-RATECONTRACT-01</t>
  </si>
  <si>
    <t>ROAU-RM-KDK-01 RateContract</t>
  </si>
  <si>
    <t>ROAU-RM-KDK-01 PriceList</t>
  </si>
  <si>
    <t>ROAU-KDK-SERVICE-PRICELIST-01</t>
  </si>
  <si>
    <t>ROAU-RM-KDK-DIS-01</t>
  </si>
  <si>
    <t>ROAU-RM-KDK-DIS-01 RateContract</t>
  </si>
  <si>
    <t>ROAU-RM-KDK-DIS-01 PriceList</t>
  </si>
  <si>
    <t>INS</t>
  </si>
  <si>
    <t>186.32</t>
  </si>
  <si>
    <t>ROAU-KDK-DIS-SERVICE-01</t>
  </si>
  <si>
    <t>558.96</t>
  </si>
  <si>
    <t>33.35</t>
  </si>
  <si>
    <t>Cost</t>
  </si>
  <si>
    <t>GL Account</t>
  </si>
  <si>
    <t>TYPE</t>
  </si>
  <si>
    <t>MANUFACTRING EXPENSES</t>
  </si>
  <si>
    <t>TDS</t>
  </si>
  <si>
    <t>194Q</t>
  </si>
  <si>
    <t>Matched Amt</t>
  </si>
  <si>
    <t>GRN Amt</t>
  </si>
  <si>
    <t>Proc.Qty</t>
  </si>
  <si>
    <t>UnitCost</t>
  </si>
  <si>
    <t>Curr.Matched Amt</t>
  </si>
  <si>
    <t>Deviation Amt</t>
  </si>
  <si>
    <t>375.00</t>
  </si>
  <si>
    <t>558.95</t>
  </si>
  <si>
    <t>186.318</t>
  </si>
  <si>
    <t>931.59</t>
  </si>
  <si>
    <t>5.000</t>
  </si>
  <si>
    <t>Expense Amnt</t>
  </si>
  <si>
    <t>ServiceItem Amnt</t>
  </si>
  <si>
    <t>7134</t>
  </si>
  <si>
    <t>186.49443</t>
  </si>
  <si>
    <t>7214</t>
  </si>
  <si>
    <t>186.49914</t>
  </si>
  <si>
    <t>386</t>
  </si>
  <si>
    <t>1810.39779</t>
  </si>
  <si>
    <t>ROAU-RM-KDK-02</t>
  </si>
  <si>
    <t>1106</t>
  </si>
  <si>
    <t>878.80347</t>
  </si>
  <si>
    <t>294</t>
  </si>
  <si>
    <t>257.49996</t>
  </si>
  <si>
    <t>RM WH 50</t>
  </si>
  <si>
    <t>878</t>
  </si>
  <si>
    <t>328.02245</t>
  </si>
  <si>
    <t>185.06929</t>
  </si>
  <si>
    <t>1354</t>
  </si>
  <si>
    <t>3422.47109</t>
  </si>
  <si>
    <t>23998.05</t>
  </si>
  <si>
    <t>4174</t>
  </si>
  <si>
    <t>1384.29779</t>
  </si>
  <si>
    <t>2399.55</t>
  </si>
  <si>
    <t>4276</t>
  </si>
  <si>
    <t>1383.48923</t>
  </si>
  <si>
    <t>4282</t>
  </si>
  <si>
    <t>1382.93517</t>
  </si>
  <si>
    <t>9599</t>
  </si>
  <si>
    <t>488.12216</t>
  </si>
  <si>
    <t>2098</t>
  </si>
  <si>
    <t>187.24408</t>
  </si>
  <si>
    <t>270.802</t>
  </si>
  <si>
    <t>272.136</t>
  </si>
  <si>
    <t>288.477</t>
  </si>
  <si>
    <t>843.82914</t>
  </si>
  <si>
    <t>570.48</t>
  </si>
  <si>
    <t>324.137</t>
  </si>
  <si>
    <t>564.55297</t>
  </si>
  <si>
    <t>325.804</t>
  </si>
  <si>
    <t>564.54791</t>
  </si>
  <si>
    <t>272.803</t>
  </si>
  <si>
    <t>273.47</t>
  </si>
  <si>
    <t>4956</t>
  </si>
  <si>
    <t>1259.93887</t>
  </si>
  <si>
    <t>4958</t>
  </si>
  <si>
    <t>1259.54451</t>
  </si>
  <si>
    <t>4960</t>
  </si>
  <si>
    <t>1259.15047</t>
  </si>
  <si>
    <t>4962</t>
  </si>
  <si>
    <t>1258.75675</t>
  </si>
  <si>
    <t>5204</t>
  </si>
  <si>
    <t>1245.78715</t>
  </si>
  <si>
    <t>5206</t>
  </si>
  <si>
    <t>1245.41702</t>
  </si>
  <si>
    <t>5208</t>
  </si>
  <si>
    <t>1245.04717</t>
  </si>
  <si>
    <t>5210</t>
  </si>
  <si>
    <t>1244.6776</t>
  </si>
  <si>
    <t>5212</t>
  </si>
  <si>
    <t>1244.30832</t>
  </si>
  <si>
    <t>5214</t>
  </si>
  <si>
    <t>1243.93932</t>
  </si>
  <si>
    <t>5216</t>
  </si>
  <si>
    <t>1243.5706</t>
  </si>
  <si>
    <t>5218</t>
  </si>
  <si>
    <t>1243.20217</t>
  </si>
  <si>
    <t>5220</t>
  </si>
  <si>
    <t>1242.83402</t>
  </si>
  <si>
    <t>5222</t>
  </si>
  <si>
    <t>1242.46615</t>
  </si>
  <si>
    <t>5224</t>
  </si>
  <si>
    <t>1242.09856</t>
  </si>
  <si>
    <t>5226</t>
  </si>
  <si>
    <t>1241.73125</t>
  </si>
  <si>
    <t>5228</t>
  </si>
  <si>
    <t>1241.36423</t>
  </si>
  <si>
    <t>5230</t>
  </si>
  <si>
    <t>1240.99749</t>
  </si>
  <si>
    <t>5268</t>
  </si>
  <si>
    <t>1234.88608</t>
  </si>
  <si>
    <t>5274</t>
  </si>
  <si>
    <t>1233.8024</t>
  </si>
  <si>
    <t>5278</t>
  </si>
  <si>
    <t>1233.08131</t>
  </si>
  <si>
    <t>5282</t>
  </si>
  <si>
    <t>1232.36132</t>
  </si>
  <si>
    <t>5284</t>
  </si>
  <si>
    <t>1232.00173</t>
  </si>
  <si>
    <t>5292</t>
  </si>
  <si>
    <t>1230.5661</t>
  </si>
  <si>
    <t>5296</t>
  </si>
  <si>
    <t>1229.84991</t>
  </si>
  <si>
    <t>5298</t>
  </si>
  <si>
    <t>1229.49222</t>
  </si>
  <si>
    <t>5300</t>
  </si>
  <si>
    <t>1229.1348</t>
  </si>
  <si>
    <t>5304</t>
  </si>
  <si>
    <t>1229.21912</t>
  </si>
  <si>
    <t>5308</t>
  </si>
  <si>
    <t>1229.30331</t>
  </si>
  <si>
    <t>5312</t>
  </si>
  <si>
    <t>1229.38737</t>
  </si>
  <si>
    <t>5316</t>
  </si>
  <si>
    <t>1229.47131</t>
  </si>
  <si>
    <t>5322</t>
  </si>
  <si>
    <t>1229.9948</t>
  </si>
  <si>
    <t>5326</t>
  </si>
  <si>
    <t>1230.07812</t>
  </si>
  <si>
    <t>5330</t>
  </si>
  <si>
    <t>1230.16132</t>
  </si>
  <si>
    <t>5334</t>
  </si>
  <si>
    <t>1230.24439</t>
  </si>
  <si>
    <t>5340</t>
  </si>
  <si>
    <t>1230.76525</t>
  </si>
  <si>
    <t>5344</t>
  </si>
  <si>
    <t>1230.84771</t>
  </si>
  <si>
    <t>5348</t>
  </si>
  <si>
    <t>1230.93005</t>
  </si>
  <si>
    <t>5352</t>
  </si>
  <si>
    <t>1231.01227</t>
  </si>
  <si>
    <t>5360</t>
  </si>
  <si>
    <t>1231.96635</t>
  </si>
  <si>
    <t>5362</t>
  </si>
  <si>
    <t>1231.61214</t>
  </si>
  <si>
    <t>5366</t>
  </si>
  <si>
    <t>1231.69363</t>
  </si>
  <si>
    <t>5370</t>
  </si>
  <si>
    <t>1231.77501</t>
  </si>
  <si>
    <t>5376</t>
  </si>
  <si>
    <t>1232.29067</t>
  </si>
  <si>
    <t>5380</t>
  </si>
  <si>
    <t>1232.37145</t>
  </si>
  <si>
    <t>5386</t>
  </si>
  <si>
    <t>1232.88549</t>
  </si>
  <si>
    <t>6742</t>
  </si>
  <si>
    <t>1154.44195</t>
  </si>
  <si>
    <t>6744</t>
  </si>
  <si>
    <t>1154.18332</t>
  </si>
  <si>
    <t>6746</t>
  </si>
  <si>
    <t>1153.92484</t>
  </si>
  <si>
    <t>6748</t>
  </si>
  <si>
    <t>1153.66651</t>
  </si>
  <si>
    <t>6750</t>
  </si>
  <si>
    <t>1153.40834</t>
  </si>
  <si>
    <t>6752</t>
  </si>
  <si>
    <t>1153.15032</t>
  </si>
  <si>
    <t>6754</t>
  </si>
  <si>
    <t>1152.89245</t>
  </si>
  <si>
    <t>6756</t>
  </si>
  <si>
    <t>1152.63473</t>
  </si>
  <si>
    <t>6760</t>
  </si>
  <si>
    <t>1152.11976</t>
  </si>
  <si>
    <t>6764</t>
  </si>
  <si>
    <t>1151.60539</t>
  </si>
  <si>
    <t>204</t>
  </si>
  <si>
    <t>268.98049</t>
  </si>
  <si>
    <t>6766</t>
  </si>
  <si>
    <t>1151.34844</t>
  </si>
  <si>
    <t>206</t>
  </si>
  <si>
    <t>269.1101</t>
  </si>
  <si>
    <t>6768</t>
  </si>
  <si>
    <t>1151.09164</t>
  </si>
  <si>
    <t>208</t>
  </si>
  <si>
    <t>269.23721</t>
  </si>
  <si>
    <t>6770</t>
  </si>
  <si>
    <t>1150.83499</t>
  </si>
  <si>
    <t>6772</t>
  </si>
  <si>
    <t>1150.57849</t>
  </si>
  <si>
    <t>210</t>
  </si>
  <si>
    <t>269.3619</t>
  </si>
  <si>
    <t>212</t>
  </si>
  <si>
    <t>269.48424</t>
  </si>
  <si>
    <t>6774</t>
  </si>
  <si>
    <t>1150.32214</t>
  </si>
  <si>
    <t>6776</t>
  </si>
  <si>
    <t>1150.06594</t>
  </si>
  <si>
    <t>214</t>
  </si>
  <si>
    <t>269.60429</t>
  </si>
  <si>
    <t>216</t>
  </si>
  <si>
    <t>269.72212</t>
  </si>
  <si>
    <t>6778</t>
  </si>
  <si>
    <t>1149.8099</t>
  </si>
  <si>
    <t>6780</t>
  </si>
  <si>
    <t>1149.55401</t>
  </si>
  <si>
    <t>218</t>
  </si>
  <si>
    <t>269.83779</t>
  </si>
  <si>
    <t>220</t>
  </si>
  <si>
    <t>269.95136</t>
  </si>
  <si>
    <t>6790</t>
  </si>
  <si>
    <t>1148.22025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</si>
</sst>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color rgb="FF000000"/>
      <name val="Consolas"/>
      <family val="3"/>
    </font>
    <font>
      <b/>
      <u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rgb="FF000000"/>
      <name val="Consolas"/>
      <family val="3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43"/>
        <bgColor indexed="64"/>
      </patternFill>
    </fill>
  </fills>
  <borders count="19">
    <border>
      <left/>
      <right/>
      <top/>
      <bottom/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</borders>
  <cellStyleXfs count="2">
    <xf numFmtId="0" fontId="0" fillId="0" borderId="0"/>
    <xf numFmtId="0" fontId="9" fillId="0" borderId="0"/>
  </cellStyleXfs>
  <cellXfs count="165">
    <xf numFmtId="0" fontId="0" fillId="0" borderId="0" xfId="0"/>
    <xf numFmtId="0" fontId="4" fillId="0" borderId="0" xfId="0" applyFont="1"/>
    <xf numFmtId="0" fontId="3" fillId="0" borderId="14" xfId="0" applyFont="1" applyBorder="1"/>
    <xf numFmtId="0" fontId="0" fillId="0" borderId="5" xfId="0" applyNumberFormat="1" applyBorder="1"/>
    <xf numFmtId="0" fontId="0" fillId="0" borderId="0" xfId="0" applyNumberFormat="1"/>
    <xf numFmtId="0" fontId="0" fillId="0" borderId="0" xfId="0" applyBorder="1" applyAlignment="1"/>
    <xf numFmtId="0" fontId="0" fillId="0" borderId="15" xfId="0" applyBorder="1" applyAlignment="1">
      <alignment vertical="center"/>
    </xf>
    <xf numFmtId="0" fontId="5" fillId="0" borderId="0" xfId="0" applyFont="1" applyBorder="1" applyAlignment="1">
      <alignment horizontal="left" vertical="top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164" fontId="6" fillId="0" borderId="5" xfId="0" applyNumberFormat="1" applyFont="1" applyBorder="1"/>
    <xf numFmtId="2" fontId="6" fillId="0" borderId="5" xfId="0" applyNumberFormat="1" applyFont="1" applyBorder="1"/>
    <xf numFmtId="2" fontId="6" fillId="0" borderId="6" xfId="0" applyNumberFormat="1" applyFont="1" applyBorder="1"/>
    <xf numFmtId="10" fontId="6" fillId="0" borderId="0" xfId="0" applyNumberFormat="1" applyFont="1" applyFill="1" applyBorder="1"/>
    <xf numFmtId="2" fontId="6" fillId="0" borderId="0" xfId="0" applyNumberFormat="1" applyFont="1" applyFill="1" applyBorder="1"/>
    <xf numFmtId="0" fontId="8" fillId="0" borderId="0" xfId="0" applyFont="1"/>
    <xf numFmtId="0" fontId="6" fillId="0" borderId="7" xfId="0" applyFont="1" applyBorder="1"/>
    <xf numFmtId="0" fontId="6" fillId="0" borderId="8" xfId="0" applyFont="1" applyBorder="1"/>
    <xf numFmtId="164" fontId="6" fillId="0" borderId="8" xfId="0" applyNumberFormat="1" applyFont="1" applyBorder="1"/>
    <xf numFmtId="2" fontId="6" fillId="0" borderId="8" xfId="0" applyNumberFormat="1" applyFont="1" applyBorder="1"/>
    <xf numFmtId="2" fontId="6" fillId="0" borderId="9" xfId="0" applyNumberFormat="1" applyFont="1" applyBorder="1"/>
    <xf numFmtId="0" fontId="7" fillId="3" borderId="11" xfId="0" applyFont="1" applyFill="1" applyBorder="1" applyAlignment="1">
      <alignment vertical="top"/>
    </xf>
    <xf numFmtId="0" fontId="6" fillId="0" borderId="0" xfId="0" applyFont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/>
    </xf>
    <xf numFmtId="0" fontId="6" fillId="2" borderId="2" xfId="0" applyFont="1" applyFill="1" applyBorder="1"/>
    <xf numFmtId="0" fontId="6" fillId="2" borderId="13" xfId="0" applyFont="1" applyFill="1" applyBorder="1"/>
    <xf numFmtId="0" fontId="6" fillId="2" borderId="2" xfId="0" applyFont="1" applyFill="1" applyBorder="1" applyAlignment="1"/>
    <xf numFmtId="0" fontId="6" fillId="0" borderId="14" xfId="0" applyFont="1" applyBorder="1"/>
    <xf numFmtId="0" fontId="6" fillId="0" borderId="14" xfId="0" applyNumberFormat="1" applyFont="1" applyBorder="1"/>
    <xf numFmtId="10" fontId="6" fillId="0" borderId="14" xfId="0" applyNumberFormat="1" applyFont="1" applyBorder="1"/>
    <xf numFmtId="0" fontId="6" fillId="0" borderId="5" xfId="0" applyNumberFormat="1" applyFont="1" applyBorder="1"/>
    <xf numFmtId="0" fontId="0" fillId="0" borderId="15" xfId="0" applyNumberFormat="1" applyFont="1" applyBorder="1" applyAlignment="1">
      <alignment vertical="center"/>
    </xf>
    <xf numFmtId="0" fontId="0" fillId="0" borderId="0" xfId="0" applyNumberFormat="1" applyAlignment="1">
      <alignment horizontal="center"/>
    </xf>
    <xf numFmtId="0" fontId="7" fillId="3" borderId="16" xfId="0" applyFont="1" applyFill="1" applyBorder="1" applyAlignment="1"/>
    <xf numFmtId="0" fontId="7" fillId="3" borderId="17" xfId="0" applyFont="1" applyFill="1" applyBorder="1" applyAlignment="1"/>
    <xf numFmtId="0" fontId="7" fillId="3" borderId="14" xfId="0" applyFont="1" applyFill="1" applyBorder="1"/>
    <xf numFmtId="0" fontId="7" fillId="3" borderId="14" xfId="0" applyNumberFormat="1" applyFont="1" applyFill="1" applyBorder="1"/>
    <xf numFmtId="2" fontId="7" fillId="3" borderId="14" xfId="0" applyNumberFormat="1" applyFont="1" applyFill="1" applyBorder="1"/>
    <xf numFmtId="0" fontId="7" fillId="6" borderId="14" xfId="0" applyFont="1" applyFill="1" applyBorder="1"/>
    <xf numFmtId="2" fontId="7" fillId="6" borderId="14" xfId="0" applyNumberFormat="1" applyFont="1" applyFill="1" applyBorder="1"/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64" fontId="0" fillId="0" borderId="0" xfId="0" applyNumberFormat="1"/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3" fillId="0" borderId="14" xfId="0" applyNumberFormat="1" applyFont="1" applyBorder="1"/>
    <xf numFmtId="0" fontId="3" fillId="0" borderId="5" xfId="0" applyNumberFormat="1" applyFont="1" applyBorder="1"/>
    <xf numFmtId="0" fontId="0" fillId="0" borderId="15" xfId="0" applyNumberFormat="1" applyBorder="1" applyAlignment="1">
      <alignment vertical="center"/>
    </xf>
    <xf numFmtId="0" fontId="5" fillId="0" borderId="0" xfId="0" applyFont="1" applyBorder="1" applyAlignment="1">
      <alignment horizontal="left" vertical="top"/>
    </xf>
    <xf numFmtId="0" fontId="3" fillId="2" borderId="18" xfId="0" applyFont="1" applyFill="1" applyBorder="1"/>
    <xf numFmtId="0" fontId="2" fillId="0" borderId="0" xfId="0" applyFont="1"/>
    <xf numFmtId="0" fontId="5" fillId="0" borderId="0" xfId="0" applyFont="1" applyBorder="1" applyAlignment="1">
      <alignment horizontal="left" vertical="top"/>
    </xf>
    <xf numFmtId="2" fontId="6" fillId="0" borderId="14" xfId="0" applyNumberFormat="1" applyFont="1" applyBorder="1"/>
    <xf numFmtId="0" fontId="5" fillId="0" borderId="0" xfId="0" applyFont="1" applyBorder="1" applyAlignment="1">
      <alignment horizontal="left" vertical="top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164" fontId="3" fillId="0" borderId="5" xfId="0" applyNumberFormat="1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10" fontId="3" fillId="0" borderId="0" xfId="0" applyNumberFormat="1" applyFont="1" applyFill="1" applyBorder="1"/>
    <xf numFmtId="2" fontId="3" fillId="0" borderId="0" xfId="0" applyNumberFormat="1" applyFont="1" applyFill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/>
    <xf numFmtId="2" fontId="3" fillId="0" borderId="8" xfId="0" applyNumberFormat="1" applyFont="1" applyBorder="1"/>
    <xf numFmtId="2" fontId="3" fillId="0" borderId="9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3" fillId="2" borderId="2" xfId="0" applyFont="1" applyFill="1" applyBorder="1"/>
    <xf numFmtId="0" fontId="3" fillId="2" borderId="13" xfId="0" applyFont="1" applyFill="1" applyBorder="1"/>
    <xf numFmtId="0" fontId="3" fillId="2" borderId="2" xfId="0" applyFont="1" applyFill="1" applyBorder="1" applyAlignment="1"/>
    <xf numFmtId="10" fontId="3" fillId="0" borderId="14" xfId="0" applyNumberFormat="1" applyFont="1" applyBorder="1"/>
    <xf numFmtId="2" fontId="3" fillId="0" borderId="14" xfId="0" applyNumberFormat="1" applyFont="1" applyBorder="1"/>
    <xf numFmtId="0" fontId="5" fillId="0" borderId="0" xfId="0" applyFont="1" applyBorder="1" applyAlignment="1">
      <alignment horizontal="left" vertical="top"/>
    </xf>
    <xf numFmtId="0" fontId="1" fillId="0" borderId="0" xfId="0" applyFont="1"/>
    <xf numFmtId="1" fontId="3" fillId="0" borderId="15" xfId="0" applyNumberFormat="1" applyFont="1" applyBorder="1"/>
    <xf numFmtId="2" fontId="3" fillId="0" borderId="15" xfId="0" applyNumberFormat="1" applyFont="1" applyBorder="1"/>
    <xf numFmtId="165" fontId="3" fillId="0" borderId="15" xfId="0" applyNumberFormat="1" applyFont="1" applyBorder="1"/>
    <xf numFmtId="0" fontId="9" fillId="0" borderId="0" xfId="1"/>
    <xf numFmtId="0" fontId="3" fillId="0" borderId="0" xfId="1" applyFont="1"/>
    <xf numFmtId="0" fontId="9" fillId="0" borderId="0" xfId="1" applyBorder="1" applyAlignment="1"/>
    <xf numFmtId="0" fontId="7" fillId="6" borderId="14" xfId="1" applyFont="1" applyFill="1" applyBorder="1"/>
    <xf numFmtId="2" fontId="7" fillId="6" borderId="14" xfId="1" applyNumberFormat="1" applyFont="1" applyFill="1" applyBorder="1"/>
    <xf numFmtId="0" fontId="7" fillId="3" borderId="14" xfId="1" applyFont="1" applyFill="1" applyBorder="1"/>
    <xf numFmtId="2" fontId="7" fillId="3" borderId="14" xfId="1" applyNumberFormat="1" applyFont="1" applyFill="1" applyBorder="1"/>
    <xf numFmtId="0" fontId="7" fillId="3" borderId="14" xfId="1" applyNumberFormat="1" applyFont="1" applyFill="1" applyBorder="1"/>
    <xf numFmtId="0" fontId="3" fillId="0" borderId="14" xfId="1" applyFont="1" applyBorder="1"/>
    <xf numFmtId="0" fontId="7" fillId="3" borderId="17" xfId="1" applyFont="1" applyFill="1" applyBorder="1" applyAlignment="1"/>
    <xf numFmtId="0" fontId="7" fillId="3" borderId="16" xfId="1" applyFont="1" applyFill="1" applyBorder="1" applyAlignment="1"/>
    <xf numFmtId="0" fontId="9" fillId="0" borderId="0" xfId="1" applyNumberFormat="1"/>
    <xf numFmtId="0" fontId="9" fillId="0" borderId="0" xfId="1" applyNumberFormat="1" applyAlignment="1">
      <alignment horizontal="center"/>
    </xf>
    <xf numFmtId="0" fontId="3" fillId="0" borderId="5" xfId="1" applyNumberFormat="1" applyFont="1" applyBorder="1"/>
    <xf numFmtId="0" fontId="9" fillId="0" borderId="5" xfId="1" applyNumberFormat="1" applyBorder="1"/>
    <xf numFmtId="0" fontId="9" fillId="0" borderId="15" xfId="1" applyNumberFormat="1" applyBorder="1" applyAlignment="1">
      <alignment vertical="center"/>
    </xf>
    <xf numFmtId="0" fontId="9" fillId="0" borderId="15" xfId="1" applyBorder="1" applyAlignment="1">
      <alignment vertical="center"/>
    </xf>
    <xf numFmtId="0" fontId="3" fillId="0" borderId="14" xfId="1" applyNumberFormat="1" applyFont="1" applyBorder="1"/>
    <xf numFmtId="10" fontId="3" fillId="0" borderId="14" xfId="1" applyNumberFormat="1" applyFont="1" applyBorder="1"/>
    <xf numFmtId="0" fontId="3" fillId="2" borderId="18" xfId="1" applyFont="1" applyFill="1" applyBorder="1"/>
    <xf numFmtId="0" fontId="3" fillId="2" borderId="2" xfId="1" applyFont="1" applyFill="1" applyBorder="1"/>
    <xf numFmtId="0" fontId="3" fillId="2" borderId="2" xfId="1" applyFont="1" applyFill="1" applyBorder="1" applyAlignment="1"/>
    <xf numFmtId="0" fontId="3" fillId="2" borderId="13" xfId="1" applyFont="1" applyFill="1" applyBorder="1"/>
    <xf numFmtId="0" fontId="7" fillId="2" borderId="2" xfId="1" applyFont="1" applyFill="1" applyBorder="1" applyAlignment="1">
      <alignment horizontal="center" vertical="center"/>
    </xf>
    <xf numFmtId="0" fontId="7" fillId="7" borderId="12" xfId="1" applyFont="1" applyFill="1" applyBorder="1" applyAlignment="1">
      <alignment horizontal="center" vertical="center"/>
    </xf>
    <xf numFmtId="0" fontId="7" fillId="6" borderId="12" xfId="1" applyFont="1" applyFill="1" applyBorder="1" applyAlignment="1">
      <alignment horizontal="center" vertical="center"/>
    </xf>
    <xf numFmtId="0" fontId="7" fillId="6" borderId="12" xfId="1" applyFont="1" applyFill="1" applyBorder="1" applyAlignment="1">
      <alignment horizontal="center" vertical="center" wrapText="1"/>
    </xf>
    <xf numFmtId="0" fontId="7" fillId="5" borderId="12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4" borderId="12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left" vertical="center"/>
    </xf>
    <xf numFmtId="0" fontId="7" fillId="0" borderId="0" xfId="1" applyFont="1" applyFill="1" applyBorder="1"/>
    <xf numFmtId="0" fontId="3" fillId="0" borderId="0" xfId="1" applyFont="1" applyFill="1" applyBorder="1"/>
    <xf numFmtId="0" fontId="7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center" vertical="center"/>
    </xf>
    <xf numFmtId="0" fontId="3" fillId="0" borderId="0" xfId="1" applyFont="1" applyBorder="1"/>
    <xf numFmtId="0" fontId="7" fillId="3" borderId="11" xfId="1" applyFont="1" applyFill="1" applyBorder="1" applyAlignment="1">
      <alignment vertical="top"/>
    </xf>
    <xf numFmtId="2" fontId="3" fillId="0" borderId="0" xfId="1" applyNumberFormat="1" applyFont="1" applyFill="1" applyBorder="1"/>
    <xf numFmtId="10" fontId="3" fillId="0" borderId="0" xfId="1" applyNumberFormat="1" applyFont="1" applyFill="1" applyBorder="1"/>
    <xf numFmtId="2" fontId="3" fillId="0" borderId="9" xfId="1" applyNumberFormat="1" applyFont="1" applyBorder="1"/>
    <xf numFmtId="2" fontId="3" fillId="0" borderId="8" xfId="1" applyNumberFormat="1" applyFont="1" applyBorder="1"/>
    <xf numFmtId="164" fontId="3" fillId="0" borderId="8" xfId="1" applyNumberFormat="1" applyFont="1" applyBorder="1"/>
    <xf numFmtId="0" fontId="3" fillId="0" borderId="8" xfId="1" applyFont="1" applyBorder="1"/>
    <xf numFmtId="0" fontId="3" fillId="0" borderId="7" xfId="1" applyFont="1" applyBorder="1"/>
    <xf numFmtId="0" fontId="4" fillId="0" borderId="0" xfId="1" applyFont="1"/>
    <xf numFmtId="2" fontId="3" fillId="0" borderId="6" xfId="1" applyNumberFormat="1" applyFont="1" applyBorder="1"/>
    <xf numFmtId="2" fontId="3" fillId="0" borderId="5" xfId="1" applyNumberFormat="1" applyFont="1" applyBorder="1"/>
    <xf numFmtId="164" fontId="3" fillId="0" borderId="5" xfId="1" applyNumberFormat="1" applyFont="1" applyBorder="1"/>
    <xf numFmtId="0" fontId="3" fillId="0" borderId="5" xfId="1" applyFont="1" applyBorder="1"/>
    <xf numFmtId="0" fontId="3" fillId="0" borderId="4" xfId="1" applyFont="1" applyBorder="1"/>
    <xf numFmtId="0" fontId="7" fillId="2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left" vertical="top"/>
    </xf>
    <xf numFmtId="0" fontId="9" fillId="0" borderId="15" xfId="1" applyNumberFormat="1" applyFont="1" applyBorder="1" applyAlignment="1">
      <alignment vertical="center"/>
    </xf>
    <xf numFmtId="0" fontId="3" fillId="0" borderId="16" xfId="1" applyFont="1" applyBorder="1"/>
    <xf numFmtId="0" fontId="7" fillId="3" borderId="10" xfId="1" applyFont="1" applyFill="1" applyBorder="1" applyAlignment="1">
      <alignment horizontal="center" vertical="top"/>
    </xf>
    <xf numFmtId="0" fontId="3" fillId="0" borderId="0" xfId="1" applyFont="1" applyFill="1" applyBorder="1" applyAlignment="1">
      <alignment horizontal="left" vertical="center"/>
    </xf>
    <xf numFmtId="0" fontId="5" fillId="0" borderId="0" xfId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7" fillId="3" borderId="1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externalLinks/externalLink1.xml" Type="http://schemas.openxmlformats.org/officeDocument/2006/relationships/externalLink"/><Relationship Id="rId36" Target="theme/theme1.xml" Type="http://schemas.openxmlformats.org/officeDocument/2006/relationships/theme"/><Relationship Id="rId37" Target="styles.xml" Type="http://schemas.openxmlformats.org/officeDocument/2006/relationships/styles"/><Relationship Id="rId38" Target="sharedStrings.xml" Type="http://schemas.openxmlformats.org/officeDocument/2006/relationships/sharedStrings"/><Relationship Id="rId39" Target="calcChain.xml" Type="http://schemas.openxmlformats.org/officeDocument/2006/relationships/calcChain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externalLinks/_rels/externalLink1.xml.rels><?xml version="1.0" encoding="UTF-8" standalone="yes"?><Relationships xmlns="http://schemas.openxmlformats.org/package/2006/relationships"><Relationship Id="rId1" Target="Book1" TargetMode="External" Type="http://schemas.microsoft.com/office/2006/relationships/xlExternalLinkPath/xlPathMissing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irectGrnGenUD"/>
      <sheetName val="DirectGrnGenUDMulti"/>
      <sheetName val="DirectGrnGenUDMulti50"/>
      <sheetName val="DirectGrnGenUD50"/>
      <sheetName val="DirectGrnGenUDMultiIMP"/>
      <sheetName val="DirectGrnGenUDIMP"/>
      <sheetName val="Sheet1"/>
      <sheetName val="Sheet2"/>
      <sheetName val="Sheet3"/>
    </sheetNames>
    <sheetDataSet>
      <sheetData sheetId="0" refreshError="1">
        <row r="21">
          <cell r="C21">
            <v>1</v>
          </cell>
          <cell r="M21">
            <v>1</v>
          </cell>
          <cell r="P21">
            <v>1</v>
          </cell>
        </row>
        <row r="22">
          <cell r="C22" t="str">
            <v>Item Desc.</v>
          </cell>
          <cell r="V22" t="str">
            <v>CGST</v>
          </cell>
        </row>
        <row r="24">
          <cell r="S24">
            <v>564.66</v>
          </cell>
          <cell r="AD24">
            <v>120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5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D23" sqref="D23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  <c r="BR22" s="118" t="s">
        <v>192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99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IF($P$21=1,(S23/$S$24)*$E$35,AD23/$AD$24*$E$35)</f>
        <v>0</v>
      </c>
      <c r="AF23" s="116"/>
      <c r="AG23" s="116">
        <f>IF($P$21=1,(S23/$S$24)*$E$37,AD23/$AD$24*$E$37)</f>
        <v>0</v>
      </c>
      <c r="AH23" s="116">
        <f>IF($P$21=1,(S23/$S$24)*$E$37,AD23/$AD$24*$E$37)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187</v>
      </c>
      <c r="AT23" s="112" t="s">
        <v>12</v>
      </c>
      <c r="AU23" t="s" s="99">
        <v>108</v>
      </c>
      <c r="AV23" t="s" s="99">
        <v>188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14" t="s">
        <v>144</v>
      </c>
      <c r="BE23" s="114" t="s">
        <v>145</v>
      </c>
      <c r="BF23" s="113"/>
      <c r="BG23" s="113"/>
      <c r="BH23" s="113"/>
      <c r="BI23" s="112"/>
      <c r="BL23" s="112" t="s">
        <v>148</v>
      </c>
      <c r="BM23" t="s" s="99">
        <v>398</v>
      </c>
      <c r="BN23" t="s" s="99">
        <v>397</v>
      </c>
      <c r="BO23" s="112">
        <f>ROUND((((AW23*AZ23)+(BN23*BM23))/(AW23+BN23)),5)</f>
        <v>1381.54665</v>
      </c>
      <c r="BP23" s="110">
        <f>BN23+AW23</f>
        <v>4272</v>
      </c>
      <c r="BQ23" s="111">
        <v>88363222</v>
      </c>
      <c r="BR23" s="110">
        <f>G23+100</f>
        <v>400</v>
      </c>
    </row>
    <row r="24" spans="1:70" ht="15.75" thickBot="1">
      <c r="A24" s="100"/>
      <c r="B24" s="101"/>
      <c r="C24" s="101"/>
      <c r="D24" s="109" t="s">
        <v>41</v>
      </c>
      <c r="E24" s="109"/>
      <c r="F24" s="109"/>
      <c r="G24" s="108"/>
      <c r="H24" s="104">
        <f>SUM(H23:H23)</f>
        <v>600</v>
      </c>
      <c r="I24" s="107"/>
      <c r="J24" s="107"/>
      <c r="K24" s="107"/>
      <c r="L24" s="107"/>
      <c r="M24" s="107"/>
      <c r="N24" s="107"/>
      <c r="O24" s="107"/>
      <c r="P24" s="107"/>
      <c r="Q24" s="107"/>
      <c r="R24" s="104">
        <f>SUM(R23:R23)</f>
        <v>35.340000000000003</v>
      </c>
      <c r="S24" s="106">
        <f>SUM(S23:S23)</f>
        <v>564.66</v>
      </c>
      <c r="T24" s="104"/>
      <c r="U24" s="104"/>
      <c r="V24" s="105">
        <f>SUM(V23:V23)</f>
        <v>50.82</v>
      </c>
      <c r="W24" s="105">
        <f>SUM(W23:W23)</f>
        <v>50.82</v>
      </c>
      <c r="X24" s="105">
        <f>SUM(X23:X23)</f>
        <v>0</v>
      </c>
      <c r="Y24" s="105"/>
      <c r="Z24" s="105"/>
      <c r="AA24" s="105"/>
      <c r="AB24" s="104">
        <f>SUM(AB23:AB23)</f>
        <v>101.64</v>
      </c>
      <c r="AC24" s="102">
        <f>SUM(AC23:AC23)</f>
        <v>666.3</v>
      </c>
      <c r="AD24" s="103">
        <f>SUM(AD23:AD23)</f>
        <v>120</v>
      </c>
      <c r="AE24" s="103">
        <f>SUM(AE23:AE23)</f>
        <v>0</v>
      </c>
      <c r="AF24" s="102"/>
      <c r="AG24" s="103">
        <f>SUM(AG23:AG23)</f>
        <v>0</v>
      </c>
      <c r="AH24" s="103">
        <f>SUM(AH23:AH23)</f>
        <v>0</v>
      </c>
      <c r="AI24" s="103">
        <f>SUM(AI23:AI23)</f>
        <v>564.66</v>
      </c>
      <c r="AJ24" s="103">
        <f>SUM(AJ23:AJ23)</f>
        <v>0</v>
      </c>
      <c r="AK24" s="103">
        <f>SUM(AK23:AK23)</f>
        <v>0</v>
      </c>
      <c r="AL24" s="102"/>
      <c r="AM24" s="102"/>
      <c r="AN24" s="102"/>
      <c r="AO24" s="102"/>
      <c r="AP24" s="102"/>
      <c r="AQ24" s="102"/>
      <c r="AR24" s="102"/>
      <c r="AS24" s="100"/>
    </row>
    <row r="25" spans="1:70">
      <c r="A25" s="100"/>
      <c r="B25" s="101"/>
      <c r="C25" s="101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26"/>
  <sheetViews>
    <sheetView topLeftCell="A13" workbookViewId="0">
      <selection activeCell="D33" sqref="D33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IF($P$21=1,(S23/$S$25)*$E$36,AD23/$AD$25*$E$36)</f>
        <v>0</v>
      </c>
      <c r="AF23" s="116"/>
      <c r="AG23" s="116">
        <f>IF($P$21=1,(S23/$S$25)*$E$38,AD23/$AD$25*$E$38)</f>
        <v>0</v>
      </c>
      <c r="AH23" s="116">
        <f>IF($P$21=1,(S23/$S$25)*$E$38,AD23/$AD$25*$E$38)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187</v>
      </c>
      <c r="AT23" s="112" t="s">
        <v>12</v>
      </c>
      <c r="AU23" s="99" t="s">
        <v>108</v>
      </c>
      <c r="AV23" s="99" t="s">
        <v>149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148</v>
      </c>
      <c r="BM23" s="99" t="s">
        <v>219</v>
      </c>
      <c r="BN23" s="99" t="s">
        <v>218</v>
      </c>
      <c r="BO23" s="112">
        <f>ROUND((((AW23*AZ23)+(BN23*BM23))/(AW23+BN23)),5)</f>
        <v>877.72680000000003</v>
      </c>
      <c r="BP23" s="110">
        <f>BN23+AW23</f>
        <v>1108</v>
      </c>
      <c r="BQ23" s="111">
        <v>88363222</v>
      </c>
      <c r="BR23" s="110"/>
    </row>
    <row r="24" spans="1:70" ht="15.75" thickBot="1">
      <c r="A24" s="137">
        <v>2</v>
      </c>
      <c r="B24" s="107" t="s">
        <v>217</v>
      </c>
      <c r="C24" s="107" t="s">
        <v>217</v>
      </c>
      <c r="D24" s="157" t="s">
        <v>12</v>
      </c>
      <c r="E24" s="107" t="s">
        <v>12</v>
      </c>
      <c r="F24" s="116">
        <v>2</v>
      </c>
      <c r="G24" s="116">
        <v>300</v>
      </c>
      <c r="H24" s="116">
        <f>F24*G24</f>
        <v>600</v>
      </c>
      <c r="I24" s="116">
        <v>1</v>
      </c>
      <c r="J24" s="116">
        <v>2</v>
      </c>
      <c r="K24" s="116">
        <v>3</v>
      </c>
      <c r="L24" s="116">
        <f>H24</f>
        <v>600</v>
      </c>
      <c r="M24" s="116">
        <f>ROUND(L24*I24%,2)</f>
        <v>6</v>
      </c>
      <c r="N24" s="116">
        <f>H24-M24</f>
        <v>594</v>
      </c>
      <c r="O24" s="116">
        <f>ROUND(N24*J24%,2)</f>
        <v>11.88</v>
      </c>
      <c r="P24" s="116">
        <f>ROUND(N24-O24,2)</f>
        <v>582.12</v>
      </c>
      <c r="Q24" s="116">
        <f>ROUND(P24*K24%,2)</f>
        <v>17.46</v>
      </c>
      <c r="R24" s="116">
        <f>M24+O24+Q24</f>
        <v>35.340000000000003</v>
      </c>
      <c r="S24" s="116">
        <f>(H24-R24)</f>
        <v>564.66</v>
      </c>
      <c r="T24" s="116" t="s">
        <v>106</v>
      </c>
      <c r="U24" s="116">
        <v>0.18</v>
      </c>
      <c r="V24" s="116">
        <f>IF(OR($C$21=1,$C$21=4),ROUND(((S24*U24)/2),2),0)</f>
        <v>50.82</v>
      </c>
      <c r="W24" s="116">
        <f>IF($C$21=1,ROUND(((S24*U24)/2),2),0)</f>
        <v>50.82</v>
      </c>
      <c r="X24" s="116">
        <f>IF($C$21=2,ROUND(((S24*U24)),2),0)</f>
        <v>0</v>
      </c>
      <c r="Y24" s="116">
        <f>IF($C$21=4,ROUND(((S24*U24)/2),2),0)</f>
        <v>0</v>
      </c>
      <c r="Z24" s="117">
        <v>0</v>
      </c>
      <c r="AA24" s="116">
        <f>IF($C22=3,0,S24*Z24)</f>
        <v>0</v>
      </c>
      <c r="AB24" s="116">
        <f>V24+W24+X24+Y24+AA24</f>
        <v>101.64</v>
      </c>
      <c r="AC24" s="116">
        <f>IF($V22=1,S24+AB24,S24)</f>
        <v>564.66</v>
      </c>
      <c r="AD24" s="116">
        <v>120</v>
      </c>
      <c r="AE24" s="116">
        <f>IF($P$21=1,(S24/$S$25)*$E$36,AD24/$AD$25*$E$36)</f>
        <v>0</v>
      </c>
      <c r="AF24" s="116"/>
      <c r="AG24" s="116">
        <f>IF($P$21=1,(S24/$S$25)*$E$38,AD24/$AD$25*$E$38)</f>
        <v>0</v>
      </c>
      <c r="AH24" s="116">
        <f>IF($P$21=1,(S24/$S$25)*$E$38,AD24/$AD$25*$E$38)</f>
        <v>0</v>
      </c>
      <c r="AI24" s="116">
        <f>S24*$M$21</f>
        <v>564.66</v>
      </c>
      <c r="AJ24" s="116">
        <f>IF($C$21=3,0,AG24+AH24)</f>
        <v>0</v>
      </c>
      <c r="AK24" s="116">
        <f>IF($C$21=3,AE24+AG24+AH24,0)</f>
        <v>0</v>
      </c>
      <c r="AL24" s="116">
        <v>1</v>
      </c>
      <c r="AM24" s="116">
        <f>F24/AL24</f>
        <v>2</v>
      </c>
      <c r="AN24" s="116">
        <f>AI24/AM24</f>
        <v>282.33</v>
      </c>
      <c r="AO24" s="116">
        <f>AJ24/AM24</f>
        <v>0</v>
      </c>
      <c r="AP24" s="116">
        <f>AK24/AM24</f>
        <v>0</v>
      </c>
      <c r="AQ24" s="116" t="s">
        <v>12</v>
      </c>
      <c r="AR24" s="99">
        <f>ROUND(AN24+AO24+AP24,5)</f>
        <v>282.33</v>
      </c>
      <c r="AS24" s="99" t="s">
        <v>187</v>
      </c>
      <c r="AT24" s="112" t="s">
        <v>12</v>
      </c>
      <c r="AU24" s="99" t="s">
        <v>108</v>
      </c>
      <c r="AV24" s="99" t="s">
        <v>149</v>
      </c>
      <c r="AW24" s="112">
        <f>AM24</f>
        <v>2</v>
      </c>
      <c r="AX24" s="112">
        <f>AR24</f>
        <v>282.33</v>
      </c>
      <c r="AY24" s="112">
        <f>AU24+AW24</f>
        <v>2</v>
      </c>
      <c r="AZ24" s="112">
        <f>ROUND(((AU24*AV24)+(AW24*AX24))/(AU24+AW24),5)</f>
        <v>282.33</v>
      </c>
      <c r="BA24" s="113"/>
      <c r="BB24" s="113" t="s">
        <v>110</v>
      </c>
      <c r="BC24" s="115" t="s">
        <v>113</v>
      </c>
      <c r="BD24" s="156" t="s">
        <v>144</v>
      </c>
      <c r="BE24" s="156" t="s">
        <v>145</v>
      </c>
      <c r="BF24" s="113"/>
      <c r="BG24" s="113"/>
      <c r="BH24" s="113"/>
      <c r="BI24" s="112"/>
      <c r="BL24" s="112" t="s">
        <v>148</v>
      </c>
      <c r="BM24" s="99" t="s">
        <v>216</v>
      </c>
      <c r="BN24" s="99" t="s">
        <v>215</v>
      </c>
      <c r="BO24" s="112">
        <f>ROUND((((AW24*AZ24)+(BN24*BM24))/(AW24+BN24)),5)</f>
        <v>1802.52115</v>
      </c>
      <c r="BP24" s="110">
        <f>BN24+AW24</f>
        <v>388</v>
      </c>
      <c r="BQ24" s="111">
        <v>88363222</v>
      </c>
      <c r="BR24" s="110"/>
    </row>
    <row r="25" spans="1:70" ht="15.75" thickBot="1">
      <c r="A25" s="100"/>
      <c r="B25" s="101"/>
      <c r="C25" s="101"/>
      <c r="D25" s="109" t="s">
        <v>41</v>
      </c>
      <c r="E25" s="109"/>
      <c r="F25" s="109"/>
      <c r="G25" s="108"/>
      <c r="H25" s="104">
        <f>SUM(H23:H24)</f>
        <v>1200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4">
        <f>SUM(R23:R24)</f>
        <v>70.680000000000007</v>
      </c>
      <c r="S25" s="106">
        <f>SUM(S23:S24)</f>
        <v>1129.32</v>
      </c>
      <c r="T25" s="104"/>
      <c r="U25" s="104"/>
      <c r="V25" s="105">
        <f>SUM(V23:V24)</f>
        <v>101.64</v>
      </c>
      <c r="W25" s="105">
        <f>SUM(W23:W24)</f>
        <v>101.64</v>
      </c>
      <c r="X25" s="105">
        <f>SUM(X23:X23)</f>
        <v>0</v>
      </c>
      <c r="Y25" s="105"/>
      <c r="Z25" s="105"/>
      <c r="AA25" s="105"/>
      <c r="AB25" s="104">
        <f>SUM(AB23:AB24)</f>
        <v>203.28</v>
      </c>
      <c r="AC25" s="102">
        <f>SUM(AC23:AC24)</f>
        <v>1230.96</v>
      </c>
      <c r="AD25" s="103">
        <f>SUM(AD23:AD24)</f>
        <v>240</v>
      </c>
      <c r="AE25" s="103">
        <f>SUM(AE23:AE23)</f>
        <v>0</v>
      </c>
      <c r="AF25" s="102"/>
      <c r="AG25" s="103">
        <f>SUM(AG23:AG23)</f>
        <v>0</v>
      </c>
      <c r="AH25" s="103">
        <f>SUM(AH23:AH23)</f>
        <v>0</v>
      </c>
      <c r="AI25" s="103">
        <f>SUM(AI23:AI24)</f>
        <v>1129.32</v>
      </c>
      <c r="AJ25" s="103">
        <f>SUM(AJ23:AJ23)</f>
        <v>0</v>
      </c>
      <c r="AK25" s="103">
        <f>SUM(AK23:AK23)</f>
        <v>0</v>
      </c>
      <c r="AL25" s="102"/>
      <c r="AM25" s="102"/>
      <c r="AN25" s="102"/>
      <c r="AO25" s="102"/>
      <c r="AP25" s="102"/>
      <c r="AQ25" s="102"/>
      <c r="AR25" s="102"/>
      <c r="AS25" s="100"/>
    </row>
    <row r="26" spans="1:70">
      <c r="A26" s="100"/>
      <c r="B26" s="101"/>
      <c r="C26" s="101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26"/>
  <sheetViews>
    <sheetView topLeftCell="A16" workbookViewId="0">
      <selection activeCell="B6" sqref="B6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bestFit="true" customWidth="true" style="99" width="10.5703125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IF($P$21=1,(S23/$S$25)*$E$36,AD23/$AD$25*$E$36)</f>
        <v>0</v>
      </c>
      <c r="AF23" s="116"/>
      <c r="AG23" s="116">
        <f>IF($P$21=1,(S23/$S$25)*$E$38,AD23/$AD$25*$E$38)</f>
        <v>0</v>
      </c>
      <c r="AH23" s="116">
        <f>IF($P$21=1,(S23/$S$25)*$E$38,AD23/$AD$25*$E$38)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187</v>
      </c>
      <c r="AT23" s="112" t="s">
        <v>12</v>
      </c>
      <c r="AU23" s="99" t="s">
        <v>108</v>
      </c>
      <c r="AV23" s="99" t="s">
        <v>149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222</v>
      </c>
      <c r="BM23" s="99" t="s">
        <v>224</v>
      </c>
      <c r="BN23" s="99" t="s">
        <v>223</v>
      </c>
      <c r="BO23" s="112">
        <f>ROUND((((AW23*AZ23)+(BN23*BM23))/(AW23+BN23)),5)</f>
        <v>327.91860000000003</v>
      </c>
      <c r="BP23" s="110">
        <f>BN23+AW23</f>
        <v>880</v>
      </c>
      <c r="BQ23" s="111">
        <v>88363222</v>
      </c>
      <c r="BR23" s="110"/>
    </row>
    <row r="24" spans="1:70" ht="15.75" thickBot="1">
      <c r="A24" s="137">
        <v>2</v>
      </c>
      <c r="B24" s="107" t="s">
        <v>217</v>
      </c>
      <c r="C24" s="107" t="s">
        <v>217</v>
      </c>
      <c r="D24" s="157" t="s">
        <v>12</v>
      </c>
      <c r="E24" s="107" t="s">
        <v>12</v>
      </c>
      <c r="F24" s="116">
        <v>2</v>
      </c>
      <c r="G24" s="116">
        <v>300</v>
      </c>
      <c r="H24" s="116">
        <f>F24*G24</f>
        <v>600</v>
      </c>
      <c r="I24" s="116">
        <v>1</v>
      </c>
      <c r="J24" s="116">
        <v>2</v>
      </c>
      <c r="K24" s="116">
        <v>3</v>
      </c>
      <c r="L24" s="116">
        <f>H24</f>
        <v>600</v>
      </c>
      <c r="M24" s="116">
        <f>ROUND(L24*I24%,2)</f>
        <v>6</v>
      </c>
      <c r="N24" s="116">
        <f>H24-M24</f>
        <v>594</v>
      </c>
      <c r="O24" s="116">
        <f>ROUND(N24*J24%,2)</f>
        <v>11.88</v>
      </c>
      <c r="P24" s="116">
        <f>ROUND(N24-O24,2)</f>
        <v>582.12</v>
      </c>
      <c r="Q24" s="116">
        <f>ROUND(P24*K24%,2)</f>
        <v>17.46</v>
      </c>
      <c r="R24" s="116">
        <f>M24+O24+Q24</f>
        <v>35.340000000000003</v>
      </c>
      <c r="S24" s="116">
        <f>(H24-R24)</f>
        <v>564.66</v>
      </c>
      <c r="T24" s="116" t="s">
        <v>106</v>
      </c>
      <c r="U24" s="116">
        <v>0.18</v>
      </c>
      <c r="V24" s="116">
        <f>IF(OR($C$21=1,$C$21=4),ROUND(((S24*U24)/2),2),0)</f>
        <v>50.82</v>
      </c>
      <c r="W24" s="116">
        <f>IF($C$21=1,ROUND(((S24*U24)/2),2),0)</f>
        <v>50.82</v>
      </c>
      <c r="X24" s="116">
        <f>IF($C$21=2,ROUND(((S24*U24)),2),0)</f>
        <v>0</v>
      </c>
      <c r="Y24" s="116">
        <f>IF($C$21=4,ROUND(((S24*U24)/2),2),0)</f>
        <v>0</v>
      </c>
      <c r="Z24" s="117">
        <v>0</v>
      </c>
      <c r="AA24" s="116">
        <f>IF($C22=3,0,S24*Z24)</f>
        <v>0</v>
      </c>
      <c r="AB24" s="116">
        <f>V24+W24+X24+Y24+AA24</f>
        <v>101.64</v>
      </c>
      <c r="AC24" s="116">
        <f>IF($V22=1,S24+AB24,S24)</f>
        <v>564.66</v>
      </c>
      <c r="AD24" s="116">
        <v>120</v>
      </c>
      <c r="AE24" s="116">
        <f>IF($P$21=1,(S24/$S$25)*$E$36,AD24/$AD$25*$E$36)</f>
        <v>0</v>
      </c>
      <c r="AF24" s="116"/>
      <c r="AG24" s="116">
        <f>IF($P$21=1,(S24/$S$25)*$E$38,AD24/$AD$25*$E$38)</f>
        <v>0</v>
      </c>
      <c r="AH24" s="116">
        <f>IF($P$21=1,(S24/$S$25)*$E$38,AD24/$AD$25*$E$38)</f>
        <v>0</v>
      </c>
      <c r="AI24" s="116">
        <f>S24*$M$21</f>
        <v>564.66</v>
      </c>
      <c r="AJ24" s="116">
        <f>IF($C$21=3,0,AG24+AH24)</f>
        <v>0</v>
      </c>
      <c r="AK24" s="116">
        <f>IF($C$21=3,AE24+AG24+AH24,0)</f>
        <v>0</v>
      </c>
      <c r="AL24" s="116">
        <v>1</v>
      </c>
      <c r="AM24" s="116">
        <f>F24/AL24</f>
        <v>2</v>
      </c>
      <c r="AN24" s="116">
        <f>AI24/AM24</f>
        <v>282.33</v>
      </c>
      <c r="AO24" s="116">
        <f>AJ24/AM24</f>
        <v>0</v>
      </c>
      <c r="AP24" s="116">
        <f>AK24/AM24</f>
        <v>0</v>
      </c>
      <c r="AQ24" s="116" t="s">
        <v>12</v>
      </c>
      <c r="AR24" s="99">
        <f>ROUND(AN24+AO24+AP24,5)</f>
        <v>282.33</v>
      </c>
      <c r="AS24" s="99" t="s">
        <v>187</v>
      </c>
      <c r="AT24" s="112" t="s">
        <v>12</v>
      </c>
      <c r="AU24" s="99" t="s">
        <v>108</v>
      </c>
      <c r="AV24" s="99" t="s">
        <v>149</v>
      </c>
      <c r="AW24" s="112">
        <f>AM24</f>
        <v>2</v>
      </c>
      <c r="AX24" s="112">
        <f>AR24</f>
        <v>282.33</v>
      </c>
      <c r="AY24" s="112">
        <f>AU24+AW24</f>
        <v>2</v>
      </c>
      <c r="AZ24" s="112">
        <f>ROUND(((AU24*AV24)+(AW24*AX24))/(AU24+AW24),5)</f>
        <v>282.33</v>
      </c>
      <c r="BA24" s="113"/>
      <c r="BB24" s="113" t="s">
        <v>110</v>
      </c>
      <c r="BC24" s="115" t="s">
        <v>113</v>
      </c>
      <c r="BD24" s="156" t="s">
        <v>144</v>
      </c>
      <c r="BE24" s="156" t="s">
        <v>145</v>
      </c>
      <c r="BF24" s="113"/>
      <c r="BG24" s="113"/>
      <c r="BH24" s="113"/>
      <c r="BI24" s="112"/>
      <c r="BL24" s="112" t="s">
        <v>222</v>
      </c>
      <c r="BM24" s="99" t="s">
        <v>221</v>
      </c>
      <c r="BN24" s="99" t="s">
        <v>220</v>
      </c>
      <c r="BO24" s="112">
        <f>ROUND((((AW24*AZ24)+(BN24*BM24))/(AW24+BN24)),5)</f>
        <v>257.66773000000001</v>
      </c>
      <c r="BP24" s="110">
        <f>BN24+AW24</f>
        <v>296</v>
      </c>
      <c r="BQ24" s="111">
        <v>88363222</v>
      </c>
      <c r="BR24" s="110"/>
    </row>
    <row r="25" spans="1:70" ht="15.75" thickBot="1">
      <c r="A25" s="100"/>
      <c r="B25" s="101"/>
      <c r="C25" s="101"/>
      <c r="D25" s="109" t="s">
        <v>41</v>
      </c>
      <c r="E25" s="109"/>
      <c r="F25" s="109"/>
      <c r="G25" s="108"/>
      <c r="H25" s="104">
        <f>SUM(H23:H24)</f>
        <v>1200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4">
        <f>SUM(R23:R24)</f>
        <v>70.680000000000007</v>
      </c>
      <c r="S25" s="106">
        <f>SUM(S23:S24)</f>
        <v>1129.32</v>
      </c>
      <c r="T25" s="104"/>
      <c r="U25" s="104"/>
      <c r="V25" s="105">
        <f>SUM(V23:V24)</f>
        <v>101.64</v>
      </c>
      <c r="W25" s="105">
        <f>SUM(W23:W24)</f>
        <v>101.64</v>
      </c>
      <c r="X25" s="105">
        <f>SUM(X23:X23)</f>
        <v>0</v>
      </c>
      <c r="Y25" s="105"/>
      <c r="Z25" s="105"/>
      <c r="AA25" s="105"/>
      <c r="AB25" s="104">
        <f>SUM(AB23:AB24)</f>
        <v>203.28</v>
      </c>
      <c r="AC25" s="102">
        <f>SUM(AC23:AC24)</f>
        <v>1230.96</v>
      </c>
      <c r="AD25" s="103">
        <f>SUM(AD23:AD24)</f>
        <v>240</v>
      </c>
      <c r="AE25" s="103">
        <f>SUM(AE23:AE23)</f>
        <v>0</v>
      </c>
      <c r="AF25" s="102"/>
      <c r="AG25" s="103">
        <f>SUM(AG23:AG23)</f>
        <v>0</v>
      </c>
      <c r="AH25" s="103">
        <f>SUM(AH23:AH23)</f>
        <v>0</v>
      </c>
      <c r="AI25" s="103">
        <f>SUM(AI23:AI24)</f>
        <v>1129.32</v>
      </c>
      <c r="AJ25" s="103">
        <f>SUM(AJ23:AJ23)</f>
        <v>0</v>
      </c>
      <c r="AK25" s="103">
        <f>SUM(AK23:AK23)</f>
        <v>0</v>
      </c>
      <c r="AL25" s="102"/>
      <c r="AM25" s="102"/>
      <c r="AN25" s="102"/>
      <c r="AO25" s="102"/>
      <c r="AP25" s="102"/>
      <c r="AQ25" s="102"/>
      <c r="AR25" s="102"/>
      <c r="AS25" s="100"/>
    </row>
    <row r="26" spans="1:70">
      <c r="A26" s="100"/>
      <c r="B26" s="101"/>
      <c r="C26" s="101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D15" sqref="D15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bestFit="true" customWidth="true" style="99" width="10.5703125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IF($P$21=1,(S23/$S$24)*$E$35,AD23/$AD$24*$E$35)</f>
        <v>0</v>
      </c>
      <c r="AF23" s="116"/>
      <c r="AG23" s="116">
        <f>IF($P$21=1,(S23/$S$24)*$E$37,AD23/$AD$24*$E$37)</f>
        <v>0</v>
      </c>
      <c r="AH23" s="116">
        <f>IF($P$21=1,(S23/$S$24)*$E$37,AD23/$AD$24*$E$37)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187</v>
      </c>
      <c r="AT23" s="112" t="s">
        <v>12</v>
      </c>
      <c r="AU23" t="s" s="99">
        <v>108</v>
      </c>
      <c r="AV23" t="s" s="99">
        <v>149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222</v>
      </c>
      <c r="BM23" t="s" s="99">
        <v>396</v>
      </c>
      <c r="BN23" t="s" s="99">
        <v>395</v>
      </c>
      <c r="BO23" s="112">
        <f>ROUND((((AW23*AZ23)+(BN23*BM23))/(AW23+BN23)),5)</f>
        <v>191.55333999999999</v>
      </c>
      <c r="BP23" s="110">
        <f>BN23+AW23</f>
        <v>30</v>
      </c>
      <c r="BQ23" s="111">
        <v>88363222</v>
      </c>
      <c r="BR23" s="110"/>
    </row>
    <row r="24" spans="1:70" ht="15.75" thickBot="1">
      <c r="A24" s="100"/>
      <c r="B24" s="101"/>
      <c r="C24" s="101"/>
      <c r="D24" s="109" t="s">
        <v>41</v>
      </c>
      <c r="E24" s="109"/>
      <c r="F24" s="109"/>
      <c r="G24" s="108"/>
      <c r="H24" s="104">
        <f>SUM(H23:H23)</f>
        <v>600</v>
      </c>
      <c r="I24" s="107"/>
      <c r="J24" s="107"/>
      <c r="K24" s="107"/>
      <c r="L24" s="107"/>
      <c r="M24" s="107"/>
      <c r="N24" s="107"/>
      <c r="O24" s="107"/>
      <c r="P24" s="107"/>
      <c r="Q24" s="107"/>
      <c r="R24" s="104">
        <f>SUM(R23:R23)</f>
        <v>35.340000000000003</v>
      </c>
      <c r="S24" s="106">
        <f>SUM(S23:S23)</f>
        <v>564.66</v>
      </c>
      <c r="T24" s="104"/>
      <c r="U24" s="104"/>
      <c r="V24" s="105">
        <f>SUM(V23:V23)</f>
        <v>50.82</v>
      </c>
      <c r="W24" s="105">
        <f>SUM(W23:W23)</f>
        <v>50.82</v>
      </c>
      <c r="X24" s="105">
        <f>SUM(X23:X23)</f>
        <v>0</v>
      </c>
      <c r="Y24" s="105"/>
      <c r="Z24" s="105"/>
      <c r="AA24" s="105"/>
      <c r="AB24" s="104">
        <f>SUM(AB23:AB23)</f>
        <v>101.64</v>
      </c>
      <c r="AC24" s="102">
        <f>SUM(AC23:AC23)</f>
        <v>666.3</v>
      </c>
      <c r="AD24" s="103">
        <f>SUM(AD23:AD23)</f>
        <v>120</v>
      </c>
      <c r="AE24" s="103">
        <f>SUM(AE23:AE23)</f>
        <v>0</v>
      </c>
      <c r="AF24" s="102"/>
      <c r="AG24" s="103">
        <f>SUM(AG23:AG23)</f>
        <v>0</v>
      </c>
      <c r="AH24" s="103">
        <f>SUM(AH23:AH23)</f>
        <v>0</v>
      </c>
      <c r="AI24" s="103">
        <f>SUM(AI23:AI23)</f>
        <v>564.66</v>
      </c>
      <c r="AJ24" s="103">
        <f>SUM(AJ23:AJ23)</f>
        <v>0</v>
      </c>
      <c r="AK24" s="103">
        <f>SUM(AK23:AK23)</f>
        <v>0</v>
      </c>
      <c r="AL24" s="102"/>
      <c r="AM24" s="102"/>
      <c r="AN24" s="102"/>
      <c r="AO24" s="102"/>
      <c r="AP24" s="102"/>
      <c r="AQ24" s="102"/>
      <c r="AR24" s="102"/>
      <c r="AS24" s="100"/>
    </row>
    <row r="25" spans="1:70">
      <c r="A25" s="100"/>
      <c r="B25" s="101"/>
      <c r="C25" s="101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R26"/>
  <sheetViews>
    <sheetView topLeftCell="A10" workbookViewId="0">
      <selection activeCell="C20" sqref="C20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3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0</v>
      </c>
      <c r="W23" s="116">
        <f>IF($C$21=1,ROUND(((S23*U23)/2),2),0)</f>
        <v>0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0</v>
      </c>
      <c r="AC23" s="116">
        <f>IF($V21=1,S23+AB23,S23)</f>
        <v>564.66</v>
      </c>
      <c r="AD23" s="116">
        <v>120</v>
      </c>
      <c r="AE23" s="116">
        <f>IF($P$21=1,(S23/$S$25)*$E$36,AD23/$AD$25*$E$36)</f>
        <v>0</v>
      </c>
      <c r="AF23" s="116"/>
      <c r="AG23" s="116">
        <f>IF($P$21=1,(S23/$S$25)*$E$38,AD23/$AD$25*$E$38)</f>
        <v>0</v>
      </c>
      <c r="AH23" s="116">
        <f>IF($P$21=1,(S23/$S$25)*$E$38,AD23/$AD$25*$E$38)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187</v>
      </c>
      <c r="AT23" s="112" t="s">
        <v>12</v>
      </c>
      <c r="AU23" s="99" t="s">
        <v>108</v>
      </c>
      <c r="AV23" s="99" t="s">
        <v>231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148</v>
      </c>
      <c r="BM23" s="99" t="s">
        <v>230</v>
      </c>
      <c r="BN23" s="99" t="s">
        <v>229</v>
      </c>
      <c r="BO23" s="112">
        <f>ROUND((((AW23*AZ23)+(BN23*BM23))/(AW23+BN23)),5)</f>
        <v>1383.7700299999999</v>
      </c>
      <c r="BP23" s="110">
        <f>BN23+AW23</f>
        <v>4176</v>
      </c>
      <c r="BQ23" s="111">
        <v>88363222</v>
      </c>
      <c r="BR23" s="110"/>
    </row>
    <row r="24" spans="1:70" ht="15.75" thickBot="1">
      <c r="A24" s="137">
        <v>2</v>
      </c>
      <c r="B24" s="107" t="s">
        <v>217</v>
      </c>
      <c r="C24" s="107" t="s">
        <v>217</v>
      </c>
      <c r="D24" s="157" t="s">
        <v>12</v>
      </c>
      <c r="E24" s="107" t="s">
        <v>12</v>
      </c>
      <c r="F24" s="116">
        <v>2</v>
      </c>
      <c r="G24" s="116">
        <v>300</v>
      </c>
      <c r="H24" s="116">
        <f>F24*G24</f>
        <v>600</v>
      </c>
      <c r="I24" s="116">
        <v>1</v>
      </c>
      <c r="J24" s="116">
        <v>2</v>
      </c>
      <c r="K24" s="116">
        <v>3</v>
      </c>
      <c r="L24" s="116">
        <f>H24</f>
        <v>600</v>
      </c>
      <c r="M24" s="116">
        <f>ROUND(L24*I24%,2)</f>
        <v>6</v>
      </c>
      <c r="N24" s="116">
        <f>H24-M24</f>
        <v>594</v>
      </c>
      <c r="O24" s="116">
        <f>ROUND(N24*J24%,2)</f>
        <v>11.88</v>
      </c>
      <c r="P24" s="116">
        <f>ROUND(N24-O24,2)</f>
        <v>582.12</v>
      </c>
      <c r="Q24" s="116">
        <f>ROUND(P24*K24%,2)</f>
        <v>17.46</v>
      </c>
      <c r="R24" s="116">
        <f>M24+O24+Q24</f>
        <v>35.340000000000003</v>
      </c>
      <c r="S24" s="116">
        <f>(H24-R24)</f>
        <v>564.66</v>
      </c>
      <c r="T24" s="116" t="s">
        <v>106</v>
      </c>
      <c r="U24" s="116">
        <v>0.18</v>
      </c>
      <c r="V24" s="116">
        <f>IF(OR($C$21=1,$C$21=4),ROUND(((S24*U24)/2),2),0)</f>
        <v>0</v>
      </c>
      <c r="W24" s="116">
        <f>IF($C$21=1,ROUND(((S24*U24)/2),2),0)</f>
        <v>0</v>
      </c>
      <c r="X24" s="116">
        <f>IF($C$21=2,ROUND(((S24*U24)),2),0)</f>
        <v>0</v>
      </c>
      <c r="Y24" s="116">
        <f>IF($C$21=4,ROUND(((S24*U24)/2),2),0)</f>
        <v>0</v>
      </c>
      <c r="Z24" s="117">
        <v>0</v>
      </c>
      <c r="AA24" s="116">
        <f>IF($C22=3,0,S24*Z24)</f>
        <v>0</v>
      </c>
      <c r="AB24" s="116">
        <f>V24+W24+X24+Y24+AA24</f>
        <v>0</v>
      </c>
      <c r="AC24" s="116">
        <f>IF($V22=1,S24+AB24,S24)</f>
        <v>564.66</v>
      </c>
      <c r="AD24" s="116">
        <v>120</v>
      </c>
      <c r="AE24" s="116">
        <f>IF($P$21=1,(S24/$S$25)*$E$36,AD24/$AD$25*$E$36)</f>
        <v>0</v>
      </c>
      <c r="AF24" s="116"/>
      <c r="AG24" s="116">
        <f>IF($P$21=1,(S24/$S$25)*$E$38,AD24/$AD$25*$E$38)</f>
        <v>0</v>
      </c>
      <c r="AH24" s="116">
        <f>IF($P$21=1,(S24/$S$25)*$E$38,AD24/$AD$25*$E$38)</f>
        <v>0</v>
      </c>
      <c r="AI24" s="116">
        <f>S24*$M$21</f>
        <v>564.66</v>
      </c>
      <c r="AJ24" s="116">
        <f>IF($C$21=3,0,AG24+AH24)</f>
        <v>0</v>
      </c>
      <c r="AK24" s="116">
        <f>IF($C$21=3,AE24+AG24+AH24,0)</f>
        <v>0</v>
      </c>
      <c r="AL24" s="116">
        <v>1</v>
      </c>
      <c r="AM24" s="116">
        <f>F24/AL24</f>
        <v>2</v>
      </c>
      <c r="AN24" s="116">
        <f>AI24/AM24</f>
        <v>282.33</v>
      </c>
      <c r="AO24" s="116">
        <f>AJ24/AM24</f>
        <v>0</v>
      </c>
      <c r="AP24" s="116">
        <f>AK24/AM24</f>
        <v>0</v>
      </c>
      <c r="AQ24" s="116" t="s">
        <v>12</v>
      </c>
      <c r="AR24" s="99">
        <f>ROUND(AN24+AO24+AP24,5)</f>
        <v>282.33</v>
      </c>
      <c r="AS24" s="99" t="s">
        <v>187</v>
      </c>
      <c r="AT24" s="112" t="s">
        <v>12</v>
      </c>
      <c r="AU24" s="99" t="s">
        <v>108</v>
      </c>
      <c r="AV24" s="99" t="s">
        <v>228</v>
      </c>
      <c r="AW24" s="112">
        <f>AM24</f>
        <v>2</v>
      </c>
      <c r="AX24" s="112">
        <f>AR24</f>
        <v>282.33</v>
      </c>
      <c r="AY24" s="112">
        <f>AU24+AW24</f>
        <v>2</v>
      </c>
      <c r="AZ24" s="112">
        <f>ROUND(((AU24*AV24)+(AW24*AX24))/(AU24+AW24),5)</f>
        <v>282.33</v>
      </c>
      <c r="BA24" s="113"/>
      <c r="BB24" s="113" t="s">
        <v>110</v>
      </c>
      <c r="BC24" s="115" t="s">
        <v>113</v>
      </c>
      <c r="BD24" s="156" t="s">
        <v>144</v>
      </c>
      <c r="BE24" s="156" t="s">
        <v>145</v>
      </c>
      <c r="BF24" s="113"/>
      <c r="BG24" s="113"/>
      <c r="BH24" s="113"/>
      <c r="BI24" s="112"/>
      <c r="BL24" s="112" t="s">
        <v>148</v>
      </c>
      <c r="BM24" s="99" t="s">
        <v>227</v>
      </c>
      <c r="BN24" s="99" t="s">
        <v>226</v>
      </c>
      <c r="BO24" s="112">
        <f>ROUND((((AW24*AZ24)+(BN24*BM24))/(AW24+BN24)),5)</f>
        <v>3417.83961</v>
      </c>
      <c r="BP24" s="110">
        <f>BN24+AW24</f>
        <v>1356</v>
      </c>
      <c r="BQ24" s="111">
        <v>88363222</v>
      </c>
      <c r="BR24" s="110"/>
    </row>
    <row r="25" spans="1:70" ht="15.75" thickBot="1">
      <c r="A25" s="100"/>
      <c r="B25" s="101"/>
      <c r="C25" s="101"/>
      <c r="D25" s="109" t="s">
        <v>41</v>
      </c>
      <c r="E25" s="109"/>
      <c r="F25" s="109"/>
      <c r="G25" s="108"/>
      <c r="H25" s="104">
        <f>SUM(H23:H24)</f>
        <v>1200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4">
        <f>SUM(R23:R24)</f>
        <v>70.680000000000007</v>
      </c>
      <c r="S25" s="106">
        <f>SUM(S23:S24)</f>
        <v>1129.32</v>
      </c>
      <c r="T25" s="104"/>
      <c r="U25" s="104"/>
      <c r="V25" s="105">
        <f>SUM(V23:V24)</f>
        <v>0</v>
      </c>
      <c r="W25" s="105">
        <f>SUM(W23:W24)</f>
        <v>0</v>
      </c>
      <c r="X25" s="105">
        <f>SUM(X23:X23)</f>
        <v>0</v>
      </c>
      <c r="Y25" s="105"/>
      <c r="Z25" s="105"/>
      <c r="AA25" s="105"/>
      <c r="AB25" s="104">
        <f>SUM(AB23:AB24)</f>
        <v>0</v>
      </c>
      <c r="AC25" s="102">
        <f>SUM(AC23:AC24)</f>
        <v>1129.32</v>
      </c>
      <c r="AD25" s="103">
        <f>SUM(AD23:AD24)</f>
        <v>240</v>
      </c>
      <c r="AE25" s="103">
        <f>SUM(AE23:AE23)</f>
        <v>0</v>
      </c>
      <c r="AF25" s="102"/>
      <c r="AG25" s="103">
        <f>SUM(AG23:AG23)</f>
        <v>0</v>
      </c>
      <c r="AH25" s="103">
        <f>SUM(AH23:AH23)</f>
        <v>0</v>
      </c>
      <c r="AI25" s="103">
        <f>SUM(AI23:AI24)</f>
        <v>1129.32</v>
      </c>
      <c r="AJ25" s="103">
        <f>SUM(AJ23:AJ23)</f>
        <v>0</v>
      </c>
      <c r="AK25" s="103">
        <f>SUM(AK23:AK23)</f>
        <v>0</v>
      </c>
      <c r="AL25" s="102"/>
      <c r="AM25" s="102"/>
      <c r="AN25" s="102"/>
      <c r="AO25" s="102"/>
      <c r="AP25" s="102"/>
      <c r="AQ25" s="102"/>
      <c r="AR25" s="102"/>
      <c r="AS25" s="100"/>
    </row>
    <row r="26" spans="1:70">
      <c r="A26" s="100"/>
      <c r="B26" s="101"/>
      <c r="C26" s="101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R25"/>
  <sheetViews>
    <sheetView topLeftCell="A10" workbookViewId="0">
      <selection activeCell="D27" sqref="D27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3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116">
        <v>30</v>
      </c>
      <c r="H23" s="116">
        <f>F23*G23</f>
        <v>60</v>
      </c>
      <c r="I23" s="116">
        <v>1</v>
      </c>
      <c r="J23" s="116">
        <v>2</v>
      </c>
      <c r="K23" s="116">
        <v>3</v>
      </c>
      <c r="L23" s="116">
        <f>H23</f>
        <v>60</v>
      </c>
      <c r="M23" s="116">
        <f>ROUND(L23*I23%,2)</f>
        <v>0.6</v>
      </c>
      <c r="N23" s="116">
        <f>H23-M23</f>
        <v>59.4</v>
      </c>
      <c r="O23" s="116">
        <f>ROUND(N23*J23%,2)</f>
        <v>1.19</v>
      </c>
      <c r="P23" s="116">
        <f>ROUND(N23-O23,2)</f>
        <v>58.21</v>
      </c>
      <c r="Q23" s="116">
        <f>ROUND(P23*K23%,2)</f>
        <v>1.75</v>
      </c>
      <c r="R23" s="116">
        <f>M23+O23+Q23</f>
        <v>3.54</v>
      </c>
      <c r="S23" s="116">
        <f>(H23-R23)</f>
        <v>56.46</v>
      </c>
      <c r="T23" s="116" t="s">
        <v>106</v>
      </c>
      <c r="U23" s="116">
        <v>0.18</v>
      </c>
      <c r="V23" s="116">
        <f>IF(OR($C$21=1,$C$21=4),ROUND(((S23*U23)/2),2),0)</f>
        <v>0</v>
      </c>
      <c r="W23" s="116">
        <f>IF($C$21=1,ROUND(((S23*U23)/2),2),0)</f>
        <v>0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0</v>
      </c>
      <c r="AC23" s="116">
        <f>IF($V21=1,S23+AB23,S23)</f>
        <v>56.46</v>
      </c>
      <c r="AD23" s="116">
        <v>120</v>
      </c>
      <c r="AE23" s="116">
        <f>IF($P$21=1,(S23/$S$24)*$E$35,AD23/$AD$24*$E$35)</f>
        <v>0</v>
      </c>
      <c r="AF23" s="116"/>
      <c r="AG23" s="116">
        <f>IF($P$21=1,(S23/$S$24)*$E$37,AD23/$AD$24*$E$37)</f>
        <v>0</v>
      </c>
      <c r="AH23" s="116">
        <f>IF($P$21=1,(S23/$S$24)*$E$37,AD23/$AD$24*$E$37)</f>
        <v>0</v>
      </c>
      <c r="AI23" s="116">
        <f>S23*$M$21</f>
        <v>56.46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28.23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28.23</v>
      </c>
      <c r="AS23" s="99" t="s">
        <v>187</v>
      </c>
      <c r="AT23" s="112" t="s">
        <v>12</v>
      </c>
      <c r="AU23" t="s" s="99">
        <v>108</v>
      </c>
      <c r="AV23" t="s" s="99">
        <v>149</v>
      </c>
      <c r="AW23" s="112">
        <f>AM23</f>
        <v>2</v>
      </c>
      <c r="AX23" s="112">
        <f>AR23</f>
        <v>28.23</v>
      </c>
      <c r="AY23" s="112">
        <f>AU23+AW23</f>
        <v>2</v>
      </c>
      <c r="AZ23" s="112">
        <f>ROUND(((AU23*AV23)+(AW23*AX23))/(AU23+AW23),5)</f>
        <v>28.23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148</v>
      </c>
      <c r="BM23" t="s" s="99">
        <v>286</v>
      </c>
      <c r="BN23" t="s" s="99">
        <v>285</v>
      </c>
      <c r="BO23" s="112">
        <f>ROUND((((AW23*AZ23)+(BN23*BM23))/(AW23+BN23)),5)</f>
        <v>1392.662</v>
      </c>
      <c r="BP23" s="110">
        <f>BN23+AW23</f>
        <v>4226</v>
      </c>
      <c r="BQ23" s="111">
        <v>88363222</v>
      </c>
      <c r="BR23" s="110"/>
    </row>
    <row r="24" spans="1:70" ht="15.75" thickBot="1">
      <c r="A24" s="100"/>
      <c r="B24" s="101"/>
      <c r="C24" s="101"/>
      <c r="D24" s="109" t="s">
        <v>41</v>
      </c>
      <c r="E24" s="109"/>
      <c r="F24" s="109"/>
      <c r="G24" s="108"/>
      <c r="H24" s="104">
        <f>SUM(H23:H23)</f>
        <v>60</v>
      </c>
      <c r="I24" s="107"/>
      <c r="J24" s="107"/>
      <c r="K24" s="107"/>
      <c r="L24" s="107"/>
      <c r="M24" s="107"/>
      <c r="N24" s="107"/>
      <c r="O24" s="107"/>
      <c r="P24" s="107"/>
      <c r="Q24" s="107"/>
      <c r="R24" s="104">
        <f>SUM(R23:R23)</f>
        <v>3.54</v>
      </c>
      <c r="S24" s="106">
        <f>SUM(S23:S23)</f>
        <v>56.46</v>
      </c>
      <c r="T24" s="104"/>
      <c r="U24" s="104"/>
      <c r="V24" s="105">
        <f>SUM(V23:V23)</f>
        <v>0</v>
      </c>
      <c r="W24" s="105">
        <f>SUM(W23:W23)</f>
        <v>0</v>
      </c>
      <c r="X24" s="105">
        <f>SUM(X23:X23)</f>
        <v>0</v>
      </c>
      <c r="Y24" s="105"/>
      <c r="Z24" s="105"/>
      <c r="AA24" s="105"/>
      <c r="AB24" s="104">
        <f>SUM(AB23:AB23)</f>
        <v>0</v>
      </c>
      <c r="AC24" s="102">
        <f>SUM(AC23:AC23)</f>
        <v>56.46</v>
      </c>
      <c r="AD24" s="103">
        <f>SUM(AD23:AD23)</f>
        <v>120</v>
      </c>
      <c r="AE24" s="103">
        <f>SUM(AE23:AE23)</f>
        <v>0</v>
      </c>
      <c r="AF24" s="102"/>
      <c r="AG24" s="103">
        <f>SUM(AG23:AG23)</f>
        <v>0</v>
      </c>
      <c r="AH24" s="103">
        <f>SUM(AH23:AH23)</f>
        <v>0</v>
      </c>
      <c r="AI24" s="103">
        <f>SUM(AI23:AI23)</f>
        <v>56.46</v>
      </c>
      <c r="AJ24" s="103">
        <f>SUM(AJ23:AJ23)</f>
        <v>0</v>
      </c>
      <c r="AK24" s="103">
        <f>SUM(AK23:AK23)</f>
        <v>0</v>
      </c>
      <c r="AL24" s="102"/>
      <c r="AM24" s="102"/>
      <c r="AN24" s="102"/>
      <c r="AO24" s="102"/>
      <c r="AP24" s="102"/>
      <c r="AQ24" s="102"/>
      <c r="AR24" s="102"/>
      <c r="AS24" s="100"/>
    </row>
    <row r="25" spans="1:70">
      <c r="A25" s="100"/>
      <c r="B25" s="101"/>
      <c r="C25" s="101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8:BR37"/>
  <sheetViews>
    <sheetView topLeftCell="A16" workbookViewId="0">
      <selection activeCell="E24" sqref="E24"/>
    </sheetView>
  </sheetViews>
  <sheetFormatPr defaultRowHeight="15"/>
  <cols>
    <col min="2" max="2" bestFit="true" customWidth="true" width="27.28515625"/>
  </cols>
  <sheetData>
    <row r="8" spans="1:70" ht="15.75" thickBot="1"/>
    <row r="9" spans="1:70" ht="15.75" thickBot="1">
      <c r="A9" s="45">
        <v>1</v>
      </c>
      <c r="B9" s="45" t="s">
        <v>117</v>
      </c>
      <c r="C9" s="45" t="s">
        <v>11</v>
      </c>
      <c r="D9" s="45" t="s">
        <v>12</v>
      </c>
      <c r="E9" s="45" t="s">
        <v>12</v>
      </c>
      <c r="F9" s="46">
        <v>2</v>
      </c>
      <c r="G9" s="46">
        <v>250.25</v>
      </c>
      <c r="H9" s="46">
        <f>F9*G9</f>
        <v>500.5</v>
      </c>
      <c r="I9" s="46">
        <v>2.21</v>
      </c>
      <c r="J9" s="46">
        <v>1.79</v>
      </c>
      <c r="K9" s="46">
        <v>2.5</v>
      </c>
      <c r="L9" s="46">
        <f>H9</f>
        <v>500.5</v>
      </c>
      <c r="M9" s="46">
        <f>ROUND(L9*I9%,2)</f>
        <v>11.06</v>
      </c>
      <c r="N9" s="46">
        <f>H9-M9</f>
        <v>489.44</v>
      </c>
      <c r="O9" s="46">
        <f>ROUND(N9*J9%,2)</f>
        <v>8.76</v>
      </c>
      <c r="P9" s="46">
        <f>ROUND(N9-O9,2)</f>
        <v>480.68</v>
      </c>
      <c r="Q9" s="46">
        <f>ROUND(P9*K9%,2)</f>
        <v>12.02</v>
      </c>
      <c r="R9" s="46">
        <f>M9+O9+Q9</f>
        <v>31.84</v>
      </c>
      <c r="S9" s="46">
        <f>(H9-R9)</f>
        <v>468.66</v>
      </c>
      <c r="T9" s="46" t="s">
        <v>106</v>
      </c>
      <c r="U9" s="46">
        <v>0.18</v>
      </c>
      <c r="V9" s="46">
        <f>IF(OR($C$19=1,$C$19=4),ROUND(((S9*U9)/2),2),0)</f>
        <v>0</v>
      </c>
      <c r="W9" s="46">
        <f>IF($C$19=1,ROUND(((S9*U9)/2),2),0)</f>
        <v>0</v>
      </c>
      <c r="X9" s="46">
        <f>IF($C$19=2,ROUND(((S9*U9)),2),0)</f>
        <v>0</v>
      </c>
      <c r="Y9" s="46">
        <f>IF($C$19=4,ROUND(((S9*U9)/2),2),0)</f>
        <v>0</v>
      </c>
      <c r="Z9" s="47">
        <v>0.06</v>
      </c>
      <c r="AA9" s="46">
        <f>IF($C7=3,0,S9*Z9)</f>
        <v>28.119600000000002</v>
      </c>
      <c r="AB9" s="46">
        <f>V9+W9+X9+Y9+AA9</f>
        <v>28.119600000000002</v>
      </c>
      <c r="AC9" s="46">
        <f>IF($V7=1,S9+AB9,S9)</f>
        <v>468.66</v>
      </c>
      <c r="AD9" s="46">
        <v>120</v>
      </c>
      <c r="AE9" s="46" t="e">
        <f>IF($P$19=1,(S9/$S$22)*#REF!,AD9/$AD$22*#REF!)</f>
        <v>#REF!</v>
      </c>
      <c r="AF9" s="46"/>
      <c r="AG9" s="46" t="e">
        <f>IF($P$19=1,(S9/$S$22)*#REF!,AD9/$AD$22*#REF!)</f>
        <v>#REF!</v>
      </c>
      <c r="AH9" s="46" t="e">
        <f>IF($P$19=1,(S9/$S$22)*#REF!,AD9/$AD$22*#REF!)</f>
        <v>#REF!</v>
      </c>
      <c r="AI9" s="46">
        <f t="shared" ref="AI9" si="0">S9*$M$19</f>
        <v>0</v>
      </c>
      <c r="AJ9" s="46" t="e">
        <f t="shared" ref="AJ9" si="1">IF($C$19=3,0,AG9+AH9)</f>
        <v>#REF!</v>
      </c>
      <c r="AK9" s="46">
        <f t="shared" ref="AK9" si="2">IF($C$19=3,AE9+AG9+AH9,0)</f>
        <v>0</v>
      </c>
      <c r="AL9" s="46">
        <v>1</v>
      </c>
      <c r="AM9" s="46">
        <f t="shared" ref="AM9" si="3">F9/AL9</f>
        <v>2</v>
      </c>
      <c r="AN9" s="46">
        <f>AI9/AM9</f>
        <v>0</v>
      </c>
      <c r="AO9" s="46" t="e">
        <f>AJ9/AM9</f>
        <v>#REF!</v>
      </c>
      <c r="AP9" s="46">
        <f>AK9/AM9</f>
        <v>0</v>
      </c>
      <c r="AQ9" s="46" t="s">
        <v>12</v>
      </c>
      <c r="AR9" s="46" t="e">
        <f>AN9+AO9+AP9</f>
        <v>#REF!</v>
      </c>
      <c r="AS9" s="48" t="s">
        <v>107</v>
      </c>
      <c r="AT9" s="48" t="s">
        <v>12</v>
      </c>
      <c r="AU9" t="s" s="0">
        <v>127</v>
      </c>
      <c r="AV9" t="s" s="0">
        <v>143</v>
      </c>
      <c r="AW9" s="48">
        <f>AM9</f>
        <v>2</v>
      </c>
      <c r="AX9" s="48" t="e">
        <f>AR9</f>
        <v>#REF!</v>
      </c>
      <c r="AY9" s="48">
        <f>AU9+AW9</f>
        <v>4</v>
      </c>
      <c r="AZ9" s="48" t="e">
        <f>ROUND(((AU9*AV9)+(AW9*AX9))/(AU9+AW9),5)</f>
        <v>#REF!</v>
      </c>
      <c r="BA9" s="3"/>
      <c r="BB9" s="3" t="s">
        <v>110</v>
      </c>
      <c r="BC9" s="49" t="s">
        <v>113</v>
      </c>
      <c r="BD9" s="49" t="s">
        <v>144</v>
      </c>
      <c r="BE9" s="49" t="s">
        <v>145</v>
      </c>
      <c r="BF9" s="3"/>
      <c r="BG9" s="3"/>
      <c r="BH9" s="3"/>
      <c r="BI9" s="48"/>
      <c r="BJ9" s="48"/>
      <c r="BK9" s="48"/>
      <c r="BL9" s="48" t="s">
        <v>112</v>
      </c>
      <c r="BM9" t="s" s="0">
        <v>146</v>
      </c>
      <c r="BN9" t="s" s="0">
        <v>147</v>
      </c>
      <c r="BO9" s="48" t="e">
        <f>ROUND((((AW9*AZ9)+(BN9*BM9))/(AW9+BN9)),5)</f>
        <v>#REF!</v>
      </c>
      <c r="BP9" s="4">
        <f>BN9+AW9</f>
        <v>12</v>
      </c>
      <c r="BQ9" s="50">
        <v>123562</v>
      </c>
      <c r="BR9" s="4"/>
    </row>
    <row r="13" spans="1:70" ht="30.75" customHeight="1"/>
    <row r="14" spans="1:70" ht="15.75" thickBot="1"/>
    <row r="15" spans="1:70" ht="15.75" thickBot="1">
      <c r="A15" s="45">
        <v>1</v>
      </c>
      <c r="B15" s="2" t="s">
        <v>154</v>
      </c>
      <c r="C15" s="2" t="s">
        <v>11</v>
      </c>
      <c r="D15" s="45" t="s">
        <v>12</v>
      </c>
      <c r="E15" s="45" t="s">
        <v>12</v>
      </c>
      <c r="F15" s="46">
        <v>2</v>
      </c>
      <c r="G15" s="46">
        <v>300</v>
      </c>
      <c r="H15" s="46">
        <f>F15*G15</f>
        <v>600</v>
      </c>
      <c r="I15" s="46">
        <v>1</v>
      </c>
      <c r="J15" s="46">
        <v>2</v>
      </c>
      <c r="K15" s="46">
        <v>3</v>
      </c>
      <c r="L15" s="46">
        <f>H15</f>
        <v>600</v>
      </c>
      <c r="M15" s="46">
        <f>ROUND(L15*I15%,2)</f>
        <v>6</v>
      </c>
      <c r="N15" s="46">
        <f>H15-M15</f>
        <v>594</v>
      </c>
      <c r="O15" s="46">
        <f>ROUND(N15*J15%,2)</f>
        <v>11.88</v>
      </c>
      <c r="P15" s="46">
        <f>ROUND(N15-O15,2)</f>
        <v>582.12</v>
      </c>
      <c r="Q15" s="46">
        <f>ROUND(P15*K15%,2)</f>
        <v>17.46</v>
      </c>
      <c r="R15" s="46">
        <f>M15+O15+Q15</f>
        <v>35.340000000000003</v>
      </c>
      <c r="S15" s="46">
        <f>(H15-R15)</f>
        <v>564.66</v>
      </c>
      <c r="T15" s="46" t="s">
        <v>106</v>
      </c>
      <c r="U15" s="46">
        <v>0.18</v>
      </c>
      <c r="V15" s="46">
        <f>IF(OR($C$21=1,$C$21=4),ROUND(((S15*U15)/2),2),0)</f>
        <v>0</v>
      </c>
      <c r="W15" s="46">
        <f>IF($C$21=1,ROUND(((S15*U15)/2),2),0)</f>
        <v>0</v>
      </c>
      <c r="X15" s="46">
        <f>IF($C$21=2,ROUND(((S15*U15)),2),0)</f>
        <v>0</v>
      </c>
      <c r="Y15" s="46">
        <f>IF($C$21=4,ROUND(((S15*U15)/2),2),0)</f>
        <v>0</v>
      </c>
      <c r="Z15" s="47">
        <v>0.06</v>
      </c>
      <c r="AA15" s="46">
        <f>IF($C13=3,0,S15*Z15)</f>
        <v>33.879599999999996</v>
      </c>
      <c r="AB15" s="46">
        <f>V15+W15+X15+Y15+AA15</f>
        <v>33.879599999999996</v>
      </c>
      <c r="AC15" s="46">
        <f>IF($V13=1,S15+AB15,S15)</f>
        <v>564.66</v>
      </c>
      <c r="AD15" s="46">
        <v>120</v>
      </c>
      <c r="AE15" s="46" t="e">
        <f>IF($P$21=1,(S15/$S$27)*$E$38,AD15/$AD$27*$E$38)</f>
        <v>#DIV/0!</v>
      </c>
      <c r="AF15" s="46"/>
      <c r="AG15" s="46" t="e">
        <f>IF($P$21=1,(S15/$S$27)*$E$40,AD15/$AD$27*$E$40)</f>
        <v>#DIV/0!</v>
      </c>
      <c r="AH15" s="46" t="e">
        <f>IF($P$21=1,(S15/$S$27)*$E$40,AD15/$AD$27*$E$40)</f>
        <v>#DIV/0!</v>
      </c>
      <c r="AI15" s="46">
        <f>S15*$M$21</f>
        <v>6775.92</v>
      </c>
      <c r="AJ15" s="46" t="e">
        <f>IF($C$21=3,0,AG15+AH15)</f>
        <v>#DIV/0!</v>
      </c>
      <c r="AK15" s="46">
        <f>IF($C$21=3,AE15+AG15+AH15,0)</f>
        <v>0</v>
      </c>
      <c r="AL15" s="46">
        <v>1</v>
      </c>
      <c r="AM15" s="46">
        <f>F15/AL15</f>
        <v>2</v>
      </c>
      <c r="AN15" s="46">
        <f>AI15/AM15</f>
        <v>3387.96</v>
      </c>
      <c r="AO15" s="46" t="e">
        <f>AJ15/AM15</f>
        <v>#DIV/0!</v>
      </c>
      <c r="AP15" s="46">
        <f>AK15/AM15</f>
        <v>0</v>
      </c>
      <c r="AQ15" s="46" t="s">
        <v>12</v>
      </c>
      <c r="AR15" t="e" s="0">
        <f>ROUND(AN15+AO15+AP15,5)</f>
        <v>#DIV/0!</v>
      </c>
      <c r="AS15" t="s" s="0">
        <v>107</v>
      </c>
      <c r="AT15" s="48" t="s">
        <v>12</v>
      </c>
      <c r="AU15" t="s" s="0">
        <v>131</v>
      </c>
      <c r="AV15" t="s" s="0">
        <v>149</v>
      </c>
      <c r="AW15" s="48">
        <f>AM15</f>
        <v>2</v>
      </c>
      <c r="AX15" s="48" t="e">
        <f>AR15</f>
        <v>#DIV/0!</v>
      </c>
      <c r="AY15" s="48">
        <f>AU15+AW15</f>
        <v>14</v>
      </c>
      <c r="AZ15" s="48" t="e">
        <f>ROUND(((AU15*AV15)+(AW15*AX15))/(AU15+AW15),5)</f>
        <v>#DIV/0!</v>
      </c>
      <c r="BA15" s="3"/>
      <c r="BB15" s="3" t="s">
        <v>110</v>
      </c>
      <c r="BC15" s="6" t="s">
        <v>113</v>
      </c>
      <c r="BD15" s="49" t="s">
        <v>144</v>
      </c>
      <c r="BE15" s="49" t="s">
        <v>145</v>
      </c>
      <c r="BF15" s="3"/>
      <c r="BG15" s="3"/>
      <c r="BH15" s="3"/>
      <c r="BI15" s="48"/>
      <c r="BL15" s="48" t="s">
        <v>148</v>
      </c>
      <c r="BM15" t="s" s="0">
        <v>149</v>
      </c>
      <c r="BN15" t="s" s="0">
        <v>150</v>
      </c>
      <c r="BO15" s="48" t="e">
        <f>ROUND((((AW15*AZ15)+(BN15*BM15))/(AW15+BN15)),5)</f>
        <v>#DIV/0!</v>
      </c>
      <c r="BP15" s="4">
        <f>BN15+AW15</f>
        <v>8</v>
      </c>
      <c r="BQ15" s="50">
        <v>123562</v>
      </c>
      <c r="BR15" s="4"/>
    </row>
    <row r="16" spans="1:70" ht="15.75" thickBot="1">
      <c r="A16" s="45">
        <v>2</v>
      </c>
      <c r="B16" s="2" t="s">
        <v>114</v>
      </c>
      <c r="C16" s="2" t="s">
        <v>14</v>
      </c>
      <c r="D16" s="45" t="s">
        <v>12</v>
      </c>
      <c r="E16" s="45" t="s">
        <v>12</v>
      </c>
      <c r="F16" s="46">
        <v>2</v>
      </c>
      <c r="G16" s="46">
        <v>250.25</v>
      </c>
      <c r="H16" s="46">
        <f>F16*G16</f>
        <v>500.5</v>
      </c>
      <c r="I16" s="46">
        <v>2.21</v>
      </c>
      <c r="J16" s="46">
        <v>1.79</v>
      </c>
      <c r="K16" s="46">
        <v>2.5</v>
      </c>
      <c r="L16" s="46">
        <f>H16</f>
        <v>500.5</v>
      </c>
      <c r="M16" s="46">
        <f>ROUND(L16*I16%,2)</f>
        <v>11.06</v>
      </c>
      <c r="N16" s="46">
        <f>H16-M16</f>
        <v>489.44</v>
      </c>
      <c r="O16" s="46">
        <f>ROUND(N16*J16%,2)</f>
        <v>8.76</v>
      </c>
      <c r="P16" s="46">
        <f>ROUND(N16-O16,2)</f>
        <v>480.68</v>
      </c>
      <c r="Q16" s="46">
        <f>ROUND(P16*K16%,2)</f>
        <v>12.02</v>
      </c>
      <c r="R16" s="46">
        <f>M16+O16+Q16</f>
        <v>31.84</v>
      </c>
      <c r="S16" s="46">
        <f>(H16-R16)</f>
        <v>468.66</v>
      </c>
      <c r="T16" s="46" t="s">
        <v>106</v>
      </c>
      <c r="U16" s="46">
        <v>0.18</v>
      </c>
      <c r="V16" s="46">
        <f>IF(OR([1]DirectGrnGenUD!$C$21=1,[1]DirectGrnGenUD!$C$21=4),ROUND(((S16*U16)/2),2),0)</f>
        <v>42.18</v>
      </c>
      <c r="W16" s="46">
        <f>IF([1]DirectGrnGenUD!$C$21=1,ROUND(((S16*U16)/2),2),0)</f>
        <v>42.18</v>
      </c>
      <c r="X16" s="46">
        <f>IF([1]DirectGrnGenUD!$C$21=2,ROUND(((S16*U16)),2),0)</f>
        <v>0</v>
      </c>
      <c r="Y16" s="46">
        <f>IF([1]DirectGrnGenUD!$C$21=4,ROUND(((S16*U16)/2),2),0)</f>
        <v>0</v>
      </c>
      <c r="Z16" s="47">
        <v>0.06</v>
      </c>
      <c r="AA16" s="46">
        <f>IF([1]DirectGrnGenUD!$C22=3,0,S16*Z16)</f>
        <v>28.119600000000002</v>
      </c>
      <c r="AB16" s="46">
        <f>V16+W16+X16+Y16+AA16</f>
        <v>112.4796</v>
      </c>
      <c r="AC16" s="46">
        <f>IF([1]DirectGrnGenUD!$V22=1,S16+AB16,S16)</f>
        <v>468.66</v>
      </c>
      <c r="AD16" s="46">
        <v>120</v>
      </c>
      <c r="AE16" s="46">
        <f>IF([1]DirectGrnGenUD!$P$21=1,(S16/[1]DirectGrnGenUD!$S$24)*[1]DirectGrnGenUD!$E$35,AD16/[1]DirectGrnGenUD!$AD$24*[1]DirectGrnGenUD!$E$35)</f>
        <v>0</v>
      </c>
      <c r="AF16" s="46"/>
      <c r="AG16" s="46">
        <f>IF([1]DirectGrnGenUD!$P$21=1,(S16/[1]DirectGrnGenUD!$S$24)*[1]DirectGrnGenUD!$E$37,AD16/[1]DirectGrnGenUD!$AD$24*[1]DirectGrnGenUD!$E$37)</f>
        <v>0</v>
      </c>
      <c r="AH16" s="46">
        <f>IF([1]DirectGrnGenUD!$P$21=1,(S16/[1]DirectGrnGenUD!$S$24)*[1]DirectGrnGenUD!$E$37,AD16/[1]DirectGrnGenUD!$AD$24*[1]DirectGrnGenUD!$E$37)</f>
        <v>0</v>
      </c>
      <c r="AI16" s="46">
        <f>S16*[1]DirectGrnGenUD!$M$21</f>
        <v>468.66</v>
      </c>
      <c r="AJ16" s="46">
        <f>IF([1]DirectGrnGenUD!$C$21=3,0,AG16+AH16)</f>
        <v>0</v>
      </c>
      <c r="AK16" s="46">
        <f>IF([1]DirectGrnGenUD!$C$21=3,AE16+AG16+AH16,0)</f>
        <v>0</v>
      </c>
      <c r="AL16" s="46">
        <v>1</v>
      </c>
      <c r="AM16" s="46">
        <f>F16/AL16</f>
        <v>2</v>
      </c>
      <c r="AN16" s="46">
        <f>AI16/AM16</f>
        <v>234.33</v>
      </c>
      <c r="AO16" s="46">
        <f>AJ16/AM16</f>
        <v>0</v>
      </c>
      <c r="AP16" s="46">
        <f>AK16/AM16</f>
        <v>0</v>
      </c>
      <c r="AQ16" s="46" t="s">
        <v>12</v>
      </c>
      <c r="AR16" s="0">
        <f>ROUND(AN16+AO16+AP16,5)</f>
        <v>234.33</v>
      </c>
      <c r="AS16" t="s" s="0">
        <v>107</v>
      </c>
      <c r="AT16" s="48" t="s">
        <v>12</v>
      </c>
      <c r="AU16" t="s" s="0">
        <v>135</v>
      </c>
      <c r="AV16" t="s" s="0">
        <v>136</v>
      </c>
      <c r="AW16" s="48">
        <f>AM16</f>
        <v>2</v>
      </c>
      <c r="AX16" s="48">
        <f>AR16</f>
        <v>234.33</v>
      </c>
      <c r="AY16" s="48">
        <f>AU16+AW16</f>
        <v>2161</v>
      </c>
      <c r="AZ16" s="48">
        <f>ROUND(((AU16*AV16)+(AW16*AX16))/(AU16+AW16),5)</f>
        <v>78.839079999999996</v>
      </c>
      <c r="BA16" s="3"/>
      <c r="BB16" s="3" t="s">
        <v>110</v>
      </c>
      <c r="BC16" s="2" t="s">
        <v>116</v>
      </c>
      <c r="BD16" s="49" t="s">
        <v>144</v>
      </c>
      <c r="BE16" s="49" t="s">
        <v>145</v>
      </c>
      <c r="BF16" s="3"/>
      <c r="BG16" s="3"/>
      <c r="BH16" s="3"/>
      <c r="BI16" s="48"/>
      <c r="BL16" s="48" t="s">
        <v>112</v>
      </c>
      <c r="BM16" t="s" s="0">
        <v>134</v>
      </c>
      <c r="BN16" t="s" s="0">
        <v>133</v>
      </c>
      <c r="BO16" s="48">
        <f>ROUND((((AW16*AZ16)+(BN16*BM16))/(AW16+BN16)),5)</f>
        <v>268.59134</v>
      </c>
      <c r="BP16" s="4">
        <f>BN16+AW16</f>
        <v>11180</v>
      </c>
      <c r="BQ16" s="50">
        <v>123562</v>
      </c>
      <c r="BR16" s="4"/>
    </row>
    <row r="17" spans="1:70" ht="15.75" thickBot="1">
      <c r="A17" s="45">
        <v>3</v>
      </c>
      <c r="B17" s="2" t="s">
        <v>118</v>
      </c>
      <c r="C17" s="2" t="s">
        <v>16</v>
      </c>
      <c r="D17" s="45" t="s">
        <v>12</v>
      </c>
      <c r="E17" s="45" t="s">
        <v>12</v>
      </c>
      <c r="F17" s="46">
        <v>2</v>
      </c>
      <c r="G17" s="46">
        <v>250.25</v>
      </c>
      <c r="H17" s="46">
        <f>F17*G17</f>
        <v>500.5</v>
      </c>
      <c r="I17" s="46">
        <v>2.21</v>
      </c>
      <c r="J17" s="46">
        <v>1.79</v>
      </c>
      <c r="K17" s="46">
        <v>2.5</v>
      </c>
      <c r="L17" s="46">
        <f>H17</f>
        <v>500.5</v>
      </c>
      <c r="M17" s="46">
        <f>ROUND(L17*I17%,2)</f>
        <v>11.06</v>
      </c>
      <c r="N17" s="46">
        <f>H17-M17</f>
        <v>489.44</v>
      </c>
      <c r="O17" s="46">
        <f>ROUND(N17*J17%,2)</f>
        <v>8.76</v>
      </c>
      <c r="P17" s="46">
        <f>ROUND(N17-O17,2)</f>
        <v>480.68</v>
      </c>
      <c r="Q17" s="46">
        <f>ROUND(P17*K17%,2)</f>
        <v>12.02</v>
      </c>
      <c r="R17" s="46">
        <f>M17+O17+Q17</f>
        <v>31.84</v>
      </c>
      <c r="S17" s="46">
        <f>(H17-R17)</f>
        <v>468.66</v>
      </c>
      <c r="T17" s="46" t="s">
        <v>106</v>
      </c>
      <c r="U17" s="46">
        <v>0.18</v>
      </c>
      <c r="V17" s="46">
        <f>IF(OR([1]DirectGrnGenUD!$C$21=1,[1]DirectGrnGenUD!$C$21=4),ROUND(((S17*U17)/2),2),0)</f>
        <v>42.18</v>
      </c>
      <c r="W17" s="46">
        <f>IF([1]DirectGrnGenUD!$C$21=1,ROUND(((S17*U17)/2),2),0)</f>
        <v>42.18</v>
      </c>
      <c r="X17" s="46">
        <f>IF([1]DirectGrnGenUD!$C$21=2,ROUND(((S17*U17)),2),0)</f>
        <v>0</v>
      </c>
      <c r="Y17" s="46">
        <f>IF([1]DirectGrnGenUD!$C$21=4,ROUND(((S17*U17)/2),2),0)</f>
        <v>0</v>
      </c>
      <c r="Z17" s="47">
        <v>0.06</v>
      </c>
      <c r="AA17" s="46">
        <f>IF([1]DirectGrnGenUD!$C28=3,0,S17*Z17)</f>
        <v>28.119600000000002</v>
      </c>
      <c r="AB17" s="46">
        <f>V17+W17+X17+Y17+AA17</f>
        <v>112.4796</v>
      </c>
      <c r="AC17" s="46">
        <f>IF([1]DirectGrnGenUD!$V28=1,S17+AB17,S17)</f>
        <v>468.66</v>
      </c>
      <c r="AD17" s="46">
        <v>120</v>
      </c>
      <c r="AE17" s="46">
        <f>IF([1]DirectGrnGenUD!$P$21=1,(S17/[1]DirectGrnGenUD!$S$24)*[1]DirectGrnGenUD!$E$35,AD17/[1]DirectGrnGenUD!$AD$24*[1]DirectGrnGenUD!$E$35)</f>
        <v>0</v>
      </c>
      <c r="AF17" s="46"/>
      <c r="AG17" s="46">
        <f>IF([1]DirectGrnGenUD!$P$21=1,(S17/[1]DirectGrnGenUD!$S$24)*[1]DirectGrnGenUD!$E$37,AD17/[1]DirectGrnGenUD!$AD$24*[1]DirectGrnGenUD!$E$37)</f>
        <v>0</v>
      </c>
      <c r="AH17" s="46">
        <f>IF([1]DirectGrnGenUD!$P$21=1,(S17/[1]DirectGrnGenUD!$S$24)*[1]DirectGrnGenUD!$E$37,AD17/[1]DirectGrnGenUD!$AD$24*[1]DirectGrnGenUD!$E$37)</f>
        <v>0</v>
      </c>
      <c r="AI17" s="46">
        <f>S17*[1]DirectGrnGenUD!$M$21</f>
        <v>468.66</v>
      </c>
      <c r="AJ17" s="46">
        <f>IF([1]DirectGrnGenUD!$C$21=3,0,AG17+AH17)</f>
        <v>0</v>
      </c>
      <c r="AK17" s="46">
        <f>IF([1]DirectGrnGenUD!$C$21=3,AE17+AG17+AH17,0)</f>
        <v>0</v>
      </c>
      <c r="AL17" s="46">
        <v>1</v>
      </c>
      <c r="AM17" s="46">
        <f>F17/AL17</f>
        <v>2</v>
      </c>
      <c r="AN17" s="46">
        <f>AI17/AM17</f>
        <v>234.33</v>
      </c>
      <c r="AO17" s="46">
        <f>AJ17/AM17</f>
        <v>0</v>
      </c>
      <c r="AP17" s="46">
        <f>AK17/AM17</f>
        <v>0</v>
      </c>
      <c r="AQ17" s="46" t="s">
        <v>12</v>
      </c>
      <c r="AR17" s="0">
        <f>ROUND(AN17+AO17+AP17,5)</f>
        <v>234.33</v>
      </c>
      <c r="AS17" t="s" s="0">
        <v>107</v>
      </c>
      <c r="AT17" s="48" t="s">
        <v>12</v>
      </c>
      <c r="AU17" t="s" s="0">
        <v>108</v>
      </c>
      <c r="AV17" t="s" s="0">
        <v>132</v>
      </c>
      <c r="AW17" s="48">
        <f>AM17</f>
        <v>2</v>
      </c>
      <c r="AX17" s="48">
        <f>AR17</f>
        <v>234.33</v>
      </c>
      <c r="AY17" s="48">
        <f>AU17+AW17</f>
        <v>2</v>
      </c>
      <c r="AZ17" s="48">
        <f>ROUND(((AU17*AV17)+(AW17*AX17))/(AU17+AW17),5)</f>
        <v>234.33</v>
      </c>
      <c r="BA17" s="3"/>
      <c r="BB17" s="3" t="s">
        <v>110</v>
      </c>
      <c r="BC17" s="2" t="s">
        <v>111</v>
      </c>
      <c r="BD17" s="49" t="s">
        <v>144</v>
      </c>
      <c r="BE17" s="49" t="s">
        <v>145</v>
      </c>
      <c r="BF17" s="3"/>
      <c r="BG17" s="3"/>
      <c r="BH17" s="3"/>
      <c r="BI17" s="48"/>
      <c r="BL17" s="48" t="s">
        <v>112</v>
      </c>
      <c r="BO17" s="48">
        <f>ROUND((((AW17*AZ17)+(BN17*BM17))/(AW17+BN17)),5)</f>
        <v>234.33</v>
      </c>
      <c r="BP17" s="4">
        <f>BN17+AW17</f>
        <v>2</v>
      </c>
      <c r="BQ17" s="50">
        <v>123562</v>
      </c>
      <c r="BR17" s="4"/>
    </row>
    <row r="18" spans="1:70" ht="15.75" thickBot="1">
      <c r="A18" s="45">
        <v>4</v>
      </c>
      <c r="B18" s="2" t="s">
        <v>105</v>
      </c>
      <c r="C18" s="2" t="s">
        <v>16</v>
      </c>
      <c r="D18" s="45" t="s">
        <v>12</v>
      </c>
      <c r="E18" s="45" t="s">
        <v>12</v>
      </c>
      <c r="F18" s="46">
        <v>2</v>
      </c>
      <c r="G18" s="46">
        <v>250.25</v>
      </c>
      <c r="H18" s="46">
        <f>F18*G18</f>
        <v>500.5</v>
      </c>
      <c r="I18" s="46">
        <v>2.21</v>
      </c>
      <c r="J18" s="46">
        <v>1.79</v>
      </c>
      <c r="K18" s="46">
        <v>2.5</v>
      </c>
      <c r="L18" s="46">
        <f>H18</f>
        <v>500.5</v>
      </c>
      <c r="M18" s="46">
        <f>ROUND(L18*I18%,2)</f>
        <v>11.06</v>
      </c>
      <c r="N18" s="46">
        <f>H18-M18</f>
        <v>489.44</v>
      </c>
      <c r="O18" s="46">
        <f>ROUND(N18*J18%,2)</f>
        <v>8.76</v>
      </c>
      <c r="P18" s="46">
        <f>ROUND(N18-O18,2)</f>
        <v>480.68</v>
      </c>
      <c r="Q18" s="46">
        <f>ROUND(P18*K18%,2)</f>
        <v>12.02</v>
      </c>
      <c r="R18" s="46">
        <f>M18+O18+Q18</f>
        <v>31.84</v>
      </c>
      <c r="S18" s="46">
        <f>(H18-R18)</f>
        <v>468.66</v>
      </c>
      <c r="T18" s="46" t="s">
        <v>106</v>
      </c>
      <c r="U18" s="46">
        <v>0.18</v>
      </c>
      <c r="V18" s="46">
        <f>IF(OR([1]DirectGrnGenUD!$C$21=1,[1]DirectGrnGenUD!$C$21=4),ROUND(((S18*U18)/2),2),0)</f>
        <v>42.18</v>
      </c>
      <c r="W18" s="46">
        <f>IF([1]DirectGrnGenUD!$C$21=1,ROUND(((S18*U18)/2),2),0)</f>
        <v>42.18</v>
      </c>
      <c r="X18" s="46">
        <f>IF([1]DirectGrnGenUD!$C$21=2,ROUND(((S18*U18)),2),0)</f>
        <v>0</v>
      </c>
      <c r="Y18" s="46">
        <f>IF([1]DirectGrnGenUD!$C$21=4,ROUND(((S18*U18)/2),2),0)</f>
        <v>0</v>
      </c>
      <c r="Z18" s="47">
        <v>0.06</v>
      </c>
      <c r="AA18" s="46">
        <f>IF([1]DirectGrnGenUD!$C27=3,0,S18*Z18)</f>
        <v>28.119600000000002</v>
      </c>
      <c r="AB18" s="46">
        <f>V18+W18+X18+Y18+AA18</f>
        <v>112.4796</v>
      </c>
      <c r="AC18" s="46">
        <f>IF([1]DirectGrnGenUD!$V27=1,S18+AB18,S18)</f>
        <v>468.66</v>
      </c>
      <c r="AD18" s="46">
        <v>120</v>
      </c>
      <c r="AE18" s="46">
        <f>IF([1]DirectGrnGenUD!$P$21=1,(S18/[1]DirectGrnGenUD!$S$24)*[1]DirectGrnGenUD!$E$35,AD18/[1]DirectGrnGenUD!$AD$24*[1]DirectGrnGenUD!$E$35)</f>
        <v>0</v>
      </c>
      <c r="AF18" s="46"/>
      <c r="AG18" s="46">
        <f>IF([1]DirectGrnGenUD!$P$21=1,(S18/[1]DirectGrnGenUD!$S$24)*[1]DirectGrnGenUD!$E$37,AD18/[1]DirectGrnGenUD!$AD$24*[1]DirectGrnGenUD!$E$37)</f>
        <v>0</v>
      </c>
      <c r="AH18" s="46">
        <f>IF([1]DirectGrnGenUD!$P$21=1,(S18/[1]DirectGrnGenUD!$S$24)*[1]DirectGrnGenUD!$E$37,AD18/[1]DirectGrnGenUD!$AD$24*[1]DirectGrnGenUD!$E$37)</f>
        <v>0</v>
      </c>
      <c r="AI18" s="46">
        <f>S18*[1]DirectGrnGenUD!$M$21</f>
        <v>468.66</v>
      </c>
      <c r="AJ18" s="46">
        <f>IF([1]DirectGrnGenUD!$C$21=3,0,AG18+AH18)</f>
        <v>0</v>
      </c>
      <c r="AK18" s="46">
        <f>IF([1]DirectGrnGenUD!$C$21=3,AE18+AG18+AH18,0)</f>
        <v>0</v>
      </c>
      <c r="AL18" s="46">
        <v>1</v>
      </c>
      <c r="AM18" s="46">
        <f>F18/AL18</f>
        <v>2</v>
      </c>
      <c r="AN18" s="46">
        <f>AI18/AM18</f>
        <v>234.33</v>
      </c>
      <c r="AO18" s="46">
        <f>AJ18/AM18</f>
        <v>0</v>
      </c>
      <c r="AP18" s="46">
        <f>AK18/AM18</f>
        <v>0</v>
      </c>
      <c r="AQ18" s="46" t="s">
        <v>12</v>
      </c>
      <c r="AR18" s="0">
        <f>ROUND(AN18+AO18+AP18,5)</f>
        <v>234.33</v>
      </c>
      <c r="AS18" t="s" s="0">
        <v>107</v>
      </c>
      <c r="AT18" s="48" t="s">
        <v>12</v>
      </c>
      <c r="AU18" t="s" s="0">
        <v>130</v>
      </c>
      <c r="AV18" t="s" s="0">
        <v>137</v>
      </c>
      <c r="AW18" s="48">
        <f>AM18</f>
        <v>2</v>
      </c>
      <c r="AX18" s="48">
        <f>AR18</f>
        <v>234.33</v>
      </c>
      <c r="AY18" s="48">
        <f>AU18+AW18</f>
        <v>6</v>
      </c>
      <c r="AZ18" s="48">
        <f>ROUND(((AU18*AV18)+(AW18*AX18))/(AU18+AW18),5)</f>
        <v>234.45384999999999</v>
      </c>
      <c r="BA18" s="3"/>
      <c r="BB18" s="3" t="s">
        <v>110</v>
      </c>
      <c r="BC18" s="2" t="s">
        <v>111</v>
      </c>
      <c r="BD18" s="49" t="s">
        <v>144</v>
      </c>
      <c r="BE18" s="49" t="s">
        <v>145</v>
      </c>
      <c r="BF18" s="3"/>
      <c r="BG18" s="3"/>
      <c r="BH18" s="3"/>
      <c r="BI18" s="48"/>
      <c r="BL18" s="48" t="s">
        <v>112</v>
      </c>
      <c r="BM18" t="s" s="0">
        <v>153</v>
      </c>
      <c r="BN18" t="s" s="0">
        <v>152</v>
      </c>
      <c r="BO18" s="48">
        <f>ROUND((((AW18*AZ18)+(BN18*BM18))/(AW18+BN18)),5)</f>
        <v>169.55008000000001</v>
      </c>
      <c r="BP18" s="4">
        <f>BN18+AW18</f>
        <v>2378.6</v>
      </c>
      <c r="BQ18" s="50">
        <v>123562</v>
      </c>
      <c r="BR18" s="4"/>
    </row>
    <row r="19" spans="1:70" ht="29.25" customHeight="1" thickBot="1"/>
    <row r="20" spans="1:70" ht="15.75" thickBot="1">
      <c r="A20" s="45">
        <v>1</v>
      </c>
      <c r="B20" s="2" t="s">
        <v>123</v>
      </c>
      <c r="C20" s="2" t="s">
        <v>123</v>
      </c>
      <c r="D20" s="45" t="s">
        <v>12</v>
      </c>
      <c r="E20" s="45" t="s">
        <v>12</v>
      </c>
      <c r="F20" s="46">
        <v>2</v>
      </c>
      <c r="G20" s="46" t="s">
        <v>109</v>
      </c>
      <c r="H20" s="46">
        <f>F20*G20</f>
        <v>400</v>
      </c>
      <c r="I20" s="46" t="s">
        <v>127</v>
      </c>
      <c r="J20" s="46">
        <v>2</v>
      </c>
      <c r="K20" s="46">
        <v>3</v>
      </c>
      <c r="L20" s="46">
        <f>H20</f>
        <v>400</v>
      </c>
      <c r="M20" s="46">
        <f>ROUND(L20*I20%,2)</f>
        <v>8</v>
      </c>
      <c r="N20" s="46">
        <f>H20-M20</f>
        <v>392</v>
      </c>
      <c r="O20" s="46">
        <f>ROUND(N20*J20%,2)</f>
        <v>7.84</v>
      </c>
      <c r="P20" s="46">
        <f>ROUND(N20-O20,2)</f>
        <v>384.16</v>
      </c>
      <c r="Q20" s="46">
        <f>ROUND(P20*K20%,2)</f>
        <v>11.52</v>
      </c>
      <c r="R20" s="46">
        <f>M20+O20+Q20</f>
        <v>27.36</v>
      </c>
      <c r="S20" s="46">
        <f>(H20-R20)</f>
        <v>372.64</v>
      </c>
      <c r="T20" s="46" t="s">
        <v>106</v>
      </c>
      <c r="U20" s="46">
        <v>0.18</v>
      </c>
      <c r="V20" s="46">
        <f>IF(OR($C$21=1,$C$21=4),ROUND(((S20*U20)/2),2),0)</f>
        <v>0</v>
      </c>
      <c r="W20" s="46">
        <f>IF($C$21=1,ROUND(((S20*U20)/2),2),0)</f>
        <v>0</v>
      </c>
      <c r="X20" s="46">
        <f>IF($C$21=2,ROUND(((S20*U20)),2),0)</f>
        <v>0</v>
      </c>
      <c r="Y20" s="46">
        <f>IF($C$21=4,ROUND(((S20*U20)/2),2),0)</f>
        <v>0</v>
      </c>
      <c r="Z20" s="47">
        <v>0.06</v>
      </c>
      <c r="AA20" s="46">
        <f>IF($C18=3,0,S20*Z20)</f>
        <v>22.3584</v>
      </c>
      <c r="AB20" s="46">
        <f>V20+W20+X20+Y20+AA20</f>
        <v>22.3584</v>
      </c>
      <c r="AC20" s="46">
        <f>IF($V18=1,S20+AB20,S20)</f>
        <v>372.64</v>
      </c>
      <c r="AD20" s="46">
        <v>120</v>
      </c>
      <c r="AE20" s="46" t="e">
        <f>IF($P$21=1,(S20/$S$27)*$E$38,AD20/$AD$27*$E$38)</f>
        <v>#DIV/0!</v>
      </c>
      <c r="AF20" s="46"/>
      <c r="AG20" s="46" t="e">
        <f>IF($P$21=1,(S20/$S$27)*$E$40,AD20/$AD$27*$E$40)</f>
        <v>#DIV/0!</v>
      </c>
      <c r="AH20" s="46" t="e">
        <f>IF($P$21=1,(S20/$S$27)*$E$40,AD20/$AD$27*$E$40)</f>
        <v>#DIV/0!</v>
      </c>
      <c r="AI20" s="46">
        <f>S20*$M$21</f>
        <v>4471.68</v>
      </c>
      <c r="AJ20" s="46" t="e">
        <f>IF($C$21=3,0,AG20+AH20)</f>
        <v>#DIV/0!</v>
      </c>
      <c r="AK20" s="46">
        <f>IF($C$21=3,AE20+AG20+AH20,0)</f>
        <v>0</v>
      </c>
      <c r="AL20" s="46">
        <v>1</v>
      </c>
      <c r="AM20" s="46">
        <f>F20/AL20</f>
        <v>2</v>
      </c>
      <c r="AN20" s="46">
        <f>AI20/AM20</f>
        <v>2235.84</v>
      </c>
      <c r="AO20" s="46" t="e">
        <f>AJ20/AM20</f>
        <v>#DIV/0!</v>
      </c>
      <c r="AP20" s="46">
        <f>AK20/AM20</f>
        <v>0</v>
      </c>
      <c r="AQ20" s="46" t="s">
        <v>12</v>
      </c>
      <c r="AR20" t="e" s="0">
        <f>ROUND(AN20+AO20+AP20,5)</f>
        <v>#DIV/0!</v>
      </c>
      <c r="AS20" t="s" s="0">
        <v>107</v>
      </c>
      <c r="AT20" s="48" t="s">
        <v>12</v>
      </c>
      <c r="AU20" t="s" s="0">
        <v>155</v>
      </c>
      <c r="AV20" t="s" s="0">
        <v>156</v>
      </c>
      <c r="AW20" s="48">
        <f>AM20</f>
        <v>2</v>
      </c>
      <c r="AX20" s="48" t="e">
        <f>AR20</f>
        <v>#DIV/0!</v>
      </c>
      <c r="AY20" s="48">
        <f>AU20+AW20</f>
        <v>10</v>
      </c>
      <c r="AZ20" s="48" t="e">
        <f>ROUND(((AU20*AV20)+(AW20*AX20))/(AU20+AW20),5)</f>
        <v>#DIV/0!</v>
      </c>
      <c r="BA20" s="3"/>
      <c r="BB20" s="3" t="s">
        <v>110</v>
      </c>
      <c r="BC20" s="6" t="s">
        <v>113</v>
      </c>
      <c r="BD20" s="49" t="s">
        <v>144</v>
      </c>
      <c r="BE20" s="49" t="s">
        <v>145</v>
      </c>
      <c r="BF20" s="3"/>
      <c r="BG20" s="3"/>
      <c r="BH20" s="3"/>
      <c r="BI20" s="48"/>
      <c r="BL20" s="48" t="s">
        <v>148</v>
      </c>
      <c r="BM20" t="s" s="0">
        <v>156</v>
      </c>
      <c r="BN20" t="s" s="0">
        <v>127</v>
      </c>
      <c r="BO20" s="48" t="e">
        <f>ROUND((((AW20*AZ20)+(BN20*BM20))/(AW20+BN20)),5)</f>
        <v>#DIV/0!</v>
      </c>
      <c r="BP20" s="4">
        <f>BN20+AW20</f>
        <v>4</v>
      </c>
      <c r="BQ20" s="50">
        <v>123562</v>
      </c>
      <c r="BR20" s="4"/>
    </row>
    <row r="21" spans="1:70" ht="15.75" thickBot="1">
      <c r="A21" s="45">
        <v>1</v>
      </c>
      <c r="B21" s="2" t="s">
        <v>124</v>
      </c>
      <c r="C21" s="2" t="s">
        <v>124</v>
      </c>
      <c r="D21" s="45" t="s">
        <v>12</v>
      </c>
      <c r="E21" s="45" t="s">
        <v>12</v>
      </c>
      <c r="F21" s="46">
        <v>2</v>
      </c>
      <c r="G21" s="46" t="s">
        <v>128</v>
      </c>
      <c r="H21" s="46">
        <f t="shared" ref="H21:H23" si="4">F21*G21</f>
        <v>600</v>
      </c>
      <c r="I21" s="46" t="s">
        <v>127</v>
      </c>
      <c r="J21" s="46">
        <v>2</v>
      </c>
      <c r="K21" s="46">
        <v>3</v>
      </c>
      <c r="L21" s="46">
        <f t="shared" ref="L21:L23" si="5">H21</f>
        <v>600</v>
      </c>
      <c r="M21" s="46">
        <f t="shared" ref="M21:M23" si="6">ROUND(L21*I21%,2)</f>
        <v>12</v>
      </c>
      <c r="N21" s="46">
        <f t="shared" ref="N21:N23" si="7">H21-M21</f>
        <v>588</v>
      </c>
      <c r="O21" s="46">
        <f t="shared" ref="O21:O23" si="8">ROUND(N21*J21%,2)</f>
        <v>11.76</v>
      </c>
      <c r="P21" s="46">
        <f t="shared" ref="P21:P23" si="9">ROUND(N21-O21,2)</f>
        <v>576.24</v>
      </c>
      <c r="Q21" s="46">
        <f t="shared" ref="Q21:Q23" si="10">ROUND(P21*K21%,2)</f>
        <v>17.29</v>
      </c>
      <c r="R21" s="46">
        <f t="shared" ref="R21:R23" si="11">M21+O21+Q21</f>
        <v>41.05</v>
      </c>
      <c r="S21" s="46">
        <f t="shared" ref="S21:S23" si="12">(H21-R21)</f>
        <v>558.95000000000005</v>
      </c>
      <c r="T21" s="46" t="s">
        <v>106</v>
      </c>
      <c r="U21" s="46">
        <v>0.18</v>
      </c>
      <c r="V21" s="46">
        <f t="shared" ref="V21:V23" si="13">IF(OR($C$21=1,$C$21=4),ROUND(((S21*U21)/2),2),0)</f>
        <v>0</v>
      </c>
      <c r="W21" s="46">
        <f t="shared" ref="W21:W23" si="14">IF($C$21=1,ROUND(((S21*U21)/2),2),0)</f>
        <v>0</v>
      </c>
      <c r="X21" s="46">
        <f t="shared" ref="X21:X23" si="15">IF($C$21=2,ROUND(((S21*U21)),2),0)</f>
        <v>0</v>
      </c>
      <c r="Y21" s="46">
        <f t="shared" ref="Y21:Y23" si="16">IF($C$21=4,ROUND(((S21*U21)/2),2),0)</f>
        <v>0</v>
      </c>
      <c r="Z21" s="47">
        <v>0.06</v>
      </c>
      <c r="AA21" s="46">
        <f t="shared" ref="AA21:AA23" si="17">IF($C19=3,0,S21*Z21)</f>
        <v>33.536999999999999</v>
      </c>
      <c r="AB21" s="46">
        <f t="shared" ref="AB21:AB23" si="18">V21+W21+X21+Y21+AA21</f>
        <v>33.536999999999999</v>
      </c>
      <c r="AC21" s="46">
        <f t="shared" ref="AC21:AC23" si="19">IF($V19=1,S21+AB21,S21)</f>
        <v>558.95000000000005</v>
      </c>
      <c r="AD21" s="46">
        <v>120</v>
      </c>
      <c r="AE21" s="46" t="e">
        <f t="shared" ref="AE21:AE23" si="20">IF($P$21=1,(S21/$S$27)*$E$38,AD21/$AD$27*$E$38)</f>
        <v>#DIV/0!</v>
      </c>
      <c r="AF21" s="46"/>
      <c r="AG21" s="46" t="e">
        <f t="shared" ref="AG21:AG23" si="21">IF($P$21=1,(S21/$S$27)*$E$40,AD21/$AD$27*$E$40)</f>
        <v>#DIV/0!</v>
      </c>
      <c r="AH21" s="46" t="e">
        <f t="shared" ref="AH21:AH23" si="22">IF($P$21=1,(S21/$S$27)*$E$40,AD21/$AD$27*$E$40)</f>
        <v>#DIV/0!</v>
      </c>
      <c r="AI21" s="46">
        <f t="shared" ref="AI21:AI23" si="23">S21*$M$21</f>
        <v>6707.4000000000005</v>
      </c>
      <c r="AJ21" s="46" t="e">
        <f t="shared" ref="AJ21:AJ23" si="24">IF($C$21=3,0,AG21+AH21)</f>
        <v>#DIV/0!</v>
      </c>
      <c r="AK21" s="46">
        <f t="shared" ref="AK21:AK23" si="25">IF($C$21=3,AE21+AG21+AH21,0)</f>
        <v>0</v>
      </c>
      <c r="AL21" s="46">
        <v>1</v>
      </c>
      <c r="AM21" s="46">
        <f t="shared" ref="AM21:AM23" si="26">F21/AL21</f>
        <v>2</v>
      </c>
      <c r="AN21" s="46">
        <f t="shared" ref="AN21:AN23" si="27">AI21/AM21</f>
        <v>3353.7000000000003</v>
      </c>
      <c r="AO21" s="46" t="e">
        <f t="shared" ref="AO21:AO23" si="28">AJ21/AM21</f>
        <v>#DIV/0!</v>
      </c>
      <c r="AP21" s="46">
        <f t="shared" ref="AP21:AP23" si="29">AK21/AM21</f>
        <v>0</v>
      </c>
      <c r="AQ21" s="46" t="s">
        <v>12</v>
      </c>
      <c r="AR21" t="e" s="0">
        <f t="shared" ref="AR21:AR23" si="30">ROUND(AN21+AO21+AP21,5)</f>
        <v>#DIV/0!</v>
      </c>
      <c r="AS21" t="s" s="0">
        <v>107</v>
      </c>
      <c r="AT21" s="48" t="s">
        <v>12</v>
      </c>
      <c r="AU21" t="s" s="0">
        <v>131</v>
      </c>
      <c r="AV21" t="s" s="0">
        <v>157</v>
      </c>
      <c r="AW21" s="48">
        <f t="shared" ref="AW21:AW23" si="31">AM21</f>
        <v>2</v>
      </c>
      <c r="AX21" s="48" t="e">
        <f t="shared" ref="AX21:AX23" si="32">AR21</f>
        <v>#DIV/0!</v>
      </c>
      <c r="AY21" s="48">
        <f t="shared" ref="AY21:AY23" si="33">AU21+AW21</f>
        <v>14</v>
      </c>
      <c r="AZ21" s="48" t="e">
        <f t="shared" ref="AZ21:AZ23" si="34">ROUND(((AU21*AV21)+(AW21*AX21))/(AU21+AW21),5)</f>
        <v>#DIV/0!</v>
      </c>
      <c r="BA21" s="3"/>
      <c r="BB21" s="3" t="s">
        <v>110</v>
      </c>
      <c r="BC21" s="2" t="s">
        <v>116</v>
      </c>
      <c r="BD21" s="49" t="s">
        <v>144</v>
      </c>
      <c r="BE21" s="49" t="s">
        <v>145</v>
      </c>
      <c r="BF21" s="3"/>
      <c r="BG21" s="3"/>
      <c r="BH21" s="3"/>
      <c r="BI21" s="48"/>
      <c r="BL21" s="48" t="s">
        <v>148</v>
      </c>
      <c r="BM21" t="s" s="0">
        <v>108</v>
      </c>
      <c r="BN21" t="s" s="0">
        <v>108</v>
      </c>
      <c r="BO21" s="48" t="e">
        <f t="shared" ref="BO21:BO23" si="35">ROUND((((AW21*AZ21)+(BN21*BM21))/(AW21+BN21)),5)</f>
        <v>#DIV/0!</v>
      </c>
      <c r="BP21" s="4">
        <f t="shared" ref="BP21:BP23" si="36">BN21+AW21</f>
        <v>2</v>
      </c>
      <c r="BQ21" s="50">
        <v>123562</v>
      </c>
      <c r="BR21" s="4"/>
    </row>
    <row r="22" spans="1:70" ht="15.75" thickBot="1">
      <c r="A22" s="45">
        <v>1</v>
      </c>
      <c r="B22" s="2" t="s">
        <v>125</v>
      </c>
      <c r="C22" s="2" t="s">
        <v>125</v>
      </c>
      <c r="D22" s="45" t="s">
        <v>12</v>
      </c>
      <c r="E22" s="45" t="s">
        <v>12</v>
      </c>
      <c r="F22" s="46">
        <v>2</v>
      </c>
      <c r="G22" s="46" t="s">
        <v>129</v>
      </c>
      <c r="H22" s="46">
        <f t="shared" si="4"/>
        <v>800</v>
      </c>
      <c r="I22" s="46" t="s">
        <v>127</v>
      </c>
      <c r="J22" s="46">
        <v>2</v>
      </c>
      <c r="K22" s="46">
        <v>3</v>
      </c>
      <c r="L22" s="46">
        <f t="shared" si="5"/>
        <v>800</v>
      </c>
      <c r="M22" s="46">
        <f t="shared" si="6"/>
        <v>16</v>
      </c>
      <c r="N22" s="46">
        <f t="shared" si="7"/>
        <v>784</v>
      </c>
      <c r="O22" s="46">
        <f t="shared" si="8"/>
        <v>15.68</v>
      </c>
      <c r="P22" s="46">
        <f t="shared" si="9"/>
        <v>768.32</v>
      </c>
      <c r="Q22" s="46">
        <f t="shared" si="10"/>
        <v>23.05</v>
      </c>
      <c r="R22" s="46">
        <f t="shared" si="11"/>
        <v>54.730000000000004</v>
      </c>
      <c r="S22" s="46">
        <f t="shared" si="12"/>
        <v>745.27</v>
      </c>
      <c r="T22" s="46" t="s">
        <v>106</v>
      </c>
      <c r="U22" s="46">
        <v>0.18</v>
      </c>
      <c r="V22" s="46">
        <f t="shared" si="13"/>
        <v>0</v>
      </c>
      <c r="W22" s="46">
        <f t="shared" si="14"/>
        <v>0</v>
      </c>
      <c r="X22" s="46">
        <f t="shared" si="15"/>
        <v>0</v>
      </c>
      <c r="Y22" s="46">
        <f t="shared" si="16"/>
        <v>0</v>
      </c>
      <c r="Z22" s="47">
        <v>0.06</v>
      </c>
      <c r="AA22" s="46">
        <f t="shared" si="17"/>
        <v>44.716200000000001</v>
      </c>
      <c r="AB22" s="46">
        <f t="shared" si="18"/>
        <v>44.716200000000001</v>
      </c>
      <c r="AC22" s="46">
        <f t="shared" si="19"/>
        <v>745.27</v>
      </c>
      <c r="AD22" s="46">
        <v>120</v>
      </c>
      <c r="AE22" s="46" t="e">
        <f t="shared" si="20"/>
        <v>#DIV/0!</v>
      </c>
      <c r="AF22" s="46"/>
      <c r="AG22" s="46" t="e">
        <f t="shared" si="21"/>
        <v>#DIV/0!</v>
      </c>
      <c r="AH22" s="46" t="e">
        <f t="shared" si="22"/>
        <v>#DIV/0!</v>
      </c>
      <c r="AI22" s="46">
        <f t="shared" si="23"/>
        <v>8943.24</v>
      </c>
      <c r="AJ22" s="46" t="e">
        <f t="shared" si="24"/>
        <v>#DIV/0!</v>
      </c>
      <c r="AK22" s="46">
        <f t="shared" si="25"/>
        <v>0</v>
      </c>
      <c r="AL22" s="46">
        <v>1</v>
      </c>
      <c r="AM22" s="46">
        <f t="shared" si="26"/>
        <v>2</v>
      </c>
      <c r="AN22" s="46">
        <f t="shared" si="27"/>
        <v>4471.62</v>
      </c>
      <c r="AO22" s="46" t="e">
        <f t="shared" si="28"/>
        <v>#DIV/0!</v>
      </c>
      <c r="AP22" s="46">
        <f t="shared" si="29"/>
        <v>0</v>
      </c>
      <c r="AQ22" s="46" t="s">
        <v>12</v>
      </c>
      <c r="AR22" t="e" s="0">
        <f t="shared" si="30"/>
        <v>#DIV/0!</v>
      </c>
      <c r="AS22" t="s" s="0">
        <v>107</v>
      </c>
      <c r="AT22" s="48" t="s">
        <v>12</v>
      </c>
      <c r="AU22" t="s" s="0">
        <v>158</v>
      </c>
      <c r="AV22" t="s" s="0">
        <v>159</v>
      </c>
      <c r="AW22" s="48">
        <f t="shared" si="31"/>
        <v>2</v>
      </c>
      <c r="AX22" s="48" t="e">
        <f t="shared" si="32"/>
        <v>#DIV/0!</v>
      </c>
      <c r="AY22" s="48">
        <f t="shared" si="33"/>
        <v>18</v>
      </c>
      <c r="AZ22" s="48" t="e">
        <f t="shared" si="34"/>
        <v>#DIV/0!</v>
      </c>
      <c r="BA22" s="3"/>
      <c r="BB22" s="3" t="s">
        <v>110</v>
      </c>
      <c r="BC22" s="2" t="s">
        <v>111</v>
      </c>
      <c r="BD22" s="49" t="s">
        <v>144</v>
      </c>
      <c r="BE22" s="49" t="s">
        <v>145</v>
      </c>
      <c r="BF22" s="3"/>
      <c r="BG22" s="3"/>
      <c r="BH22" s="3"/>
      <c r="BI22" s="48"/>
      <c r="BL22" s="48" t="s">
        <v>148</v>
      </c>
      <c r="BM22" t="s" s="0">
        <v>108</v>
      </c>
      <c r="BN22" t="s" s="0">
        <v>108</v>
      </c>
      <c r="BO22" s="48" t="e">
        <f t="shared" si="35"/>
        <v>#DIV/0!</v>
      </c>
      <c r="BP22" s="4">
        <f t="shared" si="36"/>
        <v>2</v>
      </c>
      <c r="BQ22" s="50">
        <v>123562</v>
      </c>
      <c r="BR22" s="4"/>
    </row>
    <row r="23" spans="1:70" ht="15.75" thickBot="1">
      <c r="A23" s="45">
        <v>1</v>
      </c>
      <c r="B23" s="2" t="s">
        <v>126</v>
      </c>
      <c r="C23" s="2" t="s">
        <v>126</v>
      </c>
      <c r="D23" s="45" t="s">
        <v>12</v>
      </c>
      <c r="E23" s="45" t="s">
        <v>12</v>
      </c>
      <c r="F23" s="46">
        <v>2</v>
      </c>
      <c r="G23" s="46" t="s">
        <v>161</v>
      </c>
      <c r="H23" s="46">
        <f t="shared" si="4"/>
        <v>1000</v>
      </c>
      <c r="I23" s="46" t="s">
        <v>127</v>
      </c>
      <c r="J23" s="46">
        <v>2</v>
      </c>
      <c r="K23" s="46">
        <v>3</v>
      </c>
      <c r="L23" s="46">
        <f t="shared" si="5"/>
        <v>1000</v>
      </c>
      <c r="M23" s="46">
        <f t="shared" si="6"/>
        <v>20</v>
      </c>
      <c r="N23" s="46">
        <f t="shared" si="7"/>
        <v>980</v>
      </c>
      <c r="O23" s="46">
        <f t="shared" si="8"/>
        <v>19.600000000000001</v>
      </c>
      <c r="P23" s="46">
        <f t="shared" si="9"/>
        <v>960.4</v>
      </c>
      <c r="Q23" s="46">
        <f t="shared" si="10"/>
        <v>28.81</v>
      </c>
      <c r="R23" s="46">
        <f t="shared" si="11"/>
        <v>68.41</v>
      </c>
      <c r="S23" s="46">
        <f t="shared" si="12"/>
        <v>931.59</v>
      </c>
      <c r="T23" s="46" t="s">
        <v>106</v>
      </c>
      <c r="U23" s="46">
        <v>0.18</v>
      </c>
      <c r="V23" s="46">
        <f t="shared" si="13"/>
        <v>0</v>
      </c>
      <c r="W23" s="46">
        <f t="shared" si="14"/>
        <v>0</v>
      </c>
      <c r="X23" s="46">
        <f t="shared" si="15"/>
        <v>0</v>
      </c>
      <c r="Y23" s="46">
        <f t="shared" si="16"/>
        <v>0</v>
      </c>
      <c r="Z23" s="47">
        <v>0.06</v>
      </c>
      <c r="AA23" s="46">
        <f t="shared" si="17"/>
        <v>55.895400000000002</v>
      </c>
      <c r="AB23" s="46">
        <f t="shared" si="18"/>
        <v>55.895400000000002</v>
      </c>
      <c r="AC23" s="46">
        <f t="shared" si="19"/>
        <v>931.59</v>
      </c>
      <c r="AD23" s="46">
        <v>120</v>
      </c>
      <c r="AE23" s="46" t="e">
        <f t="shared" si="20"/>
        <v>#DIV/0!</v>
      </c>
      <c r="AF23" s="46"/>
      <c r="AG23" s="46" t="e">
        <f t="shared" si="21"/>
        <v>#DIV/0!</v>
      </c>
      <c r="AH23" s="46" t="e">
        <f t="shared" si="22"/>
        <v>#DIV/0!</v>
      </c>
      <c r="AI23" s="46">
        <f t="shared" si="23"/>
        <v>11179.08</v>
      </c>
      <c r="AJ23" s="46" t="e">
        <f t="shared" si="24"/>
        <v>#DIV/0!</v>
      </c>
      <c r="AK23" s="46">
        <f t="shared" si="25"/>
        <v>0</v>
      </c>
      <c r="AL23" s="46">
        <v>1</v>
      </c>
      <c r="AM23" s="46">
        <f t="shared" si="26"/>
        <v>2</v>
      </c>
      <c r="AN23" s="46">
        <f t="shared" si="27"/>
        <v>5589.54</v>
      </c>
      <c r="AO23" s="46" t="e">
        <f t="shared" si="28"/>
        <v>#DIV/0!</v>
      </c>
      <c r="AP23" s="46">
        <f t="shared" si="29"/>
        <v>0</v>
      </c>
      <c r="AQ23" s="46" t="s">
        <v>12</v>
      </c>
      <c r="AR23" t="e" s="0">
        <f t="shared" si="30"/>
        <v>#DIV/0!</v>
      </c>
      <c r="AS23" t="s" s="0">
        <v>107</v>
      </c>
      <c r="AT23" s="48" t="s">
        <v>12</v>
      </c>
      <c r="AU23" t="s" s="0">
        <v>108</v>
      </c>
      <c r="AV23" t="s" s="0">
        <v>160</v>
      </c>
      <c r="AW23" s="48">
        <f t="shared" si="31"/>
        <v>2</v>
      </c>
      <c r="AX23" s="48" t="e">
        <f t="shared" si="32"/>
        <v>#DIV/0!</v>
      </c>
      <c r="AY23" s="48">
        <f t="shared" si="33"/>
        <v>2</v>
      </c>
      <c r="AZ23" s="48" t="e">
        <f t="shared" si="34"/>
        <v>#DIV/0!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108</v>
      </c>
      <c r="BN23" t="s" s="0">
        <v>108</v>
      </c>
      <c r="BO23" s="48" t="e">
        <f t="shared" si="35"/>
        <v>#DIV/0!</v>
      </c>
      <c r="BP23" s="4">
        <f t="shared" si="36"/>
        <v>2</v>
      </c>
      <c r="BQ23" s="50">
        <v>123562</v>
      </c>
      <c r="BR23" s="4"/>
    </row>
    <row r="25" spans="1:70" ht="15.75" thickBot="1"/>
    <row r="26" spans="1:70" ht="15.75" thickBot="1">
      <c r="B26" s="2" t="s">
        <v>119</v>
      </c>
    </row>
    <row r="27" spans="1:70" ht="15.75" thickBot="1">
      <c r="B27" s="2" t="s">
        <v>120</v>
      </c>
    </row>
    <row r="28" spans="1:70" ht="15.75" thickBot="1">
      <c r="B28" s="2" t="s">
        <v>121</v>
      </c>
    </row>
    <row r="29" spans="1:70" ht="15.75" thickBot="1">
      <c r="B29" s="2" t="s">
        <v>122</v>
      </c>
    </row>
    <row r="30" spans="1:70" ht="15.75" thickBot="1"/>
    <row r="31" spans="1:70" ht="15.75" thickBot="1">
      <c r="A31" s="45">
        <v>1</v>
      </c>
      <c r="B31" s="2" t="s">
        <v>120</v>
      </c>
      <c r="C31" s="2" t="s">
        <v>120</v>
      </c>
      <c r="D31" s="45" t="s">
        <v>12</v>
      </c>
      <c r="E31" s="45" t="s">
        <v>12</v>
      </c>
      <c r="F31" s="46">
        <v>2</v>
      </c>
      <c r="G31" t="s" s="0">
        <v>128</v>
      </c>
      <c r="H31" s="46">
        <f>F31*G31</f>
        <v>600</v>
      </c>
      <c r="I31" t="s" s="0">
        <v>127</v>
      </c>
      <c r="J31" s="46">
        <v>2</v>
      </c>
      <c r="K31" s="46">
        <v>3</v>
      </c>
      <c r="L31" s="46">
        <f>H31</f>
        <v>600</v>
      </c>
      <c r="M31" s="46">
        <f>ROUND(L31*I31%,2)</f>
        <v>12</v>
      </c>
      <c r="N31" s="46">
        <f>H31-M31</f>
        <v>588</v>
      </c>
      <c r="O31" s="46">
        <f>ROUND(N31*J31%,2)</f>
        <v>11.76</v>
      </c>
      <c r="P31" s="46">
        <f>ROUND(N31-O31,2)</f>
        <v>576.24</v>
      </c>
      <c r="Q31" s="46">
        <f>ROUND(P31*K31%,2)</f>
        <v>17.29</v>
      </c>
      <c r="R31" s="46">
        <f>M31+O31+Q31</f>
        <v>41.05</v>
      </c>
      <c r="S31" s="46">
        <f>(H31-R31)</f>
        <v>558.95000000000005</v>
      </c>
      <c r="T31" s="46" t="s">
        <v>106</v>
      </c>
      <c r="U31" s="46">
        <v>0.18</v>
      </c>
      <c r="V31" s="46">
        <f>IF(OR(DirectGrnPriceList!$C$21=1,DirectGrnPriceList!$C$21=4),ROUND(((S31*U31)/2),2),0)</f>
        <v>50.31</v>
      </c>
      <c r="W31" s="46">
        <f>IF(DirectGrnPriceList!$C$21=1,ROUND(((S31*U31)/2),2),0)</f>
        <v>50.31</v>
      </c>
      <c r="X31" s="46">
        <f>IF(DirectGrnPriceList!$C$21=2,ROUND(((S31*U31)),2),0)</f>
        <v>0</v>
      </c>
      <c r="Y31" s="46">
        <f>IF(DirectGrnPriceList!$C$21=4,ROUND(((S31*U31)/2),2),0)</f>
        <v>0</v>
      </c>
      <c r="Z31" s="47">
        <v>0.06</v>
      </c>
      <c r="AA31" s="46">
        <f>IF(DirectGrnPriceList!$C22=3,0,S31*Z31)</f>
        <v>33.536999999999999</v>
      </c>
      <c r="AB31" s="46">
        <f>V31+W31+X31+Y31+AA31</f>
        <v>134.15700000000001</v>
      </c>
      <c r="AC31" s="46">
        <f>IF(DirectGrnPriceList!$V22=1,S31+AB31,S31)</f>
        <v>558.95000000000005</v>
      </c>
      <c r="AD31" s="46">
        <v>120</v>
      </c>
      <c r="AE31" s="46">
        <f>IF(DirectGrnPriceList!$P$21=1,(S31/DirectGrnPriceList!$S$24)*DirectGrnPriceList!$E$35,AD31/DirectGrnPriceList!$AD$24*DirectGrnPriceList!$E$35)</f>
        <v>0</v>
      </c>
      <c r="AF31" s="46"/>
      <c r="AG31" s="46">
        <f>IF(DirectGrnPriceList!$P$21=1,(S31/DirectGrnPriceList!$S$24)*DirectGrnPriceList!$E$37,AD31/DirectGrnPriceList!$AD$24*DirectGrnPriceList!$E$37)</f>
        <v>0</v>
      </c>
      <c r="AH31" s="46">
        <f>IF(DirectGrnPriceList!$P$21=1,(S31/DirectGrnPriceList!$S$24)*DirectGrnPriceList!$E$37,AD31/DirectGrnPriceList!$AD$24*DirectGrnPriceList!$E$37)</f>
        <v>0</v>
      </c>
      <c r="AI31" s="46">
        <f>S31*DirectGrnPriceList!$M$21</f>
        <v>558.95000000000005</v>
      </c>
      <c r="AJ31" s="46">
        <f>IF(DirectGrnPriceList!$C$21=3,0,AG31+AH31)</f>
        <v>0</v>
      </c>
      <c r="AK31" s="46">
        <f>IF(DirectGrnPriceList!$C$21=3,AE31+AG31+AH31,0)</f>
        <v>0</v>
      </c>
      <c r="AL31" s="46">
        <v>1</v>
      </c>
      <c r="AM31" s="46">
        <f>F31/AL31</f>
        <v>2</v>
      </c>
      <c r="AN31" s="46">
        <f>AI31/AM31</f>
        <v>279.47500000000002</v>
      </c>
      <c r="AO31" s="46">
        <f>AJ31/AM31</f>
        <v>0</v>
      </c>
      <c r="AP31" s="46">
        <f>AK31/AM31</f>
        <v>0</v>
      </c>
      <c r="AQ31" s="46" t="s">
        <v>12</v>
      </c>
      <c r="AR31" s="0">
        <f>ROUND(AN31+AO31+AP31,5)</f>
        <v>279.47500000000002</v>
      </c>
      <c r="AS31" t="s" s="0">
        <v>107</v>
      </c>
      <c r="AT31" s="48" t="s">
        <v>12</v>
      </c>
      <c r="AU31" t="s" s="0">
        <v>162</v>
      </c>
      <c r="AV31" t="s" s="0">
        <v>167</v>
      </c>
      <c r="AW31" s="48">
        <f>AM31</f>
        <v>2</v>
      </c>
      <c r="AX31" s="48">
        <f>AR31</f>
        <v>279.47500000000002</v>
      </c>
      <c r="AY31" s="48">
        <f>AU31+AW31</f>
        <v>22</v>
      </c>
      <c r="AZ31" s="48">
        <f>ROUND(((AU31*AV31)+(AW31*AX31))/(AU31+AW31),5)</f>
        <v>274.81590999999997</v>
      </c>
      <c r="BA31" s="3"/>
      <c r="BB31" s="3" t="s">
        <v>110</v>
      </c>
      <c r="BC31" s="2" t="s">
        <v>116</v>
      </c>
      <c r="BD31" s="49" t="s">
        <v>144</v>
      </c>
      <c r="BE31" s="49" t="s">
        <v>145</v>
      </c>
      <c r="BF31" s="3"/>
      <c r="BG31" s="3"/>
      <c r="BH31" s="3"/>
      <c r="BI31" s="48"/>
      <c r="BL31" s="48" t="s">
        <v>148</v>
      </c>
      <c r="BM31" t="s" s="0">
        <v>108</v>
      </c>
      <c r="BN31" t="s" s="0">
        <v>108</v>
      </c>
      <c r="BO31" s="48">
        <f>ROUND((((AW31*AZ31)+(BN31*BM31))/(AW31+BN31)),5)</f>
        <v>274.81590999999997</v>
      </c>
      <c r="BP31" s="4">
        <f>BN31+AW31</f>
        <v>2</v>
      </c>
      <c r="BQ31" s="50">
        <v>123562</v>
      </c>
      <c r="BR31" s="4"/>
    </row>
    <row r="32" spans="1:70" ht="15.75" thickBot="1">
      <c r="A32" s="45">
        <v>1</v>
      </c>
      <c r="B32" s="2" t="s">
        <v>121</v>
      </c>
      <c r="C32" s="2" t="s">
        <v>121</v>
      </c>
      <c r="D32" s="45" t="s">
        <v>12</v>
      </c>
      <c r="E32" s="45" t="s">
        <v>12</v>
      </c>
      <c r="F32" s="46">
        <v>2</v>
      </c>
      <c r="G32" t="s" s="0">
        <v>129</v>
      </c>
      <c r="H32" s="46">
        <f>F32*G32</f>
        <v>800</v>
      </c>
      <c r="I32" t="s" s="0">
        <v>127</v>
      </c>
      <c r="J32" s="46">
        <v>2</v>
      </c>
      <c r="K32" s="46">
        <v>3</v>
      </c>
      <c r="L32" s="46">
        <f>H32</f>
        <v>800</v>
      </c>
      <c r="M32" s="46">
        <f>ROUND(L32*I32%,2)</f>
        <v>16</v>
      </c>
      <c r="N32" s="46">
        <f>H32-M32</f>
        <v>784</v>
      </c>
      <c r="O32" s="46">
        <f>ROUND(N32*J32%,2)</f>
        <v>15.68</v>
      </c>
      <c r="P32" s="46">
        <f>ROUND(N32-O32,2)</f>
        <v>768.32</v>
      </c>
      <c r="Q32" s="46">
        <f>ROUND(P32*K32%,2)</f>
        <v>23.05</v>
      </c>
      <c r="R32" s="46">
        <f>M32+O32+Q32</f>
        <v>54.730000000000004</v>
      </c>
      <c r="S32" s="46">
        <f>(H32-R32)</f>
        <v>745.27</v>
      </c>
      <c r="T32" s="46" t="s">
        <v>106</v>
      </c>
      <c r="U32" s="46">
        <v>0.18</v>
      </c>
      <c r="V32" s="46">
        <f>IF(OR(DirectGrnPriceList!$C$21=1,DirectGrnPriceList!$C$21=4),ROUND(((S32*U32)/2),2),0)</f>
        <v>67.069999999999993</v>
      </c>
      <c r="W32" s="46">
        <f>IF(DirectGrnPriceList!$C$21=1,ROUND(((S32*U32)/2),2),0)</f>
        <v>67.069999999999993</v>
      </c>
      <c r="X32" s="46">
        <f>IF(DirectGrnPriceList!$C$21=2,ROUND(((S32*U32)),2),0)</f>
        <v>0</v>
      </c>
      <c r="Y32" s="46">
        <f>IF(DirectGrnPriceList!$C$21=4,ROUND(((S32*U32)/2),2),0)</f>
        <v>0</v>
      </c>
      <c r="Z32" s="47">
        <v>0.06</v>
      </c>
      <c r="AA32" s="46">
        <f>IF(DirectGrnPriceList!$C23=3,0,S32*Z32)</f>
        <v>44.716200000000001</v>
      </c>
      <c r="AB32" s="46">
        <f>V32+W32+X32+Y32+AA32</f>
        <v>178.8562</v>
      </c>
      <c r="AC32" s="46">
        <f>IF(DirectGrnPriceList!$V23=1,S32+AB32,S32)</f>
        <v>745.27</v>
      </c>
      <c r="AD32" s="46">
        <v>120</v>
      </c>
      <c r="AE32" s="46">
        <f>IF(DirectGrnPriceList!$P$21=1,(S32/DirectGrnPriceList!$S$24)*DirectGrnPriceList!$E$35,AD32/DirectGrnPriceList!$AD$24*DirectGrnPriceList!$E$35)</f>
        <v>0</v>
      </c>
      <c r="AF32" s="46"/>
      <c r="AG32" s="46">
        <f>IF(DirectGrnPriceList!$P$21=1,(S32/DirectGrnPriceList!$S$24)*DirectGrnPriceList!$E$37,AD32/DirectGrnPriceList!$AD$24*DirectGrnPriceList!$E$37)</f>
        <v>0</v>
      </c>
      <c r="AH32" s="46">
        <f>IF(DirectGrnPriceList!$P$21=1,(S32/DirectGrnPriceList!$S$24)*DirectGrnPriceList!$E$37,AD32/DirectGrnPriceList!$AD$24*DirectGrnPriceList!$E$37)</f>
        <v>0</v>
      </c>
      <c r="AI32" s="46">
        <f>S32*DirectGrnPriceList!$M$21</f>
        <v>745.27</v>
      </c>
      <c r="AJ32" s="46">
        <f>IF(DirectGrnPriceList!$C$21=3,0,AG32+AH32)</f>
        <v>0</v>
      </c>
      <c r="AK32" s="46">
        <f>IF(DirectGrnPriceList!$C$21=3,AE32+AG32+AH32,0)</f>
        <v>0</v>
      </c>
      <c r="AL32" s="46">
        <v>1</v>
      </c>
      <c r="AM32" s="46">
        <f>F32/AL32</f>
        <v>2</v>
      </c>
      <c r="AN32" s="46">
        <f>AI32/AM32</f>
        <v>372.63499999999999</v>
      </c>
      <c r="AO32" s="46">
        <f>AJ32/AM32</f>
        <v>0</v>
      </c>
      <c r="AP32" s="46">
        <f>AK32/AM32</f>
        <v>0</v>
      </c>
      <c r="AQ32" s="46" t="s">
        <v>12</v>
      </c>
      <c r="AR32" s="0">
        <f>ROUND(AN32+AO32+AP32,5)</f>
        <v>372.63499999999999</v>
      </c>
      <c r="AS32" t="s" s="0">
        <v>107</v>
      </c>
      <c r="AT32" s="48" t="s">
        <v>12</v>
      </c>
      <c r="AU32" t="s" s="0">
        <v>168</v>
      </c>
      <c r="AV32" t="s" s="0">
        <v>169</v>
      </c>
      <c r="AW32" s="48">
        <f>AM32</f>
        <v>2</v>
      </c>
      <c r="AX32" s="48">
        <f>AR32</f>
        <v>372.63499999999999</v>
      </c>
      <c r="AY32" s="48">
        <f>AU32+AW32</f>
        <v>28</v>
      </c>
      <c r="AZ32" s="48">
        <f>ROUND(((AU32*AV32)+(AW32*AX32))/(AU32+AW32),5)</f>
        <v>366.12536</v>
      </c>
      <c r="BA32" s="3"/>
      <c r="BB32" s="3" t="s">
        <v>110</v>
      </c>
      <c r="BC32" s="2" t="s">
        <v>111</v>
      </c>
      <c r="BD32" s="49" t="s">
        <v>144</v>
      </c>
      <c r="BE32" s="49" t="s">
        <v>145</v>
      </c>
      <c r="BF32" s="3"/>
      <c r="BG32" s="3"/>
      <c r="BH32" s="3"/>
      <c r="BI32" s="48"/>
      <c r="BL32" s="48" t="s">
        <v>148</v>
      </c>
      <c r="BM32" t="s" s="0">
        <v>108</v>
      </c>
      <c r="BN32" t="s" s="0">
        <v>108</v>
      </c>
      <c r="BO32" s="48">
        <f>ROUND((((AW32*AZ32)+(BN32*BM32))/(AW32+BN32)),5)</f>
        <v>366.12536</v>
      </c>
      <c r="BP32" s="4">
        <f>BN32+AW32</f>
        <v>2</v>
      </c>
      <c r="BQ32" s="50">
        <v>123562</v>
      </c>
      <c r="BR32" s="4"/>
    </row>
    <row r="33" spans="1:70" ht="15.75" thickBot="1">
      <c r="A33" s="45">
        <v>1</v>
      </c>
      <c r="B33" s="2" t="s">
        <v>122</v>
      </c>
      <c r="C33" s="2" t="s">
        <v>122</v>
      </c>
      <c r="D33" s="45" t="s">
        <v>12</v>
      </c>
      <c r="E33" s="45" t="s">
        <v>12</v>
      </c>
      <c r="F33" s="46">
        <v>2</v>
      </c>
      <c r="G33" t="s" s="0">
        <v>161</v>
      </c>
      <c r="H33" s="46">
        <f>F33*G33</f>
        <v>1000</v>
      </c>
      <c r="I33" t="s" s="0">
        <v>127</v>
      </c>
      <c r="J33" s="46">
        <v>2</v>
      </c>
      <c r="K33" s="46">
        <v>3</v>
      </c>
      <c r="L33" s="46">
        <f>H33</f>
        <v>1000</v>
      </c>
      <c r="M33" s="46">
        <f>ROUND(L33*I33%,2)</f>
        <v>20</v>
      </c>
      <c r="N33" s="46">
        <f>H33-M33</f>
        <v>980</v>
      </c>
      <c r="O33" s="46">
        <f>ROUND(N33*J33%,2)</f>
        <v>19.600000000000001</v>
      </c>
      <c r="P33" s="46">
        <f>ROUND(N33-O33,2)</f>
        <v>960.4</v>
      </c>
      <c r="Q33" s="46">
        <f>ROUND(P33*K33%,2)</f>
        <v>28.81</v>
      </c>
      <c r="R33" s="46">
        <f>M33+O33+Q33</f>
        <v>68.41</v>
      </c>
      <c r="S33" s="46">
        <f>(H33-R33)</f>
        <v>931.59</v>
      </c>
      <c r="T33" s="46" t="s">
        <v>106</v>
      </c>
      <c r="U33" s="46">
        <v>0.18</v>
      </c>
      <c r="V33" s="46">
        <f>IF(OR(DirectGrnPriceList!$C$21=1,DirectGrnPriceList!$C$21=4),ROUND(((S33*U33)/2),2),0)</f>
        <v>83.84</v>
      </c>
      <c r="W33" s="46">
        <f>IF(DirectGrnPriceList!$C$21=1,ROUND(((S33*U33)/2),2),0)</f>
        <v>83.84</v>
      </c>
      <c r="X33" s="46">
        <f>IF(DirectGrnPriceList!$C$21=2,ROUND(((S33*U33)),2),0)</f>
        <v>0</v>
      </c>
      <c r="Y33" s="46">
        <f>IF(DirectGrnPriceList!$C$21=4,ROUND(((S33*U33)/2),2),0)</f>
        <v>0</v>
      </c>
      <c r="Z33" s="47">
        <v>0.06</v>
      </c>
      <c r="AA33" s="46">
        <f>IF($C31=3,0,S33*Z33)</f>
        <v>55.895400000000002</v>
      </c>
      <c r="AB33" s="46">
        <f>V33+W33+X33+Y33+AA33</f>
        <v>223.5754</v>
      </c>
      <c r="AC33" s="46">
        <f>IF($V31=1,S33+AB33,S33)</f>
        <v>931.59</v>
      </c>
      <c r="AD33" s="46">
        <v>120</v>
      </c>
      <c r="AE33" s="46">
        <f>IF(DirectGrnPriceList!$P$21=1,(S33/DirectGrnPriceList!$S$24)*DirectGrnPriceList!$E$35,AD33/DirectGrnPriceList!$AD$24*DirectGrnPriceList!$E$35)</f>
        <v>0</v>
      </c>
      <c r="AF33" s="46"/>
      <c r="AG33" s="46">
        <f>IF(DirectGrnPriceList!$P$21=1,(S33/DirectGrnPriceList!$S$24)*DirectGrnPriceList!$E$37,AD33/DirectGrnPriceList!$AD$24*DirectGrnPriceList!$E$37)</f>
        <v>0</v>
      </c>
      <c r="AH33" s="46">
        <f>IF(DirectGrnPriceList!$P$21=1,(S33/DirectGrnPriceList!$S$24)*DirectGrnPriceList!$E$37,AD33/DirectGrnPriceList!$AD$24*DirectGrnPriceList!$E$37)</f>
        <v>0</v>
      </c>
      <c r="AI33" s="46">
        <f>S33*DirectGrnPriceList!$M$21</f>
        <v>931.59</v>
      </c>
      <c r="AJ33" s="46">
        <f>IF(DirectGrnPriceList!$C$21=3,0,AG33+AH33)</f>
        <v>0</v>
      </c>
      <c r="AK33" s="46">
        <f>IF(DirectGrnPriceList!$C$21=3,AE33+AG33+AH33,0)</f>
        <v>0</v>
      </c>
      <c r="AL33" s="46">
        <v>1</v>
      </c>
      <c r="AM33" s="46">
        <f>F33/AL33</f>
        <v>2</v>
      </c>
      <c r="AN33" s="46">
        <f>AI33/AM33</f>
        <v>465.79500000000002</v>
      </c>
      <c r="AO33" s="46">
        <f>AJ33/AM33</f>
        <v>0</v>
      </c>
      <c r="AP33" s="46">
        <f>AK33/AM33</f>
        <v>0</v>
      </c>
      <c r="AQ33" s="46" t="s">
        <v>12</v>
      </c>
      <c r="AR33" s="0">
        <f>ROUND(AN33+AO33+AP33,5)</f>
        <v>465.79500000000002</v>
      </c>
      <c r="AS33" t="s" s="0">
        <v>107</v>
      </c>
      <c r="AT33" s="48" t="s">
        <v>12</v>
      </c>
      <c r="AU33" t="s" s="0">
        <v>108</v>
      </c>
      <c r="AV33" t="s" s="0">
        <v>170</v>
      </c>
      <c r="AW33" s="48">
        <f>AM33</f>
        <v>2</v>
      </c>
      <c r="AX33" s="48">
        <f>AR33</f>
        <v>465.79500000000002</v>
      </c>
      <c r="AY33" s="48">
        <f>AU33+AW33</f>
        <v>2</v>
      </c>
      <c r="AZ33" s="48">
        <f>ROUND(((AU33*AV33)+(AW33*AX33))/(AU33+AW33),5)</f>
        <v>465.79500000000002</v>
      </c>
      <c r="BA33" s="3"/>
      <c r="BB33" s="3" t="s">
        <v>110</v>
      </c>
      <c r="BC33" s="2" t="s">
        <v>111</v>
      </c>
      <c r="BD33" s="49" t="s">
        <v>144</v>
      </c>
      <c r="BE33" s="49" t="s">
        <v>145</v>
      </c>
      <c r="BF33" s="3"/>
      <c r="BG33" s="3"/>
      <c r="BH33" s="3"/>
      <c r="BI33" s="48"/>
      <c r="BL33" s="48" t="s">
        <v>148</v>
      </c>
      <c r="BM33" t="s" s="0">
        <v>108</v>
      </c>
      <c r="BN33" t="s" s="0">
        <v>108</v>
      </c>
      <c r="BO33" s="48">
        <f>ROUND((((AW33*AZ33)+(BN33*BM33))/(AW33+BN33)),5)</f>
        <v>465.79500000000002</v>
      </c>
      <c r="BP33" s="4">
        <f>BN33+AW33</f>
        <v>2</v>
      </c>
      <c r="BQ33" s="50">
        <v>123562</v>
      </c>
      <c r="BR33" s="4"/>
    </row>
    <row r="34" spans="1:70" ht="15.75" thickBot="1"/>
    <row r="35" spans="1:70" ht="15.75" thickBot="1">
      <c r="A35" s="45">
        <v>2</v>
      </c>
      <c r="B35" s="2" t="s">
        <v>120</v>
      </c>
      <c r="C35" s="2" t="s">
        <v>120</v>
      </c>
      <c r="D35" s="45" t="s">
        <v>12</v>
      </c>
      <c r="E35" s="45" t="s">
        <v>12</v>
      </c>
      <c r="F35" s="46">
        <v>2</v>
      </c>
      <c r="G35" t="s" s="0">
        <v>128</v>
      </c>
      <c r="H35" s="46">
        <f>F35*G35</f>
        <v>600</v>
      </c>
      <c r="I35" t="s" s="0">
        <v>127</v>
      </c>
      <c r="J35" s="46">
        <v>2</v>
      </c>
      <c r="K35" s="46">
        <v>3</v>
      </c>
      <c r="L35" s="46">
        <f>H35</f>
        <v>600</v>
      </c>
      <c r="M35" s="46">
        <f>ROUND(L35*I35%,2)</f>
        <v>12</v>
      </c>
      <c r="N35" s="46">
        <f>H35-M35</f>
        <v>588</v>
      </c>
      <c r="O35" s="46">
        <f>ROUND(N35*J35%,2)</f>
        <v>11.76</v>
      </c>
      <c r="P35" s="46">
        <f>ROUND(N35-O35,2)</f>
        <v>576.24</v>
      </c>
      <c r="Q35" s="46">
        <f>ROUND(P35*K35%,2)</f>
        <v>17.29</v>
      </c>
      <c r="R35" s="46">
        <f>M35+O35+Q35</f>
        <v>41.05</v>
      </c>
      <c r="S35" s="46">
        <f>(H35-R35)</f>
        <v>558.95000000000005</v>
      </c>
      <c r="T35" s="46" t="s">
        <v>106</v>
      </c>
      <c r="U35" s="46">
        <v>0.18</v>
      </c>
      <c r="V35" s="46">
        <f>IF(OR(DirectGrnPriceList!$C$21=1,DirectGrnPriceList!$C$21=4),ROUND(((S35*U35)/2),2),0)</f>
        <v>50.31</v>
      </c>
      <c r="W35" s="46">
        <f>IF(DirectGrnPriceList!$C$21=1,ROUND(((S35*U35)/2),2),0)</f>
        <v>50.31</v>
      </c>
      <c r="X35" s="46">
        <f>IF(DirectGrnPriceList!$C$21=2,ROUND(((S35*U35)),2),0)</f>
        <v>0</v>
      </c>
      <c r="Y35" s="46">
        <f>IF(DirectGrnPriceList!$C$21=4,ROUND(((S35*U35)/2),2),0)</f>
        <v>0</v>
      </c>
      <c r="Z35" s="47">
        <v>0.06</v>
      </c>
      <c r="AA35" s="46">
        <f>IF(DirectGrnPriceList!$C15=3,0,S35*Z35)</f>
        <v>33.536999999999999</v>
      </c>
      <c r="AB35" s="46">
        <f>V35+W35+X35+Y35+AA35</f>
        <v>134.15700000000001</v>
      </c>
      <c r="AC35" s="46">
        <f>IF(DirectGrnPriceList!$V15=1,S35+AB35,S35)</f>
        <v>558.95000000000005</v>
      </c>
      <c r="AD35" s="46">
        <v>120</v>
      </c>
      <c r="AE35" s="46">
        <f>IF(DirectGrnPriceList!$P$21=1,(S35/DirectGrnPriceList!$S$24)*DirectGrnPriceList!$E$35,AD35/DirectGrnPriceList!$AD$24*DirectGrnPriceList!$E$35)</f>
        <v>0</v>
      </c>
      <c r="AF35" s="46"/>
      <c r="AG35" s="46">
        <f>IF(DirectGrnPriceList!$P$21=1,(S35/DirectGrnPriceList!$S$24)*DirectGrnPriceList!$E$37,AD35/DirectGrnPriceList!$AD$24*DirectGrnPriceList!$E$37)</f>
        <v>0</v>
      </c>
      <c r="AH35" s="46">
        <f>IF(DirectGrnPriceList!$P$21=1,(S35/DirectGrnPriceList!$S$24)*DirectGrnPriceList!$E$37,AD35/DirectGrnPriceList!$AD$24*DirectGrnPriceList!$E$37)</f>
        <v>0</v>
      </c>
      <c r="AI35" s="46">
        <f>S35*DirectGrnPriceList!$M$21</f>
        <v>558.95000000000005</v>
      </c>
      <c r="AJ35" s="46">
        <f>IF(DirectGrnPriceList!$C$21=3,0,AG35+AH35)</f>
        <v>0</v>
      </c>
      <c r="AK35" s="46">
        <f>IF(DirectGrnPriceList!$C$21=3,AE35+AG35+AH35,0)</f>
        <v>0</v>
      </c>
      <c r="AL35" s="46">
        <v>1</v>
      </c>
      <c r="AM35" s="46">
        <f>F35/AL35</f>
        <v>2</v>
      </c>
      <c r="AN35" s="46">
        <f>AI35/AM35</f>
        <v>279.47500000000002</v>
      </c>
      <c r="AO35" s="46">
        <f>AJ35/AM35</f>
        <v>0</v>
      </c>
      <c r="AP35" s="46">
        <f>AK35/AM35</f>
        <v>0</v>
      </c>
      <c r="AQ35" s="46" t="s">
        <v>12</v>
      </c>
      <c r="AR35" s="0">
        <f>ROUND(AN35+AO35+AP35,5)</f>
        <v>279.47500000000002</v>
      </c>
      <c r="AS35" t="s" s="0">
        <v>107</v>
      </c>
      <c r="AT35" s="48" t="s">
        <v>12</v>
      </c>
      <c r="AU35" t="s" s="0">
        <v>171</v>
      </c>
      <c r="AV35" t="s" s="0">
        <v>172</v>
      </c>
      <c r="AW35" s="48">
        <f>AM35</f>
        <v>2</v>
      </c>
      <c r="AX35" s="48">
        <f>AR35</f>
        <v>279.47500000000002</v>
      </c>
      <c r="AY35" s="48">
        <f>AU35+AW35</f>
        <v>24</v>
      </c>
      <c r="AZ35" s="48">
        <f>ROUND(((AU35*AV35)+(AW35*AX35))/(AU35+AW35),5)</f>
        <v>275.20458000000002</v>
      </c>
      <c r="BA35" s="3"/>
      <c r="BB35" s="3" t="s">
        <v>110</v>
      </c>
      <c r="BC35" s="2" t="s">
        <v>116</v>
      </c>
      <c r="BD35" s="49" t="s">
        <v>144</v>
      </c>
      <c r="BE35" s="49" t="s">
        <v>145</v>
      </c>
      <c r="BF35" s="3"/>
      <c r="BG35" s="3"/>
      <c r="BH35" s="3"/>
      <c r="BI35" s="48"/>
      <c r="BL35" s="48" t="s">
        <v>148</v>
      </c>
      <c r="BM35" t="s" s="0">
        <v>108</v>
      </c>
      <c r="BN35" t="s" s="0">
        <v>108</v>
      </c>
      <c r="BO35" s="48">
        <f>ROUND((((AW35*AZ35)+(BN35*BM35))/(AW35+BN35)),5)</f>
        <v>275.20458000000002</v>
      </c>
      <c r="BP35" s="4">
        <f>BN35+AW35</f>
        <v>2</v>
      </c>
      <c r="BQ35" s="50">
        <v>123562</v>
      </c>
      <c r="BR35" s="4"/>
    </row>
    <row r="36" spans="1:70" ht="15.75" thickBot="1">
      <c r="A36" s="45">
        <v>3</v>
      </c>
      <c r="B36" s="2" t="s">
        <v>121</v>
      </c>
      <c r="C36" s="2" t="s">
        <v>121</v>
      </c>
      <c r="D36" s="45" t="s">
        <v>12</v>
      </c>
      <c r="E36" s="45" t="s">
        <v>12</v>
      </c>
      <c r="F36" s="46">
        <v>2</v>
      </c>
      <c r="G36" t="s" s="0">
        <v>129</v>
      </c>
      <c r="H36" s="46">
        <f>F36*G36</f>
        <v>800</v>
      </c>
      <c r="I36" t="s" s="0">
        <v>127</v>
      </c>
      <c r="J36" s="46">
        <v>2</v>
      </c>
      <c r="K36" s="46">
        <v>3</v>
      </c>
      <c r="L36" s="46">
        <f>H36</f>
        <v>800</v>
      </c>
      <c r="M36" s="46">
        <f>ROUND(L36*I36%,2)</f>
        <v>16</v>
      </c>
      <c r="N36" s="46">
        <f>H36-M36</f>
        <v>784</v>
      </c>
      <c r="O36" s="46">
        <f>ROUND(N36*J36%,2)</f>
        <v>15.68</v>
      </c>
      <c r="P36" s="46">
        <f>ROUND(N36-O36,2)</f>
        <v>768.32</v>
      </c>
      <c r="Q36" s="46">
        <f>ROUND(P36*K36%,2)</f>
        <v>23.05</v>
      </c>
      <c r="R36" s="46">
        <f>M36+O36+Q36</f>
        <v>54.730000000000004</v>
      </c>
      <c r="S36" s="46">
        <f>(H36-R36)</f>
        <v>745.27</v>
      </c>
      <c r="T36" s="46" t="s">
        <v>106</v>
      </c>
      <c r="U36" s="46">
        <v>0.18</v>
      </c>
      <c r="V36" s="46">
        <f>IF(OR(DirectGrnPriceList!$C$21=1,DirectGrnPriceList!$C$21=4),ROUND(((S36*U36)/2),2),0)</f>
        <v>67.069999999999993</v>
      </c>
      <c r="W36" s="46">
        <f>IF(DirectGrnPriceList!$C$21=1,ROUND(((S36*U36)/2),2),0)</f>
        <v>67.069999999999993</v>
      </c>
      <c r="X36" s="46">
        <f>IF(DirectGrnPriceList!$C$21=2,ROUND(((S36*U36)),2),0)</f>
        <v>0</v>
      </c>
      <c r="Y36" s="46">
        <f>IF(DirectGrnPriceList!$C$21=4,ROUND(((S36*U36)/2),2),0)</f>
        <v>0</v>
      </c>
      <c r="Z36" s="47">
        <v>0.06</v>
      </c>
      <c r="AA36" s="46">
        <f>IF(DirectGrnPriceList!$C16=3,0,S36*Z36)</f>
        <v>44.716200000000001</v>
      </c>
      <c r="AB36" s="46">
        <f>V36+W36+X36+Y36+AA36</f>
        <v>178.8562</v>
      </c>
      <c r="AC36" s="46">
        <f>IF(DirectGrnPriceList!$V16=1,S36+AB36,S36)</f>
        <v>745.27</v>
      </c>
      <c r="AD36" s="46">
        <v>120</v>
      </c>
      <c r="AE36" s="46">
        <f>IF(DirectGrnPriceList!$P$21=1,(S36/DirectGrnPriceList!$S$24)*DirectGrnPriceList!$E$35,AD36/DirectGrnPriceList!$AD$24*DirectGrnPriceList!$E$35)</f>
        <v>0</v>
      </c>
      <c r="AF36" s="46"/>
      <c r="AG36" s="46">
        <f>IF(DirectGrnPriceList!$P$21=1,(S36/DirectGrnPriceList!$S$24)*DirectGrnPriceList!$E$37,AD36/DirectGrnPriceList!$AD$24*DirectGrnPriceList!$E$37)</f>
        <v>0</v>
      </c>
      <c r="AH36" s="46">
        <f>IF(DirectGrnPriceList!$P$21=1,(S36/DirectGrnPriceList!$S$24)*DirectGrnPriceList!$E$37,AD36/DirectGrnPriceList!$AD$24*DirectGrnPriceList!$E$37)</f>
        <v>0</v>
      </c>
      <c r="AI36" s="46">
        <f>S36*DirectGrnPriceList!$M$21</f>
        <v>745.27</v>
      </c>
      <c r="AJ36" s="46">
        <f>IF(DirectGrnPriceList!$C$21=3,0,AG36+AH36)</f>
        <v>0</v>
      </c>
      <c r="AK36" s="46">
        <f>IF(DirectGrnPriceList!$C$21=3,AE36+AG36+AH36,0)</f>
        <v>0</v>
      </c>
      <c r="AL36" s="46">
        <v>1</v>
      </c>
      <c r="AM36" s="46">
        <f>F36/AL36</f>
        <v>2</v>
      </c>
      <c r="AN36" s="46">
        <f>AI36/AM36</f>
        <v>372.63499999999999</v>
      </c>
      <c r="AO36" s="46">
        <f>AJ36/AM36</f>
        <v>0</v>
      </c>
      <c r="AP36" s="46">
        <f>AK36/AM36</f>
        <v>0</v>
      </c>
      <c r="AQ36" s="46" t="s">
        <v>12</v>
      </c>
      <c r="AR36" s="0">
        <f>ROUND(AN36+AO36+AP36,5)</f>
        <v>372.63499999999999</v>
      </c>
      <c r="AS36" t="s" s="0">
        <v>107</v>
      </c>
      <c r="AT36" s="48" t="s">
        <v>12</v>
      </c>
      <c r="AU36" t="s" s="0">
        <v>173</v>
      </c>
      <c r="AV36" t="s" s="0">
        <v>174</v>
      </c>
      <c r="AW36" s="48">
        <f>AM36</f>
        <v>2</v>
      </c>
      <c r="AX36" s="48">
        <f>AR36</f>
        <v>372.63499999999999</v>
      </c>
      <c r="AY36" s="48">
        <f>AU36+AW36</f>
        <v>30</v>
      </c>
      <c r="AZ36" s="48">
        <f>ROUND(((AU36*AV36)+(AW36*AX36))/(AU36+AW36),5)</f>
        <v>366.55966999999998</v>
      </c>
      <c r="BA36" s="3"/>
      <c r="BB36" s="3" t="s">
        <v>110</v>
      </c>
      <c r="BC36" s="2" t="s">
        <v>111</v>
      </c>
      <c r="BD36" s="49" t="s">
        <v>144</v>
      </c>
      <c r="BE36" s="49" t="s">
        <v>145</v>
      </c>
      <c r="BF36" s="3"/>
      <c r="BG36" s="3"/>
      <c r="BH36" s="3"/>
      <c r="BI36" s="48"/>
      <c r="BL36" s="48" t="s">
        <v>148</v>
      </c>
      <c r="BM36" t="s" s="0">
        <v>108</v>
      </c>
      <c r="BN36" t="s" s="0">
        <v>108</v>
      </c>
      <c r="BO36" s="48">
        <f>ROUND((((AW36*AZ36)+(BN36*BM36))/(AW36+BN36)),5)</f>
        <v>366.55966999999998</v>
      </c>
      <c r="BP36" s="4">
        <f>BN36+AW36</f>
        <v>2</v>
      </c>
      <c r="BQ36" s="50">
        <v>123562</v>
      </c>
      <c r="BR36" s="4"/>
    </row>
    <row r="37" spans="1:70" ht="15.75" thickBot="1">
      <c r="A37" s="45">
        <v>4</v>
      </c>
      <c r="B37" s="2" t="s">
        <v>122</v>
      </c>
      <c r="C37" s="2" t="s">
        <v>122</v>
      </c>
      <c r="D37" s="45" t="s">
        <v>12</v>
      </c>
      <c r="E37" s="45" t="s">
        <v>12</v>
      </c>
      <c r="F37" s="46">
        <v>2</v>
      </c>
      <c r="G37" t="s" s="0">
        <v>161</v>
      </c>
      <c r="H37" s="46">
        <f>F37*G37</f>
        <v>1000</v>
      </c>
      <c r="I37" t="s" s="0">
        <v>127</v>
      </c>
      <c r="J37" s="46">
        <v>2</v>
      </c>
      <c r="K37" s="46">
        <v>3</v>
      </c>
      <c r="L37" s="46">
        <f>H37</f>
        <v>1000</v>
      </c>
      <c r="M37" s="46">
        <f>ROUND(L37*I37%,2)</f>
        <v>20</v>
      </c>
      <c r="N37" s="46">
        <f>H37-M37</f>
        <v>980</v>
      </c>
      <c r="O37" s="46">
        <f>ROUND(N37*J37%,2)</f>
        <v>19.600000000000001</v>
      </c>
      <c r="P37" s="46">
        <f>ROUND(N37-O37,2)</f>
        <v>960.4</v>
      </c>
      <c r="Q37" s="46">
        <f>ROUND(P37*K37%,2)</f>
        <v>28.81</v>
      </c>
      <c r="R37" s="46">
        <f>M37+O37+Q37</f>
        <v>68.41</v>
      </c>
      <c r="S37" s="46">
        <f>(H37-R37)</f>
        <v>931.59</v>
      </c>
      <c r="T37" s="46" t="s">
        <v>106</v>
      </c>
      <c r="U37" s="46">
        <v>0.18</v>
      </c>
      <c r="V37" s="46">
        <f>IF(OR(DirectGrnPriceList!$C$21=1,DirectGrnPriceList!$C$21=4),ROUND(((S37*U37)/2),2),0)</f>
        <v>83.84</v>
      </c>
      <c r="W37" s="46">
        <f>IF(DirectGrnPriceList!$C$21=1,ROUND(((S37*U37)/2),2),0)</f>
        <v>83.84</v>
      </c>
      <c r="X37" s="46">
        <f>IF(DirectGrnPriceList!$C$21=2,ROUND(((S37*U37)),2),0)</f>
        <v>0</v>
      </c>
      <c r="Y37" s="46">
        <f>IF(DirectGrnPriceList!$C$21=4,ROUND(((S37*U37)/2),2),0)</f>
        <v>0</v>
      </c>
      <c r="Z37" s="47">
        <v>0.06</v>
      </c>
      <c r="AA37" s="46">
        <f>IF($C35=3,0,S37*Z37)</f>
        <v>55.895400000000002</v>
      </c>
      <c r="AB37" s="46">
        <f>V37+W37+X37+Y37+AA37</f>
        <v>223.5754</v>
      </c>
      <c r="AC37" s="46">
        <f>IF($V35=1,S37+AB37,S37)</f>
        <v>931.59</v>
      </c>
      <c r="AD37" s="46">
        <v>120</v>
      </c>
      <c r="AE37" s="46">
        <f>IF(DirectGrnPriceList!$P$21=1,(S37/DirectGrnPriceList!$S$24)*DirectGrnPriceList!$E$35,AD37/DirectGrnPriceList!$AD$24*DirectGrnPriceList!$E$35)</f>
        <v>0</v>
      </c>
      <c r="AF37" s="46"/>
      <c r="AG37" s="46">
        <f>IF(DirectGrnPriceList!$P$21=1,(S37/DirectGrnPriceList!$S$24)*DirectGrnPriceList!$E$37,AD37/DirectGrnPriceList!$AD$24*DirectGrnPriceList!$E$37)</f>
        <v>0</v>
      </c>
      <c r="AH37" s="46">
        <f>IF(DirectGrnPriceList!$P$21=1,(S37/DirectGrnPriceList!$S$24)*DirectGrnPriceList!$E$37,AD37/DirectGrnPriceList!$AD$24*DirectGrnPriceList!$E$37)</f>
        <v>0</v>
      </c>
      <c r="AI37" s="46">
        <f>S37*DirectGrnPriceList!$M$21</f>
        <v>931.59</v>
      </c>
      <c r="AJ37" s="46">
        <f>IF(DirectGrnPriceList!$C$21=3,0,AG37+AH37)</f>
        <v>0</v>
      </c>
      <c r="AK37" s="46">
        <f>IF(DirectGrnPriceList!$C$21=3,AE37+AG37+AH37,0)</f>
        <v>0</v>
      </c>
      <c r="AL37" s="46">
        <v>1</v>
      </c>
      <c r="AM37" s="46">
        <f>F37/AL37</f>
        <v>2</v>
      </c>
      <c r="AN37" s="46">
        <f>AI37/AM37</f>
        <v>465.79500000000002</v>
      </c>
      <c r="AO37" s="46">
        <f>AJ37/AM37</f>
        <v>0</v>
      </c>
      <c r="AP37" s="46">
        <f>AK37/AM37</f>
        <v>0</v>
      </c>
      <c r="AQ37" s="46" t="s">
        <v>12</v>
      </c>
      <c r="AR37" s="0">
        <f>ROUND(AN37+AO37+AP37,5)</f>
        <v>465.79500000000002</v>
      </c>
      <c r="AS37" t="s" s="0">
        <v>107</v>
      </c>
      <c r="AT37" s="48" t="s">
        <v>12</v>
      </c>
      <c r="AU37" t="s" s="0">
        <v>108</v>
      </c>
      <c r="AV37" t="s" s="0">
        <v>170</v>
      </c>
      <c r="AW37" s="48">
        <f>AM37</f>
        <v>2</v>
      </c>
      <c r="AX37" s="48">
        <f>AR37</f>
        <v>465.79500000000002</v>
      </c>
      <c r="AY37" s="48">
        <f>AU37+AW37</f>
        <v>2</v>
      </c>
      <c r="AZ37" s="48">
        <f>ROUND(((AU37*AV37)+(AW37*AX37))/(AU37+AW37),5)</f>
        <v>465.79500000000002</v>
      </c>
      <c r="BA37" s="3"/>
      <c r="BB37" s="3" t="s">
        <v>110</v>
      </c>
      <c r="BC37" s="2" t="s">
        <v>111</v>
      </c>
      <c r="BD37" s="49" t="s">
        <v>144</v>
      </c>
      <c r="BE37" s="49" t="s">
        <v>145</v>
      </c>
      <c r="BF37" s="3"/>
      <c r="BG37" s="3"/>
      <c r="BH37" s="3"/>
      <c r="BI37" s="48"/>
      <c r="BL37" s="48" t="s">
        <v>148</v>
      </c>
      <c r="BM37" t="s" s="0">
        <v>108</v>
      </c>
      <c r="BN37" t="s" s="0">
        <v>108</v>
      </c>
      <c r="BO37" s="48">
        <f>ROUND((((AW37*AZ37)+(BN37*BM37))/(AW37+BN37)),5)</f>
        <v>465.79500000000002</v>
      </c>
      <c r="BP37" s="4">
        <f>BN37+AW37</f>
        <v>2</v>
      </c>
      <c r="BQ37" s="50">
        <v>123562</v>
      </c>
      <c r="BR3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R25"/>
  <sheetViews>
    <sheetView topLeftCell="A10" workbookViewId="0">
      <selection activeCell="C21" sqref="C21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8"/>
      <c r="AS1" s="8"/>
    </row>
    <row r="2" spans="1:45" ht="18.75" thickBot="1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2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178</v>
      </c>
      <c r="C23" s="2" t="s">
        <v>178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0</v>
      </c>
      <c r="W23" s="46">
        <f>IF($C$21=1,ROUND(((S23*U23)/2),2),0)</f>
        <v>0</v>
      </c>
      <c r="X23" s="46">
        <f>IF($C$21=2,ROUND(((S23*U23)),2),0)</f>
        <v>101.64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101.64</v>
      </c>
      <c r="AC23" s="46">
        <f>IF($V21=1,S23+AB23,S23)</f>
        <v>666.3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187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282.33</v>
      </c>
      <c r="AY23" s="48">
        <f>AU23+AW23</f>
        <v>2</v>
      </c>
      <c r="AZ23" s="48">
        <f>ROUND(((AU23*AV23)+(AW23*AX23))/(AU23+AW23),5)</f>
        <v>282.33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149</v>
      </c>
      <c r="BN23" t="s" s="0">
        <v>155</v>
      </c>
      <c r="BO23" s="48">
        <f>ROUND((((AW23*AZ23)+(BN23*BM23))/(AW23+BN23)),5)</f>
        <v>282.33</v>
      </c>
      <c r="BP23" s="4">
        <f>BN23+AW23</f>
        <v>10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0</v>
      </c>
      <c r="W24" s="55">
        <f>SUM(W23:W23)</f>
        <v>0</v>
      </c>
      <c r="X24" s="55">
        <f>SUM(X23:X23)</f>
        <v>101.64</v>
      </c>
      <c r="Y24" s="55"/>
      <c r="Z24" s="55"/>
      <c r="AA24" s="55"/>
      <c r="AB24" s="53">
        <f>SUM(AB23:AB23)</f>
        <v>101.64</v>
      </c>
      <c r="AC24" s="56">
        <f>SUM(AC23:AC23)</f>
        <v>666.3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U25"/>
  <sheetViews>
    <sheetView topLeftCell="BN10" workbookViewId="0">
      <selection activeCell="K23" sqref="K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4.8554687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1" max="71" customWidth="true" width="22.1406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8"/>
      <c r="AS1" s="8"/>
    </row>
    <row r="2" spans="1:45" ht="18.75" thickBot="1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3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3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3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3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3" ht="15.75" thickBot="1">
      <c r="A21" s="163" t="s">
        <v>43</v>
      </c>
      <c r="B21" s="163"/>
      <c r="C21" s="13">
        <v>2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3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  <c r="BR22" s="69" t="s">
        <v>192</v>
      </c>
      <c r="BS22" s="69" t="s">
        <v>193</v>
      </c>
      <c r="BT22" s="69" t="s">
        <v>194</v>
      </c>
      <c r="BU22" s="95" t="s">
        <v>196</v>
      </c>
    </row>
    <row r="23" spans="1:73" ht="15.75" thickBot="1">
      <c r="A23" s="45">
        <v>1</v>
      </c>
      <c r="B23" s="2" t="s">
        <v>179</v>
      </c>
      <c r="C23" s="2" t="s">
        <v>179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2</v>
      </c>
      <c r="J23" s="46">
        <v>2</v>
      </c>
      <c r="K23" s="46">
        <v>3</v>
      </c>
      <c r="L23" s="46">
        <f>H23</f>
        <v>600</v>
      </c>
      <c r="M23" s="46">
        <f>ROUND(L23*I23%,2)</f>
        <v>12</v>
      </c>
      <c r="N23" s="46">
        <f>H23-M23</f>
        <v>588</v>
      </c>
      <c r="O23" s="46">
        <f>ROUND(N23*J23%,2)</f>
        <v>11.76</v>
      </c>
      <c r="P23" s="46">
        <f>ROUND(N23-O23,2)</f>
        <v>576.24</v>
      </c>
      <c r="Q23" s="46">
        <f>ROUND(P23*K23%,2)</f>
        <v>17.29</v>
      </c>
      <c r="R23" s="72">
        <f>ROUND(M23+O23+Q23,3)</f>
        <v>41.05</v>
      </c>
      <c r="S23" s="46">
        <f>(H23-R23)</f>
        <v>558.95000000000005</v>
      </c>
      <c r="T23" s="46" t="s">
        <v>106</v>
      </c>
      <c r="U23" s="46">
        <v>0.18</v>
      </c>
      <c r="V23" s="46">
        <f>IF(OR($C$21=1,$C$21=4),ROUND(((S23*U23)/2),2),0)</f>
        <v>0</v>
      </c>
      <c r="W23" s="46">
        <f>IF($C$21=1,ROUND(((S23*U23)/2),2),0)</f>
        <v>0</v>
      </c>
      <c r="X23" s="46">
        <f>IF($C$21=2,ROUND(((S23*U23)),2),0)</f>
        <v>100.61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100.61</v>
      </c>
      <c r="AC23" s="46">
        <f>IF($V21=1,S23+AB23,S23)</f>
        <v>659.56000000000006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558.95000000000005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279.47500000000002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279.47500000000002</v>
      </c>
      <c r="AS23" t="s" s="0">
        <v>187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279.47500000000002</v>
      </c>
      <c r="AY23" s="48">
        <f>AU23+AW23</f>
        <v>2</v>
      </c>
      <c r="AZ23" s="48">
        <f>ROUND(((AU23*AV23)+(AW23*AX23))/(AU23+AW23),5)</f>
        <v>279.47500000000002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48"/>
      <c r="BL23" s="48" t="s">
        <v>148</v>
      </c>
      <c r="BM23" s="0">
        <v>292.60462000000001</v>
      </c>
      <c r="BN23" s="0">
        <v>682</v>
      </c>
      <c r="BO23" s="48">
        <f>ROUND((((AW23*AZ23)+(BN23*BM23))/(AW23+BN23)),5)</f>
        <v>292.56623000000002</v>
      </c>
      <c r="BP23" s="4">
        <f>BN23+AW23</f>
        <v>684</v>
      </c>
      <c r="BQ23" s="50">
        <v>88363222</v>
      </c>
      <c r="BR23" s="4">
        <f>G23+100</f>
        <v>400</v>
      </c>
      <c r="BS23" s="4" t="s">
        <v>195</v>
      </c>
      <c r="BT23" s="70" t="s">
        <v>3</v>
      </c>
      <c r="BU23" t="s" s="0">
        <v>197</v>
      </c>
    </row>
    <row r="24" spans="1:73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41.05</v>
      </c>
      <c r="S24" s="54">
        <f>SUM(S23:S23)</f>
        <v>558.95000000000005</v>
      </c>
      <c r="T24" s="53"/>
      <c r="U24" s="53"/>
      <c r="V24" s="55">
        <f>SUM(V23:V23)</f>
        <v>0</v>
      </c>
      <c r="W24" s="55">
        <f>SUM(W23:W23)</f>
        <v>0</v>
      </c>
      <c r="X24" s="55">
        <f>SUM(X23:X23)</f>
        <v>100.61</v>
      </c>
      <c r="Y24" s="55"/>
      <c r="Z24" s="55"/>
      <c r="AA24" s="55"/>
      <c r="AB24" s="53">
        <f>SUM(AB23:AB23)</f>
        <v>100.61</v>
      </c>
      <c r="AC24" s="56">
        <f>SUM(AC23:AC23)</f>
        <v>659.56000000000006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558.95000000000005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3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U25"/>
  <sheetViews>
    <sheetView topLeftCell="C10" workbookViewId="0">
      <selection activeCell="K23" sqref="K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4.8554687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1" max="71" customWidth="true" width="22.1406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8"/>
      <c r="AS1" s="8"/>
    </row>
    <row r="2" spans="1:45" ht="18.75" thickBot="1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3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3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3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3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3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3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  <c r="BR22" s="69" t="s">
        <v>192</v>
      </c>
      <c r="BS22" s="69" t="s">
        <v>193</v>
      </c>
      <c r="BT22" s="69" t="s">
        <v>194</v>
      </c>
      <c r="BU22" s="95" t="s">
        <v>196</v>
      </c>
    </row>
    <row r="23" spans="1:73" ht="15.75" thickBot="1">
      <c r="A23" s="45">
        <v>1</v>
      </c>
      <c r="B23" s="2" t="s">
        <v>179</v>
      </c>
      <c r="C23" s="2" t="s">
        <v>179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2</v>
      </c>
      <c r="J23" s="46">
        <v>2</v>
      </c>
      <c r="K23" s="46">
        <v>3</v>
      </c>
      <c r="L23" s="46">
        <f>H23</f>
        <v>600</v>
      </c>
      <c r="M23" s="46">
        <f>ROUND(L23*I23%,2)</f>
        <v>12</v>
      </c>
      <c r="N23" s="46">
        <f>H23-M23</f>
        <v>588</v>
      </c>
      <c r="O23" s="46">
        <f>ROUND(N23*J23%,2)</f>
        <v>11.76</v>
      </c>
      <c r="P23" s="46">
        <f>ROUND(N23-O23,2)</f>
        <v>576.24</v>
      </c>
      <c r="Q23" s="46">
        <f>ROUND(P23*K23%,2)</f>
        <v>17.29</v>
      </c>
      <c r="R23" s="72">
        <f>ROUND(M23+O23+Q23,3)</f>
        <v>41.05</v>
      </c>
      <c r="S23" s="46">
        <f>(H23-R23)</f>
        <v>558.95000000000005</v>
      </c>
      <c r="T23" s="46" t="s">
        <v>106</v>
      </c>
      <c r="U23" s="46">
        <v>0.18</v>
      </c>
      <c r="V23" s="46">
        <f>IF(OR($C$21=1,$C$21=4),ROUND(((S23*U23)/2),2),0)</f>
        <v>50.31</v>
      </c>
      <c r="W23" s="46">
        <f>IF($C$21=1,ROUND(((S23*U23)/2),2),0)</f>
        <v>50.31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100.62</v>
      </c>
      <c r="AC23" s="46">
        <f>IF($V21=1,S23+AB23,S23)</f>
        <v>659.57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558.95000000000005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279.47500000000002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279.47500000000002</v>
      </c>
      <c r="AS23" t="s" s="0">
        <v>187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279.47500000000002</v>
      </c>
      <c r="AY23" s="48">
        <f>AU23+AW23</f>
        <v>2</v>
      </c>
      <c r="AZ23" s="48">
        <f>ROUND(((AU23*AV23)+(AW23*AX23))/(AU23+AW23),5)</f>
        <v>279.47500000000002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48"/>
      <c r="BL23" s="48" t="s">
        <v>148</v>
      </c>
      <c r="BM23" s="0">
        <v>292.60462000000001</v>
      </c>
      <c r="BN23" s="0">
        <v>682</v>
      </c>
      <c r="BO23" s="48">
        <f>ROUND((((AW23*AZ23)+(BN23*BM23))/(AW23+BN23)),5)</f>
        <v>292.56623000000002</v>
      </c>
      <c r="BP23" s="4">
        <f>BN23+AW23</f>
        <v>684</v>
      </c>
      <c r="BQ23" s="50">
        <v>88363222</v>
      </c>
      <c r="BR23" s="4">
        <f>G23+100</f>
        <v>400</v>
      </c>
      <c r="BS23" s="4" t="s">
        <v>195</v>
      </c>
      <c r="BT23" s="70" t="s">
        <v>3</v>
      </c>
      <c r="BU23" t="s" s="0">
        <v>197</v>
      </c>
    </row>
    <row r="24" spans="1:73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41.05</v>
      </c>
      <c r="S24" s="54">
        <f>SUM(S23:S23)</f>
        <v>558.95000000000005</v>
      </c>
      <c r="T24" s="53"/>
      <c r="U24" s="53"/>
      <c r="V24" s="55">
        <f>SUM(V23:V23)</f>
        <v>50.31</v>
      </c>
      <c r="W24" s="55">
        <f>SUM(W23:W23)</f>
        <v>50.31</v>
      </c>
      <c r="X24" s="55">
        <f>SUM(X23:X23)</f>
        <v>0</v>
      </c>
      <c r="Y24" s="55"/>
      <c r="Z24" s="55"/>
      <c r="AA24" s="55"/>
      <c r="AB24" s="53">
        <f>SUM(AB23:AB23)</f>
        <v>100.62</v>
      </c>
      <c r="AC24" s="56">
        <f>SUM(AC23:AC23)</f>
        <v>659.57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558.95000000000005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3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C25"/>
  <sheetViews>
    <sheetView topLeftCell="BO10" workbookViewId="0">
      <selection activeCell="BZ23" sqref="BZ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1.28515625"/>
    <col min="19" max="19" customWidth="true" width="11.140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3.85546875"/>
    <col min="49" max="49" customWidth="true" width="11.42578125"/>
    <col min="50" max="50" customWidth="true" width="11.0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4" max="74" bestFit="true" customWidth="true" width="12.85546875"/>
    <col min="75" max="75" bestFit="true" customWidth="true" width="9.140625"/>
    <col min="78" max="78" bestFit="true" customWidth="true" width="17.5703125"/>
    <col min="79" max="79" bestFit="true" customWidth="true" width="14.0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4"/>
      <c r="AS1" s="74"/>
    </row>
    <row r="2" spans="1:45" ht="18.75" thickBot="1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4"/>
      <c r="AS2" s="74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74"/>
    </row>
    <row r="4" spans="1:45">
      <c r="A4" s="75">
        <v>1</v>
      </c>
      <c r="B4" s="76" t="s">
        <v>10</v>
      </c>
      <c r="C4" s="76" t="s">
        <v>11</v>
      </c>
      <c r="D4" s="76" t="s">
        <v>12</v>
      </c>
      <c r="E4" s="76" t="s">
        <v>12</v>
      </c>
      <c r="F4" s="77">
        <v>25</v>
      </c>
      <c r="G4" s="78">
        <v>257.63</v>
      </c>
      <c r="H4" s="79">
        <f t="shared" ref="H4:H18" si="0">F4*G4</f>
        <v>6440.75</v>
      </c>
      <c r="I4" s="80"/>
      <c r="J4" s="80"/>
      <c r="K4" s="80"/>
      <c r="L4" s="81"/>
      <c r="M4" s="81"/>
      <c r="N4" s="81"/>
      <c r="O4" s="81"/>
      <c r="P4" s="81"/>
      <c r="Q4" s="81"/>
      <c r="R4" s="81"/>
      <c r="S4" s="81"/>
      <c r="T4" s="81"/>
      <c r="U4" s="80"/>
      <c r="V4" s="80"/>
      <c r="W4" s="80"/>
      <c r="X4" s="80"/>
      <c r="Y4" s="80"/>
      <c r="Z4" s="80"/>
      <c r="AA4" s="80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74"/>
    </row>
    <row r="5" spans="1:45">
      <c r="A5" s="75">
        <v>2</v>
      </c>
      <c r="B5" s="76" t="s">
        <v>13</v>
      </c>
      <c r="C5" s="76" t="s">
        <v>14</v>
      </c>
      <c r="D5" s="76" t="s">
        <v>12</v>
      </c>
      <c r="E5" s="76" t="s">
        <v>12</v>
      </c>
      <c r="F5" s="77">
        <v>35</v>
      </c>
      <c r="G5" s="78">
        <v>125.45</v>
      </c>
      <c r="H5" s="79">
        <f t="shared" si="0"/>
        <v>4390.75</v>
      </c>
      <c r="I5" s="80"/>
      <c r="J5" s="80"/>
      <c r="K5" s="80"/>
      <c r="L5" s="81"/>
      <c r="M5" s="81"/>
      <c r="N5" s="81"/>
      <c r="O5" s="81"/>
      <c r="P5" s="81"/>
      <c r="Q5" s="81"/>
      <c r="R5" s="81"/>
      <c r="S5" s="81"/>
      <c r="T5" s="81"/>
      <c r="U5" s="80"/>
      <c r="V5" s="80"/>
      <c r="W5" s="80"/>
      <c r="X5" s="80"/>
      <c r="Y5" s="80"/>
      <c r="Z5" s="80"/>
      <c r="AA5" s="80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74"/>
    </row>
    <row r="6" spans="1:45">
      <c r="A6" s="75">
        <v>3</v>
      </c>
      <c r="B6" s="76" t="s">
        <v>15</v>
      </c>
      <c r="C6" s="76" t="s">
        <v>16</v>
      </c>
      <c r="D6" s="76" t="s">
        <v>12</v>
      </c>
      <c r="E6" s="76" t="s">
        <v>12</v>
      </c>
      <c r="F6" s="77">
        <v>45</v>
      </c>
      <c r="G6" s="78">
        <v>125.36</v>
      </c>
      <c r="H6" s="79">
        <f t="shared" si="0"/>
        <v>5641.2</v>
      </c>
      <c r="I6" s="80"/>
      <c r="J6" s="80"/>
      <c r="K6" s="80"/>
      <c r="L6" s="81"/>
      <c r="M6" s="81"/>
      <c r="N6" s="81"/>
      <c r="O6" s="81"/>
      <c r="P6" s="81"/>
      <c r="Q6" s="81"/>
      <c r="R6" s="81"/>
      <c r="S6" s="81"/>
      <c r="T6" s="81"/>
      <c r="U6" s="80"/>
      <c r="V6" s="80"/>
      <c r="W6" s="80"/>
      <c r="X6" s="80"/>
      <c r="Y6" s="80"/>
      <c r="Z6" s="80"/>
      <c r="AA6" s="80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74"/>
    </row>
    <row r="7" spans="1:45">
      <c r="A7" s="75">
        <v>4</v>
      </c>
      <c r="B7" s="76" t="s">
        <v>17</v>
      </c>
      <c r="C7" s="76" t="s">
        <v>18</v>
      </c>
      <c r="D7" s="76" t="s">
        <v>12</v>
      </c>
      <c r="E7" s="76" t="s">
        <v>12</v>
      </c>
      <c r="F7" s="77">
        <v>55</v>
      </c>
      <c r="G7" s="78">
        <v>45.25</v>
      </c>
      <c r="H7" s="79">
        <f t="shared" si="0"/>
        <v>2488.75</v>
      </c>
      <c r="I7" s="80"/>
      <c r="J7" s="80"/>
      <c r="K7" s="80"/>
      <c r="L7" s="81"/>
      <c r="M7" s="81"/>
      <c r="N7" s="81"/>
      <c r="O7" s="81"/>
      <c r="P7" s="81"/>
      <c r="Q7" s="81"/>
      <c r="R7" s="81"/>
      <c r="S7" s="81"/>
      <c r="T7" s="81"/>
      <c r="U7" s="80"/>
      <c r="V7" s="80"/>
      <c r="W7" s="80"/>
      <c r="X7" s="80"/>
      <c r="Y7" s="80"/>
      <c r="Z7" s="80"/>
      <c r="AA7" s="80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74"/>
    </row>
    <row r="8" spans="1:45">
      <c r="A8" s="75">
        <v>5</v>
      </c>
      <c r="B8" s="76" t="s">
        <v>19</v>
      </c>
      <c r="C8" s="76" t="s">
        <v>20</v>
      </c>
      <c r="D8" s="76" t="s">
        <v>12</v>
      </c>
      <c r="E8" s="76" t="s">
        <v>12</v>
      </c>
      <c r="F8" s="77">
        <v>60</v>
      </c>
      <c r="G8" s="78">
        <v>45.5</v>
      </c>
      <c r="H8" s="79">
        <f t="shared" si="0"/>
        <v>2730</v>
      </c>
      <c r="I8" s="80"/>
      <c r="J8" s="80"/>
      <c r="K8" s="80"/>
      <c r="L8" s="81"/>
      <c r="M8" s="81"/>
      <c r="N8" s="81"/>
      <c r="O8" s="81"/>
      <c r="P8" s="81"/>
      <c r="Q8" s="81"/>
      <c r="R8" s="81"/>
      <c r="S8" s="81"/>
      <c r="T8" s="81"/>
      <c r="U8" s="80"/>
      <c r="V8" s="80"/>
      <c r="W8" s="80"/>
      <c r="X8" s="80"/>
      <c r="Y8" s="80"/>
      <c r="Z8" s="80"/>
      <c r="AA8" s="80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74"/>
    </row>
    <row r="9" spans="1:45">
      <c r="A9" s="75">
        <v>6</v>
      </c>
      <c r="B9" s="76" t="s">
        <v>21</v>
      </c>
      <c r="C9" s="76" t="s">
        <v>22</v>
      </c>
      <c r="D9" s="76" t="s">
        <v>12</v>
      </c>
      <c r="E9" s="76" t="s">
        <v>12</v>
      </c>
      <c r="F9" s="77">
        <v>75</v>
      </c>
      <c r="G9" s="78">
        <v>125.25</v>
      </c>
      <c r="H9" s="79">
        <f t="shared" si="0"/>
        <v>9393.75</v>
      </c>
      <c r="I9" s="80"/>
      <c r="J9" s="80"/>
      <c r="K9" s="80"/>
      <c r="L9" s="81"/>
      <c r="M9" s="81"/>
      <c r="N9" s="81"/>
      <c r="O9" s="81"/>
      <c r="P9" s="81"/>
      <c r="Q9" s="81"/>
      <c r="R9" s="81"/>
      <c r="S9" s="81"/>
      <c r="T9" s="81"/>
      <c r="U9" s="80"/>
      <c r="V9" s="80"/>
      <c r="W9" s="80"/>
      <c r="X9" s="80"/>
      <c r="Y9" s="80"/>
      <c r="Z9" s="80"/>
      <c r="AA9" s="80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74"/>
    </row>
    <row r="10" spans="1:45">
      <c r="A10" s="75">
        <v>7</v>
      </c>
      <c r="B10" s="76" t="s">
        <v>23</v>
      </c>
      <c r="C10" s="76" t="s">
        <v>24</v>
      </c>
      <c r="D10" s="76" t="s">
        <v>12</v>
      </c>
      <c r="E10" s="76" t="s">
        <v>12</v>
      </c>
      <c r="F10" s="77">
        <v>28</v>
      </c>
      <c r="G10" s="78">
        <v>150.5</v>
      </c>
      <c r="H10" s="79">
        <f t="shared" si="0"/>
        <v>4214</v>
      </c>
      <c r="I10" s="80"/>
      <c r="J10" s="80"/>
      <c r="K10" s="80"/>
      <c r="L10" s="81"/>
      <c r="M10" s="81"/>
      <c r="N10" s="81"/>
      <c r="O10" s="81"/>
      <c r="P10" s="81"/>
      <c r="Q10" s="81"/>
      <c r="R10" s="81"/>
      <c r="S10" s="81"/>
      <c r="T10" s="81"/>
      <c r="U10" s="80"/>
      <c r="V10" s="80"/>
      <c r="W10" s="80"/>
      <c r="X10" s="80"/>
      <c r="Y10" s="80"/>
      <c r="Z10" s="80"/>
      <c r="AA10" s="80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74"/>
    </row>
    <row r="11" spans="1:45">
      <c r="A11" s="75">
        <v>8</v>
      </c>
      <c r="B11" s="76" t="s">
        <v>25</v>
      </c>
      <c r="C11" s="76" t="s">
        <v>26</v>
      </c>
      <c r="D11" s="76" t="s">
        <v>12</v>
      </c>
      <c r="E11" s="76" t="s">
        <v>12</v>
      </c>
      <c r="F11" s="77">
        <v>30</v>
      </c>
      <c r="G11" s="78">
        <v>65.319999999999993</v>
      </c>
      <c r="H11" s="79">
        <f t="shared" si="0"/>
        <v>1959.6</v>
      </c>
      <c r="I11" s="80"/>
      <c r="J11" s="80"/>
      <c r="K11" s="80"/>
      <c r="L11" s="81"/>
      <c r="M11" s="81"/>
      <c r="N11" s="81"/>
      <c r="O11" s="81"/>
      <c r="P11" s="81"/>
      <c r="Q11" s="81"/>
      <c r="R11" s="81"/>
      <c r="S11" s="81"/>
      <c r="T11" s="81"/>
      <c r="U11" s="80"/>
      <c r="V11" s="80"/>
      <c r="W11" s="80"/>
      <c r="X11" s="80"/>
      <c r="Y11" s="80"/>
      <c r="Z11" s="80"/>
      <c r="AA11" s="80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74"/>
    </row>
    <row r="12" spans="1:45">
      <c r="A12" s="75">
        <v>9</v>
      </c>
      <c r="B12" s="76" t="s">
        <v>27</v>
      </c>
      <c r="C12" s="76" t="s">
        <v>28</v>
      </c>
      <c r="D12" s="76" t="s">
        <v>12</v>
      </c>
      <c r="E12" s="76" t="s">
        <v>12</v>
      </c>
      <c r="F12" s="77">
        <v>25</v>
      </c>
      <c r="G12" s="78">
        <v>74.89</v>
      </c>
      <c r="H12" s="79">
        <f t="shared" si="0"/>
        <v>1872.25</v>
      </c>
      <c r="I12" s="80"/>
      <c r="J12" s="80"/>
      <c r="K12" s="80"/>
      <c r="L12" s="81"/>
      <c r="M12" s="81"/>
      <c r="N12" s="81"/>
      <c r="O12" s="81"/>
      <c r="P12" s="81"/>
      <c r="Q12" s="81"/>
      <c r="R12" s="81"/>
      <c r="S12" s="81"/>
      <c r="T12" s="81"/>
      <c r="U12" s="80"/>
      <c r="V12" s="80"/>
      <c r="W12" s="80"/>
      <c r="X12" s="80"/>
      <c r="Y12" s="80"/>
      <c r="Z12" s="80"/>
      <c r="AA12" s="80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74"/>
    </row>
    <row r="13" spans="1:45">
      <c r="A13" s="75">
        <v>10</v>
      </c>
      <c r="B13" s="76" t="s">
        <v>29</v>
      </c>
      <c r="C13" s="76" t="s">
        <v>30</v>
      </c>
      <c r="D13" s="76" t="s">
        <v>12</v>
      </c>
      <c r="E13" s="76" t="s">
        <v>12</v>
      </c>
      <c r="F13" s="77">
        <v>28</v>
      </c>
      <c r="G13" s="78">
        <v>89.56</v>
      </c>
      <c r="H13" s="79">
        <f t="shared" si="0"/>
        <v>2507.6800000000003</v>
      </c>
      <c r="I13" s="80"/>
      <c r="J13" s="80"/>
      <c r="K13" s="80"/>
      <c r="L13" s="81"/>
      <c r="M13" s="81"/>
      <c r="N13" s="81"/>
      <c r="O13" s="81"/>
      <c r="P13" s="81"/>
      <c r="Q13" s="81"/>
      <c r="R13" s="81"/>
      <c r="S13" s="81"/>
      <c r="T13" s="81"/>
      <c r="U13" s="80"/>
      <c r="V13" s="80"/>
      <c r="W13" s="80"/>
      <c r="X13" s="80"/>
      <c r="Y13" s="80"/>
      <c r="Z13" s="80"/>
      <c r="AA13" s="80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74"/>
    </row>
    <row r="14" spans="1:45">
      <c r="A14" s="75">
        <v>11</v>
      </c>
      <c r="B14" s="76" t="s">
        <v>31</v>
      </c>
      <c r="C14" s="76" t="s">
        <v>32</v>
      </c>
      <c r="D14" s="76" t="s">
        <v>12</v>
      </c>
      <c r="E14" s="76" t="s">
        <v>12</v>
      </c>
      <c r="F14" s="77">
        <v>37</v>
      </c>
      <c r="G14" s="78">
        <v>89.54</v>
      </c>
      <c r="H14" s="79">
        <f t="shared" si="0"/>
        <v>3312.98</v>
      </c>
      <c r="I14" s="80"/>
      <c r="J14" s="80"/>
      <c r="K14" s="80"/>
      <c r="L14" s="81"/>
      <c r="M14" s="81"/>
      <c r="N14" s="81"/>
      <c r="O14" s="81"/>
      <c r="P14" s="81"/>
      <c r="Q14" s="81"/>
      <c r="R14" s="81"/>
      <c r="S14" s="81"/>
      <c r="T14" s="81"/>
      <c r="U14" s="80"/>
      <c r="V14" s="80"/>
      <c r="W14" s="80"/>
      <c r="X14" s="80"/>
      <c r="Y14" s="80"/>
      <c r="Z14" s="80"/>
      <c r="AA14" s="80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74"/>
    </row>
    <row r="15" spans="1:45">
      <c r="A15" s="75">
        <v>12</v>
      </c>
      <c r="B15" s="76" t="s">
        <v>33</v>
      </c>
      <c r="C15" s="76" t="s">
        <v>34</v>
      </c>
      <c r="D15" s="76" t="s">
        <v>12</v>
      </c>
      <c r="E15" s="76" t="s">
        <v>12</v>
      </c>
      <c r="F15" s="77">
        <v>39</v>
      </c>
      <c r="G15" s="78">
        <v>98.25</v>
      </c>
      <c r="H15" s="79">
        <f t="shared" si="0"/>
        <v>3831.75</v>
      </c>
      <c r="I15" s="80"/>
      <c r="J15" s="80"/>
      <c r="K15" s="80"/>
      <c r="L15" s="81"/>
      <c r="M15" s="81"/>
      <c r="N15" s="81"/>
      <c r="O15" s="81"/>
      <c r="P15" s="81"/>
      <c r="Q15" s="81"/>
      <c r="R15" s="81"/>
      <c r="S15" s="81"/>
      <c r="T15" s="81"/>
      <c r="U15" s="80"/>
      <c r="V15" s="80"/>
      <c r="W15" s="80"/>
      <c r="X15" s="80"/>
      <c r="Y15" s="80"/>
      <c r="Z15" s="80"/>
      <c r="AA15" s="80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74"/>
    </row>
    <row r="16" spans="1:45">
      <c r="A16" s="75">
        <v>13</v>
      </c>
      <c r="B16" s="76" t="s">
        <v>35</v>
      </c>
      <c r="C16" s="76" t="s">
        <v>36</v>
      </c>
      <c r="D16" s="76" t="s">
        <v>12</v>
      </c>
      <c r="E16" s="76" t="s">
        <v>12</v>
      </c>
      <c r="F16" s="77">
        <v>70</v>
      </c>
      <c r="G16" s="78">
        <v>102.25</v>
      </c>
      <c r="H16" s="79">
        <f t="shared" si="0"/>
        <v>7157.5</v>
      </c>
      <c r="I16" s="80"/>
      <c r="J16" s="80"/>
      <c r="K16" s="80"/>
      <c r="L16" s="81"/>
      <c r="M16" s="81"/>
      <c r="N16" s="81"/>
      <c r="O16" s="81"/>
      <c r="P16" s="81"/>
      <c r="Q16" s="81"/>
      <c r="R16" s="81"/>
      <c r="S16" s="81"/>
      <c r="T16" s="81"/>
      <c r="U16" s="80"/>
      <c r="V16" s="80"/>
      <c r="W16" s="80"/>
      <c r="X16" s="80"/>
      <c r="Y16" s="80"/>
      <c r="Z16" s="80"/>
      <c r="AA16" s="80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74"/>
    </row>
    <row r="17" spans="1:81">
      <c r="A17" s="75">
        <v>14</v>
      </c>
      <c r="B17" s="76" t="s">
        <v>37</v>
      </c>
      <c r="C17" s="76" t="s">
        <v>38</v>
      </c>
      <c r="D17" s="76" t="s">
        <v>12</v>
      </c>
      <c r="E17" s="76" t="s">
        <v>12</v>
      </c>
      <c r="F17" s="77">
        <v>100</v>
      </c>
      <c r="G17" s="78">
        <v>103.5</v>
      </c>
      <c r="H17" s="79">
        <f t="shared" si="0"/>
        <v>10350</v>
      </c>
      <c r="I17" s="80"/>
      <c r="J17" s="80"/>
      <c r="K17" s="80"/>
      <c r="L17" s="81"/>
      <c r="M17" s="81"/>
      <c r="N17" s="81"/>
      <c r="O17" s="81"/>
      <c r="P17" s="81"/>
      <c r="Q17" s="81"/>
      <c r="R17" s="81"/>
      <c r="S17" s="1">
        <v>5858.27</v>
      </c>
      <c r="T17" s="81"/>
      <c r="U17" s="80"/>
      <c r="V17" s="80"/>
      <c r="W17" s="80"/>
      <c r="X17" s="80"/>
      <c r="Y17" s="80"/>
      <c r="Z17" s="80"/>
      <c r="AA17" s="80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74"/>
    </row>
    <row r="18" spans="1:81" ht="15.75" thickBot="1">
      <c r="A18" s="82">
        <v>15</v>
      </c>
      <c r="B18" s="83" t="s">
        <v>39</v>
      </c>
      <c r="C18" s="83" t="s">
        <v>40</v>
      </c>
      <c r="D18" s="83" t="s">
        <v>12</v>
      </c>
      <c r="E18" s="83" t="s">
        <v>12</v>
      </c>
      <c r="F18" s="84">
        <v>85</v>
      </c>
      <c r="G18" s="85">
        <v>65.48</v>
      </c>
      <c r="H18" s="86">
        <f t="shared" si="0"/>
        <v>5565.8</v>
      </c>
      <c r="I18" s="80"/>
      <c r="J18" s="80"/>
      <c r="K18" s="80"/>
      <c r="L18" s="81"/>
      <c r="M18" s="81"/>
      <c r="N18" s="81"/>
      <c r="O18" s="81"/>
      <c r="P18" s="81"/>
      <c r="Q18" s="81"/>
      <c r="R18" s="81"/>
      <c r="S18" s="81"/>
      <c r="T18" s="81"/>
      <c r="U18" s="80"/>
      <c r="V18" s="80"/>
      <c r="W18" s="80"/>
      <c r="X18" s="80"/>
      <c r="Y18" s="80"/>
      <c r="Z18" s="80"/>
      <c r="AA18" s="80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74"/>
    </row>
    <row r="19" spans="1:81" ht="15.75" thickTop="1">
      <c r="A19" s="74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87"/>
      <c r="J19" s="87"/>
      <c r="K19" s="87"/>
      <c r="L19" s="87"/>
      <c r="M19" s="87"/>
      <c r="N19" s="87"/>
      <c r="O19" s="87"/>
      <c r="P19" s="87"/>
      <c r="Q19" s="87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74"/>
    </row>
    <row r="20" spans="1:81">
      <c r="A20" s="29" t="s">
        <v>42</v>
      </c>
      <c r="B20" s="30"/>
      <c r="C20" s="30"/>
      <c r="D20" s="30"/>
      <c r="E20" s="30"/>
      <c r="F20" s="30"/>
      <c r="G20" s="30"/>
      <c r="H20" s="29"/>
      <c r="I20" s="88"/>
      <c r="J20" s="88"/>
      <c r="K20" s="88"/>
      <c r="L20" s="88"/>
      <c r="M20" s="88"/>
      <c r="N20" s="88"/>
      <c r="O20" s="88"/>
      <c r="P20" s="88"/>
      <c r="Q20" s="8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74"/>
    </row>
    <row r="21" spans="1:81" ht="15.75" thickBot="1">
      <c r="A21" s="164" t="s">
        <v>43</v>
      </c>
      <c r="B21" s="164"/>
      <c r="C21" s="13">
        <v>2</v>
      </c>
      <c r="D21" s="32" t="s">
        <v>138</v>
      </c>
      <c r="E21" s="30"/>
      <c r="F21" s="30"/>
      <c r="G21" s="30"/>
      <c r="H21" s="29"/>
      <c r="I21" s="88" t="s">
        <v>44</v>
      </c>
      <c r="J21" s="88" t="s">
        <v>45</v>
      </c>
      <c r="K21" s="88"/>
      <c r="L21" s="88" t="s">
        <v>46</v>
      </c>
      <c r="M21" s="88">
        <v>1</v>
      </c>
      <c r="N21" s="88"/>
      <c r="O21" s="88" t="s">
        <v>47</v>
      </c>
      <c r="P21" s="88">
        <v>1</v>
      </c>
      <c r="Q21" s="88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74"/>
    </row>
    <row r="22" spans="1:81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89" t="s">
        <v>84</v>
      </c>
      <c r="AV22" s="89" t="s">
        <v>85</v>
      </c>
      <c r="AW22" s="89" t="s">
        <v>86</v>
      </c>
      <c r="AX22" s="89" t="s">
        <v>87</v>
      </c>
      <c r="AY22" s="89" t="s">
        <v>88</v>
      </c>
      <c r="AZ22" s="89" t="s">
        <v>89</v>
      </c>
      <c r="BA22" s="89" t="s">
        <v>90</v>
      </c>
      <c r="BB22" s="89" t="s">
        <v>91</v>
      </c>
      <c r="BC22" s="90" t="s">
        <v>92</v>
      </c>
      <c r="BD22" s="90" t="s">
        <v>93</v>
      </c>
      <c r="BE22" s="90" t="s">
        <v>94</v>
      </c>
      <c r="BF22" s="89" t="s">
        <v>95</v>
      </c>
      <c r="BG22" s="89" t="s">
        <v>96</v>
      </c>
      <c r="BH22" s="89" t="s">
        <v>97</v>
      </c>
      <c r="BI22" s="89" t="s">
        <v>98</v>
      </c>
      <c r="BJ22" s="89" t="s">
        <v>99</v>
      </c>
      <c r="BK22" s="89" t="s">
        <v>100</v>
      </c>
      <c r="BL22" s="89" t="s">
        <v>101</v>
      </c>
      <c r="BM22" s="91" t="s">
        <v>102</v>
      </c>
      <c r="BN22" s="89" t="s">
        <v>103</v>
      </c>
      <c r="BO22" s="89" t="s">
        <v>89</v>
      </c>
      <c r="BP22" s="89" t="s">
        <v>104</v>
      </c>
      <c r="BQ22" s="89" t="s">
        <v>61</v>
      </c>
      <c r="BR22" s="69" t="s">
        <v>192</v>
      </c>
      <c r="BS22" s="69" t="s">
        <v>193</v>
      </c>
      <c r="BT22" s="69" t="s">
        <v>194</v>
      </c>
      <c r="BU22" s="95" t="s">
        <v>196</v>
      </c>
      <c r="BV22" s="89" t="s">
        <v>198</v>
      </c>
      <c r="BW22" s="89" t="s">
        <v>199</v>
      </c>
      <c r="BX22" s="89" t="s">
        <v>200</v>
      </c>
      <c r="BY22" s="89" t="s">
        <v>201</v>
      </c>
      <c r="BZ22" s="89" t="s">
        <v>202</v>
      </c>
      <c r="CA22" s="89" t="s">
        <v>203</v>
      </c>
      <c r="CB22" s="89" t="s">
        <v>209</v>
      </c>
      <c r="CC22" s="89" t="s">
        <v>210</v>
      </c>
    </row>
    <row r="23" spans="1:81" ht="15.75" thickBot="1">
      <c r="A23" s="45">
        <v>1</v>
      </c>
      <c r="B23" s="2" t="s">
        <v>181</v>
      </c>
      <c r="C23" s="2" t="s">
        <v>181</v>
      </c>
      <c r="D23" s="45" t="s">
        <v>12</v>
      </c>
      <c r="E23" s="2" t="s">
        <v>12</v>
      </c>
      <c r="F23" s="65">
        <v>5</v>
      </c>
      <c r="G23" t="s" s="0">
        <v>128</v>
      </c>
      <c r="H23" s="65">
        <f>F23*G23</f>
        <v>1500</v>
      </c>
      <c r="I23" t="s" s="0">
        <v>127</v>
      </c>
      <c r="J23" s="65">
        <v>2</v>
      </c>
      <c r="K23" s="65">
        <v>3</v>
      </c>
      <c r="L23" s="65">
        <f>H23</f>
        <v>1500</v>
      </c>
      <c r="M23" s="65">
        <f>ROUND(L23*I23%,2)</f>
        <v>30</v>
      </c>
      <c r="N23" s="65">
        <f>H23-M23</f>
        <v>1470</v>
      </c>
      <c r="O23" s="65">
        <f>ROUND(N23*J23%,2)</f>
        <v>29.4</v>
      </c>
      <c r="P23" s="65">
        <f>ROUND(N23-O23,2)</f>
        <v>1440.6</v>
      </c>
      <c r="Q23" s="65">
        <f>ROUND(P23*K23%,2)</f>
        <v>43.22</v>
      </c>
      <c r="R23" s="93">
        <f>ROUND(M23+O23+Q23,3)</f>
        <v>102.62</v>
      </c>
      <c r="S23" s="93">
        <f>(H23-R23)</f>
        <v>1397.38</v>
      </c>
      <c r="T23" s="65" t="s">
        <v>106</v>
      </c>
      <c r="U23" s="65">
        <v>0.18</v>
      </c>
      <c r="V23" s="65">
        <f>IF(OR($C$21=1,$C$21=4),ROUND(((S23*U23)/2),2),0)</f>
        <v>0</v>
      </c>
      <c r="W23" s="65">
        <f>IF($C$21=1,ROUND(((S23*U23)/2),2),0)</f>
        <v>0</v>
      </c>
      <c r="X23" s="65">
        <f>IF($C$21=2,ROUND(((S23*U23)),2),0)</f>
        <v>251.53</v>
      </c>
      <c r="Y23" s="65">
        <f>IF($C$21=4,ROUND(((S23*U23)/2),2),0)</f>
        <v>0</v>
      </c>
      <c r="Z23" s="92">
        <v>0</v>
      </c>
      <c r="AA23" s="65">
        <f>IF($C21=3,0,S23*Z23)</f>
        <v>0</v>
      </c>
      <c r="AB23" s="65">
        <f>V23+W23+X23+Y23+AA23</f>
        <v>251.53</v>
      </c>
      <c r="AC23" s="65">
        <f>IF($V21=1,S23+AB23,S23)</f>
        <v>1648.91</v>
      </c>
      <c r="AD23" s="65">
        <v>120</v>
      </c>
      <c r="AE23" s="65">
        <f>IF($P$21=1,(S23/$S$24)*$E$35,AD23/$AD$24*$E$35)</f>
        <v>0</v>
      </c>
      <c r="AF23" s="65"/>
      <c r="AG23" s="65">
        <f>IF($P$21=1,(S23/$S$24)*$E$37,AD23/$AD$24*$E$37)</f>
        <v>0</v>
      </c>
      <c r="AH23" s="65">
        <f>IF($P$21=1,(S23/$S$24)*$E$37,AD23/$AD$24*$E$37)</f>
        <v>0</v>
      </c>
      <c r="AI23" s="65">
        <f>S23*$M$21</f>
        <v>1397.38</v>
      </c>
      <c r="AJ23" s="65">
        <f>IF($C$21=3,0,AG23+AH23)</f>
        <v>0</v>
      </c>
      <c r="AK23" s="65">
        <f>IF($C$21=3,AE23+AG23+AH23,0)</f>
        <v>0</v>
      </c>
      <c r="AL23" s="65">
        <v>1</v>
      </c>
      <c r="AM23" s="65">
        <f>F23/AL23</f>
        <v>5</v>
      </c>
      <c r="AN23" s="65">
        <f>AI23/AM23</f>
        <v>279.476</v>
      </c>
      <c r="AO23" s="65">
        <f>AJ23/AM23</f>
        <v>0</v>
      </c>
      <c r="AP23" s="65">
        <f>AK23/AM23</f>
        <v>0</v>
      </c>
      <c r="AQ23" s="65" t="s">
        <v>12</v>
      </c>
      <c r="AR23" s="0">
        <f>AN23+AO23+AP23</f>
        <v>279.476</v>
      </c>
      <c r="AS23" t="s" s="0">
        <v>187</v>
      </c>
      <c r="AT23" s="66" t="s">
        <v>12</v>
      </c>
      <c r="AU23" t="s" s="0">
        <v>108</v>
      </c>
      <c r="AV23" t="s" s="0">
        <v>206</v>
      </c>
      <c r="AW23" s="66">
        <f>AM23</f>
        <v>5</v>
      </c>
      <c r="AX23" s="66">
        <f>ROUND(AR23,3)</f>
        <v>279.476</v>
      </c>
      <c r="AY23" s="66">
        <f>AU23+AW23</f>
        <v>5</v>
      </c>
      <c r="AZ23" s="77">
        <f>ROUND(((AU23*AV23)+(AW23*AX23))/(AU23+AW23),5)</f>
        <v>279.476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66"/>
      <c r="BL23" s="66" t="s">
        <v>148</v>
      </c>
      <c r="BM23" t="s" s="0">
        <v>212</v>
      </c>
      <c r="BN23" t="s" s="0">
        <v>211</v>
      </c>
      <c r="BO23" s="66">
        <f>ROUND((((AW23*AZ23)+(BN23*BM23))/(AW23+BN23)),5)</f>
        <v>186.5607</v>
      </c>
      <c r="BP23" s="4">
        <f>BN23+AW23</f>
        <v>2385</v>
      </c>
      <c r="BQ23" s="50">
        <v>88363222</v>
      </c>
      <c r="BR23" s="4">
        <f>G23+100</f>
        <v>400</v>
      </c>
      <c r="BS23" s="4" t="s">
        <v>195</v>
      </c>
      <c r="BT23" s="70" t="s">
        <v>3</v>
      </c>
      <c r="BU23" t="s" s="0">
        <v>197</v>
      </c>
      <c r="BV23" t="s" s="0">
        <v>207</v>
      </c>
      <c r="BW23" t="s" s="0">
        <v>207</v>
      </c>
      <c r="BX23" t="s" s="0">
        <v>208</v>
      </c>
      <c r="BY23" t="s" s="0">
        <v>109</v>
      </c>
      <c r="BZ23" s="97">
        <f>S23+CB23+CC23</f>
        <v>2297.38</v>
      </c>
      <c r="CA23" s="97">
        <f>BZ23-BW23</f>
        <v>1365.79</v>
      </c>
      <c r="CB23" s="96">
        <v>300</v>
      </c>
      <c r="CC23" s="96">
        <v>600</v>
      </c>
    </row>
    <row r="24" spans="1:81" ht="15.75" thickBot="1">
      <c r="A24" s="74"/>
      <c r="B24" s="5"/>
      <c r="C24" s="5"/>
      <c r="D24" s="51" t="s">
        <v>41</v>
      </c>
      <c r="E24" s="51"/>
      <c r="F24" s="51"/>
      <c r="G24" s="52"/>
      <c r="H24" s="53">
        <f>SUM(H23:H23)</f>
        <v>1500</v>
      </c>
      <c r="I24" s="2"/>
      <c r="J24" s="2"/>
      <c r="K24" s="2"/>
      <c r="L24" s="2"/>
      <c r="M24" s="2"/>
      <c r="N24" s="2"/>
      <c r="O24" s="2"/>
      <c r="P24" s="2"/>
      <c r="Q24" s="2"/>
      <c r="R24" s="53">
        <f>SUM(R23:R23)</f>
        <v>102.62</v>
      </c>
      <c r="S24" s="54">
        <f>SUM(S23:S23)</f>
        <v>1397.38</v>
      </c>
      <c r="T24" s="53"/>
      <c r="U24" s="53"/>
      <c r="V24" s="55">
        <f>SUM(V23:V23)</f>
        <v>0</v>
      </c>
      <c r="W24" s="55">
        <f>SUM(W23:W23)</f>
        <v>0</v>
      </c>
      <c r="X24" s="55">
        <f>SUM(X23:X23)</f>
        <v>251.53</v>
      </c>
      <c r="Y24" s="55"/>
      <c r="Z24" s="55"/>
      <c r="AA24" s="55"/>
      <c r="AB24" s="53">
        <f>SUM(AB23:AB23)</f>
        <v>251.53</v>
      </c>
      <c r="AC24" s="56">
        <f>SUM(AC23:AC23)</f>
        <v>1648.91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1397.38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74"/>
    </row>
    <row r="25" spans="1:81">
      <c r="A25" s="74"/>
      <c r="B25" s="5"/>
      <c r="C25" s="5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C25"/>
  <sheetViews>
    <sheetView topLeftCell="A13" workbookViewId="0">
      <selection activeCell="C22" sqref="C22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1.28515625"/>
    <col min="19" max="19" customWidth="true" width="11.140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3.85546875"/>
    <col min="49" max="49" customWidth="true" width="11.42578125"/>
    <col min="50" max="50" customWidth="true" width="11.0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8" max="78" bestFit="true" customWidth="true" width="17.5703125"/>
    <col min="79" max="79" bestFit="true" customWidth="true" width="14.0"/>
    <col min="81" max="81" bestFit="true" customWidth="true" width="17.285156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8"/>
      <c r="AS1" s="8"/>
    </row>
    <row r="2" spans="1:45" ht="18.75" thickBot="1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81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81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81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81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81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81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  <c r="BR22" s="69" t="s">
        <v>192</v>
      </c>
      <c r="BS22" s="69" t="s">
        <v>193</v>
      </c>
      <c r="BT22" s="69" t="s">
        <v>194</v>
      </c>
      <c r="BU22" s="95" t="s">
        <v>196</v>
      </c>
      <c r="BV22" s="89" t="s">
        <v>198</v>
      </c>
      <c r="BW22" s="89" t="s">
        <v>199</v>
      </c>
      <c r="BX22" s="89" t="s">
        <v>200</v>
      </c>
      <c r="BY22" s="89" t="s">
        <v>201</v>
      </c>
      <c r="BZ22" s="89" t="s">
        <v>202</v>
      </c>
      <c r="CA22" s="89" t="s">
        <v>203</v>
      </c>
      <c r="CB22" s="89" t="s">
        <v>209</v>
      </c>
      <c r="CC22" s="89" t="s">
        <v>210</v>
      </c>
    </row>
    <row r="23" spans="1:81" ht="15.75" thickBot="1">
      <c r="A23" s="45">
        <v>1</v>
      </c>
      <c r="B23" s="2" t="s">
        <v>181</v>
      </c>
      <c r="C23" s="2" t="s">
        <v>181</v>
      </c>
      <c r="D23" s="45" t="s">
        <v>12</v>
      </c>
      <c r="E23" s="45" t="s">
        <v>12</v>
      </c>
      <c r="F23" s="46">
        <v>5</v>
      </c>
      <c r="G23" t="s" s="0">
        <v>128</v>
      </c>
      <c r="H23" s="46">
        <f>F23*G23</f>
        <v>1500</v>
      </c>
      <c r="I23" t="s" s="0">
        <v>127</v>
      </c>
      <c r="J23" s="46">
        <v>2</v>
      </c>
      <c r="K23" s="46">
        <v>3</v>
      </c>
      <c r="L23" s="46">
        <f>H23</f>
        <v>1500</v>
      </c>
      <c r="M23" s="46">
        <f>ROUND(L23*I23%,2)</f>
        <v>30</v>
      </c>
      <c r="N23" s="46">
        <f>H23-M23</f>
        <v>1470</v>
      </c>
      <c r="O23" s="46">
        <f>ROUND(N23*J23%,2)</f>
        <v>29.4</v>
      </c>
      <c r="P23" s="46">
        <f>ROUND(N23-O23,2)</f>
        <v>1440.6</v>
      </c>
      <c r="Q23" s="46">
        <f>ROUND(P23*K23%,2)</f>
        <v>43.22</v>
      </c>
      <c r="R23" s="72">
        <f>ROUND(M23+O23+Q23,3)</f>
        <v>102.62</v>
      </c>
      <c r="S23" s="72">
        <f>(H23-R23)</f>
        <v>1397.38</v>
      </c>
      <c r="T23" s="65" t="s">
        <v>106</v>
      </c>
      <c r="U23" s="46">
        <v>0.18</v>
      </c>
      <c r="V23" s="72">
        <f>IF(OR($C$21=1,$C$21=4),ROUND(((S23*U23)/2),2),0)</f>
        <v>125.76</v>
      </c>
      <c r="W23" s="72">
        <f>IF($C$21=1,ROUND(((S23*U23)/2),2),0)</f>
        <v>125.76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251.52</v>
      </c>
      <c r="AC23" s="46">
        <f>IF($V21=1,S23+AB23,S23)</f>
        <v>1648.9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1397.38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5</v>
      </c>
      <c r="AN23" s="46">
        <f>AI23/AM23</f>
        <v>279.476</v>
      </c>
      <c r="AO23" s="46">
        <f>AJ23/AM23</f>
        <v>0</v>
      </c>
      <c r="AP23" s="46">
        <f>AK23/AM23</f>
        <v>0</v>
      </c>
      <c r="AQ23" s="65" t="s">
        <v>12</v>
      </c>
      <c r="AR23" s="0">
        <f>ROUND(AN23+AO23+AP23,5)</f>
        <v>279.476</v>
      </c>
      <c r="AS23" t="s" s="0">
        <v>187</v>
      </c>
      <c r="AT23" s="66" t="s">
        <v>12</v>
      </c>
      <c r="AU23" t="s" s="0">
        <v>108</v>
      </c>
      <c r="AV23" t="s" s="0">
        <v>206</v>
      </c>
      <c r="AW23" s="48">
        <f>AM23</f>
        <v>5</v>
      </c>
      <c r="AX23" s="48">
        <f>ROUND(AR23,2)</f>
        <v>279.48</v>
      </c>
      <c r="AY23" s="48">
        <f>AU23+AW23</f>
        <v>5</v>
      </c>
      <c r="AZ23" s="48">
        <f>ROUND(((AU23*AV23)+(AW23*AX23))/(AU23+AW23),5)</f>
        <v>279.48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48"/>
      <c r="BL23" s="48" t="s">
        <v>148</v>
      </c>
      <c r="BM23" t="s" s="0">
        <v>214</v>
      </c>
      <c r="BN23" t="s" s="0">
        <v>213</v>
      </c>
      <c r="BO23" s="48">
        <f>ROUND((((AW23*AZ23)+(BN23*BM23))/(AW23+BN23)),5)</f>
        <v>186.56370999999999</v>
      </c>
      <c r="BP23" s="4">
        <f>BN23+AW23</f>
        <v>7174</v>
      </c>
      <c r="BQ23" s="50">
        <v>88363222</v>
      </c>
      <c r="BR23" s="4">
        <f>G23+100</f>
        <v>400</v>
      </c>
      <c r="BS23" s="4" t="s">
        <v>195</v>
      </c>
      <c r="BT23" s="70" t="s">
        <v>3</v>
      </c>
      <c r="BU23" t="s" s="0">
        <v>197</v>
      </c>
      <c r="BV23" s="74" t="s">
        <v>204</v>
      </c>
      <c r="BW23" s="74" t="s">
        <v>204</v>
      </c>
      <c r="BX23" s="74">
        <v>5</v>
      </c>
      <c r="BY23" s="74">
        <v>200</v>
      </c>
      <c r="BZ23" s="98">
        <f>AC23+CB23+CC23</f>
        <v>2710.9</v>
      </c>
      <c r="CA23" s="96">
        <f>BZ23-BW23</f>
        <v>2335.9</v>
      </c>
      <c r="CB23" s="96">
        <f>300+CB24</f>
        <v>354</v>
      </c>
      <c r="CC23" s="96">
        <f>600+CC24</f>
        <v>708</v>
      </c>
    </row>
    <row r="24" spans="1:81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1500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102.62</v>
      </c>
      <c r="S24" s="54">
        <f>SUM(S23:S23)</f>
        <v>1397.38</v>
      </c>
      <c r="T24" s="53"/>
      <c r="U24" s="53"/>
      <c r="V24" s="55">
        <f>SUM(V23:V23)</f>
        <v>125.76</v>
      </c>
      <c r="W24" s="55">
        <f>SUM(W23:W23)</f>
        <v>125.76</v>
      </c>
      <c r="X24" s="55">
        <f>SUM(X23:X23)</f>
        <v>0</v>
      </c>
      <c r="Y24" s="55"/>
      <c r="Z24" s="55"/>
      <c r="AA24" s="55"/>
      <c r="AB24" s="53">
        <f>SUM(AB23:AB23)</f>
        <v>251.52</v>
      </c>
      <c r="AC24" s="56">
        <f>SUM(AC23:AC23)</f>
        <v>1648.9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1397.38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  <c r="CB24" s="0">
        <f>300*U23</f>
        <v>54</v>
      </c>
      <c r="CC24" s="0">
        <f>600*U23</f>
        <v>108</v>
      </c>
    </row>
    <row r="25" spans="1:81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AS23" sqref="AS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8"/>
    </row>
    <row r="2" spans="1:45" ht="18.75" thickBo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178</v>
      </c>
      <c r="C23" s="2" t="s">
        <v>178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33.879599999999996</v>
      </c>
      <c r="AB23" s="46">
        <f>V23+W23+X23+Y23+AA23</f>
        <v>135.5196</v>
      </c>
      <c r="AC23" s="46">
        <f>IF($V21=1,S23+AB23,S23)</f>
        <v>700.17959999999994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187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282.33</v>
      </c>
      <c r="AY23" s="48">
        <f>AU23+AW23</f>
        <v>14</v>
      </c>
      <c r="AZ23" s="48">
        <f>ROUND(((AU23*AV23)+(AW23*AX23))/(AU23+AW23),5)</f>
        <v>282.33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149</v>
      </c>
      <c r="BN23" t="s" s="0">
        <v>164</v>
      </c>
      <c r="BO23" s="48">
        <f>ROUND((((AW23*AZ23)+(BN23*BM23))/(AW23+BN23)),5)</f>
        <v>282.33</v>
      </c>
      <c r="BP23" s="4">
        <f>BN23+AW23</f>
        <v>16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 t="shared" ref="AB24:AK24" si="1">SUM(AB23:AB23)</f>
        <v>135.5196</v>
      </c>
      <c r="AC24" s="56">
        <f t="shared" si="1"/>
        <v>700.17959999999994</v>
      </c>
      <c r="AD24" s="56">
        <f t="shared" si="1"/>
        <v>120</v>
      </c>
      <c r="AE24" s="56">
        <f t="shared" si="1"/>
        <v>0</v>
      </c>
      <c r="AF24" s="56">
        <f t="shared" si="1"/>
        <v>0</v>
      </c>
      <c r="AG24" s="56">
        <f t="shared" si="1"/>
        <v>0</v>
      </c>
      <c r="AH24" s="56">
        <f t="shared" si="1"/>
        <v>0</v>
      </c>
      <c r="AI24" s="56">
        <f t="shared" si="1"/>
        <v>564.66</v>
      </c>
      <c r="AJ24" s="56">
        <f t="shared" si="1"/>
        <v>0</v>
      </c>
      <c r="AK24" s="56">
        <f t="shared" si="1"/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R25"/>
  <sheetViews>
    <sheetView topLeftCell="A16" workbookViewId="0">
      <selection activeCell="B23" sqref="B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8"/>
    </row>
    <row r="2" spans="1:45" ht="18.75" thickBo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179</v>
      </c>
      <c r="C23" s="45" t="s">
        <v>179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151</v>
      </c>
      <c r="U23" s="46">
        <v>0.18</v>
      </c>
      <c r="V23" s="46">
        <f>IF(OR(DirectGrnMatUDD!$C$21=1,DirectGrnMatUDD!$C$21=4),ROUND(((S23*U23)/2),2),0)</f>
        <v>50.82</v>
      </c>
      <c r="W23" s="46">
        <f>IF([1]DirectGrnGenUD!$C$21=1,ROUND(((S23*U23)/2),2),0)</f>
        <v>50.82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33.879599999999996</v>
      </c>
      <c r="AB23" s="46">
        <f>V23+W23+X23+Y23+AA23</f>
        <v>135.5196</v>
      </c>
      <c r="AC23" s="46">
        <f>IF([1]DirectGrnGenUD!$V32=1,S23+AB23,S23)</f>
        <v>564.66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564.66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187</v>
      </c>
      <c r="AT23" s="48" t="s">
        <v>12</v>
      </c>
      <c r="AW23" s="48">
        <f>AM23</f>
        <v>2</v>
      </c>
      <c r="AX23" s="48">
        <f>AR23</f>
        <v>282.33</v>
      </c>
      <c r="AY23" s="48">
        <f>AU23+AW23</f>
        <v>2</v>
      </c>
      <c r="AZ23" s="48">
        <f>ROUND(((AU23*AV23)+(AW23*AX23))/(AU23+AW23),5)</f>
        <v>282.33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282.33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 t="shared" ref="V24:AE24" si="1">SUM(V23:V23)</f>
        <v>50.82</v>
      </c>
      <c r="W24" s="55">
        <f t="shared" si="1"/>
        <v>50.82</v>
      </c>
      <c r="X24" s="55">
        <f t="shared" si="1"/>
        <v>0</v>
      </c>
      <c r="Y24" s="55"/>
      <c r="Z24" s="55"/>
      <c r="AA24" s="55"/>
      <c r="AB24" s="53">
        <f t="shared" si="1"/>
        <v>135.5196</v>
      </c>
      <c r="AC24" s="56">
        <f t="shared" si="1"/>
        <v>564.66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R25"/>
  <sheetViews>
    <sheetView topLeftCell="G13" workbookViewId="0">
      <selection activeCell="Z23" sqref="Z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8"/>
      <c r="AS1" s="8"/>
    </row>
    <row r="2" spans="1:45" ht="18.75" thickBot="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181</v>
      </c>
      <c r="C23" s="2" t="s">
        <v>181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600</v>
      </c>
      <c r="I23" t="s" s="0">
        <v>127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101.64</v>
      </c>
      <c r="AC23" s="46">
        <f>IF($V21=1,S23+AB23,S23)</f>
        <v>666.3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187</v>
      </c>
      <c r="AT23" s="48" t="s">
        <v>12</v>
      </c>
      <c r="AU23" t="s" s="0">
        <v>108</v>
      </c>
      <c r="AV23" t="s" s="0">
        <v>188</v>
      </c>
      <c r="AW23" s="48">
        <f>AM23</f>
        <v>2</v>
      </c>
      <c r="AX23" s="48">
        <f>AR23</f>
        <v>282.33</v>
      </c>
      <c r="AY23" s="48">
        <f>AU23+AW23</f>
        <v>2</v>
      </c>
      <c r="AZ23" s="48">
        <f>ROUND(((AU23*AV23)+(AW23*AX23))/(AU23+AW23),5)</f>
        <v>282.33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108</v>
      </c>
      <c r="BN23" t="s" s="0">
        <v>108</v>
      </c>
      <c r="BO23" s="48">
        <f>ROUND((((AW23*AZ23)+(BN23*BM23))/(AW23+BN23)),5)</f>
        <v>282.33</v>
      </c>
      <c r="BP23" s="4">
        <f>BN23+AW23</f>
        <v>10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>SUM(AB23:AB23)</f>
        <v>101.64</v>
      </c>
      <c r="AC24" s="56">
        <f>SUM(AC23:AC23)</f>
        <v>666.3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R25"/>
  <sheetViews>
    <sheetView tabSelected="1" topLeftCell="BK10" workbookViewId="0">
      <selection activeCell="BQ23" sqref="BQ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8"/>
      <c r="AS1" s="8"/>
    </row>
    <row r="2" spans="1:45" ht="18.75" thickBot="1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180</v>
      </c>
      <c r="C23" s="45" t="s">
        <v>180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600</v>
      </c>
      <c r="I23" t="s" s="0">
        <v>127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151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33.879599999999996</v>
      </c>
      <c r="AB23" s="46">
        <f>V23+W23+X23+Y23+AA23</f>
        <v>135.5196</v>
      </c>
      <c r="AC23" s="46">
        <f>IF($V32=1,S23+AB23,S23)</f>
        <v>564.66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28233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14116.5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14116.5</v>
      </c>
      <c r="AS23" t="s" s="0">
        <v>187</v>
      </c>
      <c r="AT23" s="48" t="s">
        <v>12</v>
      </c>
      <c r="AW23" s="48">
        <f>AM23</f>
        <v>2</v>
      </c>
      <c r="AX23" s="48">
        <f>AR23</f>
        <v>14116.5</v>
      </c>
      <c r="AY23" s="48">
        <f>AU23+AW23</f>
        <v>2</v>
      </c>
      <c r="AZ23" s="48">
        <f>ROUND(((AU23*AV23)+(AW23*AX23))/(AU23+AW23),5)</f>
        <v>14116.5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14116.5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 t="shared" ref="V24:AE24" si="1">SUM(V23:V23)</f>
        <v>50.82</v>
      </c>
      <c r="W24" s="55">
        <f t="shared" si="1"/>
        <v>50.82</v>
      </c>
      <c r="X24" s="55">
        <f t="shared" si="1"/>
        <v>0</v>
      </c>
      <c r="Y24" s="55"/>
      <c r="Z24" s="55"/>
      <c r="AA24" s="55"/>
      <c r="AB24" s="53">
        <f t="shared" si="1"/>
        <v>135.5196</v>
      </c>
      <c r="AC24" s="56">
        <f t="shared" si="1"/>
        <v>564.66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28233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R26"/>
  <sheetViews>
    <sheetView topLeftCell="A10" workbookViewId="0">
      <selection activeCell="AS23" sqref="AS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8"/>
      <c r="AS1" s="8"/>
    </row>
    <row r="2" spans="1:45" ht="18.75" thickBot="1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182</v>
      </c>
      <c r="C23" s="2" t="s">
        <v>182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187</v>
      </c>
      <c r="AT23" s="48" t="s">
        <v>12</v>
      </c>
      <c r="AU23" t="s" s="0">
        <v>158</v>
      </c>
      <c r="AV23" t="s" s="0">
        <v>176</v>
      </c>
      <c r="AW23" s="48">
        <f>AM23</f>
        <v>2</v>
      </c>
      <c r="AX23" s="48">
        <f>AR23</f>
        <v>186.32</v>
      </c>
      <c r="AY23" s="48">
        <f>AU23+AW23</f>
        <v>18</v>
      </c>
      <c r="AZ23" s="48">
        <f>ROUND(((AU23*AV23)+(AW23*AX23))/(AU23+AW23),5)</f>
        <v>184.86532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177</v>
      </c>
      <c r="BN23" t="s" s="0">
        <v>131</v>
      </c>
      <c r="BO23" s="48">
        <f>ROUND((((AW23*AZ23)+(BN23*BM23))/(AW23+BN23)),5)</f>
        <v>184.08751000000001</v>
      </c>
      <c r="BP23" s="4">
        <f>BN23+AW23</f>
        <v>10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R25"/>
  <sheetViews>
    <sheetView topLeftCell="BL7" workbookViewId="0">
      <selection activeCell="BT23" sqref="BT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183</v>
      </c>
      <c r="C23" s="45" t="s">
        <v>183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</v>
      </c>
      <c r="I23" t="s" s="0">
        <v>127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R26"/>
  <sheetViews>
    <sheetView topLeftCell="A13" workbookViewId="0">
      <selection activeCell="AS23" sqref="AS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178</v>
      </c>
      <c r="C23" s="2" t="s">
        <v>178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187</v>
      </c>
      <c r="AT23" s="48" t="s">
        <v>12</v>
      </c>
      <c r="AU23" t="s" s="0">
        <v>108</v>
      </c>
      <c r="AV23" t="s" s="0">
        <v>132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108</v>
      </c>
      <c r="BN23" t="s" s="0">
        <v>108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R26"/>
  <sheetViews>
    <sheetView topLeftCell="A10" workbookViewId="0">
      <selection activeCell="C23" sqref="C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178</v>
      </c>
      <c r="C23" s="2" t="s">
        <v>178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187</v>
      </c>
      <c r="AT23" s="48" t="s">
        <v>12</v>
      </c>
      <c r="AU23" t="s" s="0">
        <v>164</v>
      </c>
      <c r="AV23" t="s" s="0">
        <v>165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163</v>
      </c>
      <c r="BN23" t="s" s="0">
        <v>127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R25"/>
  <sheetViews>
    <sheetView topLeftCell="BK10" workbookViewId="0">
      <selection activeCell="BQ23" sqref="BQ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179</v>
      </c>
      <c r="C23" s="45" t="s">
        <v>179</v>
      </c>
      <c r="D23" s="45" t="s">
        <v>12</v>
      </c>
      <c r="E23" s="45" t="s">
        <v>12</v>
      </c>
      <c r="F23" s="46">
        <v>2</v>
      </c>
      <c r="G23" t="s" s="0">
        <v>162</v>
      </c>
      <c r="H23" s="46">
        <f>F23*G23</f>
        <v>40</v>
      </c>
      <c r="I23" t="s" s="0">
        <v>115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R26"/>
  <sheetViews>
    <sheetView topLeftCell="K13" workbookViewId="0">
      <selection activeCell="V23" sqref="V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181</v>
      </c>
      <c r="C23" s="45" t="s">
        <v>181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187</v>
      </c>
      <c r="AT23" s="48" t="s">
        <v>12</v>
      </c>
      <c r="AU23" t="s" s="0">
        <v>108</v>
      </c>
      <c r="AV23" t="s" s="0">
        <v>188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237</v>
      </c>
      <c r="BN23" t="s" s="0">
        <v>236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R25"/>
  <sheetViews>
    <sheetView topLeftCell="BK16" workbookViewId="0">
      <selection activeCell="BO23" sqref="BO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180</v>
      </c>
      <c r="C23" s="45" t="s">
        <v>180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</v>
      </c>
      <c r="I23" t="s" s="0">
        <v>127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R26"/>
  <sheetViews>
    <sheetView topLeftCell="K8" workbookViewId="0">
      <selection activeCell="AD23" sqref="AD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182</v>
      </c>
      <c r="C23" s="2" t="s">
        <v>182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187</v>
      </c>
      <c r="AT23" s="48" t="s">
        <v>12</v>
      </c>
      <c r="AU23" t="s" s="0">
        <v>108</v>
      </c>
      <c r="AV23" t="s" s="0">
        <v>188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239</v>
      </c>
      <c r="BN23" t="s" s="0">
        <v>238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R25"/>
  <sheetViews>
    <sheetView topLeftCell="BL10" workbookViewId="0">
      <selection activeCell="BT23" sqref="BT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183</v>
      </c>
      <c r="C23" s="45" t="s">
        <v>183</v>
      </c>
      <c r="D23" s="45" t="s">
        <v>12</v>
      </c>
      <c r="E23" s="45" t="s">
        <v>12</v>
      </c>
      <c r="F23" s="46">
        <v>2</v>
      </c>
      <c r="G23" t="s" s="0">
        <v>162</v>
      </c>
      <c r="H23" s="46">
        <f>F23*G23</f>
        <v>40</v>
      </c>
      <c r="I23" t="s" s="0">
        <v>115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R25"/>
  <sheetViews>
    <sheetView topLeftCell="BK19" workbookViewId="0">
      <selection activeCell="BO23" sqref="BO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184</v>
      </c>
      <c r="C23" s="2" t="s">
        <v>184</v>
      </c>
      <c r="D23" s="45" t="s">
        <v>12</v>
      </c>
      <c r="E23" s="45" t="s">
        <v>166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33.879599999999996</v>
      </c>
      <c r="AB23" s="46">
        <f>V23+W23+X23+Y23+AA23</f>
        <v>135.5196</v>
      </c>
      <c r="AC23" s="46">
        <f>IF($V21=1,S23+AB23,S23)</f>
        <v>700.17959999999994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846.99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846.99</v>
      </c>
      <c r="AS23" t="s" s="0">
        <v>187</v>
      </c>
      <c r="AT23" s="48" t="s">
        <v>12</v>
      </c>
      <c r="AU23" t="s" s="0">
        <v>108</v>
      </c>
      <c r="AV23" t="s" s="0">
        <v>175</v>
      </c>
      <c r="AW23" s="48">
        <f>AM23</f>
        <v>0.66666666666666663</v>
      </c>
      <c r="AX23" s="48">
        <f>AR23</f>
        <v>846.99</v>
      </c>
      <c r="AY23" s="48">
        <f>AU23+AW23</f>
        <v>0.66666666666666663</v>
      </c>
      <c r="AZ23" s="48">
        <f>ROUND(((AU23*AV23)+(AW23*AX23))/(AU23+AW23),5)</f>
        <v>846.99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243</v>
      </c>
      <c r="BN23" t="s" s="0">
        <v>242</v>
      </c>
      <c r="BO23" s="48">
        <f>ROUND((((AW23*AZ23)+(BN23*BM23))/(AW23+BN23)),5)</f>
        <v>843.82912999999996</v>
      </c>
      <c r="BP23" s="61">
        <f>ROUND((BN23+AW23),3)</f>
        <v>2.0009999999999999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>SUM(AB23:AB23)</f>
        <v>135.5196</v>
      </c>
      <c r="AC24" s="56">
        <f>SUM(AC23:AC23)</f>
        <v>700.17959999999994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R25"/>
  <sheetViews>
    <sheetView topLeftCell="O10" workbookViewId="0">
      <selection activeCell="W23" sqref="W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184</v>
      </c>
      <c r="C23" s="2" t="s">
        <v>184</v>
      </c>
      <c r="D23" s="45" t="s">
        <v>12</v>
      </c>
      <c r="E23" s="45" t="s">
        <v>166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65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33.879599999999996</v>
      </c>
      <c r="AB23" s="46">
        <f>V23+W23+X23+Y23+AA23</f>
        <v>135.5196</v>
      </c>
      <c r="AC23" s="46">
        <f>IF($V21=1,S23+AB23,S23)</f>
        <v>700.17959999999994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846.99</v>
      </c>
      <c r="AO23" s="46">
        <f>AJ23/AM23</f>
        <v>0</v>
      </c>
      <c r="AP23" s="46">
        <f>AK23/AM23</f>
        <v>0</v>
      </c>
      <c r="AQ23" s="65" t="s">
        <v>12</v>
      </c>
      <c r="AR23" s="0">
        <f>ROUND(AN23+AO23+AP23,5)</f>
        <v>846.99</v>
      </c>
      <c r="AS23" t="s" s="0">
        <v>187</v>
      </c>
      <c r="AT23" s="66" t="s">
        <v>12</v>
      </c>
      <c r="AU23" t="s" s="0">
        <v>108</v>
      </c>
      <c r="AV23" t="s" s="0">
        <v>175</v>
      </c>
      <c r="AW23" s="48">
        <f>AM23</f>
        <v>0.66666666666666663</v>
      </c>
      <c r="AX23" s="48">
        <f>AR23</f>
        <v>846.99</v>
      </c>
      <c r="AY23" s="48">
        <f>AU23+AW23</f>
        <v>0.66666666666666663</v>
      </c>
      <c r="AZ23" s="48">
        <f>ROUND(((AU23*AV23)+(AW23*AX23))/(AU23+AW23),5)</f>
        <v>846.99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175</v>
      </c>
      <c r="BN23" t="s" s="0">
        <v>191</v>
      </c>
      <c r="BO23" s="48">
        <f>ROUND((((AW23*AZ23)+(BN23*BM23))/(AW23+BN23)),5)</f>
        <v>846.99</v>
      </c>
      <c r="BP23" s="4">
        <f>ROUND((BN23+AW23),3)</f>
        <v>33.35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>SUM(AB23:AB23)</f>
        <v>135.5196</v>
      </c>
      <c r="AC24" s="56">
        <f>SUM(AC23:AC23)</f>
        <v>700.17959999999994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R25"/>
  <sheetViews>
    <sheetView topLeftCell="AS16" workbookViewId="0">
      <selection activeCell="BH23" sqref="BH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189</v>
      </c>
      <c r="C23" s="2" t="s">
        <v>189</v>
      </c>
      <c r="D23" s="45" t="s">
        <v>12</v>
      </c>
      <c r="E23" s="45" t="s">
        <v>12</v>
      </c>
      <c r="F23" s="46">
        <v>2</v>
      </c>
      <c r="G23" t="s" s="0">
        <v>162</v>
      </c>
      <c r="H23" s="46">
        <f>F23*G23</f>
        <v>40</v>
      </c>
      <c r="I23" t="s" s="0">
        <v>115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R25"/>
  <sheetViews>
    <sheetView topLeftCell="M14" workbookViewId="0">
      <selection activeCell="V23" sqref="V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185</v>
      </c>
      <c r="C23" s="2" t="s">
        <v>185</v>
      </c>
      <c r="D23" s="45" t="s">
        <v>12</v>
      </c>
      <c r="E23" s="45" t="s">
        <v>166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1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3.84</v>
      </c>
      <c r="R23" s="46">
        <f>M23+O23+Q23</f>
        <v>19.68</v>
      </c>
      <c r="S23" s="46">
        <f>(H23-R23)</f>
        <v>380.32</v>
      </c>
      <c r="T23" s="46" t="s">
        <v>106</v>
      </c>
      <c r="U23" s="46">
        <v>0.18</v>
      </c>
      <c r="V23" s="46">
        <f>IF(OR($C$21=1,$C$21=4),ROUND(((S23*U23)/2),2),0)</f>
        <v>34.229999999999997</v>
      </c>
      <c r="W23" s="46">
        <f>IF($C$21=1,ROUND(((S23*U23)/2),2),0)</f>
        <v>34.229999999999997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68.459999999999994</v>
      </c>
      <c r="AC23" s="46">
        <f>IF($V21=1,S23+AB23,S23)</f>
        <v>448.78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380.32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570.48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570.48</v>
      </c>
      <c r="AS23" t="s" s="0">
        <v>187</v>
      </c>
      <c r="AT23" s="48" t="s">
        <v>12</v>
      </c>
      <c r="AU23" t="s" s="0">
        <v>108</v>
      </c>
      <c r="AV23" t="s" s="0">
        <v>244</v>
      </c>
      <c r="AW23" s="16">
        <f>AM23</f>
        <v>0.66666666666666663</v>
      </c>
      <c r="AX23" s="48">
        <f>AR23</f>
        <v>570.48</v>
      </c>
      <c r="AY23" s="16">
        <f>AU23+AW23</f>
        <v>0.66666666666666663</v>
      </c>
      <c r="AZ23" s="48">
        <f>ROUND(((AU23*AV23)+(AW23*AX23))/(AU23+AW23),5)</f>
        <v>570.48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246</v>
      </c>
      <c r="BN23" t="s" s="0">
        <v>245</v>
      </c>
      <c r="BO23" s="48">
        <f>ROUND((((AW23*AZ23)+(BN23*BM23))/(AW23+BN23)),5)</f>
        <v>566.97384</v>
      </c>
      <c r="BP23" s="61">
        <f>ROUND(BN23+AW23,3)</f>
        <v>15.340999999999999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19.68</v>
      </c>
      <c r="S24" s="54">
        <f>SUM(S23:S23)</f>
        <v>380.32</v>
      </c>
      <c r="T24" s="53"/>
      <c r="U24" s="53"/>
      <c r="V24" s="55">
        <f>SUM(V23:V23)</f>
        <v>34.229999999999997</v>
      </c>
      <c r="W24" s="55">
        <f>SUM(W23:W23)</f>
        <v>34.229999999999997</v>
      </c>
      <c r="X24" s="55">
        <f>SUM(X23:X23)</f>
        <v>0</v>
      </c>
      <c r="Y24" s="55"/>
      <c r="Z24" s="55"/>
      <c r="AA24" s="55"/>
      <c r="AB24" s="53">
        <f>SUM(AB23:AB23)</f>
        <v>68.459999999999994</v>
      </c>
      <c r="AC24" s="56">
        <f>SUM(AC23:AC23)</f>
        <v>448.78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380.32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R25"/>
  <sheetViews>
    <sheetView topLeftCell="E13" workbookViewId="0">
      <selection activeCell="V23" sqref="V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185</v>
      </c>
      <c r="C23" s="2" t="s">
        <v>185</v>
      </c>
      <c r="D23" s="45" t="s">
        <v>12</v>
      </c>
      <c r="E23" s="45" t="s">
        <v>166</v>
      </c>
      <c r="F23" s="46">
        <v>3</v>
      </c>
      <c r="G23" t="s" s="0">
        <v>109</v>
      </c>
      <c r="H23" s="46">
        <f>F23*G23</f>
        <v>600</v>
      </c>
      <c r="I23" t="s" s="0">
        <v>127</v>
      </c>
      <c r="J23" s="46">
        <v>2</v>
      </c>
      <c r="K23" s="46">
        <v>3</v>
      </c>
      <c r="L23" s="46">
        <f>H23</f>
        <v>600</v>
      </c>
      <c r="M23" s="46">
        <f>ROUND(L23*I23%,2)</f>
        <v>12</v>
      </c>
      <c r="N23" s="46">
        <f>H23-M23</f>
        <v>588</v>
      </c>
      <c r="O23" s="46">
        <f>ROUND(N23*J23%,2)</f>
        <v>11.76</v>
      </c>
      <c r="P23" s="46">
        <f>ROUND(N23-O23,2)</f>
        <v>576.24</v>
      </c>
      <c r="Q23" s="46">
        <f>ROUND(P23*K23%,2)</f>
        <v>17.29</v>
      </c>
      <c r="R23" s="46">
        <f>M23+O23+Q23</f>
        <v>41.05</v>
      </c>
      <c r="S23" s="46">
        <f>(H23-R23)</f>
        <v>558.95000000000005</v>
      </c>
      <c r="T23" s="46" t="s">
        <v>106</v>
      </c>
      <c r="U23" s="46">
        <v>0.18</v>
      </c>
      <c r="V23" s="46">
        <f>IF(OR($C$21=1,$C$21=4),ROUND(((S23*U23)/2),2),0)</f>
        <v>50.31</v>
      </c>
      <c r="W23" s="46">
        <f>IF($C$21=1,ROUND(((S23*U23)/2),2),0)</f>
        <v>50.31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33.536999999999999</v>
      </c>
      <c r="AB23" s="46">
        <f>V23+W23+X23+Y23+AA23</f>
        <v>134.15700000000001</v>
      </c>
      <c r="AC23" s="46">
        <f>IF($V21=1,S23+AB23,S23)</f>
        <v>693.10700000000008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558.95000000000005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1</v>
      </c>
      <c r="AN23" s="46">
        <f>AI23/AM23</f>
        <v>558.95000000000005</v>
      </c>
      <c r="AO23" s="46">
        <f>AJ23/AM23</f>
        <v>0</v>
      </c>
      <c r="AP23" s="46">
        <f>AK23/AM23</f>
        <v>0</v>
      </c>
      <c r="AQ23" s="46" t="s">
        <v>12</v>
      </c>
      <c r="AR23" s="0">
        <f>AN23+AO23+AP23</f>
        <v>558.95000000000005</v>
      </c>
      <c r="AS23" t="s" s="0">
        <v>187</v>
      </c>
      <c r="AT23" s="48" t="s">
        <v>12</v>
      </c>
      <c r="AU23" t="s" s="0">
        <v>108</v>
      </c>
      <c r="AV23" t="s" s="0">
        <v>205</v>
      </c>
      <c r="AW23" s="48">
        <f>AM23</f>
        <v>1</v>
      </c>
      <c r="AX23" s="48">
        <f>AR23</f>
        <v>558.95000000000005</v>
      </c>
      <c r="AY23" s="48">
        <f>AU23+AW23</f>
        <v>1</v>
      </c>
      <c r="AZ23" s="48">
        <f>ROUND(((AU23*AV23)+(AW23*AX23))/(AU23+AW23),5)</f>
        <v>558.95000000000005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248</v>
      </c>
      <c r="BN23" t="s" s="0">
        <v>247</v>
      </c>
      <c r="BO23" s="48">
        <f>ROUND((((AW23*AZ23)+(BN23*BM23))/(AW23+BN23)),5)</f>
        <v>564.76169000000004</v>
      </c>
      <c r="BP23" s="4">
        <f>ROUND((BN23+AW23),3)</f>
        <v>230.44800000000001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41.05</v>
      </c>
      <c r="S24" s="54">
        <f>SUM(S23:S23)</f>
        <v>558.95000000000005</v>
      </c>
      <c r="T24" s="53"/>
      <c r="U24" s="53"/>
      <c r="V24" s="55">
        <f>SUM(V23:V23)</f>
        <v>50.31</v>
      </c>
      <c r="W24" s="55">
        <f>SUM(W23:W23)</f>
        <v>50.31</v>
      </c>
      <c r="X24" s="55">
        <f>SUM(X23:X23)</f>
        <v>0</v>
      </c>
      <c r="Y24" s="55"/>
      <c r="Z24" s="55"/>
      <c r="AA24" s="55"/>
      <c r="AB24" s="53">
        <f>SUM(AB23:AB23)</f>
        <v>134.15700000000001</v>
      </c>
      <c r="AC24" s="56">
        <f>SUM(AC23:AC23)</f>
        <v>693.10700000000008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558.95000000000005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R25"/>
  <sheetViews>
    <sheetView topLeftCell="O16" workbookViewId="0">
      <selection activeCell="V23" sqref="V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189</v>
      </c>
      <c r="C23" s="2" t="s">
        <v>189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151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22.3584</v>
      </c>
      <c r="AB23" s="46">
        <f>V23+W23+X23+Y23+AA23</f>
        <v>89.438400000000001</v>
      </c>
      <c r="AC23" s="46">
        <f>IF($V32=1,S23+AB23,S23)</f>
        <v>372.64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18632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9316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9316</v>
      </c>
      <c r="AS23" t="s" s="0">
        <v>187</v>
      </c>
      <c r="AT23" s="48" t="s">
        <v>12</v>
      </c>
      <c r="AW23" s="48">
        <f>AM23</f>
        <v>2</v>
      </c>
      <c r="AX23" s="48">
        <f>AR23</f>
        <v>9316</v>
      </c>
      <c r="AY23" s="48">
        <f>AU23+AW23</f>
        <v>2</v>
      </c>
      <c r="AZ23" s="48">
        <f>ROUND(((AU23*AV23)+(AW23*AX23))/(AU23+AW23),5)</f>
        <v>9316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9316</v>
      </c>
      <c r="BP23" s="4">
        <f>ROUND((BN23+AW23),3)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 t="shared" ref="V24:AE24" si="1">SUM(V23:V23)</f>
        <v>33.54</v>
      </c>
      <c r="W24" s="55">
        <f t="shared" si="1"/>
        <v>33.54</v>
      </c>
      <c r="X24" s="55">
        <f t="shared" si="1"/>
        <v>0</v>
      </c>
      <c r="Y24" s="55"/>
      <c r="Z24" s="55"/>
      <c r="AA24" s="55"/>
      <c r="AB24" s="53">
        <f t="shared" si="1"/>
        <v>89.438400000000001</v>
      </c>
      <c r="AC24" s="56">
        <f t="shared" si="1"/>
        <v>372.64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18632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R26"/>
  <sheetViews>
    <sheetView topLeftCell="M10" workbookViewId="0">
      <selection activeCell="V23" sqref="V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186</v>
      </c>
      <c r="C23" s="2" t="s">
        <v>186</v>
      </c>
      <c r="D23" s="45" t="s">
        <v>12</v>
      </c>
      <c r="E23" s="45" t="s">
        <v>166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4</v>
      </c>
      <c r="N23" s="46">
        <f>H23-M23</f>
        <v>396</v>
      </c>
      <c r="O23" s="46">
        <f>ROUND(N23*J23%,2)</f>
        <v>7.92</v>
      </c>
      <c r="P23" s="46">
        <f>ROUND(N23-O23,2)</f>
        <v>388.08</v>
      </c>
      <c r="Q23" s="46">
        <f>ROUND(P23*K23%,2)</f>
        <v>11.64</v>
      </c>
      <c r="R23" s="46">
        <f>M23+O23+Q23</f>
        <v>23.560000000000002</v>
      </c>
      <c r="S23" s="46">
        <f>(H23-R23)</f>
        <v>376.44</v>
      </c>
      <c r="T23" s="46" t="s">
        <v>106</v>
      </c>
      <c r="U23" s="46">
        <v>0.18</v>
      </c>
      <c r="V23" s="46">
        <f>IF(OR($C$21=1,$C$21=4),ROUND(((S23*U23)/2),2),0)</f>
        <v>33.880000000000003</v>
      </c>
      <c r="W23" s="46">
        <f>IF($C$21=1,ROUND(((S23*U23)/2),2),0)</f>
        <v>33.880000000000003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22.586399999999998</v>
      </c>
      <c r="AB23" s="46">
        <f>V23+W23+X23+Y23+AA23</f>
        <v>90.346400000000003</v>
      </c>
      <c r="AC23" s="46">
        <f>IF($V21=1,S23+AB23,S23)</f>
        <v>466.78640000000001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376.44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564.66000000000008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564.66</v>
      </c>
      <c r="AS23" t="s" s="0">
        <v>187</v>
      </c>
      <c r="AT23" s="48" t="s">
        <v>12</v>
      </c>
      <c r="AU23" t="s" s="0">
        <v>108</v>
      </c>
      <c r="AV23" t="s" s="0">
        <v>190</v>
      </c>
      <c r="AW23" s="16">
        <f>AM23</f>
        <v>0.66666666666666663</v>
      </c>
      <c r="AX23" s="48">
        <f>AR23</f>
        <v>564.66</v>
      </c>
      <c r="AY23" s="16">
        <f>AU23+AW23</f>
        <v>0.66666666666666663</v>
      </c>
      <c r="AZ23" s="48">
        <f>ROUND(((AU23*AV23)+(AW23*AX23))/(AU23+AW23),5)</f>
        <v>564.66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190</v>
      </c>
      <c r="BN23" t="s" s="0">
        <v>250</v>
      </c>
      <c r="BO23" s="48">
        <f>ROUND((((AW23*AZ23)+(BN23*BM23))/(AW23+BN23)),5)</f>
        <v>107.28</v>
      </c>
      <c r="BP23" s="61">
        <f>ROUND((BN23+AW23),3)</f>
        <v>6.6669999999999998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23.560000000000002</v>
      </c>
      <c r="S24" s="54">
        <f>SUM(S23:S23)</f>
        <v>376.44</v>
      </c>
      <c r="T24" s="53"/>
      <c r="U24" s="53"/>
      <c r="V24" s="55">
        <f>SUM(V23:V23)</f>
        <v>33.880000000000003</v>
      </c>
      <c r="W24" s="55">
        <f>SUM(W23:W23)</f>
        <v>33.880000000000003</v>
      </c>
      <c r="X24" s="55">
        <f>SUM(X23:X23)</f>
        <v>0</v>
      </c>
      <c r="Y24" s="55"/>
      <c r="Z24" s="55"/>
      <c r="AA24" s="55"/>
      <c r="AB24" s="53">
        <f>SUM(AB23:AB23)</f>
        <v>90.346400000000003</v>
      </c>
      <c r="AC24" s="56">
        <f>SUM(AC23:AC23)</f>
        <v>466.78640000000001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376.44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R26"/>
  <sheetViews>
    <sheetView topLeftCell="O13" workbookViewId="0">
      <selection activeCell="W23" sqref="W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8"/>
      <c r="AS1" s="8"/>
    </row>
    <row r="2" spans="1:45" ht="18.75" thickBot="1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186</v>
      </c>
      <c r="C23" s="2" t="s">
        <v>186</v>
      </c>
      <c r="D23" s="45" t="s">
        <v>12</v>
      </c>
      <c r="E23" s="45" t="s">
        <v>166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4</v>
      </c>
      <c r="N23" s="46">
        <f>H23-M23</f>
        <v>396</v>
      </c>
      <c r="O23" s="46">
        <f>ROUND(N23*J23%,2)</f>
        <v>7.92</v>
      </c>
      <c r="P23" s="46">
        <f>ROUND(N23-O23,2)</f>
        <v>388.08</v>
      </c>
      <c r="Q23" s="46">
        <f>ROUND(P23*K23%,2)</f>
        <v>11.64</v>
      </c>
      <c r="R23" s="46">
        <f>M23+O23+Q23</f>
        <v>23.560000000000002</v>
      </c>
      <c r="S23" s="46">
        <f>(H23-R23)</f>
        <v>376.44</v>
      </c>
      <c r="T23" s="46" t="s">
        <v>106</v>
      </c>
      <c r="U23" s="46">
        <v>0.18</v>
      </c>
      <c r="V23" s="46">
        <f>IF(OR($C$21=1,$C$21=4),ROUND(((S23*U23)/2),2),0)</f>
        <v>33.880000000000003</v>
      </c>
      <c r="W23" s="46">
        <f>IF($C$21=1,ROUND(((S23*U23)/2),2),0)</f>
        <v>33.880000000000003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22.586399999999998</v>
      </c>
      <c r="AB23" s="46">
        <f>V23+W23+X23+Y23+AA23</f>
        <v>90.346400000000003</v>
      </c>
      <c r="AC23" s="46">
        <f>IF($V21=1,S23+AB23,S23)</f>
        <v>466.78640000000001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376.44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564.66000000000008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564.66</v>
      </c>
      <c r="AS23" t="s" s="0">
        <v>187</v>
      </c>
      <c r="AT23" s="48" t="s">
        <v>12</v>
      </c>
      <c r="AU23" t="s" s="0">
        <v>108</v>
      </c>
      <c r="AV23" t="s" s="0">
        <v>190</v>
      </c>
      <c r="AW23" s="16">
        <f>AM23</f>
        <v>0.66666666666666663</v>
      </c>
      <c r="AX23" s="48">
        <f>AR23</f>
        <v>564.66</v>
      </c>
      <c r="AY23" s="16">
        <f>AU23+AW23</f>
        <v>0.66666666666666663</v>
      </c>
      <c r="AZ23" s="48">
        <f>ROUND(((AU23*AV23)+(AW23*AX23))/(AU23+AW23),5)</f>
        <v>564.66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190</v>
      </c>
      <c r="BN23" t="s" s="0">
        <v>241</v>
      </c>
      <c r="BO23" s="48">
        <f>ROUND((((AW23*AZ23)+(BN23*BM23))/(AW23+BN23)),5)</f>
        <v>76.787999999999997</v>
      </c>
      <c r="BP23" s="61">
        <f>ROUND((BN23+AW23),3)</f>
        <v>8.6709999999999994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23.560000000000002</v>
      </c>
      <c r="S24" s="54">
        <f>SUM(S23:S23)</f>
        <v>376.44</v>
      </c>
      <c r="T24" s="53"/>
      <c r="U24" s="53"/>
      <c r="V24" s="55">
        <f>SUM(V23:V23)</f>
        <v>33.880000000000003</v>
      </c>
      <c r="W24" s="55">
        <f>SUM(W23:W23)</f>
        <v>33.880000000000003</v>
      </c>
      <c r="X24" s="55">
        <f>SUM(X23:X23)</f>
        <v>0</v>
      </c>
      <c r="Y24" s="55"/>
      <c r="Z24" s="55"/>
      <c r="AA24" s="55"/>
      <c r="AB24" s="53">
        <f>SUM(AB23:AB23)</f>
        <v>90.346400000000003</v>
      </c>
      <c r="AC24" s="56">
        <f>SUM(AC23:AC23)</f>
        <v>466.78640000000001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376.44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R25"/>
  <sheetViews>
    <sheetView topLeftCell="V13" workbookViewId="0">
      <selection activeCell="AN23" sqref="AN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189</v>
      </c>
      <c r="C23" s="2" t="s">
        <v>189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DirectGrnGenUD</vt:lpstr>
      <vt:lpstr>DirectGrnGenUDMulti</vt:lpstr>
      <vt:lpstr>DirectGrnGenUDMulti50</vt:lpstr>
      <vt:lpstr>DirectGrnGenUD50</vt:lpstr>
      <vt:lpstr>DirectGrnGenUDMultiIMP</vt:lpstr>
      <vt:lpstr>DirectGrnGenUDIMP</vt:lpstr>
      <vt:lpstr>Sheet1</vt:lpstr>
      <vt:lpstr>GateEntry</vt:lpstr>
      <vt:lpstr>PurchaseBillSerIGST</vt:lpstr>
      <vt:lpstr>PurchaseBill</vt:lpstr>
      <vt:lpstr>PurchaseBillGRNIGST</vt:lpstr>
      <vt:lpstr>PurchaseBillGRN</vt:lpstr>
      <vt:lpstr>DirectGrnMatUDD</vt:lpstr>
      <vt:lpstr>DirectGrnService</vt:lpstr>
      <vt:lpstr>DirectGrnRateContract</vt:lpstr>
      <vt:lpstr>DirectGrnServiceRateContract</vt:lpstr>
      <vt:lpstr>DirectGrnPriceList</vt:lpstr>
      <vt:lpstr>DirectGrnServicePriceList</vt:lpstr>
      <vt:lpstr>DirectGrnGenUDWOI</vt:lpstr>
      <vt:lpstr>DirectGrnMatUDDWOI</vt:lpstr>
      <vt:lpstr>DirectGrnServiceWOI</vt:lpstr>
      <vt:lpstr>DirectGrnRateContractWOI</vt:lpstr>
      <vt:lpstr>DirectGrnServiceRateContractWOI</vt:lpstr>
      <vt:lpstr>DirectGrnPriceListWOI</vt:lpstr>
      <vt:lpstr>DirectGrnServicePriceListWOI</vt:lpstr>
      <vt:lpstr>DIfUOMDirectGrnGenUD</vt:lpstr>
      <vt:lpstr>DIfUOMDirectMatUD</vt:lpstr>
      <vt:lpstr>DIfUOMDirectSerUD</vt:lpstr>
      <vt:lpstr>DIFUOMDirectGrnRateContract</vt:lpstr>
      <vt:lpstr>DIFUOMDirectGrnMatRateContract</vt:lpstr>
      <vt:lpstr>DIFUOMDirectGrnSerRateContract</vt:lpstr>
      <vt:lpstr>DIFUOMDirectGrnPriceList</vt:lpstr>
      <vt:lpstr>DIFUOMDirectGrnMatPriceList</vt:lpstr>
      <vt:lpstr>DIFUOMDirectGrnSerPriceList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2024-08-28T12:59:00Z</dcterms:created>
  <dc:creator>Premkumar.K</dc:creator>
  <cp:lastModifiedBy>Durairaj.K</cp:lastModifiedBy>
  <dcterms:modified xsi:type="dcterms:W3CDTF">2026-04-25T10:20:41Z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DF1FCE896026400A82FB33CE9FFFC117_12</vt:lpwstr>
  </property>
  <property fmtid="{D5CDD505-2E9C-101B-9397-08002B2CF9AE}" pid="3" name="KSOProductBuildVer">
    <vt:lpwstr>1033-12.2.0.17562</vt:lpwstr>
  </property>
</Properties>
</file>