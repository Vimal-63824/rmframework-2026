
<file path=[Content_Types].xml><?xml version="1.0" encoding="utf-8"?>
<Types xmlns="http://schemas.openxmlformats.org/package/2006/content-types">
  <Default ContentType="application/vnd.openxmlformats-officedocument.spreadsheetml.printerSettings" Extension="bin"/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custom-properties+xml" PartName="/docProps/custom.xml"/>
  <Override ContentType="application/vnd.openxmlformats-officedocument.spreadsheetml.calcChain+xml" PartName="/xl/calcChain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  <Override ContentType="application/vnd.openxmlformats-officedocument.spreadsheetml.worksheet+xml" PartName="/xl/worksheets/sheet5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worksheet+xml" PartName="/xl/worksheets/sheet8.xml"/>
  <Override ContentType="application/vnd.openxmlformats-officedocument.spreadsheetml.worksheet+xml" PartName="/xl/worksheets/sheet9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3.xml"/>
  <Override ContentType="application/vnd.openxmlformats-officedocument.spreadsheetml.worksheet+xml" PartName="/xl/worksheets/sheet14.xml"/>
  <Override ContentType="application/vnd.openxmlformats-officedocument.spreadsheetml.worksheet+xml" PartName="/xl/worksheets/sheet15.xml"/>
  <Override ContentType="application/vnd.openxmlformats-officedocument.spreadsheetml.worksheet+xml" PartName="/xl/worksheets/sheet16.xml"/>
  <Override ContentType="application/vnd.openxmlformats-officedocument.spreadsheetml.worksheet+xml" PartName="/xl/worksheets/sheet17.xml"/>
  <Override ContentType="application/vnd.openxmlformats-officedocument.spreadsheetml.worksheet+xml" PartName="/xl/worksheets/sheet18.xml"/>
  <Override ContentType="application/vnd.openxmlformats-officedocument.spreadsheetml.worksheet+xml" PartName="/xl/worksheets/sheet19.xml"/>
  <Override ContentType="application/vnd.openxmlformats-officedocument.spreadsheetml.worksheet+xml" PartName="/xl/worksheets/sheet20.xml"/>
  <Override ContentType="application/vnd.openxmlformats-officedocument.spreadsheetml.worksheet+xml" PartName="/xl/worksheets/sheet21.xml"/>
  <Override ContentType="application/vnd.openxmlformats-officedocument.spreadsheetml.worksheet+xml" PartName="/xl/worksheets/sheet22.xml"/>
  <Override ContentType="application/vnd.openxmlformats-officedocument.spreadsheetml.worksheet+xml" PartName="/xl/worksheets/sheet23.xml"/>
  <Override ContentType="application/vnd.openxmlformats-officedocument.spreadsheetml.worksheet+xml" PartName="/xl/worksheets/sheet24.xml"/>
  <Override ContentType="application/vnd.openxmlformats-officedocument.spreadsheetml.worksheet+xml" PartName="/xl/worksheets/sheet25.xml"/>
  <Override ContentType="application/vnd.openxmlformats-officedocument.spreadsheetml.worksheet+xml" PartName="/xl/worksheets/sheet26.xml"/>
  <Override ContentType="application/vnd.openxmlformats-officedocument.spreadsheetml.worksheet+xml" PartName="/xl/worksheets/sheet27.xml"/>
  <Override ContentType="application/vnd.openxmlformats-officedocument.spreadsheetml.worksheet+xml" PartName="/xl/worksheets/sheet28.xml"/>
  <Override ContentType="application/vnd.openxmlformats-officedocument.spreadsheetml.worksheet+xml" PartName="/xl/worksheets/sheet29.xml"/>
  <Override ContentType="application/vnd.openxmlformats-officedocument.spreadsheetml.worksheet+xml" PartName="/xl/worksheets/sheet30.xml"/>
  <Override ContentType="application/vnd.openxmlformats-officedocument.spreadsheetml.worksheet+xml" PartName="/xl/worksheets/sheet3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core.xml" Type="http://schemas.openxmlformats.org/package/2006/relationships/metadata/core-properties"/><Relationship Id="rId3" Target="docProps/app.xml" Type="http://schemas.openxmlformats.org/officeDocument/2006/relationships/extended-properties"/><Relationship Id="rId4" Target="docProps/custom.xml" Type="http://schemas.openxmlformats.org/officeDocument/2006/relationships/custom-properties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5" rupBuild="4505"/>
  <workbookPr defaultThemeVersion="124226"/>
  <bookViews>
    <workbookView xWindow="0" yWindow="2520" windowWidth="15525" windowHeight="6540" firstSheet="11" activeTab="11"/>
  </bookViews>
  <sheets>
    <sheet name="Domestic S&amp;D" sheetId="1" r:id="rId1"/>
    <sheet name="Export S&amp;D" sheetId="4" r:id="rId2"/>
    <sheet name="DomesticRateCont S&amp;D" sheetId="5" r:id="rId3"/>
    <sheet name="ExportRateCont S&amp;D" sheetId="6" r:id="rId4"/>
    <sheet name="DomesticPriceList S&amp;D" sheetId="7" r:id="rId5"/>
    <sheet name="ExportPriceList S&amp;D" sheetId="8" r:id="rId6"/>
    <sheet name="DomesticStandard S&amp;D" sheetId="9" r:id="rId7"/>
    <sheet name="ExportStandard S&amp;D" sheetId="10" r:id="rId8"/>
    <sheet name="DomesticCatalog S&amp;D" sheetId="11" r:id="rId9"/>
    <sheet name="ExportCatalog S&amp;D" sheetId="12" r:id="rId10"/>
    <sheet name="ExportCRNote" sheetId="29" r:id="rId11"/>
    <sheet name="Charges" sheetId="32" r:id="rId12"/>
    <sheet name="ShipSet" sheetId="33" r:id="rId13"/>
    <sheet name="LocalCustomer" sheetId="13" r:id="rId14"/>
    <sheet name="InterStateCustomer" sheetId="14" r:id="rId15"/>
    <sheet name="FreeSampleType" sheetId="15" r:id="rId16"/>
    <sheet name="FreeReplacement" sheetId="16" r:id="rId17"/>
    <sheet name="ScrapType" sheetId="17" r:id="rId18"/>
    <sheet name="ServiceType" sheetId="18" r:id="rId19"/>
    <sheet name="CESScustomer" sheetId="20" r:id="rId20"/>
    <sheet name="SEZCustomer" sheetId="19" r:id="rId21"/>
    <sheet name="PromotionalType" sheetId="21" r:id="rId22"/>
    <sheet name="PIDirectType" sheetId="22" r:id="rId23"/>
    <sheet name="PIDirectTypeExport" sheetId="23" r:id="rId24"/>
    <sheet name="CRNoteDomestic" sheetId="24" r:id="rId25"/>
    <sheet name="CRNoteExport" sheetId="25" r:id="rId26"/>
    <sheet name="CRNoteExportService" sheetId="28" r:id="rId27"/>
    <sheet name="CRNoteGateEntryExport" sheetId="31" r:id="rId28"/>
    <sheet name="CRNoteGateEntry" sheetId="30" r:id="rId29"/>
    <sheet name="Sheet2" sheetId="2" r:id="rId30"/>
    <sheet name="Sheet3" sheetId="3" r:id="rId31"/>
  </sheets>
  <calcPr calcId="12451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5" i="33"/>
  <c r="AH5" s="1"/>
  <c r="AK5" s="1"/>
  <c r="AL5" s="1"/>
  <c r="Z5"/>
  <c r="I5"/>
  <c r="AH5" i="32"/>
  <c r="AK5" s="1"/>
  <c r="AL5" s="1"/>
  <c r="AF5"/>
  <c r="Z5"/>
  <c r="N5"/>
  <c r="M5"/>
  <c r="I5"/>
  <c r="AH5" i="31"/>
  <c r="AK5" s="1"/>
  <c r="AL5" s="1"/>
  <c r="AF5"/>
  <c r="Z5"/>
  <c r="M5"/>
  <c r="N5" s="1"/>
  <c r="I5"/>
  <c r="AL5" i="30"/>
  <c r="AK5"/>
  <c r="AH5"/>
  <c r="AF5"/>
  <c r="Z5"/>
  <c r="N5"/>
  <c r="M5"/>
  <c r="I5"/>
  <c r="AL5" i="29"/>
  <c r="AK5"/>
  <c r="AH5"/>
  <c r="AH5" i="13"/>
  <c r="AL5"/>
  <c r="AK5"/>
  <c r="AF5" i="29"/>
  <c r="Z5"/>
  <c r="M5"/>
  <c r="N5" s="1"/>
  <c r="I5"/>
  <c r="AF5" i="28"/>
  <c r="AH5" s="1"/>
  <c r="Z5"/>
  <c r="Y5"/>
  <c r="X5"/>
  <c r="AA5" s="1"/>
  <c r="N5"/>
  <c r="M5"/>
  <c r="I5"/>
  <c r="AH5" i="19"/>
  <c r="AM6" i="4"/>
  <c r="AM5"/>
  <c r="AL6"/>
  <c r="AL5"/>
  <c r="AF5" i="25"/>
  <c r="AH5" s="1"/>
  <c r="Z5"/>
  <c r="N5"/>
  <c r="M5"/>
  <c r="I5"/>
  <c r="AF5" i="24"/>
  <c r="AH5" s="1"/>
  <c r="Z5"/>
  <c r="Y5"/>
  <c r="X5"/>
  <c r="M5"/>
  <c r="N5" s="1"/>
  <c r="I5"/>
  <c r="AH6" i="23"/>
  <c r="AF6"/>
  <c r="Y6"/>
  <c r="X6"/>
  <c r="N6"/>
  <c r="M6"/>
  <c r="I6"/>
  <c r="AH5"/>
  <c r="AF5"/>
  <c r="Y5"/>
  <c r="X5"/>
  <c r="N5"/>
  <c r="M5"/>
  <c r="I5"/>
  <c r="AF6" i="22"/>
  <c r="AH6" s="1"/>
  <c r="Z6"/>
  <c r="I6"/>
  <c r="AF5"/>
  <c r="AH5" s="1"/>
  <c r="Z5"/>
  <c r="I5"/>
  <c r="AH5" i="21"/>
  <c r="AH6"/>
  <c r="AF6"/>
  <c r="Z6"/>
  <c r="Y6"/>
  <c r="X6"/>
  <c r="AA6" s="1"/>
  <c r="N6"/>
  <c r="M6"/>
  <c r="I6"/>
  <c r="AF5"/>
  <c r="Z5"/>
  <c r="Y5"/>
  <c r="X5"/>
  <c r="N5"/>
  <c r="M5"/>
  <c r="I5"/>
  <c r="AL5" i="20"/>
  <c r="AH5"/>
  <c r="AF5"/>
  <c r="Z5"/>
  <c r="Y5"/>
  <c r="X5"/>
  <c r="N5"/>
  <c r="M5"/>
  <c r="I5"/>
  <c r="AF5" i="19"/>
  <c r="Z5"/>
  <c r="I5"/>
  <c r="M5" s="1"/>
  <c r="N5" s="1"/>
  <c r="AF5" i="18"/>
  <c r="AH5" s="1"/>
  <c r="Z5"/>
  <c r="I5"/>
  <c r="AH5" i="17"/>
  <c r="AF5"/>
  <c r="Z5"/>
  <c r="M5"/>
  <c r="N5" s="1"/>
  <c r="I5"/>
  <c r="AH5" i="16"/>
  <c r="AF5"/>
  <c r="Z5"/>
  <c r="I5"/>
  <c r="M5" s="1"/>
  <c r="N5" s="1"/>
  <c r="AH5" i="15"/>
  <c r="AF5"/>
  <c r="M5"/>
  <c r="N5" s="1"/>
  <c r="I5"/>
  <c r="AH5" i="14"/>
  <c r="AF5"/>
  <c r="Z5"/>
  <c r="N5"/>
  <c r="M5"/>
  <c r="I5"/>
  <c r="AF5" i="13"/>
  <c r="I5"/>
  <c r="AH6" i="12"/>
  <c r="AH5"/>
  <c r="AF6"/>
  <c r="Y6"/>
  <c r="X6"/>
  <c r="M6"/>
  <c r="N6" s="1"/>
  <c r="I6"/>
  <c r="AF5"/>
  <c r="Y5"/>
  <c r="X5"/>
  <c r="I5"/>
  <c r="AL6" i="11"/>
  <c r="AF6"/>
  <c r="AH6" s="1"/>
  <c r="Y6"/>
  <c r="X6"/>
  <c r="I6"/>
  <c r="AL5"/>
  <c r="AF5"/>
  <c r="AH5" s="1"/>
  <c r="Y5"/>
  <c r="X5"/>
  <c r="I5"/>
  <c r="AH6" i="9"/>
  <c r="AH5"/>
  <c r="AH6" i="10"/>
  <c r="AH5"/>
  <c r="AL6"/>
  <c r="AF6"/>
  <c r="Y6"/>
  <c r="X6"/>
  <c r="M6"/>
  <c r="N6" s="1"/>
  <c r="I6"/>
  <c r="AL5"/>
  <c r="AF5"/>
  <c r="Y5"/>
  <c r="X5"/>
  <c r="M5"/>
  <c r="N5" s="1"/>
  <c r="I5"/>
  <c r="AL6" i="9"/>
  <c r="AF6"/>
  <c r="Y6"/>
  <c r="X6"/>
  <c r="I6"/>
  <c r="M6" s="1"/>
  <c r="N6" s="1"/>
  <c r="AL5"/>
  <c r="AF5"/>
  <c r="Y5"/>
  <c r="X5"/>
  <c r="I5"/>
  <c r="M5" s="1"/>
  <c r="N5" s="1"/>
  <c r="O5" s="1"/>
  <c r="AH6" i="8"/>
  <c r="AH5"/>
  <c r="AL6"/>
  <c r="AF6"/>
  <c r="Y6"/>
  <c r="X6"/>
  <c r="I6"/>
  <c r="M6" s="1"/>
  <c r="N6" s="1"/>
  <c r="AL5"/>
  <c r="AF5"/>
  <c r="Y5"/>
  <c r="X5"/>
  <c r="I5"/>
  <c r="AH6" i="7"/>
  <c r="AH5"/>
  <c r="AL6"/>
  <c r="AF6"/>
  <c r="Z6"/>
  <c r="Y6"/>
  <c r="X6"/>
  <c r="I6"/>
  <c r="AL5"/>
  <c r="AF5"/>
  <c r="Z5"/>
  <c r="AA5" s="1"/>
  <c r="Y5"/>
  <c r="X5"/>
  <c r="I5"/>
  <c r="AH6" i="6"/>
  <c r="AH5"/>
  <c r="AL6"/>
  <c r="AF6"/>
  <c r="Y6"/>
  <c r="X6"/>
  <c r="I6"/>
  <c r="M6" s="1"/>
  <c r="N6" s="1"/>
  <c r="O6" s="1"/>
  <c r="AL5"/>
  <c r="AF5"/>
  <c r="Y5"/>
  <c r="X5"/>
  <c r="I5"/>
  <c r="AH5" i="5"/>
  <c r="AH6"/>
  <c r="AL6"/>
  <c r="AF6"/>
  <c r="Y6"/>
  <c r="X6"/>
  <c r="I6"/>
  <c r="M6" s="1"/>
  <c r="N6" s="1"/>
  <c r="AL5"/>
  <c r="AF5"/>
  <c r="Y5"/>
  <c r="X5"/>
  <c r="I5"/>
  <c r="AH6" i="1"/>
  <c r="AH6" i="4"/>
  <c r="AH5"/>
  <c r="AH5" i="1"/>
  <c r="AF6" i="4"/>
  <c r="Y6"/>
  <c r="X6"/>
  <c r="I6"/>
  <c r="AF5"/>
  <c r="Y5"/>
  <c r="X5"/>
  <c r="O5"/>
  <c r="P5" s="1"/>
  <c r="N5"/>
  <c r="M5"/>
  <c r="I5"/>
  <c r="AF6" i="1"/>
  <c r="AL6"/>
  <c r="Y6"/>
  <c r="X6"/>
  <c r="I6"/>
  <c r="M6" s="1"/>
  <c r="N6" s="1"/>
  <c r="AL5"/>
  <c r="AF5"/>
  <c r="Y5"/>
  <c r="X5"/>
  <c r="I5"/>
  <c r="M5" s="1"/>
  <c r="N5" s="1"/>
  <c r="M5" i="33" l="1"/>
  <c r="N5" s="1"/>
  <c r="O5" i="32"/>
  <c r="O5" i="31"/>
  <c r="O5" i="30"/>
  <c r="O5" i="29"/>
  <c r="O5" i="28"/>
  <c r="O5" i="25"/>
  <c r="AA5" i="24"/>
  <c r="O5"/>
  <c r="O6" i="23"/>
  <c r="O5"/>
  <c r="M6" i="22"/>
  <c r="N6" s="1"/>
  <c r="M5"/>
  <c r="N5" s="1"/>
  <c r="AA5" i="21"/>
  <c r="O6"/>
  <c r="O5"/>
  <c r="AA5" i="20"/>
  <c r="O5"/>
  <c r="O5" i="19"/>
  <c r="M5" i="18"/>
  <c r="N5" s="1"/>
  <c r="O5" s="1"/>
  <c r="O5" i="17"/>
  <c r="O5" i="16"/>
  <c r="O5" i="15"/>
  <c r="O5" i="14"/>
  <c r="M5" i="13"/>
  <c r="N5" s="1"/>
  <c r="O5" s="1"/>
  <c r="P5" s="1"/>
  <c r="Q5" s="1"/>
  <c r="R5" s="1"/>
  <c r="O6" i="12"/>
  <c r="M5"/>
  <c r="N5" s="1"/>
  <c r="M6" i="11"/>
  <c r="N6" s="1"/>
  <c r="M5"/>
  <c r="N5" s="1"/>
  <c r="O5" i="10"/>
  <c r="O6"/>
  <c r="P5" i="9"/>
  <c r="O6"/>
  <c r="O6" i="8"/>
  <c r="M5"/>
  <c r="N5" s="1"/>
  <c r="AA6" i="7"/>
  <c r="M6"/>
  <c r="N6" s="1"/>
  <c r="O6" s="1"/>
  <c r="M5"/>
  <c r="N5" s="1"/>
  <c r="O5" s="1"/>
  <c r="Q6" i="6"/>
  <c r="R6" s="1"/>
  <c r="P6"/>
  <c r="M5"/>
  <c r="N5" s="1"/>
  <c r="O6" i="5"/>
  <c r="M5"/>
  <c r="N5" s="1"/>
  <c r="O6" i="4"/>
  <c r="Q5"/>
  <c r="R5" s="1"/>
  <c r="S5" s="1"/>
  <c r="M6"/>
  <c r="N6" s="1"/>
  <c r="O6" i="1"/>
  <c r="O5"/>
  <c r="O5" i="33" l="1"/>
  <c r="P5" i="32"/>
  <c r="P5" i="31"/>
  <c r="P5" i="30"/>
  <c r="Q5" s="1"/>
  <c r="R5" s="1"/>
  <c r="P5" i="29"/>
  <c r="Q5" i="28"/>
  <c r="R5" s="1"/>
  <c r="P5"/>
  <c r="P5" i="25"/>
  <c r="Q5" s="1"/>
  <c r="R5" s="1"/>
  <c r="P5" i="24"/>
  <c r="P6" i="23"/>
  <c r="Q6" s="1"/>
  <c r="R6" s="1"/>
  <c r="P5"/>
  <c r="Q5" s="1"/>
  <c r="R5" s="1"/>
  <c r="O6" i="22"/>
  <c r="O5"/>
  <c r="P6" i="21"/>
  <c r="Q6" s="1"/>
  <c r="R6" s="1"/>
  <c r="P5"/>
  <c r="P5" i="20"/>
  <c r="Q5" i="19"/>
  <c r="R5" s="1"/>
  <c r="P5"/>
  <c r="P5" i="18"/>
  <c r="Q5" s="1"/>
  <c r="R5" s="1"/>
  <c r="P5" i="17"/>
  <c r="P5" i="16"/>
  <c r="P5" i="15"/>
  <c r="P5" i="14"/>
  <c r="S5" i="13"/>
  <c r="Q6" i="12"/>
  <c r="R6" s="1"/>
  <c r="P6"/>
  <c r="O5"/>
  <c r="O6" i="11"/>
  <c r="O5"/>
  <c r="P5" i="10"/>
  <c r="P6"/>
  <c r="P6" i="9"/>
  <c r="Q6" s="1"/>
  <c r="R6" s="1"/>
  <c r="Q5"/>
  <c r="R5" s="1"/>
  <c r="S5" s="1"/>
  <c r="P6" i="8"/>
  <c r="O5"/>
  <c r="P6" i="7"/>
  <c r="Q5"/>
  <c r="R5" s="1"/>
  <c r="P5"/>
  <c r="S6" i="6"/>
  <c r="T6" s="1"/>
  <c r="O5"/>
  <c r="P6" i="5"/>
  <c r="Q6" s="1"/>
  <c r="R6" s="1"/>
  <c r="O5"/>
  <c r="T5" i="4"/>
  <c r="U5"/>
  <c r="Q6"/>
  <c r="R6" s="1"/>
  <c r="P6"/>
  <c r="S6" s="1"/>
  <c r="P6" i="1"/>
  <c r="Q6" s="1"/>
  <c r="R6" s="1"/>
  <c r="P5"/>
  <c r="P5" i="33" l="1"/>
  <c r="Q5" i="32"/>
  <c r="R5" s="1"/>
  <c r="S5" s="1"/>
  <c r="S5" i="31"/>
  <c r="Q5"/>
  <c r="R5" s="1"/>
  <c r="S5" i="30"/>
  <c r="S5" i="29"/>
  <c r="Q5"/>
  <c r="R5" s="1"/>
  <c r="S5" i="28"/>
  <c r="S5" i="25"/>
  <c r="Q5" i="24"/>
  <c r="R5" s="1"/>
  <c r="S5" s="1"/>
  <c r="S6" i="23"/>
  <c r="S5"/>
  <c r="P6" i="22"/>
  <c r="P5"/>
  <c r="S6" i="21"/>
  <c r="S5"/>
  <c r="Q5"/>
  <c r="R5" s="1"/>
  <c r="Q5" i="20"/>
  <c r="R5" s="1"/>
  <c r="S5" s="1"/>
  <c r="S5" i="19"/>
  <c r="S5" i="18"/>
  <c r="Q5" i="17"/>
  <c r="R5" s="1"/>
  <c r="S5" s="1"/>
  <c r="Q5" i="16"/>
  <c r="R5" s="1"/>
  <c r="S5" s="1"/>
  <c r="Q5" i="15"/>
  <c r="R5" s="1"/>
  <c r="S5" s="1"/>
  <c r="Q5" i="14"/>
  <c r="R5" s="1"/>
  <c r="S5" s="1"/>
  <c r="T5" i="13"/>
  <c r="U5"/>
  <c r="P5" i="12"/>
  <c r="S6"/>
  <c r="P6" i="11"/>
  <c r="P5"/>
  <c r="S5" i="10"/>
  <c r="Q5"/>
  <c r="R5" s="1"/>
  <c r="S6"/>
  <c r="Q6"/>
  <c r="R6" s="1"/>
  <c r="T5" i="9"/>
  <c r="U5"/>
  <c r="Z5" s="1"/>
  <c r="AA5" s="1"/>
  <c r="S6"/>
  <c r="P5" i="8"/>
  <c r="S6"/>
  <c r="Q6"/>
  <c r="R6" s="1"/>
  <c r="S5" i="7"/>
  <c r="T5" s="1"/>
  <c r="Q6"/>
  <c r="R6" s="1"/>
  <c r="S6" s="1"/>
  <c r="U6" i="6"/>
  <c r="AD6" s="1"/>
  <c r="Z6"/>
  <c r="AA6" s="1"/>
  <c r="Q5"/>
  <c r="R5" s="1"/>
  <c r="P5"/>
  <c r="S6" i="5"/>
  <c r="P5"/>
  <c r="T6" i="4"/>
  <c r="U6"/>
  <c r="AD5"/>
  <c r="Z5"/>
  <c r="AA5" s="1"/>
  <c r="AB5" s="1"/>
  <c r="S6" i="1"/>
  <c r="Q5"/>
  <c r="R5" s="1"/>
  <c r="S5" s="1"/>
  <c r="S5" i="33" l="1"/>
  <c r="Q5"/>
  <c r="R5" s="1"/>
  <c r="U5" i="32"/>
  <c r="T5"/>
  <c r="U5" i="31"/>
  <c r="T5"/>
  <c r="T5" i="30"/>
  <c r="U5"/>
  <c r="U5" i="29"/>
  <c r="T5"/>
  <c r="T5" i="28"/>
  <c r="U5"/>
  <c r="T5" i="25"/>
  <c r="U5"/>
  <c r="T5" i="24"/>
  <c r="U5"/>
  <c r="U6" i="23"/>
  <c r="T6"/>
  <c r="T5"/>
  <c r="U5"/>
  <c r="S6" i="22"/>
  <c r="Q6"/>
  <c r="R6" s="1"/>
  <c r="Q5"/>
  <c r="R5" s="1"/>
  <c r="S5" s="1"/>
  <c r="T6" i="21"/>
  <c r="U6"/>
  <c r="U5"/>
  <c r="T5"/>
  <c r="T5" i="20"/>
  <c r="U5"/>
  <c r="T5" i="19"/>
  <c r="U5"/>
  <c r="T5" i="18"/>
  <c r="U5"/>
  <c r="T5" i="17"/>
  <c r="U5"/>
  <c r="U5" i="16"/>
  <c r="T5"/>
  <c r="U5" i="15"/>
  <c r="T5"/>
  <c r="T5" i="14"/>
  <c r="U5"/>
  <c r="Y5" i="13"/>
  <c r="X5"/>
  <c r="AD5"/>
  <c r="Z5"/>
  <c r="U6" i="12"/>
  <c r="T6"/>
  <c r="S5"/>
  <c r="Q5"/>
  <c r="R5" s="1"/>
  <c r="Q6" i="11"/>
  <c r="R6" s="1"/>
  <c r="S6" s="1"/>
  <c r="Q5"/>
  <c r="R5" s="1"/>
  <c r="S5" s="1"/>
  <c r="T5" i="10"/>
  <c r="U5"/>
  <c r="T6"/>
  <c r="U6"/>
  <c r="AB5" i="9"/>
  <c r="AD5"/>
  <c r="U6"/>
  <c r="Z6" s="1"/>
  <c r="AA6" s="1"/>
  <c r="T6"/>
  <c r="U6" i="8"/>
  <c r="T6"/>
  <c r="S5"/>
  <c r="Q5"/>
  <c r="R5" s="1"/>
  <c r="U5" i="7"/>
  <c r="AD5" s="1"/>
  <c r="T6"/>
  <c r="U6"/>
  <c r="AB6" i="6"/>
  <c r="S5"/>
  <c r="U6" i="5"/>
  <c r="Z6" s="1"/>
  <c r="AA6" s="1"/>
  <c r="T6"/>
  <c r="Q5"/>
  <c r="R5" s="1"/>
  <c r="S5" s="1"/>
  <c r="Z6" i="4"/>
  <c r="AA6" s="1"/>
  <c r="AB6" s="1"/>
  <c r="AD6"/>
  <c r="T6" i="1"/>
  <c r="U6"/>
  <c r="U5"/>
  <c r="T5"/>
  <c r="T5" i="33" l="1"/>
  <c r="U5"/>
  <c r="AD5" i="32"/>
  <c r="X5"/>
  <c r="AA5" s="1"/>
  <c r="AB5" s="1"/>
  <c r="Y5"/>
  <c r="AD5" i="31"/>
  <c r="X5"/>
  <c r="AA5" s="1"/>
  <c r="AB5" s="1"/>
  <c r="Y5"/>
  <c r="AB5" i="30"/>
  <c r="AD5"/>
  <c r="X5"/>
  <c r="AA5" s="1"/>
  <c r="Y5"/>
  <c r="AB5" i="29"/>
  <c r="AD5"/>
  <c r="X5"/>
  <c r="AA5" s="1"/>
  <c r="Y5"/>
  <c r="AB5" i="28"/>
  <c r="AD5"/>
  <c r="AD5" i="25"/>
  <c r="X5"/>
  <c r="AA5" s="1"/>
  <c r="AB5" s="1"/>
  <c r="Y5"/>
  <c r="AB5" i="24"/>
  <c r="AD5"/>
  <c r="AD5" i="23"/>
  <c r="Z5"/>
  <c r="AA5" s="1"/>
  <c r="AB5" s="1"/>
  <c r="Z6"/>
  <c r="AA6" s="1"/>
  <c r="AB6" s="1"/>
  <c r="AD6"/>
  <c r="T5" i="22"/>
  <c r="U5"/>
  <c r="T6"/>
  <c r="U6"/>
  <c r="AB6" i="21"/>
  <c r="AD6"/>
  <c r="AB5"/>
  <c r="AD5"/>
  <c r="AB5" i="20"/>
  <c r="AD5"/>
  <c r="X5" i="19"/>
  <c r="AA5" s="1"/>
  <c r="AB5" s="1"/>
  <c r="Y5"/>
  <c r="AD5"/>
  <c r="Y5" i="18"/>
  <c r="AD5"/>
  <c r="X5"/>
  <c r="X5" i="17"/>
  <c r="AA5" s="1"/>
  <c r="AB5" s="1"/>
  <c r="Y5"/>
  <c r="AD5"/>
  <c r="X5" i="16"/>
  <c r="AA5" s="1"/>
  <c r="AB5" s="1"/>
  <c r="Y5"/>
  <c r="AD5"/>
  <c r="X5" i="15"/>
  <c r="Y5"/>
  <c r="Z5"/>
  <c r="AD5"/>
  <c r="AD5" i="14"/>
  <c r="Y5"/>
  <c r="X5"/>
  <c r="AA5" i="13"/>
  <c r="AB5" s="1"/>
  <c r="T5" i="12"/>
  <c r="U5"/>
  <c r="AB6"/>
  <c r="AD6"/>
  <c r="Z6"/>
  <c r="AA6" s="1"/>
  <c r="T6" i="11"/>
  <c r="U6"/>
  <c r="Z6" s="1"/>
  <c r="AA6" s="1"/>
  <c r="T5"/>
  <c r="U5"/>
  <c r="Z5" s="1"/>
  <c r="AA5" s="1"/>
  <c r="Z5" i="10"/>
  <c r="AA5" s="1"/>
  <c r="AB5" s="1"/>
  <c r="AD5"/>
  <c r="AD6"/>
  <c r="Z6"/>
  <c r="AA6" s="1"/>
  <c r="AB6" s="1"/>
  <c r="AB6" i="9"/>
  <c r="AD6"/>
  <c r="AB6" i="8"/>
  <c r="AD6"/>
  <c r="Z6"/>
  <c r="AA6" s="1"/>
  <c r="T5"/>
  <c r="U5"/>
  <c r="AB5" i="7"/>
  <c r="AB6"/>
  <c r="AD6"/>
  <c r="T5" i="6"/>
  <c r="U5"/>
  <c r="AD6" i="5"/>
  <c r="AB6"/>
  <c r="T5"/>
  <c r="U5"/>
  <c r="Z5" s="1"/>
  <c r="AA5" s="1"/>
  <c r="Z6" i="1"/>
  <c r="AA6" s="1"/>
  <c r="AB6" s="1"/>
  <c r="AD6"/>
  <c r="AB5"/>
  <c r="AD5"/>
  <c r="Z5"/>
  <c r="AA5" s="1"/>
  <c r="AB5" i="33" l="1"/>
  <c r="AD5"/>
  <c r="X5"/>
  <c r="AA5" s="1"/>
  <c r="Y5"/>
  <c r="AD5" i="22"/>
  <c r="X5"/>
  <c r="Y5"/>
  <c r="X6"/>
  <c r="Y6"/>
  <c r="AD6"/>
  <c r="AA5" i="18"/>
  <c r="AB5" s="1"/>
  <c r="AA5" i="15"/>
  <c r="AB5" s="1"/>
  <c r="AA5" i="14"/>
  <c r="AB5" s="1"/>
  <c r="Z5" i="12"/>
  <c r="AA5" s="1"/>
  <c r="AB5" s="1"/>
  <c r="AD5"/>
  <c r="AB6" i="11"/>
  <c r="AD6"/>
  <c r="AB5"/>
  <c r="AD5"/>
  <c r="AB5" i="8"/>
  <c r="AD5"/>
  <c r="Z5"/>
  <c r="AA5" s="1"/>
  <c r="AB5" i="6"/>
  <c r="Z5"/>
  <c r="AA5" s="1"/>
  <c r="AD5"/>
  <c r="AD5" i="5"/>
  <c r="AB5"/>
  <c r="AA5" i="22" l="1"/>
  <c r="AB5" s="1"/>
  <c r="AA6"/>
  <c r="AB6" s="1"/>
</calcChain>
</file>

<file path=xl/sharedStrings.xml><?xml version="1.0" encoding="utf-8"?>
<sst xmlns="http://schemas.openxmlformats.org/spreadsheetml/2006/main" count="1646" uniqueCount="151">
  <si>
    <t>GST Sales</t>
  </si>
  <si>
    <t>(1 - Local Sales,2 Interstate Sales, 3 Import Sales)</t>
  </si>
  <si>
    <t xml:space="preserve">Cur. </t>
  </si>
  <si>
    <t>INR</t>
  </si>
  <si>
    <t>Ex. Rate</t>
  </si>
  <si>
    <t>S. No.</t>
  </si>
  <si>
    <t>Item</t>
  </si>
  <si>
    <t>Rev</t>
  </si>
  <si>
    <t>Item Desc.</t>
  </si>
  <si>
    <t>Stk. UOM</t>
  </si>
  <si>
    <t>Sale. UOM</t>
  </si>
  <si>
    <t>Order Qty (Sale UOM)</t>
  </si>
  <si>
    <t>Unit Price</t>
  </si>
  <si>
    <t>Gross Amt.</t>
  </si>
  <si>
    <t>TD%</t>
  </si>
  <si>
    <t>SD%</t>
  </si>
  <si>
    <t>CD%</t>
  </si>
  <si>
    <t>TD Asbl. Val.</t>
  </si>
  <si>
    <t>TD Amt.</t>
  </si>
  <si>
    <t>SD Asbl. Val.</t>
  </si>
  <si>
    <t>SD Amt.</t>
  </si>
  <si>
    <t>CD Asbl. Val.</t>
  </si>
  <si>
    <t>CD Amt.</t>
  </si>
  <si>
    <t>Disc. Amt.</t>
  </si>
  <si>
    <t>Sales Val.</t>
  </si>
  <si>
    <t>HSN</t>
  </si>
  <si>
    <t>Tax Rate</t>
  </si>
  <si>
    <t>CGST</t>
  </si>
  <si>
    <t>SGST</t>
  </si>
  <si>
    <t>IGST</t>
  </si>
  <si>
    <t>Tax amt</t>
  </si>
  <si>
    <t>Net Amt</t>
  </si>
  <si>
    <t>NOS</t>
  </si>
  <si>
    <t>Conv. Factor</t>
  </si>
  <si>
    <t>Eqv.  Stock Qty</t>
  </si>
  <si>
    <t>Before Stock Qty</t>
  </si>
  <si>
    <t>After Stock Qty</t>
  </si>
  <si>
    <t>Warehouse</t>
  </si>
  <si>
    <t>F100</t>
  </si>
  <si>
    <t>Scenario  : Local Sales - Stock UOM and Sales UOM (Similar)   DOC NO :  SORD-2425-00089</t>
  </si>
  <si>
    <t>Disc.Amt.Per.Qty</t>
  </si>
  <si>
    <t>Weight/Vol</t>
  </si>
  <si>
    <t>Sales Amt (BC)</t>
  </si>
  <si>
    <t>NUYI-9090</t>
  </si>
  <si>
    <t>TVSFG004</t>
  </si>
  <si>
    <t>Sales GL Acct</t>
  </si>
  <si>
    <t>235.36857</t>
  </si>
  <si>
    <t>922</t>
  </si>
  <si>
    <t>87850</t>
  </si>
  <si>
    <t>UD_Disimilar_Domestic_002</t>
  </si>
  <si>
    <t>RC_DOMESTIC_001</t>
  </si>
  <si>
    <t>Domestic_RC_Item_ID_Disimilar</t>
  </si>
  <si>
    <t>65</t>
  </si>
  <si>
    <t>30</t>
  </si>
  <si>
    <t>9630</t>
  </si>
  <si>
    <t>RC_Export_001</t>
  </si>
  <si>
    <t>Export_RC_Item_ID_Disimilar</t>
  </si>
  <si>
    <t>45</t>
  </si>
  <si>
    <t>9885</t>
  </si>
  <si>
    <t>299</t>
  </si>
  <si>
    <t>Domestic_PL_Item_ID</t>
  </si>
  <si>
    <t>Domestic_PL_Item_ID_Disimilar</t>
  </si>
  <si>
    <t>60</t>
  </si>
  <si>
    <t>9870</t>
  </si>
  <si>
    <t>35</t>
  </si>
  <si>
    <t>Export_PL_Item_ID</t>
  </si>
  <si>
    <t>Export_PL_Item_ID_Disimilar</t>
  </si>
  <si>
    <t>75</t>
  </si>
  <si>
    <t>15</t>
  </si>
  <si>
    <t>Domestic_SP_Item_ID</t>
  </si>
  <si>
    <t>Domestic_SP_Item_ID_Disimalar</t>
  </si>
  <si>
    <t>Export_SP_Item_ID</t>
  </si>
  <si>
    <t>Export_SP_Item_ID_Disimalar</t>
  </si>
  <si>
    <t>300</t>
  </si>
  <si>
    <t>120</t>
  </si>
  <si>
    <t>250</t>
  </si>
  <si>
    <t>150</t>
  </si>
  <si>
    <t>Domestic_CG_Item_ID</t>
  </si>
  <si>
    <t>Domestic_CG_Item_ID_Disimalar</t>
  </si>
  <si>
    <t>Export_CG_Item_ID</t>
  </si>
  <si>
    <t>Export_CG_Item_ID_Disimalar</t>
  </si>
  <si>
    <t>175</t>
  </si>
  <si>
    <t>130</t>
  </si>
  <si>
    <t>200</t>
  </si>
  <si>
    <t>9895</t>
  </si>
  <si>
    <t>110</t>
  </si>
  <si>
    <t>HK-TVS-SCRAP-10001</t>
  </si>
  <si>
    <t>Service0001</t>
  </si>
  <si>
    <t>SCR W/H</t>
  </si>
  <si>
    <t>CESS%</t>
  </si>
  <si>
    <t>CESS Amt</t>
  </si>
  <si>
    <t>(765)12%</t>
  </si>
  <si>
    <t>Promotional Type</t>
  </si>
  <si>
    <t>Promotional</t>
  </si>
  <si>
    <t>Sales Regular</t>
  </si>
  <si>
    <t>78219</t>
  </si>
  <si>
    <t>9595</t>
  </si>
  <si>
    <t>9933.992</t>
  </si>
  <si>
    <t>9725</t>
  </si>
  <si>
    <t>9707</t>
  </si>
  <si>
    <t>9860</t>
  </si>
  <si>
    <t>9785</t>
  </si>
  <si>
    <t>9693</t>
  </si>
  <si>
    <t>9847.5</t>
  </si>
  <si>
    <t>9795</t>
  </si>
  <si>
    <t>9900</t>
  </si>
  <si>
    <t>9706</t>
  </si>
  <si>
    <t>9765</t>
  </si>
  <si>
    <t>78174</t>
  </si>
  <si>
    <t>78144</t>
  </si>
  <si>
    <t>78129</t>
  </si>
  <si>
    <t>491512</t>
  </si>
  <si>
    <t>78119</t>
  </si>
  <si>
    <t>9620</t>
  </si>
  <si>
    <t>78104</t>
  </si>
  <si>
    <t>PROD 100</t>
  </si>
  <si>
    <t>UD_Disimilar_Domestic_002-so100-SO100/00391/24-25-1</t>
  </si>
  <si>
    <t>TVSFG004-so100-SO100/00670/24-25-1</t>
  </si>
  <si>
    <t>SO/Reference Domestic</t>
  </si>
  <si>
    <t>SO100/00895/25-26</t>
  </si>
  <si>
    <t>SO/Reference Export</t>
  </si>
  <si>
    <t>CPC Code</t>
  </si>
  <si>
    <t>CPC-100000001</t>
  </si>
  <si>
    <t>FG WH-49</t>
  </si>
  <si>
    <t>After Rtrn Inv Qty</t>
  </si>
  <si>
    <t>66208</t>
  </si>
  <si>
    <t>After Stk Qty</t>
  </si>
  <si>
    <t>66103</t>
  </si>
  <si>
    <t>9515</t>
  </si>
  <si>
    <t>HK-FIFO-LOT-BATCH-10001(FG)</t>
  </si>
  <si>
    <t>797</t>
  </si>
  <si>
    <t>65998</t>
  </si>
  <si>
    <t>49601</t>
  </si>
  <si>
    <t>49526</t>
  </si>
  <si>
    <t>Charges</t>
  </si>
  <si>
    <t>Sno</t>
  </si>
  <si>
    <t>Desc</t>
  </si>
  <si>
    <t>Basiss</t>
  </si>
  <si>
    <t>Pct</t>
  </si>
  <si>
    <t>Value</t>
  </si>
  <si>
    <t>SAC</t>
  </si>
  <si>
    <t>TVS-CH-00002</t>
  </si>
  <si>
    <t>FRIEGHT CHARGES</t>
  </si>
  <si>
    <t>%</t>
  </si>
  <si>
    <t>TVS-CH-00003</t>
  </si>
  <si>
    <t>PACKING CHARGES</t>
  </si>
  <si>
    <t>Total</t>
  </si>
  <si>
    <t>FG_ShipSet_01</t>
  </si>
  <si>
    <t>19060</t>
  </si>
  <si>
    <t>65863</t>
  </si>
  <si>
    <t>65848</t>
  </si>
</sst>
</file>

<file path=xl/styles.xml><?xml version="1.0" encoding="utf-8"?>
<styleSheet xmlns="http://schemas.openxmlformats.org/spreadsheetml/2006/main">
  <numFmts count="1">
    <numFmt numFmtId="164" formatCode="0.000"/>
  </numFmts>
  <fonts count="9">
    <font>
      <sz val="11"/>
      <color theme="1"/>
      <name val="Calibri"/>
      <charset val="134"/>
      <scheme val="minor"/>
    </font>
    <font>
      <b/>
      <u/>
      <sz val="14"/>
      <color theme="1"/>
      <name val="Cambria"/>
      <family val="1"/>
      <scheme val="major"/>
    </font>
    <font>
      <sz val="11"/>
      <color theme="1"/>
      <name val="Cambria"/>
      <family val="1"/>
      <scheme val="major"/>
    </font>
    <font>
      <b/>
      <sz val="11"/>
      <color theme="1"/>
      <name val="Cambria"/>
      <family val="1"/>
      <scheme val="major"/>
    </font>
    <font>
      <b/>
      <sz val="10"/>
      <color theme="1"/>
      <name val="Cambria"/>
      <family val="1"/>
      <scheme val="major"/>
    </font>
    <font>
      <sz val="11"/>
      <name val="Calibri"/>
      <charset val="134"/>
    </font>
    <font>
      <sz val="9"/>
      <color rgb="FF000000"/>
      <name val="Arial"/>
      <family val="2"/>
    </font>
    <font>
      <sz val="11"/>
      <color theme="1"/>
      <name val="Calibri"/>
      <charset val="134"/>
    </font>
    <font>
      <sz val="10"/>
      <color rgb="FF000000"/>
      <name val="Consolas"/>
      <family val="3"/>
    </font>
  </fonts>
  <fills count="8">
    <fill>
      <patternFill patternType="none"/>
    </fill>
    <fill>
      <patternFill patternType="gray125"/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3">
    <xf numFmtId="0" fontId="0" fillId="0" borderId="0" xfId="0"/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 vertical="center"/>
    </xf>
    <xf numFmtId="0" fontId="3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horizontal="center"/>
    </xf>
    <xf numFmtId="0" fontId="3" fillId="0" borderId="0" xfId="0" applyFont="1" applyFill="1" applyBorder="1"/>
    <xf numFmtId="0" fontId="2" fillId="0" borderId="0" xfId="0" applyFont="1" applyFill="1" applyBorder="1"/>
    <xf numFmtId="164" fontId="2" fillId="0" borderId="1" xfId="0" applyNumberFormat="1" applyFont="1" applyBorder="1"/>
    <xf numFmtId="2" fontId="2" fillId="0" borderId="1" xfId="0" applyNumberFormat="1" applyFont="1" applyBorder="1"/>
    <xf numFmtId="0" fontId="2" fillId="0" borderId="1" xfId="0" applyFont="1" applyBorder="1"/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2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NumberFormat="1" applyFont="1" applyFill="1" applyBorder="1" applyAlignment="1">
      <alignment horizontal="center" vertical="center" wrapText="1"/>
    </xf>
    <xf numFmtId="0" fontId="3" fillId="6" borderId="1" xfId="0" applyFont="1" applyFill="1" applyBorder="1" applyAlignment="1">
      <alignment horizontal="center" vertical="center" wrapText="1"/>
    </xf>
    <xf numFmtId="10" fontId="2" fillId="0" borderId="1" xfId="0" applyNumberFormat="1" applyFont="1" applyBorder="1"/>
    <xf numFmtId="0" fontId="2" fillId="0" borderId="0" xfId="0" applyFont="1" applyBorder="1"/>
    <xf numFmtId="164" fontId="2" fillId="0" borderId="0" xfId="0" applyNumberFormat="1" applyFont="1" applyBorder="1"/>
    <xf numFmtId="2" fontId="2" fillId="0" borderId="0" xfId="0" applyNumberFormat="1" applyFont="1" applyBorder="1"/>
    <xf numFmtId="10" fontId="2" fillId="0" borderId="0" xfId="0" applyNumberFormat="1" applyFont="1" applyBorder="1"/>
    <xf numFmtId="2" fontId="1" fillId="0" borderId="0" xfId="0" applyNumberFormat="1" applyFont="1" applyBorder="1" applyAlignment="1">
      <alignment horizontal="left" vertical="top"/>
    </xf>
    <xf numFmtId="0" fontId="2" fillId="0" borderId="0" xfId="0" applyNumberFormat="1" applyFont="1"/>
    <xf numFmtId="0" fontId="2" fillId="0" borderId="0" xfId="0" applyFont="1"/>
    <xf numFmtId="2" fontId="3" fillId="0" borderId="0" xfId="0" applyNumberFormat="1" applyFont="1" applyFill="1" applyBorder="1"/>
    <xf numFmtId="0" fontId="4" fillId="0" borderId="0" xfId="0" applyFont="1" applyAlignment="1">
      <alignment horizontal="center" vertical="center"/>
    </xf>
    <xf numFmtId="49" fontId="5" fillId="0" borderId="1" xfId="0" applyNumberFormat="1" applyFont="1" applyBorder="1" applyAlignment="1">
      <alignment horizontal="left"/>
    </xf>
    <xf numFmtId="1" fontId="2" fillId="0" borderId="1" xfId="0" applyNumberFormat="1" applyFont="1" applyBorder="1"/>
    <xf numFmtId="0" fontId="2" fillId="0" borderId="1" xfId="0" applyNumberFormat="1" applyFont="1" applyBorder="1"/>
    <xf numFmtId="2" fontId="2" fillId="6" borderId="1" xfId="0" applyNumberFormat="1" applyFont="1" applyFill="1" applyBorder="1"/>
    <xf numFmtId="2" fontId="2" fillId="0" borderId="0" xfId="0" applyNumberFormat="1" applyFont="1"/>
    <xf numFmtId="0" fontId="6" fillId="0" borderId="1" xfId="0" applyFont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49" fontId="7" fillId="0" borderId="1" xfId="0" applyNumberFormat="1" applyFon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2" fontId="3" fillId="0" borderId="0" xfId="0" applyNumberFormat="1" applyFont="1" applyFill="1" applyBorder="1" applyAlignment="1">
      <alignment horizontal="center" vertical="center" wrapText="1"/>
    </xf>
    <xf numFmtId="0" fontId="3" fillId="0" borderId="0" xfId="0" applyNumberFormat="1" applyFont="1" applyFill="1" applyBorder="1" applyAlignment="1">
      <alignment horizontal="center" vertical="center" wrapText="1"/>
    </xf>
    <xf numFmtId="1" fontId="2" fillId="0" borderId="0" xfId="0" applyNumberFormat="1" applyFont="1" applyFill="1" applyBorder="1"/>
    <xf numFmtId="49" fontId="0" fillId="0" borderId="1" xfId="0" applyNumberFormat="1" applyBorder="1" applyAlignment="1">
      <alignment horizontal="left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8" fillId="0" borderId="0" xfId="0" applyFo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/>
    <xf numFmtId="1" fontId="2" fillId="0" borderId="1" xfId="0" applyNumberFormat="1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1" xfId="0" applyFont="1" applyFill="1" applyBorder="1" applyAlignment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  <xf numFmtId="0" fontId="2" fillId="6" borderId="0" xfId="0" applyFont="1" applyFill="1" applyBorder="1"/>
    <xf numFmtId="0" fontId="2" fillId="7" borderId="1" xfId="0" applyFont="1" applyFill="1" applyBorder="1"/>
    <xf numFmtId="0" fontId="2" fillId="0" borderId="0" xfId="0" applyFont="1" applyFill="1" applyBorder="1" applyAlignment="1">
      <alignment horizontal="left" vertical="center"/>
    </xf>
    <xf numFmtId="0" fontId="1" fillId="0" borderId="0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<Relationships xmlns="http://schemas.openxmlformats.org/package/2006/relationships"><Relationship Id="rId1" Target="worksheets/sheet1.xml" Type="http://schemas.openxmlformats.org/officeDocument/2006/relationships/worksheet"/><Relationship Id="rId10" Target="worksheets/sheet10.xml" Type="http://schemas.openxmlformats.org/officeDocument/2006/relationships/worksheet"/><Relationship Id="rId11" Target="worksheets/sheet11.xml" Type="http://schemas.openxmlformats.org/officeDocument/2006/relationships/worksheet"/><Relationship Id="rId12" Target="worksheets/sheet12.xml" Type="http://schemas.openxmlformats.org/officeDocument/2006/relationships/worksheet"/><Relationship Id="rId13" Target="worksheets/sheet13.xml" Type="http://schemas.openxmlformats.org/officeDocument/2006/relationships/worksheet"/><Relationship Id="rId14" Target="worksheets/sheet14.xml" Type="http://schemas.openxmlformats.org/officeDocument/2006/relationships/worksheet"/><Relationship Id="rId15" Target="worksheets/sheet15.xml" Type="http://schemas.openxmlformats.org/officeDocument/2006/relationships/worksheet"/><Relationship Id="rId16" Target="worksheets/sheet16.xml" Type="http://schemas.openxmlformats.org/officeDocument/2006/relationships/worksheet"/><Relationship Id="rId17" Target="worksheets/sheet17.xml" Type="http://schemas.openxmlformats.org/officeDocument/2006/relationships/worksheet"/><Relationship Id="rId18" Target="worksheets/sheet18.xml" Type="http://schemas.openxmlformats.org/officeDocument/2006/relationships/worksheet"/><Relationship Id="rId19" Target="worksheets/sheet19.xml" Type="http://schemas.openxmlformats.org/officeDocument/2006/relationships/worksheet"/><Relationship Id="rId2" Target="worksheets/sheet2.xml" Type="http://schemas.openxmlformats.org/officeDocument/2006/relationships/worksheet"/><Relationship Id="rId20" Target="worksheets/sheet20.xml" Type="http://schemas.openxmlformats.org/officeDocument/2006/relationships/worksheet"/><Relationship Id="rId21" Target="worksheets/sheet21.xml" Type="http://schemas.openxmlformats.org/officeDocument/2006/relationships/worksheet"/><Relationship Id="rId22" Target="worksheets/sheet22.xml" Type="http://schemas.openxmlformats.org/officeDocument/2006/relationships/worksheet"/><Relationship Id="rId23" Target="worksheets/sheet23.xml" Type="http://schemas.openxmlformats.org/officeDocument/2006/relationships/worksheet"/><Relationship Id="rId24" Target="worksheets/sheet24.xml" Type="http://schemas.openxmlformats.org/officeDocument/2006/relationships/worksheet"/><Relationship Id="rId25" Target="worksheets/sheet25.xml" Type="http://schemas.openxmlformats.org/officeDocument/2006/relationships/worksheet"/><Relationship Id="rId26" Target="worksheets/sheet26.xml" Type="http://schemas.openxmlformats.org/officeDocument/2006/relationships/worksheet"/><Relationship Id="rId27" Target="worksheets/sheet27.xml" Type="http://schemas.openxmlformats.org/officeDocument/2006/relationships/worksheet"/><Relationship Id="rId28" Target="worksheets/sheet28.xml" Type="http://schemas.openxmlformats.org/officeDocument/2006/relationships/worksheet"/><Relationship Id="rId29" Target="worksheets/sheet29.xml" Type="http://schemas.openxmlformats.org/officeDocument/2006/relationships/worksheet"/><Relationship Id="rId3" Target="worksheets/sheet3.xml" Type="http://schemas.openxmlformats.org/officeDocument/2006/relationships/worksheet"/><Relationship Id="rId30" Target="worksheets/sheet30.xml" Type="http://schemas.openxmlformats.org/officeDocument/2006/relationships/worksheet"/><Relationship Id="rId31" Target="worksheets/sheet31.xml" Type="http://schemas.openxmlformats.org/officeDocument/2006/relationships/worksheet"/><Relationship Id="rId32" Target="theme/theme1.xml" Type="http://schemas.openxmlformats.org/officeDocument/2006/relationships/theme"/><Relationship Id="rId33" Target="styles.xml" Type="http://schemas.openxmlformats.org/officeDocument/2006/relationships/styles"/><Relationship Id="rId34" Target="sharedStrings.xml" Type="http://schemas.openxmlformats.org/officeDocument/2006/relationships/sharedStrings"/><Relationship Id="rId35" Target="calcChain.xml" Type="http://schemas.openxmlformats.org/officeDocument/2006/relationships/calcChain"/><Relationship Id="rId4" Target="worksheets/sheet4.xml" Type="http://schemas.openxmlformats.org/officeDocument/2006/relationships/worksheet"/><Relationship Id="rId5" Target="worksheets/sheet5.xml" Type="http://schemas.openxmlformats.org/officeDocument/2006/relationships/worksheet"/><Relationship Id="rId6" Target="worksheets/sheet6.xml" Type="http://schemas.openxmlformats.org/officeDocument/2006/relationships/worksheet"/><Relationship Id="rId7" Target="worksheets/sheet7.xml" Type="http://schemas.openxmlformats.org/officeDocument/2006/relationships/worksheet"/><Relationship Id="rId8" Target="worksheets/sheet8.xml" Type="http://schemas.openxmlformats.org/officeDocument/2006/relationships/worksheet"/><Relationship Id="rId9" Target="worksheets/sheet9.xml" Type="http://schemas.openxmlformats.org/officeDocument/2006/relationships/worksheet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arget="../printerSettings/printerSettings1.bin" Type="http://schemas.openxmlformats.org/officeDocument/2006/relationships/printerSettings"/></Relationships>
</file>

<file path=xl/worksheets/_rels/sheet2.xml.rels><?xml version="1.0" encoding="UTF-8" standalone="yes"?><Relationships xmlns="http://schemas.openxmlformats.org/package/2006/relationships"><Relationship Id="rId1" Target="../printerSettings/printerSettings2.bin" Type="http://schemas.openxmlformats.org/officeDocument/2006/relationships/printerSettings"/></Relationships>
</file>

<file path=xl/worksheets/_rels/sheet3.xml.rels><?xml version="1.0" encoding="UTF-8" standalone="yes"?><Relationships xmlns="http://schemas.openxmlformats.org/package/2006/relationships"><Relationship Id="rId1" Target="../printerSettings/printerSettings3.bin" Type="http://schemas.openxmlformats.org/officeDocument/2006/relationships/printerSettings"/></Relationships>
</file>

<file path=xl/worksheets/_rels/sheet4.xml.rels><?xml version="1.0" encoding="UTF-8" standalone="yes"?><Relationships xmlns="http://schemas.openxmlformats.org/package/2006/relationships"><Relationship Id="rId1" Target="../printerSettings/printerSettings4.bin" Type="http://schemas.openxmlformats.org/officeDocument/2006/relationships/printerSettings"/></Relationships>
</file>

<file path=xl/worksheets/_rels/sheet5.xml.rels><?xml version="1.0" encoding="UTF-8" standalone="yes"?><Relationships xmlns="http://schemas.openxmlformats.org/package/2006/relationships"><Relationship Id="rId1" Target="../printerSettings/printerSettings5.bin" Type="http://schemas.openxmlformats.org/officeDocument/2006/relationships/printerSettings"/></Relationships>
</file>

<file path=xl/worksheets/_rels/sheet6.xml.rels><?xml version="1.0" encoding="UTF-8" standalone="yes"?><Relationships xmlns="http://schemas.openxmlformats.org/package/2006/relationships"><Relationship Id="rId1" Target="../printerSettings/printerSettings6.bin" Type="http://schemas.openxmlformats.org/officeDocument/2006/relationships/printerSettings"/></Relationships>
</file>

<file path=xl/worksheets/_rels/sheet7.xml.rels><?xml version="1.0" encoding="UTF-8" standalone="yes"?><Relationships xmlns="http://schemas.openxmlformats.org/package/2006/relationships"><Relationship Id="rId1" Target="../printerSettings/printerSettings7.bin" Type="http://schemas.openxmlformats.org/officeDocument/2006/relationships/printerSettings"/></Relationships>
</file>

<file path=xl/worksheets/_rels/sheet8.xml.rels><?xml version="1.0" encoding="UTF-8" standalone="yes"?><Relationships xmlns="http://schemas.openxmlformats.org/package/2006/relationships"><Relationship Id="rId1" Target="../printerSettings/printerSettings8.bin" Type="http://schemas.openxmlformats.org/officeDocument/2006/relationships/printerSettings"/></Relationships>
</file>

<file path=xl/worksheets/_rels/sheet9.xml.rels><?xml version="1.0" encoding="UTF-8" standalone="yes"?><Relationships xmlns="http://schemas.openxmlformats.org/package/2006/relationships"><Relationship Id="rId1" Target="../printerSettings/printerSettings9.bin" Type="http://schemas.openxmlformats.org/officeDocument/2006/relationships/printerSettings"/></Relationships>
</file>

<file path=xl/worksheets/_rels/sheet10.xml.rels><?xml version="1.0" encoding="UTF-8" standalone="yes"?><Relationships xmlns="http://schemas.openxmlformats.org/package/2006/relationships"><Relationship Id="rId1" Target="../printerSettings/printerSettings10.bin" Type="http://schemas.openxmlformats.org/officeDocument/2006/relationships/printerSettings"/></Relationships>
</file>

<file path=xl/worksheets/_rels/sheet11.xml.rels><?xml version="1.0" encoding="UTF-8" standalone="yes"?><Relationships xmlns="http://schemas.openxmlformats.org/package/2006/relationships"><Relationship Id="rId1" Target="../printerSettings/printerSettings11.bin" Type="http://schemas.openxmlformats.org/officeDocument/2006/relationships/printerSettings"/></Relationships>
</file>

<file path=xl/worksheets/_rels/sheet12.xml.rels><?xml version="1.0" encoding="UTF-8" standalone="yes"?><Relationships xmlns="http://schemas.openxmlformats.org/package/2006/relationships"><Relationship Id="rId1" Target="../printerSettings/printerSettings12.bin" Type="http://schemas.openxmlformats.org/officeDocument/2006/relationships/printerSettings"/></Relationships>
</file>

<file path=xl/worksheets/_rels/sheet13.xml.rels><?xml version="1.0" encoding="UTF-8" standalone="yes"?><Relationships xmlns="http://schemas.openxmlformats.org/package/2006/relationships"><Relationship Id="rId1" Target="../printerSettings/printerSettings13.bin" Type="http://schemas.openxmlformats.org/officeDocument/2006/relationships/printerSettings"/></Relationships>
</file>

<file path=xl/worksheets/_rels/sheet14.xml.rels><?xml version="1.0" encoding="UTF-8" standalone="yes"?><Relationships xmlns="http://schemas.openxmlformats.org/package/2006/relationships"><Relationship Id="rId1" Target="../printerSettings/printerSettings14.bin" Type="http://schemas.openxmlformats.org/officeDocument/2006/relationships/printerSettings"/></Relationships>
</file>

<file path=xl/worksheets/_rels/sheet15.xml.rels><?xml version="1.0" encoding="UTF-8" standalone="yes"?><Relationships xmlns="http://schemas.openxmlformats.org/package/2006/relationships"><Relationship Id="rId1" Target="../printerSettings/printerSettings15.bin" Type="http://schemas.openxmlformats.org/officeDocument/2006/relationships/printerSettings"/></Relationships>
</file>

<file path=xl/worksheets/_rels/sheet16.xml.rels><?xml version="1.0" encoding="UTF-8" standalone="yes"?><Relationships xmlns="http://schemas.openxmlformats.org/package/2006/relationships"><Relationship Id="rId1" Target="../printerSettings/printerSettings16.bin" Type="http://schemas.openxmlformats.org/officeDocument/2006/relationships/printerSettings"/></Relationships>
</file>

<file path=xl/worksheets/_rels/sheet17.xml.rels><?xml version="1.0" encoding="UTF-8" standalone="yes"?><Relationships xmlns="http://schemas.openxmlformats.org/package/2006/relationships"><Relationship Id="rId1" Target="../printerSettings/printerSettings17.bin" Type="http://schemas.openxmlformats.org/officeDocument/2006/relationships/printerSettings"/></Relationships>
</file>

<file path=xl/worksheets/_rels/sheet18.xml.rels><?xml version="1.0" encoding="UTF-8" standalone="yes"?><Relationships xmlns="http://schemas.openxmlformats.org/package/2006/relationships"><Relationship Id="rId1" Target="../printerSettings/printerSettings18.bin" Type="http://schemas.openxmlformats.org/officeDocument/2006/relationships/printerSettings"/></Relationships>
</file>

<file path=xl/worksheets/_rels/sheet19.xml.rels><?xml version="1.0" encoding="UTF-8" standalone="yes"?><Relationships xmlns="http://schemas.openxmlformats.org/package/2006/relationships"><Relationship Id="rId1" Target="../printerSettings/printerSettings19.bin" Type="http://schemas.openxmlformats.org/officeDocument/2006/relationships/printerSettings"/></Relationships>
</file>

<file path=xl/worksheets/_rels/sheet20.xml.rels><?xml version="1.0" encoding="UTF-8" standalone="yes"?><Relationships xmlns="http://schemas.openxmlformats.org/package/2006/relationships"><Relationship Id="rId1" Target="../printerSettings/printerSettings20.bin" Type="http://schemas.openxmlformats.org/officeDocument/2006/relationships/printerSettings"/></Relationships>
</file>

<file path=xl/worksheets/_rels/sheet21.xml.rels><?xml version="1.0" encoding="UTF-8" standalone="yes"?><Relationships xmlns="http://schemas.openxmlformats.org/package/2006/relationships"><Relationship Id="rId1" Target="../printerSettings/printerSettings21.bin" Type="http://schemas.openxmlformats.org/officeDocument/2006/relationships/printerSettings"/></Relationships>
</file>

<file path=xl/worksheets/_rels/sheet22.xml.rels><?xml version="1.0" encoding="UTF-8" standalone="yes"?><Relationships xmlns="http://schemas.openxmlformats.org/package/2006/relationships"><Relationship Id="rId1" Target="../printerSettings/printerSettings22.bin" Type="http://schemas.openxmlformats.org/officeDocument/2006/relationships/printerSettings"/></Relationships>
</file>

<file path=xl/worksheets/_rels/sheet23.xml.rels><?xml version="1.0" encoding="UTF-8" standalone="yes"?><Relationships xmlns="http://schemas.openxmlformats.org/package/2006/relationships"><Relationship Id="rId1" Target="../printerSettings/printerSettings23.bin" Type="http://schemas.openxmlformats.org/officeDocument/2006/relationships/printerSettings"/></Relationships>
</file>

<file path=xl/worksheets/_rels/sheet24.xml.rels><?xml version="1.0" encoding="UTF-8" standalone="yes"?><Relationships xmlns="http://schemas.openxmlformats.org/package/2006/relationships"><Relationship Id="rId1" Target="../printerSettings/printerSettings24.bin" Type="http://schemas.openxmlformats.org/officeDocument/2006/relationships/printerSettings"/></Relationships>
</file>

<file path=xl/worksheets/_rels/sheet25.xml.rels><?xml version="1.0" encoding="UTF-8" standalone="yes"?><Relationships xmlns="http://schemas.openxmlformats.org/package/2006/relationships"><Relationship Id="rId1" Target="../printerSettings/printerSettings25.bin" Type="http://schemas.openxmlformats.org/officeDocument/2006/relationships/printerSettings"/></Relationships>
</file>

<file path=xl/worksheets/_rels/sheet26.xml.rels><?xml version="1.0" encoding="UTF-8" standalone="yes"?><Relationships xmlns="http://schemas.openxmlformats.org/package/2006/relationships"><Relationship Id="rId1" Target="../printerSettings/printerSettings26.bin" Type="http://schemas.openxmlformats.org/officeDocument/2006/relationships/printerSettings"/></Relationships>
</file>

<file path=xl/worksheets/_rels/sheet27.xml.rels><?xml version="1.0" encoding="UTF-8" standalone="yes"?><Relationships xmlns="http://schemas.openxmlformats.org/package/2006/relationships"><Relationship Id="rId1" Target="../printerSettings/printerSettings27.bin" Type="http://schemas.openxmlformats.org/officeDocument/2006/relationships/printerSettings"/></Relationships>
</file>

<file path=xl/worksheets/_rels/sheet28.xml.rels><?xml version="1.0" encoding="UTF-8" standalone="yes"?><Relationships xmlns="http://schemas.openxmlformats.org/package/2006/relationships"><Relationship Id="rId1" Target="../printerSettings/printerSettings28.bin" Type="http://schemas.openxmlformats.org/officeDocument/2006/relationships/printerSettings"/></Relationships>
</file>

<file path=xl/worksheets/_rels/sheet29.xml.rels><?xml version="1.0" encoding="UTF-8" standalone="yes"?><Relationships xmlns="http://schemas.openxmlformats.org/package/2006/relationships"><Relationship Id="rId1" Target="../printerSettings/printerSettings29.bin" Type="http://schemas.openxmlformats.org/officeDocument/2006/relationships/printerSettings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B6" sqref="B6:D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1"/>
      <c r="AD1" s="1"/>
      <c r="AE1" s="1"/>
      <c r="AF1" s="1"/>
      <c r="AG1" s="27"/>
    </row>
    <row r="2" spans="1:38" ht="18">
      <c r="A2" s="29" t="s">
        <v>47</v>
      </c>
      <c r="B2" s="29" t="s">
        <v>46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  <c r="AA2" s="1"/>
      <c r="AB2" s="1"/>
      <c r="AC2" s="1"/>
      <c r="AD2" s="1"/>
      <c r="AE2" s="1"/>
      <c r="AF2" s="1"/>
      <c r="AG2" s="27"/>
    </row>
    <row r="3" spans="1:38" ht="19.899999999999999" customHeight="1">
      <c r="A3" s="91" t="s">
        <v>0</v>
      </c>
      <c r="B3" s="91"/>
      <c r="C3" s="2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2700</v>
      </c>
      <c r="AA5" s="9">
        <f>X5+Y5+Z5</f>
        <v>2700</v>
      </c>
      <c r="AB5" s="9">
        <f t="shared" ref="AB5" si="0">U5+AA5</f>
        <v>25200</v>
      </c>
      <c r="AC5" s="9">
        <v>120</v>
      </c>
      <c r="AD5" s="9">
        <f t="shared" ref="AD5" si="1">U5*$N$3</f>
        <v>22500</v>
      </c>
      <c r="AE5" s="8">
        <v>1</v>
      </c>
      <c r="AF5" s="9">
        <f t="shared" ref="AF5" si="2">G5/AE5</f>
        <v>15</v>
      </c>
      <c r="AG5" t="s" s="36">
        <v>150</v>
      </c>
      <c r="AH5" s="9">
        <f>AG5-AF5</f>
        <v>82574</v>
      </c>
      <c r="AI5" s="10" t="s">
        <v>38</v>
      </c>
      <c r="AJ5" s="10">
        <v>4010101001</v>
      </c>
      <c r="AK5" s="29" t="s">
        <v>48</v>
      </c>
      <c r="AL5" s="33">
        <f>AK5+G5</f>
        <v>87880</v>
      </c>
    </row>
    <row r="6" spans="1:38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1440</v>
      </c>
      <c r="AA6" s="9">
        <f>X6+Y6+Z6</f>
        <v>1440</v>
      </c>
      <c r="AB6" s="9">
        <f t="shared" ref="AB6" si="3">U6+AA6</f>
        <v>13440</v>
      </c>
      <c r="AC6" s="9">
        <v>120</v>
      </c>
      <c r="AD6" s="9">
        <f t="shared" ref="AD6" si="4">U6*$N$3</f>
        <v>12000</v>
      </c>
      <c r="AE6" s="8">
        <v>2</v>
      </c>
      <c r="AF6" s="9">
        <f>ROUND(G6/AE6,3)</f>
        <v>5</v>
      </c>
      <c r="AG6" s="36" t="s">
        <v>54</v>
      </c>
      <c r="AH6" s="9">
        <f>AG6-AF6</f>
        <v>9657.5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3:B3"/>
    <mergeCell ref="A1:AB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AM7"/>
  <sheetViews>
    <sheetView topLeftCell="U1" workbookViewId="0">
      <selection activeCell="B6" sqref="B6:D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bestFit="true" customWidth="true" style="29" width="28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39" customWidth="true" style="28" width="12.5703125"/>
    <col min="40" max="16384" style="29" width="9.140625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39"/>
      <c r="AD1" s="39"/>
      <c r="AE1" s="39"/>
      <c r="AF1" s="39"/>
      <c r="AG1" s="27"/>
    </row>
    <row r="2" spans="1:39" ht="18">
      <c r="A2" s="29" t="s">
        <v>47</v>
      </c>
      <c r="B2" s="29" t="s">
        <v>46</v>
      </c>
      <c r="C2" s="39"/>
      <c r="D2" s="39"/>
      <c r="E2" s="39"/>
      <c r="F2" s="39"/>
      <c r="G2" s="39"/>
      <c r="H2" s="39"/>
      <c r="I2" s="39"/>
      <c r="J2" s="39"/>
      <c r="K2" s="39"/>
      <c r="L2" s="39"/>
      <c r="M2" s="39"/>
      <c r="N2" s="39"/>
      <c r="O2" s="39"/>
      <c r="P2" s="39"/>
      <c r="Q2" s="39"/>
      <c r="R2" s="39"/>
      <c r="S2" s="39"/>
      <c r="T2" s="39"/>
      <c r="U2" s="39"/>
      <c r="V2" s="39"/>
      <c r="W2" s="39"/>
      <c r="X2" s="39"/>
      <c r="Y2" s="39"/>
      <c r="Z2" s="39"/>
      <c r="AA2" s="39"/>
      <c r="AB2" s="39"/>
      <c r="AC2" s="39"/>
      <c r="AD2" s="39"/>
      <c r="AE2" s="39"/>
      <c r="AF2" s="39"/>
      <c r="AG2" s="27"/>
    </row>
    <row r="3" spans="1:39" ht="19.899999999999999" customHeight="1">
      <c r="A3" s="91" t="s">
        <v>0</v>
      </c>
      <c r="B3" s="91"/>
      <c r="C3" s="38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  <c r="AM4" s="20" t="s">
        <v>124</v>
      </c>
    </row>
    <row r="5" spans="1:39" ht="15">
      <c r="A5" s="10">
        <v>1</v>
      </c>
      <c r="B5" s="32" t="s">
        <v>44</v>
      </c>
      <c r="C5" s="10">
        <v>0</v>
      </c>
      <c r="D5" s="37" t="s">
        <v>43</v>
      </c>
      <c r="E5" s="10" t="s">
        <v>32</v>
      </c>
      <c r="F5" s="10" t="s">
        <v>32</v>
      </c>
      <c r="G5" s="33">
        <v>15</v>
      </c>
      <c r="H5" s="9">
        <v>1500</v>
      </c>
      <c r="I5" s="9">
        <f>G5*H5</f>
        <v>22500</v>
      </c>
      <c r="J5" s="34"/>
      <c r="K5" s="34"/>
      <c r="L5" s="34"/>
      <c r="M5" s="9">
        <f>I5</f>
        <v>22500</v>
      </c>
      <c r="N5" s="9">
        <f>ROUND((M5*J5)/100,2)</f>
        <v>0</v>
      </c>
      <c r="O5" s="9">
        <f>I5-N5</f>
        <v>22500</v>
      </c>
      <c r="P5" s="9">
        <f>ROUND((O5*K5)/100,2)</f>
        <v>0</v>
      </c>
      <c r="Q5" s="9">
        <f>ROUND(O5-P5,2)</f>
        <v>22500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22500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22500</v>
      </c>
      <c r="AC5" s="9">
        <v>120</v>
      </c>
      <c r="AD5" s="9">
        <f t="shared" ref="AD5:AD6" si="1">U5*$N$3</f>
        <v>22500</v>
      </c>
      <c r="AE5" s="8">
        <v>1</v>
      </c>
      <c r="AF5" s="9">
        <f t="shared" ref="AF5" si="2">G5/AE5</f>
        <v>15</v>
      </c>
      <c r="AG5" s="36" t="s">
        <v>127</v>
      </c>
      <c r="AH5" s="9">
        <f>AG5-AF5</f>
        <v>82574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  <c r="AM5" s="9">
        <f>AL5+G5</f>
        <v>87880</v>
      </c>
    </row>
    <row r="6" spans="1:39">
      <c r="A6" s="10">
        <v>2</v>
      </c>
      <c r="B6" s="37" t="s">
        <v>49</v>
      </c>
      <c r="C6" s="10">
        <v>0</v>
      </c>
      <c r="D6" s="37" t="s">
        <v>49</v>
      </c>
      <c r="E6" s="10" t="s">
        <v>32</v>
      </c>
      <c r="F6" s="10" t="s">
        <v>32</v>
      </c>
      <c r="G6" s="33">
        <v>10</v>
      </c>
      <c r="H6" s="9">
        <v>1200</v>
      </c>
      <c r="I6" s="9">
        <f>G6*H6</f>
        <v>12000</v>
      </c>
      <c r="J6" s="34"/>
      <c r="K6" s="34"/>
      <c r="L6" s="34"/>
      <c r="M6" s="9">
        <f>I6</f>
        <v>12000</v>
      </c>
      <c r="N6" s="9">
        <f>ROUND((M6*J6)/100,2)</f>
        <v>0</v>
      </c>
      <c r="O6" s="9">
        <f>I6-N6</f>
        <v>12000</v>
      </c>
      <c r="P6" s="9">
        <f>ROUND((O6*K6)/100,2)</f>
        <v>0</v>
      </c>
      <c r="Q6" s="9">
        <f>ROUND(O6-P6,2)</f>
        <v>12000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12000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12000</v>
      </c>
      <c r="AC6" s="9">
        <v>120</v>
      </c>
      <c r="AD6" s="9">
        <f t="shared" si="1"/>
        <v>12000</v>
      </c>
      <c r="AE6" s="8">
        <v>2</v>
      </c>
      <c r="AF6" s="9">
        <f>ROUND(G6/AE6,3)</f>
        <v>5</v>
      </c>
      <c r="AG6" s="36" t="s">
        <v>128</v>
      </c>
      <c r="AH6" s="9">
        <f>AG6-AF6</f>
        <v>9657.5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  <c r="AM6" s="9">
        <f>AL6+G6</f>
        <v>87870</v>
      </c>
    </row>
    <row r="7" spans="1:39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:AL7"/>
  <sheetViews>
    <sheetView topLeftCell="W1" workbookViewId="0">
      <selection activeCell="AI6" sqref="AI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41"/>
      <c r="AD1" s="41"/>
      <c r="AE1" s="41"/>
      <c r="AF1" s="41"/>
      <c r="AG1" s="27"/>
    </row>
    <row r="2" spans="1:38" ht="18">
      <c r="A2" s="29" t="s">
        <v>47</v>
      </c>
      <c r="B2" s="29" t="s">
        <v>46</v>
      </c>
      <c r="C2" s="41"/>
      <c r="D2" s="41"/>
      <c r="E2" s="41"/>
      <c r="F2" s="41"/>
      <c r="G2" s="41"/>
      <c r="H2" s="41"/>
      <c r="I2" s="41"/>
      <c r="J2" s="41"/>
      <c r="K2" s="41"/>
      <c r="L2" s="41"/>
      <c r="M2" s="41"/>
      <c r="N2" s="41"/>
      <c r="O2" s="41"/>
      <c r="P2" s="41"/>
      <c r="Q2" s="41"/>
      <c r="R2" s="41"/>
      <c r="S2" s="41"/>
      <c r="T2" s="41"/>
      <c r="U2" s="41"/>
      <c r="V2" s="41"/>
      <c r="W2" s="41"/>
      <c r="X2" s="41"/>
      <c r="Y2" s="41"/>
      <c r="Z2" s="41"/>
      <c r="AA2" s="41"/>
      <c r="AB2" s="41"/>
      <c r="AC2" s="41"/>
      <c r="AD2" s="41"/>
      <c r="AE2" s="41"/>
      <c r="AF2" s="41"/>
      <c r="AG2" s="27"/>
    </row>
    <row r="3" spans="1:38" ht="19.899999999999999" customHeight="1">
      <c r="A3" s="91" t="s">
        <v>0</v>
      </c>
      <c r="B3" s="91"/>
      <c r="C3" s="40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50</v>
      </c>
      <c r="C5" s="10">
        <v>0</v>
      </c>
      <c r="D5" s="42" t="s">
        <v>50</v>
      </c>
      <c r="E5" s="10" t="s">
        <v>32</v>
      </c>
      <c r="F5" s="10" t="s">
        <v>32</v>
      </c>
      <c r="G5" s="33">
        <v>15</v>
      </c>
      <c r="H5" s="29" t="s">
        <v>52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96</v>
      </c>
      <c r="AH5" s="9">
        <f>AG5-AF5</f>
        <v>9645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51</v>
      </c>
      <c r="C6" s="10">
        <v>0</v>
      </c>
      <c r="D6" s="42" t="s">
        <v>51</v>
      </c>
      <c r="E6" s="10" t="s">
        <v>32</v>
      </c>
      <c r="F6" s="10" t="s">
        <v>32</v>
      </c>
      <c r="G6" s="33">
        <v>10</v>
      </c>
      <c r="H6" s="29" t="s">
        <v>53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97</v>
      </c>
      <c r="AH6" s="9">
        <f>AG6-AF6</f>
        <v>9950.6589999999997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5" sqref="AH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44"/>
      <c r="AD1" s="44"/>
      <c r="AE1" s="44"/>
      <c r="AF1" s="44"/>
      <c r="AG1" s="27"/>
    </row>
    <row r="2" spans="1:38" ht="18">
      <c r="A2" s="29" t="s">
        <v>47</v>
      </c>
      <c r="B2" s="29" t="s">
        <v>46</v>
      </c>
      <c r="C2" s="44"/>
      <c r="D2" s="44"/>
      <c r="E2" s="44"/>
      <c r="F2" s="44"/>
      <c r="G2" s="44"/>
      <c r="H2" s="44"/>
      <c r="I2" s="44"/>
      <c r="J2" s="44"/>
      <c r="K2" s="44"/>
      <c r="L2" s="44"/>
      <c r="M2" s="44"/>
      <c r="N2" s="44"/>
      <c r="O2" s="44"/>
      <c r="P2" s="44"/>
      <c r="Q2" s="44"/>
      <c r="R2" s="44"/>
      <c r="S2" s="44"/>
      <c r="T2" s="44"/>
      <c r="U2" s="44"/>
      <c r="V2" s="44"/>
      <c r="W2" s="44"/>
      <c r="X2" s="44"/>
      <c r="Y2" s="44"/>
      <c r="Z2" s="44"/>
      <c r="AA2" s="44"/>
      <c r="AB2" s="44"/>
      <c r="AC2" s="44"/>
      <c r="AD2" s="44"/>
      <c r="AE2" s="44"/>
      <c r="AF2" s="44"/>
      <c r="AG2" s="27"/>
    </row>
    <row r="3" spans="1:38" ht="19.899999999999999" customHeight="1">
      <c r="A3" s="91" t="s">
        <v>0</v>
      </c>
      <c r="B3" s="91"/>
      <c r="C3" s="4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55</v>
      </c>
      <c r="C5" s="10">
        <v>0</v>
      </c>
      <c r="D5" s="42" t="s">
        <v>55</v>
      </c>
      <c r="E5" s="10" t="s">
        <v>32</v>
      </c>
      <c r="F5" s="10" t="s">
        <v>32</v>
      </c>
      <c r="G5" s="33">
        <v>15</v>
      </c>
      <c r="H5" s="29" t="s">
        <v>57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98</v>
      </c>
      <c r="AH5" s="9">
        <f>AG5-AF5</f>
        <v>9745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56</v>
      </c>
      <c r="C6" s="10">
        <v>0</v>
      </c>
      <c r="D6" s="42" t="s">
        <v>56</v>
      </c>
      <c r="E6" s="10" t="s">
        <v>32</v>
      </c>
      <c r="F6" s="10" t="s">
        <v>32</v>
      </c>
      <c r="G6" s="33">
        <v>10</v>
      </c>
      <c r="H6" s="29" t="s">
        <v>59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63</v>
      </c>
      <c r="AH6" s="9">
        <f>AG6-AF6</f>
        <v>9880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46"/>
      <c r="AD1" s="46"/>
      <c r="AE1" s="46"/>
      <c r="AF1" s="46"/>
      <c r="AG1" s="27"/>
    </row>
    <row r="2" spans="1:38" ht="18">
      <c r="A2" s="29" t="s">
        <v>47</v>
      </c>
      <c r="B2" s="29" t="s">
        <v>46</v>
      </c>
      <c r="C2" s="46"/>
      <c r="D2" s="46"/>
      <c r="E2" s="46"/>
      <c r="F2" s="46"/>
      <c r="G2" s="46"/>
      <c r="H2" s="46"/>
      <c r="I2" s="46"/>
      <c r="J2" s="46"/>
      <c r="K2" s="46"/>
      <c r="L2" s="46"/>
      <c r="M2" s="46"/>
      <c r="N2" s="46"/>
      <c r="O2" s="46"/>
      <c r="P2" s="46"/>
      <c r="Q2" s="46"/>
      <c r="R2" s="46"/>
      <c r="S2" s="46"/>
      <c r="T2" s="46"/>
      <c r="U2" s="46"/>
      <c r="V2" s="46"/>
      <c r="W2" s="46"/>
      <c r="X2" s="46"/>
      <c r="Y2" s="46"/>
      <c r="Z2" s="46"/>
      <c r="AA2" s="46"/>
      <c r="AB2" s="46"/>
      <c r="AC2" s="46"/>
      <c r="AD2" s="46"/>
      <c r="AE2" s="46"/>
      <c r="AF2" s="46"/>
      <c r="AG2" s="27"/>
    </row>
    <row r="3" spans="1:38" ht="19.899999999999999" customHeight="1">
      <c r="A3" s="91" t="s">
        <v>0</v>
      </c>
      <c r="B3" s="91"/>
      <c r="C3" s="45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60</v>
      </c>
      <c r="C5" s="10">
        <v>0</v>
      </c>
      <c r="D5" s="42" t="s">
        <v>60</v>
      </c>
      <c r="E5" s="10" t="s">
        <v>32</v>
      </c>
      <c r="F5" s="10" t="s">
        <v>32</v>
      </c>
      <c r="G5" s="33">
        <v>15</v>
      </c>
      <c r="H5" s="29" t="s">
        <v>62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99</v>
      </c>
      <c r="AH5" s="9">
        <f>AG5-AF5</f>
        <v>9717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61</v>
      </c>
      <c r="C6" s="10">
        <v>0</v>
      </c>
      <c r="D6" s="42" t="s">
        <v>61</v>
      </c>
      <c r="E6" s="10" t="s">
        <v>32</v>
      </c>
      <c r="F6" s="10" t="s">
        <v>32</v>
      </c>
      <c r="G6" s="33">
        <v>10</v>
      </c>
      <c r="H6" s="29" t="s">
        <v>64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100</v>
      </c>
      <c r="AH6" s="9">
        <f>AG6-AF6</f>
        <v>9865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48"/>
      <c r="AD1" s="48"/>
      <c r="AE1" s="48"/>
      <c r="AF1" s="48"/>
      <c r="AG1" s="27"/>
    </row>
    <row r="2" spans="1:38" ht="18">
      <c r="A2" s="29" t="s">
        <v>47</v>
      </c>
      <c r="B2" s="29" t="s">
        <v>46</v>
      </c>
      <c r="C2" s="48"/>
      <c r="D2" s="48"/>
      <c r="E2" s="48"/>
      <c r="F2" s="48"/>
      <c r="G2" s="48"/>
      <c r="H2" s="48"/>
      <c r="I2" s="48"/>
      <c r="J2" s="48"/>
      <c r="K2" s="48"/>
      <c r="L2" s="48"/>
      <c r="M2" s="48"/>
      <c r="N2" s="48"/>
      <c r="O2" s="48"/>
      <c r="P2" s="48"/>
      <c r="Q2" s="48"/>
      <c r="R2" s="48"/>
      <c r="S2" s="48"/>
      <c r="T2" s="48"/>
      <c r="U2" s="48"/>
      <c r="V2" s="48"/>
      <c r="W2" s="48"/>
      <c r="X2" s="48"/>
      <c r="Y2" s="48"/>
      <c r="Z2" s="48"/>
      <c r="AA2" s="48"/>
      <c r="AB2" s="48"/>
      <c r="AC2" s="48"/>
      <c r="AD2" s="48"/>
      <c r="AE2" s="48"/>
      <c r="AF2" s="48"/>
      <c r="AG2" s="27"/>
    </row>
    <row r="3" spans="1:38" ht="19.899999999999999" customHeight="1">
      <c r="A3" s="91" t="s">
        <v>0</v>
      </c>
      <c r="B3" s="91"/>
      <c r="C3" s="4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65</v>
      </c>
      <c r="C5" s="10">
        <v>0</v>
      </c>
      <c r="D5" s="42" t="s">
        <v>65</v>
      </c>
      <c r="E5" s="10" t="s">
        <v>32</v>
      </c>
      <c r="F5" s="10" t="s">
        <v>32</v>
      </c>
      <c r="G5" s="33">
        <v>15</v>
      </c>
      <c r="H5" s="29" t="s">
        <v>67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101</v>
      </c>
      <c r="AH5" s="9">
        <f>AG5-AF5</f>
        <v>9795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66</v>
      </c>
      <c r="C6" s="10">
        <v>0</v>
      </c>
      <c r="D6" s="42" t="s">
        <v>66</v>
      </c>
      <c r="E6" s="10" t="s">
        <v>32</v>
      </c>
      <c r="F6" s="10" t="s">
        <v>32</v>
      </c>
      <c r="G6" s="33">
        <v>10</v>
      </c>
      <c r="H6" s="29" t="s">
        <v>68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84</v>
      </c>
      <c r="AH6" s="9">
        <f>AG6-AF6</f>
        <v>9900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>
  <dimension ref="A1:AL7"/>
  <sheetViews>
    <sheetView topLeftCell="X1"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91" t="s">
        <v>0</v>
      </c>
      <c r="B3" s="91"/>
      <c r="C3" s="49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69</v>
      </c>
      <c r="C5" s="10">
        <v>0</v>
      </c>
      <c r="D5" s="42" t="s">
        <v>69</v>
      </c>
      <c r="E5" s="10" t="s">
        <v>32</v>
      </c>
      <c r="F5" s="10" t="s">
        <v>32</v>
      </c>
      <c r="G5" s="33">
        <v>15</v>
      </c>
      <c r="H5" s="29" t="s">
        <v>73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102</v>
      </c>
      <c r="AH5" s="9">
        <f>AG5-AF5</f>
        <v>9703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70</v>
      </c>
      <c r="C6" s="10">
        <v>0</v>
      </c>
      <c r="D6" s="42" t="s">
        <v>70</v>
      </c>
      <c r="E6" s="10" t="s">
        <v>32</v>
      </c>
      <c r="F6" s="10" t="s">
        <v>32</v>
      </c>
      <c r="G6" s="33">
        <v>10</v>
      </c>
      <c r="H6" s="29" t="s">
        <v>74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103</v>
      </c>
      <c r="AH6" s="9">
        <f>AG6-AF6</f>
        <v>9852.5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H7" sqref="AH7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0"/>
      <c r="AD1" s="50"/>
      <c r="AE1" s="50"/>
      <c r="AF1" s="50"/>
      <c r="AG1" s="27"/>
    </row>
    <row r="2" spans="1:38" ht="18">
      <c r="A2" s="29" t="s">
        <v>47</v>
      </c>
      <c r="B2" s="29" t="s">
        <v>46</v>
      </c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0"/>
      <c r="T2" s="50"/>
      <c r="U2" s="50"/>
      <c r="V2" s="50"/>
      <c r="W2" s="50"/>
      <c r="X2" s="50"/>
      <c r="Y2" s="50"/>
      <c r="Z2" s="50"/>
      <c r="AA2" s="50"/>
      <c r="AB2" s="50"/>
      <c r="AC2" s="50"/>
      <c r="AD2" s="50"/>
      <c r="AE2" s="50"/>
      <c r="AF2" s="50"/>
      <c r="AG2" s="27"/>
    </row>
    <row r="3" spans="1:38" ht="19.899999999999999" customHeight="1">
      <c r="A3" s="91" t="s">
        <v>0</v>
      </c>
      <c r="B3" s="91"/>
      <c r="C3" s="4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71</v>
      </c>
      <c r="C5" s="10">
        <v>0</v>
      </c>
      <c r="D5" s="42" t="s">
        <v>71</v>
      </c>
      <c r="E5" s="10" t="s">
        <v>32</v>
      </c>
      <c r="F5" s="10" t="s">
        <v>32</v>
      </c>
      <c r="G5" s="33">
        <v>15</v>
      </c>
      <c r="H5" s="29" t="s">
        <v>75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104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72</v>
      </c>
      <c r="C6" s="10">
        <v>0</v>
      </c>
      <c r="D6" s="42" t="s">
        <v>72</v>
      </c>
      <c r="E6" s="10" t="s">
        <v>32</v>
      </c>
      <c r="F6" s="10" t="s">
        <v>32</v>
      </c>
      <c r="G6" s="33">
        <v>10</v>
      </c>
      <c r="H6" s="29" t="s">
        <v>76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105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9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H6" sqref="H5:H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91" t="s">
        <v>0</v>
      </c>
      <c r="B3" s="91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35</v>
      </c>
      <c r="AL4" s="20" t="s">
        <v>36</v>
      </c>
    </row>
    <row r="5" spans="1:38" ht="15">
      <c r="A5" s="10">
        <v>1</v>
      </c>
      <c r="B5" s="42" t="s">
        <v>77</v>
      </c>
      <c r="C5" s="10">
        <v>0</v>
      </c>
      <c r="D5" s="42" t="s">
        <v>77</v>
      </c>
      <c r="E5" s="10" t="s">
        <v>32</v>
      </c>
      <c r="F5" s="10" t="s">
        <v>32</v>
      </c>
      <c r="G5" s="33">
        <v>15</v>
      </c>
      <c r="H5" s="29" t="s">
        <v>81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106</v>
      </c>
      <c r="AH5" s="9">
        <f>AG5-AF5</f>
        <v>9805</v>
      </c>
      <c r="AI5" s="10" t="s">
        <v>38</v>
      </c>
      <c r="AJ5" s="10">
        <v>4010101001</v>
      </c>
      <c r="AK5" s="29" t="s">
        <v>48</v>
      </c>
      <c r="AL5" s="33">
        <f>AK5+G5</f>
        <v>87865</v>
      </c>
    </row>
    <row r="6" spans="1:38" ht="15">
      <c r="A6" s="10">
        <v>2</v>
      </c>
      <c r="B6" s="42" t="s">
        <v>78</v>
      </c>
      <c r="C6" s="10">
        <v>0</v>
      </c>
      <c r="D6" s="42" t="s">
        <v>78</v>
      </c>
      <c r="E6" s="10" t="s">
        <v>32</v>
      </c>
      <c r="F6" s="10" t="s">
        <v>32</v>
      </c>
      <c r="G6" s="33">
        <v>10</v>
      </c>
      <c r="H6" s="29" t="s">
        <v>82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100</v>
      </c>
      <c r="AH6" s="9">
        <f>AG6-AF6</f>
        <v>9905</v>
      </c>
      <c r="AI6" s="10" t="s">
        <v>38</v>
      </c>
      <c r="AJ6" s="10">
        <v>4010101001</v>
      </c>
      <c r="AK6" s="29" t="s">
        <v>48</v>
      </c>
      <c r="AL6" s="33">
        <f>AK6+G6</f>
        <v>87860</v>
      </c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>
  <dimension ref="A1:AL7"/>
  <sheetViews>
    <sheetView workbookViewId="0">
      <selection activeCell="AI9" sqref="AI9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2"/>
      <c r="AD1" s="52"/>
      <c r="AE1" s="52"/>
      <c r="AF1" s="52"/>
      <c r="AG1" s="27"/>
    </row>
    <row r="2" spans="1:38" ht="18">
      <c r="A2" s="29" t="s">
        <v>47</v>
      </c>
      <c r="B2" s="29" t="s">
        <v>46</v>
      </c>
      <c r="C2" s="5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  <c r="AA2" s="52"/>
      <c r="AB2" s="52"/>
      <c r="AC2" s="52"/>
      <c r="AD2" s="52"/>
      <c r="AE2" s="52"/>
      <c r="AF2" s="52"/>
      <c r="AG2" s="27"/>
    </row>
    <row r="3" spans="1:38" ht="19.899999999999999" customHeight="1">
      <c r="A3" s="91" t="s">
        <v>0</v>
      </c>
      <c r="B3" s="91"/>
      <c r="C3" s="5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79</v>
      </c>
      <c r="C5" s="10">
        <v>0</v>
      </c>
      <c r="D5" s="42" t="s">
        <v>79</v>
      </c>
      <c r="E5" s="10" t="s">
        <v>32</v>
      </c>
      <c r="F5" s="10" t="s">
        <v>32</v>
      </c>
      <c r="G5" s="33">
        <v>15</v>
      </c>
      <c r="H5" s="29" t="s">
        <v>83</v>
      </c>
      <c r="I5" s="9">
        <f>G5*H5</f>
        <v>0</v>
      </c>
      <c r="J5" s="34"/>
      <c r="K5" s="34"/>
      <c r="L5" s="34"/>
      <c r="M5" s="9">
        <f>I5</f>
        <v>0</v>
      </c>
      <c r="N5" s="9">
        <f>ROUND((M5*J5)/100,2)</f>
        <v>0</v>
      </c>
      <c r="O5" s="9">
        <f>I5-N5</f>
        <v>0</v>
      </c>
      <c r="P5" s="9">
        <f>ROUND((O5*K5)/100,2)</f>
        <v>0</v>
      </c>
      <c r="Q5" s="9">
        <f>ROUND(O5-P5,2)</f>
        <v>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0</v>
      </c>
      <c r="AC5" s="9">
        <v>120</v>
      </c>
      <c r="AD5" s="9">
        <f t="shared" ref="AD5:AD6" si="1">U5*$N$3</f>
        <v>0</v>
      </c>
      <c r="AE5" s="8">
        <v>1</v>
      </c>
      <c r="AF5" s="9">
        <f t="shared" ref="AF5" si="2">G5/AE5</f>
        <v>15</v>
      </c>
      <c r="AG5" s="36" t="s">
        <v>107</v>
      </c>
      <c r="AH5" s="9">
        <f>AG5-AF5</f>
        <v>9775</v>
      </c>
      <c r="AI5" s="10" t="s">
        <v>38</v>
      </c>
      <c r="AJ5" s="10">
        <v>4010101001</v>
      </c>
      <c r="AK5" s="7"/>
      <c r="AL5" s="59"/>
    </row>
    <row r="6" spans="1:38" ht="15">
      <c r="A6" s="10">
        <v>2</v>
      </c>
      <c r="B6" s="42" t="s">
        <v>80</v>
      </c>
      <c r="C6" s="10">
        <v>0</v>
      </c>
      <c r="D6" s="42" t="s">
        <v>80</v>
      </c>
      <c r="E6" s="10" t="s">
        <v>32</v>
      </c>
      <c r="F6" s="10" t="s">
        <v>32</v>
      </c>
      <c r="G6" s="33">
        <v>10</v>
      </c>
      <c r="H6" s="29" t="s">
        <v>85</v>
      </c>
      <c r="I6" s="9">
        <f>G6*H6</f>
        <v>0</v>
      </c>
      <c r="J6" s="34"/>
      <c r="K6" s="34"/>
      <c r="L6" s="34"/>
      <c r="M6" s="9">
        <f>I6</f>
        <v>0</v>
      </c>
      <c r="N6" s="9">
        <f>ROUND((M6*J6)/100,2)</f>
        <v>0</v>
      </c>
      <c r="O6" s="9">
        <f>I6-N6</f>
        <v>0</v>
      </c>
      <c r="P6" s="9">
        <f>ROUND((O6*K6)/100,2)</f>
        <v>0</v>
      </c>
      <c r="Q6" s="9">
        <f>ROUND(O6-P6,2)</f>
        <v>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0</v>
      </c>
      <c r="V6" s="33">
        <v>88363222</v>
      </c>
      <c r="W6" s="22">
        <v>0.12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0</v>
      </c>
      <c r="AC6" s="9">
        <v>120</v>
      </c>
      <c r="AD6" s="9">
        <f t="shared" si="1"/>
        <v>0</v>
      </c>
      <c r="AE6" s="8">
        <v>2</v>
      </c>
      <c r="AF6" s="9">
        <f>ROUND(G6/AE6,3)</f>
        <v>5</v>
      </c>
      <c r="AG6" s="36" t="s">
        <v>58</v>
      </c>
      <c r="AH6" s="9">
        <f>AG6-AF6</f>
        <v>9890</v>
      </c>
      <c r="AI6" s="10" t="s">
        <v>38</v>
      </c>
      <c r="AJ6" s="10">
        <v>4010101001</v>
      </c>
      <c r="AK6" s="7"/>
      <c r="AL6" s="59"/>
    </row>
    <row r="7" spans="1:38" ht="14.25" customHeight="1">
      <c r="A7" s="23"/>
      <c r="B7" s="23"/>
      <c r="C7" s="23"/>
      <c r="D7" s="23"/>
      <c r="E7" s="23"/>
      <c r="F7" s="23"/>
      <c r="G7" s="24"/>
      <c r="H7" s="25"/>
      <c r="I7" s="25"/>
      <c r="J7" s="26"/>
      <c r="K7" s="26"/>
      <c r="L7" s="26"/>
      <c r="M7" s="25"/>
      <c r="N7" s="25"/>
      <c r="O7" s="25"/>
      <c r="P7" s="25"/>
      <c r="Q7" s="25"/>
      <c r="R7" s="25"/>
      <c r="S7" s="25"/>
      <c r="T7" s="25"/>
      <c r="U7" s="25"/>
      <c r="V7" s="25"/>
      <c r="W7" s="26"/>
      <c r="X7" s="25"/>
      <c r="Y7" s="25"/>
      <c r="Z7" s="25"/>
      <c r="AA7" s="25"/>
      <c r="AB7" s="25"/>
      <c r="AC7" s="25"/>
      <c r="AD7" s="25"/>
      <c r="AE7" s="24"/>
      <c r="AF7" s="25"/>
      <c r="AG7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1.xml><?xml version="1.0" encoding="utf-8"?>
<worksheet xmlns="http://schemas.openxmlformats.org/spreadsheetml/2006/main" xmlns:r="http://schemas.openxmlformats.org/officeDocument/2006/relationships">
  <dimension ref="A1:AM6"/>
  <sheetViews>
    <sheetView topLeftCell="X1" workbookViewId="0">
      <selection activeCell="AG5" sqref="A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80"/>
      <c r="AD1" s="80"/>
      <c r="AE1" s="80"/>
      <c r="AF1" s="80"/>
      <c r="AG1" s="27"/>
    </row>
    <row r="2" spans="1:39" ht="18">
      <c r="A2" s="29" t="s">
        <v>47</v>
      </c>
      <c r="B2" s="29" t="s">
        <v>46</v>
      </c>
      <c r="C2" s="80"/>
      <c r="D2" s="80"/>
      <c r="E2" s="80"/>
      <c r="F2" s="80"/>
      <c r="G2" s="80"/>
      <c r="H2" s="80"/>
      <c r="I2" s="80"/>
      <c r="J2" s="80"/>
      <c r="K2" s="80"/>
      <c r="L2" s="80"/>
      <c r="M2" s="80"/>
      <c r="N2" s="80"/>
      <c r="O2" s="80"/>
      <c r="P2" s="80"/>
      <c r="Q2" s="80"/>
      <c r="R2" s="80"/>
      <c r="S2" s="80"/>
      <c r="T2" s="80"/>
      <c r="U2" s="80"/>
      <c r="V2" s="80"/>
      <c r="W2" s="80"/>
      <c r="X2" s="80"/>
      <c r="Y2" s="80"/>
      <c r="Z2" s="80"/>
      <c r="AA2" s="80"/>
      <c r="AB2" s="80"/>
      <c r="AC2" s="80"/>
      <c r="AD2" s="80"/>
      <c r="AE2" s="80"/>
      <c r="AF2" s="80"/>
      <c r="AG2" s="27"/>
    </row>
    <row r="3" spans="1:39" ht="19.899999999999999" customHeight="1">
      <c r="A3" s="91" t="s">
        <v>0</v>
      </c>
      <c r="B3" s="91"/>
      <c r="C3" s="79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129</v>
      </c>
      <c r="C5" s="10">
        <v>0</v>
      </c>
      <c r="D5" s="42" t="s">
        <v>129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130</v>
      </c>
      <c r="AH5" s="34">
        <f>AG5-AF5</f>
        <v>782</v>
      </c>
      <c r="AI5" s="10" t="s">
        <v>38</v>
      </c>
      <c r="AJ5" s="10">
        <v>4010101001</v>
      </c>
      <c r="AK5" s="34">
        <f>AH5</f>
        <v>782</v>
      </c>
      <c r="AL5" s="34">
        <f>AK5+G5</f>
        <v>797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>
  <dimension ref="A1:AM13"/>
  <sheetViews>
    <sheetView tabSelected="1" topLeftCell="B1" workbookViewId="0">
      <selection activeCell="F11" sqref="F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8.0"/>
    <col min="4" max="4" customWidth="true" style="29" width="29.85546875"/>
    <col min="5" max="5" bestFit="true" customWidth="true" style="29" width="10.0"/>
    <col min="6" max="6" bestFit="true" customWidth="true" style="29" width="18.8554687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86"/>
      <c r="AD1" s="86"/>
      <c r="AE1" s="86"/>
      <c r="AF1" s="86"/>
      <c r="AG1" s="27"/>
    </row>
    <row r="2" spans="1:39" ht="18">
      <c r="A2" s="29" t="s">
        <v>47</v>
      </c>
      <c r="B2" s="29" t="s">
        <v>46</v>
      </c>
      <c r="C2" s="86"/>
      <c r="D2" s="86"/>
      <c r="E2" s="86"/>
      <c r="F2" s="86"/>
      <c r="G2" s="86"/>
      <c r="H2" s="86"/>
      <c r="I2" s="86"/>
      <c r="J2" s="86"/>
      <c r="K2" s="86"/>
      <c r="L2" s="86"/>
      <c r="M2" s="86"/>
      <c r="N2" s="86"/>
      <c r="O2" s="86"/>
      <c r="P2" s="86"/>
      <c r="Q2" s="86"/>
      <c r="R2" s="86"/>
      <c r="S2" s="86"/>
      <c r="T2" s="86"/>
      <c r="U2" s="86"/>
      <c r="V2" s="86"/>
      <c r="W2" s="86"/>
      <c r="X2" s="86"/>
      <c r="Y2" s="86"/>
      <c r="Z2" s="86"/>
      <c r="AA2" s="86"/>
      <c r="AB2" s="86"/>
      <c r="AC2" s="86"/>
      <c r="AD2" s="86"/>
      <c r="AE2" s="86"/>
      <c r="AF2" s="86"/>
      <c r="AG2" s="27"/>
    </row>
    <row r="3" spans="1:39" ht="19.899999999999999" customHeight="1">
      <c r="A3" s="91" t="s">
        <v>0</v>
      </c>
      <c r="B3" s="91"/>
      <c r="C3" s="8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131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  <row r="9" spans="1:39">
      <c r="C9" s="89" t="s">
        <v>134</v>
      </c>
      <c r="D9" s="23"/>
      <c r="E9" s="23"/>
      <c r="F9" s="23"/>
      <c r="G9" s="23"/>
      <c r="H9" s="23"/>
      <c r="I9" s="23"/>
      <c r="J9" s="23"/>
      <c r="K9" s="23"/>
      <c r="L9" s="23"/>
      <c r="M9" s="23"/>
      <c r="N9" s="23"/>
      <c r="O9" s="23"/>
    </row>
    <row r="10" spans="1:39">
      <c r="C10" s="90" t="s">
        <v>135</v>
      </c>
      <c r="D10" s="90" t="s">
        <v>6</v>
      </c>
      <c r="E10" s="90" t="s">
        <v>7</v>
      </c>
      <c r="F10" s="90" t="s">
        <v>136</v>
      </c>
      <c r="G10" s="90" t="s">
        <v>137</v>
      </c>
      <c r="H10" s="90" t="s">
        <v>138</v>
      </c>
      <c r="I10" s="90" t="s">
        <v>139</v>
      </c>
      <c r="J10" s="90" t="s">
        <v>140</v>
      </c>
      <c r="K10" s="90" t="s">
        <v>26</v>
      </c>
      <c r="L10" s="90" t="s">
        <v>27</v>
      </c>
      <c r="M10" s="90" t="s">
        <v>28</v>
      </c>
      <c r="N10" s="90" t="s">
        <v>29</v>
      </c>
      <c r="O10" s="90" t="s">
        <v>30</v>
      </c>
    </row>
    <row r="11" spans="1:39">
      <c r="C11" s="10">
        <v>1</v>
      </c>
      <c r="D11" s="10" t="s">
        <v>141</v>
      </c>
      <c r="E11" s="10">
        <v>0</v>
      </c>
      <c r="F11" s="10" t="s">
        <v>142</v>
      </c>
      <c r="G11" s="10" t="s">
        <v>143</v>
      </c>
      <c r="H11" s="10">
        <v>20</v>
      </c>
      <c r="I11" s="10">
        <v>6477.41</v>
      </c>
      <c r="J11" s="10">
        <v>4901</v>
      </c>
      <c r="K11" s="22">
        <v>0.12</v>
      </c>
      <c r="L11" s="10">
        <v>0</v>
      </c>
      <c r="M11" s="10">
        <v>0</v>
      </c>
      <c r="N11" s="10">
        <v>777.29</v>
      </c>
      <c r="O11" s="10">
        <v>777.29</v>
      </c>
    </row>
    <row r="12" spans="1:39">
      <c r="C12" s="10">
        <v>2</v>
      </c>
      <c r="D12" s="10" t="s">
        <v>144</v>
      </c>
      <c r="E12" s="10">
        <v>0</v>
      </c>
      <c r="F12" s="10" t="s">
        <v>145</v>
      </c>
      <c r="G12" s="10" t="s">
        <v>139</v>
      </c>
      <c r="H12" s="10"/>
      <c r="I12" s="10">
        <v>15000</v>
      </c>
      <c r="J12" s="10">
        <v>112341</v>
      </c>
      <c r="K12" s="22">
        <v>0.12</v>
      </c>
      <c r="L12" s="10">
        <v>0</v>
      </c>
      <c r="M12" s="10">
        <v>0</v>
      </c>
      <c r="N12" s="10">
        <v>1800</v>
      </c>
      <c r="O12" s="10">
        <v>1800</v>
      </c>
    </row>
    <row r="13" spans="1:39">
      <c r="C13" s="10"/>
      <c r="D13" s="10"/>
      <c r="E13" s="10"/>
      <c r="F13" s="10"/>
      <c r="G13" s="10"/>
      <c r="H13" s="10" t="s">
        <v>146</v>
      </c>
      <c r="I13" s="10">
        <v>21477.41</v>
      </c>
      <c r="J13" s="10"/>
      <c r="K13" s="10"/>
      <c r="L13" s="10">
        <v>0</v>
      </c>
      <c r="M13" s="10">
        <v>0</v>
      </c>
      <c r="N13" s="10">
        <v>2577.29</v>
      </c>
      <c r="O13" s="10">
        <v>2577.29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G10" sqref="G10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88"/>
      <c r="AD1" s="88"/>
      <c r="AE1" s="88"/>
      <c r="AF1" s="88"/>
      <c r="AG1" s="27"/>
    </row>
    <row r="2" spans="1:39" ht="18">
      <c r="A2" s="29" t="s">
        <v>47</v>
      </c>
      <c r="B2" s="29" t="s">
        <v>46</v>
      </c>
      <c r="C2" s="88"/>
      <c r="D2" s="88"/>
      <c r="E2" s="88"/>
      <c r="F2" s="88"/>
      <c r="G2" s="88"/>
      <c r="H2" s="88"/>
      <c r="I2" s="88"/>
      <c r="J2" s="88"/>
      <c r="K2" s="88"/>
      <c r="L2" s="88"/>
      <c r="M2" s="88"/>
      <c r="N2" s="88"/>
      <c r="O2" s="88"/>
      <c r="P2" s="88"/>
      <c r="Q2" s="88"/>
      <c r="R2" s="88"/>
      <c r="S2" s="88"/>
      <c r="T2" s="88"/>
      <c r="U2" s="88"/>
      <c r="V2" s="88"/>
      <c r="W2" s="88"/>
      <c r="X2" s="88"/>
      <c r="Y2" s="88"/>
      <c r="Z2" s="88"/>
      <c r="AA2" s="88"/>
      <c r="AB2" s="88"/>
      <c r="AC2" s="88"/>
      <c r="AD2" s="88"/>
      <c r="AE2" s="88"/>
      <c r="AF2" s="88"/>
      <c r="AG2" s="27"/>
    </row>
    <row r="3" spans="1:39" ht="19.899999999999999" customHeight="1">
      <c r="A3" s="91" t="s">
        <v>0</v>
      </c>
      <c r="B3" s="91"/>
      <c r="C3" s="87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147</v>
      </c>
      <c r="C5" s="10">
        <v>0</v>
      </c>
      <c r="D5" s="42" t="s">
        <v>147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148</v>
      </c>
      <c r="AH5" s="34">
        <f>AG5-AF5</f>
        <v>65983</v>
      </c>
      <c r="AI5" s="10" t="s">
        <v>38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B5" sqref="B5: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4"/>
      <c r="AD1" s="54"/>
      <c r="AE1" s="54"/>
      <c r="AF1" s="54"/>
      <c r="AG1" s="27"/>
    </row>
    <row r="2" spans="1:39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9" ht="19.899999999999999" customHeight="1">
      <c r="A3" s="91" t="s">
        <v>0</v>
      </c>
      <c r="B3" s="91"/>
      <c r="C3" s="5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149</v>
      </c>
      <c r="AH5" s="34">
        <f>AG5-AF5</f>
        <v>66013</v>
      </c>
      <c r="AI5" s="10" t="s">
        <v>38</v>
      </c>
      <c r="AJ5" s="10">
        <v>4010101001</v>
      </c>
      <c r="AK5" s="34">
        <f>AH5</f>
        <v>66013</v>
      </c>
      <c r="AL5" s="34">
        <f>AK5+G5</f>
        <v>66028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>
  <dimension ref="A1:AL6"/>
  <sheetViews>
    <sheetView topLeftCell="U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4"/>
      <c r="AD1" s="54"/>
      <c r="AE1" s="54"/>
      <c r="AF1" s="54"/>
      <c r="AG1" s="27"/>
    </row>
    <row r="2" spans="1:38" ht="18">
      <c r="A2" s="29" t="s">
        <v>47</v>
      </c>
      <c r="B2" s="29" t="s">
        <v>46</v>
      </c>
      <c r="C2" s="54"/>
      <c r="D2" s="54"/>
      <c r="E2" s="54"/>
      <c r="F2" s="54"/>
      <c r="G2" s="54"/>
      <c r="H2" s="54"/>
      <c r="I2" s="54"/>
      <c r="J2" s="54"/>
      <c r="K2" s="54"/>
      <c r="L2" s="54"/>
      <c r="M2" s="54"/>
      <c r="N2" s="54"/>
      <c r="O2" s="54"/>
      <c r="P2" s="54"/>
      <c r="Q2" s="54"/>
      <c r="R2" s="54"/>
      <c r="S2" s="54"/>
      <c r="T2" s="54"/>
      <c r="U2" s="54"/>
      <c r="V2" s="54"/>
      <c r="W2" s="54"/>
      <c r="X2" s="54"/>
      <c r="Y2" s="54"/>
      <c r="Z2" s="54"/>
      <c r="AA2" s="54"/>
      <c r="AB2" s="54"/>
      <c r="AC2" s="54"/>
      <c r="AD2" s="54"/>
      <c r="AE2" s="54"/>
      <c r="AF2" s="54"/>
      <c r="AG2" s="27"/>
    </row>
    <row r="3" spans="1:38" ht="19.899999999999999" customHeight="1">
      <c r="A3" s="91" t="s">
        <v>0</v>
      </c>
      <c r="B3" s="91"/>
      <c r="C3" s="53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90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108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5" sqref="B5: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1" t="s">
        <v>0</v>
      </c>
      <c r="B3" s="9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30</v>
      </c>
      <c r="I5" s="9">
        <f>G5*H5</f>
        <v>450</v>
      </c>
      <c r="J5" s="34"/>
      <c r="K5" s="34"/>
      <c r="L5" s="34"/>
      <c r="M5" s="9">
        <f>I5</f>
        <v>450</v>
      </c>
      <c r="N5" s="9">
        <f>ROUND((M5*J5)/100,2)</f>
        <v>0</v>
      </c>
      <c r="O5" s="9">
        <f>I5-N5</f>
        <v>450</v>
      </c>
      <c r="P5" s="9">
        <f>ROUND((O5*K5)/100,2)</f>
        <v>0</v>
      </c>
      <c r="Q5" s="9">
        <f>ROUND(O5-P5,2)</f>
        <v>450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450</v>
      </c>
      <c r="V5" s="33">
        <v>88363222</v>
      </c>
      <c r="W5" s="22">
        <v>0.12</v>
      </c>
      <c r="X5" s="9">
        <f>IF($D$3=1,ROUND(((U5*W5)/2),2),0)</f>
        <v>27</v>
      </c>
      <c r="Y5" s="9">
        <f>IF($D$3=1,ROUND(((U5*W5)/2),2),0)</f>
        <v>27</v>
      </c>
      <c r="Z5" s="9">
        <f>IF($D$3=2,ROUND(((U5*W5)),2),0)</f>
        <v>0</v>
      </c>
      <c r="AA5" s="9">
        <f>X5+Y5+Z5</f>
        <v>54</v>
      </c>
      <c r="AB5" s="9">
        <f t="shared" ref="AB5" si="0">U5+AA5</f>
        <v>504</v>
      </c>
      <c r="AC5" s="9">
        <v>120</v>
      </c>
      <c r="AD5" s="9">
        <f t="shared" ref="AD5" si="1">U5*$N$3</f>
        <v>450</v>
      </c>
      <c r="AE5" s="8">
        <v>1</v>
      </c>
      <c r="AF5" s="9">
        <f t="shared" ref="AF5" si="2">G5/AE5</f>
        <v>15</v>
      </c>
      <c r="AG5" s="36" t="s">
        <v>109</v>
      </c>
      <c r="AH5" s="9">
        <f>AG5-AF5</f>
        <v>80699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G5" sqref="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1" t="s">
        <v>0</v>
      </c>
      <c r="B3" s="9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110</v>
      </c>
      <c r="AH5" s="9">
        <f>AG5-AF5</f>
        <v>80704</v>
      </c>
      <c r="AI5" s="10" t="s">
        <v>38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>
  <dimension ref="A1:AL6"/>
  <sheetViews>
    <sheetView topLeftCell="W1" workbookViewId="0">
      <selection activeCell="AI5" sqref="AI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1" t="s">
        <v>0</v>
      </c>
      <c r="B3" s="9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86</v>
      </c>
      <c r="C5" s="10">
        <v>0</v>
      </c>
      <c r="D5" s="60" t="s">
        <v>86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G5" s="36" t="s">
        <v>111</v>
      </c>
      <c r="AH5" s="9">
        <f>AG5-AF5</f>
        <v>80704</v>
      </c>
      <c r="AI5" s="63" t="s">
        <v>88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>
  <dimension ref="A1:AL6"/>
  <sheetViews>
    <sheetView topLeftCell="X1" workbookViewId="0">
      <selection activeCell="AG5" sqref="AG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56"/>
      <c r="AD1" s="56"/>
      <c r="AE1" s="56"/>
      <c r="AF1" s="56"/>
      <c r="AG1" s="27"/>
    </row>
    <row r="2" spans="1:38" ht="18">
      <c r="A2" s="29" t="s">
        <v>47</v>
      </c>
      <c r="B2" s="29" t="s">
        <v>46</v>
      </c>
      <c r="C2" s="56"/>
      <c r="D2" s="56"/>
      <c r="E2" s="56"/>
      <c r="F2" s="56"/>
      <c r="G2" s="56"/>
      <c r="H2" s="56"/>
      <c r="I2" s="56"/>
      <c r="J2" s="56"/>
      <c r="K2" s="56"/>
      <c r="L2" s="56"/>
      <c r="M2" s="56"/>
      <c r="N2" s="56"/>
      <c r="O2" s="56"/>
      <c r="P2" s="56"/>
      <c r="Q2" s="56"/>
      <c r="R2" s="56"/>
      <c r="S2" s="56"/>
      <c r="T2" s="56"/>
      <c r="U2" s="56"/>
      <c r="V2" s="56"/>
      <c r="W2" s="56"/>
      <c r="X2" s="56"/>
      <c r="Y2" s="56"/>
      <c r="Z2" s="56"/>
      <c r="AA2" s="56"/>
      <c r="AB2" s="56"/>
      <c r="AC2" s="56"/>
      <c r="AD2" s="56"/>
      <c r="AE2" s="56"/>
      <c r="AF2" s="56"/>
      <c r="AG2" s="27"/>
    </row>
    <row r="3" spans="1:38" ht="19.899999999999999" customHeight="1">
      <c r="A3" s="91" t="s">
        <v>0</v>
      </c>
      <c r="B3" s="91"/>
      <c r="C3" s="55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7"/>
      <c r="AL4" s="58"/>
    </row>
    <row r="5" spans="1:38" ht="15">
      <c r="A5" s="10">
        <v>1</v>
      </c>
      <c r="B5" s="60" t="s">
        <v>87</v>
      </c>
      <c r="C5" s="10">
        <v>0</v>
      </c>
      <c r="D5" s="60" t="s">
        <v>87</v>
      </c>
      <c r="E5" s="10" t="s">
        <v>32</v>
      </c>
      <c r="F5" s="10" t="s">
        <v>32</v>
      </c>
      <c r="G5" s="33">
        <v>10</v>
      </c>
      <c r="H5" s="10">
        <v>40</v>
      </c>
      <c r="I5" s="9">
        <f>G5*H5</f>
        <v>400</v>
      </c>
      <c r="J5" s="34"/>
      <c r="K5" s="34"/>
      <c r="L5" s="34"/>
      <c r="M5" s="9">
        <f>I5</f>
        <v>400</v>
      </c>
      <c r="N5" s="9">
        <f>ROUND((M5*J5)/100,2)</f>
        <v>0</v>
      </c>
      <c r="O5" s="9">
        <f>I5-N5</f>
        <v>400</v>
      </c>
      <c r="P5" s="9">
        <f>ROUND((O5*K5)/100,2)</f>
        <v>0</v>
      </c>
      <c r="Q5" s="9">
        <f>ROUND(O5-P5,2)</f>
        <v>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400</v>
      </c>
      <c r="V5" s="33">
        <v>88363222</v>
      </c>
      <c r="W5" s="22">
        <v>0.12</v>
      </c>
      <c r="X5" s="9">
        <f>IF($D$3=1,ROUND(((U5*W5)/2),2),0)</f>
        <v>24</v>
      </c>
      <c r="Y5" s="9">
        <f>IF($D$3=1,ROUND(((U5*W5)/2),2),0)</f>
        <v>24</v>
      </c>
      <c r="Z5" s="9">
        <f>IF($D$3=2,ROUND(((U5*W5)),2),0)</f>
        <v>0</v>
      </c>
      <c r="AA5" s="9">
        <f>X5+Y5+Z5</f>
        <v>48</v>
      </c>
      <c r="AB5" s="9">
        <f t="shared" ref="AB5" si="0">U5+AA5</f>
        <v>448</v>
      </c>
      <c r="AC5" s="9">
        <v>120</v>
      </c>
      <c r="AD5" s="9">
        <f t="shared" ref="AD5" si="1">U5*$N$3</f>
        <v>400</v>
      </c>
      <c r="AE5" s="8">
        <v>1</v>
      </c>
      <c r="AF5" s="9">
        <f t="shared" ref="AF5" si="2">G5/AE5</f>
        <v>10</v>
      </c>
      <c r="AH5" s="9">
        <f>AG5-AF5</f>
        <v>80704</v>
      </c>
      <c r="AI5" s="63" t="s">
        <v>115</v>
      </c>
      <c r="AJ5" s="10">
        <v>4010101001</v>
      </c>
      <c r="AK5" s="7"/>
      <c r="AL5" s="59"/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V8" sqref="V8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62"/>
      <c r="AD1" s="62"/>
      <c r="AE1" s="62"/>
      <c r="AF1" s="62"/>
      <c r="AG1" s="27"/>
    </row>
    <row r="2" spans="1:38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8" ht="19.899999999999999" customHeight="1">
      <c r="A3" s="91" t="s">
        <v>0</v>
      </c>
      <c r="B3" s="91"/>
      <c r="C3" s="61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89</v>
      </c>
      <c r="AL4" s="20" t="s">
        <v>90</v>
      </c>
    </row>
    <row r="5" spans="1:38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 t="s">
        <v>91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72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114</v>
      </c>
      <c r="AH5" s="9">
        <f>AG5-AF5</f>
        <v>80699</v>
      </c>
      <c r="AI5" s="10" t="s">
        <v>38</v>
      </c>
      <c r="AJ5" s="10">
        <v>4010101001</v>
      </c>
      <c r="AK5" s="66">
        <v>5</v>
      </c>
      <c r="AL5" s="67">
        <f>AK5*U5/100</f>
        <v>30</v>
      </c>
    </row>
    <row r="6" spans="1:38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1.xml><?xml version="1.0" encoding="utf-8"?>
<worksheet xmlns="http://schemas.openxmlformats.org/spreadsheetml/2006/main" xmlns:r="http://schemas.openxmlformats.org/officeDocument/2006/relationships">
  <dimension ref="A1:AK6"/>
  <sheetViews>
    <sheetView topLeftCell="W1" workbookViewId="0">
      <selection activeCell="AJ11" sqref="AJ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5.42578125"/>
    <col min="38" max="16384" style="29" width="9.140625"/>
  </cols>
  <sheetData>
    <row r="1" spans="1:37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62"/>
      <c r="AD1" s="62"/>
      <c r="AE1" s="62"/>
      <c r="AF1" s="62"/>
      <c r="AG1" s="27"/>
    </row>
    <row r="2" spans="1:37" ht="18">
      <c r="A2" s="29" t="s">
        <v>47</v>
      </c>
      <c r="B2" s="29" t="s">
        <v>46</v>
      </c>
      <c r="C2" s="62"/>
      <c r="D2" s="62"/>
      <c r="E2" s="62"/>
      <c r="F2" s="62"/>
      <c r="G2" s="62"/>
      <c r="H2" s="62"/>
      <c r="I2" s="62"/>
      <c r="J2" s="62"/>
      <c r="K2" s="62"/>
      <c r="L2" s="62"/>
      <c r="M2" s="62"/>
      <c r="N2" s="62"/>
      <c r="O2" s="62"/>
      <c r="P2" s="62"/>
      <c r="Q2" s="62"/>
      <c r="R2" s="62"/>
      <c r="S2" s="62"/>
      <c r="T2" s="62"/>
      <c r="U2" s="62"/>
      <c r="V2" s="62"/>
      <c r="W2" s="62"/>
      <c r="X2" s="62"/>
      <c r="Y2" s="62"/>
      <c r="Z2" s="62"/>
      <c r="AA2" s="62"/>
      <c r="AB2" s="62"/>
      <c r="AC2" s="62"/>
      <c r="AD2" s="62"/>
      <c r="AE2" s="62"/>
      <c r="AF2" s="62"/>
      <c r="AG2" s="27"/>
    </row>
    <row r="3" spans="1:37" ht="19.899999999999999" customHeight="1">
      <c r="A3" s="91" t="s">
        <v>0</v>
      </c>
      <c r="B3" s="91"/>
      <c r="C3" s="61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7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58"/>
    </row>
    <row r="5" spans="1:37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600</v>
      </c>
      <c r="AC5" s="9">
        <v>120</v>
      </c>
      <c r="AD5" s="9">
        <f t="shared" ref="AD5" si="1">U5*$N$3</f>
        <v>600</v>
      </c>
      <c r="AE5" s="8">
        <v>1</v>
      </c>
      <c r="AF5" s="9">
        <f t="shared" ref="AF5" si="2">G5/AE5</f>
        <v>15</v>
      </c>
      <c r="AG5" s="36" t="s">
        <v>125</v>
      </c>
      <c r="AH5" s="9">
        <f>AG5-AF5</f>
        <v>66193</v>
      </c>
      <c r="AI5" s="10" t="s">
        <v>38</v>
      </c>
      <c r="AJ5" s="10">
        <v>4010101001</v>
      </c>
      <c r="AK5" s="59"/>
    </row>
    <row r="6" spans="1:37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2.xml><?xml version="1.0" encoding="utf-8"?>
<worksheet xmlns="http://schemas.openxmlformats.org/spreadsheetml/2006/main" xmlns:r="http://schemas.openxmlformats.org/officeDocument/2006/relationships">
  <dimension ref="A1:AL6"/>
  <sheetViews>
    <sheetView topLeftCell="B1" workbookViewId="0">
      <selection activeCell="B5" sqref="B5:D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14.28515625"/>
    <col min="38" max="38" customWidth="true" style="29" width="15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65"/>
      <c r="AD1" s="65"/>
      <c r="AE1" s="65"/>
      <c r="AF1" s="65"/>
      <c r="AG1" s="27"/>
    </row>
    <row r="2" spans="1:38" ht="18">
      <c r="A2" s="29" t="s">
        <v>47</v>
      </c>
      <c r="B2" s="29" t="s">
        <v>46</v>
      </c>
      <c r="C2" s="65"/>
      <c r="D2" s="65"/>
      <c r="E2" s="65"/>
      <c r="F2" s="65"/>
      <c r="G2" s="65"/>
      <c r="H2" s="65"/>
      <c r="I2" s="65"/>
      <c r="J2" s="65"/>
      <c r="K2" s="65"/>
      <c r="L2" s="65"/>
      <c r="M2" s="65"/>
      <c r="N2" s="65"/>
      <c r="O2" s="65"/>
      <c r="P2" s="65"/>
      <c r="Q2" s="65"/>
      <c r="R2" s="65"/>
      <c r="S2" s="65"/>
      <c r="T2" s="65"/>
      <c r="U2" s="65"/>
      <c r="V2" s="65"/>
      <c r="W2" s="65"/>
      <c r="X2" s="65"/>
      <c r="Y2" s="65"/>
      <c r="Z2" s="65"/>
      <c r="AA2" s="65"/>
      <c r="AB2" s="65"/>
      <c r="AC2" s="65"/>
      <c r="AD2" s="65"/>
      <c r="AE2" s="65"/>
      <c r="AF2" s="65"/>
      <c r="AG2" s="27"/>
    </row>
    <row r="3" spans="1:38" ht="19.899999999999999" customHeight="1">
      <c r="A3" s="91" t="s">
        <v>0</v>
      </c>
      <c r="B3" s="91"/>
      <c r="C3" s="64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92</v>
      </c>
      <c r="AL4" s="58"/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40</v>
      </c>
      <c r="I5" s="9">
        <f>G5*H5</f>
        <v>600</v>
      </c>
      <c r="J5" s="34"/>
      <c r="K5" s="34"/>
      <c r="L5" s="34"/>
      <c r="M5" s="9">
        <f>I5</f>
        <v>600</v>
      </c>
      <c r="N5" s="9">
        <f>ROUND((M5*J5)/100,2)</f>
        <v>0</v>
      </c>
      <c r="O5" s="9">
        <f>I5-N5</f>
        <v>600</v>
      </c>
      <c r="P5" s="9">
        <f>ROUND((O5*K5)/100,2)</f>
        <v>0</v>
      </c>
      <c r="Q5" s="9">
        <f>ROUND(O5-P5,2)</f>
        <v>600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600</v>
      </c>
      <c r="V5" s="33">
        <v>88363222</v>
      </c>
      <c r="W5" s="22">
        <v>0.12</v>
      </c>
      <c r="X5" s="9">
        <f>IF($D$3=1,ROUND(((U5*W5)/2),2),0)</f>
        <v>36</v>
      </c>
      <c r="Y5" s="9">
        <f>IF($D$3=1,ROUND(((U5*W5)/2),2),0)</f>
        <v>36</v>
      </c>
      <c r="Z5" s="9">
        <f>IF($D$3=2,ROUND(((U5*W5)),2),0)</f>
        <v>0</v>
      </c>
      <c r="AA5" s="9">
        <f>X5+Y5+Z5</f>
        <v>72</v>
      </c>
      <c r="AB5" s="9">
        <f t="shared" ref="AB5" si="0">U5+AA5</f>
        <v>672</v>
      </c>
      <c r="AC5" s="9">
        <v>120</v>
      </c>
      <c r="AD5" s="9">
        <f t="shared" ref="AD5" si="1">U5*$N$3</f>
        <v>600</v>
      </c>
      <c r="AE5" s="8">
        <v>2</v>
      </c>
      <c r="AF5" s="9">
        <f t="shared" ref="AF5" si="2">G5/AE5</f>
        <v>7.5</v>
      </c>
      <c r="AG5" s="36" t="s">
        <v>113</v>
      </c>
      <c r="AH5" s="9">
        <f>AG5-AF5</f>
        <v>9630</v>
      </c>
      <c r="AI5" s="10" t="s">
        <v>38</v>
      </c>
      <c r="AJ5" s="10">
        <v>4010101001</v>
      </c>
      <c r="AK5" s="66" t="s">
        <v>94</v>
      </c>
      <c r="AL5" s="59"/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0.12</v>
      </c>
      <c r="X6" s="9">
        <f>IF($D$3=1,ROUND(((U6*W6)/2),2),0)</f>
        <v>36</v>
      </c>
      <c r="Y6" s="9">
        <f>IF($D$3=1,ROUND(((U6*W6)/2),2),0)</f>
        <v>36</v>
      </c>
      <c r="Z6" s="9">
        <f>IF($D$3=2,ROUND(((U6*W6)),2),0)</f>
        <v>0</v>
      </c>
      <c r="AA6" s="9">
        <f>X6+Y6+Z6</f>
        <v>72</v>
      </c>
      <c r="AB6" s="9">
        <f t="shared" ref="AB6" si="3">U6+AA6</f>
        <v>672</v>
      </c>
      <c r="AC6" s="9">
        <v>120</v>
      </c>
      <c r="AD6" s="9">
        <f t="shared" ref="AD6" si="4">U6*$N$3</f>
        <v>600</v>
      </c>
      <c r="AE6" s="8">
        <v>1</v>
      </c>
      <c r="AF6" s="9">
        <f t="shared" ref="AF6" si="5">G6/AE6</f>
        <v>15</v>
      </c>
      <c r="AG6" s="36" t="s">
        <v>112</v>
      </c>
      <c r="AH6" s="9">
        <f>AG6-AF6</f>
        <v>78219</v>
      </c>
      <c r="AI6" s="10" t="s">
        <v>38</v>
      </c>
      <c r="AJ6" s="10">
        <v>4010101001</v>
      </c>
      <c r="AK6" s="66" t="s">
        <v>93</v>
      </c>
      <c r="AL6" s="59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3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AK5" sqref="AK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69"/>
      <c r="AD1" s="69"/>
      <c r="AE1" s="69"/>
      <c r="AF1" s="69"/>
      <c r="AG1" s="27"/>
    </row>
    <row r="2" spans="1:38" ht="18">
      <c r="A2" s="29" t="s">
        <v>47</v>
      </c>
      <c r="B2" s="29" t="s">
        <v>46</v>
      </c>
      <c r="C2" s="69"/>
      <c r="D2" s="69"/>
      <c r="E2" s="69"/>
      <c r="F2" s="69"/>
      <c r="G2" s="69"/>
      <c r="H2" s="69"/>
      <c r="I2" s="69"/>
      <c r="J2" s="69"/>
      <c r="K2" s="69"/>
      <c r="L2" s="69"/>
      <c r="M2" s="69"/>
      <c r="N2" s="69"/>
      <c r="O2" s="69"/>
      <c r="P2" s="69"/>
      <c r="Q2" s="69"/>
      <c r="R2" s="69"/>
      <c r="S2" s="69"/>
      <c r="T2" s="69"/>
      <c r="U2" s="69"/>
      <c r="V2" s="69"/>
      <c r="W2" s="69"/>
      <c r="X2" s="69"/>
      <c r="Y2" s="69"/>
      <c r="Z2" s="69"/>
      <c r="AA2" s="69"/>
      <c r="AB2" s="69"/>
      <c r="AC2" s="69"/>
      <c r="AD2" s="69"/>
      <c r="AE2" s="69"/>
      <c r="AF2" s="69"/>
      <c r="AG2" s="27"/>
    </row>
    <row r="3" spans="1:38" ht="19.899999999999999" customHeight="1">
      <c r="A3" s="91" t="s">
        <v>0</v>
      </c>
      <c r="B3" s="91"/>
      <c r="C3" s="68"/>
      <c r="D3" s="3">
        <v>2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118</v>
      </c>
      <c r="AL4" s="19" t="s">
        <v>120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378</v>
      </c>
      <c r="AA5" s="9">
        <f>X5+Y5+Z5</f>
        <v>378</v>
      </c>
      <c r="AB5" s="9">
        <f t="shared" ref="AB5:AB6" si="0">U5+AA5</f>
        <v>2478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113</v>
      </c>
      <c r="AH5" s="9">
        <f>AG5-AF5</f>
        <v>9612.5</v>
      </c>
      <c r="AI5" s="10" t="s">
        <v>38</v>
      </c>
      <c r="AJ5" s="10">
        <v>4010101001</v>
      </c>
      <c r="AK5" s="72" t="s">
        <v>116</v>
      </c>
      <c r="AL5" s="72" t="s">
        <v>119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108</v>
      </c>
      <c r="AA6" s="9">
        <f>X6+Y6+Z6</f>
        <v>108</v>
      </c>
      <c r="AB6" s="9">
        <f t="shared" si="0"/>
        <v>708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112</v>
      </c>
      <c r="AH6" s="9">
        <f>AG6-AF6</f>
        <v>78104</v>
      </c>
      <c r="AI6" s="10" t="s">
        <v>38</v>
      </c>
      <c r="AJ6" s="10">
        <v>4010101001</v>
      </c>
      <c r="AK6" s="66" t="s">
        <v>117</v>
      </c>
      <c r="AL6" s="66" t="s">
        <v>119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4.xml><?xml version="1.0" encoding="utf-8"?>
<worksheet xmlns="http://schemas.openxmlformats.org/spreadsheetml/2006/main" xmlns:r="http://schemas.openxmlformats.org/officeDocument/2006/relationships">
  <dimension ref="A1:AL6"/>
  <sheetViews>
    <sheetView workbookViewId="0">
      <selection activeCell="B6" sqref="B6:D6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71"/>
      <c r="AD1" s="71"/>
      <c r="AE1" s="71"/>
      <c r="AF1" s="71"/>
      <c r="AG1" s="27"/>
    </row>
    <row r="2" spans="1:38" ht="18">
      <c r="A2" s="29" t="s">
        <v>47</v>
      </c>
      <c r="B2" s="29" t="s">
        <v>46</v>
      </c>
      <c r="C2" s="71"/>
      <c r="D2" s="71"/>
      <c r="E2" s="71"/>
      <c r="F2" s="71"/>
      <c r="G2" s="71"/>
      <c r="H2" s="71"/>
      <c r="I2" s="71"/>
      <c r="J2" s="71"/>
      <c r="K2" s="71"/>
      <c r="L2" s="71"/>
      <c r="M2" s="71"/>
      <c r="N2" s="71"/>
      <c r="O2" s="71"/>
      <c r="P2" s="71"/>
      <c r="Q2" s="71"/>
      <c r="R2" s="71"/>
      <c r="S2" s="71"/>
      <c r="T2" s="71"/>
      <c r="U2" s="71"/>
      <c r="V2" s="71"/>
      <c r="W2" s="71"/>
      <c r="X2" s="71"/>
      <c r="Y2" s="71"/>
      <c r="Z2" s="71"/>
      <c r="AA2" s="71"/>
      <c r="AB2" s="71"/>
      <c r="AC2" s="71"/>
      <c r="AD2" s="71"/>
      <c r="AE2" s="71"/>
      <c r="AF2" s="71"/>
      <c r="AG2" s="27"/>
    </row>
    <row r="3" spans="1:38" ht="19.899999999999999" customHeight="1">
      <c r="A3" s="91" t="s">
        <v>0</v>
      </c>
      <c r="B3" s="91"/>
      <c r="C3" s="70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118</v>
      </c>
      <c r="AL4" s="19" t="s">
        <v>120</v>
      </c>
    </row>
    <row r="5" spans="1:38" ht="15">
      <c r="A5" s="10">
        <v>1</v>
      </c>
      <c r="B5" s="42" t="s">
        <v>49</v>
      </c>
      <c r="C5" s="10">
        <v>0</v>
      </c>
      <c r="D5" s="42" t="s">
        <v>49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:AB6" si="0">U5+AA5</f>
        <v>2100</v>
      </c>
      <c r="AC5" s="9">
        <v>120</v>
      </c>
      <c r="AD5" s="9">
        <f t="shared" ref="AD5:AD6" si="1">U5*$N$3</f>
        <v>2100</v>
      </c>
      <c r="AE5" s="8">
        <v>2</v>
      </c>
      <c r="AF5" s="9">
        <f t="shared" ref="AF5:AF6" si="2">G5/AE5</f>
        <v>7.5</v>
      </c>
      <c r="AG5" s="36" t="s">
        <v>113</v>
      </c>
      <c r="AH5" s="9">
        <f>AG5-AF5</f>
        <v>9612.5</v>
      </c>
      <c r="AI5" s="10" t="s">
        <v>38</v>
      </c>
      <c r="AJ5" s="10">
        <v>4010101001</v>
      </c>
      <c r="AK5" s="72" t="s">
        <v>116</v>
      </c>
      <c r="AL5" s="72" t="s">
        <v>119</v>
      </c>
    </row>
    <row r="6" spans="1:38" ht="15">
      <c r="A6" s="10">
        <v>2</v>
      </c>
      <c r="B6" s="42" t="s">
        <v>44</v>
      </c>
      <c r="C6" s="10">
        <v>0</v>
      </c>
      <c r="D6" s="42" t="s">
        <v>43</v>
      </c>
      <c r="E6" s="10" t="s">
        <v>32</v>
      </c>
      <c r="F6" s="10" t="s">
        <v>32</v>
      </c>
      <c r="G6" s="33">
        <v>15</v>
      </c>
      <c r="H6" s="10">
        <v>40</v>
      </c>
      <c r="I6" s="9">
        <f>G6*H6</f>
        <v>600</v>
      </c>
      <c r="J6" s="34"/>
      <c r="K6" s="34"/>
      <c r="L6" s="34"/>
      <c r="M6" s="9">
        <f>I6</f>
        <v>600</v>
      </c>
      <c r="N6" s="9">
        <f>ROUND((M6*J6)/100,2)</f>
        <v>0</v>
      </c>
      <c r="O6" s="9">
        <f>I6-N6</f>
        <v>600</v>
      </c>
      <c r="P6" s="9">
        <f>ROUND((O6*K6)/100,2)</f>
        <v>0</v>
      </c>
      <c r="Q6" s="9">
        <f>ROUND(O6-P6,2)</f>
        <v>600</v>
      </c>
      <c r="R6" s="9">
        <f>ROUND((Q6*L6)/100,2)</f>
        <v>0</v>
      </c>
      <c r="S6" s="35">
        <f>N6+P6+R6</f>
        <v>0</v>
      </c>
      <c r="T6" s="35">
        <f>S6/G6</f>
        <v>0</v>
      </c>
      <c r="U6" s="9">
        <f>(I6-S6)</f>
        <v>600</v>
      </c>
      <c r="V6" s="33">
        <v>88363222</v>
      </c>
      <c r="W6" s="22">
        <v>0.18</v>
      </c>
      <c r="X6" s="9">
        <f>IF($D$3=1,ROUND(((U6*W6)/2),2),0)</f>
        <v>0</v>
      </c>
      <c r="Y6" s="9">
        <f>IF($D$3=1,ROUND(((U6*W6)/2),2),0)</f>
        <v>0</v>
      </c>
      <c r="Z6" s="9">
        <f>IF($D$3=2,ROUND(((U6*W6)),2),0)</f>
        <v>0</v>
      </c>
      <c r="AA6" s="9">
        <f>X6+Y6+Z6</f>
        <v>0</v>
      </c>
      <c r="AB6" s="9">
        <f t="shared" si="0"/>
        <v>600</v>
      </c>
      <c r="AC6" s="9">
        <v>120</v>
      </c>
      <c r="AD6" s="9">
        <f t="shared" si="1"/>
        <v>600</v>
      </c>
      <c r="AE6" s="8">
        <v>1</v>
      </c>
      <c r="AF6" s="9">
        <f t="shared" si="2"/>
        <v>15</v>
      </c>
      <c r="AG6" s="36" t="s">
        <v>112</v>
      </c>
      <c r="AH6" s="9">
        <f>AG6-AF6</f>
        <v>78104</v>
      </c>
      <c r="AI6" s="10" t="s">
        <v>38</v>
      </c>
      <c r="AJ6" s="10">
        <v>4010101001</v>
      </c>
      <c r="AK6" s="66" t="s">
        <v>117</v>
      </c>
      <c r="AL6" s="66" t="s">
        <v>119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5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X5" sqref="X5:Z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74"/>
      <c r="AD1" s="74"/>
      <c r="AE1" s="74"/>
      <c r="AF1" s="74"/>
      <c r="AG1" s="27"/>
    </row>
    <row r="2" spans="1:38" ht="18">
      <c r="A2" s="29" t="s">
        <v>47</v>
      </c>
      <c r="B2" s="29" t="s">
        <v>46</v>
      </c>
      <c r="C2" s="74"/>
      <c r="D2" s="74"/>
      <c r="E2" s="74"/>
      <c r="F2" s="74"/>
      <c r="G2" s="74"/>
      <c r="H2" s="74"/>
      <c r="I2" s="74"/>
      <c r="J2" s="74"/>
      <c r="K2" s="74"/>
      <c r="L2" s="74"/>
      <c r="M2" s="74"/>
      <c r="N2" s="74"/>
      <c r="O2" s="74"/>
      <c r="P2" s="74"/>
      <c r="Q2" s="74"/>
      <c r="R2" s="74"/>
      <c r="S2" s="74"/>
      <c r="T2" s="74"/>
      <c r="U2" s="74"/>
      <c r="V2" s="74"/>
      <c r="W2" s="74"/>
      <c r="X2" s="74"/>
      <c r="Y2" s="74"/>
      <c r="Z2" s="74"/>
      <c r="AA2" s="74"/>
      <c r="AB2" s="74"/>
      <c r="AC2" s="74"/>
      <c r="AD2" s="74"/>
      <c r="AE2" s="74"/>
      <c r="AF2" s="74"/>
      <c r="AG2" s="27"/>
    </row>
    <row r="3" spans="1:38" ht="19.899999999999999" customHeight="1">
      <c r="A3" s="91" t="s">
        <v>0</v>
      </c>
      <c r="B3" s="91"/>
      <c r="C3" s="73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121</v>
      </c>
      <c r="AL4" s="19" t="s">
        <v>120</v>
      </c>
    </row>
    <row r="5" spans="1:38" ht="15">
      <c r="A5" s="10">
        <v>1</v>
      </c>
      <c r="B5" s="42" t="s">
        <v>87</v>
      </c>
      <c r="C5" s="10">
        <v>0</v>
      </c>
      <c r="D5" s="42" t="s">
        <v>87</v>
      </c>
      <c r="E5" s="10" t="s">
        <v>32</v>
      </c>
      <c r="F5" s="10" t="s">
        <v>32</v>
      </c>
      <c r="G5" s="33">
        <v>15</v>
      </c>
      <c r="H5" s="10">
        <v>140</v>
      </c>
      <c r="I5" s="9">
        <f>G5*H5</f>
        <v>2100</v>
      </c>
      <c r="J5" s="34"/>
      <c r="K5" s="34"/>
      <c r="L5" s="34"/>
      <c r="M5" s="9">
        <f>I5</f>
        <v>2100</v>
      </c>
      <c r="N5" s="9">
        <f>ROUND((M5*J5)/100,2)</f>
        <v>0</v>
      </c>
      <c r="O5" s="9">
        <f>I5-N5</f>
        <v>2100</v>
      </c>
      <c r="P5" s="9">
        <f>ROUND((O5*K5)/100,2)</f>
        <v>0</v>
      </c>
      <c r="Q5" s="9">
        <f>ROUND(O5-P5,2)</f>
        <v>2100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2100</v>
      </c>
      <c r="V5" s="33">
        <v>88363222</v>
      </c>
      <c r="W5" s="22">
        <v>0.18</v>
      </c>
      <c r="X5" s="34">
        <f>IF($D$3=1,ROUND(((U5*W5)/2),2),0)</f>
        <v>189</v>
      </c>
      <c r="Y5" s="34">
        <f>IF($D$3=1,ROUND(((U5*W5)/2),2),0)</f>
        <v>189</v>
      </c>
      <c r="Z5" s="34">
        <f>IF($D$3=2,ROUND(((U5*W5)),2),0)</f>
        <v>0</v>
      </c>
      <c r="AA5" s="9">
        <f>X5+Y5+Z5</f>
        <v>378</v>
      </c>
      <c r="AB5" s="9">
        <f t="shared" ref="AB5" si="0">U5+AA5</f>
        <v>2478</v>
      </c>
      <c r="AC5" s="9">
        <v>120</v>
      </c>
      <c r="AD5" s="9">
        <f t="shared" ref="AD5" si="1">U5*$N$3</f>
        <v>2100</v>
      </c>
      <c r="AE5" s="8">
        <v>2</v>
      </c>
      <c r="AF5" s="9">
        <f t="shared" ref="AF5" si="2">G5/AE5</f>
        <v>7.5</v>
      </c>
      <c r="AH5" s="9">
        <f>AG5-AF5</f>
        <v>9612.5</v>
      </c>
      <c r="AI5" s="10" t="s">
        <v>38</v>
      </c>
      <c r="AJ5" s="10">
        <v>4010101001</v>
      </c>
      <c r="AK5" s="72" t="s">
        <v>122</v>
      </c>
      <c r="AL5" s="72" t="s">
        <v>119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6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Y5" sqref="Y5:Z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style="29" width="9.14062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76"/>
      <c r="AD1" s="76"/>
      <c r="AE1" s="76"/>
      <c r="AF1" s="76"/>
      <c r="AG1" s="27"/>
    </row>
    <row r="2" spans="1:38" ht="18">
      <c r="A2" s="29" t="s">
        <v>47</v>
      </c>
      <c r="B2" s="29" t="s">
        <v>46</v>
      </c>
      <c r="C2" s="76"/>
      <c r="D2" s="76"/>
      <c r="E2" s="76"/>
      <c r="F2" s="76"/>
      <c r="G2" s="76"/>
      <c r="H2" s="76"/>
      <c r="I2" s="76"/>
      <c r="J2" s="76"/>
      <c r="K2" s="76"/>
      <c r="L2" s="76"/>
      <c r="M2" s="76"/>
      <c r="N2" s="76"/>
      <c r="O2" s="76"/>
      <c r="P2" s="76"/>
      <c r="Q2" s="76"/>
      <c r="R2" s="76"/>
      <c r="S2" s="76"/>
      <c r="T2" s="76"/>
      <c r="U2" s="76"/>
      <c r="V2" s="76"/>
      <c r="W2" s="76"/>
      <c r="X2" s="76"/>
      <c r="Y2" s="76"/>
      <c r="Z2" s="76"/>
      <c r="AA2" s="76"/>
      <c r="AB2" s="76"/>
      <c r="AC2" s="76"/>
      <c r="AD2" s="76"/>
      <c r="AE2" s="76"/>
      <c r="AF2" s="76"/>
      <c r="AG2" s="27"/>
    </row>
    <row r="3" spans="1:38" ht="19.899999999999999" customHeight="1">
      <c r="A3" s="91" t="s">
        <v>0</v>
      </c>
      <c r="B3" s="91"/>
      <c r="C3" s="75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121</v>
      </c>
      <c r="AL4" s="19" t="s">
        <v>120</v>
      </c>
    </row>
    <row r="5" spans="1:38" ht="15">
      <c r="A5" s="10">
        <v>1</v>
      </c>
      <c r="B5" s="42" t="s">
        <v>87</v>
      </c>
      <c r="C5" s="10">
        <v>0</v>
      </c>
      <c r="D5" s="42" t="s">
        <v>87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1</v>
      </c>
      <c r="AF5" s="9">
        <f t="shared" ref="AF5" si="2">G5/AE5</f>
        <v>10</v>
      </c>
      <c r="AH5" s="9">
        <f>AG5-AF5</f>
        <v>-10</v>
      </c>
      <c r="AI5" s="10" t="s">
        <v>38</v>
      </c>
      <c r="AJ5" s="10">
        <v>4010101001</v>
      </c>
      <c r="AK5" s="72" t="s">
        <v>122</v>
      </c>
      <c r="AL5" s="72" t="s">
        <v>119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7.xml><?xml version="1.0" encoding="utf-8"?>
<worksheet xmlns="http://schemas.openxmlformats.org/spreadsheetml/2006/main" xmlns:r="http://schemas.openxmlformats.org/officeDocument/2006/relationships">
  <dimension ref="A1:AL5"/>
  <sheetViews>
    <sheetView workbookViewId="0">
      <selection activeCell="X5" sqref="X5:Z5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1.7109375"/>
    <col min="36" max="36" bestFit="true" customWidth="true" style="29" width="13.140625"/>
    <col min="37" max="37" customWidth="true" style="29" width="54.5703125"/>
    <col min="38" max="38" customWidth="true" style="29" width="34.42578125"/>
    <col min="39" max="16384" style="29" width="9.140625"/>
  </cols>
  <sheetData>
    <row r="1" spans="1:38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78"/>
      <c r="AD1" s="78"/>
      <c r="AE1" s="78"/>
      <c r="AF1" s="78"/>
      <c r="AG1" s="27"/>
    </row>
    <row r="2" spans="1:38" ht="18">
      <c r="A2" s="29" t="s">
        <v>47</v>
      </c>
      <c r="B2" s="29" t="s">
        <v>46</v>
      </c>
      <c r="C2" s="78"/>
      <c r="D2" s="78"/>
      <c r="E2" s="78"/>
      <c r="F2" s="78"/>
      <c r="G2" s="78"/>
      <c r="H2" s="78"/>
      <c r="I2" s="78"/>
      <c r="J2" s="78"/>
      <c r="K2" s="78"/>
      <c r="L2" s="78"/>
      <c r="M2" s="78"/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Z2" s="78"/>
      <c r="AA2" s="78"/>
      <c r="AB2" s="78"/>
      <c r="AC2" s="78"/>
      <c r="AD2" s="78"/>
      <c r="AE2" s="78"/>
      <c r="AF2" s="78"/>
      <c r="AG2" s="27"/>
    </row>
    <row r="3" spans="1:38" ht="19.899999999999999" customHeight="1">
      <c r="A3" s="91" t="s">
        <v>0</v>
      </c>
      <c r="B3" s="91"/>
      <c r="C3" s="77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8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19" t="s">
        <v>121</v>
      </c>
      <c r="AL4" s="19" t="s">
        <v>120</v>
      </c>
    </row>
    <row r="5" spans="1:38" ht="15">
      <c r="A5" s="10">
        <v>1</v>
      </c>
      <c r="B5" s="42" t="s">
        <v>87</v>
      </c>
      <c r="C5" s="10">
        <v>0</v>
      </c>
      <c r="D5" s="42" t="s">
        <v>87</v>
      </c>
      <c r="E5" s="10" t="s">
        <v>32</v>
      </c>
      <c r="F5" s="10" t="s">
        <v>32</v>
      </c>
      <c r="G5" s="33">
        <v>10</v>
      </c>
      <c r="H5" s="10">
        <v>140</v>
      </c>
      <c r="I5" s="9">
        <f>G5*H5</f>
        <v>1400</v>
      </c>
      <c r="J5" s="34"/>
      <c r="K5" s="34"/>
      <c r="L5" s="34"/>
      <c r="M5" s="9">
        <f>I5</f>
        <v>1400</v>
      </c>
      <c r="N5" s="9">
        <f>ROUND((M5*J5)/100,2)</f>
        <v>0</v>
      </c>
      <c r="O5" s="9">
        <f>I5-N5</f>
        <v>1400</v>
      </c>
      <c r="P5" s="9">
        <f>ROUND((O5*K5)/100,2)</f>
        <v>0</v>
      </c>
      <c r="Q5" s="9">
        <f>ROUND(O5-P5,2)</f>
        <v>1400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1400</v>
      </c>
      <c r="V5" s="33">
        <v>88363222</v>
      </c>
      <c r="W5" s="22">
        <v>0.18</v>
      </c>
      <c r="X5" s="34">
        <f>IF($D$3=1,ROUND(((U5*W5)/2),2),0)</f>
        <v>0</v>
      </c>
      <c r="Y5" s="34">
        <f>IF($D$3=1,ROUND(((U5*W5)/2),2),0)</f>
        <v>0</v>
      </c>
      <c r="Z5" s="34">
        <f>IF($D$3=2,ROUND(((U5*W5)),2),0)</f>
        <v>0</v>
      </c>
      <c r="AA5" s="9">
        <f>X5+Y5+Z5</f>
        <v>0</v>
      </c>
      <c r="AB5" s="9">
        <f t="shared" ref="AB5" si="0">U5+AA5</f>
        <v>1400</v>
      </c>
      <c r="AC5" s="9">
        <v>120</v>
      </c>
      <c r="AD5" s="9">
        <f t="shared" ref="AD5" si="1">U5*$N$3</f>
        <v>1400</v>
      </c>
      <c r="AE5" s="8">
        <v>2</v>
      </c>
      <c r="AF5" s="9">
        <f t="shared" ref="AF5" si="2">G5/AE5</f>
        <v>5</v>
      </c>
      <c r="AH5" s="9">
        <f>AG5-AF5</f>
        <v>-5</v>
      </c>
      <c r="AI5" s="10" t="s">
        <v>38</v>
      </c>
      <c r="AJ5" s="10">
        <v>4010101001</v>
      </c>
      <c r="AK5" s="72" t="s">
        <v>122</v>
      </c>
      <c r="AL5" s="72" t="s">
        <v>119</v>
      </c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8.xml><?xml version="1.0" encoding="utf-8"?>
<worksheet xmlns="http://schemas.openxmlformats.org/spreadsheetml/2006/main" xmlns:r="http://schemas.openxmlformats.org/officeDocument/2006/relationships">
  <dimension ref="A1:AM6"/>
  <sheetViews>
    <sheetView topLeftCell="O1" workbookViewId="0">
      <selection activeCell="AC3" sqref="AC3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84"/>
      <c r="AD1" s="84"/>
      <c r="AE1" s="84"/>
      <c r="AF1" s="84"/>
      <c r="AG1" s="27"/>
    </row>
    <row r="2" spans="1:39" ht="18">
      <c r="A2" s="29" t="s">
        <v>47</v>
      </c>
      <c r="B2" s="29" t="s">
        <v>46</v>
      </c>
      <c r="C2" s="84"/>
      <c r="D2" s="84"/>
      <c r="E2" s="84"/>
      <c r="F2" s="84"/>
      <c r="G2" s="84"/>
      <c r="H2" s="84"/>
      <c r="I2" s="84"/>
      <c r="J2" s="84"/>
      <c r="K2" s="84"/>
      <c r="L2" s="84"/>
      <c r="M2" s="84"/>
      <c r="N2" s="84"/>
      <c r="O2" s="84"/>
      <c r="P2" s="84"/>
      <c r="Q2" s="84"/>
      <c r="R2" s="84"/>
      <c r="S2" s="84"/>
      <c r="T2" s="84"/>
      <c r="U2" s="84"/>
      <c r="V2" s="84"/>
      <c r="W2" s="84"/>
      <c r="X2" s="84"/>
      <c r="Y2" s="84"/>
      <c r="Z2" s="84"/>
      <c r="AA2" s="84"/>
      <c r="AB2" s="84"/>
      <c r="AC2" s="84"/>
      <c r="AD2" s="84"/>
      <c r="AE2" s="84"/>
      <c r="AF2" s="84"/>
      <c r="AG2" s="27"/>
    </row>
    <row r="3" spans="1:39" ht="19.899999999999999" customHeight="1">
      <c r="A3" s="91" t="s">
        <v>0</v>
      </c>
      <c r="B3" s="91"/>
      <c r="C3" s="83"/>
      <c r="D3" s="3">
        <v>3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0</v>
      </c>
      <c r="Y5" s="9">
        <f>IF($D$3=1,ROUND(((U5*W5)/2),2),0)</f>
        <v>0</v>
      </c>
      <c r="Z5" s="9">
        <f>IF($D$3=2,ROUND(((U5*W5)),2),0)</f>
        <v>0</v>
      </c>
      <c r="AA5" s="9">
        <f>X5+Y5+Z5</f>
        <v>0</v>
      </c>
      <c r="AB5" s="9">
        <f t="shared" ref="AB5" si="0">U5+AA5</f>
        <v>750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133</v>
      </c>
      <c r="AH5" s="34">
        <f>AG5-AF5</f>
        <v>49586</v>
      </c>
      <c r="AI5" s="10" t="s">
        <v>123</v>
      </c>
      <c r="AJ5" s="10">
        <v>4010101001</v>
      </c>
      <c r="AK5" s="34">
        <f>AH5</f>
        <v>49586</v>
      </c>
      <c r="AL5" s="34">
        <f>AK5+G5</f>
        <v>49601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29.xml><?xml version="1.0" encoding="utf-8"?>
<worksheet xmlns="http://schemas.openxmlformats.org/spreadsheetml/2006/main" xmlns:r="http://schemas.openxmlformats.org/officeDocument/2006/relationships">
  <dimension ref="A1:AM6"/>
  <sheetViews>
    <sheetView workbookViewId="0">
      <selection activeCell="D11" sqref="D11"/>
    </sheetView>
  </sheetViews>
  <sheetFormatPr defaultColWidth="9.140625" defaultRowHeight="14.25"/>
  <cols>
    <col min="1" max="1" bestFit="true" customWidth="true" style="29" width="5.7109375"/>
    <col min="2" max="2" bestFit="true" customWidth="true" style="29" width="30.42578125"/>
    <col min="3" max="3" bestFit="true" customWidth="true" style="29" width="4.5703125"/>
    <col min="4" max="4" customWidth="true" style="29" width="29.85546875"/>
    <col min="5" max="5" bestFit="true" customWidth="true" style="29" width="10.0"/>
    <col min="6" max="6" bestFit="true" customWidth="true" style="29" width="12.5703125"/>
    <col min="7" max="7" bestFit="true" customWidth="true" style="29" width="14.7109375"/>
    <col min="8" max="8" bestFit="true" customWidth="true" style="29" width="10.140625"/>
    <col min="9" max="9" customWidth="true" style="29" width="13.5703125"/>
    <col min="10" max="11" bestFit="true" customWidth="true" style="29" width="8.140625"/>
    <col min="12" max="12" bestFit="true" customWidth="true" style="29" width="8.0"/>
    <col min="13" max="13" bestFit="true" customWidth="true" style="29" width="13.85546875"/>
    <col min="14" max="14" bestFit="true" customWidth="true" style="29" width="9.7109375"/>
    <col min="15" max="15" customWidth="true" style="29" width="12.5703125"/>
    <col min="16" max="16" customWidth="true" style="29" width="14.7109375"/>
    <col min="17" max="17" bestFit="true" customWidth="true" style="29" width="9.7109375"/>
    <col min="18" max="18" customWidth="true" style="29" width="9.0"/>
    <col min="19" max="19" bestFit="true" customWidth="true" style="29" width="10.85546875"/>
    <col min="20" max="20" bestFit="true" customWidth="true" style="29" width="17.85546875"/>
    <col min="21" max="21" bestFit="true" customWidth="true" style="29" width="10.5703125"/>
    <col min="22" max="22" customWidth="true" style="29" width="16.140625"/>
    <col min="23" max="23" bestFit="true" customWidth="true" style="29" width="9.28515625"/>
    <col min="24" max="25" bestFit="true" customWidth="true" style="29" width="10.7109375"/>
    <col min="26" max="26" customWidth="true" style="29" width="11.28515625"/>
    <col min="27" max="27" bestFit="true" customWidth="true" style="29" width="10.7109375"/>
    <col min="28" max="28" customWidth="true" style="29" width="11.7109375"/>
    <col min="29" max="29" bestFit="true" customWidth="true" style="29" width="16.0"/>
    <col min="30" max="30" bestFit="true" customWidth="true" style="29" width="12.0"/>
    <col min="31" max="31" customWidth="true" style="29" width="12.28515625"/>
    <col min="32" max="32" bestFit="true" customWidth="true" style="29" width="14.7109375"/>
    <col min="33" max="33" customWidth="true" style="36" width="14.140625"/>
    <col min="34" max="34" customWidth="true" style="28" width="10.28515625"/>
    <col min="35" max="35" customWidth="true" style="29" width="12.42578125"/>
    <col min="36" max="36" bestFit="true" customWidth="true" style="29" width="13.140625"/>
    <col min="37" max="37" customWidth="true" style="29" width="13.140625"/>
    <col min="38" max="38" customWidth="true" style="28" width="12.5703125"/>
    <col min="39" max="39" customWidth="true" style="29" width="15.42578125"/>
    <col min="40" max="16384" style="29" width="9.140625"/>
  </cols>
  <sheetData>
    <row r="1" spans="1:39" ht="27.75" customHeight="1">
      <c r="A1" s="92" t="s">
        <v>39</v>
      </c>
      <c r="B1" s="92"/>
      <c r="C1" s="92"/>
      <c r="D1" s="92"/>
      <c r="E1" s="92"/>
      <c r="F1" s="92"/>
      <c r="G1" s="92"/>
      <c r="H1" s="92"/>
      <c r="I1" s="92"/>
      <c r="J1" s="92"/>
      <c r="K1" s="92"/>
      <c r="L1" s="92"/>
      <c r="M1" s="92"/>
      <c r="N1" s="92"/>
      <c r="O1" s="92"/>
      <c r="P1" s="92"/>
      <c r="Q1" s="92"/>
      <c r="R1" s="92"/>
      <c r="S1" s="92"/>
      <c r="T1" s="92"/>
      <c r="U1" s="92"/>
      <c r="V1" s="92"/>
      <c r="W1" s="92"/>
      <c r="X1" s="92"/>
      <c r="Y1" s="92"/>
      <c r="Z1" s="92"/>
      <c r="AA1" s="92"/>
      <c r="AB1" s="92"/>
      <c r="AC1" s="82"/>
      <c r="AD1" s="82"/>
      <c r="AE1" s="82"/>
      <c r="AF1" s="82"/>
      <c r="AG1" s="27"/>
    </row>
    <row r="2" spans="1:39" ht="18">
      <c r="A2" s="29" t="s">
        <v>47</v>
      </c>
      <c r="B2" s="29" t="s">
        <v>46</v>
      </c>
      <c r="C2" s="82"/>
      <c r="D2" s="82"/>
      <c r="E2" s="82"/>
      <c r="F2" s="82"/>
      <c r="G2" s="82"/>
      <c r="H2" s="82"/>
      <c r="I2" s="82"/>
      <c r="J2" s="82"/>
      <c r="K2" s="82"/>
      <c r="L2" s="82"/>
      <c r="M2" s="82"/>
      <c r="N2" s="82"/>
      <c r="O2" s="82"/>
      <c r="P2" s="82"/>
      <c r="Q2" s="82"/>
      <c r="R2" s="82"/>
      <c r="S2" s="82"/>
      <c r="T2" s="82"/>
      <c r="U2" s="82"/>
      <c r="V2" s="82"/>
      <c r="W2" s="82"/>
      <c r="X2" s="82"/>
      <c r="Y2" s="82"/>
      <c r="Z2" s="82"/>
      <c r="AA2" s="82"/>
      <c r="AB2" s="82"/>
      <c r="AC2" s="82"/>
      <c r="AD2" s="82"/>
      <c r="AE2" s="82"/>
      <c r="AF2" s="82"/>
      <c r="AG2" s="27"/>
    </row>
    <row r="3" spans="1:39" ht="19.899999999999999" customHeight="1">
      <c r="A3" s="91" t="s">
        <v>0</v>
      </c>
      <c r="B3" s="91"/>
      <c r="C3" s="81"/>
      <c r="D3" s="3">
        <v>1</v>
      </c>
      <c r="E3" s="4" t="s">
        <v>1</v>
      </c>
      <c r="F3" s="5"/>
      <c r="G3" s="5"/>
      <c r="H3" s="5"/>
      <c r="I3" s="6"/>
      <c r="J3" s="7" t="s">
        <v>2</v>
      </c>
      <c r="K3" s="7" t="s">
        <v>3</v>
      </c>
      <c r="L3" s="7"/>
      <c r="M3" s="7" t="s">
        <v>4</v>
      </c>
      <c r="N3" s="7">
        <v>1</v>
      </c>
      <c r="O3" s="7"/>
      <c r="P3" s="7"/>
      <c r="Q3" s="7"/>
      <c r="R3" s="7"/>
      <c r="S3" s="6"/>
      <c r="T3" s="6"/>
      <c r="U3" s="6"/>
      <c r="V3" s="6"/>
      <c r="W3" s="6"/>
      <c r="X3" s="6"/>
      <c r="Y3" s="6"/>
      <c r="Z3" s="6"/>
      <c r="AA3" s="6"/>
      <c r="AB3" s="6"/>
      <c r="AC3" s="6"/>
      <c r="AD3" s="6"/>
      <c r="AE3" s="6"/>
      <c r="AF3" s="6"/>
      <c r="AG3" s="30"/>
    </row>
    <row r="4" spans="1:39" s="31" customFormat="1" ht="42.75">
      <c r="A4" s="11" t="s">
        <v>5</v>
      </c>
      <c r="B4" s="11" t="s">
        <v>6</v>
      </c>
      <c r="C4" s="11" t="s">
        <v>7</v>
      </c>
      <c r="D4" s="12" t="s">
        <v>8</v>
      </c>
      <c r="E4" s="11" t="s">
        <v>9</v>
      </c>
      <c r="F4" s="11" t="s">
        <v>10</v>
      </c>
      <c r="G4" s="13" t="s">
        <v>11</v>
      </c>
      <c r="H4" s="11" t="s">
        <v>12</v>
      </c>
      <c r="I4" s="11" t="s">
        <v>13</v>
      </c>
      <c r="J4" s="14" t="s">
        <v>14</v>
      </c>
      <c r="K4" s="14" t="s">
        <v>15</v>
      </c>
      <c r="L4" s="14" t="s">
        <v>16</v>
      </c>
      <c r="M4" s="15" t="s">
        <v>17</v>
      </c>
      <c r="N4" s="15" t="s">
        <v>18</v>
      </c>
      <c r="O4" s="15" t="s">
        <v>19</v>
      </c>
      <c r="P4" s="15" t="s">
        <v>20</v>
      </c>
      <c r="Q4" s="16" t="s">
        <v>21</v>
      </c>
      <c r="R4" s="15" t="s">
        <v>22</v>
      </c>
      <c r="S4" s="14" t="s">
        <v>23</v>
      </c>
      <c r="T4" s="14" t="s">
        <v>40</v>
      </c>
      <c r="U4" s="11" t="s">
        <v>24</v>
      </c>
      <c r="V4" s="11" t="s">
        <v>25</v>
      </c>
      <c r="W4" s="17" t="s">
        <v>26</v>
      </c>
      <c r="X4" s="17" t="s">
        <v>27</v>
      </c>
      <c r="Y4" s="17" t="s">
        <v>28</v>
      </c>
      <c r="Z4" s="17" t="s">
        <v>29</v>
      </c>
      <c r="AA4" s="17" t="s">
        <v>30</v>
      </c>
      <c r="AB4" s="18" t="s">
        <v>31</v>
      </c>
      <c r="AC4" s="18" t="s">
        <v>41</v>
      </c>
      <c r="AD4" s="21" t="s">
        <v>42</v>
      </c>
      <c r="AE4" s="18" t="s">
        <v>33</v>
      </c>
      <c r="AF4" s="18" t="s">
        <v>34</v>
      </c>
      <c r="AG4" s="19" t="s">
        <v>35</v>
      </c>
      <c r="AH4" s="20" t="s">
        <v>36</v>
      </c>
      <c r="AI4" s="21" t="s">
        <v>37</v>
      </c>
      <c r="AJ4" s="21" t="s">
        <v>45</v>
      </c>
      <c r="AK4" s="21" t="s">
        <v>126</v>
      </c>
      <c r="AL4" s="20" t="s">
        <v>124</v>
      </c>
      <c r="AM4" s="58"/>
    </row>
    <row r="5" spans="1:39" ht="15">
      <c r="A5" s="10">
        <v>1</v>
      </c>
      <c r="B5" s="42" t="s">
        <v>44</v>
      </c>
      <c r="C5" s="10">
        <v>0</v>
      </c>
      <c r="D5" s="42" t="s">
        <v>43</v>
      </c>
      <c r="E5" s="10" t="s">
        <v>32</v>
      </c>
      <c r="F5" s="10" t="s">
        <v>32</v>
      </c>
      <c r="G5" s="33">
        <v>15</v>
      </c>
      <c r="H5" s="10">
        <v>50</v>
      </c>
      <c r="I5" s="9">
        <f>G5*H5</f>
        <v>750</v>
      </c>
      <c r="J5" s="34"/>
      <c r="K5" s="34"/>
      <c r="L5" s="34"/>
      <c r="M5" s="9">
        <f>I5</f>
        <v>750</v>
      </c>
      <c r="N5" s="9">
        <f>ROUND((M5*J5)/100,2)</f>
        <v>0</v>
      </c>
      <c r="O5" s="9">
        <f>I5-N5</f>
        <v>750</v>
      </c>
      <c r="P5" s="9">
        <f>ROUND((O5*K5)/100,2)</f>
        <v>0</v>
      </c>
      <c r="Q5" s="9">
        <f>ROUND(O5-P5,2)</f>
        <v>750</v>
      </c>
      <c r="R5" s="9">
        <f>ROUND((Q5*L5)/100,2)</f>
        <v>0</v>
      </c>
      <c r="S5" s="35">
        <f>N5+P5+R5</f>
        <v>0</v>
      </c>
      <c r="T5" s="35">
        <f>S5/G5</f>
        <v>0</v>
      </c>
      <c r="U5" s="9">
        <f>(I5-S5)</f>
        <v>750</v>
      </c>
      <c r="V5" s="33">
        <v>88363222</v>
      </c>
      <c r="W5" s="22">
        <v>0.12</v>
      </c>
      <c r="X5" s="9">
        <f>IF($D$3=1,ROUND(((U5*W5)/2),2),0)</f>
        <v>45</v>
      </c>
      <c r="Y5" s="9">
        <f>IF($D$3=1,ROUND(((U5*W5)/2),2),0)</f>
        <v>45</v>
      </c>
      <c r="Z5" s="9">
        <f>IF($D$3=2,ROUND(((U5*W5)),2),0)</f>
        <v>0</v>
      </c>
      <c r="AA5" s="9">
        <f>X5+Y5+Z5</f>
        <v>90</v>
      </c>
      <c r="AB5" s="9">
        <f t="shared" ref="AB5" si="0">U5+AA5</f>
        <v>840</v>
      </c>
      <c r="AC5" s="9">
        <v>120</v>
      </c>
      <c r="AD5" s="9">
        <f t="shared" ref="AD5" si="1">U5*$N$3</f>
        <v>750</v>
      </c>
      <c r="AE5" s="8">
        <v>1</v>
      </c>
      <c r="AF5" s="9">
        <f t="shared" ref="AF5" si="2">G5/AE5</f>
        <v>15</v>
      </c>
      <c r="AG5" s="36" t="s">
        <v>132</v>
      </c>
      <c r="AH5" s="34">
        <f>AG5-AF5</f>
        <v>65983</v>
      </c>
      <c r="AI5" s="10" t="s">
        <v>123</v>
      </c>
      <c r="AJ5" s="10">
        <v>4010101001</v>
      </c>
      <c r="AK5" s="34">
        <f>AH5</f>
        <v>65983</v>
      </c>
      <c r="AL5" s="34">
        <f>AK5+G5</f>
        <v>65998</v>
      </c>
      <c r="AM5" s="59"/>
    </row>
    <row r="6" spans="1:39" ht="14.25" customHeight="1">
      <c r="A6" s="23"/>
      <c r="B6" s="23"/>
      <c r="C6" s="23"/>
      <c r="D6" s="23"/>
      <c r="E6" s="23"/>
      <c r="F6" s="23"/>
      <c r="G6" s="24"/>
      <c r="H6" s="25"/>
      <c r="I6" s="25"/>
      <c r="J6" s="26"/>
      <c r="K6" s="26"/>
      <c r="L6" s="26"/>
      <c r="M6" s="25"/>
      <c r="N6" s="25"/>
      <c r="O6" s="25"/>
      <c r="P6" s="25"/>
      <c r="Q6" s="25"/>
      <c r="R6" s="25"/>
      <c r="S6" s="25"/>
      <c r="T6" s="25"/>
      <c r="U6" s="25"/>
      <c r="V6" s="25"/>
      <c r="W6" s="26"/>
      <c r="X6" s="25"/>
      <c r="Y6" s="25"/>
      <c r="Z6" s="25"/>
      <c r="AA6" s="25"/>
      <c r="AB6" s="25"/>
      <c r="AC6" s="25"/>
      <c r="AD6" s="25"/>
      <c r="AE6" s="24"/>
      <c r="AF6" s="25"/>
      <c r="AG6" s="25"/>
    </row>
  </sheetData>
  <mergeCells count="2">
    <mergeCell ref="A1:AB1"/>
    <mergeCell ref="A3:B3"/>
  </mergeCells>
  <pageMargins left="0.7" right="0.7" top="0.75" bottom="0.75" header="0.3" footer="0.3"/>
  <pageSetup orientation="portrait" r:id="rId1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>
      <selection activeCell="F24" sqref="F24"/>
    </sheetView>
  </sheetViews>
  <sheetFormatPr defaultColWidth="9" defaultRowHeight="1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ColWidth="9"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31</vt:i4>
      </vt:variant>
    </vt:vector>
  </HeadingPairs>
  <TitlesOfParts>
    <vt:vector size="31" baseType="lpstr">
      <vt:lpstr>Domestic S&amp;D</vt:lpstr>
      <vt:lpstr>Export S&amp;D</vt:lpstr>
      <vt:lpstr>DomesticRateCont S&amp;D</vt:lpstr>
      <vt:lpstr>ExportRateCont S&amp;D</vt:lpstr>
      <vt:lpstr>DomesticPriceList S&amp;D</vt:lpstr>
      <vt:lpstr>ExportPriceList S&amp;D</vt:lpstr>
      <vt:lpstr>DomesticStandard S&amp;D</vt:lpstr>
      <vt:lpstr>ExportStandard S&amp;D</vt:lpstr>
      <vt:lpstr>DomesticCatalog S&amp;D</vt:lpstr>
      <vt:lpstr>ExportCatalog S&amp;D</vt:lpstr>
      <vt:lpstr>ExportCRNote</vt:lpstr>
      <vt:lpstr>Charges</vt:lpstr>
      <vt:lpstr>ShipSet</vt:lpstr>
      <vt:lpstr>LocalCustomer</vt:lpstr>
      <vt:lpstr>InterStateCustomer</vt:lpstr>
      <vt:lpstr>FreeSampleType</vt:lpstr>
      <vt:lpstr>FreeReplacement</vt:lpstr>
      <vt:lpstr>ScrapType</vt:lpstr>
      <vt:lpstr>ServiceType</vt:lpstr>
      <vt:lpstr>CESScustomer</vt:lpstr>
      <vt:lpstr>SEZCustomer</vt:lpstr>
      <vt:lpstr>PromotionalType</vt:lpstr>
      <vt:lpstr>PIDirectType</vt:lpstr>
      <vt:lpstr>PIDirectTypeExport</vt:lpstr>
      <vt:lpstr>CRNoteDomestic</vt:lpstr>
      <vt:lpstr>CRNoteExport</vt:lpstr>
      <vt:lpstr>CRNoteExportService</vt:lpstr>
      <vt:lpstr>CRNoteGateEntryExport</vt:lpstr>
      <vt:lpstr>CRNoteGateEntry</vt:lpstr>
      <vt:lpstr>Sheet2</vt:lpstr>
      <vt:lpstr>Sheet3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2024-08-28T12:59:00Z</dcterms:created>
  <dc:creator>Premkumar.K</dc:creator>
  <cp:lastModifiedBy>Vimal Raj.P</cp:lastModifiedBy>
  <dcterms:modified xsi:type="dcterms:W3CDTF">2025-04-29T08:51:41Z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DF1FCE896026400A82FB33CE9FFFC117_12</vt:lpwstr>
  </property>
  <property fmtid="{D5CDD505-2E9C-101B-9397-08002B2CF9AE}" pid="3" name="KSOProductBuildVer">
    <vt:lpwstr>1033-12.2.0.17562</vt:lpwstr>
  </property>
</Properties>
</file>