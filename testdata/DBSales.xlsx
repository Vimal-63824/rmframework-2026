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28" activeTab="34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InterStateCustomer" sheetId="14" r:id="rId16"/>
    <sheet name="FreeSampleType" sheetId="15" r:id="rId17"/>
    <sheet name="FreeReplacement" sheetId="16" r:id="rId18"/>
    <sheet name="ScrapType" sheetId="17" r:id="rId19"/>
    <sheet name="ServiceType" sheetId="18" r:id="rId20"/>
    <sheet name="CESScustomer" sheetId="20" r:id="rId21"/>
    <sheet name="SEZCustomer" sheetId="19" r:id="rId22"/>
    <sheet name="PromotionalType" sheetId="21" r:id="rId23"/>
    <sheet name="PIDirectType" sheetId="22" r:id="rId24"/>
    <sheet name="PIDirectTypeExport" sheetId="23" r:id="rId25"/>
    <sheet name="CRNoteDomestic" sheetId="24" r:id="rId26"/>
    <sheet name="CRNoteExport" sheetId="25" r:id="rId27"/>
    <sheet name="CRNoteExportService" sheetId="28" r:id="rId28"/>
    <sheet name="CRNoteGateEntryExport" sheetId="31" r:id="rId29"/>
    <sheet name="CRNoteGateEntry" sheetId="30" r:id="rId30"/>
    <sheet name="OP_S+I+P" sheetId="35" r:id="rId31"/>
    <sheet name="OP_I+P" sheetId="36" r:id="rId32"/>
    <sheet name="OP_S+P" sheetId="37" r:id="rId33"/>
    <sheet name="OP_P" sheetId="38" r:id="rId34"/>
    <sheet name="DirectSCO" sheetId="39" r:id="rId35"/>
    <sheet name="Sheet3" sheetId="3" r:id="rId36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1"/>
  <c r="AQ5" i="13"/>
  <c r="AP5"/>
  <c r="AF5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O8" i="34" l="1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P9" i="34" l="1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T9" i="34" l="1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T12" i="34" l="1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<sst xmlns="http://schemas.openxmlformats.org/spreadsheetml/2006/main" count="1901" uniqueCount="249">
  <si>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</si>
  <si>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</si>
  <si>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</si>
  <si>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</si>
  <si>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</si>
  <si>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</si>
  <si>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</si>
  <si>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</si>
  <si>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</si>
  <si>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</si>
  <si>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</si>
  <si>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</si>
  <si>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</si>
  <si>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</si>
  <si>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</si>
  <si>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</si>
  <si>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</si>
  <si>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</si>
  <si>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</si>
  <si>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</si>
  <si>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</si>
  <si>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</si>
  <si>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</si>
  <si>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</si>
  <si>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</si>
  <si>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</si>
  <si>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</si>
  <si>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</si>
  <si>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</si>
  <si>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</si>
  <si>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</si>
  <si>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</si>
  <si>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</si>
  <si>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</si>
  <si>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</si>
  <si>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</si>
  <si>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</si>
  <si>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</si>
  <si>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</si>
  <si>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</si>
  <si>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</si>
  <si>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</si>
  <si>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</si>
  <si>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NUYI-9090</t>
  </si>
  <si>
    <t>TVSFG004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</si>
  <si>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</si>
  <si>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</si>
  <si>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</si>
  <si>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</si>
  <si>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</si>
  <si>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</si>
  <si>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</si>
  <si>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</si>
  <si>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</si>
  <si>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299</t>
  </si>
  <si>
    <t>Domestic_PL_Item_ID</t>
  </si>
  <si>
    <t>Domestic_PL_Item_ID_Disimilar</t>
  </si>
  <si>
    <t>60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</si>
  <si>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</si>
  <si>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</si>
  <si>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</si>
  <si>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</si>
  <si>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</si>
  <si>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</si>
  <si>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</si>
  <si>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</si>
  <si>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</si>
  <si>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</si>
  <si>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</si>
  <si>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</si>
  <si>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</si>
  <si>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</si>
  <si>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</si>
  <si>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</si>
  <si>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</si>
  <si>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</si>
  <si>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</si>
  <si>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</si>
  <si>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</si>
  <si>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</si>
  <si>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</si>
  <si>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</si>
  <si>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</si>
  <si>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</si>
  <si>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</si>
  <si>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</si>
  <si>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</si>
  <si>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</si>
  <si>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</si>
  <si>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</si>
  <si>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</si>
  <si>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</si>
  <si>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</si>
  <si>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</si>
  <si>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</si>
  <si>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</si>
  <si>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</si>
  <si>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</si>
  <si>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</si>
  <si>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</si>
  <si>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</si>
  <si>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After Stk Qty</t>
  </si>
  <si>
    <t>HK-FIFO-LOT-BATCH-10001(FG)</t>
  </si>
  <si>
    <t>49526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</si>
  <si>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</si>
  <si>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</si>
  <si>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</si>
  <si>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</si>
  <si>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</si>
  <si>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</si>
  <si>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</si>
  <si>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</si>
  <si>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</si>
  <si>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</si>
  <si>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</si>
  <si>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</si>
  <si>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</si>
  <si>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</si>
  <si>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</si>
  <si>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</si>
  <si>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</si>
  <si>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</si>
  <si>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</si>
  <si>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</si>
  <si>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</si>
  <si>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</si>
  <si>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</si>
  <si>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</si>
  <si>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R100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</si>
  <si>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</si>
  <si>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</si>
  <si>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</si>
  <si>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</si>
  <si>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</si>
  <si>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</si>
  <si>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</si>
  <si>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</si>
  <si>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</si>
  <si>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</si>
  <si>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</si>
  <si>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</si>
  <si>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</si>
  <si>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</si>
  <si>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</si>
  <si>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49151</t>
  </si>
  <si>
    <t>64383</t>
  </si>
  <si>
    <t>100001867</t>
  </si>
  <si>
    <t>Scenario  : Open SCO Price Level Type - Supplier + Item + Process</t>
  </si>
  <si>
    <t>Process</t>
  </si>
  <si>
    <t>Batch Qty</t>
  </si>
  <si>
    <t>Batch Cost</t>
  </si>
  <si>
    <t>25</t>
  </si>
  <si>
    <t>PROCESS-20</t>
  </si>
  <si>
    <t>METAL FORMING PROCES</t>
  </si>
  <si>
    <t>PACKINGS</t>
  </si>
  <si>
    <t>POST CURING</t>
  </si>
  <si>
    <t>Scenario  : Open SCO Price Level Type - Item + Process</t>
  </si>
  <si>
    <t>63938</t>
  </si>
  <si>
    <t>19275</t>
  </si>
  <si>
    <t>63923</t>
  </si>
  <si>
    <t>19270</t>
  </si>
  <si>
    <t>9255</t>
  </si>
  <si>
    <t>19808.992</t>
  </si>
  <si>
    <t>109415</t>
  </si>
  <si>
    <t>109755</t>
  </si>
  <si>
    <t>9765</t>
  </si>
  <si>
    <t>9307</t>
  </si>
  <si>
    <t>9715</t>
  </si>
  <si>
    <t>9415</t>
  </si>
  <si>
    <t>9760</t>
  </si>
  <si>
    <t>9293</t>
  </si>
  <si>
    <t>9702.5</t>
  </si>
  <si>
    <t>9425</t>
  </si>
  <si>
    <t>109411</t>
  </si>
  <si>
    <t>109750</t>
  </si>
  <si>
    <t>109500</t>
  </si>
  <si>
    <t>109785</t>
  </si>
  <si>
    <t>63893</t>
  </si>
  <si>
    <t>63878</t>
  </si>
  <si>
    <t>63863</t>
  </si>
  <si>
    <t>63848</t>
  </si>
  <si>
    <t>488826</t>
  </si>
  <si>
    <t>63838</t>
  </si>
  <si>
    <t>18880</t>
  </si>
  <si>
    <t>19265</t>
  </si>
  <si>
    <t>Scenario  : Open SCO Price Level Type - Supplier + Process</t>
  </si>
  <si>
    <t>Scenario  : Open SCO Price Level Type - Process</t>
  </si>
  <si>
    <t>Scenario  : Direct SCO With BOM Standard Type</t>
  </si>
  <si>
    <t>Vj-FIFO-LOT-BATCH-50001(FG)</t>
  </si>
  <si>
    <t>SLICING</t>
  </si>
  <si>
    <t>Qty</t>
  </si>
  <si>
    <t>7</t>
  </si>
  <si>
    <t>63823</t>
  </si>
  <si>
    <t>19257.5</t>
  </si>
  <si>
    <t>63808</t>
  </si>
  <si>
    <t>19252.5</t>
  </si>
  <si>
    <t>9240</t>
  </si>
  <si>
    <t>19803.992</t>
  </si>
  <si>
    <t>109400</t>
  </si>
  <si>
    <t>63793</t>
  </si>
  <si>
    <t>19247.5</t>
  </si>
  <si>
    <t>9225</t>
  </si>
  <si>
    <t>19798.992</t>
  </si>
  <si>
    <t>109385</t>
  </si>
  <si>
    <t>109745</t>
  </si>
  <si>
    <t>9292</t>
  </si>
  <si>
    <t>9710</t>
  </si>
  <si>
    <t>9400</t>
  </si>
  <si>
    <t>9755</t>
  </si>
  <si>
    <t>9277</t>
  </si>
  <si>
    <t>9705</t>
  </si>
  <si>
    <t>9385</t>
  </si>
  <si>
    <t>9750</t>
  </si>
  <si>
    <t>9278</t>
  </si>
  <si>
    <t>9697.5</t>
  </si>
  <si>
    <t>9410</t>
  </si>
  <si>
    <t>9263</t>
  </si>
  <si>
    <t>9692.5</t>
  </si>
  <si>
    <t>9395</t>
  </si>
  <si>
    <t>109396</t>
  </si>
  <si>
    <t>109485</t>
  </si>
  <si>
    <t>109780</t>
  </si>
  <si>
    <t>109381</t>
  </si>
  <si>
    <t>109740</t>
  </si>
  <si>
    <t>109470</t>
  </si>
  <si>
    <t>109775</t>
  </si>
  <si>
    <t>63778</t>
  </si>
  <si>
    <t>63763</t>
  </si>
  <si>
    <t>63748</t>
  </si>
  <si>
    <t>63733</t>
  </si>
  <si>
    <t>63718</t>
  </si>
  <si>
    <t>488816</t>
  </si>
  <si>
    <t>63708</t>
  </si>
  <si>
    <t>18865</t>
  </si>
  <si>
    <t>19242.5</t>
  </si>
  <si>
    <t>9262</t>
  </si>
  <si>
    <t>9700</t>
  </si>
  <si>
    <t>63693</t>
  </si>
  <si>
    <t>63678</t>
  </si>
  <si>
    <t>63663</t>
  </si>
  <si>
    <t>49136</t>
  </si>
  <si>
    <t>49121</t>
  </si>
  <si>
    <t>49106</t>
  </si>
  <si>
    <t>49091</t>
  </si>
  <si>
    <t>63648</t>
  </si>
  <si>
    <t>63633</t>
  </si>
  <si>
    <t>63618</t>
  </si>
  <si>
    <t>63603</t>
  </si>
  <si>
    <t>63588</t>
  </si>
</sst>
</file>

<file path=xl/styles.xml><?xml version="1.0" encoding="utf-8"?>
<styleSheet xmlns="http://schemas.openxmlformats.org/spreadsheetml/2006/main">
  <numFmts count="1">
    <numFmt numFmtId="164" formatCode="0.000"/>
  </numFmts>
  <fonts count="10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theme/theme1.xml" Type="http://schemas.openxmlformats.org/officeDocument/2006/relationships/theme"/><Relationship Id="rId38" Target="styles.xml" Type="http://schemas.openxmlformats.org/officeDocument/2006/relationships/styles"/><Relationship Id="rId39" Target="sharedStrings.xml" Type="http://schemas.openxmlformats.org/officeDocument/2006/relationships/sharedStrings"/><Relationship Id="rId4" Target="worksheets/sheet4.xml" Type="http://schemas.openxmlformats.org/officeDocument/2006/relationships/worksheet"/><Relationship Id="rId40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"/>
      <c r="AD1" s="1"/>
      <c r="AE1" s="1"/>
      <c r="AF1" s="1"/>
      <c r="AG1" s="27"/>
    </row>
    <row r="2" spans="1:38" ht="18">
      <c r="A2" s="29" t="s">
        <v>47</v>
      </c>
      <c r="B2" s="29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21" t="s">
        <v>0</v>
      </c>
      <c r="B3" s="121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t="s" s="36">
        <v>199</v>
      </c>
      <c r="AH5" s="9">
        <f>AG5-AF5</f>
        <v>-15</v>
      </c>
      <c r="AI5" s="10" t="s">
        <v>38</v>
      </c>
      <c r="AJ5" s="10">
        <v>4010101001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t="s" s="36">
        <v>200</v>
      </c>
      <c r="AH6" s="9">
        <f>AG6-AF6</f>
        <v>9490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39"/>
      <c r="AD1" s="39"/>
      <c r="AE1" s="39"/>
      <c r="AF1" s="39"/>
      <c r="AG1" s="27"/>
    </row>
    <row r="2" spans="1:39" ht="18">
      <c r="A2" s="29" t="s">
        <v>47</v>
      </c>
      <c r="B2" s="29" t="s">
        <v>46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21" t="s">
        <v>0</v>
      </c>
      <c r="B3" s="121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  <c r="AM4" s="20" t="s">
        <v>100</v>
      </c>
    </row>
    <row r="5" spans="1:39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t="s" s="36">
        <v>194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t="s" s="36">
        <v>195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41"/>
      <c r="AD1" s="41"/>
      <c r="AE1" s="41"/>
      <c r="AF1" s="41"/>
      <c r="AG1" s="27"/>
    </row>
    <row r="2" spans="1:38" ht="18">
      <c r="A2" s="29" t="s">
        <v>47</v>
      </c>
      <c r="B2" s="29" t="s">
        <v>46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21" t="s">
        <v>0</v>
      </c>
      <c r="B3" s="121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t="s" s="29">
        <v>58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201</v>
      </c>
      <c r="AH5" s="9">
        <f>AG5-AF5</f>
        <v>9645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t="s" s="29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202</v>
      </c>
      <c r="AH6" s="9">
        <f>AG6-AF6</f>
        <v>9950.6589999999997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44"/>
      <c r="AD1" s="44"/>
      <c r="AE1" s="44"/>
      <c r="AF1" s="44"/>
      <c r="AG1" s="27"/>
    </row>
    <row r="2" spans="1:38" ht="18">
      <c r="A2" s="29" t="s">
        <v>47</v>
      </c>
      <c r="B2" s="29" t="s">
        <v>46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21" t="s">
        <v>0</v>
      </c>
      <c r="B3" s="121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t="s" s="29">
        <v>62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203</v>
      </c>
      <c r="AH5" s="9">
        <f>AG5-AF5</f>
        <v>9745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t="s" s="29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204</v>
      </c>
      <c r="AH6" s="9">
        <f>AG6-AF6</f>
        <v>9880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46"/>
      <c r="AD1" s="46"/>
      <c r="AE1" s="46"/>
      <c r="AF1" s="46"/>
      <c r="AG1" s="27"/>
    </row>
    <row r="2" spans="1:38" ht="18">
      <c r="A2" s="29" t="s">
        <v>47</v>
      </c>
      <c r="B2" s="29" t="s">
        <v>46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21" t="s">
        <v>0</v>
      </c>
      <c r="B3" s="121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t="s" s="29">
        <v>57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235</v>
      </c>
      <c r="AH5" s="9">
        <f>AG5-AF5</f>
        <v>9717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t="s" s="29">
        <v>58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236</v>
      </c>
      <c r="AH6" s="9">
        <f>AG6-AF6</f>
        <v>9865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48"/>
      <c r="AD1" s="48"/>
      <c r="AE1" s="48"/>
      <c r="AF1" s="48"/>
      <c r="AG1" s="27"/>
    </row>
    <row r="2" spans="1:38" ht="18">
      <c r="A2" s="29" t="s">
        <v>47</v>
      </c>
      <c r="B2" s="29" t="s">
        <v>46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21" t="s">
        <v>0</v>
      </c>
      <c r="B3" s="121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59</v>
      </c>
      <c r="C5" s="10">
        <v>0</v>
      </c>
      <c r="D5" s="42" t="s">
        <v>59</v>
      </c>
      <c r="E5" s="10" t="s">
        <v>32</v>
      </c>
      <c r="F5" s="10" t="s">
        <v>32</v>
      </c>
      <c r="G5" s="33">
        <v>15</v>
      </c>
      <c r="H5" t="s" s="29">
        <v>61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211</v>
      </c>
      <c r="AH5" s="9">
        <f>AG5-AF5</f>
        <v>9795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60</v>
      </c>
      <c r="C6" s="10">
        <v>0</v>
      </c>
      <c r="D6" s="42" t="s">
        <v>60</v>
      </c>
      <c r="E6" s="10" t="s">
        <v>32</v>
      </c>
      <c r="F6" s="10" t="s">
        <v>32</v>
      </c>
      <c r="G6" s="33">
        <v>10</v>
      </c>
      <c r="H6" t="s" s="29">
        <v>62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212</v>
      </c>
      <c r="AH6" s="9">
        <f>AG6-AF6</f>
        <v>9900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21" t="s">
        <v>0</v>
      </c>
      <c r="B3" s="121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63</v>
      </c>
      <c r="C5" s="10">
        <v>0</v>
      </c>
      <c r="D5" s="42" t="s">
        <v>63</v>
      </c>
      <c r="E5" s="10" t="s">
        <v>32</v>
      </c>
      <c r="F5" s="10" t="s">
        <v>32</v>
      </c>
      <c r="G5" s="33">
        <v>15</v>
      </c>
      <c r="H5" t="s" s="29">
        <v>67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216</v>
      </c>
      <c r="AH5" s="9">
        <f>AG5-AF5</f>
        <v>9703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64</v>
      </c>
      <c r="C6" s="10">
        <v>0</v>
      </c>
      <c r="D6" s="42" t="s">
        <v>64</v>
      </c>
      <c r="E6" s="10" t="s">
        <v>32</v>
      </c>
      <c r="F6" s="10" t="s">
        <v>32</v>
      </c>
      <c r="G6" s="33">
        <v>10</v>
      </c>
      <c r="H6" t="s" s="29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217</v>
      </c>
      <c r="AH6" s="9">
        <f>AG6-AF6</f>
        <v>9852.5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21" t="s">
        <v>0</v>
      </c>
      <c r="B3" s="121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65</v>
      </c>
      <c r="C5" s="10">
        <v>0</v>
      </c>
      <c r="D5" s="42" t="s">
        <v>65</v>
      </c>
      <c r="E5" s="10" t="s">
        <v>32</v>
      </c>
      <c r="F5" s="10" t="s">
        <v>32</v>
      </c>
      <c r="G5" s="33">
        <v>15</v>
      </c>
      <c r="H5" t="s" s="29">
        <v>69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218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66</v>
      </c>
      <c r="C6" s="10">
        <v>0</v>
      </c>
      <c r="D6" s="42" t="s">
        <v>66</v>
      </c>
      <c r="E6" s="10" t="s">
        <v>32</v>
      </c>
      <c r="F6" s="10" t="s">
        <v>32</v>
      </c>
      <c r="G6" s="33">
        <v>10</v>
      </c>
      <c r="H6" t="s" s="29">
        <v>70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208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21" t="s">
        <v>0</v>
      </c>
      <c r="B3" s="12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71</v>
      </c>
      <c r="C5" s="10">
        <v>0</v>
      </c>
      <c r="D5" s="42" t="s">
        <v>71</v>
      </c>
      <c r="E5" s="10" t="s">
        <v>32</v>
      </c>
      <c r="F5" s="10" t="s">
        <v>32</v>
      </c>
      <c r="G5" s="33">
        <v>15</v>
      </c>
      <c r="H5" t="s" s="29">
        <v>75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222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72</v>
      </c>
      <c r="C6" s="10">
        <v>0</v>
      </c>
      <c r="D6" s="42" t="s">
        <v>72</v>
      </c>
      <c r="E6" s="10" t="s">
        <v>32</v>
      </c>
      <c r="F6" s="10" t="s">
        <v>32</v>
      </c>
      <c r="G6" s="33">
        <v>10</v>
      </c>
      <c r="H6" t="s" s="29">
        <v>76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223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21" t="s">
        <v>0</v>
      </c>
      <c r="B3" s="12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73</v>
      </c>
      <c r="C5" s="10">
        <v>0</v>
      </c>
      <c r="D5" s="42" t="s">
        <v>73</v>
      </c>
      <c r="E5" s="10" t="s">
        <v>32</v>
      </c>
      <c r="F5" s="10" t="s">
        <v>32</v>
      </c>
      <c r="G5" s="33">
        <v>15</v>
      </c>
      <c r="H5" t="s" s="29">
        <v>77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t="s" s="36">
        <v>224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74</v>
      </c>
      <c r="C6" s="10">
        <v>0</v>
      </c>
      <c r="D6" s="42" t="s">
        <v>74</v>
      </c>
      <c r="E6" s="10" t="s">
        <v>32</v>
      </c>
      <c r="F6" s="10" t="s">
        <v>32</v>
      </c>
      <c r="G6" s="33">
        <v>10</v>
      </c>
      <c r="H6" t="s" s="29">
        <v>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t="s" s="36">
        <v>225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G5" sqref="A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80"/>
      <c r="AD1" s="80"/>
      <c r="AE1" s="80"/>
      <c r="AF1" s="80"/>
      <c r="AG1" s="27"/>
    </row>
    <row r="2" spans="1:39" ht="18">
      <c r="A2" s="29" t="s">
        <v>47</v>
      </c>
      <c r="B2" s="29" t="s">
        <v>46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21" t="s">
        <v>0</v>
      </c>
      <c r="B3" s="121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102</v>
      </c>
      <c r="C5" s="10">
        <v>0</v>
      </c>
      <c r="D5" s="42" t="s">
        <v>102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143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J12" sqref="J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86"/>
      <c r="AD1" s="86"/>
      <c r="AE1" s="86"/>
      <c r="AF1" s="86"/>
      <c r="AG1" s="27"/>
    </row>
    <row r="2" spans="1:39" ht="18">
      <c r="A2" s="29" t="s">
        <v>47</v>
      </c>
      <c r="B2" s="29" t="s">
        <v>46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21" t="s">
        <v>0</v>
      </c>
      <c r="B3" s="121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145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104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105</v>
      </c>
      <c r="D10" s="90" t="s">
        <v>6</v>
      </c>
      <c r="E10" s="90" t="s">
        <v>7</v>
      </c>
      <c r="F10" s="90" t="s">
        <v>106</v>
      </c>
      <c r="G10" s="90" t="s">
        <v>107</v>
      </c>
      <c r="H10" s="90" t="s">
        <v>108</v>
      </c>
      <c r="I10" s="90" t="s">
        <v>109</v>
      </c>
      <c r="J10" s="90" t="s">
        <v>110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111</v>
      </c>
      <c r="E11" s="10">
        <v>0</v>
      </c>
      <c r="F11" s="10" t="s">
        <v>112</v>
      </c>
      <c r="G11" s="10" t="s">
        <v>113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114</v>
      </c>
      <c r="E12" s="10">
        <v>0</v>
      </c>
      <c r="F12" s="10" t="s">
        <v>115</v>
      </c>
      <c r="G12" s="10" t="s">
        <v>109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116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88"/>
      <c r="AD1" s="88"/>
      <c r="AE1" s="88"/>
      <c r="AF1" s="88"/>
      <c r="AG1" s="27"/>
    </row>
    <row r="2" spans="1:39" ht="18">
      <c r="A2" s="29" t="s">
        <v>47</v>
      </c>
      <c r="B2" s="29" t="s">
        <v>46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21" t="s">
        <v>0</v>
      </c>
      <c r="B3" s="121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117</v>
      </c>
      <c r="C5" s="10">
        <v>0</v>
      </c>
      <c r="D5" s="42" t="s">
        <v>117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233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workbookViewId="0">
      <selection activeCell="D15" sqref="D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93"/>
      <c r="AD1" s="93"/>
      <c r="AE1" s="93"/>
      <c r="AF1" s="93"/>
      <c r="AG1" s="27"/>
    </row>
    <row r="2" spans="1:39" ht="18">
      <c r="A2" s="29" t="s">
        <v>47</v>
      </c>
      <c r="B2" s="29" t="s">
        <v>46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21" t="s">
        <v>0</v>
      </c>
      <c r="B3" s="121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134</v>
      </c>
      <c r="AH5" s="34">
        <f>AG5-AF5</f>
        <v>65248</v>
      </c>
      <c r="AI5" s="10" t="s">
        <v>38</v>
      </c>
      <c r="AJ5" s="10">
        <v>4010101001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118</v>
      </c>
      <c r="C6" s="10">
        <v>0</v>
      </c>
      <c r="D6" s="97" t="s">
        <v>118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135</v>
      </c>
      <c r="AH6" s="34">
        <f>AG6-AF6</f>
        <v>99984</v>
      </c>
      <c r="AI6" s="10" t="s">
        <v>38</v>
      </c>
      <c r="AJ6" s="10">
        <v>4010101001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119</v>
      </c>
      <c r="C7" s="10">
        <v>0</v>
      </c>
      <c r="D7" s="97" t="s">
        <v>119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136</v>
      </c>
      <c r="AH7" s="34">
        <f t="shared" ref="AH7:AH14" si="20">AG7-AF7</f>
        <v>99983</v>
      </c>
      <c r="AI7" s="10" t="s">
        <v>38</v>
      </c>
      <c r="AJ7" s="10">
        <v>4010101001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120</v>
      </c>
      <c r="C8" s="10">
        <v>0</v>
      </c>
      <c r="D8" s="97" t="s">
        <v>120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133</v>
      </c>
      <c r="AH8" s="34">
        <f t="shared" si="20"/>
        <v>99982</v>
      </c>
      <c r="AI8" s="10" t="s">
        <v>38</v>
      </c>
      <c r="AJ8" s="10">
        <v>4010101001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121</v>
      </c>
      <c r="C9" s="10">
        <v>0</v>
      </c>
      <c r="D9" s="97" t="s">
        <v>121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137</v>
      </c>
      <c r="AH9" s="34">
        <f t="shared" si="20"/>
        <v>99981</v>
      </c>
      <c r="AI9" s="10" t="s">
        <v>38</v>
      </c>
      <c r="AJ9" s="10">
        <v>4010101001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122</v>
      </c>
      <c r="C10" s="10">
        <v>0</v>
      </c>
      <c r="D10" s="97" t="s">
        <v>122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138</v>
      </c>
      <c r="AH10" s="34">
        <f t="shared" si="20"/>
        <v>99980</v>
      </c>
      <c r="AI10" s="10" t="s">
        <v>38</v>
      </c>
      <c r="AJ10" s="10">
        <v>4010101001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123</v>
      </c>
      <c r="C11" s="10">
        <v>0</v>
      </c>
      <c r="D11" s="97" t="s">
        <v>123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139</v>
      </c>
      <c r="AH11" s="34">
        <f t="shared" si="20"/>
        <v>99979</v>
      </c>
      <c r="AI11" s="10" t="s">
        <v>38</v>
      </c>
      <c r="AJ11" s="10">
        <v>4010101001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124</v>
      </c>
      <c r="C12" s="99">
        <v>0</v>
      </c>
      <c r="D12" s="100" t="s">
        <v>124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140</v>
      </c>
      <c r="AH12" s="102">
        <f t="shared" si="20"/>
        <v>99978</v>
      </c>
      <c r="AI12" s="99" t="s">
        <v>38</v>
      </c>
      <c r="AJ12" s="99">
        <v>4010101001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125</v>
      </c>
      <c r="C13" s="10">
        <v>0</v>
      </c>
      <c r="D13" s="97" t="s">
        <v>125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141</v>
      </c>
      <c r="AH13" s="34">
        <f t="shared" si="20"/>
        <v>99977</v>
      </c>
      <c r="AI13" s="10" t="s">
        <v>38</v>
      </c>
      <c r="AJ13" s="10">
        <v>4010101001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126</v>
      </c>
      <c r="C14" s="10">
        <v>0</v>
      </c>
      <c r="D14" s="97" t="s">
        <v>126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142</v>
      </c>
      <c r="AH14" s="34">
        <f t="shared" si="20"/>
        <v>99976</v>
      </c>
      <c r="AI14" s="10" t="s">
        <v>38</v>
      </c>
      <c r="AJ14" s="10">
        <v>4010101001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workbookViewId="0">
      <selection activeCell="G9" sqref="G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4"/>
      <c r="AD1" s="54"/>
      <c r="AE1" s="54"/>
      <c r="AF1" s="54"/>
      <c r="AG1" s="27"/>
    </row>
    <row r="2" spans="1:43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21" t="s">
        <v>0</v>
      </c>
      <c r="B3" s="121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20" t="s">
        <v>129</v>
      </c>
      <c r="AN4" s="20" t="s">
        <v>127</v>
      </c>
      <c r="AO4" s="98" t="s">
        <v>130</v>
      </c>
      <c r="AP4" s="98" t="s">
        <v>131</v>
      </c>
      <c r="AQ4" s="98" t="s">
        <v>132</v>
      </c>
    </row>
    <row r="5" spans="1:43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t="s" s="36">
        <v>248</v>
      </c>
      <c r="AH5" s="34">
        <f>AG5-AF5</f>
        <v>63093</v>
      </c>
      <c r="AI5" s="10" t="s">
        <v>38</v>
      </c>
      <c r="AJ5" s="10">
        <v>4010101001</v>
      </c>
      <c r="AK5" s="34">
        <f>AH5</f>
        <v>63093</v>
      </c>
      <c r="AL5" s="33">
        <f>AK5+G5</f>
        <v>63108</v>
      </c>
      <c r="AM5" s="28" t="s">
        <v>79</v>
      </c>
      <c r="AN5" s="67" t="s">
        <v>128</v>
      </c>
      <c r="AO5" s="29" t="s">
        <v>146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4"/>
      <c r="AD1" s="54"/>
      <c r="AE1" s="54"/>
      <c r="AF1" s="54"/>
      <c r="AG1" s="27"/>
    </row>
    <row r="2" spans="1:38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21" t="s">
        <v>0</v>
      </c>
      <c r="B3" s="121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227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1" t="s">
        <v>0</v>
      </c>
      <c r="B3" s="12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t="s" s="36">
        <v>229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5" sqref="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1" t="s">
        <v>0</v>
      </c>
      <c r="B3" s="12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t="s" s="36">
        <v>230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1" t="s">
        <v>0</v>
      </c>
      <c r="B3" s="12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79</v>
      </c>
      <c r="C5" s="10">
        <v>0</v>
      </c>
      <c r="D5" s="60" t="s">
        <v>79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t="s" s="36">
        <v>231</v>
      </c>
      <c r="AH5" s="9">
        <f>AG5-AF5</f>
        <v>80704</v>
      </c>
      <c r="AI5" s="63" t="s">
        <v>81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G5" sqref="A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1" t="s">
        <v>0</v>
      </c>
      <c r="B3" s="12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80</v>
      </c>
      <c r="C5" s="10">
        <v>0</v>
      </c>
      <c r="D5" s="60" t="s">
        <v>80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91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V8" sqref="V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2"/>
      <c r="AD1" s="62"/>
      <c r="AE1" s="62"/>
      <c r="AF1" s="62"/>
      <c r="AG1" s="27"/>
    </row>
    <row r="2" spans="1:38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21" t="s">
        <v>0</v>
      </c>
      <c r="B3" s="121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82</v>
      </c>
      <c r="AL4" s="20" t="s">
        <v>83</v>
      </c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84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90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J11" sqref="AJ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2"/>
      <c r="AD1" s="62"/>
      <c r="AE1" s="62"/>
      <c r="AF1" s="62"/>
      <c r="AG1" s="27"/>
    </row>
    <row r="2" spans="1:37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21" t="s">
        <v>0</v>
      </c>
      <c r="B3" s="121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8"/>
    </row>
    <row r="5" spans="1:37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t="s" s="36">
        <v>228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5"/>
      <c r="AD1" s="65"/>
      <c r="AE1" s="65"/>
      <c r="AF1" s="65"/>
      <c r="AG1" s="27"/>
    </row>
    <row r="2" spans="1:38" ht="18">
      <c r="A2" s="29" t="s">
        <v>47</v>
      </c>
      <c r="B2" s="29" t="s">
        <v>46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21" t="s">
        <v>0</v>
      </c>
      <c r="B3" s="121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85</v>
      </c>
      <c r="AL4" s="58"/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t="s" s="36">
        <v>234</v>
      </c>
      <c r="AH5" s="9">
        <f>AG5-AF5</f>
        <v>9630</v>
      </c>
      <c r="AI5" s="10" t="s">
        <v>38</v>
      </c>
      <c r="AJ5" s="10">
        <v>4010101001</v>
      </c>
      <c r="AK5" s="66" t="s">
        <v>87</v>
      </c>
      <c r="AL5" s="59"/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t="s" s="36">
        <v>232</v>
      </c>
      <c r="AH6" s="9">
        <f>AG6-AF6</f>
        <v>78219</v>
      </c>
      <c r="AI6" s="10" t="s">
        <v>38</v>
      </c>
      <c r="AJ6" s="10">
        <v>4010101001</v>
      </c>
      <c r="AK6" s="66" t="s">
        <v>86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R1" workbookViewId="0">
      <selection activeCell="AH5" sqref="AH5:AH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9"/>
      <c r="AD1" s="69"/>
      <c r="AE1" s="69"/>
      <c r="AF1" s="69"/>
      <c r="AG1" s="27"/>
    </row>
    <row r="2" spans="1:38" ht="18">
      <c r="A2" s="29" t="s">
        <v>47</v>
      </c>
      <c r="B2" s="29" t="s">
        <v>46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21" t="s">
        <v>0</v>
      </c>
      <c r="B3" s="121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94</v>
      </c>
      <c r="AL4" s="19" t="s">
        <v>96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89</v>
      </c>
      <c r="AH5" s="34">
        <f>AG5-AF5</f>
        <v>9612.5</v>
      </c>
      <c r="AI5" s="10" t="s">
        <v>38</v>
      </c>
      <c r="AJ5" s="10">
        <v>4010101001</v>
      </c>
      <c r="AK5" s="72" t="s">
        <v>92</v>
      </c>
      <c r="AL5" s="72" t="s">
        <v>95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88</v>
      </c>
      <c r="AH6" s="34">
        <f>AG6-AF6</f>
        <v>78104</v>
      </c>
      <c r="AI6" s="10" t="s">
        <v>38</v>
      </c>
      <c r="AJ6" s="10">
        <v>4010101001</v>
      </c>
      <c r="AK6" s="66" t="s">
        <v>93</v>
      </c>
      <c r="AL6" s="66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H5" sqref="AH5:AH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71"/>
      <c r="AD1" s="71"/>
      <c r="AE1" s="71"/>
      <c r="AF1" s="71"/>
      <c r="AG1" s="27"/>
    </row>
    <row r="2" spans="1:38" ht="18">
      <c r="A2" s="29" t="s">
        <v>47</v>
      </c>
      <c r="B2" s="29" t="s">
        <v>46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21" t="s">
        <v>0</v>
      </c>
      <c r="B3" s="121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94</v>
      </c>
      <c r="AL4" s="19" t="s">
        <v>96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89</v>
      </c>
      <c r="AH5" s="34">
        <f>AG5-AF5</f>
        <v>9612.5</v>
      </c>
      <c r="AI5" s="10" t="s">
        <v>38</v>
      </c>
      <c r="AJ5" s="10">
        <v>4010101001</v>
      </c>
      <c r="AK5" s="72" t="s">
        <v>92</v>
      </c>
      <c r="AL5" s="72" t="s">
        <v>95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88</v>
      </c>
      <c r="AH6" s="34">
        <f>AG6-AF6</f>
        <v>78104</v>
      </c>
      <c r="AI6" s="10" t="s">
        <v>38</v>
      </c>
      <c r="AJ6" s="10">
        <v>4010101001</v>
      </c>
      <c r="AK6" s="66" t="s">
        <v>93</v>
      </c>
      <c r="AL6" s="66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74"/>
      <c r="AD1" s="74"/>
      <c r="AE1" s="74"/>
      <c r="AF1" s="74"/>
      <c r="AG1" s="27"/>
    </row>
    <row r="2" spans="1:38" ht="18">
      <c r="A2" s="29" t="s">
        <v>47</v>
      </c>
      <c r="B2" s="29" t="s">
        <v>46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21" t="s">
        <v>0</v>
      </c>
      <c r="B3" s="121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A1" workbookViewId="0">
      <selection activeCell="AK9" sqref="AK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76"/>
      <c r="AD1" s="76"/>
      <c r="AE1" s="76"/>
      <c r="AF1" s="76"/>
      <c r="AG1" s="27"/>
    </row>
    <row r="2" spans="1:38" ht="18">
      <c r="A2" s="29" t="s">
        <v>47</v>
      </c>
      <c r="B2" s="29" t="s">
        <v>46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21" t="s">
        <v>0</v>
      </c>
      <c r="B3" s="121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78"/>
      <c r="AD1" s="78"/>
      <c r="AE1" s="78"/>
      <c r="AF1" s="78"/>
      <c r="AG1" s="27"/>
    </row>
    <row r="2" spans="1:38" ht="18">
      <c r="A2" s="29" t="s">
        <v>47</v>
      </c>
      <c r="B2" s="29" t="s">
        <v>46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21" t="s">
        <v>0</v>
      </c>
      <c r="B3" s="121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topLeftCell="O1" workbookViewId="0">
      <selection activeCell="AC3" sqref="AC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84"/>
      <c r="AD1" s="84"/>
      <c r="AE1" s="84"/>
      <c r="AF1" s="84"/>
      <c r="AG1" s="27"/>
    </row>
    <row r="2" spans="1:39" ht="18">
      <c r="A2" s="29" t="s">
        <v>47</v>
      </c>
      <c r="B2" s="29" t="s">
        <v>46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21" t="s">
        <v>0</v>
      </c>
      <c r="B3" s="121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243</v>
      </c>
      <c r="AH5" s="34">
        <f>AG5-AF5</f>
        <v>49586</v>
      </c>
      <c r="AI5" s="10" t="s">
        <v>99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11" sqref="D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82"/>
      <c r="AD1" s="82"/>
      <c r="AE1" s="82"/>
      <c r="AF1" s="82"/>
      <c r="AG1" s="27"/>
    </row>
    <row r="2" spans="1:39" ht="18">
      <c r="A2" s="29" t="s">
        <v>47</v>
      </c>
      <c r="B2" s="29" t="s">
        <v>46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21" t="s">
        <v>0</v>
      </c>
      <c r="B3" s="121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241</v>
      </c>
      <c r="AH5" s="34">
        <f>AG5-AF5</f>
        <v>65983</v>
      </c>
      <c r="AI5" s="10" t="s">
        <v>99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selection activeCell="D10" sqref="D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18.7109375"/>
    <col min="4" max="4" customWidth="true" style="29" width="37.28515625"/>
    <col min="5" max="5" customWidth="true" style="29" width="15.42578125"/>
    <col min="6" max="16384" style="29" width="9.140625"/>
  </cols>
  <sheetData>
    <row r="1" spans="1:5" ht="27.75" customHeight="1">
      <c r="A1" s="122" t="s">
        <v>147</v>
      </c>
      <c r="B1" s="122"/>
      <c r="C1" s="122"/>
      <c r="D1" s="122"/>
    </row>
    <row r="2" spans="1:5" ht="18">
      <c r="C2" s="109"/>
      <c r="D2" s="109"/>
    </row>
    <row r="3" spans="1:5" ht="19.899999999999999" customHeight="1">
      <c r="A3" s="121"/>
      <c r="B3" s="121"/>
      <c r="C3" s="108"/>
      <c r="D3" s="3"/>
    </row>
    <row r="4" spans="1:5" s="31" customFormat="1">
      <c r="A4" s="11" t="s">
        <v>5</v>
      </c>
      <c r="B4" s="11" t="s">
        <v>148</v>
      </c>
      <c r="C4" s="11" t="s">
        <v>149</v>
      </c>
      <c r="D4" s="11" t="s">
        <v>150</v>
      </c>
      <c r="E4" s="58"/>
    </row>
    <row r="5" spans="1:5" ht="15">
      <c r="A5" s="10">
        <v>1</v>
      </c>
      <c r="B5" s="42" t="s">
        <v>152</v>
      </c>
      <c r="C5" s="10">
        <v>2</v>
      </c>
      <c r="D5" s="112" t="s">
        <v>151</v>
      </c>
      <c r="E5" s="59"/>
    </row>
    <row r="6" spans="1:5" ht="14.25" customHeight="1">
      <c r="A6" s="10">
        <v>2</v>
      </c>
      <c r="B6" s="10" t="s">
        <v>153</v>
      </c>
      <c r="C6" s="10">
        <v>3</v>
      </c>
      <c r="D6" s="113">
        <v>45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selection sqref="A1:D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18.7109375"/>
    <col min="4" max="4" customWidth="true" style="29" width="37.28515625"/>
    <col min="5" max="5" customWidth="true" style="29" width="15.42578125"/>
    <col min="6" max="16384" style="29" width="9.140625"/>
  </cols>
  <sheetData>
    <row r="1" spans="1:5" ht="27.75" customHeight="1">
      <c r="A1" s="122" t="s">
        <v>156</v>
      </c>
      <c r="B1" s="122"/>
      <c r="C1" s="122"/>
      <c r="D1" s="122"/>
    </row>
    <row r="2" spans="1:5" ht="18">
      <c r="C2" s="111"/>
      <c r="D2" s="111"/>
    </row>
    <row r="3" spans="1:5" ht="19.899999999999999" customHeight="1">
      <c r="A3" s="121"/>
      <c r="B3" s="121"/>
      <c r="C3" s="110"/>
      <c r="D3" s="3"/>
    </row>
    <row r="4" spans="1:5" s="31" customFormat="1">
      <c r="A4" s="11" t="s">
        <v>5</v>
      </c>
      <c r="B4" s="11" t="s">
        <v>148</v>
      </c>
      <c r="C4" s="11" t="s">
        <v>149</v>
      </c>
      <c r="D4" s="11" t="s">
        <v>150</v>
      </c>
      <c r="E4" s="58"/>
    </row>
    <row r="5" spans="1:5" ht="15">
      <c r="A5" s="10">
        <v>1</v>
      </c>
      <c r="B5" s="42" t="s">
        <v>154</v>
      </c>
      <c r="C5" s="10">
        <v>2</v>
      </c>
      <c r="D5" s="112" t="s">
        <v>151</v>
      </c>
      <c r="E5" s="59"/>
    </row>
    <row r="6" spans="1:5" ht="14.25" customHeight="1">
      <c r="A6" s="10">
        <v>2</v>
      </c>
      <c r="B6" s="10" t="s">
        <v>155</v>
      </c>
      <c r="C6" s="10">
        <v>3</v>
      </c>
      <c r="D6" s="113">
        <v>45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selection activeCell="D8" sqref="D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18.7109375"/>
    <col min="4" max="4" customWidth="true" style="29" width="37.28515625"/>
    <col min="5" max="5" customWidth="true" style="29" width="15.42578125"/>
    <col min="6" max="16384" style="29" width="9.140625"/>
  </cols>
  <sheetData>
    <row r="1" spans="1:5" ht="27.75" customHeight="1">
      <c r="A1" s="122" t="s">
        <v>185</v>
      </c>
      <c r="B1" s="122"/>
      <c r="C1" s="122"/>
      <c r="D1" s="122"/>
    </row>
    <row r="2" spans="1:5" ht="18">
      <c r="C2" s="115"/>
      <c r="D2" s="115"/>
    </row>
    <row r="3" spans="1:5" ht="19.899999999999999" customHeight="1">
      <c r="A3" s="121"/>
      <c r="B3" s="121"/>
      <c r="C3" s="114"/>
      <c r="D3" s="3"/>
    </row>
    <row r="4" spans="1:5" s="31" customFormat="1">
      <c r="A4" s="11" t="s">
        <v>5</v>
      </c>
      <c r="B4" s="11" t="s">
        <v>148</v>
      </c>
      <c r="C4" s="11" t="s">
        <v>149</v>
      </c>
      <c r="D4" s="11" t="s">
        <v>150</v>
      </c>
      <c r="E4" s="58"/>
    </row>
    <row r="5" spans="1:5" ht="15">
      <c r="A5" s="10">
        <v>1</v>
      </c>
      <c r="B5" s="42" t="s">
        <v>154</v>
      </c>
      <c r="C5" s="10">
        <v>2</v>
      </c>
      <c r="D5" s="112" t="s">
        <v>151</v>
      </c>
      <c r="E5" s="59"/>
    </row>
    <row r="6" spans="1:5" ht="14.25" customHeight="1">
      <c r="A6" s="10">
        <v>2</v>
      </c>
      <c r="B6" s="10" t="s">
        <v>155</v>
      </c>
      <c r="C6" s="10">
        <v>3</v>
      </c>
      <c r="D6" s="113">
        <v>45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selection sqref="A1:D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18.7109375"/>
    <col min="4" max="4" customWidth="true" style="29" width="37.28515625"/>
    <col min="5" max="5" customWidth="true" style="29" width="15.42578125"/>
    <col min="6" max="16384" style="29" width="9.140625"/>
  </cols>
  <sheetData>
    <row r="1" spans="1:5" ht="27.75" customHeight="1">
      <c r="A1" s="122" t="s">
        <v>186</v>
      </c>
      <c r="B1" s="122"/>
      <c r="C1" s="122"/>
      <c r="D1" s="122"/>
    </row>
    <row r="2" spans="1:5" ht="18">
      <c r="C2" s="117"/>
      <c r="D2" s="117"/>
    </row>
    <row r="3" spans="1:5" ht="19.899999999999999" customHeight="1">
      <c r="A3" s="121"/>
      <c r="B3" s="121"/>
      <c r="C3" s="116"/>
      <c r="D3" s="3"/>
    </row>
    <row r="4" spans="1:5" s="31" customFormat="1">
      <c r="A4" s="11" t="s">
        <v>5</v>
      </c>
      <c r="B4" s="11" t="s">
        <v>148</v>
      </c>
      <c r="C4" s="11" t="s">
        <v>149</v>
      </c>
      <c r="D4" s="11" t="s">
        <v>150</v>
      </c>
      <c r="E4" s="58"/>
    </row>
    <row r="5" spans="1:5" ht="15">
      <c r="A5" s="10">
        <v>1</v>
      </c>
      <c r="B5" s="42" t="s">
        <v>154</v>
      </c>
      <c r="C5" s="10">
        <v>2</v>
      </c>
      <c r="D5" s="112" t="s">
        <v>151</v>
      </c>
      <c r="E5" s="59"/>
    </row>
    <row r="6" spans="1:5" ht="14.25" customHeight="1">
      <c r="A6" s="10">
        <v>2</v>
      </c>
      <c r="B6" s="10" t="s">
        <v>155</v>
      </c>
      <c r="C6" s="10">
        <v>3</v>
      </c>
      <c r="D6" s="113">
        <v>45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22" t="s">
        <v>187</v>
      </c>
      <c r="B1" s="122"/>
      <c r="C1" s="122"/>
      <c r="D1" s="122"/>
    </row>
    <row r="2" spans="1:5" ht="18">
      <c r="D2" s="119"/>
    </row>
    <row r="3" spans="1:5" ht="19.899999999999999" customHeight="1">
      <c r="A3" s="121"/>
      <c r="B3" s="121"/>
      <c r="C3" s="120"/>
      <c r="D3" s="118"/>
    </row>
    <row r="4" spans="1:5" s="31" customFormat="1">
      <c r="A4" s="11" t="s">
        <v>5</v>
      </c>
      <c r="B4" s="11" t="s">
        <v>6</v>
      </c>
      <c r="C4" s="11" t="s">
        <v>190</v>
      </c>
      <c r="D4" s="11" t="s">
        <v>148</v>
      </c>
      <c r="E4" s="58"/>
    </row>
    <row r="5" spans="1:5" ht="15">
      <c r="A5" s="10">
        <v>1</v>
      </c>
      <c r="B5" s="42" t="s">
        <v>188</v>
      </c>
      <c r="C5" s="42" t="s">
        <v>191</v>
      </c>
      <c r="D5" s="10" t="s">
        <v>189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OP_S+I+P</vt:lpstr>
      <vt:lpstr>OP_I+P</vt:lpstr>
      <vt:lpstr>OP_S+P</vt:lpstr>
      <vt:lpstr>OP_P</vt:lpstr>
      <vt:lpstr>DirectSCO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2025-10-07T05:20:26Z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