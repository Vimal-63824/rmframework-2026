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22" activeTab="25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  <sheet name="PurchaseBillDeviation" sheetId="74" r:id="rId62"/>
    <sheet name="PurchaseBillDeviationandExp" sheetId="75" r:id="rId63"/>
    <sheet name="DevandExpTaxCalculation" sheetId="77" r:id="rId64"/>
    <sheet name="DevTaxCalculation" sheetId="78" r:id="rId65"/>
    <sheet name="DevRCMTaxCalculation" sheetId="79" r:id="rId66"/>
    <sheet name="DevandExpRCMTaxCalculation" sheetId="80" r:id="rId67"/>
    <sheet name="DevInterRCMTaxCalculation" sheetId="81" r:id="rId68"/>
    <sheet name="DevandExpInterRCMTaxCalculation" sheetId="82" r:id="rId69"/>
    <sheet name="DevTaxLocalUnregCalculation" sheetId="83" r:id="rId70"/>
    <sheet name="DevandExpTaxLocRegCalculation" sheetId="87" r:id="rId71"/>
    <sheet name="DevandExpTaxLocUnregCalculation" sheetId="84" r:id="rId72"/>
    <sheet name="DevTaxLocalRegCalculation" sheetId="86" r:id="rId73"/>
    <sheet name="DirectDevRCMTaxCalculation" sheetId="88" r:id="rId74"/>
    <sheet name="DevTaxInterstateRegCalculation" sheetId="89" r:id="rId75"/>
    <sheet name="DevandExpTaxInterstatregCalcula" sheetId="90" r:id="rId76"/>
    <sheet name="DevInterRegRCMTaxCalculation" sheetId="92" r:id="rId77"/>
    <sheet name="DevandExpInterRegRCMTaxCal" sheetId="93" r:id="rId78"/>
    <sheet name="DevTaxInterstateUnRegCal" sheetId="94" r:id="rId79"/>
    <sheet name="DevandExpTaxInterstateUnregCal" sheetId="95" r:id="rId80"/>
    <sheet name="Sheet1" sheetId="85" r:id="rId8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95"/>
  <c r="I6"/>
  <c r="H6"/>
  <c r="E6"/>
  <c r="J6" s="1"/>
  <c r="K5"/>
  <c r="I5"/>
  <c r="H5"/>
  <c r="E5"/>
  <c r="J5" s="1"/>
  <c r="K5" i="94"/>
  <c r="I5"/>
  <c r="H5"/>
  <c r="E5"/>
  <c r="J5" s="1"/>
  <c r="K6" i="93"/>
  <c r="I6"/>
  <c r="H6"/>
  <c r="E6"/>
  <c r="J6" s="1"/>
  <c r="K5"/>
  <c r="I5"/>
  <c r="H5"/>
  <c r="E5"/>
  <c r="J5" s="1"/>
  <c r="K5" i="92"/>
  <c r="I5"/>
  <c r="H5"/>
  <c r="E5"/>
  <c r="J5" s="1"/>
  <c r="K6" i="90"/>
  <c r="J6"/>
  <c r="I6"/>
  <c r="H6"/>
  <c r="E6"/>
  <c r="K5"/>
  <c r="E5"/>
  <c r="H5" s="1"/>
  <c r="K5" i="89"/>
  <c r="E5"/>
  <c r="J5" s="1"/>
  <c r="K5" i="88"/>
  <c r="J5"/>
  <c r="E5"/>
  <c r="M5" s="1"/>
  <c r="K6" i="87"/>
  <c r="J6"/>
  <c r="E6"/>
  <c r="I6" s="1"/>
  <c r="K5"/>
  <c r="J5"/>
  <c r="E5"/>
  <c r="K5" i="86"/>
  <c r="J5"/>
  <c r="E5"/>
  <c r="I5" s="1"/>
  <c r="R5" i="75"/>
  <c r="H5"/>
  <c r="K6" i="84"/>
  <c r="E6"/>
  <c r="J6" s="1"/>
  <c r="K5"/>
  <c r="E5"/>
  <c r="J5" s="1"/>
  <c r="K5" i="83"/>
  <c r="E5"/>
  <c r="J5" s="1"/>
  <c r="K6" i="82"/>
  <c r="I6"/>
  <c r="H6"/>
  <c r="E6"/>
  <c r="J6" s="1"/>
  <c r="K5"/>
  <c r="I5"/>
  <c r="H5"/>
  <c r="E5"/>
  <c r="J5" s="1"/>
  <c r="K5" i="81"/>
  <c r="E5"/>
  <c r="I5" s="1"/>
  <c r="K6" i="80"/>
  <c r="I6"/>
  <c r="H6"/>
  <c r="E6"/>
  <c r="J6" s="1"/>
  <c r="K5"/>
  <c r="I5"/>
  <c r="H5"/>
  <c r="E5"/>
  <c r="J5" s="1"/>
  <c r="E5" i="79"/>
  <c r="H5" s="1"/>
  <c r="K5"/>
  <c r="J5"/>
  <c r="L6" i="93" l="1"/>
  <c r="L6" i="95"/>
  <c r="L5" i="93"/>
  <c r="L5" i="95"/>
  <c r="E7"/>
  <c r="L5" i="94"/>
  <c r="M5" s="1"/>
  <c r="E7" i="93"/>
  <c r="M5" s="1"/>
  <c r="L5" i="92"/>
  <c r="M5"/>
  <c r="J5" i="90"/>
  <c r="L6"/>
  <c r="I5"/>
  <c r="E7"/>
  <c r="I5" i="89"/>
  <c r="H5"/>
  <c r="H6" i="84"/>
  <c r="H6" i="87"/>
  <c r="L6" s="1"/>
  <c r="N5" i="88"/>
  <c r="F5"/>
  <c r="I5"/>
  <c r="H5"/>
  <c r="L6" i="82"/>
  <c r="H5" i="86"/>
  <c r="L5" s="1"/>
  <c r="M5" s="1"/>
  <c r="E7" i="87"/>
  <c r="I6" i="84"/>
  <c r="I5" i="87"/>
  <c r="H5"/>
  <c r="H5" i="84"/>
  <c r="I5"/>
  <c r="I5" i="83"/>
  <c r="H5"/>
  <c r="E7" i="84"/>
  <c r="L5" i="82"/>
  <c r="E7"/>
  <c r="M5" i="81"/>
  <c r="F5" s="1"/>
  <c r="J5"/>
  <c r="L6" i="80"/>
  <c r="H5" i="81"/>
  <c r="L5" i="80"/>
  <c r="E7"/>
  <c r="I5" i="79"/>
  <c r="L5" s="1"/>
  <c r="M5"/>
  <c r="L7" i="93" l="1"/>
  <c r="L7" i="95"/>
  <c r="N5" s="1"/>
  <c r="O5" s="1"/>
  <c r="R5" s="1"/>
  <c r="M5"/>
  <c r="F5" s="1"/>
  <c r="F5" i="94"/>
  <c r="N5"/>
  <c r="F5" i="93"/>
  <c r="N5"/>
  <c r="F5" i="92"/>
  <c r="N5"/>
  <c r="L5" i="90"/>
  <c r="L7" s="1"/>
  <c r="N5" s="1"/>
  <c r="O5" s="1"/>
  <c r="R5" s="1"/>
  <c r="L5" i="89"/>
  <c r="M5" s="1"/>
  <c r="L5" i="84"/>
  <c r="L6"/>
  <c r="O5" i="88"/>
  <c r="P5" s="1"/>
  <c r="L5"/>
  <c r="L5" i="83"/>
  <c r="M5" s="1"/>
  <c r="F5" s="1"/>
  <c r="L7" i="82"/>
  <c r="L5" i="87"/>
  <c r="L7" s="1"/>
  <c r="N5" i="86"/>
  <c r="F5"/>
  <c r="M5" i="82"/>
  <c r="N5" i="81"/>
  <c r="O5" s="1"/>
  <c r="P5" s="1"/>
  <c r="L7" i="80"/>
  <c r="M5" s="1"/>
  <c r="L5" i="81"/>
  <c r="N5" i="79"/>
  <c r="F5"/>
  <c r="L7" i="84" l="1"/>
  <c r="N5" s="1"/>
  <c r="O5" s="1"/>
  <c r="P5" i="95"/>
  <c r="O5" i="94"/>
  <c r="P5" s="1"/>
  <c r="O5" i="93"/>
  <c r="R5" s="1"/>
  <c r="O5" i="92"/>
  <c r="P5" s="1"/>
  <c r="M5" i="90"/>
  <c r="F5" s="1"/>
  <c r="P5"/>
  <c r="N5" i="89"/>
  <c r="F5"/>
  <c r="N5" i="83"/>
  <c r="O5" s="1"/>
  <c r="P5" s="1"/>
  <c r="N5" i="87"/>
  <c r="M5"/>
  <c r="F5" s="1"/>
  <c r="O5" i="86"/>
  <c r="P5" s="1"/>
  <c r="M5" i="84"/>
  <c r="F5" s="1"/>
  <c r="N5" i="82"/>
  <c r="F5"/>
  <c r="F5" i="80"/>
  <c r="N5"/>
  <c r="O5" s="1"/>
  <c r="O5" i="79"/>
  <c r="P5" s="1"/>
  <c r="P5" i="93" l="1"/>
  <c r="O5" i="89"/>
  <c r="P5" s="1"/>
  <c r="O5" i="87"/>
  <c r="R5" s="1"/>
  <c r="P5" i="80"/>
  <c r="R5"/>
  <c r="P5" i="84"/>
  <c r="R5"/>
  <c r="O5" i="82"/>
  <c r="K6" i="77"/>
  <c r="I6"/>
  <c r="H6"/>
  <c r="E5" i="78"/>
  <c r="K5"/>
  <c r="P5" i="87" l="1"/>
  <c r="P5" i="82"/>
  <c r="R5"/>
  <c r="H5" i="78"/>
  <c r="J5"/>
  <c r="I5"/>
  <c r="K5" i="77"/>
  <c r="I5"/>
  <c r="E6"/>
  <c r="J6" s="1"/>
  <c r="L6" s="1"/>
  <c r="E5"/>
  <c r="E5" i="75"/>
  <c r="E6"/>
  <c r="E5" i="74"/>
  <c r="F5" s="1"/>
  <c r="I5" i="73"/>
  <c r="K5" s="1"/>
  <c r="M5" s="1"/>
  <c r="AL5" i="71"/>
  <c r="AF5"/>
  <c r="AH5" s="1"/>
  <c r="Z5"/>
  <c r="I5"/>
  <c r="I6" s="1"/>
  <c r="AL5" i="70"/>
  <c r="AF5"/>
  <c r="AH5" s="1"/>
  <c r="Z5"/>
  <c r="Y5"/>
  <c r="X5"/>
  <c r="I5"/>
  <c r="I6" s="1"/>
  <c r="AL5" i="69"/>
  <c r="AF5"/>
  <c r="AH5" s="1"/>
  <c r="Y5"/>
  <c r="X5"/>
  <c r="I5"/>
  <c r="I6" s="1"/>
  <c r="I5" i="68"/>
  <c r="J5" s="1"/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F5"/>
  <c r="AH5" s="1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P5" i="53"/>
  <c r="O5"/>
  <c r="I5"/>
  <c r="K5" s="1"/>
  <c r="Q5" s="1"/>
  <c r="Q5" i="52"/>
  <c r="I5"/>
  <c r="K5" s="1"/>
  <c r="T5" s="1"/>
  <c r="P5" i="55"/>
  <c r="I5"/>
  <c r="J5" s="1"/>
  <c r="E7" i="77" l="1"/>
  <c r="E7" i="75"/>
  <c r="F7" s="1"/>
  <c r="AA5" i="70"/>
  <c r="AA6" s="1"/>
  <c r="M5"/>
  <c r="N5" s="1"/>
  <c r="O5" s="1"/>
  <c r="L5" i="78"/>
  <c r="M5" s="1"/>
  <c r="N5" s="1"/>
  <c r="M5" i="71"/>
  <c r="N5" s="1"/>
  <c r="P5" i="52"/>
  <c r="O5"/>
  <c r="J5" i="77"/>
  <c r="H5"/>
  <c r="J5" i="73"/>
  <c r="O5" i="71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S5" s="1"/>
  <c r="T5" s="1"/>
  <c r="J5"/>
  <c r="R5" i="52"/>
  <c r="J5"/>
  <c r="K5" i="55"/>
  <c r="M5" i="77" l="1"/>
  <c r="L5"/>
  <c r="L7" s="1"/>
  <c r="N5" s="1"/>
  <c r="O5" i="78"/>
  <c r="P5" s="1"/>
  <c r="O5" i="55"/>
  <c r="R5"/>
  <c r="S5" i="51"/>
  <c r="T5" s="1"/>
  <c r="T5" i="54"/>
  <c r="Q5"/>
  <c r="S5" i="52"/>
  <c r="P5" i="71"/>
  <c r="P5" i="70"/>
  <c r="O5" i="69"/>
  <c r="O5" i="56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6" l="1"/>
  <c r="T5" s="1"/>
  <c r="F5" i="77"/>
  <c r="S5" i="54"/>
  <c r="Q5" i="7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F5" i="13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F5" i="32"/>
  <c r="AH5" s="1"/>
  <c r="AK5" s="1"/>
  <c r="AL5" s="1"/>
  <c r="Z5"/>
  <c r="I5"/>
  <c r="M5" s="1"/>
  <c r="N5" s="1"/>
  <c r="AF5" i="31"/>
  <c r="AH5" s="1"/>
  <c r="AK5" s="1"/>
  <c r="AL5" s="1"/>
  <c r="Z5"/>
  <c r="I5"/>
  <c r="M5" s="1"/>
  <c r="N5" s="1"/>
  <c r="AF5" i="30"/>
  <c r="AH5" s="1"/>
  <c r="AK5" s="1"/>
  <c r="AL5" s="1"/>
  <c r="Z5"/>
  <c r="I5"/>
  <c r="M5" s="1"/>
  <c r="N5" s="1"/>
  <c r="AF5" i="29"/>
  <c r="AH5" s="1"/>
  <c r="AK5" s="1"/>
  <c r="AL5" s="1"/>
  <c r="Z5"/>
  <c r="M5"/>
  <c r="N5" s="1"/>
  <c r="I5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I5"/>
  <c r="M5" s="1"/>
  <c r="N5" s="1"/>
  <c r="AF6" i="23"/>
  <c r="AH6" s="1"/>
  <c r="Y6"/>
  <c r="X6"/>
  <c r="I6"/>
  <c r="M6" s="1"/>
  <c r="N6" s="1"/>
  <c r="AF5"/>
  <c r="AH5" s="1"/>
  <c r="Y5"/>
  <c r="X5"/>
  <c r="I5"/>
  <c r="M5" s="1"/>
  <c r="N5" s="1"/>
  <c r="AF6" i="22"/>
  <c r="AH6" s="1"/>
  <c r="I6"/>
  <c r="AF5"/>
  <c r="AH5" s="1"/>
  <c r="I5"/>
  <c r="AF6" i="21"/>
  <c r="AH6" s="1"/>
  <c r="Z6"/>
  <c r="I6"/>
  <c r="M6" s="1"/>
  <c r="N6" s="1"/>
  <c r="AF5"/>
  <c r="AH5" s="1"/>
  <c r="Z5"/>
  <c r="I5"/>
  <c r="M5" s="1"/>
  <c r="N5" s="1"/>
  <c r="AF5" i="20"/>
  <c r="AH5" s="1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I5"/>
  <c r="M5" s="1"/>
  <c r="N5" s="1"/>
  <c r="AF5" i="16"/>
  <c r="AH5" s="1"/>
  <c r="Z5"/>
  <c r="I5"/>
  <c r="M5" s="1"/>
  <c r="N5" s="1"/>
  <c r="AF5" i="15"/>
  <c r="AH5" s="1"/>
  <c r="I5"/>
  <c r="M5" s="1"/>
  <c r="N5" s="1"/>
  <c r="AF5" i="14"/>
  <c r="AH5" s="1"/>
  <c r="I5"/>
  <c r="M5" s="1"/>
  <c r="N5" s="1"/>
  <c r="I5" i="13"/>
  <c r="AF6" i="12"/>
  <c r="AH6" s="1"/>
  <c r="Y6"/>
  <c r="X6"/>
  <c r="I6"/>
  <c r="M6" s="1"/>
  <c r="N6" s="1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L6" i="10"/>
  <c r="AF6"/>
  <c r="AH6" s="1"/>
  <c r="Y6"/>
  <c r="X6"/>
  <c r="I6"/>
  <c r="M6" s="1"/>
  <c r="N6" s="1"/>
  <c r="AL5"/>
  <c r="AF5"/>
  <c r="AH5" s="1"/>
  <c r="Y5"/>
  <c r="X5"/>
  <c r="I5"/>
  <c r="M5" s="1"/>
  <c r="N5" s="1"/>
  <c r="AL6" i="9"/>
  <c r="AF6"/>
  <c r="AH6" s="1"/>
  <c r="Y6"/>
  <c r="X6"/>
  <c r="I6"/>
  <c r="M6" s="1"/>
  <c r="N6" s="1"/>
  <c r="AL5"/>
  <c r="AF5"/>
  <c r="AH5" s="1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L6" i="5"/>
  <c r="AF6"/>
  <c r="AH6" s="1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O5" s="1"/>
  <c r="P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AQ5" i="13" l="1"/>
  <c r="AP5"/>
  <c r="AA5" i="28"/>
  <c r="X5" i="58"/>
  <c r="AK5"/>
  <c r="U6" i="71"/>
  <c r="X5"/>
  <c r="AD5"/>
  <c r="Y5"/>
  <c r="U6" i="70"/>
  <c r="AB5"/>
  <c r="AB6" s="1"/>
  <c r="AD5"/>
  <c r="T5" i="69"/>
  <c r="U5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Q5" i="4"/>
  <c r="R5" s="1"/>
  <c r="S5" s="1"/>
  <c r="M6"/>
  <c r="N6" s="1"/>
  <c r="O6" s="1"/>
  <c r="O6" i="1"/>
  <c r="O5"/>
  <c r="AA5" i="58" l="1"/>
  <c r="AB5" s="1"/>
  <c r="AA5" i="7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P5" i="28"/>
  <c r="Q5" s="1"/>
  <c r="R5" s="1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P5" i="19"/>
  <c r="Q5" s="1"/>
  <c r="R5" s="1"/>
  <c r="P5" i="18"/>
  <c r="Q5" s="1"/>
  <c r="R5" s="1"/>
  <c r="P5" i="17"/>
  <c r="P5" i="16"/>
  <c r="P5" i="15"/>
  <c r="P5" i="14"/>
  <c r="S5" i="13"/>
  <c r="P6" i="12"/>
  <c r="Q6" s="1"/>
  <c r="R6" s="1"/>
  <c r="O5"/>
  <c r="O6" i="11"/>
  <c r="O5"/>
  <c r="P5" i="10"/>
  <c r="P6"/>
  <c r="P6" i="9"/>
  <c r="Q6" s="1"/>
  <c r="R6" s="1"/>
  <c r="Q5"/>
  <c r="R5" s="1"/>
  <c r="S5" s="1"/>
  <c r="P6" i="8"/>
  <c r="O5"/>
  <c r="P6" i="7"/>
  <c r="P5"/>
  <c r="Q5" s="1"/>
  <c r="R5" s="1"/>
  <c r="S6" i="6"/>
  <c r="T6" s="1"/>
  <c r="O5"/>
  <c r="P6" i="5"/>
  <c r="Q6" s="1"/>
  <c r="R6" s="1"/>
  <c r="O5"/>
  <c r="T5" i="4"/>
  <c r="U5"/>
  <c r="P6"/>
  <c r="P6" i="1"/>
  <c r="Q6" s="1"/>
  <c r="R6" s="1"/>
  <c r="P5"/>
  <c r="Q6" i="4" l="1"/>
  <c r="R6" s="1"/>
  <c r="S6" s="1"/>
  <c r="U6" s="1"/>
  <c r="AA6" i="71"/>
  <c r="AB5"/>
  <c r="AB6" s="1"/>
  <c r="AB5" i="69"/>
  <c r="AB6" s="1"/>
  <c r="AA5" i="61"/>
  <c r="AB5" s="1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Q5"/>
  <c r="R5" s="1"/>
  <c r="S5" s="1"/>
  <c r="P5" i="33"/>
  <c r="Q5" i="32"/>
  <c r="R5" s="1"/>
  <c r="S5" s="1"/>
  <c r="Q5" i="31"/>
  <c r="R5" s="1"/>
  <c r="S5" s="1"/>
  <c r="S5" i="30"/>
  <c r="Q5" i="29"/>
  <c r="R5" s="1"/>
  <c r="S5" s="1"/>
  <c r="S5" i="28"/>
  <c r="S5" i="25"/>
  <c r="Q5" i="24"/>
  <c r="R5" s="1"/>
  <c r="S5" s="1"/>
  <c r="S6" i="23"/>
  <c r="S5"/>
  <c r="P6" i="22"/>
  <c r="P5"/>
  <c r="S6" i="21"/>
  <c r="Q5"/>
  <c r="R5" s="1"/>
  <c r="S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Q5" i="10"/>
  <c r="R5" s="1"/>
  <c r="S5" s="1"/>
  <c r="Q6"/>
  <c r="R6" s="1"/>
  <c r="S6" s="1"/>
  <c r="T5" i="9"/>
  <c r="U5"/>
  <c r="Z5" s="1"/>
  <c r="AA5" s="1"/>
  <c r="S6"/>
  <c r="P5" i="8"/>
  <c r="Q6"/>
  <c r="R6" s="1"/>
  <c r="S6" s="1"/>
  <c r="S5" i="7"/>
  <c r="T5" s="1"/>
  <c r="Q6"/>
  <c r="R6" s="1"/>
  <c r="S6" s="1"/>
  <c r="U6" i="6"/>
  <c r="AD6" s="1"/>
  <c r="Z6"/>
  <c r="AA6" s="1"/>
  <c r="P5"/>
  <c r="Q5" s="1"/>
  <c r="R5" s="1"/>
  <c r="S6" i="5"/>
  <c r="P5"/>
  <c r="AD5" i="4"/>
  <c r="Z5"/>
  <c r="AA5" s="1"/>
  <c r="AB5" s="1"/>
  <c r="S6" i="1"/>
  <c r="Q5"/>
  <c r="R5" s="1"/>
  <c r="S5" s="1"/>
  <c r="T6" i="4" l="1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Q6" i="22"/>
  <c r="R6" s="1"/>
  <c r="S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Q5"/>
  <c r="R5" s="1"/>
  <c r="S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Y5" i="21" l="1"/>
  <c r="X5"/>
  <c r="AD5" i="7"/>
  <c r="Z5"/>
  <c r="AA5" s="1"/>
  <c r="AL5" i="20"/>
  <c r="Z5"/>
  <c r="AA5" s="1"/>
  <c r="X5" i="24"/>
  <c r="Y5"/>
  <c r="Y6" i="21"/>
  <c r="X6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Y6"/>
  <c r="AD5"/>
  <c r="X5"/>
  <c r="Y5"/>
  <c r="T5" i="33"/>
  <c r="U5"/>
  <c r="AD5" i="32"/>
  <c r="X5"/>
  <c r="Y5"/>
  <c r="AD5" i="31"/>
  <c r="X5"/>
  <c r="Y5"/>
  <c r="AD5" i="30"/>
  <c r="X5"/>
  <c r="Y5"/>
  <c r="AD5" i="29"/>
  <c r="X5"/>
  <c r="AA5" s="1"/>
  <c r="AB5" s="1"/>
  <c r="Y5"/>
  <c r="AB5" i="28"/>
  <c r="AD5"/>
  <c r="AD5" i="25"/>
  <c r="X5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D6" i="21"/>
  <c r="AD5"/>
  <c r="AB5" i="20"/>
  <c r="AD5"/>
  <c r="X5" i="19"/>
  <c r="Y5"/>
  <c r="AD5"/>
  <c r="Y5" i="18"/>
  <c r="AD5"/>
  <c r="X5"/>
  <c r="X5" i="17"/>
  <c r="Y5"/>
  <c r="AD5"/>
  <c r="X5" i="16"/>
  <c r="Y5"/>
  <c r="AD5"/>
  <c r="X5" i="15"/>
  <c r="Y5"/>
  <c r="Z5"/>
  <c r="AD5"/>
  <c r="AD5" i="14"/>
  <c r="Y5"/>
  <c r="X5"/>
  <c r="AA5" i="13"/>
  <c r="AB5" s="1"/>
  <c r="T5" i="12"/>
  <c r="U5"/>
  <c r="AD6"/>
  <c r="Z6"/>
  <c r="AA6" s="1"/>
  <c r="AB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16" l="1"/>
  <c r="AB5" s="1"/>
  <c r="AA5" i="17"/>
  <c r="AB5" s="1"/>
  <c r="AA5" i="31"/>
  <c r="AB5" s="1"/>
  <c r="AA5" i="25"/>
  <c r="AB5" s="1"/>
  <c r="AA5" i="32"/>
  <c r="AB5" s="1"/>
  <c r="AA6" i="34"/>
  <c r="AB6" s="1"/>
  <c r="AA5" i="19"/>
  <c r="AB5" s="1"/>
  <c r="AA6" i="21"/>
  <c r="AB6" s="1"/>
  <c r="AA5"/>
  <c r="AB5" s="1"/>
  <c r="AA5" i="30"/>
  <c r="AB5" s="1"/>
  <c r="AA5" i="24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D5" i="33"/>
  <c r="X5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D5" i="8"/>
  <c r="Z5"/>
  <c r="AA5" s="1"/>
  <c r="AB5" s="1"/>
  <c r="Z5" i="6"/>
  <c r="AA5" s="1"/>
  <c r="AB5" s="1"/>
  <c r="AD5"/>
  <c r="AD5" i="5"/>
  <c r="AB5"/>
  <c r="AA5" i="33" l="1"/>
  <c r="AB5" s="1"/>
  <c r="AA5" i="22"/>
  <c r="AB5" s="1"/>
  <c r="AA6"/>
  <c r="AB6" s="1"/>
  <c r="F5" i="78" l="1"/>
  <c r="O5" i="77"/>
  <c r="R5" s="1"/>
  <c r="P5" l="1"/>
</calcChain>
</file>

<file path=xl/sharedStrings.xml><?xml version="1.0" encoding="utf-8"?>
<sst xmlns="http://schemas.openxmlformats.org/spreadsheetml/2006/main" count="3182" uniqueCount="280">
  <si>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</si>
  <si>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</si>
  <si>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</si>
  <si>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</si>
  <si>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</si>
  <si>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</si>
  <si>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</si>
  <si>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</si>
  <si>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</si>
  <si>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</si>
  <si>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</si>
  <si>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</si>
  <si>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</si>
  <si>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</si>
  <si>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</si>
  <si>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</si>
  <si>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</si>
  <si>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</si>
  <si>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</si>
  <si>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</si>
  <si>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</si>
  <si>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</si>
  <si>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</si>
  <si>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</si>
  <si>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</si>
  <si>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</si>
  <si>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</si>
  <si>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</si>
  <si>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</si>
  <si>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</si>
  <si>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</si>
  <si>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</si>
  <si>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</si>
  <si>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</si>
  <si>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</si>
  <si>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</si>
  <si>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</si>
  <si>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</si>
  <si>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</si>
  <si>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</si>
  <si>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</si>
  <si>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</si>
  <si>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</si>
  <si>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</si>
  <si>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</si>
  <si>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</si>
  <si>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</si>
  <si>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</si>
  <si>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</si>
  <si>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</si>
  <si>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</si>
  <si>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</si>
  <si>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</si>
  <si>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</si>
  <si>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</si>
  <si>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</si>
  <si>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</si>
  <si>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</si>
  <si>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</si>
  <si>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</si>
  <si>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</si>
  <si>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</si>
  <si>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</si>
  <si>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</si>
  <si>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</si>
  <si>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</si>
  <si>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</si>
  <si>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</si>
  <si>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</si>
  <si>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</si>
  <si>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</si>
  <si>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</si>
  <si>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</si>
  <si>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</si>
  <si>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</si>
  <si>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</si>
  <si>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</si>
  <si>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</si>
  <si>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</si>
  <si>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</si>
  <si>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</si>
  <si>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</si>
  <si>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</si>
  <si>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</si>
  <si>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</si>
  <si>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</si>
  <si>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</si>
  <si>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</si>
  <si>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</si>
  <si>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</si>
  <si>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</si>
  <si>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</si>
  <si>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</si>
  <si>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</si>
  <si>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</si>
  <si>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</si>
  <si>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</si>
  <si>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</si>
  <si>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</si>
  <si>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</si>
  <si>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</si>
  <si>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</si>
  <si>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</si>
  <si>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</si>
  <si>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</si>
  <si>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</si>
  <si>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</si>
  <si>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</si>
  <si>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</si>
  <si>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</si>
  <si>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</si>
  <si>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</si>
  <si>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</si>
  <si>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</si>
  <si>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</si>
  <si>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</si>
  <si>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</si>
  <si>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</si>
  <si>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</si>
  <si>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</si>
  <si>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</si>
  <si>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</si>
  <si>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</si>
  <si>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</si>
  <si>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</si>
  <si>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</si>
  <si>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</si>
  <si>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</si>
  <si>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</si>
  <si>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</si>
  <si>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</si>
  <si>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</si>
  <si>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</si>
  <si>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</si>
  <si>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</si>
  <si>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</si>
  <si>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</si>
  <si>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</si>
  <si>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</si>
  <si>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</si>
  <si>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</si>
  <si>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</si>
  <si>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</si>
  <si>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</si>
  <si>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</si>
  <si>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</si>
  <si>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</si>
  <si>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</si>
  <si>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</si>
  <si>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</si>
  <si>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</si>
  <si>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</si>
  <si>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</si>
  <si>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</si>
  <si>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</si>
  <si>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</si>
  <si>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</si>
  <si>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</si>
  <si>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</si>
  <si>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</si>
  <si>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</si>
  <si>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</si>
  <si>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SCR WH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</si>
  <si>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</si>
  <si>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</si>
  <si>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</si>
  <si>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</si>
  <si>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</si>
  <si>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</si>
  <si>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</si>
  <si>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</si>
  <si>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</si>
  <si>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99955</t>
  </si>
  <si>
    <t>99988.334</t>
  </si>
  <si>
    <t>99876</t>
  </si>
  <si>
    <t>CPC-10001</t>
  </si>
  <si>
    <t>HK-CH-00002</t>
  </si>
  <si>
    <t>HK-CH-00003</t>
  </si>
  <si>
    <t>SORD-2526-00266</t>
  </si>
  <si>
    <t>99865</t>
  </si>
  <si>
    <t>81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</si>
  <si>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</si>
  <si>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</si>
  <si>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</si>
  <si>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</si>
  <si>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</si>
  <si>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</si>
  <si>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</si>
  <si>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</si>
  <si>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</si>
  <si>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</si>
  <si>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SORD-2526-00808</t>
  </si>
  <si>
    <t>FG WH49</t>
  </si>
  <si>
    <t>30</t>
  </si>
  <si>
    <t>SO3-2526-00090</t>
  </si>
  <si>
    <t>SO3-2526-00091</t>
  </si>
  <si>
    <t>SO3-2526-00097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</si>
  <si>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</si>
  <si>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</si>
  <si>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</si>
  <si>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</si>
  <si>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</si>
  <si>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</si>
  <si>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</si>
  <si>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</si>
  <si>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</si>
  <si>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</si>
  <si>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</si>
  <si>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</si>
  <si>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</si>
  <si>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FG70001-QC-LOT</t>
  </si>
  <si>
    <t>93816</t>
  </si>
  <si>
    <t>91006</t>
  </si>
  <si>
    <t>VR-SERIAL-FIFO-BATCH-80001QC</t>
  </si>
  <si>
    <t>SCO - Rework</t>
  </si>
  <si>
    <t>54766</t>
  </si>
  <si>
    <t>Scenario  :Purchase Bills deviation Calculation</t>
  </si>
  <si>
    <t>Deviation</t>
  </si>
  <si>
    <t>Matched Amt</t>
  </si>
  <si>
    <t>GRN Amt</t>
  </si>
  <si>
    <t>UnitCost</t>
  </si>
  <si>
    <t>Proc.Qty</t>
  </si>
  <si>
    <t>Curr.Matched Amt</t>
  </si>
  <si>
    <t>Deviation Amt</t>
  </si>
  <si>
    <t>375.00</t>
  </si>
  <si>
    <t>99265</t>
  </si>
  <si>
    <t>97795</t>
  </si>
  <si>
    <t>97779</t>
  </si>
  <si>
    <t>99260</t>
  </si>
  <si>
    <t>45586</t>
  </si>
  <si>
    <t>MatchedAmt</t>
  </si>
  <si>
    <t>Scenario  :Purchase Bills deviation + Exp Type Calculation</t>
  </si>
  <si>
    <t>354.00</t>
  </si>
  <si>
    <t>MatchedAmt+ Tax</t>
  </si>
  <si>
    <t>Rounded Off</t>
  </si>
  <si>
    <t>Bfr. Rounded Off</t>
  </si>
  <si>
    <t>442.50</t>
  </si>
  <si>
    <t>PC- 305964</t>
  </si>
  <si>
    <t>BankPaymentAmt</t>
  </si>
  <si>
    <t>GRN Amt - BankPayment Amt</t>
  </si>
  <si>
    <t>200.00</t>
  </si>
  <si>
    <t>GL Acct</t>
  </si>
  <si>
    <t>ACTIVE GARMENTS (AP)</t>
  </si>
  <si>
    <t>PROC-01</t>
  </si>
  <si>
    <t>35</t>
  </si>
  <si>
    <t>PROJ3</t>
  </si>
  <si>
    <t>105976</t>
  </si>
  <si>
    <t>98250</t>
  </si>
  <si>
    <t>12.5</t>
  </si>
  <si>
    <t>94210</t>
  </si>
  <si>
    <t>103526</t>
  </si>
  <si>
    <t>93717.5</t>
  </si>
  <si>
    <t>94105</t>
  </si>
  <si>
    <t>HK-FG-DISSIMILAR-10002</t>
  </si>
  <si>
    <t>SORD-2627-07025</t>
  </si>
  <si>
    <t>HK-FIFO-LOT-BATCH-70001(FG)</t>
  </si>
  <si>
    <t>98070</t>
  </si>
  <si>
    <t>98035</t>
  </si>
  <si>
    <t>103511</t>
  </si>
  <si>
    <t>97045</t>
  </si>
  <si>
    <t>93712.5</t>
  </si>
  <si>
    <t>103111</t>
  </si>
  <si>
    <t>195126</t>
  </si>
  <si>
    <t>92905</t>
  </si>
  <si>
    <t>97392</t>
  </si>
  <si>
    <t>97229</t>
  </si>
  <si>
    <t>97066</t>
  </si>
  <si>
    <t>96903</t>
  </si>
  <si>
    <t>103081</t>
  </si>
  <si>
    <t>96740</t>
  </si>
  <si>
    <t>96577</t>
  </si>
  <si>
    <t>96414</t>
  </si>
  <si>
    <t>96251</t>
  </si>
  <si>
    <t>96088</t>
  </si>
  <si>
    <t>98240</t>
  </si>
  <si>
    <t>40</t>
  </si>
  <si>
    <t>102801</t>
  </si>
  <si>
    <t>93637.5</t>
  </si>
  <si>
    <t>SORD-2627-07474</t>
  </si>
  <si>
    <t>102786</t>
  </si>
</sst>
</file>

<file path=xl/styles.xml><?xml version="1.0" encoding="utf-8"?>
<styleSheet xmlns="http://schemas.openxmlformats.org/spreadsheetml/2006/main">
  <numFmts count="1">
    <numFmt numFmtId="164" formatCode="0.000"/>
  </numFmts>
  <fonts count="18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  <font>
      <sz val="9"/>
      <color rgb="FF262626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20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/>
    <xf numFmtId="0" fontId="1" fillId="0" borderId="0" xfId="0" applyFont="1" applyBorder="1" applyAlignment="1">
      <alignment horizontal="left" vertical="top"/>
    </xf>
    <xf numFmtId="0" fontId="4" fillId="6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4" fillId="2" borderId="0" xfId="0" applyFont="1" applyFill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7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theme/theme1.xml" Type="http://schemas.openxmlformats.org/officeDocument/2006/relationships/theme"/><Relationship Id="rId83" Target="styles.xml" Type="http://schemas.openxmlformats.org/officeDocument/2006/relationships/styles"/><Relationship Id="rId84" Target="sharedStrings.xml" Type="http://schemas.openxmlformats.org/officeDocument/2006/relationships/sharedStrings"/><Relationship Id="rId85" Target="calcChain.xml" Type="http://schemas.openxmlformats.org/officeDocument/2006/relationships/calcChain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96" t="s">
        <v>0</v>
      </c>
      <c r="B3" s="196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276</v>
      </c>
      <c r="AH5" s="9">
        <f>AG5-AF5</f>
        <v>103556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277</v>
      </c>
      <c r="AH6" s="9">
        <f>AG6-AF6</f>
        <v>93727.5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96" t="s">
        <v>0</v>
      </c>
      <c r="B3" s="196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250</v>
      </c>
      <c r="AH5" s="9">
        <f>AG5-AF5</f>
        <v>103511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251</v>
      </c>
      <c r="AH6" s="9">
        <f>AG6-AF6</f>
        <v>93712.5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96" t="s">
        <v>0</v>
      </c>
      <c r="B3" s="196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32</v>
      </c>
      <c r="I5" s="9" t="e">
        <f>G5*H5</f>
        <v>#VALUE!</v>
      </c>
      <c r="J5" s="34"/>
      <c r="K5" s="34"/>
      <c r="L5" s="34"/>
      <c r="M5" s="9" t="e">
        <f>I5</f>
        <v>#VALUE!</v>
      </c>
      <c r="N5" s="9" t="e">
        <f>ROUND((M5*J5)/100,2)</f>
        <v>#VALUE!</v>
      </c>
      <c r="O5" s="9" t="e">
        <f>I5-N5</f>
        <v>#VALUE!</v>
      </c>
      <c r="P5" s="9" t="e">
        <f>ROUND((O5*K5)/100,2)</f>
        <v>#VALUE!</v>
      </c>
      <c r="Q5" s="9" t="e">
        <f>ROUND(O5-P5,2)</f>
        <v>#VALUE!</v>
      </c>
      <c r="R5" s="9" t="e">
        <f>ROUND((Q5*L5)/100,2)</f>
        <v>#VALUE!</v>
      </c>
      <c r="S5" s="35" t="e">
        <f>N5+P5+R5</f>
        <v>#VALUE!</v>
      </c>
      <c r="T5" s="35" t="e">
        <f>S5/G5</f>
        <v>#VALUE!</v>
      </c>
      <c r="U5" s="9" t="e">
        <f>(I5-S5)</f>
        <v>#VALUE!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 t="e">
        <f>IF($D$3=2,ROUND(((U5*W5)),2),0)</f>
        <v>#VALUE!</v>
      </c>
      <c r="AA5" s="9" t="e">
        <f>X5+Y5+Z5</f>
        <v>#VALUE!</v>
      </c>
      <c r="AB5" s="9" t="e">
        <f t="shared" ref="AB5:AB6" si="0">U5+AA5</f>
        <v>#VALUE!</v>
      </c>
      <c r="AC5" s="9">
        <v>120</v>
      </c>
      <c r="AD5" s="9" t="e">
        <f t="shared" ref="AD5:AD6" si="1">U5*$N$3</f>
        <v>#VALUE!</v>
      </c>
      <c r="AE5" s="8">
        <v>1</v>
      </c>
      <c r="AF5" s="9">
        <f t="shared" ref="AF5" si="2">G5/AE5</f>
        <v>15</v>
      </c>
      <c r="AG5" s="36" t="s">
        <v>249</v>
      </c>
      <c r="AH5" s="9">
        <f>AG5-AF5</f>
        <v>94195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147</v>
      </c>
      <c r="I6" s="9">
        <f>G6*H6</f>
        <v>100</v>
      </c>
      <c r="J6" s="34"/>
      <c r="K6" s="34"/>
      <c r="L6" s="34"/>
      <c r="M6" s="9">
        <f>I6</f>
        <v>100</v>
      </c>
      <c r="N6" s="9">
        <f>ROUND((M6*J6)/100,2)</f>
        <v>0</v>
      </c>
      <c r="O6" s="9">
        <f>I6-N6</f>
        <v>100</v>
      </c>
      <c r="P6" s="9">
        <f>ROUND((O6*K6)/100,2)</f>
        <v>0</v>
      </c>
      <c r="Q6" s="9">
        <f>ROUND(O6-P6,2)</f>
        <v>100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12</v>
      </c>
      <c r="AA6" s="9">
        <f>X6+Y6+Z6</f>
        <v>12</v>
      </c>
      <c r="AB6" s="9">
        <f t="shared" si="0"/>
        <v>112</v>
      </c>
      <c r="AC6" s="9">
        <v>120</v>
      </c>
      <c r="AD6" s="9">
        <f t="shared" si="1"/>
        <v>100</v>
      </c>
      <c r="AE6" s="8">
        <v>2</v>
      </c>
      <c r="AF6" s="9">
        <f>ROUND(G6/AE6,3)</f>
        <v>5</v>
      </c>
      <c r="AG6" s="36" t="s">
        <v>256</v>
      </c>
      <c r="AH6" s="9">
        <f>AG6-AF6</f>
        <v>98145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96" t="s">
        <v>0</v>
      </c>
      <c r="B3" s="196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32</v>
      </c>
      <c r="I5" s="9" t="e">
        <f>G5*H5</f>
        <v>#VALUE!</v>
      </c>
      <c r="J5" s="34"/>
      <c r="K5" s="34"/>
      <c r="L5" s="34"/>
      <c r="M5" s="9" t="e">
        <f>I5</f>
        <v>#VALUE!</v>
      </c>
      <c r="N5" s="9" t="e">
        <f>ROUND((M5*J5)/100,2)</f>
        <v>#VALUE!</v>
      </c>
      <c r="O5" s="9" t="e">
        <f>I5-N5</f>
        <v>#VALUE!</v>
      </c>
      <c r="P5" s="9" t="e">
        <f>ROUND((O5*K5)/100,2)</f>
        <v>#VALUE!</v>
      </c>
      <c r="Q5" s="9" t="e">
        <f>ROUND(O5-P5,2)</f>
        <v>#VALUE!</v>
      </c>
      <c r="R5" s="9" t="e">
        <f>ROUND((Q5*L5)/100,2)</f>
        <v>#VALUE!</v>
      </c>
      <c r="S5" s="35" t="e">
        <f>N5+P5+R5</f>
        <v>#VALUE!</v>
      </c>
      <c r="T5" s="35" t="e">
        <f>S5/G5</f>
        <v>#VALUE!</v>
      </c>
      <c r="U5" s="9" t="e">
        <f>(I5-S5)</f>
        <v>#VALUE!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 t="e">
        <f t="shared" ref="AB5:AB6" si="0">U5+AA5</f>
        <v>#VALUE!</v>
      </c>
      <c r="AC5" s="9">
        <v>120</v>
      </c>
      <c r="AD5" s="9" t="e">
        <f t="shared" ref="AD5:AD6" si="1">U5*$N$3</f>
        <v>#VALUE!</v>
      </c>
      <c r="AE5" s="8">
        <v>1</v>
      </c>
      <c r="AF5" s="9">
        <f t="shared" ref="AF5" si="2">G5/AE5</f>
        <v>15</v>
      </c>
      <c r="AG5" s="36" t="s">
        <v>252</v>
      </c>
      <c r="AH5" s="9">
        <f>AG5-AF5</f>
        <v>94090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147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257</v>
      </c>
      <c r="AH6" s="9">
        <f>AG6-AF6</f>
        <v>99990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96" t="s">
        <v>0</v>
      </c>
      <c r="B3" s="196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164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163</v>
      </c>
      <c r="AH6" s="9">
        <f>AG6-AF6</f>
        <v>99980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96" t="s">
        <v>0</v>
      </c>
      <c r="B3" s="196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165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166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173</v>
      </c>
      <c r="AH6" s="9">
        <f>AG6-AF6</f>
        <v>99983.334000000003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167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99940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168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163</v>
      </c>
      <c r="AH6" s="9">
        <f>AG6-AF6</f>
        <v>99980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6" t="s">
        <v>0</v>
      </c>
      <c r="B3" s="196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179</v>
      </c>
      <c r="AH5" s="9">
        <f>AG5-AF5</f>
        <v>99850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168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172</v>
      </c>
      <c r="AH6" s="9">
        <f>AG6-AF6</f>
        <v>99950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169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227</v>
      </c>
      <c r="AH5" s="9">
        <f>AG5-AF5</f>
        <v>97764</v>
      </c>
      <c r="AI5" s="10" t="s">
        <v>160</v>
      </c>
      <c r="AJ5" s="10" t="s">
        <v>161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72</v>
      </c>
      <c r="AA6" s="9">
        <f>X6+Y6+Z6</f>
        <v>72</v>
      </c>
      <c r="AB6" s="9">
        <f t="shared" si="0"/>
        <v>672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228</v>
      </c>
      <c r="AH6" s="9">
        <f>AG6-AF6</f>
        <v>99255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6" t="s">
        <v>0</v>
      </c>
      <c r="B3" s="196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164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226</v>
      </c>
      <c r="AH5" s="9">
        <f>AG5-AF5</f>
        <v>97780</v>
      </c>
      <c r="AI5" s="10" t="s">
        <v>160</v>
      </c>
      <c r="AJ5" s="10" t="s">
        <v>161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165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225</v>
      </c>
      <c r="AH6" s="9">
        <f>AG6-AF6</f>
        <v>99260</v>
      </c>
      <c r="AI6" s="10" t="s">
        <v>160</v>
      </c>
      <c r="AJ6" s="10" t="s">
        <v>161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96" t="s">
        <v>0</v>
      </c>
      <c r="B3" s="196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262</v>
      </c>
      <c r="AH5" s="34">
        <f>AG5-AF5</f>
        <v>105581</v>
      </c>
      <c r="AI5" s="10" t="s">
        <v>160</v>
      </c>
      <c r="AJ5" s="10" t="s">
        <v>161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96" t="s">
        <v>0</v>
      </c>
      <c r="B3" s="196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t="s" s="36">
        <v>279</v>
      </c>
      <c r="AH5" s="34">
        <f>AG5-AF5</f>
        <v>99641</v>
      </c>
      <c r="AI5" s="10" t="s">
        <v>160</v>
      </c>
      <c r="AJ5" s="10" t="s">
        <v>161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176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177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96" t="s">
        <v>0</v>
      </c>
      <c r="B3" s="196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259</v>
      </c>
      <c r="AH5" s="34">
        <f>AG5-AF5</f>
        <v>97045</v>
      </c>
      <c r="AI5" s="10" t="s">
        <v>160</v>
      </c>
      <c r="AJ5" s="10" t="s">
        <v>161</v>
      </c>
      <c r="AK5" s="34">
        <f>AH5</f>
        <v>97045</v>
      </c>
      <c r="AL5" s="34">
        <f>AK5+G5</f>
        <v>97060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S1" workbookViewId="0">
      <selection activeCell="E3" sqref="E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96" t="s">
        <v>0</v>
      </c>
      <c r="B3" s="196"/>
      <c r="C3" s="9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135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268</v>
      </c>
      <c r="AH5" s="34">
        <f>AG5-AF5</f>
        <v>104501</v>
      </c>
      <c r="AI5" s="10" t="s">
        <v>160</v>
      </c>
      <c r="AJ5" s="10" t="s">
        <v>161</v>
      </c>
      <c r="AK5" s="34">
        <f>AH5</f>
        <v>104501</v>
      </c>
      <c r="AL5" s="34">
        <f>AK5+G5</f>
        <v>104516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144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264</v>
      </c>
      <c r="AH6" s="34">
        <f>AG6-AF6</f>
        <v>99920</v>
      </c>
      <c r="AI6" s="10" t="s">
        <v>160</v>
      </c>
      <c r="AJ6" s="10" t="s">
        <v>161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0</v>
      </c>
      <c r="Y7" s="34">
        <f t="shared" ref="Y7:Y14" si="17">IF($D$3=1,ROUND(((U7*W7)/2),2),0)</f>
        <v>0</v>
      </c>
      <c r="Z7" s="34">
        <f t="shared" ref="Z7:Z14" si="18">IF($D$3=2,ROUND(((U7*W7)),2),0)</f>
        <v>153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265</v>
      </c>
      <c r="AH7" s="34">
        <f t="shared" ref="AH7:AH14" si="20">AG7-AF7</f>
        <v>99915</v>
      </c>
      <c r="AI7" s="10" t="s">
        <v>160</v>
      </c>
      <c r="AJ7" s="10" t="s">
        <v>161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0</v>
      </c>
      <c r="Y8" s="34">
        <f t="shared" si="17"/>
        <v>0</v>
      </c>
      <c r="Z8" s="34">
        <f t="shared" si="18"/>
        <v>162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266</v>
      </c>
      <c r="AH8" s="34">
        <f t="shared" si="20"/>
        <v>99910</v>
      </c>
      <c r="AI8" s="10" t="s">
        <v>160</v>
      </c>
      <c r="AJ8" s="10" t="s">
        <v>161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0</v>
      </c>
      <c r="Y9" s="34">
        <f t="shared" si="17"/>
        <v>0</v>
      </c>
      <c r="Z9" s="34">
        <f t="shared" si="18"/>
        <v>171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267</v>
      </c>
      <c r="AH9" s="34">
        <f t="shared" si="20"/>
        <v>99905</v>
      </c>
      <c r="AI9" s="10" t="s">
        <v>160</v>
      </c>
      <c r="AJ9" s="10" t="s">
        <v>161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0</v>
      </c>
      <c r="Y10" s="34">
        <f t="shared" si="17"/>
        <v>0</v>
      </c>
      <c r="Z10" s="34">
        <f t="shared" si="18"/>
        <v>180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269</v>
      </c>
      <c r="AH10" s="34">
        <f t="shared" si="20"/>
        <v>99900</v>
      </c>
      <c r="AI10" s="10" t="s">
        <v>160</v>
      </c>
      <c r="AJ10" s="10" t="s">
        <v>161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0</v>
      </c>
      <c r="Y11" s="34">
        <f t="shared" si="17"/>
        <v>0</v>
      </c>
      <c r="Z11" s="34">
        <f t="shared" si="18"/>
        <v>189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270</v>
      </c>
      <c r="AH11" s="34">
        <f t="shared" si="20"/>
        <v>99895</v>
      </c>
      <c r="AI11" s="10" t="s">
        <v>160</v>
      </c>
      <c r="AJ11" s="10" t="s">
        <v>161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0</v>
      </c>
      <c r="Y12" s="102">
        <f t="shared" si="17"/>
        <v>0</v>
      </c>
      <c r="Z12" s="102">
        <f t="shared" si="18"/>
        <v>198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271</v>
      </c>
      <c r="AH12" s="102">
        <f t="shared" si="20"/>
        <v>99890</v>
      </c>
      <c r="AI12" s="10" t="s">
        <v>160</v>
      </c>
      <c r="AJ12" s="10" t="s">
        <v>161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0</v>
      </c>
      <c r="Y13" s="34">
        <f t="shared" si="17"/>
        <v>0</v>
      </c>
      <c r="Z13" s="34">
        <f t="shared" si="18"/>
        <v>207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272</v>
      </c>
      <c r="AH13" s="34">
        <f t="shared" si="20"/>
        <v>99885</v>
      </c>
      <c r="AI13" s="10" t="s">
        <v>160</v>
      </c>
      <c r="AJ13" s="10" t="s">
        <v>161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0</v>
      </c>
      <c r="Y14" s="34">
        <f t="shared" si="17"/>
        <v>0</v>
      </c>
      <c r="Z14" s="34">
        <f t="shared" si="18"/>
        <v>216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273</v>
      </c>
      <c r="AH14" s="34">
        <f t="shared" si="20"/>
        <v>99880</v>
      </c>
      <c r="AI14" s="10" t="s">
        <v>160</v>
      </c>
      <c r="AJ14" s="10" t="s">
        <v>161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96" t="s">
        <v>0</v>
      </c>
      <c r="B3" s="196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276</v>
      </c>
      <c r="AH5" s="33">
        <f>AG5-AF5</f>
        <v>105906</v>
      </c>
      <c r="AI5" s="10" t="s">
        <v>160</v>
      </c>
      <c r="AJ5" s="10" t="s">
        <v>161</v>
      </c>
      <c r="AK5" s="33">
        <f>AH5</f>
        <v>105906</v>
      </c>
      <c r="AL5" s="33">
        <f>AK5+G5</f>
        <v>105921</v>
      </c>
      <c r="AM5" s="28" t="s">
        <v>66</v>
      </c>
      <c r="AN5" s="67" t="s">
        <v>162</v>
      </c>
      <c r="AO5" s="29" t="s">
        <v>274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96" t="s">
        <v>0</v>
      </c>
      <c r="B3" s="196"/>
      <c r="C3" s="132"/>
      <c r="D3" s="3">
        <v>4</v>
      </c>
      <c r="E3" s="4" t="s">
        <v>156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157</v>
      </c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99861</v>
      </c>
      <c r="AI5" s="10" t="s">
        <v>160</v>
      </c>
      <c r="AJ5" s="10" t="s">
        <v>161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96" t="s">
        <v>0</v>
      </c>
      <c r="B3" s="196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99861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246</v>
      </c>
      <c r="AH5" s="9">
        <f>AG5-AF5</f>
        <v>105961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258</v>
      </c>
      <c r="AH5" s="9">
        <f>AG5-AF5</f>
        <v>105951</v>
      </c>
      <c r="AI5" s="10" t="s">
        <v>160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247</v>
      </c>
      <c r="AH5" s="9">
        <f>AG5-AF5</f>
        <v>98240</v>
      </c>
      <c r="AI5" s="63" t="s">
        <v>162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6" t="s">
        <v>0</v>
      </c>
      <c r="B3" s="196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161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96" t="s">
        <v>0</v>
      </c>
      <c r="B3" s="196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188</v>
      </c>
      <c r="AH5" s="9">
        <f>AG5-AF5</f>
        <v>95771</v>
      </c>
      <c r="AI5" s="10" t="s">
        <v>160</v>
      </c>
      <c r="AJ5" s="10" t="s">
        <v>161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96" t="s">
        <v>0</v>
      </c>
      <c r="B3" s="196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229</v>
      </c>
      <c r="AH5" s="9">
        <f>AG5-AF5</f>
        <v>45571</v>
      </c>
      <c r="AI5" s="10" t="s">
        <v>160</v>
      </c>
      <c r="AJ5" s="10" t="s">
        <v>161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96" t="s">
        <v>0</v>
      </c>
      <c r="B3" s="196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260</v>
      </c>
      <c r="AH5" s="9">
        <f>AG5-AF5</f>
        <v>93950</v>
      </c>
      <c r="AI5" s="10" t="s">
        <v>160</v>
      </c>
      <c r="AJ5" s="10" t="s">
        <v>161</v>
      </c>
      <c r="AK5" s="66" t="s">
        <v>72</v>
      </c>
      <c r="AL5" s="59"/>
    </row>
    <row r="6" spans="1:38" ht="15">
      <c r="A6" s="10">
        <v>2</v>
      </c>
      <c r="B6" s="42" t="s">
        <v>132</v>
      </c>
      <c r="C6" s="10">
        <v>0</v>
      </c>
      <c r="D6" s="42" t="s">
        <v>132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258</v>
      </c>
      <c r="AH6" s="9">
        <f>AG6-AF6</f>
        <v>105936</v>
      </c>
      <c r="AI6" s="10" t="s">
        <v>160</v>
      </c>
      <c r="AJ6" s="10" t="s">
        <v>161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96" t="s">
        <v>0</v>
      </c>
      <c r="B3" s="196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255</v>
      </c>
      <c r="C5" s="10">
        <v>0</v>
      </c>
      <c r="D5" s="42" t="s">
        <v>255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254</v>
      </c>
      <c r="AL5" s="72" t="s">
        <v>178</v>
      </c>
    </row>
    <row r="6" spans="1:38" ht="15">
      <c r="A6" s="10">
        <v>2</v>
      </c>
      <c r="B6" s="42" t="s">
        <v>253</v>
      </c>
      <c r="C6" s="10">
        <v>0</v>
      </c>
      <c r="D6" s="42" t="s">
        <v>253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254</v>
      </c>
      <c r="AL6" s="66" t="s">
        <v>178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tabSelected="1" topLeftCell="AH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96" t="s">
        <v>0</v>
      </c>
      <c r="B3" s="196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253</v>
      </c>
      <c r="C5" s="10">
        <v>0</v>
      </c>
      <c r="D5" s="42" t="s">
        <v>253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254</v>
      </c>
      <c r="AL5" s="72" t="s">
        <v>278</v>
      </c>
    </row>
    <row r="6" spans="1:38" ht="15">
      <c r="A6" s="10">
        <v>2</v>
      </c>
      <c r="B6" s="42" t="s">
        <v>255</v>
      </c>
      <c r="C6" s="10">
        <v>0</v>
      </c>
      <c r="D6" s="42" t="s">
        <v>255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254</v>
      </c>
      <c r="AL6" s="66" t="s">
        <v>278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96" t="s">
        <v>0</v>
      </c>
      <c r="B3" s="196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96" t="s">
        <v>0</v>
      </c>
      <c r="B3" s="196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96" t="s">
        <v>0</v>
      </c>
      <c r="B3" s="196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160</v>
      </c>
      <c r="AJ5" s="10" t="s">
        <v>161</v>
      </c>
      <c r="AK5" s="72" t="s">
        <v>175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96" t="s">
        <v>0</v>
      </c>
      <c r="B3" s="196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263</v>
      </c>
      <c r="AH5" s="34">
        <f>AG5-AF5</f>
        <v>99160</v>
      </c>
      <c r="AI5" s="10" t="s">
        <v>192</v>
      </c>
      <c r="AJ5" s="10" t="s">
        <v>161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96" t="s">
        <v>0</v>
      </c>
      <c r="B3" s="196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132</v>
      </c>
      <c r="C5" s="10">
        <v>0</v>
      </c>
      <c r="D5" s="42" t="s">
        <v>132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263</v>
      </c>
      <c r="AH5" s="34">
        <f>AG5-AF5</f>
        <v>99160</v>
      </c>
      <c r="AI5" s="10" t="s">
        <v>192</v>
      </c>
      <c r="AJ5" s="10" t="s">
        <v>161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118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109</v>
      </c>
      <c r="C4" s="11" t="s">
        <v>114</v>
      </c>
      <c r="D4" s="11" t="s">
        <v>115</v>
      </c>
      <c r="E4" s="58"/>
    </row>
    <row r="5" spans="1:5" ht="15">
      <c r="A5" s="10">
        <v>1</v>
      </c>
      <c r="B5" s="29" t="s">
        <v>237</v>
      </c>
      <c r="C5" s="42" t="s">
        <v>117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7" t="s">
        <v>119</v>
      </c>
      <c r="B1" s="197"/>
      <c r="C1" s="197"/>
      <c r="D1" s="197"/>
    </row>
    <row r="2" spans="1:5" ht="18">
      <c r="D2" s="112"/>
    </row>
    <row r="3" spans="1:5" ht="19.899999999999999" customHeight="1">
      <c r="A3" s="196"/>
      <c r="B3" s="196"/>
      <c r="C3" s="111"/>
      <c r="D3" s="111"/>
    </row>
    <row r="4" spans="1:5" s="31" customFormat="1">
      <c r="A4" s="11" t="s">
        <v>5</v>
      </c>
      <c r="B4" s="11" t="s">
        <v>109</v>
      </c>
      <c r="C4" s="11" t="s">
        <v>114</v>
      </c>
      <c r="D4" s="11" t="s">
        <v>115</v>
      </c>
      <c r="E4" s="58"/>
    </row>
    <row r="5" spans="1:5" ht="15">
      <c r="A5" s="10">
        <v>1</v>
      </c>
      <c r="B5" s="29" t="s">
        <v>209</v>
      </c>
      <c r="C5" s="42" t="s">
        <v>116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42" t="s">
        <v>57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194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topLeftCell="D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42" t="s">
        <v>57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189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114" t="s">
        <v>127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95" t="s">
        <v>245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topLeftCell="C1"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124</v>
      </c>
      <c r="C5" s="114" t="s">
        <v>127</v>
      </c>
      <c r="D5" s="10" t="s">
        <v>113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128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133</v>
      </c>
      <c r="C5" s="114" t="s">
        <v>127</v>
      </c>
      <c r="D5" s="10" t="s">
        <v>135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196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9"/>
    </row>
    <row r="3" spans="1:16" ht="19.899999999999999" customHeight="1">
      <c r="A3" s="196"/>
      <c r="B3" s="196"/>
      <c r="C3" s="118"/>
      <c r="D3" s="118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133</v>
      </c>
      <c r="C5" s="114" t="s">
        <v>127</v>
      </c>
      <c r="D5" s="10" t="s">
        <v>135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191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65"/>
    </row>
    <row r="3" spans="1:16" ht="19.899999999999999" customHeight="1">
      <c r="A3" s="196"/>
      <c r="B3" s="196"/>
      <c r="C3" s="164"/>
      <c r="D3" s="164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126</v>
      </c>
      <c r="C5" s="114" t="s">
        <v>127</v>
      </c>
      <c r="D5" s="10" t="s">
        <v>243</v>
      </c>
      <c r="E5" s="67" t="s">
        <v>122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147</v>
      </c>
      <c r="O5" s="123">
        <v>88363221</v>
      </c>
      <c r="P5" s="10" t="s">
        <v>195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7" t="s">
        <v>123</v>
      </c>
      <c r="B1" s="197"/>
      <c r="C1" s="197"/>
      <c r="D1" s="197"/>
    </row>
    <row r="2" spans="1:16" ht="18">
      <c r="D2" s="112"/>
    </row>
    <row r="3" spans="1:16" ht="19.899999999999999" customHeight="1">
      <c r="A3" s="196"/>
      <c r="B3" s="196"/>
      <c r="C3" s="111"/>
      <c r="D3" s="111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114" t="s">
        <v>126</v>
      </c>
      <c r="C5" s="114" t="s">
        <v>127</v>
      </c>
      <c r="D5" s="10" t="s">
        <v>243</v>
      </c>
      <c r="E5" s="67" t="s">
        <v>122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147</v>
      </c>
      <c r="O5" s="123">
        <v>88363221</v>
      </c>
      <c r="P5" s="10" t="s">
        <v>190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97" t="s">
        <v>123</v>
      </c>
      <c r="B1" s="197"/>
      <c r="C1" s="197"/>
      <c r="D1" s="197"/>
    </row>
    <row r="2" spans="1:15" ht="18">
      <c r="D2" s="112"/>
    </row>
    <row r="3" spans="1:15" ht="19.899999999999999" customHeight="1">
      <c r="A3" s="196"/>
      <c r="B3" s="196"/>
      <c r="C3" s="111"/>
      <c r="D3" s="111"/>
    </row>
    <row r="4" spans="1:15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</row>
    <row r="5" spans="1:15" ht="15">
      <c r="A5" s="10">
        <v>1</v>
      </c>
      <c r="B5" s="42" t="s">
        <v>120</v>
      </c>
      <c r="C5" s="42" t="s">
        <v>57</v>
      </c>
      <c r="D5" s="10" t="s">
        <v>243</v>
      </c>
      <c r="E5" s="67" t="s">
        <v>122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147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134</v>
      </c>
      <c r="B1" s="197"/>
      <c r="C1" s="197"/>
      <c r="D1" s="197"/>
    </row>
    <row r="2" spans="1:16" ht="18">
      <c r="D2" s="168"/>
    </row>
    <row r="3" spans="1:16" ht="19.899999999999999" customHeight="1">
      <c r="A3" s="196"/>
      <c r="B3" s="196"/>
      <c r="C3" s="167"/>
      <c r="D3" s="167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42" t="s">
        <v>133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245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topLeftCell="C1" workbookViewId="0">
      <selection activeCell="P5" sqref="P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7" t="s">
        <v>134</v>
      </c>
      <c r="B1" s="197"/>
      <c r="C1" s="197"/>
      <c r="D1" s="197"/>
    </row>
    <row r="2" spans="1:16" ht="18">
      <c r="D2" s="121"/>
    </row>
    <row r="3" spans="1:16" ht="19.899999999999999" customHeight="1">
      <c r="A3" s="196"/>
      <c r="B3" s="196"/>
      <c r="C3" s="120"/>
      <c r="D3" s="120"/>
    </row>
    <row r="4" spans="1:16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125</v>
      </c>
    </row>
    <row r="5" spans="1:16" ht="15">
      <c r="A5" s="10">
        <v>1</v>
      </c>
      <c r="B5" s="42" t="s">
        <v>133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128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97" t="s">
        <v>131</v>
      </c>
      <c r="B1" s="197"/>
      <c r="C1" s="197"/>
      <c r="D1" s="197"/>
    </row>
    <row r="2" spans="1:15" ht="18">
      <c r="D2" s="117"/>
    </row>
    <row r="3" spans="1:15" ht="19.899999999999999" customHeight="1">
      <c r="A3" s="196"/>
      <c r="B3" s="196"/>
      <c r="C3" s="116"/>
      <c r="D3" s="116"/>
    </row>
    <row r="4" spans="1:15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</row>
    <row r="5" spans="1:15" ht="15">
      <c r="A5" s="10">
        <v>1</v>
      </c>
      <c r="B5" s="42" t="s">
        <v>130</v>
      </c>
      <c r="C5" s="42" t="s">
        <v>57</v>
      </c>
      <c r="D5" s="10" t="s">
        <v>129</v>
      </c>
      <c r="E5" s="67" t="s">
        <v>122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25" sqref="D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154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57</v>
      </c>
      <c r="D5" s="10" t="s">
        <v>113</v>
      </c>
      <c r="E5" s="67" t="s">
        <v>122</v>
      </c>
      <c r="F5" s="29" t="s">
        <v>116</v>
      </c>
      <c r="G5" s="29" t="s">
        <v>275</v>
      </c>
      <c r="H5" s="29" t="s">
        <v>148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IF($D$3=1,ROUND(((K5*N5)/2),2),0)</f>
        <v>39.380000000000003</v>
      </c>
      <c r="P5" s="34">
        <f>IF($D$3=1,ROUND(((K5*N5)/2),2),0)</f>
        <v>39.380000000000003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5"/>
  <sheetViews>
    <sheetView topLeftCell="H1" workbookViewId="0">
      <selection activeCell="T7" sqref="T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153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275</v>
      </c>
      <c r="H5" s="29" t="s">
        <v>148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10" sqref="I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244</v>
      </c>
      <c r="H5" s="29" t="s">
        <v>148</v>
      </c>
      <c r="I5" s="10">
        <f>ROUND(C5*H5/F5,3)</f>
        <v>10</v>
      </c>
      <c r="J5" s="10">
        <f>I5*(G5/C5)</f>
        <v>17.5</v>
      </c>
      <c r="K5" s="10">
        <f>I5*G5</f>
        <v>350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31.5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31.5</v>
      </c>
      <c r="S5" s="34">
        <f>ROUND(O5+P5+Q5+R5,2)</f>
        <v>63</v>
      </c>
      <c r="T5" s="34">
        <f>ROUND(IF($J$3=1, K5+S5, K5),2)</f>
        <v>413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25" sqref="G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158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4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57</v>
      </c>
      <c r="D5" s="10" t="s">
        <v>113</v>
      </c>
      <c r="E5" s="67" t="s">
        <v>122</v>
      </c>
      <c r="F5" s="29" t="s">
        <v>116</v>
      </c>
      <c r="G5" s="29" t="s">
        <v>244</v>
      </c>
      <c r="H5" s="29" t="s">
        <v>148</v>
      </c>
      <c r="I5" s="10">
        <f>ROUND(C5*H5/F5,3)</f>
        <v>12.5</v>
      </c>
      <c r="J5" s="10">
        <f>I5*(G5/C5)</f>
        <v>17.5</v>
      </c>
      <c r="K5" s="10">
        <f>I5*G5</f>
        <v>437.5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39.380000000000003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39.380000000000003</v>
      </c>
      <c r="S5" s="34">
        <f>ROUND(O5+P5+Q5+R5,2)</f>
        <v>78.760000000000005</v>
      </c>
      <c r="T5" s="34">
        <f>ROUND(IF($J$3=1, K5+S5, K5),2)</f>
        <v>437.5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16" sqref="E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2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57</v>
      </c>
      <c r="D5" s="10" t="s">
        <v>113</v>
      </c>
      <c r="E5" s="67" t="s">
        <v>122</v>
      </c>
      <c r="F5" s="29" t="s">
        <v>116</v>
      </c>
      <c r="G5" s="29" t="s">
        <v>275</v>
      </c>
      <c r="H5" s="29" t="s">
        <v>116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147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5" sqref="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bestFit="true" customWidth="true" style="29" width="60.140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150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6" t="s">
        <v>0</v>
      </c>
      <c r="B3" s="196"/>
      <c r="C3" s="128"/>
      <c r="D3" s="3">
        <v>1</v>
      </c>
      <c r="E3" s="4" t="s">
        <v>156</v>
      </c>
      <c r="F3" s="5"/>
      <c r="G3" s="5"/>
      <c r="H3" s="5"/>
      <c r="I3" s="6"/>
      <c r="J3" s="6">
        <v>1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169</v>
      </c>
      <c r="H5" s="29" t="s">
        <v>148</v>
      </c>
      <c r="I5" s="10">
        <f>ROUND(C5*H5/F5,3)</f>
        <v>10</v>
      </c>
      <c r="J5" s="10">
        <f>I5*(G5/C5)</f>
        <v>15</v>
      </c>
      <c r="K5" s="10">
        <f>I5*G5</f>
        <v>300</v>
      </c>
      <c r="L5" s="29" t="s">
        <v>32</v>
      </c>
      <c r="M5" s="33">
        <v>88363221</v>
      </c>
      <c r="N5" s="22">
        <v>0.18</v>
      </c>
      <c r="O5" s="34">
        <f>IF($D$3=1,ROUND(((K5*N5)/2),2),0)</f>
        <v>27</v>
      </c>
      <c r="P5" s="34">
        <f>IF($D$3=1,ROUND(((K5*N5)/2),2),0)</f>
        <v>27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54</v>
      </c>
      <c r="T5" s="34">
        <f>ROUND(IF($J$3=1, K5+S5, K5),2)</f>
        <v>354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75"/>
    </row>
    <row r="3" spans="1:17" ht="19.899999999999999" customHeight="1">
      <c r="A3" s="196"/>
      <c r="B3" s="196"/>
      <c r="C3" s="174"/>
      <c r="D3" s="174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213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71"/>
    </row>
    <row r="3" spans="1:17" ht="19.899999999999999" customHeight="1">
      <c r="A3" s="196"/>
      <c r="B3" s="196"/>
      <c r="C3" s="170"/>
      <c r="D3" s="170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210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7" t="s">
        <v>110</v>
      </c>
      <c r="B1" s="197"/>
      <c r="C1" s="197"/>
      <c r="D1" s="197"/>
    </row>
    <row r="2" spans="1:17" ht="18">
      <c r="D2" s="109"/>
    </row>
    <row r="3" spans="1:17" ht="19.899999999999999" customHeight="1">
      <c r="A3" s="196"/>
      <c r="B3" s="196"/>
      <c r="C3" s="110"/>
      <c r="D3" s="108"/>
    </row>
    <row r="4" spans="1:17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15" t="s">
        <v>114</v>
      </c>
      <c r="G4" s="115" t="s">
        <v>115</v>
      </c>
      <c r="H4" s="115" t="s">
        <v>136</v>
      </c>
      <c r="I4" s="115" t="s">
        <v>137</v>
      </c>
      <c r="J4" s="115" t="s">
        <v>138</v>
      </c>
      <c r="K4" s="115" t="s">
        <v>139</v>
      </c>
      <c r="L4" s="115" t="s">
        <v>140</v>
      </c>
      <c r="M4" s="115" t="s">
        <v>141</v>
      </c>
      <c r="N4" s="115" t="s">
        <v>146</v>
      </c>
      <c r="O4" s="115" t="s">
        <v>89</v>
      </c>
      <c r="P4" s="115" t="s">
        <v>142</v>
      </c>
      <c r="Q4" s="115" t="s">
        <v>143</v>
      </c>
    </row>
    <row r="5" spans="1:17" ht="15">
      <c r="A5" s="10">
        <v>1</v>
      </c>
      <c r="B5" s="42" t="s">
        <v>111</v>
      </c>
      <c r="C5" s="42" t="s">
        <v>127</v>
      </c>
      <c r="D5" s="10" t="s">
        <v>113</v>
      </c>
      <c r="E5" s="67" t="s">
        <v>122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144</v>
      </c>
      <c r="Q5" s="10" t="s">
        <v>145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97" t="s">
        <v>197</v>
      </c>
      <c r="B1" s="197"/>
    </row>
    <row r="3" spans="1:4" ht="19.899999999999999" customHeight="1">
      <c r="A3" s="198" t="s">
        <v>206</v>
      </c>
      <c r="B3" s="198"/>
    </row>
    <row r="4" spans="1:4" s="31" customFormat="1">
      <c r="A4" s="11" t="s">
        <v>198</v>
      </c>
      <c r="B4" s="11" t="s">
        <v>199</v>
      </c>
    </row>
    <row r="5" spans="1:4">
      <c r="A5" s="29" t="s">
        <v>205</v>
      </c>
      <c r="B5" s="29" t="s">
        <v>203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workbookViewId="0">
      <selection activeCell="H5" sqref="H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97" t="s">
        <v>197</v>
      </c>
      <c r="B1" s="197"/>
      <c r="C1" s="197"/>
      <c r="D1" s="197"/>
    </row>
    <row r="2" spans="1:8" ht="18">
      <c r="D2" s="169"/>
    </row>
    <row r="3" spans="1:8" ht="19.899999999999999" customHeight="1">
      <c r="A3" s="198" t="s">
        <v>206</v>
      </c>
      <c r="B3" s="198"/>
      <c r="C3" s="198"/>
      <c r="D3" s="198"/>
      <c r="E3" s="199" t="s">
        <v>208</v>
      </c>
      <c r="F3" s="199"/>
      <c r="G3" s="199" t="s">
        <v>214</v>
      </c>
      <c r="H3" s="199"/>
    </row>
    <row r="4" spans="1:8" s="31" customFormat="1">
      <c r="A4" s="11" t="s">
        <v>200</v>
      </c>
      <c r="B4" s="11" t="s">
        <v>201</v>
      </c>
      <c r="C4" s="11" t="s">
        <v>202</v>
      </c>
      <c r="D4" s="11" t="s">
        <v>204</v>
      </c>
      <c r="E4" s="11" t="s">
        <v>198</v>
      </c>
      <c r="F4" s="11" t="s">
        <v>199</v>
      </c>
      <c r="G4" s="11" t="s">
        <v>198</v>
      </c>
      <c r="H4" s="11" t="s">
        <v>199</v>
      </c>
    </row>
    <row r="5" spans="1:8" ht="15">
      <c r="A5" s="122" t="s">
        <v>205</v>
      </c>
      <c r="B5" s="42" t="s">
        <v>203</v>
      </c>
      <c r="C5" s="42" t="s">
        <v>203</v>
      </c>
      <c r="D5" s="10">
        <v>11</v>
      </c>
      <c r="E5" s="122" t="s">
        <v>207</v>
      </c>
      <c r="F5" s="114" t="s">
        <v>148</v>
      </c>
      <c r="G5" s="122" t="s">
        <v>203</v>
      </c>
      <c r="H5" s="42" t="s">
        <v>203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7" t="s">
        <v>152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96" t="s">
        <v>0</v>
      </c>
      <c r="B3" s="196"/>
      <c r="C3" s="130"/>
      <c r="D3" s="3">
        <v>2</v>
      </c>
      <c r="E3" s="4" t="s">
        <v>156</v>
      </c>
      <c r="F3" s="5"/>
      <c r="G3" s="5"/>
      <c r="H3" s="5"/>
      <c r="I3" s="6"/>
      <c r="J3" s="6">
        <v>2</v>
      </c>
      <c r="K3" s="7" t="s">
        <v>149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112</v>
      </c>
      <c r="D4" s="11" t="s">
        <v>109</v>
      </c>
      <c r="E4" s="113" t="s">
        <v>121</v>
      </c>
      <c r="F4" s="126" t="s">
        <v>114</v>
      </c>
      <c r="G4" s="126" t="s">
        <v>115</v>
      </c>
      <c r="H4" s="126" t="s">
        <v>136</v>
      </c>
      <c r="I4" s="115" t="s">
        <v>137</v>
      </c>
      <c r="J4" s="115" t="s">
        <v>138</v>
      </c>
      <c r="K4" s="115" t="s">
        <v>139</v>
      </c>
      <c r="L4" s="127" t="s">
        <v>146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157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111</v>
      </c>
      <c r="C5" s="29" t="s">
        <v>151</v>
      </c>
      <c r="D5" s="10" t="s">
        <v>113</v>
      </c>
      <c r="E5" s="67" t="s">
        <v>122</v>
      </c>
      <c r="F5" s="29" t="s">
        <v>116</v>
      </c>
      <c r="G5" s="29" t="s">
        <v>155</v>
      </c>
      <c r="H5" s="29" t="s">
        <v>148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200" t="s">
        <v>39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134"/>
      <c r="AB1" s="134"/>
      <c r="AC1" s="134"/>
      <c r="AD1" s="135"/>
      <c r="AE1" s="135"/>
      <c r="AF1" s="135"/>
    </row>
    <row r="2" spans="1:38" ht="18">
      <c r="A2" s="134" t="s">
        <v>181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201" t="s">
        <v>0</v>
      </c>
      <c r="B3" s="201"/>
      <c r="C3" s="138"/>
      <c r="D3" s="139">
        <v>2</v>
      </c>
      <c r="E3" s="140" t="s">
        <v>182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183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170</v>
      </c>
      <c r="AH5" s="9">
        <f>AG5-AF5</f>
        <v>99896</v>
      </c>
      <c r="AI5" s="10" t="s">
        <v>160</v>
      </c>
      <c r="AJ5" s="10" t="s">
        <v>161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184</v>
      </c>
      <c r="C6" s="155">
        <v>0</v>
      </c>
      <c r="D6" s="32" t="s">
        <v>184</v>
      </c>
      <c r="E6" s="155" t="s">
        <v>147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183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171</v>
      </c>
      <c r="AH6" s="9">
        <f>AG6-AF6</f>
        <v>99966.667000000001</v>
      </c>
      <c r="AI6" s="10" t="s">
        <v>160</v>
      </c>
      <c r="AJ6" s="10" t="s">
        <v>161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185</v>
      </c>
      <c r="R7" s="161"/>
      <c r="S7" s="161"/>
      <c r="T7" s="161"/>
      <c r="U7" s="159"/>
      <c r="V7" s="159"/>
      <c r="W7" s="160"/>
      <c r="X7" s="159"/>
      <c r="Y7" s="159"/>
      <c r="Z7" s="161" t="s">
        <v>186</v>
      </c>
      <c r="AA7" s="161"/>
      <c r="AB7" s="162">
        <f>SUM(AB5:AB6)</f>
        <v>45016.36</v>
      </c>
      <c r="AC7" s="161" t="s">
        <v>187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215</v>
      </c>
      <c r="AH5" s="9">
        <f>AG5-AF5</f>
        <v>54751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211</v>
      </c>
      <c r="AH5" s="9">
        <f>AG5-AF5</f>
        <v>93801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7" t="s">
        <v>39</v>
      </c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6" t="s">
        <v>0</v>
      </c>
      <c r="B3" s="196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132</v>
      </c>
      <c r="C5" s="10">
        <v>0</v>
      </c>
      <c r="D5" s="37" t="s">
        <v>132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212</v>
      </c>
      <c r="AH5" s="9">
        <f>AG5-AF5</f>
        <v>90991</v>
      </c>
      <c r="AI5" s="10" t="s">
        <v>160</v>
      </c>
      <c r="AJ5" s="10" t="s">
        <v>161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14.5703125"/>
    <col min="5" max="5" bestFit="true" customWidth="true" style="29" width="19.42578125"/>
    <col min="6" max="6" customWidth="true" style="29" width="16.7109375"/>
    <col min="7" max="16384" style="29" width="9.140625"/>
  </cols>
  <sheetData>
    <row r="1" spans="1:6" ht="27.75" customHeight="1">
      <c r="A1" s="197" t="s">
        <v>216</v>
      </c>
      <c r="B1" s="197"/>
      <c r="C1" s="197"/>
      <c r="D1" s="197"/>
      <c r="E1" s="176"/>
    </row>
    <row r="3" spans="1:6" ht="19.899999999999999" customHeight="1">
      <c r="A3" s="198" t="s">
        <v>217</v>
      </c>
      <c r="B3" s="198"/>
      <c r="C3" s="198"/>
      <c r="D3" s="198"/>
      <c r="E3" s="198"/>
      <c r="F3" s="198"/>
    </row>
    <row r="4" spans="1:6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</row>
    <row r="5" spans="1:6">
      <c r="A5" s="29" t="s">
        <v>224</v>
      </c>
      <c r="B5" s="29" t="s">
        <v>224</v>
      </c>
      <c r="C5" s="29" t="s">
        <v>193</v>
      </c>
      <c r="D5" s="29" t="s">
        <v>127</v>
      </c>
      <c r="E5" s="10">
        <f>C5*D5</f>
        <v>750</v>
      </c>
      <c r="F5" s="33">
        <f>E5-B5</f>
        <v>375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selection activeCell="C6" sqref="C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7" bestFit="true" customWidth="true" style="29" width="16.85546875"/>
    <col min="8" max="8" bestFit="true" customWidth="true" style="29" width="26.85546875"/>
    <col min="9" max="16" style="29" width="9.14062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18" ht="27.75" customHeight="1">
      <c r="A1" s="197" t="s">
        <v>231</v>
      </c>
      <c r="B1" s="197"/>
      <c r="C1" s="197"/>
      <c r="D1" s="197"/>
      <c r="E1" s="177"/>
    </row>
    <row r="3" spans="1:18" ht="19.899999999999999" customHeight="1">
      <c r="A3" s="198" t="s">
        <v>217</v>
      </c>
      <c r="B3" s="198"/>
      <c r="C3" s="198"/>
      <c r="D3" s="198"/>
      <c r="E3" s="198"/>
      <c r="F3" s="198"/>
    </row>
    <row r="4" spans="1:18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87" t="s">
        <v>238</v>
      </c>
      <c r="H4" s="187" t="s">
        <v>239</v>
      </c>
      <c r="Q4" s="187" t="s">
        <v>238</v>
      </c>
      <c r="R4" s="187" t="s">
        <v>239</v>
      </c>
    </row>
    <row r="5" spans="1:18">
      <c r="A5" s="29" t="s">
        <v>224</v>
      </c>
      <c r="B5" s="29" t="s">
        <v>224</v>
      </c>
      <c r="C5" s="29" t="s">
        <v>193</v>
      </c>
      <c r="D5" s="29" t="s">
        <v>127</v>
      </c>
      <c r="E5" s="10">
        <f>C5*D5</f>
        <v>750</v>
      </c>
      <c r="F5" s="33"/>
      <c r="G5" s="29">
        <v>25</v>
      </c>
      <c r="H5" s="29">
        <f>B5-G5</f>
        <v>350</v>
      </c>
      <c r="Q5" s="29" t="s">
        <v>240</v>
      </c>
      <c r="R5" s="29">
        <f>B5-Q5</f>
        <v>175</v>
      </c>
    </row>
    <row r="6" spans="1:18">
      <c r="A6" s="10"/>
      <c r="B6" s="10"/>
      <c r="C6" s="10">
        <v>55</v>
      </c>
      <c r="D6" s="10">
        <v>1</v>
      </c>
      <c r="E6" s="10">
        <f>C6*D6</f>
        <v>55</v>
      </c>
      <c r="F6" s="10"/>
    </row>
    <row r="7" spans="1:18">
      <c r="A7" s="10"/>
      <c r="B7" s="10"/>
      <c r="C7" s="10"/>
      <c r="D7" s="178" t="s">
        <v>230</v>
      </c>
      <c r="E7" s="10">
        <f>SUM(E5:E6)</f>
        <v>805</v>
      </c>
      <c r="F7" s="10">
        <f>E7-B5</f>
        <v>430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J2" sqref="J2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217</v>
      </c>
      <c r="B3" s="198"/>
      <c r="C3" s="198"/>
      <c r="D3" s="198"/>
      <c r="E3" s="198"/>
      <c r="F3" s="198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  <c r="Q4" s="187" t="s">
        <v>238</v>
      </c>
      <c r="R4" s="187" t="s">
        <v>239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 t="s">
        <v>240</v>
      </c>
      <c r="R5" s="29">
        <f>O5-Q5</f>
        <v>219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3:F3"/>
    <mergeCell ref="A2:B2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N5" sqref="N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79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G8" sqref="G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81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232</v>
      </c>
      <c r="B5" s="29" t="s">
        <v>232</v>
      </c>
      <c r="C5" s="29" t="s">
        <v>193</v>
      </c>
      <c r="D5" s="29" t="s">
        <v>127</v>
      </c>
      <c r="E5" s="10">
        <f>C5*D5</f>
        <v>750</v>
      </c>
      <c r="F5" s="33">
        <f>M5-B5</f>
        <v>396</v>
      </c>
      <c r="G5" s="22">
        <v>0.18</v>
      </c>
      <c r="H5" s="10">
        <f>IF(OR($D$2=1,$D$2=4),ROUND(((E5*G5)/2),2),0)</f>
        <v>67.5</v>
      </c>
      <c r="I5" s="10">
        <f>IF($D$2=1,ROUND(((E5*G5)/2),2),0)</f>
        <v>67.5</v>
      </c>
      <c r="J5" s="10">
        <f>IF($D$2=2,ROUND((E5*G5),2),0)</f>
        <v>0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M7"/>
  <sheetViews>
    <sheetView topLeftCell="A4"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82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217</v>
      </c>
      <c r="B3" s="198"/>
      <c r="C3" s="198"/>
      <c r="D3" s="198"/>
      <c r="E3" s="198"/>
      <c r="F3" s="198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  <c r="Q4" s="187" t="s">
        <v>238</v>
      </c>
      <c r="R4" s="187" t="s">
        <v>239</v>
      </c>
    </row>
    <row r="5" spans="1:39">
      <c r="A5" s="29" t="s">
        <v>232</v>
      </c>
      <c r="B5" s="29">
        <v>354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M5</f>
        <v>355</v>
      </c>
      <c r="O5" s="29">
        <f>IF(N5-INT(N5) &gt;= 0.5, INT(N5)+1, INT(N5))</f>
        <v>355</v>
      </c>
      <c r="P5" s="36">
        <f>N5-O5</f>
        <v>0</v>
      </c>
      <c r="Q5" s="29">
        <v>25</v>
      </c>
      <c r="R5" s="29">
        <f>O5-Q5</f>
        <v>330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5" sqref="F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8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236</v>
      </c>
      <c r="B5" s="29" t="s">
        <v>236</v>
      </c>
      <c r="C5" s="29" t="s">
        <v>193</v>
      </c>
      <c r="D5" s="29" t="s">
        <v>248</v>
      </c>
      <c r="E5" s="10">
        <f>C5*D5</f>
        <v>375</v>
      </c>
      <c r="F5" s="34">
        <f>M5-B5</f>
        <v>-67.5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67.5</v>
      </c>
      <c r="K5" s="10">
        <f>IF($D$2=4,ROUND(((E5*G5)/2),2),0)</f>
        <v>0</v>
      </c>
      <c r="L5" s="10">
        <f>H5+I5+J5+K5</f>
        <v>67.5</v>
      </c>
      <c r="M5" s="10">
        <f>IF($J2=1,E5+L5,E5)</f>
        <v>375</v>
      </c>
      <c r="N5" s="10">
        <f>M5</f>
        <v>375</v>
      </c>
      <c r="O5" s="29">
        <f>IF(N5-INT(N5) &gt;= 0.5, INT(N5)+1, INT(N5))</f>
        <v>375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M7"/>
  <sheetViews>
    <sheetView topLeftCell="F1" workbookViewId="0">
      <selection activeCell="M5" sqref="M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8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217</v>
      </c>
      <c r="B3" s="198"/>
      <c r="C3" s="198"/>
      <c r="D3" s="198"/>
      <c r="E3" s="198"/>
      <c r="F3" s="198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  <c r="Q4" s="187" t="s">
        <v>238</v>
      </c>
      <c r="R4" s="187" t="s">
        <v>239</v>
      </c>
    </row>
    <row r="5" spans="1:39">
      <c r="A5" s="29" t="s">
        <v>236</v>
      </c>
      <c r="B5" s="29" t="s">
        <v>236</v>
      </c>
      <c r="C5" s="29" t="s">
        <v>193</v>
      </c>
      <c r="D5" s="29" t="s">
        <v>248</v>
      </c>
      <c r="E5" s="10">
        <f>C5*D5</f>
        <v>375</v>
      </c>
      <c r="F5" s="10">
        <f>M5-B5</f>
        <v>-12.5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67.5</v>
      </c>
      <c r="K5" s="29">
        <f>IF($D$2=4,ROUND(((E5*G5)/2),2),0)</f>
        <v>0</v>
      </c>
      <c r="L5" s="29">
        <f>ROUND(H5+I5+J5+K5,0)</f>
        <v>68</v>
      </c>
      <c r="M5" s="29">
        <f>IF($J2=1,E7+L7,E7)</f>
        <v>430</v>
      </c>
      <c r="N5" s="10">
        <f>M5</f>
        <v>430</v>
      </c>
      <c r="O5" s="29">
        <f>IF(N5-INT(N5) &gt;= 0.5, INT(N5)+1, INT(N5))</f>
        <v>430</v>
      </c>
      <c r="P5" s="36">
        <f>N5-O5</f>
        <v>0</v>
      </c>
      <c r="R5" s="29">
        <f>O5-Q5</f>
        <v>430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230</v>
      </c>
      <c r="E7" s="10">
        <f>SUM(E5:E6)</f>
        <v>430</v>
      </c>
      <c r="F7" s="10"/>
      <c r="L7" s="29">
        <f>L5+L6</f>
        <v>78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M21"/>
  <sheetViews>
    <sheetView topLeftCell="D1" workbookViewId="0">
      <selection activeCell="E10" sqref="E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85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M7"/>
  <sheetViews>
    <sheetView topLeftCell="G1" workbookViewId="0">
      <selection activeCell="S1" sqref="S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9" customWidth="true" style="29" width="27.85546875"/>
    <col min="20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89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217</v>
      </c>
      <c r="B3" s="198"/>
      <c r="C3" s="198"/>
      <c r="D3" s="198"/>
      <c r="E3" s="198"/>
      <c r="F3" s="198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  <c r="Q4" s="187" t="s">
        <v>238</v>
      </c>
      <c r="R4" s="187" t="s">
        <v>239</v>
      </c>
      <c r="S4" s="187" t="s">
        <v>241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  <c r="S5" s="29" t="s">
        <v>242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86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217</v>
      </c>
      <c r="B3" s="198"/>
      <c r="C3" s="198"/>
      <c r="D3" s="198"/>
      <c r="E3" s="198"/>
      <c r="F3" s="198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  <c r="Q4" s="187" t="s">
        <v>238</v>
      </c>
      <c r="R4" s="187" t="s">
        <v>239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6" sqref="D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88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5" sqref="E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90"/>
    </row>
    <row r="2" spans="1:39" ht="19.899999999999999" customHeight="1">
      <c r="A2" s="196" t="s">
        <v>0</v>
      </c>
      <c r="B2" s="196"/>
      <c r="D2" s="29">
        <v>1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232</v>
      </c>
      <c r="B5" s="29" t="s">
        <v>232</v>
      </c>
      <c r="C5" s="29" t="s">
        <v>193</v>
      </c>
      <c r="D5" s="29">
        <v>10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1" sqref="E1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91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25" sqref="F2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92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1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217</v>
      </c>
      <c r="B3" s="198"/>
      <c r="C3" s="198"/>
      <c r="D3" s="198"/>
      <c r="E3" s="198"/>
      <c r="F3" s="198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  <c r="Q4" s="187" t="s">
        <v>238</v>
      </c>
      <c r="R4" s="187" t="s">
        <v>239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9" sqref="F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236</v>
      </c>
      <c r="B5" s="29" t="s">
        <v>236</v>
      </c>
      <c r="C5" s="29" t="s">
        <v>193</v>
      </c>
      <c r="D5" s="29">
        <v>10</v>
      </c>
      <c r="E5" s="10">
        <f>C5*D5</f>
        <v>300</v>
      </c>
      <c r="F5" s="34">
        <f>M5-B5</f>
        <v>-142.5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M8" sqref="M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93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217</v>
      </c>
      <c r="B3" s="198"/>
      <c r="C3" s="198"/>
      <c r="D3" s="198"/>
      <c r="E3" s="198"/>
      <c r="F3" s="198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  <c r="Q4" s="187" t="s">
        <v>238</v>
      </c>
      <c r="R4" s="187" t="s">
        <v>239</v>
      </c>
    </row>
    <row r="5" spans="1:39">
      <c r="A5" s="29" t="s">
        <v>236</v>
      </c>
      <c r="B5" s="29" t="s">
        <v>236</v>
      </c>
      <c r="C5" s="29" t="s">
        <v>193</v>
      </c>
      <c r="D5" s="29" t="s">
        <v>127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230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10" sqref="D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2" t="s">
        <v>217</v>
      </c>
      <c r="B3" s="202"/>
      <c r="C3" s="202"/>
      <c r="D3" s="202"/>
      <c r="E3" s="202"/>
      <c r="F3" s="202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7" t="s">
        <v>231</v>
      </c>
      <c r="B1" s="197"/>
      <c r="C1" s="197"/>
      <c r="D1" s="197"/>
      <c r="E1" s="194"/>
    </row>
    <row r="2" spans="1:39" ht="19.899999999999999" customHeight="1">
      <c r="A2" s="196" t="s">
        <v>0</v>
      </c>
      <c r="B2" s="196"/>
      <c r="D2" s="29">
        <v>2</v>
      </c>
      <c r="E2" s="4" t="s">
        <v>156</v>
      </c>
      <c r="F2" s="5"/>
      <c r="G2" s="5"/>
      <c r="H2" s="5"/>
      <c r="I2" s="6"/>
      <c r="J2" s="6">
        <v>2</v>
      </c>
      <c r="K2" s="7" t="s">
        <v>149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8" t="s">
        <v>217</v>
      </c>
      <c r="B3" s="198"/>
      <c r="C3" s="198"/>
      <c r="D3" s="198"/>
      <c r="E3" s="198"/>
      <c r="F3" s="198"/>
    </row>
    <row r="4" spans="1:39" s="31" customFormat="1">
      <c r="A4" s="11" t="s">
        <v>218</v>
      </c>
      <c r="B4" s="11" t="s">
        <v>219</v>
      </c>
      <c r="C4" s="11" t="s">
        <v>220</v>
      </c>
      <c r="D4" s="11" t="s">
        <v>221</v>
      </c>
      <c r="E4" s="11" t="s">
        <v>222</v>
      </c>
      <c r="F4" s="115" t="s">
        <v>223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157</v>
      </c>
      <c r="L4" s="17" t="s">
        <v>30</v>
      </c>
      <c r="M4" s="18" t="s">
        <v>31</v>
      </c>
      <c r="N4" s="180" t="s">
        <v>233</v>
      </c>
      <c r="O4" s="180" t="s">
        <v>235</v>
      </c>
      <c r="P4" s="180" t="s">
        <v>234</v>
      </c>
      <c r="Q4" s="187" t="s">
        <v>238</v>
      </c>
      <c r="R4" s="187" t="s">
        <v>239</v>
      </c>
    </row>
    <row r="5" spans="1:39">
      <c r="A5" s="29" t="s">
        <v>232</v>
      </c>
      <c r="B5" s="29" t="s">
        <v>232</v>
      </c>
      <c r="C5" s="29" t="s">
        <v>193</v>
      </c>
      <c r="D5" s="29" t="s">
        <v>203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230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81</vt:i4>
      </vt:variant>
    </vt:vector>
  </HeadingPairs>
  <TitlesOfParts>
    <vt:vector size="8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  <vt:lpstr>PurchaseBillDeviation</vt:lpstr>
      <vt:lpstr>PurchaseBillDeviationandExp</vt:lpstr>
      <vt:lpstr>DevandExpTaxCalculation</vt:lpstr>
      <vt:lpstr>DevTaxCalculation</vt:lpstr>
      <vt:lpstr>DevRCMTaxCalculation</vt:lpstr>
      <vt:lpstr>DevandExpRCMTaxCalculation</vt:lpstr>
      <vt:lpstr>DevInterRCMTaxCalculation</vt:lpstr>
      <vt:lpstr>DevandExpInterRCMTaxCalculation</vt:lpstr>
      <vt:lpstr>DevTaxLocalUnregCalculation</vt:lpstr>
      <vt:lpstr>DevandExpTaxLocRegCalculation</vt:lpstr>
      <vt:lpstr>DevandExpTaxLocUnregCalculation</vt:lpstr>
      <vt:lpstr>DevTaxLocalRegCalculation</vt:lpstr>
      <vt:lpstr>DirectDevRCMTaxCalculation</vt:lpstr>
      <vt:lpstr>DevTaxInterstateRegCalculation</vt:lpstr>
      <vt:lpstr>DevandExpTaxInterstatregCalcula</vt:lpstr>
      <vt:lpstr>DevInterRegRCMTaxCalculation</vt:lpstr>
      <vt:lpstr>DevandExpInterRegRCMTaxCal</vt:lpstr>
      <vt:lpstr>DevTaxInterstateUnRegCal</vt:lpstr>
      <vt:lpstr>DevandExpTaxInterstateUnregCal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2026-09-21T11:48:08Z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