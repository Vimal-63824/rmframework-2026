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49" activeTab="5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73"/>
  <c r="K5" s="1"/>
  <c r="M5" s="1"/>
  <c r="I6" i="71"/>
  <c r="AL5"/>
  <c r="AH5"/>
  <c r="AF5"/>
  <c r="Z5"/>
  <c r="M5"/>
  <c r="N5" s="1"/>
  <c r="I5"/>
  <c r="I6" i="70"/>
  <c r="AL5"/>
  <c r="AH5"/>
  <c r="AF5"/>
  <c r="AA5"/>
  <c r="AA6" s="1"/>
  <c r="Z5"/>
  <c r="Y5"/>
  <c r="X5"/>
  <c r="M5"/>
  <c r="N5" s="1"/>
  <c r="I5"/>
  <c r="AL5" i="69"/>
  <c r="AF5"/>
  <c r="AH5" s="1"/>
  <c r="Y5"/>
  <c r="X5"/>
  <c r="I5"/>
  <c r="I6" s="1"/>
  <c r="I5" i="68"/>
  <c r="J5" s="1"/>
  <c r="I5" i="66"/>
  <c r="K5" s="1"/>
  <c r="M5" s="1"/>
  <c r="I5" i="65"/>
  <c r="J5" s="1"/>
  <c r="R5" i="55"/>
  <c r="O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J5" i="73" l="1"/>
  <c r="O5" i="71"/>
  <c r="O5" i="70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P5" i="71" l="1"/>
  <c r="P5" i="70"/>
  <c r="O5" i="69"/>
  <c r="O5" i="56"/>
  <c r="S5" s="1"/>
  <c r="T5" s="1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Q5" i="71" l="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U6" i="71" l="1"/>
  <c r="X5"/>
  <c r="AD5"/>
  <c r="Y5"/>
  <c r="U6" i="70"/>
  <c r="AB5"/>
  <c r="AB6" s="1"/>
  <c r="AD5"/>
  <c r="T5" i="69"/>
  <c r="U5"/>
  <c r="T6" i="6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A5" i="71" l="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A6" i="71" l="1"/>
  <c r="AB5"/>
  <c r="AB6" s="1"/>
  <c r="AB5" i="69"/>
  <c r="AB6" s="1"/>
  <c r="AB5" i="6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<sst xmlns="http://schemas.openxmlformats.org/spreadsheetml/2006/main" count="2693" uniqueCount="250">
  <si>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</si>
  <si>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</si>
  <si>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</si>
  <si>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</si>
  <si>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</si>
  <si>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</si>
  <si>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</si>
  <si>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</si>
  <si>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</si>
  <si>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</si>
  <si>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</si>
  <si>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</si>
  <si>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</si>
  <si>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</si>
  <si>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</si>
  <si>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</si>
  <si>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</si>
  <si>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</si>
  <si>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</si>
  <si>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</si>
  <si>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</si>
  <si>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</si>
  <si>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</si>
  <si>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</si>
  <si>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</si>
  <si>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</si>
  <si>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</si>
  <si>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</si>
  <si>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</si>
  <si>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</si>
  <si>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</si>
  <si>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</si>
  <si>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</si>
  <si>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</si>
  <si>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</si>
  <si>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</si>
  <si>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</si>
  <si>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</si>
  <si>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</si>
  <si>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</si>
  <si>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</si>
  <si>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</si>
  <si>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</si>
  <si>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</si>
  <si>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</si>
  <si>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</si>
  <si>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</si>
  <si>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</si>
  <si>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</si>
  <si>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</si>
  <si>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</si>
  <si>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</si>
  <si>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</si>
  <si>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</si>
  <si>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</si>
  <si>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</si>
  <si>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</si>
  <si>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</si>
  <si>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</si>
  <si>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</si>
  <si>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</si>
  <si>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</si>
  <si>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</si>
  <si>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</si>
  <si>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</si>
  <si>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</si>
  <si>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</si>
  <si>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</si>
  <si>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</si>
  <si>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</si>
  <si>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</si>
  <si>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</si>
  <si>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</si>
  <si>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</si>
  <si>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</si>
  <si>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</si>
  <si>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</si>
  <si>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</si>
  <si>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</si>
  <si>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</si>
  <si>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</si>
  <si>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</si>
  <si>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</si>
  <si>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</si>
  <si>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</si>
  <si>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</si>
  <si>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</si>
  <si>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</si>
  <si>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</si>
  <si>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</si>
  <si>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</si>
  <si>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</si>
  <si>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</si>
  <si>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</si>
  <si>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</si>
  <si>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</si>
  <si>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</si>
  <si>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</si>
  <si>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</si>
  <si>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</si>
  <si>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</si>
  <si>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</si>
  <si>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</si>
  <si>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</si>
  <si>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</si>
  <si>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</si>
  <si>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</si>
  <si>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</si>
  <si>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</si>
  <si>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</si>
  <si>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</si>
  <si>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</si>
  <si>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</si>
  <si>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</si>
  <si>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</si>
  <si>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</si>
  <si>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</si>
  <si>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</si>
  <si>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</si>
  <si>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</si>
  <si>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</si>
  <si>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</si>
  <si>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</si>
  <si>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</si>
  <si>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</si>
  <si>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</si>
  <si>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</si>
  <si>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</si>
  <si>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</si>
  <si>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</si>
  <si>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</si>
  <si>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</si>
  <si>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</si>
  <si>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</si>
  <si>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</si>
  <si>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</si>
  <si>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</si>
  <si>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</si>
  <si>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</si>
  <si>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</si>
  <si>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</si>
  <si>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</si>
  <si>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</si>
  <si>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</si>
  <si>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</si>
  <si>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</si>
  <si>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</si>
  <si>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</si>
  <si>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</si>
  <si>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</si>
  <si>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</si>
  <si>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</si>
  <si>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</si>
  <si>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</si>
  <si>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</si>
  <si>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</si>
  <si>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</si>
  <si>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</si>
  <si>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</si>
  <si>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</si>
  <si>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</si>
  <si>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</si>
  <si>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</si>
  <si>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</si>
  <si>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</si>
  <si>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</si>
  <si>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</si>
  <si>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</si>
  <si>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</si>
  <si>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</si>
  <si>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</si>
  <si>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</si>
  <si>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</si>
  <si>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</si>
  <si>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</si>
  <si>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</si>
  <si>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</si>
  <si>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</si>
  <si>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</si>
  <si>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</si>
  <si>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</si>
  <si>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</si>
  <si>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</si>
  <si>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</si>
  <si>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</si>
  <si>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</si>
  <si>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</si>
  <si>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</si>
  <si>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</si>
  <si>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</si>
  <si>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</si>
  <si>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</si>
  <si>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</si>
  <si>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</si>
  <si>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</si>
  <si>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</si>
  <si>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</si>
  <si>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</si>
  <si>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</si>
  <si>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</si>
  <si>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</si>
  <si>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</si>
  <si>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</si>
  <si>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</si>
  <si>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</si>
  <si>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</si>
  <si>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</si>
  <si>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</si>
  <si>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</si>
  <si>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</si>
  <si>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</si>
  <si>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</si>
  <si>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</si>
  <si>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</si>
  <si>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</si>
  <si>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</si>
  <si>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</si>
  <si>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</si>
  <si>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</si>
  <si>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</si>
  <si>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</si>
  <si>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</si>
  <si>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</si>
  <si>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</si>
  <si>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</si>
  <si>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</si>
  <si>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</si>
  <si>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</si>
  <si>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</si>
  <si>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</si>
  <si>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</si>
  <si>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</si>
  <si>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</si>
  <si>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</si>
  <si>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</si>
  <si>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</si>
  <si>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</si>
  <si>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</si>
  <si>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</si>
  <si>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90856</t>
  </si>
  <si>
    <t>99830</t>
  </si>
  <si>
    <t>PROC- 0744</t>
  </si>
  <si>
    <t>40</t>
  </si>
  <si>
    <t>FG70001-QC-LOT</t>
  </si>
  <si>
    <t>SORD-2526-01270</t>
  </si>
  <si>
    <t>99175</t>
  </si>
  <si>
    <t>91021</t>
  </si>
  <si>
    <t>93816</t>
  </si>
  <si>
    <t>91006</t>
  </si>
  <si>
    <t>VR-SERIAL-FIFO-BATCH-80001QC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</si>
</sst>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82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" style="29" bestFit="1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6" t="s">
        <v>0</v>
      </c>
      <c r="B3" s="17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216</v>
      </c>
      <c r="AH5" s="9">
        <f>AG5-AF5</f>
        <v>-15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217</v>
      </c>
      <c r="AH6" s="9">
        <f>AG6-AF6</f>
        <v>9490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6" t="s">
        <v>0</v>
      </c>
      <c r="B3" s="17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82574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9657.5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6" t="s">
        <v>0</v>
      </c>
      <c r="B3" s="17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201</v>
      </c>
      <c r="AH5" s="9">
        <f>AG5-AF5</f>
        <v>9645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202</v>
      </c>
      <c r="AH6" s="9">
        <f>AG6-AF6</f>
        <v>9950.6589999999997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6" t="s">
        <v>0</v>
      </c>
      <c r="B3" s="17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9745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176</v>
      </c>
      <c r="AH6" s="9">
        <f>AG6-AF6</f>
        <v>9880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6" t="s">
        <v>0</v>
      </c>
      <c r="B3" s="17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9717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6" t="s">
        <v>0</v>
      </c>
      <c r="B3" s="17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9795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188</v>
      </c>
      <c r="AH6" s="9">
        <f>AG6-AF6</f>
        <v>9900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6" t="s">
        <v>0</v>
      </c>
      <c r="B3" s="17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9703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9852.5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6" t="s">
        <v>0</v>
      </c>
      <c r="B3" s="17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187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6" t="s">
        <v>0</v>
      </c>
      <c r="B3" s="17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205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193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6" t="s">
        <v>0</v>
      </c>
      <c r="B3" s="17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9775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174</v>
      </c>
      <c r="AH6" s="9">
        <f>AG6-AF6</f>
        <v>9890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6" t="s">
        <v>0</v>
      </c>
      <c r="B3" s="17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172</v>
      </c>
      <c r="AJ5" s="10" t="s">
        <v>173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6" t="s">
        <v>0</v>
      </c>
      <c r="B3" s="17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198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6" t="s">
        <v>0</v>
      </c>
      <c r="B3" s="17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6" t="s">
        <v>0</v>
      </c>
      <c r="B3" s="176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172</v>
      </c>
      <c r="AJ5" s="10" t="s">
        <v>173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172</v>
      </c>
      <c r="AJ6" s="10" t="s">
        <v>173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172</v>
      </c>
      <c r="AJ7" s="10" t="s">
        <v>173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172</v>
      </c>
      <c r="AJ8" s="10" t="s">
        <v>173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172</v>
      </c>
      <c r="AJ9" s="10" t="s">
        <v>173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172</v>
      </c>
      <c r="AJ10" s="10" t="s">
        <v>173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172</v>
      </c>
      <c r="AJ11" s="10" t="s">
        <v>173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172</v>
      </c>
      <c r="AJ12" s="10" t="s">
        <v>173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172</v>
      </c>
      <c r="AJ13" s="10" t="s">
        <v>173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172</v>
      </c>
      <c r="AJ14" s="10" t="s">
        <v>173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6" t="s">
        <v>0</v>
      </c>
      <c r="B3" s="17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239</v>
      </c>
      <c r="AH5" s="33">
        <f>AG5-AF5</f>
        <v>99656</v>
      </c>
      <c r="AI5" s="10" t="s">
        <v>172</v>
      </c>
      <c r="AJ5" s="10" t="s">
        <v>173</v>
      </c>
      <c r="AK5" s="33">
        <f>AH5</f>
        <v>99656</v>
      </c>
      <c r="AL5" s="33">
        <f>AK5+G5</f>
        <v>99671</v>
      </c>
      <c r="AM5" s="28" t="s">
        <v>66</v>
      </c>
      <c r="AN5" s="67" t="s">
        <v>175</v>
      </c>
      <c r="AO5" s="29" t="s">
        <v>240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34.5703125" style="29" customWidth="1"/>
    <col min="8" max="8" width="21.28515625" style="29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6" t="s">
        <v>0</v>
      </c>
      <c r="B3" s="176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6" t="s">
        <v>0</v>
      </c>
      <c r="B3" s="17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192</v>
      </c>
      <c r="AH5" s="9">
        <f>AG5-AF5</f>
        <v>80704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6" t="s">
        <v>0</v>
      </c>
      <c r="B3" s="17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213</v>
      </c>
      <c r="AH5" s="9">
        <f>AG5-AF5</f>
        <v>80699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6" t="s">
        <v>0</v>
      </c>
      <c r="B3" s="17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63733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6" t="s">
        <v>0</v>
      </c>
      <c r="B3" s="17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193</v>
      </c>
      <c r="AH5" s="9">
        <f>AG5-AF5</f>
        <v>9630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194</v>
      </c>
      <c r="AH6" s="9">
        <f>AG6-AF6</f>
        <v>78219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6" t="s">
        <v>0</v>
      </c>
      <c r="B3" s="17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200</v>
      </c>
    </row>
    <row r="6" spans="1:38" ht="15">
      <c r="A6" s="10">
        <v>2</v>
      </c>
      <c r="B6" s="42" t="s">
        <v>209</v>
      </c>
      <c r="C6" s="10">
        <v>0</v>
      </c>
      <c r="D6" s="42" t="s">
        <v>209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200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6" t="s">
        <v>0</v>
      </c>
      <c r="B3" s="17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209</v>
      </c>
      <c r="C5" s="10">
        <v>0</v>
      </c>
      <c r="D5" s="42" t="s">
        <v>209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244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244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6" t="s">
        <v>0</v>
      </c>
      <c r="B3" s="17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6" t="s">
        <v>0</v>
      </c>
      <c r="B3" s="17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6" t="s">
        <v>0</v>
      </c>
      <c r="B3" s="17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6" t="s">
        <v>0</v>
      </c>
      <c r="B3" s="17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245</v>
      </c>
      <c r="AH5" s="34">
        <f>AG5-AF5</f>
        <v>49586</v>
      </c>
      <c r="AI5" s="10" t="s">
        <v>219</v>
      </c>
      <c r="AJ5" s="10" t="s">
        <v>173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6" t="s">
        <v>0</v>
      </c>
      <c r="B3" s="17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245</v>
      </c>
      <c r="AH5" s="34">
        <f>AG5-AF5</f>
        <v>65983</v>
      </c>
      <c r="AI5" s="10" t="s">
        <v>219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7" t="s">
        <v>129</v>
      </c>
      <c r="B1" s="177"/>
      <c r="C1" s="177"/>
      <c r="D1" s="177"/>
    </row>
    <row r="2" spans="1:5" ht="18">
      <c r="D2" s="112"/>
    </row>
    <row r="3" spans="1:5" ht="19.899999999999999" customHeight="1">
      <c r="A3" s="176"/>
      <c r="B3" s="176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241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7" t="s">
        <v>130</v>
      </c>
      <c r="B1" s="177"/>
      <c r="C1" s="177"/>
      <c r="D1" s="177"/>
    </row>
    <row r="2" spans="1:5" ht="18">
      <c r="D2" s="112"/>
    </row>
    <row r="3" spans="1:5" ht="19.899999999999999" customHeight="1">
      <c r="A3" s="176"/>
      <c r="B3" s="176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238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4.8554687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8"/>
    </row>
    <row r="3" spans="1:16" ht="19.899999999999999" customHeight="1">
      <c r="A3" s="176"/>
      <c r="B3" s="17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9"/>
    </row>
    <row r="3" spans="1:16" ht="19.899999999999999" customHeight="1">
      <c r="A3" s="176"/>
      <c r="B3" s="176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15" ht="27.75" customHeight="1">
      <c r="A1" s="177" t="s">
        <v>135</v>
      </c>
      <c r="B1" s="177"/>
      <c r="C1" s="177"/>
      <c r="D1" s="177"/>
    </row>
    <row r="2" spans="1:15" ht="18">
      <c r="D2" s="112"/>
    </row>
    <row r="3" spans="1:15" ht="19.899999999999999" customHeight="1">
      <c r="A3" s="176"/>
      <c r="B3" s="176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7" t="s">
        <v>146</v>
      </c>
      <c r="B1" s="177"/>
      <c r="C1" s="177"/>
      <c r="D1" s="177"/>
    </row>
    <row r="2" spans="1:16" ht="18">
      <c r="D2" s="168"/>
    </row>
    <row r="3" spans="1:16" ht="19.899999999999999" customHeight="1">
      <c r="A3" s="176"/>
      <c r="B3" s="17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7" t="s">
        <v>146</v>
      </c>
      <c r="B1" s="177"/>
      <c r="C1" s="177"/>
      <c r="D1" s="177"/>
    </row>
    <row r="2" spans="1:16" ht="18">
      <c r="D2" s="121"/>
    </row>
    <row r="3" spans="1:16" ht="19.899999999999999" customHeight="1">
      <c r="A3" s="176"/>
      <c r="B3" s="176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1" style="29" customWidth="1"/>
    <col min="11" max="16384" width="9.140625" style="29"/>
  </cols>
  <sheetData>
    <row r="1" spans="1:15" ht="27.75" customHeight="1">
      <c r="A1" s="177" t="s">
        <v>143</v>
      </c>
      <c r="B1" s="177"/>
      <c r="C1" s="177"/>
      <c r="D1" s="177"/>
    </row>
    <row r="2" spans="1:15" ht="18">
      <c r="D2" s="117"/>
    </row>
    <row r="3" spans="1:15" ht="19.899999999999999" customHeight="1">
      <c r="A3" s="176"/>
      <c r="B3" s="176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166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220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165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242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S5" sqref="S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171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>
        <v>20</v>
      </c>
      <c r="D5" s="10" t="s">
        <v>124</v>
      </c>
      <c r="E5" s="67" t="s">
        <v>134</v>
      </c>
      <c r="F5" s="29" t="s">
        <v>127</v>
      </c>
      <c r="G5" s="29" t="s">
        <v>242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36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36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170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224</v>
      </c>
      <c r="H5" s="29" t="s">
        <v>160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topLeftCell="F1" workbookViewId="0">
      <selection activeCell="K19" sqref="K1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164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220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E1" workbookViewId="0">
      <selection activeCell="S5" sqref="S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162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220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IF($D$3=1,ROUND(((K5*N5)/2),2),0)</f>
        <v>36</v>
      </c>
      <c r="P5" s="34">
        <f>IF($D$3=1,ROUND(((K5*N5)/2),2),0)</f>
        <v>36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tabSelected="1" workbookViewId="0">
      <selection activeCell="J5" sqref="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75"/>
    </row>
    <row r="3" spans="1:17" ht="19.899999999999999" customHeight="1">
      <c r="A3" s="176"/>
      <c r="B3" s="176"/>
      <c r="C3" s="174"/>
      <c r="D3" s="174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249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71"/>
    </row>
    <row r="3" spans="1:17" ht="19.899999999999999" customHeight="1">
      <c r="A3" s="176"/>
      <c r="B3" s="176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243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09"/>
    </row>
    <row r="3" spans="1:17" ht="19.899999999999999" customHeight="1">
      <c r="A3" s="176"/>
      <c r="B3" s="176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16384" width="9.140625" style="29"/>
  </cols>
  <sheetData>
    <row r="1" spans="1:4" ht="27.75" customHeight="1">
      <c r="A1" s="177" t="s">
        <v>226</v>
      </c>
      <c r="B1" s="177"/>
    </row>
    <row r="3" spans="1:4" ht="19.899999999999999" customHeight="1">
      <c r="A3" s="178" t="s">
        <v>235</v>
      </c>
      <c r="B3" s="178"/>
    </row>
    <row r="4" spans="1:4" s="31" customFormat="1">
      <c r="A4" s="11" t="s">
        <v>227</v>
      </c>
      <c r="B4" s="11" t="s">
        <v>228</v>
      </c>
    </row>
    <row r="5" spans="1:4">
      <c r="A5" s="29" t="s">
        <v>234</v>
      </c>
      <c r="B5" s="29" t="s">
        <v>232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F5" sqref="F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3" width="14.5703125" style="29" customWidth="1"/>
    <col min="4" max="4" width="15.5703125" style="29" customWidth="1"/>
    <col min="5" max="5" width="10.7109375" style="29" bestFit="1" customWidth="1"/>
    <col min="6" max="6" width="10.5703125" style="29" bestFit="1" customWidth="1"/>
    <col min="7" max="16384" width="9.140625" style="29"/>
  </cols>
  <sheetData>
    <row r="1" spans="1:8" ht="27.75" customHeight="1">
      <c r="A1" s="177" t="s">
        <v>226</v>
      </c>
      <c r="B1" s="177"/>
      <c r="C1" s="177"/>
      <c r="D1" s="177"/>
    </row>
    <row r="2" spans="1:8" ht="18">
      <c r="D2" s="169"/>
    </row>
    <row r="3" spans="1:8" ht="19.899999999999999" customHeight="1">
      <c r="A3" s="178" t="s">
        <v>235</v>
      </c>
      <c r="B3" s="178"/>
      <c r="C3" s="178"/>
      <c r="D3" s="178"/>
      <c r="E3" s="179" t="s">
        <v>237</v>
      </c>
      <c r="F3" s="179"/>
    </row>
    <row r="4" spans="1:8" s="31" customFormat="1">
      <c r="A4" s="11" t="s">
        <v>229</v>
      </c>
      <c r="B4" s="11" t="s">
        <v>230</v>
      </c>
      <c r="C4" s="11" t="s">
        <v>231</v>
      </c>
      <c r="D4" s="11" t="s">
        <v>233</v>
      </c>
      <c r="E4" s="11" t="s">
        <v>227</v>
      </c>
      <c r="F4" s="11" t="s">
        <v>228</v>
      </c>
    </row>
    <row r="5" spans="1:8" ht="15">
      <c r="A5" s="122" t="s">
        <v>234</v>
      </c>
      <c r="B5" s="42" t="s">
        <v>232</v>
      </c>
      <c r="C5" s="42" t="s">
        <v>232</v>
      </c>
      <c r="D5" s="10">
        <v>11</v>
      </c>
      <c r="E5" s="122" t="s">
        <v>236</v>
      </c>
      <c r="F5" s="114" t="s">
        <v>160</v>
      </c>
    </row>
    <row r="7" spans="1:8">
      <c r="H7" s="36"/>
    </row>
  </sheetData>
  <mergeCells count="3">
    <mergeCell ref="A1:D1"/>
    <mergeCell ref="A3:D3"/>
    <mergeCell ref="E3:F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7" t="s">
        <v>164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6" t="s">
        <v>0</v>
      </c>
      <c r="B3" s="176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width="5.7109375" style="137" customWidth="1"/>
    <col min="2" max="2" width="28.85546875" style="137" customWidth="1"/>
    <col min="3" max="3" width="4.5703125" style="137" customWidth="1"/>
    <col min="4" max="4" width="28.85546875" style="137" customWidth="1"/>
    <col min="5" max="5" width="10" style="137" customWidth="1"/>
    <col min="6" max="6" width="12.5703125" style="137" customWidth="1"/>
    <col min="7" max="7" width="14.7109375" style="137" customWidth="1"/>
    <col min="8" max="8" width="10.140625" style="137" customWidth="1"/>
    <col min="9" max="9" width="13.5703125" style="137" customWidth="1"/>
    <col min="10" max="11" width="8.140625" style="137" customWidth="1"/>
    <col min="12" max="12" width="8" style="137" customWidth="1"/>
    <col min="13" max="13" width="13.85546875" style="137" customWidth="1"/>
    <col min="14" max="14" width="9.7109375" style="137" customWidth="1"/>
    <col min="15" max="15" width="12.5703125" style="137" customWidth="1"/>
    <col min="16" max="16" width="14.7109375" style="137" customWidth="1"/>
    <col min="17" max="17" width="9.7109375" style="137" customWidth="1"/>
    <col min="18" max="18" width="9" style="137" customWidth="1"/>
    <col min="19" max="19" width="10.85546875" style="137" customWidth="1"/>
    <col min="20" max="20" width="17.85546875" style="137" customWidth="1"/>
    <col min="21" max="21" width="10.5703125" style="137" customWidth="1"/>
    <col min="22" max="22" width="11.5703125" style="137" customWidth="1"/>
    <col min="23" max="23" width="9.28515625" style="137" customWidth="1"/>
    <col min="24" max="25" width="10.7109375" style="137" customWidth="1"/>
    <col min="26" max="26" width="11.28515625" style="137" customWidth="1"/>
    <col min="27" max="27" width="12" style="137" customWidth="1"/>
    <col min="28" max="28" width="12.28515625" style="137" customWidth="1"/>
    <col min="29" max="29" width="14.7109375" style="137" customWidth="1"/>
    <col min="30" max="30" width="12.28515625" style="163" customWidth="1"/>
    <col min="31" max="31" width="13.5703125" style="163" bestFit="1" customWidth="1"/>
    <col min="32" max="32" width="13.5703125" style="163" customWidth="1"/>
    <col min="33" max="33" width="15.7109375" style="136" bestFit="1" customWidth="1"/>
    <col min="34" max="34" width="13.5703125" style="137" customWidth="1"/>
    <col min="35" max="35" width="12.7109375" style="137" customWidth="1"/>
    <col min="36" max="16384" width="9.140625" style="137"/>
  </cols>
  <sheetData>
    <row r="1" spans="1:38" ht="27.75" customHeight="1">
      <c r="A1" s="180" t="s">
        <v>39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34"/>
      <c r="AB1" s="134"/>
      <c r="AC1" s="134"/>
      <c r="AD1" s="135"/>
      <c r="AE1" s="135"/>
      <c r="AF1" s="135"/>
    </row>
    <row r="2" spans="1:38" ht="18">
      <c r="A2" s="134" t="s">
        <v>206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81" t="s">
        <v>0</v>
      </c>
      <c r="B3" s="181"/>
      <c r="C3" s="138"/>
      <c r="D3" s="139">
        <v>2</v>
      </c>
      <c r="E3" s="140" t="s">
        <v>207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208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209</v>
      </c>
      <c r="C6" s="155">
        <v>0</v>
      </c>
      <c r="D6" s="32" t="s">
        <v>209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208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210</v>
      </c>
      <c r="R7" s="161"/>
      <c r="S7" s="161"/>
      <c r="T7" s="161"/>
      <c r="U7" s="159"/>
      <c r="V7" s="159"/>
      <c r="W7" s="160"/>
      <c r="X7" s="159"/>
      <c r="Y7" s="159"/>
      <c r="Z7" s="161" t="s">
        <v>211</v>
      </c>
      <c r="AA7" s="161"/>
      <c r="AB7" s="162">
        <f>SUM(AB5:AB6)</f>
        <v>45016.36</v>
      </c>
      <c r="AC7" s="161" t="s">
        <v>212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246</v>
      </c>
      <c r="AH5" s="9">
        <f>AG5-AF5</f>
        <v>91006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247</v>
      </c>
      <c r="AH5" s="9">
        <f>AG5-AF5</f>
        <v>93801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248</v>
      </c>
      <c r="AH5" s="9">
        <f>AG5-AF5</f>
        <v>90991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2025-12-29T06:09:46Z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