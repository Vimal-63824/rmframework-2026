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2520" windowWidth="15525" windowHeight="6540" firstSheet="42" activeTab="45"/>
  </bookViews>
  <sheets>
    <sheet name="Domestic S&amp;D" sheetId="1" r:id="rId1"/>
    <sheet name="Export S&amp;D" sheetId="4" r:id="rId2"/>
    <sheet name="DomesticRateCont S&amp;D" sheetId="5" r:id="rId3"/>
    <sheet name="ExportRateCont S&amp;D" sheetId="6" r:id="rId4"/>
    <sheet name="DomesticPriceList S&amp;D" sheetId="7" r:id="rId5"/>
    <sheet name="ExportPriceList S&amp;D" sheetId="8" r:id="rId6"/>
    <sheet name="DomesticStandard S&amp;D" sheetId="9" r:id="rId7"/>
    <sheet name="ExportStandard S&amp;D" sheetId="10" r:id="rId8"/>
    <sheet name="DomesticCatalog S&amp;D" sheetId="11" r:id="rId9"/>
    <sheet name="ExportCatalog S&amp;D" sheetId="12" r:id="rId10"/>
    <sheet name="ExportCRNote" sheetId="29" r:id="rId11"/>
    <sheet name="Charges" sheetId="32" r:id="rId12"/>
    <sheet name="ShipSet" sheetId="33" r:id="rId13"/>
    <sheet name="MultipleSalesInvoiceLine" sheetId="34" r:id="rId14"/>
    <sheet name="LocalCustomer" sheetId="13" r:id="rId15"/>
    <sheet name="UTGSTCustomer" sheetId="58" r:id="rId16"/>
    <sheet name="InterStateCustomer" sheetId="14" r:id="rId17"/>
    <sheet name="FreeSampleType" sheetId="15" r:id="rId18"/>
    <sheet name="FreeReplacement" sheetId="16" r:id="rId19"/>
    <sheet name="ScrapType" sheetId="17" r:id="rId20"/>
    <sheet name="ServiceType" sheetId="18" r:id="rId21"/>
    <sheet name="CESScustomer" sheetId="20" r:id="rId22"/>
    <sheet name="SEZCustomer" sheetId="19" r:id="rId23"/>
    <sheet name="PromotionalType" sheetId="21" r:id="rId24"/>
    <sheet name="PIDirectType" sheetId="22" r:id="rId25"/>
    <sheet name="PIDirectTypeExport" sheetId="23" r:id="rId26"/>
    <sheet name="CRNoteDomestic" sheetId="24" r:id="rId27"/>
    <sheet name="CRNoteExport" sheetId="25" r:id="rId28"/>
    <sheet name="CRNoteExportService" sheetId="28" r:id="rId29"/>
    <sheet name="CRNoteGateEntryExport" sheetId="31" r:id="rId30"/>
    <sheet name="CRNoteGateEntry" sheetId="30" r:id="rId31"/>
    <sheet name="OpenSCORevise" sheetId="41" r:id="rId32"/>
    <sheet name="OpenSCO" sheetId="40" r:id="rId33"/>
    <sheet name="DirectSCOWithSOU3" sheetId="62" r:id="rId34"/>
    <sheet name="DirectSCOWithSO" sheetId="43" r:id="rId35"/>
    <sheet name="DirectSCOWithProjectU3" sheetId="65" r:id="rId36"/>
    <sheet name="DirectSCOWithProject" sheetId="45" r:id="rId37"/>
    <sheet name="DirectSCOSerialWithSOU3" sheetId="63" r:id="rId38"/>
    <sheet name="DirectSCOSerialWithSO" sheetId="47" r:id="rId39"/>
    <sheet name="DirectSCOWithSOandConvU3" sheetId="64" r:id="rId40"/>
    <sheet name="DirectSCOWithSOandConv" sheetId="44" r:id="rId41"/>
    <sheet name="DirectSCOWithConv" sheetId="42" r:id="rId42"/>
    <sheet name="DirectSCOSerialWithPrjU3" sheetId="66" r:id="rId43"/>
    <sheet name="DirectSCOSerialWithPrj" sheetId="48" r:id="rId44"/>
    <sheet name="DirectSCOSerial" sheetId="46" r:id="rId45"/>
    <sheet name="ProcCalculationLocalUnreg" sheetId="52" r:id="rId46"/>
    <sheet name="ProcCalculationInterstateReg" sheetId="53" r:id="rId47"/>
    <sheet name="ProcCalculationUTGSTreg" sheetId="56" r:id="rId48"/>
    <sheet name="ProcCalculationUTGSTUnreg" sheetId="55" r:id="rId49"/>
    <sheet name="ProcCalculationInterstateUnreg" sheetId="54" r:id="rId50"/>
    <sheet name="ProcCalculationLocalReg" sheetId="51" r:id="rId51"/>
    <sheet name="DirectSCOSerialWithQC" sheetId="73" r:id="rId52"/>
    <sheet name="DirectSCOWithQC" sheetId="68" r:id="rId53"/>
    <sheet name="DirectSCO" sheetId="39" r:id="rId54"/>
    <sheet name="GRNSourceSFCode" sheetId="72" r:id="rId55"/>
    <sheet name="SourceSFCode" sheetId="67" r:id="rId56"/>
    <sheet name="SCOCharges" sheetId="57" r:id="rId57"/>
    <sheet name="SOtoSIDomestic" sheetId="61" r:id="rId58"/>
    <sheet name="BRSPSI" sheetId="69" r:id="rId59"/>
    <sheet name="BRSPSIE" sheetId="70" r:id="rId60"/>
    <sheet name="BRSPMI" sheetId="71" r:id="rId61"/>
    <sheet name="PurchaseBillDeviation" sheetId="74" r:id="rId62"/>
    <sheet name="PurchaseBillDeviationandExp" sheetId="75" r:id="rId63"/>
    <sheet name="DevandExpTaxCalculation" sheetId="77" r:id="rId64"/>
    <sheet name="DevTaxCalculation" sheetId="78" r:id="rId65"/>
    <sheet name="DevRCMTaxCalculation" sheetId="79" r:id="rId66"/>
    <sheet name="DevandExpRCMTaxCalculation" sheetId="80" r:id="rId67"/>
    <sheet name="DevInterRCMTaxCalculation" sheetId="81" r:id="rId68"/>
    <sheet name="DevandExpInterRCMTaxCalculation" sheetId="82" r:id="rId69"/>
    <sheet name="DevTaxLocalUnregCalculation" sheetId="83" r:id="rId70"/>
    <sheet name="DevandExpTaxLocRegCalculation" sheetId="87" r:id="rId71"/>
    <sheet name="DevandExpTaxLocUnregCalculation" sheetId="84" r:id="rId72"/>
    <sheet name="DevTaxLocalRegCalculation" sheetId="86" r:id="rId73"/>
    <sheet name="DirectDevRCMTaxCalculation" sheetId="88" r:id="rId74"/>
    <sheet name="DevTaxInterstateRegCalculation" sheetId="89" r:id="rId75"/>
    <sheet name="DevandExpTaxInterstatregCalcula" sheetId="90" r:id="rId76"/>
    <sheet name="DevInterRegRCMTaxCalculation" sheetId="92" r:id="rId77"/>
    <sheet name="DevandExpInterRegRCMTaxCal" sheetId="93" r:id="rId78"/>
    <sheet name="DevTaxInterstateUnRegCal" sheetId="94" r:id="rId79"/>
    <sheet name="DevandExpTaxInterstateUnregCal" sheetId="95" r:id="rId80"/>
    <sheet name="Sheet1" sheetId="85" r:id="rId8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95"/>
  <c r="I6"/>
  <c r="H6"/>
  <c r="E6"/>
  <c r="J6" s="1"/>
  <c r="L6" s="1"/>
  <c r="K5"/>
  <c r="I5"/>
  <c r="H5"/>
  <c r="E5"/>
  <c r="J5" s="1"/>
  <c r="K5" i="94"/>
  <c r="I5"/>
  <c r="H5"/>
  <c r="E5"/>
  <c r="J5" s="1"/>
  <c r="L6" i="93"/>
  <c r="K6"/>
  <c r="J6"/>
  <c r="I6"/>
  <c r="H6"/>
  <c r="E6"/>
  <c r="K5"/>
  <c r="I5"/>
  <c r="H5"/>
  <c r="L5" s="1"/>
  <c r="L7" s="1"/>
  <c r="E5"/>
  <c r="J5" s="1"/>
  <c r="K5" i="92"/>
  <c r="I5"/>
  <c r="H5"/>
  <c r="E5"/>
  <c r="J5" s="1"/>
  <c r="K6" i="90"/>
  <c r="J6"/>
  <c r="I6"/>
  <c r="H6"/>
  <c r="E6"/>
  <c r="K5"/>
  <c r="E5"/>
  <c r="H5" s="1"/>
  <c r="K5" i="89"/>
  <c r="J5"/>
  <c r="E5"/>
  <c r="K5" i="88"/>
  <c r="J5"/>
  <c r="E5"/>
  <c r="M5" s="1"/>
  <c r="K6" i="87"/>
  <c r="J6"/>
  <c r="E6"/>
  <c r="I6" s="1"/>
  <c r="K5"/>
  <c r="J5"/>
  <c r="E5"/>
  <c r="K5" i="86"/>
  <c r="J5"/>
  <c r="E5"/>
  <c r="I5" s="1"/>
  <c r="R5" i="75"/>
  <c r="H5"/>
  <c r="K6" i="84"/>
  <c r="E6"/>
  <c r="J6" s="1"/>
  <c r="K5"/>
  <c r="E5"/>
  <c r="J5" s="1"/>
  <c r="K5" i="83"/>
  <c r="E5"/>
  <c r="J5" s="1"/>
  <c r="K6" i="82"/>
  <c r="I6"/>
  <c r="H6"/>
  <c r="E6"/>
  <c r="J6" s="1"/>
  <c r="K5"/>
  <c r="I5"/>
  <c r="H5"/>
  <c r="E5"/>
  <c r="J5" s="1"/>
  <c r="K5" i="81"/>
  <c r="E5"/>
  <c r="I5" s="1"/>
  <c r="K6" i="80"/>
  <c r="I6"/>
  <c r="H6"/>
  <c r="E6"/>
  <c r="J6" s="1"/>
  <c r="K5"/>
  <c r="I5"/>
  <c r="H5"/>
  <c r="E5"/>
  <c r="J5" s="1"/>
  <c r="E5" i="79"/>
  <c r="H5" s="1"/>
  <c r="K5"/>
  <c r="J5"/>
  <c r="L5" i="95" l="1"/>
  <c r="L7" s="1"/>
  <c r="N5" s="1"/>
  <c r="E7"/>
  <c r="L5" i="94"/>
  <c r="M5" s="1"/>
  <c r="E7" i="93"/>
  <c r="M5" s="1"/>
  <c r="L5" i="92"/>
  <c r="M5"/>
  <c r="J5" i="90"/>
  <c r="L6"/>
  <c r="I5"/>
  <c r="E7"/>
  <c r="I5" i="89"/>
  <c r="H5"/>
  <c r="H6" i="84"/>
  <c r="H6" i="87"/>
  <c r="L6" s="1"/>
  <c r="N5" i="88"/>
  <c r="F5"/>
  <c r="I5"/>
  <c r="H5"/>
  <c r="L6" i="82"/>
  <c r="H5" i="86"/>
  <c r="L5" s="1"/>
  <c r="M5" s="1"/>
  <c r="E7" i="87"/>
  <c r="I6" i="84"/>
  <c r="I5" i="87"/>
  <c r="H5"/>
  <c r="H5" i="84"/>
  <c r="I5"/>
  <c r="I5" i="83"/>
  <c r="H5"/>
  <c r="E7" i="84"/>
  <c r="L5" i="82"/>
  <c r="E7"/>
  <c r="M5" i="81"/>
  <c r="F5" s="1"/>
  <c r="J5"/>
  <c r="L6" i="80"/>
  <c r="H5" i="81"/>
  <c r="L5" i="80"/>
  <c r="E7"/>
  <c r="I5" i="79"/>
  <c r="L5" s="1"/>
  <c r="M5"/>
  <c r="O5" i="95" l="1"/>
  <c r="R5" s="1"/>
  <c r="M5"/>
  <c r="F5" s="1"/>
  <c r="F5" i="94"/>
  <c r="N5"/>
  <c r="F5" i="93"/>
  <c r="N5"/>
  <c r="F5" i="92"/>
  <c r="N5"/>
  <c r="L5" i="90"/>
  <c r="L7" s="1"/>
  <c r="N5" s="1"/>
  <c r="O5" s="1"/>
  <c r="R5" s="1"/>
  <c r="L5" i="89"/>
  <c r="M5" s="1"/>
  <c r="L5" i="84"/>
  <c r="L7" s="1"/>
  <c r="N5" s="1"/>
  <c r="L6"/>
  <c r="O5" i="88"/>
  <c r="P5" s="1"/>
  <c r="L5"/>
  <c r="L5" i="83"/>
  <c r="M5" s="1"/>
  <c r="F5" s="1"/>
  <c r="L7" i="82"/>
  <c r="L5" i="87"/>
  <c r="L7" s="1"/>
  <c r="N5" i="86"/>
  <c r="F5"/>
  <c r="M5" i="82"/>
  <c r="N5" i="81"/>
  <c r="O5" s="1"/>
  <c r="P5" s="1"/>
  <c r="L7" i="80"/>
  <c r="M5" s="1"/>
  <c r="L5" i="81"/>
  <c r="N5" i="79"/>
  <c r="F5"/>
  <c r="P5" i="95" l="1"/>
  <c r="O5" i="94"/>
  <c r="P5" s="1"/>
  <c r="O5" i="93"/>
  <c r="R5" s="1"/>
  <c r="O5" i="92"/>
  <c r="P5" s="1"/>
  <c r="M5" i="90"/>
  <c r="F5" s="1"/>
  <c r="P5"/>
  <c r="N5" i="89"/>
  <c r="F5"/>
  <c r="N5" i="83"/>
  <c r="O5" s="1"/>
  <c r="P5" s="1"/>
  <c r="N5" i="87"/>
  <c r="M5"/>
  <c r="F5" s="1"/>
  <c r="O5" i="86"/>
  <c r="P5" s="1"/>
  <c r="M5" i="84"/>
  <c r="F5" s="1"/>
  <c r="O5"/>
  <c r="N5" i="82"/>
  <c r="F5"/>
  <c r="F5" i="80"/>
  <c r="N5"/>
  <c r="O5" s="1"/>
  <c r="O5" i="79"/>
  <c r="P5" s="1"/>
  <c r="P5" i="93" l="1"/>
  <c r="O5" i="89"/>
  <c r="P5" s="1"/>
  <c r="O5" i="87"/>
  <c r="R5" s="1"/>
  <c r="P5" i="80"/>
  <c r="R5"/>
  <c r="P5" i="84"/>
  <c r="R5"/>
  <c r="O5" i="82"/>
  <c r="K6" i="77"/>
  <c r="I6"/>
  <c r="H6"/>
  <c r="E5" i="78"/>
  <c r="K5"/>
  <c r="P5" i="87" l="1"/>
  <c r="P5" i="82"/>
  <c r="R5"/>
  <c r="H5" i="78"/>
  <c r="J5"/>
  <c r="I5"/>
  <c r="K5" i="77"/>
  <c r="I5"/>
  <c r="E6"/>
  <c r="J6" s="1"/>
  <c r="L6" s="1"/>
  <c r="E5"/>
  <c r="E5" i="75"/>
  <c r="E6"/>
  <c r="E5" i="74"/>
  <c r="F5" s="1"/>
  <c r="I5" i="73"/>
  <c r="K5" s="1"/>
  <c r="M5" s="1"/>
  <c r="AL5" i="71"/>
  <c r="AF5"/>
  <c r="AH5" s="1"/>
  <c r="Z5"/>
  <c r="I5"/>
  <c r="I6" s="1"/>
  <c r="AL5" i="70"/>
  <c r="AF5"/>
  <c r="AH5" s="1"/>
  <c r="Z5"/>
  <c r="Y5"/>
  <c r="X5"/>
  <c r="I5"/>
  <c r="I6" s="1"/>
  <c r="AL5" i="69"/>
  <c r="AF5"/>
  <c r="AH5" s="1"/>
  <c r="Y5"/>
  <c r="X5"/>
  <c r="I5"/>
  <c r="I6" s="1"/>
  <c r="I5" i="68"/>
  <c r="J5" s="1"/>
  <c r="I5" i="66"/>
  <c r="K5" s="1"/>
  <c r="M5" s="1"/>
  <c r="I5" i="65"/>
  <c r="J5" s="1"/>
  <c r="I5" i="64"/>
  <c r="J5" s="1"/>
  <c r="I5" i="63"/>
  <c r="J5" s="1"/>
  <c r="I5" i="62"/>
  <c r="J5" s="1"/>
  <c r="I5" i="51"/>
  <c r="K5" s="1"/>
  <c r="P5" s="1"/>
  <c r="AL6" i="61"/>
  <c r="AF6"/>
  <c r="AH6" s="1"/>
  <c r="AL5"/>
  <c r="AF5"/>
  <c r="AH5" s="1"/>
  <c r="Y6"/>
  <c r="X6"/>
  <c r="I6"/>
  <c r="Y5"/>
  <c r="X5"/>
  <c r="I5"/>
  <c r="AF5" i="58"/>
  <c r="AH5" s="1"/>
  <c r="Y5"/>
  <c r="I5"/>
  <c r="M5" s="1"/>
  <c r="N5" s="1"/>
  <c r="AF6" i="8"/>
  <c r="R5" i="57"/>
  <c r="P5"/>
  <c r="O5"/>
  <c r="I5"/>
  <c r="J5" s="1"/>
  <c r="Q5" i="56"/>
  <c r="P5"/>
  <c r="I5"/>
  <c r="J5" s="1"/>
  <c r="Q5" i="51"/>
  <c r="P5" i="54"/>
  <c r="O5"/>
  <c r="I5"/>
  <c r="J5" s="1"/>
  <c r="P5" i="53"/>
  <c r="O5"/>
  <c r="I5"/>
  <c r="K5" s="1"/>
  <c r="Q5" s="1"/>
  <c r="Q5" i="52"/>
  <c r="I5"/>
  <c r="K5" s="1"/>
  <c r="T5" s="1"/>
  <c r="P5" i="55"/>
  <c r="I5"/>
  <c r="J5" s="1"/>
  <c r="E7" i="77" l="1"/>
  <c r="E7" i="75"/>
  <c r="F7" s="1"/>
  <c r="AA5" i="70"/>
  <c r="AA6" s="1"/>
  <c r="M5"/>
  <c r="N5" s="1"/>
  <c r="O5" s="1"/>
  <c r="L5" i="78"/>
  <c r="M5" s="1"/>
  <c r="N5" s="1"/>
  <c r="M5" i="71"/>
  <c r="N5" s="1"/>
  <c r="P5" i="52"/>
  <c r="O5"/>
  <c r="J5" i="77"/>
  <c r="H5"/>
  <c r="J5" i="73"/>
  <c r="O5" i="71"/>
  <c r="M5" i="69"/>
  <c r="N5" s="1"/>
  <c r="K5" i="68"/>
  <c r="M5" s="1"/>
  <c r="J5" i="66"/>
  <c r="K5" i="65"/>
  <c r="M5" s="1"/>
  <c r="K5" i="64"/>
  <c r="M5" s="1"/>
  <c r="K5" i="63"/>
  <c r="M5" s="1"/>
  <c r="K5" i="62"/>
  <c r="M5" s="1"/>
  <c r="O5" i="51"/>
  <c r="M5" i="61"/>
  <c r="N5" s="1"/>
  <c r="M6"/>
  <c r="N6" s="1"/>
  <c r="O5" i="58"/>
  <c r="K5" i="57"/>
  <c r="K5" i="56"/>
  <c r="R5" i="51"/>
  <c r="J5"/>
  <c r="K5" i="54"/>
  <c r="R5" i="53"/>
  <c r="S5" s="1"/>
  <c r="T5" s="1"/>
  <c r="J5"/>
  <c r="R5" i="52"/>
  <c r="J5"/>
  <c r="K5" i="55"/>
  <c r="M5" i="77" l="1"/>
  <c r="L5"/>
  <c r="L7" s="1"/>
  <c r="N5" s="1"/>
  <c r="O5" i="78"/>
  <c r="P5" s="1"/>
  <c r="O5" i="55"/>
  <c r="R5"/>
  <c r="S5" i="51"/>
  <c r="T5" s="1"/>
  <c r="T5" i="54"/>
  <c r="Q5"/>
  <c r="S5" i="52"/>
  <c r="P5" i="71"/>
  <c r="P5" i="70"/>
  <c r="O5" i="69"/>
  <c r="O5" i="56"/>
  <c r="R5"/>
  <c r="T5" i="55"/>
  <c r="O5" i="61"/>
  <c r="O6"/>
  <c r="P5" i="58"/>
  <c r="Q5" s="1"/>
  <c r="R5" s="1"/>
  <c r="Q5" i="57"/>
  <c r="S5" s="1"/>
  <c r="T5"/>
  <c r="R5" i="54"/>
  <c r="Q5" i="55"/>
  <c r="I5" i="43"/>
  <c r="J5" s="1"/>
  <c r="I5" i="45"/>
  <c r="J5" s="1"/>
  <c r="I5" i="47"/>
  <c r="J5" s="1"/>
  <c r="I5" i="44"/>
  <c r="J5" s="1"/>
  <c r="I5" i="42"/>
  <c r="J5" s="1"/>
  <c r="I5" i="48"/>
  <c r="J5" s="1"/>
  <c r="S5" i="56" l="1"/>
  <c r="T5" s="1"/>
  <c r="F5" i="77"/>
  <c r="S5" i="54"/>
  <c r="Q5" i="71"/>
  <c r="R5" s="1"/>
  <c r="S5" s="1"/>
  <c r="Q5" i="70"/>
  <c r="R5" s="1"/>
  <c r="S5" s="1"/>
  <c r="P5" i="69"/>
  <c r="Q5" s="1"/>
  <c r="R5" s="1"/>
  <c r="S5" i="55"/>
  <c r="P5" i="61"/>
  <c r="P6"/>
  <c r="S5" i="58"/>
  <c r="K5" i="44"/>
  <c r="M5" s="1"/>
  <c r="K5" i="45"/>
  <c r="M5" s="1"/>
  <c r="K5" i="43"/>
  <c r="M5" s="1"/>
  <c r="K5" i="47"/>
  <c r="M5" s="1"/>
  <c r="K5" i="42"/>
  <c r="M5" s="1"/>
  <c r="K5" i="48"/>
  <c r="M5" s="1"/>
  <c r="I5" i="46"/>
  <c r="K5" s="1"/>
  <c r="M5" s="1"/>
  <c r="I5" i="39"/>
  <c r="J5" s="1"/>
  <c r="T5" i="71" l="1"/>
  <c r="U5"/>
  <c r="T5" i="70"/>
  <c r="U5"/>
  <c r="S5" i="69"/>
  <c r="Q5" i="61"/>
  <c r="R5" s="1"/>
  <c r="S5" s="1"/>
  <c r="Q6"/>
  <c r="R6" s="1"/>
  <c r="S6" s="1"/>
  <c r="U5" i="58"/>
  <c r="T5"/>
  <c r="K5" i="39"/>
  <c r="M5" s="1"/>
  <c r="J5" i="46"/>
  <c r="AF5" i="13"/>
  <c r="AH5" s="1"/>
  <c r="AK5" s="1"/>
  <c r="AL5" s="1"/>
  <c r="AF14" i="34"/>
  <c r="AH14" s="1"/>
  <c r="AK14" s="1"/>
  <c r="AL14" s="1"/>
  <c r="Z14"/>
  <c r="I14"/>
  <c r="M14" s="1"/>
  <c r="N14" s="1"/>
  <c r="AF13"/>
  <c r="AH13" s="1"/>
  <c r="AK13" s="1"/>
  <c r="AL13" s="1"/>
  <c r="Z13"/>
  <c r="I13"/>
  <c r="AF12"/>
  <c r="AH12" s="1"/>
  <c r="AK12" s="1"/>
  <c r="AL12" s="1"/>
  <c r="Z12"/>
  <c r="I12"/>
  <c r="M12" s="1"/>
  <c r="N12" s="1"/>
  <c r="AF11"/>
  <c r="AH11" s="1"/>
  <c r="AK11" s="1"/>
  <c r="AL11" s="1"/>
  <c r="Z11"/>
  <c r="I11"/>
  <c r="AF10"/>
  <c r="AH10" s="1"/>
  <c r="AK10" s="1"/>
  <c r="AL10" s="1"/>
  <c r="Z10"/>
  <c r="I10"/>
  <c r="M10" s="1"/>
  <c r="N10" s="1"/>
  <c r="AF9"/>
  <c r="AH9" s="1"/>
  <c r="AK9" s="1"/>
  <c r="AL9" s="1"/>
  <c r="Z9"/>
  <c r="I9"/>
  <c r="AF8"/>
  <c r="AH8" s="1"/>
  <c r="AK8" s="1"/>
  <c r="AL8" s="1"/>
  <c r="Z8"/>
  <c r="I8"/>
  <c r="M8" s="1"/>
  <c r="N8" s="1"/>
  <c r="AF7"/>
  <c r="AH7" s="1"/>
  <c r="AK7" s="1"/>
  <c r="AL7" s="1"/>
  <c r="Z7"/>
  <c r="I7"/>
  <c r="AF6"/>
  <c r="AH6" s="1"/>
  <c r="AK6" s="1"/>
  <c r="AL6" s="1"/>
  <c r="Z6"/>
  <c r="I6"/>
  <c r="M6" s="1"/>
  <c r="N6" s="1"/>
  <c r="AF5"/>
  <c r="AH5" s="1"/>
  <c r="AK5" s="1"/>
  <c r="AL5" s="1"/>
  <c r="Z5"/>
  <c r="I5"/>
  <c r="M5" s="1"/>
  <c r="N5" s="1"/>
  <c r="AF5" i="33"/>
  <c r="AH5" s="1"/>
  <c r="AK5" s="1"/>
  <c r="AL5" s="1"/>
  <c r="Z5"/>
  <c r="I5"/>
  <c r="AF5" i="32"/>
  <c r="AH5" s="1"/>
  <c r="AK5" s="1"/>
  <c r="AL5" s="1"/>
  <c r="Z5"/>
  <c r="I5"/>
  <c r="M5" s="1"/>
  <c r="N5" s="1"/>
  <c r="AF5" i="31"/>
  <c r="AH5" s="1"/>
  <c r="AK5" s="1"/>
  <c r="AL5" s="1"/>
  <c r="Z5"/>
  <c r="I5"/>
  <c r="M5" s="1"/>
  <c r="N5" s="1"/>
  <c r="AF5" i="30"/>
  <c r="AH5" s="1"/>
  <c r="AK5" s="1"/>
  <c r="AL5" s="1"/>
  <c r="Z5"/>
  <c r="I5"/>
  <c r="M5" s="1"/>
  <c r="N5" s="1"/>
  <c r="AF5" i="29"/>
  <c r="AH5" s="1"/>
  <c r="AK5" s="1"/>
  <c r="AL5" s="1"/>
  <c r="Z5"/>
  <c r="M5"/>
  <c r="N5" s="1"/>
  <c r="I5"/>
  <c r="AF5" i="28"/>
  <c r="AH5" s="1"/>
  <c r="Z5"/>
  <c r="Y5"/>
  <c r="X5"/>
  <c r="I5"/>
  <c r="M5" s="1"/>
  <c r="N5" s="1"/>
  <c r="AL6" i="4"/>
  <c r="AM6" s="1"/>
  <c r="AL5"/>
  <c r="AM5" s="1"/>
  <c r="AF5" i="25"/>
  <c r="AH5" s="1"/>
  <c r="Z5"/>
  <c r="I5"/>
  <c r="M5" s="1"/>
  <c r="N5" s="1"/>
  <c r="AF5" i="24"/>
  <c r="AH5" s="1"/>
  <c r="Z5"/>
  <c r="I5"/>
  <c r="M5" s="1"/>
  <c r="N5" s="1"/>
  <c r="AF6" i="23"/>
  <c r="AH6" s="1"/>
  <c r="Y6"/>
  <c r="X6"/>
  <c r="I6"/>
  <c r="M6" s="1"/>
  <c r="N6" s="1"/>
  <c r="AF5"/>
  <c r="AH5" s="1"/>
  <c r="Y5"/>
  <c r="X5"/>
  <c r="I5"/>
  <c r="M5" s="1"/>
  <c r="N5" s="1"/>
  <c r="AF6" i="22"/>
  <c r="AH6" s="1"/>
  <c r="I6"/>
  <c r="AF5"/>
  <c r="AH5" s="1"/>
  <c r="I5"/>
  <c r="AF6" i="21"/>
  <c r="AH6" s="1"/>
  <c r="Z6"/>
  <c r="I6"/>
  <c r="M6" s="1"/>
  <c r="N6" s="1"/>
  <c r="AF5"/>
  <c r="AH5" s="1"/>
  <c r="Z5"/>
  <c r="I5"/>
  <c r="M5" s="1"/>
  <c r="N5" s="1"/>
  <c r="AF5" i="20"/>
  <c r="AH5" s="1"/>
  <c r="Y5"/>
  <c r="X5"/>
  <c r="I5"/>
  <c r="M5" s="1"/>
  <c r="N5" s="1"/>
  <c r="AF5" i="19"/>
  <c r="AH5" s="1"/>
  <c r="Z5"/>
  <c r="I5"/>
  <c r="M5" s="1"/>
  <c r="N5" s="1"/>
  <c r="AF5" i="18"/>
  <c r="AH5" s="1"/>
  <c r="Z5"/>
  <c r="I5"/>
  <c r="AF5" i="17"/>
  <c r="AH5" s="1"/>
  <c r="Z5"/>
  <c r="I5"/>
  <c r="M5" s="1"/>
  <c r="N5" s="1"/>
  <c r="AF5" i="16"/>
  <c r="AH5" s="1"/>
  <c r="Z5"/>
  <c r="I5"/>
  <c r="M5" s="1"/>
  <c r="N5" s="1"/>
  <c r="AF5" i="15"/>
  <c r="AH5" s="1"/>
  <c r="I5"/>
  <c r="M5" s="1"/>
  <c r="N5" s="1"/>
  <c r="AF5" i="14"/>
  <c r="AH5" s="1"/>
  <c r="I5"/>
  <c r="M5" s="1"/>
  <c r="N5" s="1"/>
  <c r="I5" i="13"/>
  <c r="AF6" i="12"/>
  <c r="AH6" s="1"/>
  <c r="Y6"/>
  <c r="X6"/>
  <c r="I6"/>
  <c r="M6" s="1"/>
  <c r="N6" s="1"/>
  <c r="AF5"/>
  <c r="AH5" s="1"/>
  <c r="Y5"/>
  <c r="X5"/>
  <c r="I5"/>
  <c r="AL6" i="11"/>
  <c r="AF6"/>
  <c r="AH6" s="1"/>
  <c r="Y6"/>
  <c r="X6"/>
  <c r="I6"/>
  <c r="AL5"/>
  <c r="AF5"/>
  <c r="AH5" s="1"/>
  <c r="Y5"/>
  <c r="X5"/>
  <c r="I5"/>
  <c r="AL6" i="10"/>
  <c r="AF6"/>
  <c r="AH6" s="1"/>
  <c r="Y6"/>
  <c r="X6"/>
  <c r="I6"/>
  <c r="M6" s="1"/>
  <c r="N6" s="1"/>
  <c r="AL5"/>
  <c r="AF5"/>
  <c r="AH5" s="1"/>
  <c r="Y5"/>
  <c r="X5"/>
  <c r="I5"/>
  <c r="M5" s="1"/>
  <c r="N5" s="1"/>
  <c r="AL6" i="9"/>
  <c r="AF6"/>
  <c r="AH6" s="1"/>
  <c r="Y6"/>
  <c r="X6"/>
  <c r="I6"/>
  <c r="M6" s="1"/>
  <c r="N6" s="1"/>
  <c r="AL5"/>
  <c r="AF5"/>
  <c r="AH5" s="1"/>
  <c r="Y5"/>
  <c r="X5"/>
  <c r="I5"/>
  <c r="M5" s="1"/>
  <c r="N5" s="1"/>
  <c r="O5" s="1"/>
  <c r="AH6" i="8"/>
  <c r="AL6"/>
  <c r="Y6"/>
  <c r="X6"/>
  <c r="I6"/>
  <c r="M6" s="1"/>
  <c r="N6" s="1"/>
  <c r="AL5"/>
  <c r="AF5"/>
  <c r="AH5" s="1"/>
  <c r="Y5"/>
  <c r="X5"/>
  <c r="I5"/>
  <c r="AL6" i="7"/>
  <c r="AF6"/>
  <c r="AH6" s="1"/>
  <c r="Y6"/>
  <c r="X6"/>
  <c r="I6"/>
  <c r="AL5"/>
  <c r="AF5"/>
  <c r="AH5" s="1"/>
  <c r="Y5"/>
  <c r="X5"/>
  <c r="I5"/>
  <c r="AL6" i="6"/>
  <c r="AF6"/>
  <c r="AH6" s="1"/>
  <c r="Y6"/>
  <c r="X6"/>
  <c r="I6"/>
  <c r="M6" s="1"/>
  <c r="N6" s="1"/>
  <c r="O6" s="1"/>
  <c r="AL5"/>
  <c r="AF5"/>
  <c r="AH5" s="1"/>
  <c r="Y5"/>
  <c r="X5"/>
  <c r="I5"/>
  <c r="AL6" i="5"/>
  <c r="AF6"/>
  <c r="AH6" s="1"/>
  <c r="Y6"/>
  <c r="X6"/>
  <c r="I6"/>
  <c r="M6" s="1"/>
  <c r="N6" s="1"/>
  <c r="AL5"/>
  <c r="AF5"/>
  <c r="AH5" s="1"/>
  <c r="Y5"/>
  <c r="X5"/>
  <c r="I5"/>
  <c r="AF6" i="4"/>
  <c r="AH6" s="1"/>
  <c r="Y6"/>
  <c r="X6"/>
  <c r="I6"/>
  <c r="AF5"/>
  <c r="AH5" s="1"/>
  <c r="Y5"/>
  <c r="X5"/>
  <c r="I5"/>
  <c r="M5" s="1"/>
  <c r="N5" s="1"/>
  <c r="O5" s="1"/>
  <c r="P5" s="1"/>
  <c r="AF6" i="1"/>
  <c r="AH6" s="1"/>
  <c r="AL6"/>
  <c r="Y6"/>
  <c r="X6"/>
  <c r="I6"/>
  <c r="M6" s="1"/>
  <c r="N6" s="1"/>
  <c r="AL5"/>
  <c r="AF5"/>
  <c r="AH5" s="1"/>
  <c r="Y5"/>
  <c r="X5"/>
  <c r="I5"/>
  <c r="M5" s="1"/>
  <c r="N5" s="1"/>
  <c r="AQ5" i="13" l="1"/>
  <c r="AP5"/>
  <c r="AA5" i="28"/>
  <c r="X5" i="58"/>
  <c r="AK5"/>
  <c r="U6" i="71"/>
  <c r="X5"/>
  <c r="AD5"/>
  <c r="Y5"/>
  <c r="U6" i="70"/>
  <c r="AB5"/>
  <c r="AB6" s="1"/>
  <c r="AD5"/>
  <c r="T5" i="69"/>
  <c r="U5"/>
  <c r="T6" i="61"/>
  <c r="U6"/>
  <c r="T5"/>
  <c r="U5"/>
  <c r="Z5" i="58"/>
  <c r="AD5"/>
  <c r="O8" i="34"/>
  <c r="O10"/>
  <c r="O12"/>
  <c r="O14"/>
  <c r="M7"/>
  <c r="N7" s="1"/>
  <c r="O7" s="1"/>
  <c r="M9"/>
  <c r="N9" s="1"/>
  <c r="O9" s="1"/>
  <c r="M11"/>
  <c r="N11" s="1"/>
  <c r="O11" s="1"/>
  <c r="M13"/>
  <c r="N13" s="1"/>
  <c r="O13" s="1"/>
  <c r="O6"/>
  <c r="O5"/>
  <c r="M5" i="33"/>
  <c r="N5" s="1"/>
  <c r="O5" i="32"/>
  <c r="O5" i="31"/>
  <c r="O5" i="30"/>
  <c r="O5" i="29"/>
  <c r="O5" i="28"/>
  <c r="O5" i="25"/>
  <c r="O5" i="24"/>
  <c r="O6" i="23"/>
  <c r="O5"/>
  <c r="M6" i="22"/>
  <c r="N6" s="1"/>
  <c r="M5"/>
  <c r="N5" s="1"/>
  <c r="O6" i="21"/>
  <c r="O5"/>
  <c r="O5" i="20"/>
  <c r="O5" i="19"/>
  <c r="M5" i="18"/>
  <c r="N5" s="1"/>
  <c r="O5" s="1"/>
  <c r="O5" i="17"/>
  <c r="O5" i="16"/>
  <c r="O5" i="15"/>
  <c r="O5" i="14"/>
  <c r="M5" i="13"/>
  <c r="N5" s="1"/>
  <c r="O5" s="1"/>
  <c r="P5" s="1"/>
  <c r="Q5" s="1"/>
  <c r="R5" s="1"/>
  <c r="O6" i="12"/>
  <c r="M5"/>
  <c r="N5" s="1"/>
  <c r="M6" i="11"/>
  <c r="N6" s="1"/>
  <c r="M5"/>
  <c r="N5" s="1"/>
  <c r="O5" i="10"/>
  <c r="O6"/>
  <c r="P5" i="9"/>
  <c r="O6"/>
  <c r="O6" i="8"/>
  <c r="M5"/>
  <c r="N5" s="1"/>
  <c r="M6" i="7"/>
  <c r="N6" s="1"/>
  <c r="O6" s="1"/>
  <c r="M5"/>
  <c r="N5" s="1"/>
  <c r="O5" s="1"/>
  <c r="Q6" i="6"/>
  <c r="R6" s="1"/>
  <c r="P6"/>
  <c r="M5"/>
  <c r="N5" s="1"/>
  <c r="O6" i="5"/>
  <c r="M5"/>
  <c r="N5" s="1"/>
  <c r="Q5" i="4"/>
  <c r="R5" s="1"/>
  <c r="S5" s="1"/>
  <c r="M6"/>
  <c r="N6" s="1"/>
  <c r="O6" s="1"/>
  <c r="O6" i="1"/>
  <c r="O5"/>
  <c r="AA5" i="58" l="1"/>
  <c r="AB5" s="1"/>
  <c r="AA5" i="71"/>
  <c r="AD5" i="69"/>
  <c r="U6"/>
  <c r="Z5"/>
  <c r="AA5" s="1"/>
  <c r="AA6" s="1"/>
  <c r="AD6" i="61"/>
  <c r="Z6"/>
  <c r="AA6" s="1"/>
  <c r="Z5"/>
  <c r="AD5"/>
  <c r="P9" i="34"/>
  <c r="Q9" s="1"/>
  <c r="R9" s="1"/>
  <c r="S9" s="1"/>
  <c r="P11"/>
  <c r="Q11" s="1"/>
  <c r="R11" s="1"/>
  <c r="S11" s="1"/>
  <c r="P10"/>
  <c r="P8"/>
  <c r="Q8" s="1"/>
  <c r="R8" s="1"/>
  <c r="P7"/>
  <c r="Q7" s="1"/>
  <c r="R7" s="1"/>
  <c r="P12"/>
  <c r="P13"/>
  <c r="P14"/>
  <c r="P6"/>
  <c r="Q6" s="1"/>
  <c r="R6" s="1"/>
  <c r="P5"/>
  <c r="O5" i="33"/>
  <c r="P5" i="32"/>
  <c r="P5" i="31"/>
  <c r="P5" i="30"/>
  <c r="Q5" s="1"/>
  <c r="R5" s="1"/>
  <c r="P5" i="29"/>
  <c r="P5" i="28"/>
  <c r="Q5" s="1"/>
  <c r="R5" s="1"/>
  <c r="P5" i="25"/>
  <c r="Q5" s="1"/>
  <c r="R5" s="1"/>
  <c r="P5" i="24"/>
  <c r="P6" i="23"/>
  <c r="Q6" s="1"/>
  <c r="R6" s="1"/>
  <c r="P5"/>
  <c r="Q5" s="1"/>
  <c r="R5" s="1"/>
  <c r="O6" i="22"/>
  <c r="O5"/>
  <c r="P6" i="21"/>
  <c r="Q6" s="1"/>
  <c r="R6" s="1"/>
  <c r="P5"/>
  <c r="P5" i="20"/>
  <c r="P5" i="19"/>
  <c r="Q5" s="1"/>
  <c r="R5" s="1"/>
  <c r="P5" i="18"/>
  <c r="Q5" s="1"/>
  <c r="R5" s="1"/>
  <c r="P5" i="17"/>
  <c r="P5" i="16"/>
  <c r="P5" i="15"/>
  <c r="P5" i="14"/>
  <c r="S5" i="13"/>
  <c r="P6" i="12"/>
  <c r="Q6" s="1"/>
  <c r="R6" s="1"/>
  <c r="O5"/>
  <c r="O6" i="11"/>
  <c r="O5"/>
  <c r="P5" i="10"/>
  <c r="P6"/>
  <c r="P6" i="9"/>
  <c r="Q6" s="1"/>
  <c r="R6" s="1"/>
  <c r="Q5"/>
  <c r="R5" s="1"/>
  <c r="S5" s="1"/>
  <c r="P6" i="8"/>
  <c r="O5"/>
  <c r="P6" i="7"/>
  <c r="P5"/>
  <c r="Q5" s="1"/>
  <c r="R5" s="1"/>
  <c r="S6" i="6"/>
  <c r="T6" s="1"/>
  <c r="O5"/>
  <c r="P6" i="5"/>
  <c r="Q6" s="1"/>
  <c r="R6" s="1"/>
  <c r="O5"/>
  <c r="T5" i="4"/>
  <c r="U5"/>
  <c r="P6"/>
  <c r="P6" i="1"/>
  <c r="Q6" s="1"/>
  <c r="R6" s="1"/>
  <c r="P5"/>
  <c r="Q6" i="4" l="1"/>
  <c r="R6" s="1"/>
  <c r="S6" s="1"/>
  <c r="U6" s="1"/>
  <c r="AA6" i="71"/>
  <c r="AB5"/>
  <c r="AB6" s="1"/>
  <c r="AB5" i="69"/>
  <c r="AB6" s="1"/>
  <c r="AA5" i="61"/>
  <c r="AB5" s="1"/>
  <c r="AB6"/>
  <c r="AD7"/>
  <c r="T9" i="34"/>
  <c r="U9"/>
  <c r="Q12"/>
  <c r="R12" s="1"/>
  <c r="S12" s="1"/>
  <c r="S7"/>
  <c r="Q14"/>
  <c r="R14" s="1"/>
  <c r="S14" s="1"/>
  <c r="S8"/>
  <c r="Q13"/>
  <c r="R13" s="1"/>
  <c r="S13" s="1"/>
  <c r="T11"/>
  <c r="U11"/>
  <c r="Q10"/>
  <c r="R10" s="1"/>
  <c r="S10" s="1"/>
  <c r="S6"/>
  <c r="Q5"/>
  <c r="R5" s="1"/>
  <c r="S5" s="1"/>
  <c r="P5" i="33"/>
  <c r="Q5" i="32"/>
  <c r="R5" s="1"/>
  <c r="S5" s="1"/>
  <c r="Q5" i="31"/>
  <c r="R5" s="1"/>
  <c r="S5" s="1"/>
  <c r="S5" i="30"/>
  <c r="Q5" i="29"/>
  <c r="R5" s="1"/>
  <c r="S5" s="1"/>
  <c r="S5" i="28"/>
  <c r="S5" i="25"/>
  <c r="Q5" i="24"/>
  <c r="R5" s="1"/>
  <c r="S5" s="1"/>
  <c r="S6" i="23"/>
  <c r="S5"/>
  <c r="P6" i="22"/>
  <c r="P5"/>
  <c r="S6" i="21"/>
  <c r="Q5"/>
  <c r="R5" s="1"/>
  <c r="S5" s="1"/>
  <c r="Q5" i="20"/>
  <c r="R5" s="1"/>
  <c r="S5" s="1"/>
  <c r="S5" i="19"/>
  <c r="S5" i="18"/>
  <c r="Q5" i="17"/>
  <c r="R5" s="1"/>
  <c r="S5" s="1"/>
  <c r="Q5" i="16"/>
  <c r="R5" s="1"/>
  <c r="S5" s="1"/>
  <c r="Q5" i="15"/>
  <c r="R5" s="1"/>
  <c r="S5" s="1"/>
  <c r="Q5" i="14"/>
  <c r="R5" s="1"/>
  <c r="S5" s="1"/>
  <c r="T5" i="13"/>
  <c r="U5"/>
  <c r="P5" i="12"/>
  <c r="S6"/>
  <c r="P6" i="11"/>
  <c r="P5"/>
  <c r="Q5" i="10"/>
  <c r="R5" s="1"/>
  <c r="S5" s="1"/>
  <c r="Q6"/>
  <c r="R6" s="1"/>
  <c r="S6" s="1"/>
  <c r="T5" i="9"/>
  <c r="U5"/>
  <c r="Z5" s="1"/>
  <c r="AA5" s="1"/>
  <c r="S6"/>
  <c r="P5" i="8"/>
  <c r="Q6"/>
  <c r="R6" s="1"/>
  <c r="S6" s="1"/>
  <c r="S5" i="7"/>
  <c r="T5" s="1"/>
  <c r="Q6"/>
  <c r="R6" s="1"/>
  <c r="S6" s="1"/>
  <c r="U6" i="6"/>
  <c r="AD6" s="1"/>
  <c r="Z6"/>
  <c r="AA6" s="1"/>
  <c r="P5"/>
  <c r="Q5" s="1"/>
  <c r="R5" s="1"/>
  <c r="S6" i="5"/>
  <c r="P5"/>
  <c r="AD5" i="4"/>
  <c r="Z5"/>
  <c r="AA5" s="1"/>
  <c r="AB5" s="1"/>
  <c r="S6" i="1"/>
  <c r="Q5"/>
  <c r="R5" s="1"/>
  <c r="S5" s="1"/>
  <c r="T6" i="4" l="1"/>
  <c r="AB7" i="61"/>
  <c r="T12" i="34"/>
  <c r="U12"/>
  <c r="U10"/>
  <c r="T10"/>
  <c r="T13"/>
  <c r="U13"/>
  <c r="T14"/>
  <c r="U14"/>
  <c r="T7"/>
  <c r="U7"/>
  <c r="X9"/>
  <c r="Y9"/>
  <c r="AD9"/>
  <c r="T8"/>
  <c r="U8"/>
  <c r="X11"/>
  <c r="Y11"/>
  <c r="AD11"/>
  <c r="T6"/>
  <c r="U6"/>
  <c r="T5"/>
  <c r="U5"/>
  <c r="S5" i="33"/>
  <c r="Q5"/>
  <c r="R5" s="1"/>
  <c r="U5" i="32"/>
  <c r="T5"/>
  <c r="U5" i="31"/>
  <c r="T5"/>
  <c r="T5" i="30"/>
  <c r="U5"/>
  <c r="U5" i="29"/>
  <c r="T5"/>
  <c r="T5" i="28"/>
  <c r="U5"/>
  <c r="T5" i="25"/>
  <c r="U5"/>
  <c r="T5" i="24"/>
  <c r="U5"/>
  <c r="U6" i="23"/>
  <c r="T6"/>
  <c r="T5"/>
  <c r="U5"/>
  <c r="Q6" i="22"/>
  <c r="R6" s="1"/>
  <c r="S6" s="1"/>
  <c r="Q5"/>
  <c r="R5" s="1"/>
  <c r="S5" s="1"/>
  <c r="T6" i="21"/>
  <c r="U6"/>
  <c r="U5"/>
  <c r="T5"/>
  <c r="T5" i="20"/>
  <c r="U5"/>
  <c r="T5" i="19"/>
  <c r="U5"/>
  <c r="T5" i="18"/>
  <c r="U5"/>
  <c r="T5" i="17"/>
  <c r="U5"/>
  <c r="U5" i="16"/>
  <c r="T5"/>
  <c r="U5" i="15"/>
  <c r="T5"/>
  <c r="T5" i="14"/>
  <c r="U5"/>
  <c r="Z5" s="1"/>
  <c r="Y5" i="13"/>
  <c r="X5"/>
  <c r="AD5"/>
  <c r="Z5"/>
  <c r="U6" i="12"/>
  <c r="T6"/>
  <c r="Q5"/>
  <c r="R5" s="1"/>
  <c r="S5" s="1"/>
  <c r="Q6" i="11"/>
  <c r="R6" s="1"/>
  <c r="S6" s="1"/>
  <c r="Q5"/>
  <c r="R5" s="1"/>
  <c r="S5" s="1"/>
  <c r="T5" i="10"/>
  <c r="U5"/>
  <c r="T6"/>
  <c r="U6"/>
  <c r="AB5" i="9"/>
  <c r="AD5"/>
  <c r="U6"/>
  <c r="Z6" s="1"/>
  <c r="AA6" s="1"/>
  <c r="T6"/>
  <c r="U6" i="8"/>
  <c r="T6"/>
  <c r="Q5"/>
  <c r="R5" s="1"/>
  <c r="S5" s="1"/>
  <c r="U5" i="7"/>
  <c r="T6"/>
  <c r="U6"/>
  <c r="Z6" s="1"/>
  <c r="AA6" s="1"/>
  <c r="AB6" i="6"/>
  <c r="S5"/>
  <c r="U6" i="5"/>
  <c r="Z6" s="1"/>
  <c r="AA6" s="1"/>
  <c r="T6"/>
  <c r="Q5"/>
  <c r="R5" s="1"/>
  <c r="S5" s="1"/>
  <c r="Z6" i="4"/>
  <c r="AA6" s="1"/>
  <c r="AB6" s="1"/>
  <c r="AD6"/>
  <c r="T6" i="1"/>
  <c r="U6"/>
  <c r="U5"/>
  <c r="T5"/>
  <c r="Y5" i="21" l="1"/>
  <c r="X5"/>
  <c r="AD5" i="7"/>
  <c r="Z5"/>
  <c r="AA5" s="1"/>
  <c r="AL5" i="20"/>
  <c r="Z5"/>
  <c r="AA5" s="1"/>
  <c r="X5" i="24"/>
  <c r="Y5"/>
  <c r="Y6" i="21"/>
  <c r="X6"/>
  <c r="AA9" i="34"/>
  <c r="AB9" s="1"/>
  <c r="AD7"/>
  <c r="X7"/>
  <c r="Y7"/>
  <c r="Y12"/>
  <c r="AD12"/>
  <c r="X12"/>
  <c r="AD8"/>
  <c r="Y8"/>
  <c r="X8"/>
  <c r="Y10"/>
  <c r="AD10"/>
  <c r="X10"/>
  <c r="X13"/>
  <c r="Y13"/>
  <c r="AD13"/>
  <c r="AA11"/>
  <c r="AB11" s="1"/>
  <c r="Y14"/>
  <c r="AD14"/>
  <c r="X14"/>
  <c r="AD6"/>
  <c r="X6"/>
  <c r="Y6"/>
  <c r="AD5"/>
  <c r="X5"/>
  <c r="Y5"/>
  <c r="T5" i="33"/>
  <c r="U5"/>
  <c r="AD5" i="32"/>
  <c r="X5"/>
  <c r="Y5"/>
  <c r="AD5" i="31"/>
  <c r="X5"/>
  <c r="Y5"/>
  <c r="AD5" i="30"/>
  <c r="X5"/>
  <c r="Y5"/>
  <c r="AD5" i="29"/>
  <c r="X5"/>
  <c r="AA5" s="1"/>
  <c r="AB5" s="1"/>
  <c r="Y5"/>
  <c r="AB5" i="28"/>
  <c r="AD5"/>
  <c r="AD5" i="25"/>
  <c r="X5"/>
  <c r="Y5"/>
  <c r="AD5" i="24"/>
  <c r="AD5" i="23"/>
  <c r="Z5"/>
  <c r="AA5" s="1"/>
  <c r="AB5" s="1"/>
  <c r="Z6"/>
  <c r="AA6" s="1"/>
  <c r="AB6" s="1"/>
  <c r="AD6"/>
  <c r="T5" i="22"/>
  <c r="U5"/>
  <c r="Z5" s="1"/>
  <c r="T6"/>
  <c r="U6"/>
  <c r="Z6" s="1"/>
  <c r="AD6" i="21"/>
  <c r="AD5"/>
  <c r="AB5" i="20"/>
  <c r="AD5"/>
  <c r="X5" i="19"/>
  <c r="Y5"/>
  <c r="AD5"/>
  <c r="Y5" i="18"/>
  <c r="AD5"/>
  <c r="X5"/>
  <c r="X5" i="17"/>
  <c r="Y5"/>
  <c r="AD5"/>
  <c r="X5" i="16"/>
  <c r="AA5" s="1"/>
  <c r="AB5" s="1"/>
  <c r="Y5"/>
  <c r="AD5"/>
  <c r="X5" i="15"/>
  <c r="Y5"/>
  <c r="Z5"/>
  <c r="AD5"/>
  <c r="AD5" i="14"/>
  <c r="Y5"/>
  <c r="X5"/>
  <c r="AA5" i="13"/>
  <c r="AB5" s="1"/>
  <c r="T5" i="12"/>
  <c r="U5"/>
  <c r="AD6"/>
  <c r="Z6"/>
  <c r="AA6" s="1"/>
  <c r="AB6" s="1"/>
  <c r="T6" i="11"/>
  <c r="U6"/>
  <c r="Z6" s="1"/>
  <c r="AA6" s="1"/>
  <c r="T5"/>
  <c r="U5"/>
  <c r="Z5" s="1"/>
  <c r="AA5" s="1"/>
  <c r="Z5" i="10"/>
  <c r="AA5" s="1"/>
  <c r="AB5" s="1"/>
  <c r="AD5"/>
  <c r="AD6"/>
  <c r="Z6"/>
  <c r="AA6" s="1"/>
  <c r="AB6" s="1"/>
  <c r="AB6" i="9"/>
  <c r="AD6"/>
  <c r="AD6" i="8"/>
  <c r="Z6"/>
  <c r="AA6" s="1"/>
  <c r="AB6" s="1"/>
  <c r="T5"/>
  <c r="U5"/>
  <c r="AB5" i="7"/>
  <c r="AB6"/>
  <c r="AD6"/>
  <c r="T5" i="6"/>
  <c r="U5"/>
  <c r="AD6" i="5"/>
  <c r="AB6"/>
  <c r="T5"/>
  <c r="U5"/>
  <c r="Z5" s="1"/>
  <c r="AA5" s="1"/>
  <c r="Z6" i="1"/>
  <c r="AA6" s="1"/>
  <c r="AB6" s="1"/>
  <c r="AD6"/>
  <c r="AD5"/>
  <c r="Z5"/>
  <c r="AA5" s="1"/>
  <c r="AB5" s="1"/>
  <c r="AA5" i="17" l="1"/>
  <c r="AB5" s="1"/>
  <c r="AA5" i="31"/>
  <c r="AB5" s="1"/>
  <c r="AA5" i="25"/>
  <c r="AB5" s="1"/>
  <c r="AA5" i="32"/>
  <c r="AB5" s="1"/>
  <c r="AA6" i="34"/>
  <c r="AB6" s="1"/>
  <c r="AA5" i="19"/>
  <c r="AB5" s="1"/>
  <c r="AA6" i="21"/>
  <c r="AB6" s="1"/>
  <c r="AA5"/>
  <c r="AB5" s="1"/>
  <c r="AA5" i="30"/>
  <c r="AB5" s="1"/>
  <c r="AA5" i="24"/>
  <c r="AB5" s="1"/>
  <c r="AA5" i="34"/>
  <c r="AB5" s="1"/>
  <c r="AA8"/>
  <c r="AB8" s="1"/>
  <c r="AA13"/>
  <c r="AB13" s="1"/>
  <c r="AA7"/>
  <c r="AB7" s="1"/>
  <c r="AA12"/>
  <c r="AB12" s="1"/>
  <c r="AA14"/>
  <c r="AB14" s="1"/>
  <c r="AA10"/>
  <c r="AB10" s="1"/>
  <c r="AD5" i="33"/>
  <c r="X5"/>
  <c r="Y5"/>
  <c r="AD5" i="22"/>
  <c r="X5"/>
  <c r="Y5"/>
  <c r="X6"/>
  <c r="Y6"/>
  <c r="AD6"/>
  <c r="AA5" i="18"/>
  <c r="AB5" s="1"/>
  <c r="AA5" i="15"/>
  <c r="AB5" s="1"/>
  <c r="AA5" i="14"/>
  <c r="AB5" s="1"/>
  <c r="Z5" i="12"/>
  <c r="AA5" s="1"/>
  <c r="AB5" s="1"/>
  <c r="AD5"/>
  <c r="AB6" i="11"/>
  <c r="AD6"/>
  <c r="AB5"/>
  <c r="AD5"/>
  <c r="AD5" i="8"/>
  <c r="Z5"/>
  <c r="AA5" s="1"/>
  <c r="AB5" s="1"/>
  <c r="Z5" i="6"/>
  <c r="AA5" s="1"/>
  <c r="AB5" s="1"/>
  <c r="AD5"/>
  <c r="AD5" i="5"/>
  <c r="AB5"/>
  <c r="AA5" i="33" l="1"/>
  <c r="AB5" s="1"/>
  <c r="AA5" i="22"/>
  <c r="AB5" s="1"/>
  <c r="AA6"/>
  <c r="AB6" s="1"/>
  <c r="F5" i="78" l="1"/>
  <c r="O5" i="77"/>
  <c r="R5" s="1"/>
  <c r="P5" l="1"/>
</calcChain>
</file>

<file path=xl/sharedStrings.xml><?xml version="1.0" encoding="utf-8"?>
<sst xmlns="http://schemas.openxmlformats.org/spreadsheetml/2006/main" count="3185" uniqueCount="274">
  <si>
    <t>GST Sales</t>
  </si>
  <si>
    <t>(1 - Local Sales,2 Interstate Sales, 3 Import Sales)</t>
  </si>
  <si>
    <t xml:space="preserve">Cur. </t>
  </si>
  <si>
    <t>INR</t>
  </si>
  <si>
    <t>Ex. Rate</t>
  </si>
  <si>
    <t>S. No.</t>
  </si>
  <si>
    <t>Item</t>
  </si>
  <si>
    <t>Rev</t>
  </si>
  <si>
    <t>Item Desc.</t>
  </si>
  <si>
    <t>Stk. UOM</t>
  </si>
  <si>
    <t>Sale. UOM</t>
  </si>
  <si>
    <t>Order Qty (Sale UOM)</t>
  </si>
  <si>
    <t>Unit Price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</si>
  <si>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</si>
  <si>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</si>
  <si>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</si>
  <si>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</si>
  <si>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</si>
  <si>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</si>
  <si>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</si>
  <si>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</si>
  <si>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</si>
  <si>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</si>
  <si>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</si>
  <si>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Sales Val.</t>
  </si>
  <si>
    <t>HSN</t>
  </si>
  <si>
    <t>Tax Rate</t>
  </si>
  <si>
    <t>CGST</t>
  </si>
  <si>
    <t>SGST</t>
  </si>
  <si>
    <t>IGST</t>
  </si>
  <si>
    <t>Tax amt</t>
  </si>
  <si>
    <t>Net Amt</t>
  </si>
  <si>
    <t>NOS</t>
  </si>
  <si>
    <t>Conv. Factor</t>
  </si>
  <si>
    <t>Eqv.  Stock Qty</t>
  </si>
  <si>
    <t>Before Stock Qty</t>
  </si>
  <si>
    <t>After Stock Qty</t>
  </si>
  <si>
    <t>Warehouse</t>
  </si>
  <si>
    <t>F100</t>
  </si>
  <si>
    <t>Scenario  : Local Sales - Stock UOM and Sales UOM (Similar)   DOC NO :  SORD-2425-00089</t>
  </si>
  <si>
    <t>Disc.Amt.Per.Qty</t>
  </si>
  <si>
    <t>Weight/Vol</t>
  </si>
  <si>
    <t>Sales Amt (BC)</t>
  </si>
  <si>
    <t>Sales GL Acct</t>
  </si>
  <si>
    <t>235.36857</t>
  </si>
  <si>
    <t>922</t>
  </si>
  <si>
    <t>87850</t>
  </si>
  <si>
    <t>UD_Disimilar_Domestic_002</t>
  </si>
  <si>
    <t>RC_DOMESTIC_001</t>
  </si>
  <si>
    <t>Domestic_RC_Item_ID_Disimilar</t>
  </si>
  <si>
    <t>RC_Export_001</t>
  </si>
  <si>
    <t>Export_RC_Item_ID_Disimilar</t>
  </si>
  <si>
    <t>Domestic_PL_Item_ID</t>
  </si>
  <si>
    <t>Domestic_PL_Item_ID_Disimilar</t>
  </si>
  <si>
    <t>60</t>
  </si>
  <si>
    <t>Export_PL_Item_ID</t>
  </si>
  <si>
    <t>Export_PL_Item_ID_Disimilar</t>
  </si>
  <si>
    <t>15</t>
  </si>
  <si>
    <t>Domestic_SP_Item_ID</t>
  </si>
  <si>
    <t>Domestic_SP_Item_ID_Disimalar</t>
  </si>
  <si>
    <t>Export_SP_Item_ID</t>
  </si>
  <si>
    <t>Export_SP_Item_ID_Disimalar</t>
  </si>
  <si>
    <t>Domestic_CG_Item_ID</t>
  </si>
  <si>
    <t>Domestic_CG_Item_ID_Disimalar</t>
  </si>
  <si>
    <t>Export_CG_Item_ID</t>
  </si>
  <si>
    <t>Export_CG_Item_ID_Disimalar</t>
  </si>
  <si>
    <t>HK-TVS-SCRAP-10001</t>
  </si>
  <si>
    <t>Service0001</t>
  </si>
  <si>
    <t>CESS%</t>
  </si>
  <si>
    <t>CESS Amt</t>
  </si>
  <si>
    <t>Promotional Type</t>
  </si>
  <si>
    <t>Promotional</t>
  </si>
  <si>
    <t>Sales Regular</t>
  </si>
  <si>
    <t>78119</t>
  </si>
  <si>
    <t>9620</t>
  </si>
  <si>
    <t>PROD 100</t>
  </si>
  <si>
    <t>SO/Reference Domestic</t>
  </si>
  <si>
    <t>SO100/00895/25-26</t>
  </si>
  <si>
    <t>SO/Reference Export</t>
  </si>
  <si>
    <t>CPC Code</t>
  </si>
  <si>
    <t>After Rtrn Inv Qty</t>
  </si>
  <si>
    <t>After Stk Qty</t>
  </si>
  <si>
    <t>HK-FIFO-LOT-BATCH-10001(FG)</t>
  </si>
  <si>
    <t>Charges</t>
  </si>
  <si>
    <t>Sno</t>
  </si>
  <si>
    <t>Desc</t>
  </si>
  <si>
    <t>Basiss</t>
  </si>
  <si>
    <t>Pct</t>
  </si>
  <si>
    <t>Value</t>
  </si>
  <si>
    <t>SAC</t>
  </si>
  <si>
    <t>FRIEGHT CHARGES</t>
  </si>
  <si>
    <t>%</t>
  </si>
  <si>
    <t>PACKING CHARGES</t>
  </si>
  <si>
    <t>Total</t>
  </si>
  <si>
    <t>FG_ShipSet_01</t>
  </si>
  <si>
    <t>FG3100</t>
  </si>
  <si>
    <t>FG3101</t>
  </si>
  <si>
    <t>FG3102</t>
  </si>
  <si>
    <t>FG3103</t>
  </si>
  <si>
    <t>FG3104</t>
  </si>
  <si>
    <t>FG3105</t>
  </si>
  <si>
    <t>FG3106</t>
  </si>
  <si>
    <t>FG3107</t>
  </si>
  <si>
    <t>FG3108</t>
  </si>
  <si>
    <t>Scrap W/H</t>
  </si>
  <si>
    <t>Scrap Item</t>
  </si>
  <si>
    <t>Scarp Before Stk Qty</t>
  </si>
  <si>
    <t>Scarp After Stk Qty</t>
  </si>
  <si>
    <t>Scarp After MRV Stk Qty</t>
  </si>
  <si>
    <t>99928</t>
  </si>
  <si>
    <t>62718</t>
  </si>
  <si>
    <t>99936</t>
  </si>
  <si>
    <t>99932</t>
  </si>
  <si>
    <t>99924</t>
  </si>
  <si>
    <t>99920</t>
  </si>
  <si>
    <t>99916</t>
  </si>
  <si>
    <t>99912</t>
  </si>
  <si>
    <t>99908</t>
  </si>
  <si>
    <t>99904</t>
  </si>
  <si>
    <t>105596</t>
  </si>
  <si>
    <t>Process</t>
  </si>
  <si>
    <t>Scenario  : Direct SCO With BOM Standard Type</t>
  </si>
  <si>
    <t>Vj-FIFO-LOT-BATCH-50001(FG)</t>
  </si>
  <si>
    <t>Qty</t>
  </si>
  <si>
    <t>PROC-003</t>
  </si>
  <si>
    <t>BatchQty</t>
  </si>
  <si>
    <t>BatchCost</t>
  </si>
  <si>
    <t>2</t>
  </si>
  <si>
    <t>3</t>
  </si>
  <si>
    <t>Scenario  : Open SCO Revise</t>
  </si>
  <si>
    <t>Scenario  : Open SCO Price</t>
  </si>
  <si>
    <t>FG0004</t>
  </si>
  <si>
    <t>GLACCT</t>
  </si>
  <si>
    <t>CHARGES ACCOUNT</t>
  </si>
  <si>
    <t>Scenario  : Direct SCO With Conv. Factor</t>
  </si>
  <si>
    <t>FG20001</t>
  </si>
  <si>
    <t>SO Ref</t>
  </si>
  <si>
    <t>FG30001</t>
  </si>
  <si>
    <t>25</t>
  </si>
  <si>
    <t>VJ-PROJECT</t>
  </si>
  <si>
    <t>PROC-004</t>
  </si>
  <si>
    <t>VR-SERIAL-FIFO-BATCH-90001</t>
  </si>
  <si>
    <t>Scenario  : Direct SCO Serial With BOM Standard Type</t>
  </si>
  <si>
    <t>FG50011</t>
  </si>
  <si>
    <t>FG40001-SERIAL-SO</t>
  </si>
  <si>
    <t>Scenario  : Direct SCO Serial With BOM Standard Type With Project</t>
  </si>
  <si>
    <t>FRYING</t>
  </si>
  <si>
    <t>ConvFact</t>
  </si>
  <si>
    <t>ProcQty</t>
  </si>
  <si>
    <t>LineUnitCost</t>
  </si>
  <si>
    <t>AsblVal</t>
  </si>
  <si>
    <t>Tax</t>
  </si>
  <si>
    <t>IGSTAmt</t>
  </si>
  <si>
    <t>ContrPfx</t>
  </si>
  <si>
    <t>ContrNo</t>
  </si>
  <si>
    <t>OOS10</t>
  </si>
  <si>
    <t>OOS10/00031/25-26</t>
  </si>
  <si>
    <t>UOM</t>
  </si>
  <si>
    <t>KGS</t>
  </si>
  <si>
    <t>1</t>
  </si>
  <si>
    <t>(1 - Registered, 2 - Unregistered)</t>
  </si>
  <si>
    <t>Scenario  : Subcontract Process Calculation Local(Registered)</t>
  </si>
  <si>
    <t>20</t>
  </si>
  <si>
    <t>Scenario  : Subcontract Process Calculation Interstate(UnRegistered)</t>
  </si>
  <si>
    <t>Scenario  : Subcontract Process Calculation Interstate(Registered)</t>
  </si>
  <si>
    <t>Scenario  : Subcontract Process Calculation Local(UnRegistered)</t>
  </si>
  <si>
    <t>45</t>
  </si>
  <si>
    <t>(1 - Local Sales,2 Interstate Sales, 3 Import Sales, 4 UTGST)</t>
  </si>
  <si>
    <t>UTGST</t>
  </si>
  <si>
    <t>Scenario  : Subcontract Process Calculation UTGST(UnRegistered)</t>
  </si>
  <si>
    <t>Scenario  : Subcontract Process Calculation UTGST(Registered)</t>
  </si>
  <si>
    <t>FG WH</t>
  </si>
  <si>
    <t>LOCAL SALES</t>
  </si>
  <si>
    <t>100000</t>
  </si>
  <si>
    <t>SCR WH</t>
  </si>
  <si>
    <t>99995</t>
  </si>
  <si>
    <t>99985</t>
  </si>
  <si>
    <t>70</t>
  </si>
  <si>
    <t>80</t>
  </si>
  <si>
    <t>79</t>
  </si>
  <si>
    <t>61</t>
  </si>
  <si>
    <t>71</t>
  </si>
  <si>
    <t>50</t>
  </si>
  <si>
    <t>99906</t>
  </si>
  <si>
    <t>99970</t>
  </si>
  <si>
    <t>55</t>
  </si>
  <si>
    <t>99955</t>
  </si>
  <si>
    <t>99988.334</t>
  </si>
  <si>
    <t>99876</t>
  </si>
  <si>
    <t>99831</t>
  </si>
  <si>
    <t>99816</t>
  </si>
  <si>
    <t>99965</t>
  </si>
  <si>
    <t>99806</t>
  </si>
  <si>
    <t>CPC-10001</t>
  </si>
  <si>
    <t>HK-CH-00002</t>
  </si>
  <si>
    <t>HK-CH-00003</t>
  </si>
  <si>
    <t>99656</t>
  </si>
  <si>
    <t>SORD-2526-00077</t>
  </si>
  <si>
    <t>SORD-2526-00266</t>
  </si>
  <si>
    <t>99775</t>
  </si>
  <si>
    <t>99925</t>
  </si>
  <si>
    <t>99865</t>
  </si>
  <si>
    <t>81</t>
  </si>
  <si>
    <t>Sales Order</t>
  </si>
  <si>
    <t>(1 - Local Sales,2 Interstate Sales, 3 Export Sales)</t>
  </si>
  <si>
    <t>HSN1</t>
  </si>
  <si>
    <t>HK-FG-DISSIMILAR-10001</t>
  </si>
  <si>
    <t>DISC AMOUNT</t>
  </si>
  <si>
    <t xml:space="preserve">NET AMOUNT </t>
  </si>
  <si>
    <t>SALES AMOUNT</t>
  </si>
  <si>
    <t>95786</t>
  </si>
  <si>
    <t>SORD-2526-00764</t>
  </si>
  <si>
    <t>SORD-2526-00765</t>
  </si>
  <si>
    <t>94011</t>
  </si>
  <si>
    <t>99592.5</t>
  </si>
  <si>
    <t>SORD-2526-00808</t>
  </si>
  <si>
    <t>FG WH49</t>
  </si>
  <si>
    <t>30</t>
  </si>
  <si>
    <t>SO3-2526-00090</t>
  </si>
  <si>
    <t>SO3-2526-00091</t>
  </si>
  <si>
    <t>SO3-2526-00097</t>
  </si>
  <si>
    <t>Scenario  :SourceSF And TarSF Code</t>
  </si>
  <si>
    <t>Sou.SF</t>
  </si>
  <si>
    <t>Tar.SF</t>
  </si>
  <si>
    <t>Sou.SF(1)</t>
  </si>
  <si>
    <t>Tar.SF(1)</t>
  </si>
  <si>
    <t>Sou.SF(2)</t>
  </si>
  <si>
    <t>10</t>
  </si>
  <si>
    <t>Tar.SF(2)</t>
  </si>
  <si>
    <t>00</t>
  </si>
  <si>
    <t>SCO - STD</t>
  </si>
  <si>
    <t>0</t>
  </si>
  <si>
    <t>SCO - Val.Add</t>
  </si>
  <si>
    <t>PROC- 5049</t>
  </si>
  <si>
    <t>99830</t>
  </si>
  <si>
    <t>FG70001-QC-LOT</t>
  </si>
  <si>
    <t>SORD-2526-01270</t>
  </si>
  <si>
    <t>99175</t>
  </si>
  <si>
    <t>93816</t>
  </si>
  <si>
    <t>91006</t>
  </si>
  <si>
    <t>VR-SERIAL-FIFO-BATCH-80001QC</t>
  </si>
  <si>
    <t>56071</t>
  </si>
  <si>
    <t>SCO - Rework</t>
  </si>
  <si>
    <t>54766</t>
  </si>
  <si>
    <t>Scenario  :Purchase Bills deviation Calculation</t>
  </si>
  <si>
    <t>Deviation</t>
  </si>
  <si>
    <t>Matched Amt</t>
  </si>
  <si>
    <t>GRN Amt</t>
  </si>
  <si>
    <t>UnitCost</t>
  </si>
  <si>
    <t>Proc.Qty</t>
  </si>
  <si>
    <t>Curr.Matched Amt</t>
  </si>
  <si>
    <t>Deviation Amt</t>
  </si>
  <si>
    <t>375.00</t>
  </si>
  <si>
    <t>99265</t>
  </si>
  <si>
    <t>97795</t>
  </si>
  <si>
    <t>97779</t>
  </si>
  <si>
    <t>99260</t>
  </si>
  <si>
    <t>45586</t>
  </si>
  <si>
    <t>MatchedAmt</t>
  </si>
  <si>
    <t>Scenario  :Purchase Bills deviation + Exp Type Calculation</t>
  </si>
  <si>
    <t>354.00</t>
  </si>
  <si>
    <t>MatchedAmt+ Tax</t>
  </si>
  <si>
    <t>Rounded Off</t>
  </si>
  <si>
    <t>Bfr. Rounded Off</t>
  </si>
  <si>
    <t>442.50</t>
  </si>
  <si>
    <t>PC- 305964</t>
  </si>
  <si>
    <t>BankPaymentAmt</t>
  </si>
  <si>
    <t>GRN Amt - BankPayment Amt</t>
  </si>
  <si>
    <t>200.00</t>
  </si>
  <si>
    <t>GL Acct</t>
  </si>
  <si>
    <t>ACTIVE GARMENTS (AP)</t>
  </si>
  <si>
    <t>PROC-01</t>
  </si>
  <si>
    <t>35</t>
  </si>
  <si>
    <t>PROJ3</t>
  </si>
</sst>
</file>

<file path=xl/styles.xml><?xml version="1.0" encoding="utf-8"?>
<styleSheet xmlns="http://schemas.openxmlformats.org/spreadsheetml/2006/main">
  <numFmts count="1">
    <numFmt numFmtId="164" formatCode="0.000"/>
  </numFmts>
  <fonts count="18">
    <font>
      <sz val="11"/>
      <color theme="1"/>
      <name val="Calibri"/>
      <charset val="134"/>
      <scheme val="minor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name val="Calibri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Consolas"/>
      <family val="3"/>
    </font>
    <font>
      <sz val="9"/>
      <name val="Times New Roman"/>
      <family val="1"/>
    </font>
    <font>
      <sz val="11"/>
      <color theme="1"/>
      <name val="Calibri"/>
      <family val="2"/>
    </font>
    <font>
      <sz val="11"/>
      <color rgb="FF9C6500"/>
      <name val="Calibri"/>
      <family val="2"/>
      <scheme val="minor"/>
    </font>
    <font>
      <b/>
      <u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9"/>
      <color rgb="FF26262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</borders>
  <cellStyleXfs count="2">
    <xf numFmtId="0" fontId="0" fillId="0" borderId="0"/>
    <xf numFmtId="0" fontId="11" fillId="9" borderId="0" applyNumberFormat="0" applyBorder="0" applyAlignment="0" applyProtection="0"/>
  </cellStyleXfs>
  <cellXfs count="203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/>
    <xf numFmtId="0" fontId="2" fillId="0" borderId="0" xfId="0" applyFont="1" applyBorder="1"/>
    <xf numFmtId="164" fontId="2" fillId="0" borderId="0" xfId="0" applyNumberFormat="1" applyFont="1" applyBorder="1"/>
    <xf numFmtId="2" fontId="2" fillId="0" borderId="0" xfId="0" applyNumberFormat="1" applyFont="1" applyBorder="1"/>
    <xf numFmtId="10" fontId="2" fillId="0" borderId="0" xfId="0" applyNumberFormat="1" applyFont="1" applyBorder="1"/>
    <xf numFmtId="2" fontId="1" fillId="0" borderId="0" xfId="0" applyNumberFormat="1" applyFont="1" applyBorder="1" applyAlignment="1">
      <alignment horizontal="left" vertical="top"/>
    </xf>
    <xf numFmtId="0" fontId="2" fillId="0" borderId="0" xfId="0" applyNumberFormat="1" applyFont="1"/>
    <xf numFmtId="0" fontId="2" fillId="0" borderId="0" xfId="0" applyFont="1"/>
    <xf numFmtId="2" fontId="3" fillId="0" borderId="0" xfId="0" applyNumberFormat="1" applyFont="1" applyFill="1" applyBorder="1"/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0" fontId="2" fillId="0" borderId="1" xfId="0" applyNumberFormat="1" applyFont="1" applyBorder="1"/>
    <xf numFmtId="2" fontId="2" fillId="6" borderId="1" xfId="0" applyNumberFormat="1" applyFont="1" applyFill="1" applyBorder="1"/>
    <xf numFmtId="2" fontId="2" fillId="0" borderId="0" xfId="0" applyNumberFormat="1" applyFont="1"/>
    <xf numFmtId="0" fontId="6" fillId="0" borderId="1" xfId="0" applyFont="1" applyBorder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2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Border="1"/>
    <xf numFmtId="49" fontId="0" fillId="0" borderId="1" xfId="0" applyNumberFormat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8" fillId="0" borderId="0" xfId="0" applyFo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1" xfId="0" applyFont="1" applyFill="1" applyBorder="1"/>
    <xf numFmtId="1" fontId="2" fillId="0" borderId="1" xfId="0" applyNumberFormat="1" applyFont="1" applyFill="1" applyBorder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1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6" borderId="0" xfId="0" applyFont="1" applyFill="1" applyBorder="1"/>
    <xf numFmtId="0" fontId="2" fillId="7" borderId="1" xfId="0" applyFont="1" applyFill="1" applyBorder="1"/>
    <xf numFmtId="0" fontId="2" fillId="6" borderId="1" xfId="0" applyNumberFormat="1" applyFont="1" applyFill="1" applyBorder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1" fontId="2" fillId="0" borderId="0" xfId="0" applyNumberFormat="1" applyFont="1" applyBorder="1"/>
    <xf numFmtId="0" fontId="2" fillId="0" borderId="0" xfId="0" applyNumberFormat="1" applyFont="1" applyBorder="1"/>
    <xf numFmtId="2" fontId="2" fillId="0" borderId="0" xfId="0" applyNumberFormat="1" applyFont="1" applyFill="1" applyBorder="1"/>
    <xf numFmtId="0" fontId="9" fillId="0" borderId="1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9" fillId="0" borderId="2" xfId="0" applyFont="1" applyBorder="1"/>
    <xf numFmtId="1" fontId="2" fillId="0" borderId="2" xfId="0" applyNumberFormat="1" applyFont="1" applyBorder="1"/>
    <xf numFmtId="0" fontId="2" fillId="0" borderId="2" xfId="0" applyNumberFormat="1" applyFont="1" applyBorder="1"/>
    <xf numFmtId="2" fontId="2" fillId="0" borderId="2" xfId="0" applyNumberFormat="1" applyFont="1" applyBorder="1"/>
    <xf numFmtId="2" fontId="2" fillId="6" borderId="2" xfId="0" applyNumberFormat="1" applyFont="1" applyFill="1" applyBorder="1"/>
    <xf numFmtId="10" fontId="2" fillId="0" borderId="2" xfId="0" applyNumberFormat="1" applyFont="1" applyBorder="1"/>
    <xf numFmtId="164" fontId="2" fillId="0" borderId="2" xfId="0" applyNumberFormat="1" applyFont="1" applyBorder="1"/>
    <xf numFmtId="0" fontId="9" fillId="0" borderId="0" xfId="0" applyFont="1" applyBorder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3" fillId="2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49" fontId="2" fillId="0" borderId="1" xfId="0" applyNumberFormat="1" applyFont="1" applyBorder="1"/>
    <xf numFmtId="0" fontId="8" fillId="0" borderId="1" xfId="0" applyFont="1" applyBorder="1"/>
    <xf numFmtId="9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2" fontId="12" fillId="0" borderId="0" xfId="0" applyNumberFormat="1" applyFont="1" applyBorder="1" applyAlignment="1">
      <alignment horizontal="left" vertical="top"/>
    </xf>
    <xf numFmtId="0" fontId="13" fillId="0" borderId="0" xfId="0" applyNumberFormat="1" applyFont="1"/>
    <xf numFmtId="0" fontId="13" fillId="0" borderId="0" xfId="0" applyFont="1"/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/>
    <xf numFmtId="0" fontId="13" fillId="0" borderId="0" xfId="0" applyFont="1" applyFill="1" applyBorder="1"/>
    <xf numFmtId="2" fontId="14" fillId="0" borderId="0" xfId="0" applyNumberFormat="1" applyFont="1" applyFill="1" applyBorder="1"/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3" fillId="0" borderId="1" xfId="0" applyFont="1" applyBorder="1"/>
    <xf numFmtId="10" fontId="13" fillId="0" borderId="1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2" fontId="13" fillId="0" borderId="0" xfId="0" applyNumberFormat="1" applyFont="1" applyBorder="1"/>
    <xf numFmtId="10" fontId="13" fillId="0" borderId="0" xfId="0" applyNumberFormat="1" applyFont="1" applyBorder="1"/>
    <xf numFmtId="2" fontId="16" fillId="9" borderId="0" xfId="1" applyNumberFormat="1" applyFont="1" applyBorder="1"/>
    <xf numFmtId="0" fontId="16" fillId="9" borderId="0" xfId="1" applyNumberFormat="1" applyFont="1" applyBorder="1"/>
    <xf numFmtId="2" fontId="13" fillId="0" borderId="0" xfId="0" applyNumberFormat="1" applyFo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6" fillId="0" borderId="0" xfId="0" applyFo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2" borderId="1" xfId="0" applyFont="1" applyFill="1" applyBorder="1"/>
    <xf numFmtId="0" fontId="1" fillId="0" borderId="0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7" fillId="0" borderId="0" xfId="0" applyFo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12" fillId="0" borderId="0" xfId="0" applyFont="1" applyBorder="1" applyAlignment="1">
      <alignment horizontal="left" vertical="top"/>
    </xf>
    <xf numFmtId="0" fontId="13" fillId="0" borderId="0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worksheets/sheet67.xml" Type="http://schemas.openxmlformats.org/officeDocument/2006/relationships/worksheet"/><Relationship Id="rId68" Target="worksheets/sheet68.xml" Type="http://schemas.openxmlformats.org/officeDocument/2006/relationships/worksheet"/><Relationship Id="rId69" Target="worksheets/sheet69.xml" Type="http://schemas.openxmlformats.org/officeDocument/2006/relationships/worksheet"/><Relationship Id="rId7" Target="worksheets/sheet7.xml" Type="http://schemas.openxmlformats.org/officeDocument/2006/relationships/worksheet"/><Relationship Id="rId70" Target="worksheets/sheet70.xml" Type="http://schemas.openxmlformats.org/officeDocument/2006/relationships/worksheet"/><Relationship Id="rId71" Target="worksheets/sheet71.xml" Type="http://schemas.openxmlformats.org/officeDocument/2006/relationships/worksheet"/><Relationship Id="rId72" Target="worksheets/sheet72.xml" Type="http://schemas.openxmlformats.org/officeDocument/2006/relationships/worksheet"/><Relationship Id="rId73" Target="worksheets/sheet73.xml" Type="http://schemas.openxmlformats.org/officeDocument/2006/relationships/worksheet"/><Relationship Id="rId74" Target="worksheets/sheet74.xml" Type="http://schemas.openxmlformats.org/officeDocument/2006/relationships/worksheet"/><Relationship Id="rId75" Target="worksheets/sheet75.xml" Type="http://schemas.openxmlformats.org/officeDocument/2006/relationships/worksheet"/><Relationship Id="rId76" Target="worksheets/sheet76.xml" Type="http://schemas.openxmlformats.org/officeDocument/2006/relationships/worksheet"/><Relationship Id="rId77" Target="worksheets/sheet77.xml" Type="http://schemas.openxmlformats.org/officeDocument/2006/relationships/worksheet"/><Relationship Id="rId78" Target="worksheets/sheet78.xml" Type="http://schemas.openxmlformats.org/officeDocument/2006/relationships/worksheet"/><Relationship Id="rId79" Target="worksheets/sheet79.xml" Type="http://schemas.openxmlformats.org/officeDocument/2006/relationships/worksheet"/><Relationship Id="rId8" Target="worksheets/sheet8.xml" Type="http://schemas.openxmlformats.org/officeDocument/2006/relationships/worksheet"/><Relationship Id="rId80" Target="worksheets/sheet80.xml" Type="http://schemas.openxmlformats.org/officeDocument/2006/relationships/worksheet"/><Relationship Id="rId81" Target="worksheets/sheet81.xml" Type="http://schemas.openxmlformats.org/officeDocument/2006/relationships/worksheet"/><Relationship Id="rId82" Target="theme/theme1.xml" Type="http://schemas.openxmlformats.org/officeDocument/2006/relationships/theme"/><Relationship Id="rId83" Target="styles.xml" Type="http://schemas.openxmlformats.org/officeDocument/2006/relationships/styles"/><Relationship Id="rId84" Target="sharedStrings.xml" Type="http://schemas.openxmlformats.org/officeDocument/2006/relationships/sharedStrings"/><Relationship Id="rId85" Target="calcChain.xml" Type="http://schemas.openxmlformats.org/officeDocument/2006/relationships/calcChain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yes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yes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yes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yes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yes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yes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yes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yes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yes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yes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yes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yes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yes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yes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yes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yes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yes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yes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yes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yes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yes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yes"?><Relationships xmlns="http://schemas.openxmlformats.org/package/2006/relationships"><Relationship Id="rId1" Target="../printerSettings/printerSettings45.bin" Type="http://schemas.openxmlformats.org/officeDocument/2006/relationships/printerSettings"/></Relationships>
</file>

<file path=xl/worksheets/_rels/sheet46.xml.rels><?xml version="1.0" encoding="UTF-8" standalone="yes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yes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yes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yes"?><Relationships xmlns="http://schemas.openxmlformats.org/package/2006/relationships"><Relationship Id="rId1" Target="../printerSettings/printerSettings49.bin" Type="http://schemas.openxmlformats.org/officeDocument/2006/relationships/printerSettings"/></Relationships>
</file>

<file path=xl/worksheets/_rels/sheet50.xml.rels><?xml version="1.0" encoding="UTF-8" standalone="yes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yes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yes"?><Relationships xmlns="http://schemas.openxmlformats.org/package/2006/relationships"><Relationship Id="rId1" Target="../printerSettings/printerSettings52.bin" Type="http://schemas.openxmlformats.org/officeDocument/2006/relationships/printerSettings"/></Relationships>
</file>

<file path=xl/worksheets/_rels/sheet53.xml.rels><?xml version="1.0" encoding="UTF-8" standalone="yes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yes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yes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_rels/sheet56.xml.rels><?xml version="1.0" encoding="UTF-8" standalone="yes"?><Relationships xmlns="http://schemas.openxmlformats.org/package/2006/relationships"><Relationship Id="rId1" Target="../printerSettings/printerSettings56.bin" Type="http://schemas.openxmlformats.org/officeDocument/2006/relationships/printerSettings"/></Relationships>
</file>

<file path=xl/worksheets/_rels/sheet57.xml.rels><?xml version="1.0" encoding="UTF-8" standalone="yes"?><Relationships xmlns="http://schemas.openxmlformats.org/package/2006/relationships"><Relationship Id="rId1" Target="../printerSettings/printerSettings57.bin" Type="http://schemas.openxmlformats.org/officeDocument/2006/relationships/printerSettings"/></Relationships>
</file>

<file path=xl/worksheets/_rels/sheet62.xml.rels><?xml version="1.0" encoding="UTF-8" standalone="yes"?><Relationships xmlns="http://schemas.openxmlformats.org/package/2006/relationships"><Relationship Id="rId1" Target="../printerSettings/printerSettings58.bin" Type="http://schemas.openxmlformats.org/officeDocument/2006/relationships/printerSettings"/></Relationships>
</file>

<file path=xl/worksheets/_rels/sheet63.xml.rels><?xml version="1.0" encoding="UTF-8" standalone="yes"?><Relationships xmlns="http://schemas.openxmlformats.org/package/2006/relationships"><Relationship Id="rId1" Target="../printerSettings/printerSettings59.bin" Type="http://schemas.openxmlformats.org/officeDocument/2006/relationships/printerSettings"/></Relationships>
</file>

<file path=xl/worksheets/_rels/sheet64.xml.rels><?xml version="1.0" encoding="UTF-8" standalone="yes"?><Relationships xmlns="http://schemas.openxmlformats.org/package/2006/relationships"><Relationship Id="rId1" Target="../printerSettings/printerSettings60.bin" Type="http://schemas.openxmlformats.org/officeDocument/2006/relationships/printerSettings"/></Relationships>
</file>

<file path=xl/worksheets/_rels/sheet65.xml.rels><?xml version="1.0" encoding="UTF-8" standalone="yes"?><Relationships xmlns="http://schemas.openxmlformats.org/package/2006/relationships"><Relationship Id="rId1" Target="../printerSettings/printerSettings61.bin" Type="http://schemas.openxmlformats.org/officeDocument/2006/relationships/printerSettings"/></Relationships>
</file>

<file path=xl/worksheets/_rels/sheet66.xml.rels><?xml version="1.0" encoding="UTF-8" standalone="yes"?><Relationships xmlns="http://schemas.openxmlformats.org/package/2006/relationships"><Relationship Id="rId1" Target="../printerSettings/printerSettings62.bin" Type="http://schemas.openxmlformats.org/officeDocument/2006/relationships/printerSettings"/></Relationships>
</file>

<file path=xl/worksheets/_rels/sheet67.xml.rels><?xml version="1.0" encoding="UTF-8" standalone="yes"?><Relationships xmlns="http://schemas.openxmlformats.org/package/2006/relationships"><Relationship Id="rId1" Target="../printerSettings/printerSettings63.bin" Type="http://schemas.openxmlformats.org/officeDocument/2006/relationships/printerSettings"/></Relationships>
</file>

<file path=xl/worksheets/_rels/sheet68.xml.rels><?xml version="1.0" encoding="UTF-8" standalone="yes"?><Relationships xmlns="http://schemas.openxmlformats.org/package/2006/relationships"><Relationship Id="rId1" Target="../printerSettings/printerSettings64.bin" Type="http://schemas.openxmlformats.org/officeDocument/2006/relationships/printerSettings"/></Relationships>
</file>

<file path=xl/worksheets/_rels/sheet69.xml.rels><?xml version="1.0" encoding="UTF-8" standalone="yes"?><Relationships xmlns="http://schemas.openxmlformats.org/package/2006/relationships"><Relationship Id="rId1" Target="../printerSettings/printerSettings65.bin" Type="http://schemas.openxmlformats.org/officeDocument/2006/relationships/printerSettings"/></Relationships>
</file>

<file path=xl/worksheets/_rels/sheet70.xml.rels><?xml version="1.0" encoding="UTF-8" standalone="yes"?><Relationships xmlns="http://schemas.openxmlformats.org/package/2006/relationships"><Relationship Id="rId1" Target="../printerSettings/printerSettings66.bin" Type="http://schemas.openxmlformats.org/officeDocument/2006/relationships/printerSettings"/></Relationships>
</file>

<file path=xl/worksheets/_rels/sheet71.xml.rels><?xml version="1.0" encoding="UTF-8" standalone="yes"?><Relationships xmlns="http://schemas.openxmlformats.org/package/2006/relationships"><Relationship Id="rId1" Target="../printerSettings/printerSettings67.bin" Type="http://schemas.openxmlformats.org/officeDocument/2006/relationships/printerSettings"/></Relationships>
</file>

<file path=xl/worksheets/_rels/sheet72.xml.rels><?xml version="1.0" encoding="UTF-8" standalone="yes"?><Relationships xmlns="http://schemas.openxmlformats.org/package/2006/relationships"><Relationship Id="rId1" Target="../printerSettings/printerSettings68.bin" Type="http://schemas.openxmlformats.org/officeDocument/2006/relationships/printerSettings"/></Relationships>
</file>

<file path=xl/worksheets/_rels/sheet73.xml.rels><?xml version="1.0" encoding="UTF-8" standalone="yes"?><Relationships xmlns="http://schemas.openxmlformats.org/package/2006/relationships"><Relationship Id="rId1" Target="../printerSettings/printerSettings69.bin" Type="http://schemas.openxmlformats.org/officeDocument/2006/relationships/printerSettings"/></Relationships>
</file>

<file path=xl/worksheets/_rels/sheet74.xml.rels><?xml version="1.0" encoding="UTF-8" standalone="yes"?><Relationships xmlns="http://schemas.openxmlformats.org/package/2006/relationships"><Relationship Id="rId1" Target="../printerSettings/printerSettings70.bin" Type="http://schemas.openxmlformats.org/officeDocument/2006/relationships/printerSettings"/></Relationships>
</file>

<file path=xl/worksheets/_rels/sheet75.xml.rels><?xml version="1.0" encoding="UTF-8" standalone="yes"?><Relationships xmlns="http://schemas.openxmlformats.org/package/2006/relationships"><Relationship Id="rId1" Target="../printerSettings/printerSettings71.bin" Type="http://schemas.openxmlformats.org/officeDocument/2006/relationships/printerSettings"/></Relationships>
</file>

<file path=xl/worksheets/_rels/sheet76.xml.rels><?xml version="1.0" encoding="UTF-8" standalone="yes"?><Relationships xmlns="http://schemas.openxmlformats.org/package/2006/relationships"><Relationship Id="rId1" Target="../printerSettings/printerSettings72.bin" Type="http://schemas.openxmlformats.org/officeDocument/2006/relationships/printerSettings"/></Relationships>
</file>

<file path=xl/worksheets/_rels/sheet77.xml.rels><?xml version="1.0" encoding="UTF-8" standalone="yes"?><Relationships xmlns="http://schemas.openxmlformats.org/package/2006/relationships"><Relationship Id="rId1" Target="../printerSettings/printerSettings73.bin" Type="http://schemas.openxmlformats.org/officeDocument/2006/relationships/printerSettings"/></Relationships>
</file>

<file path=xl/worksheets/_rels/sheet78.xml.rels><?xml version="1.0" encoding="UTF-8" standalone="yes"?><Relationships xmlns="http://schemas.openxmlformats.org/package/2006/relationships"><Relationship Id="rId1" Target="../printerSettings/printerSettings74.bin" Type="http://schemas.openxmlformats.org/officeDocument/2006/relationships/printerSettings"/></Relationships>
</file>

<file path=xl/worksheets/_rels/sheet79.xml.rels><?xml version="1.0" encoding="UTF-8" standalone="yes"?><Relationships xmlns="http://schemas.openxmlformats.org/package/2006/relationships"><Relationship Id="rId1" Target="../printerSettings/printerSettings75.bin" Type="http://schemas.openxmlformats.org/officeDocument/2006/relationships/printerSettings"/></Relationships>
</file>

<file path=xl/worksheets/_rels/sheet80.xml.rels><?xml version="1.0" encoding="UTF-8" standalone="yes"?><Relationships xmlns="http://schemas.openxmlformats.org/package/2006/relationships"><Relationship Id="rId1" Target="../printerSettings/printerSettings7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opLeftCell="AB1" workbookViewId="0">
      <selection activeCell="A4" sqref="A4:AL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bestFit="true" customWidth="true" style="29" width="28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bestFit="true" customWidth="true" style="29" width="26.85546875"/>
    <col min="36" max="36" bestFit="true" customWidth="true" style="29" width="13.140625"/>
    <col min="37" max="37" bestFit="true" customWidth="true" style="29" width="14.0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"/>
      <c r="AD1" s="1"/>
      <c r="AE1" s="1"/>
      <c r="AF1" s="1"/>
      <c r="AG1" s="27"/>
    </row>
    <row r="2" spans="1:38" ht="18">
      <c r="A2" s="29" t="s">
        <v>45</v>
      </c>
      <c r="B2" s="29" t="s">
        <v>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7"/>
    </row>
    <row r="3" spans="1:38" ht="19.899999999999999" customHeight="1">
      <c r="A3" s="196" t="s">
        <v>0</v>
      </c>
      <c r="B3" s="196"/>
      <c r="C3" s="2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32" t="s">
        <v>143</v>
      </c>
      <c r="C5" s="10">
        <v>0</v>
      </c>
      <c r="D5" s="37" t="s">
        <v>143</v>
      </c>
      <c r="E5" s="10" t="s">
        <v>32</v>
      </c>
      <c r="F5" s="10" t="s">
        <v>32</v>
      </c>
      <c r="G5" s="33">
        <v>15</v>
      </c>
      <c r="H5" s="9">
        <v>1500</v>
      </c>
      <c r="I5" s="9">
        <f>G5*H5</f>
        <v>22500</v>
      </c>
      <c r="J5" s="34"/>
      <c r="K5" s="34"/>
      <c r="L5" s="34"/>
      <c r="M5" s="9">
        <f>I5</f>
        <v>22500</v>
      </c>
      <c r="N5" s="9">
        <f>ROUND((M5*J5)/100,2)</f>
        <v>0</v>
      </c>
      <c r="O5" s="9">
        <f>I5-N5</f>
        <v>22500</v>
      </c>
      <c r="P5" s="9">
        <f>ROUND((O5*K5)/100,2)</f>
        <v>0</v>
      </c>
      <c r="Q5" s="9">
        <f>ROUND(O5-P5,2)</f>
        <v>22500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22500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2700</v>
      </c>
      <c r="AA5" s="9">
        <f>X5+Y5+Z5</f>
        <v>2700</v>
      </c>
      <c r="AB5" s="9">
        <f t="shared" ref="AB5" si="0">U5+AA5</f>
        <v>25200</v>
      </c>
      <c r="AC5" s="9">
        <v>120</v>
      </c>
      <c r="AD5" s="9">
        <f t="shared" ref="AD5" si="1">U5*$N$3</f>
        <v>22500</v>
      </c>
      <c r="AE5" s="8">
        <v>1</v>
      </c>
      <c r="AF5" s="9">
        <f t="shared" ref="AF5" si="2">G5/AE5</f>
        <v>15</v>
      </c>
      <c r="AG5" s="36" t="s">
        <v>213</v>
      </c>
      <c r="AH5" s="9">
        <f>AG5-AF5</f>
        <v>93996</v>
      </c>
      <c r="AI5" s="10" t="s">
        <v>171</v>
      </c>
      <c r="AJ5" s="10" t="s">
        <v>172</v>
      </c>
      <c r="AK5" s="29">
        <v>87850</v>
      </c>
      <c r="AL5" s="33">
        <f>AK5+G5</f>
        <v>87865</v>
      </c>
    </row>
    <row r="6" spans="1:38">
      <c r="A6" s="10">
        <v>2</v>
      </c>
      <c r="B6" s="37" t="s">
        <v>47</v>
      </c>
      <c r="C6" s="10">
        <v>0</v>
      </c>
      <c r="D6" s="37" t="s">
        <v>47</v>
      </c>
      <c r="E6" s="10" t="s">
        <v>32</v>
      </c>
      <c r="F6" s="10" t="s">
        <v>32</v>
      </c>
      <c r="G6" s="33">
        <v>10</v>
      </c>
      <c r="H6" s="9">
        <v>1200</v>
      </c>
      <c r="I6" s="9">
        <f>G6*H6</f>
        <v>12000</v>
      </c>
      <c r="J6" s="34"/>
      <c r="K6" s="34"/>
      <c r="L6" s="34"/>
      <c r="M6" s="9">
        <f>I6</f>
        <v>12000</v>
      </c>
      <c r="N6" s="9">
        <f>ROUND((M6*J6)/100,2)</f>
        <v>0</v>
      </c>
      <c r="O6" s="9">
        <f>I6-N6</f>
        <v>12000</v>
      </c>
      <c r="P6" s="9">
        <f>ROUND((O6*K6)/100,2)</f>
        <v>0</v>
      </c>
      <c r="Q6" s="9">
        <f>ROUND(O6-P6,2)</f>
        <v>12000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12000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1440</v>
      </c>
      <c r="AA6" s="9">
        <f>X6+Y6+Z6</f>
        <v>1440</v>
      </c>
      <c r="AB6" s="9">
        <f t="shared" ref="AB6" si="3">U6+AA6</f>
        <v>13440</v>
      </c>
      <c r="AC6" s="9">
        <v>120</v>
      </c>
      <c r="AD6" s="9">
        <f t="shared" ref="AD6" si="4">U6*$N$3</f>
        <v>12000</v>
      </c>
      <c r="AE6" s="8">
        <v>2</v>
      </c>
      <c r="AF6" s="9">
        <f>ROUND(G6/AE6,3)</f>
        <v>5</v>
      </c>
      <c r="AG6" s="36" t="s">
        <v>214</v>
      </c>
      <c r="AH6" s="9">
        <f>AG6-AF6</f>
        <v>99587.5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3:B3"/>
    <mergeCell ref="A1:A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7"/>
  <sheetViews>
    <sheetView topLeftCell="W1"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bestFit="true" customWidth="true" style="29" width="28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39" customWidth="true" style="28" width="12.5703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39"/>
      <c r="AD1" s="39"/>
      <c r="AE1" s="39"/>
      <c r="AF1" s="39"/>
      <c r="AG1" s="27"/>
    </row>
    <row r="2" spans="1:39" ht="18">
      <c r="A2" s="29" t="s">
        <v>45</v>
      </c>
      <c r="B2" s="29" t="s">
        <v>44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27"/>
    </row>
    <row r="3" spans="1:39" ht="19.899999999999999" customHeight="1">
      <c r="A3" s="196" t="s">
        <v>0</v>
      </c>
      <c r="B3" s="196"/>
      <c r="C3" s="38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  <c r="AM4" s="20" t="s">
        <v>80</v>
      </c>
    </row>
    <row r="5" spans="1:39" ht="15">
      <c r="A5" s="10">
        <v>1</v>
      </c>
      <c r="B5" s="32" t="s">
        <v>143</v>
      </c>
      <c r="C5" s="10">
        <v>0</v>
      </c>
      <c r="D5" s="37" t="s">
        <v>143</v>
      </c>
      <c r="E5" s="10" t="s">
        <v>32</v>
      </c>
      <c r="F5" s="10" t="s">
        <v>32</v>
      </c>
      <c r="G5" s="33">
        <v>15</v>
      </c>
      <c r="H5" s="9">
        <v>1500</v>
      </c>
      <c r="I5" s="9">
        <f>G5*H5</f>
        <v>22500</v>
      </c>
      <c r="J5" s="34"/>
      <c r="K5" s="34"/>
      <c r="L5" s="34"/>
      <c r="M5" s="9">
        <f>I5</f>
        <v>22500</v>
      </c>
      <c r="N5" s="9">
        <f>ROUND((M5*J5)/100,2)</f>
        <v>0</v>
      </c>
      <c r="O5" s="9">
        <f>I5-N5</f>
        <v>22500</v>
      </c>
      <c r="P5" s="9">
        <f>ROUND((O5*K5)/100,2)</f>
        <v>0</v>
      </c>
      <c r="Q5" s="9">
        <f>ROUND(O5-P5,2)</f>
        <v>22500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22500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:AB6" si="0">U5+AA5</f>
        <v>22500</v>
      </c>
      <c r="AC5" s="9">
        <v>120</v>
      </c>
      <c r="AD5" s="9">
        <f t="shared" ref="AD5:AD6" si="1">U5*$N$3</f>
        <v>22500</v>
      </c>
      <c r="AE5" s="8">
        <v>1</v>
      </c>
      <c r="AF5" s="9">
        <f t="shared" ref="AF5" si="2">G5/AE5</f>
        <v>15</v>
      </c>
      <c r="AG5" s="36" t="s">
        <v>183</v>
      </c>
      <c r="AH5" s="9">
        <f>AG5-AF5</f>
        <v>99891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  <c r="AM5" s="9">
        <f>AL5+G5</f>
        <v>87880</v>
      </c>
    </row>
    <row r="6" spans="1:39">
      <c r="A6" s="10">
        <v>2</v>
      </c>
      <c r="B6" s="37" t="s">
        <v>47</v>
      </c>
      <c r="C6" s="10">
        <v>0</v>
      </c>
      <c r="D6" s="37" t="s">
        <v>47</v>
      </c>
      <c r="E6" s="10" t="s">
        <v>32</v>
      </c>
      <c r="F6" s="10" t="s">
        <v>32</v>
      </c>
      <c r="G6" s="33">
        <v>10</v>
      </c>
      <c r="H6" s="9">
        <v>1200</v>
      </c>
      <c r="I6" s="9">
        <f>G6*H6</f>
        <v>12000</v>
      </c>
      <c r="J6" s="34"/>
      <c r="K6" s="34"/>
      <c r="L6" s="34"/>
      <c r="M6" s="9">
        <f>I6</f>
        <v>12000</v>
      </c>
      <c r="N6" s="9">
        <f>ROUND((M6*J6)/100,2)</f>
        <v>0</v>
      </c>
      <c r="O6" s="9">
        <f>I6-N6</f>
        <v>12000</v>
      </c>
      <c r="P6" s="9">
        <f>ROUND((O6*K6)/100,2)</f>
        <v>0</v>
      </c>
      <c r="Q6" s="9">
        <f>ROUND(O6-P6,2)</f>
        <v>12000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12000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0</v>
      </c>
      <c r="AA6" s="9">
        <f>X6+Y6+Z6</f>
        <v>0</v>
      </c>
      <c r="AB6" s="9">
        <f t="shared" si="0"/>
        <v>12000</v>
      </c>
      <c r="AC6" s="9">
        <v>120</v>
      </c>
      <c r="AD6" s="9">
        <f t="shared" si="1"/>
        <v>12000</v>
      </c>
      <c r="AE6" s="8">
        <v>2</v>
      </c>
      <c r="AF6" s="9">
        <f>ROUND(G6/AE6,3)</f>
        <v>5</v>
      </c>
      <c r="AG6" s="36" t="s">
        <v>184</v>
      </c>
      <c r="AH6" s="9">
        <f>AG6-AF6</f>
        <v>99965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  <c r="AM6" s="9">
        <f>AL6+G6</f>
        <v>87870</v>
      </c>
    </row>
    <row r="7" spans="1:39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7"/>
  <sheetViews>
    <sheetView topLeftCell="W1"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41"/>
      <c r="AD1" s="41"/>
      <c r="AE1" s="41"/>
      <c r="AF1" s="41"/>
      <c r="AG1" s="27"/>
    </row>
    <row r="2" spans="1:38" ht="18">
      <c r="A2" s="29" t="s">
        <v>45</v>
      </c>
      <c r="B2" s="29" t="s">
        <v>44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27"/>
    </row>
    <row r="3" spans="1:38" ht="19.899999999999999" customHeight="1">
      <c r="A3" s="196" t="s">
        <v>0</v>
      </c>
      <c r="B3" s="196"/>
      <c r="C3" s="40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48</v>
      </c>
      <c r="C5" s="10">
        <v>0</v>
      </c>
      <c r="D5" s="42" t="s">
        <v>48</v>
      </c>
      <c r="E5" s="10" t="s">
        <v>32</v>
      </c>
      <c r="F5" s="10" t="s">
        <v>32</v>
      </c>
      <c r="G5" s="33">
        <v>15</v>
      </c>
      <c r="H5" s="29" t="s">
        <v>177</v>
      </c>
      <c r="I5" s="9">
        <f>G5*H5</f>
        <v>1050</v>
      </c>
      <c r="J5" s="34"/>
      <c r="K5" s="34"/>
      <c r="L5" s="34"/>
      <c r="M5" s="9">
        <f>I5</f>
        <v>1050</v>
      </c>
      <c r="N5" s="9">
        <f>ROUND((M5*J5)/100,2)</f>
        <v>0</v>
      </c>
      <c r="O5" s="9">
        <f>I5-N5</f>
        <v>1050</v>
      </c>
      <c r="P5" s="9">
        <f>ROUND((O5*K5)/100,2)</f>
        <v>0</v>
      </c>
      <c r="Q5" s="9">
        <f>ROUND(O5-P5,2)</f>
        <v>1050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1050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126</v>
      </c>
      <c r="AA5" s="9">
        <f>X5+Y5+Z5</f>
        <v>126</v>
      </c>
      <c r="AB5" s="9">
        <f t="shared" ref="AB5:AB6" si="0">U5+AA5</f>
        <v>1176</v>
      </c>
      <c r="AC5" s="9">
        <v>120</v>
      </c>
      <c r="AD5" s="9">
        <f t="shared" ref="AD5:AD6" si="1">U5*$N$3</f>
        <v>1050</v>
      </c>
      <c r="AE5" s="8">
        <v>1</v>
      </c>
      <c r="AF5" s="9">
        <f t="shared" ref="AF5" si="2">G5/AE5</f>
        <v>15</v>
      </c>
      <c r="AG5" s="36" t="s">
        <v>199</v>
      </c>
      <c r="AH5" s="9">
        <f>AG5-AF5</f>
        <v>99760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49</v>
      </c>
      <c r="C6" s="10">
        <v>0</v>
      </c>
      <c r="D6" s="42" t="s">
        <v>49</v>
      </c>
      <c r="E6" s="10" t="s">
        <v>32</v>
      </c>
      <c r="F6" s="10" t="s">
        <v>32</v>
      </c>
      <c r="G6" s="33">
        <v>10</v>
      </c>
      <c r="H6" s="29" t="s">
        <v>178</v>
      </c>
      <c r="I6" s="9">
        <f>G6*H6</f>
        <v>800</v>
      </c>
      <c r="J6" s="34"/>
      <c r="K6" s="34"/>
      <c r="L6" s="34"/>
      <c r="M6" s="9">
        <f>I6</f>
        <v>800</v>
      </c>
      <c r="N6" s="9">
        <f>ROUND((M6*J6)/100,2)</f>
        <v>0</v>
      </c>
      <c r="O6" s="9">
        <f>I6-N6</f>
        <v>800</v>
      </c>
      <c r="P6" s="9">
        <f>ROUND((O6*K6)/100,2)</f>
        <v>0</v>
      </c>
      <c r="Q6" s="9">
        <f>ROUND(O6-P6,2)</f>
        <v>800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800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96</v>
      </c>
      <c r="AA6" s="9">
        <f>X6+Y6+Z6</f>
        <v>96</v>
      </c>
      <c r="AB6" s="9">
        <f t="shared" si="0"/>
        <v>896</v>
      </c>
      <c r="AC6" s="9">
        <v>120</v>
      </c>
      <c r="AD6" s="9">
        <f t="shared" si="1"/>
        <v>800</v>
      </c>
      <c r="AE6" s="8">
        <v>2</v>
      </c>
      <c r="AF6" s="9">
        <f>ROUND(G6/AE6,3)</f>
        <v>5</v>
      </c>
      <c r="AG6" s="36" t="s">
        <v>200</v>
      </c>
      <c r="AH6" s="9">
        <f>AG6-AF6</f>
        <v>99920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"/>
  <sheetViews>
    <sheetView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44"/>
      <c r="AD1" s="44"/>
      <c r="AE1" s="44"/>
      <c r="AF1" s="44"/>
      <c r="AG1" s="27"/>
    </row>
    <row r="2" spans="1:38" ht="18">
      <c r="A2" s="29" t="s">
        <v>45</v>
      </c>
      <c r="B2" s="29" t="s">
        <v>44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27"/>
    </row>
    <row r="3" spans="1:38" ht="19.899999999999999" customHeight="1">
      <c r="A3" s="196" t="s">
        <v>0</v>
      </c>
      <c r="B3" s="196"/>
      <c r="C3" s="43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50</v>
      </c>
      <c r="C5" s="10">
        <v>0</v>
      </c>
      <c r="D5" s="42" t="s">
        <v>50</v>
      </c>
      <c r="E5" s="10" t="s">
        <v>32</v>
      </c>
      <c r="F5" s="10" t="s">
        <v>32</v>
      </c>
      <c r="G5" s="33">
        <v>15</v>
      </c>
      <c r="H5" s="29" t="s">
        <v>185</v>
      </c>
      <c r="I5" s="9">
        <f>G5*H5</f>
        <v>825</v>
      </c>
      <c r="J5" s="34"/>
      <c r="K5" s="34"/>
      <c r="L5" s="34"/>
      <c r="M5" s="9">
        <f>I5</f>
        <v>825</v>
      </c>
      <c r="N5" s="9">
        <f>ROUND((M5*J5)/100,2)</f>
        <v>0</v>
      </c>
      <c r="O5" s="9">
        <f>I5-N5</f>
        <v>825</v>
      </c>
      <c r="P5" s="9">
        <f>ROUND((O5*K5)/100,2)</f>
        <v>0</v>
      </c>
      <c r="Q5" s="9">
        <f>ROUND(O5-P5,2)</f>
        <v>825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825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:AB6" si="0">U5+AA5</f>
        <v>825</v>
      </c>
      <c r="AC5" s="9">
        <v>120</v>
      </c>
      <c r="AD5" s="9">
        <f t="shared" ref="AD5:AD6" si="1">U5*$N$3</f>
        <v>825</v>
      </c>
      <c r="AE5" s="8">
        <v>1</v>
      </c>
      <c r="AF5" s="9">
        <f t="shared" ref="AF5" si="2">G5/AE5</f>
        <v>15</v>
      </c>
      <c r="AG5" s="36" t="s">
        <v>176</v>
      </c>
      <c r="AH5" s="9">
        <f>AG5-AF5</f>
        <v>99970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51</v>
      </c>
      <c r="C6" s="10">
        <v>0</v>
      </c>
      <c r="D6" s="42" t="s">
        <v>51</v>
      </c>
      <c r="E6" s="10" t="s">
        <v>32</v>
      </c>
      <c r="F6" s="10" t="s">
        <v>32</v>
      </c>
      <c r="G6" s="33">
        <v>10</v>
      </c>
      <c r="H6" s="29" t="s">
        <v>54</v>
      </c>
      <c r="I6" s="9">
        <f>G6*H6</f>
        <v>600</v>
      </c>
      <c r="J6" s="34"/>
      <c r="K6" s="34"/>
      <c r="L6" s="34"/>
      <c r="M6" s="9">
        <f>I6</f>
        <v>600</v>
      </c>
      <c r="N6" s="9">
        <f>ROUND((M6*J6)/100,2)</f>
        <v>0</v>
      </c>
      <c r="O6" s="9">
        <f>I6-N6</f>
        <v>600</v>
      </c>
      <c r="P6" s="9">
        <f>ROUND((O6*K6)/100,2)</f>
        <v>0</v>
      </c>
      <c r="Q6" s="9">
        <f>ROUND(O6-P6,2)</f>
        <v>600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600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0</v>
      </c>
      <c r="AA6" s="9">
        <f>X6+Y6+Z6</f>
        <v>0</v>
      </c>
      <c r="AB6" s="9">
        <f t="shared" si="0"/>
        <v>600</v>
      </c>
      <c r="AC6" s="9">
        <v>120</v>
      </c>
      <c r="AD6" s="9">
        <f t="shared" si="1"/>
        <v>600</v>
      </c>
      <c r="AE6" s="8">
        <v>2</v>
      </c>
      <c r="AF6" s="9">
        <f>ROUND(G6/AE6,3)</f>
        <v>5</v>
      </c>
      <c r="AG6" s="36" t="s">
        <v>175</v>
      </c>
      <c r="AH6" s="9">
        <f>AG6-AF6</f>
        <v>99990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7"/>
  <sheetViews>
    <sheetView topLeftCell="W1"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46"/>
      <c r="AD1" s="46"/>
      <c r="AE1" s="46"/>
      <c r="AF1" s="46"/>
      <c r="AG1" s="27"/>
    </row>
    <row r="2" spans="1:38" ht="18">
      <c r="A2" s="29" t="s">
        <v>45</v>
      </c>
      <c r="B2" s="29" t="s">
        <v>44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27"/>
    </row>
    <row r="3" spans="1:38" ht="19.899999999999999" customHeight="1">
      <c r="A3" s="196" t="s">
        <v>0</v>
      </c>
      <c r="B3" s="196"/>
      <c r="C3" s="45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52</v>
      </c>
      <c r="C5" s="10">
        <v>0</v>
      </c>
      <c r="D5" s="42" t="s">
        <v>52</v>
      </c>
      <c r="E5" s="10" t="s">
        <v>32</v>
      </c>
      <c r="F5" s="10" t="s">
        <v>32</v>
      </c>
      <c r="G5" s="33">
        <v>15</v>
      </c>
      <c r="H5" s="29" t="s">
        <v>54</v>
      </c>
      <c r="I5" s="9">
        <f>G5*H5</f>
        <v>900</v>
      </c>
      <c r="J5" s="34"/>
      <c r="K5" s="34"/>
      <c r="L5" s="34"/>
      <c r="M5" s="9">
        <f>I5</f>
        <v>900</v>
      </c>
      <c r="N5" s="9">
        <f>ROUND((M5*J5)/100,2)</f>
        <v>0</v>
      </c>
      <c r="O5" s="9">
        <f>I5-N5</f>
        <v>900</v>
      </c>
      <c r="P5" s="9">
        <f>ROUND((O5*K5)/100,2)</f>
        <v>0</v>
      </c>
      <c r="Q5" s="9">
        <f>ROUND(O5-P5,2)</f>
        <v>900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900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108</v>
      </c>
      <c r="AA5" s="9">
        <f>X5+Y5+Z5</f>
        <v>108</v>
      </c>
      <c r="AB5" s="9">
        <f t="shared" ref="AB5:AB6" si="0">U5+AA5</f>
        <v>1008</v>
      </c>
      <c r="AC5" s="9">
        <v>120</v>
      </c>
      <c r="AD5" s="9">
        <f t="shared" ref="AD5:AD6" si="1">U5*$N$3</f>
        <v>900</v>
      </c>
      <c r="AE5" s="8">
        <v>1</v>
      </c>
      <c r="AF5" s="9">
        <f t="shared" ref="AF5" si="2">G5/AE5</f>
        <v>15</v>
      </c>
      <c r="AG5" s="36" t="s">
        <v>186</v>
      </c>
      <c r="AH5" s="9">
        <f>AG5-AF5</f>
        <v>99940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53</v>
      </c>
      <c r="C6" s="10">
        <v>0</v>
      </c>
      <c r="D6" s="42" t="s">
        <v>53</v>
      </c>
      <c r="E6" s="10" t="s">
        <v>32</v>
      </c>
      <c r="F6" s="10" t="s">
        <v>32</v>
      </c>
      <c r="G6" s="33">
        <v>10</v>
      </c>
      <c r="H6" s="29" t="s">
        <v>177</v>
      </c>
      <c r="I6" s="9">
        <f>G6*H6</f>
        <v>700</v>
      </c>
      <c r="J6" s="34"/>
      <c r="K6" s="34"/>
      <c r="L6" s="34"/>
      <c r="M6" s="9">
        <f>I6</f>
        <v>700</v>
      </c>
      <c r="N6" s="9">
        <f>ROUND((M6*J6)/100,2)</f>
        <v>0</v>
      </c>
      <c r="O6" s="9">
        <f>I6-N6</f>
        <v>700</v>
      </c>
      <c r="P6" s="9">
        <f>ROUND((O6*K6)/100,2)</f>
        <v>0</v>
      </c>
      <c r="Q6" s="9">
        <f>ROUND(O6-P6,2)</f>
        <v>700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700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84</v>
      </c>
      <c r="AA6" s="9">
        <f>X6+Y6+Z6</f>
        <v>84</v>
      </c>
      <c r="AB6" s="9">
        <f t="shared" si="0"/>
        <v>784</v>
      </c>
      <c r="AC6" s="9">
        <v>120</v>
      </c>
      <c r="AD6" s="9">
        <f t="shared" si="1"/>
        <v>700</v>
      </c>
      <c r="AE6" s="8">
        <v>2</v>
      </c>
      <c r="AF6" s="9">
        <f>ROUND(G6/AE6,3)</f>
        <v>5</v>
      </c>
      <c r="AG6" s="36" t="s">
        <v>176</v>
      </c>
      <c r="AH6" s="9">
        <f>AG6-AF6</f>
        <v>99980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7"/>
  <sheetViews>
    <sheetView workbookViewId="0">
      <selection activeCell="F6" sqref="F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48"/>
      <c r="AD1" s="48"/>
      <c r="AE1" s="48"/>
      <c r="AF1" s="48"/>
      <c r="AG1" s="27"/>
    </row>
    <row r="2" spans="1:38" ht="18">
      <c r="A2" s="29" t="s">
        <v>45</v>
      </c>
      <c r="B2" s="29" t="s">
        <v>44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27"/>
    </row>
    <row r="3" spans="1:38" ht="19.899999999999999" customHeight="1">
      <c r="A3" s="196" t="s">
        <v>0</v>
      </c>
      <c r="B3" s="196"/>
      <c r="C3" s="47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55</v>
      </c>
      <c r="C5" s="10">
        <v>0</v>
      </c>
      <c r="D5" s="42" t="s">
        <v>55</v>
      </c>
      <c r="E5" s="10" t="s">
        <v>32</v>
      </c>
      <c r="F5" s="10" t="s">
        <v>32</v>
      </c>
      <c r="G5" s="33">
        <v>15</v>
      </c>
      <c r="H5" s="29" t="s">
        <v>178</v>
      </c>
      <c r="I5" s="9">
        <f>G5*H5</f>
        <v>1200</v>
      </c>
      <c r="J5" s="34"/>
      <c r="K5" s="34"/>
      <c r="L5" s="34"/>
      <c r="M5" s="9">
        <f>I5</f>
        <v>1200</v>
      </c>
      <c r="N5" s="9">
        <f>ROUND((M5*J5)/100,2)</f>
        <v>0</v>
      </c>
      <c r="O5" s="9">
        <f>I5-N5</f>
        <v>1200</v>
      </c>
      <c r="P5" s="9">
        <f>ROUND((O5*K5)/100,2)</f>
        <v>0</v>
      </c>
      <c r="Q5" s="9">
        <f>ROUND(O5-P5,2)</f>
        <v>1200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1200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:AB6" si="0">U5+AA5</f>
        <v>1200</v>
      </c>
      <c r="AC5" s="9">
        <v>120</v>
      </c>
      <c r="AD5" s="9">
        <f t="shared" ref="AD5:AD6" si="1">U5*$N$3</f>
        <v>1200</v>
      </c>
      <c r="AE5" s="8">
        <v>1</v>
      </c>
      <c r="AF5" s="9">
        <f t="shared" ref="AF5" si="2">G5/AE5</f>
        <v>15</v>
      </c>
      <c r="AG5" s="36" t="s">
        <v>186</v>
      </c>
      <c r="AH5" s="9">
        <f>AG5-AF5</f>
        <v>99940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56</v>
      </c>
      <c r="C6" s="10">
        <v>0</v>
      </c>
      <c r="D6" s="42" t="s">
        <v>56</v>
      </c>
      <c r="E6" s="10" t="s">
        <v>32</v>
      </c>
      <c r="F6" s="10" t="s">
        <v>32</v>
      </c>
      <c r="G6" s="33">
        <v>10</v>
      </c>
      <c r="H6" s="29" t="s">
        <v>179</v>
      </c>
      <c r="I6" s="9">
        <f>G6*H6</f>
        <v>790</v>
      </c>
      <c r="J6" s="34"/>
      <c r="K6" s="34"/>
      <c r="L6" s="34"/>
      <c r="M6" s="9">
        <f>I6</f>
        <v>790</v>
      </c>
      <c r="N6" s="9">
        <f>ROUND((M6*J6)/100,2)</f>
        <v>0</v>
      </c>
      <c r="O6" s="9">
        <f>I6-N6</f>
        <v>790</v>
      </c>
      <c r="P6" s="9">
        <f>ROUND((O6*K6)/100,2)</f>
        <v>0</v>
      </c>
      <c r="Q6" s="9">
        <f>ROUND(O6-P6,2)</f>
        <v>790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790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0</v>
      </c>
      <c r="AA6" s="9">
        <f>X6+Y6+Z6</f>
        <v>0</v>
      </c>
      <c r="AB6" s="9">
        <f t="shared" si="0"/>
        <v>790</v>
      </c>
      <c r="AC6" s="9">
        <v>120</v>
      </c>
      <c r="AD6" s="9">
        <f t="shared" si="1"/>
        <v>790</v>
      </c>
      <c r="AE6" s="8">
        <v>2</v>
      </c>
      <c r="AF6" s="9">
        <f>ROUND(G6/AE6,3)</f>
        <v>5</v>
      </c>
      <c r="AG6" s="36" t="s">
        <v>187</v>
      </c>
      <c r="AH6" s="9">
        <f>AG6-AF6</f>
        <v>99983.334000000003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7"/>
  <sheetViews>
    <sheetView topLeftCell="V1"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0"/>
      <c r="AD1" s="50"/>
      <c r="AE1" s="50"/>
      <c r="AF1" s="50"/>
      <c r="AG1" s="27"/>
    </row>
    <row r="2" spans="1:38" ht="18">
      <c r="A2" s="29" t="s">
        <v>45</v>
      </c>
      <c r="B2" s="29" t="s">
        <v>44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27"/>
    </row>
    <row r="3" spans="1:38" ht="19.899999999999999" customHeight="1">
      <c r="A3" s="196" t="s">
        <v>0</v>
      </c>
      <c r="B3" s="196"/>
      <c r="C3" s="49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58</v>
      </c>
      <c r="C5" s="10">
        <v>0</v>
      </c>
      <c r="D5" s="42" t="s">
        <v>58</v>
      </c>
      <c r="E5" s="10" t="s">
        <v>32</v>
      </c>
      <c r="F5" s="10" t="s">
        <v>32</v>
      </c>
      <c r="G5" s="33">
        <v>15</v>
      </c>
      <c r="H5" s="29" t="s">
        <v>180</v>
      </c>
      <c r="I5" s="9">
        <f>G5*H5</f>
        <v>915</v>
      </c>
      <c r="J5" s="34"/>
      <c r="K5" s="34"/>
      <c r="L5" s="34"/>
      <c r="M5" s="9">
        <f>I5</f>
        <v>915</v>
      </c>
      <c r="N5" s="9">
        <f>ROUND((M5*J5)/100,2)</f>
        <v>0</v>
      </c>
      <c r="O5" s="9">
        <f>I5-N5</f>
        <v>915</v>
      </c>
      <c r="P5" s="9">
        <f>ROUND((O5*K5)/100,2)</f>
        <v>0</v>
      </c>
      <c r="Q5" s="9">
        <f>ROUND(O5-P5,2)</f>
        <v>915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915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109.8</v>
      </c>
      <c r="AA5" s="9">
        <f>X5+Y5+Z5</f>
        <v>109.8</v>
      </c>
      <c r="AB5" s="9">
        <f t="shared" ref="AB5:AB6" si="0">U5+AA5</f>
        <v>1024.8</v>
      </c>
      <c r="AC5" s="9">
        <v>120</v>
      </c>
      <c r="AD5" s="9">
        <f t="shared" ref="AD5:AD6" si="1">U5*$N$3</f>
        <v>915</v>
      </c>
      <c r="AE5" s="8">
        <v>1</v>
      </c>
      <c r="AF5" s="9">
        <f t="shared" ref="AF5" si="2">G5/AE5</f>
        <v>15</v>
      </c>
      <c r="AG5" s="36" t="s">
        <v>186</v>
      </c>
      <c r="AH5" s="9">
        <f>AG5-AF5</f>
        <v>99940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59</v>
      </c>
      <c r="C6" s="10">
        <v>0</v>
      </c>
      <c r="D6" s="42" t="s">
        <v>59</v>
      </c>
      <c r="E6" s="10" t="s">
        <v>32</v>
      </c>
      <c r="F6" s="10" t="s">
        <v>32</v>
      </c>
      <c r="G6" s="33">
        <v>10</v>
      </c>
      <c r="H6" s="29" t="s">
        <v>181</v>
      </c>
      <c r="I6" s="9">
        <f>G6*H6</f>
        <v>710</v>
      </c>
      <c r="J6" s="34"/>
      <c r="K6" s="34"/>
      <c r="L6" s="34"/>
      <c r="M6" s="9">
        <f>I6</f>
        <v>710</v>
      </c>
      <c r="N6" s="9">
        <f>ROUND((M6*J6)/100,2)</f>
        <v>0</v>
      </c>
      <c r="O6" s="9">
        <f>I6-N6</f>
        <v>710</v>
      </c>
      <c r="P6" s="9">
        <f>ROUND((O6*K6)/100,2)</f>
        <v>0</v>
      </c>
      <c r="Q6" s="9">
        <f>ROUND(O6-P6,2)</f>
        <v>710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710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85.2</v>
      </c>
      <c r="AA6" s="9">
        <f>X6+Y6+Z6</f>
        <v>85.2</v>
      </c>
      <c r="AB6" s="9">
        <f t="shared" si="0"/>
        <v>795.2</v>
      </c>
      <c r="AC6" s="9">
        <v>120</v>
      </c>
      <c r="AD6" s="9">
        <f t="shared" si="1"/>
        <v>710</v>
      </c>
      <c r="AE6" s="8">
        <v>2</v>
      </c>
      <c r="AF6" s="9">
        <f>ROUND(G6/AE6,3)</f>
        <v>5</v>
      </c>
      <c r="AG6" s="36" t="s">
        <v>176</v>
      </c>
      <c r="AH6" s="9">
        <f>AG6-AF6</f>
        <v>99980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topLeftCell="W1"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0"/>
      <c r="AD1" s="50"/>
      <c r="AE1" s="50"/>
      <c r="AF1" s="50"/>
      <c r="AG1" s="27"/>
    </row>
    <row r="2" spans="1:38" ht="18">
      <c r="A2" s="29" t="s">
        <v>45</v>
      </c>
      <c r="B2" s="29" t="s">
        <v>44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27"/>
    </row>
    <row r="3" spans="1:38" ht="19.899999999999999" customHeight="1">
      <c r="A3" s="196" t="s">
        <v>0</v>
      </c>
      <c r="B3" s="196"/>
      <c r="C3" s="49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60</v>
      </c>
      <c r="C5" s="10">
        <v>0</v>
      </c>
      <c r="D5" s="42" t="s">
        <v>60</v>
      </c>
      <c r="E5" s="10" t="s">
        <v>32</v>
      </c>
      <c r="F5" s="10" t="s">
        <v>32</v>
      </c>
      <c r="G5" s="33">
        <v>15</v>
      </c>
      <c r="H5" s="29" t="s">
        <v>202</v>
      </c>
      <c r="I5" s="9">
        <f>G5*H5</f>
        <v>1215</v>
      </c>
      <c r="J5" s="34"/>
      <c r="K5" s="34"/>
      <c r="L5" s="34"/>
      <c r="M5" s="9">
        <f>I5</f>
        <v>1215</v>
      </c>
      <c r="N5" s="9">
        <f>ROUND((M5*J5)/100,2)</f>
        <v>0</v>
      </c>
      <c r="O5" s="9">
        <f>I5-N5</f>
        <v>1215</v>
      </c>
      <c r="P5" s="9">
        <f>ROUND((O5*K5)/100,2)</f>
        <v>0</v>
      </c>
      <c r="Q5" s="9">
        <f>ROUND(O5-P5,2)</f>
        <v>1215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1215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:AB6" si="0">U5+AA5</f>
        <v>1215</v>
      </c>
      <c r="AC5" s="9">
        <v>120</v>
      </c>
      <c r="AD5" s="9">
        <f t="shared" ref="AD5:AD6" si="1">U5*$N$3</f>
        <v>1215</v>
      </c>
      <c r="AE5" s="8">
        <v>1</v>
      </c>
      <c r="AF5" s="9">
        <f t="shared" ref="AF5" si="2">G5/AE5</f>
        <v>15</v>
      </c>
      <c r="AG5" s="36" t="s">
        <v>201</v>
      </c>
      <c r="AH5" s="9">
        <f>AG5-AF5</f>
        <v>99850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61</v>
      </c>
      <c r="C6" s="10">
        <v>0</v>
      </c>
      <c r="D6" s="42" t="s">
        <v>61</v>
      </c>
      <c r="E6" s="10" t="s">
        <v>32</v>
      </c>
      <c r="F6" s="10" t="s">
        <v>32</v>
      </c>
      <c r="G6" s="33">
        <v>10</v>
      </c>
      <c r="H6" s="29" t="s">
        <v>181</v>
      </c>
      <c r="I6" s="9">
        <f>G6*H6</f>
        <v>710</v>
      </c>
      <c r="J6" s="34"/>
      <c r="K6" s="34"/>
      <c r="L6" s="34"/>
      <c r="M6" s="9">
        <f>I6</f>
        <v>710</v>
      </c>
      <c r="N6" s="9">
        <f>ROUND((M6*J6)/100,2)</f>
        <v>0</v>
      </c>
      <c r="O6" s="9">
        <f>I6-N6</f>
        <v>710</v>
      </c>
      <c r="P6" s="9">
        <f>ROUND((O6*K6)/100,2)</f>
        <v>0</v>
      </c>
      <c r="Q6" s="9">
        <f>ROUND(O6-P6,2)</f>
        <v>710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710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0</v>
      </c>
      <c r="AA6" s="9">
        <f>X6+Y6+Z6</f>
        <v>0</v>
      </c>
      <c r="AB6" s="9">
        <f t="shared" si="0"/>
        <v>710</v>
      </c>
      <c r="AC6" s="9">
        <v>120</v>
      </c>
      <c r="AD6" s="9">
        <f t="shared" si="1"/>
        <v>710</v>
      </c>
      <c r="AE6" s="8">
        <v>2</v>
      </c>
      <c r="AF6" s="9">
        <f>ROUND(G6/AE6,3)</f>
        <v>5</v>
      </c>
      <c r="AG6" s="36" t="s">
        <v>186</v>
      </c>
      <c r="AH6" s="9">
        <f>AG6-AF6</f>
        <v>99950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7"/>
  <sheetViews>
    <sheetView topLeftCell="X1" workbookViewId="0">
      <selection activeCell="AI5" sqref="AI5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2"/>
      <c r="AD1" s="52"/>
      <c r="AE1" s="52"/>
      <c r="AF1" s="52"/>
      <c r="AG1" s="27"/>
    </row>
    <row r="2" spans="1:38" ht="18">
      <c r="A2" s="29" t="s">
        <v>45</v>
      </c>
      <c r="B2" s="29" t="s">
        <v>44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27"/>
    </row>
    <row r="3" spans="1:38" ht="19.899999999999999" customHeight="1">
      <c r="A3" s="196" t="s">
        <v>0</v>
      </c>
      <c r="B3" s="196"/>
      <c r="C3" s="51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42" t="s">
        <v>62</v>
      </c>
      <c r="C5" s="10">
        <v>0</v>
      </c>
      <c r="D5" s="42" t="s">
        <v>62</v>
      </c>
      <c r="E5" s="10" t="s">
        <v>32</v>
      </c>
      <c r="F5" s="10" t="s">
        <v>32</v>
      </c>
      <c r="G5" s="33">
        <v>15</v>
      </c>
      <c r="H5" s="29" t="s">
        <v>182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90</v>
      </c>
      <c r="AA5" s="9">
        <f>X5+Y5+Z5</f>
        <v>90</v>
      </c>
      <c r="AB5" s="9">
        <f t="shared" ref="AB5:AB6" si="0">U5+AA5</f>
        <v>840</v>
      </c>
      <c r="AC5" s="9">
        <v>120</v>
      </c>
      <c r="AD5" s="9">
        <f t="shared" ref="AD5:AD6" si="1">U5*$N$3</f>
        <v>750</v>
      </c>
      <c r="AE5" s="8">
        <v>1</v>
      </c>
      <c r="AF5" s="9">
        <f t="shared" ref="AF5" si="2">G5/AE5</f>
        <v>15</v>
      </c>
      <c r="AG5" s="36" t="s">
        <v>255</v>
      </c>
      <c r="AH5" s="9">
        <f>AG5-AF5</f>
        <v>97764</v>
      </c>
      <c r="AI5" s="10" t="s">
        <v>171</v>
      </c>
      <c r="AJ5" s="10" t="s">
        <v>172</v>
      </c>
      <c r="AK5" s="29" t="s">
        <v>46</v>
      </c>
      <c r="AL5" s="33">
        <f>AK5+G5</f>
        <v>87865</v>
      </c>
    </row>
    <row r="6" spans="1:38" ht="15">
      <c r="A6" s="10">
        <v>2</v>
      </c>
      <c r="B6" s="42" t="s">
        <v>63</v>
      </c>
      <c r="C6" s="10">
        <v>0</v>
      </c>
      <c r="D6" s="42" t="s">
        <v>63</v>
      </c>
      <c r="E6" s="10" t="s">
        <v>32</v>
      </c>
      <c r="F6" s="10" t="s">
        <v>32</v>
      </c>
      <c r="G6" s="33">
        <v>10</v>
      </c>
      <c r="H6" s="29" t="s">
        <v>54</v>
      </c>
      <c r="I6" s="9">
        <f>G6*H6</f>
        <v>600</v>
      </c>
      <c r="J6" s="34"/>
      <c r="K6" s="34"/>
      <c r="L6" s="34"/>
      <c r="M6" s="9">
        <f>I6</f>
        <v>600</v>
      </c>
      <c r="N6" s="9">
        <f>ROUND((M6*J6)/100,2)</f>
        <v>0</v>
      </c>
      <c r="O6" s="9">
        <f>I6-N6</f>
        <v>600</v>
      </c>
      <c r="P6" s="9">
        <f>ROUND((O6*K6)/100,2)</f>
        <v>0</v>
      </c>
      <c r="Q6" s="9">
        <f>ROUND(O6-P6,2)</f>
        <v>600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600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72</v>
      </c>
      <c r="AA6" s="9">
        <f>X6+Y6+Z6</f>
        <v>72</v>
      </c>
      <c r="AB6" s="9">
        <f t="shared" si="0"/>
        <v>672</v>
      </c>
      <c r="AC6" s="9">
        <v>120</v>
      </c>
      <c r="AD6" s="9">
        <f t="shared" si="1"/>
        <v>600</v>
      </c>
      <c r="AE6" s="8">
        <v>2</v>
      </c>
      <c r="AF6" s="9">
        <f>ROUND(G6/AE6,3)</f>
        <v>5</v>
      </c>
      <c r="AG6" s="36" t="s">
        <v>256</v>
      </c>
      <c r="AH6" s="9">
        <f>AG6-AF6</f>
        <v>99255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7"/>
  <sheetViews>
    <sheetView topLeftCell="X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2"/>
      <c r="AD1" s="52"/>
      <c r="AE1" s="52"/>
      <c r="AF1" s="52"/>
      <c r="AG1" s="27"/>
    </row>
    <row r="2" spans="1:38" ht="18">
      <c r="A2" s="29" t="s">
        <v>45</v>
      </c>
      <c r="B2" s="29" t="s">
        <v>44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27"/>
    </row>
    <row r="3" spans="1:38" ht="19.899999999999999" customHeight="1">
      <c r="A3" s="196" t="s">
        <v>0</v>
      </c>
      <c r="B3" s="196"/>
      <c r="C3" s="51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7"/>
      <c r="AL4" s="58"/>
    </row>
    <row r="5" spans="1:38" ht="15">
      <c r="A5" s="10">
        <v>1</v>
      </c>
      <c r="B5" s="42" t="s">
        <v>64</v>
      </c>
      <c r="C5" s="10">
        <v>0</v>
      </c>
      <c r="D5" s="42" t="s">
        <v>64</v>
      </c>
      <c r="E5" s="10" t="s">
        <v>32</v>
      </c>
      <c r="F5" s="10" t="s">
        <v>32</v>
      </c>
      <c r="G5" s="33">
        <v>15</v>
      </c>
      <c r="H5" s="29" t="s">
        <v>177</v>
      </c>
      <c r="I5" s="9">
        <f>G5*H5</f>
        <v>1050</v>
      </c>
      <c r="J5" s="34"/>
      <c r="K5" s="34"/>
      <c r="L5" s="34"/>
      <c r="M5" s="9">
        <f>I5</f>
        <v>1050</v>
      </c>
      <c r="N5" s="9">
        <f>ROUND((M5*J5)/100,2)</f>
        <v>0</v>
      </c>
      <c r="O5" s="9">
        <f>I5-N5</f>
        <v>1050</v>
      </c>
      <c r="P5" s="9">
        <f>ROUND((O5*K5)/100,2)</f>
        <v>0</v>
      </c>
      <c r="Q5" s="9">
        <f>ROUND(O5-P5,2)</f>
        <v>1050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1050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126</v>
      </c>
      <c r="AA5" s="9">
        <f>X5+Y5+Z5</f>
        <v>126</v>
      </c>
      <c r="AB5" s="9">
        <f t="shared" ref="AB5:AB6" si="0">U5+AA5</f>
        <v>1176</v>
      </c>
      <c r="AC5" s="9">
        <v>120</v>
      </c>
      <c r="AD5" s="9">
        <f t="shared" ref="AD5:AD6" si="1">U5*$N$3</f>
        <v>1050</v>
      </c>
      <c r="AE5" s="8">
        <v>1</v>
      </c>
      <c r="AF5" s="9">
        <f t="shared" ref="AF5" si="2">G5/AE5</f>
        <v>15</v>
      </c>
      <c r="AG5" s="36" t="s">
        <v>254</v>
      </c>
      <c r="AH5" s="9">
        <f>AG5-AF5</f>
        <v>97780</v>
      </c>
      <c r="AI5" s="10" t="s">
        <v>171</v>
      </c>
      <c r="AJ5" s="10" t="s">
        <v>172</v>
      </c>
      <c r="AK5" s="7"/>
      <c r="AL5" s="59"/>
    </row>
    <row r="6" spans="1:38" ht="15">
      <c r="A6" s="10">
        <v>2</v>
      </c>
      <c r="B6" s="42" t="s">
        <v>65</v>
      </c>
      <c r="C6" s="10">
        <v>0</v>
      </c>
      <c r="D6" s="42" t="s">
        <v>65</v>
      </c>
      <c r="E6" s="10" t="s">
        <v>32</v>
      </c>
      <c r="F6" s="10" t="s">
        <v>32</v>
      </c>
      <c r="G6" s="33">
        <v>10</v>
      </c>
      <c r="H6" s="29" t="s">
        <v>178</v>
      </c>
      <c r="I6" s="9">
        <f>G6*H6</f>
        <v>800</v>
      </c>
      <c r="J6" s="34"/>
      <c r="K6" s="34"/>
      <c r="L6" s="34"/>
      <c r="M6" s="9">
        <f>I6</f>
        <v>800</v>
      </c>
      <c r="N6" s="9">
        <f>ROUND((M6*J6)/100,2)</f>
        <v>0</v>
      </c>
      <c r="O6" s="9">
        <f>I6-N6</f>
        <v>800</v>
      </c>
      <c r="P6" s="9">
        <f>ROUND((O6*K6)/100,2)</f>
        <v>0</v>
      </c>
      <c r="Q6" s="9">
        <f>ROUND(O6-P6,2)</f>
        <v>800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800</v>
      </c>
      <c r="V6" s="33">
        <v>88363222</v>
      </c>
      <c r="W6" s="22">
        <v>0.12</v>
      </c>
      <c r="X6" s="9">
        <f>IF($D$3=1,ROUND(((U6*W6)/2),2),0)</f>
        <v>0</v>
      </c>
      <c r="Y6" s="9">
        <f>IF($D$3=1,ROUND(((U6*W6)/2),2),0)</f>
        <v>0</v>
      </c>
      <c r="Z6" s="9">
        <f>IF($D$3=2,ROUND(((U6*W6)),2),0)</f>
        <v>96</v>
      </c>
      <c r="AA6" s="9">
        <f>X6+Y6+Z6</f>
        <v>96</v>
      </c>
      <c r="AB6" s="9">
        <f t="shared" si="0"/>
        <v>896</v>
      </c>
      <c r="AC6" s="9">
        <v>120</v>
      </c>
      <c r="AD6" s="9">
        <f t="shared" si="1"/>
        <v>800</v>
      </c>
      <c r="AE6" s="8">
        <v>2</v>
      </c>
      <c r="AF6" s="9">
        <f>ROUND(G6/AE6,3)</f>
        <v>5</v>
      </c>
      <c r="AG6" s="36" t="s">
        <v>253</v>
      </c>
      <c r="AH6" s="9">
        <f>AG6-AF6</f>
        <v>99260</v>
      </c>
      <c r="AI6" s="10" t="s">
        <v>171</v>
      </c>
      <c r="AJ6" s="10" t="s">
        <v>172</v>
      </c>
      <c r="AK6" s="7"/>
      <c r="AL6" s="59"/>
    </row>
    <row r="7" spans="1:38" ht="14.25" customHeight="1">
      <c r="A7" s="23"/>
      <c r="B7" s="23"/>
      <c r="C7" s="23"/>
      <c r="D7" s="23"/>
      <c r="E7" s="23"/>
      <c r="F7" s="23"/>
      <c r="G7" s="24"/>
      <c r="H7" s="25"/>
      <c r="I7" s="25"/>
      <c r="J7" s="26"/>
      <c r="K7" s="26"/>
      <c r="L7" s="26"/>
      <c r="M7" s="25"/>
      <c r="N7" s="25"/>
      <c r="O7" s="25"/>
      <c r="P7" s="25"/>
      <c r="Q7" s="25"/>
      <c r="R7" s="25"/>
      <c r="S7" s="25"/>
      <c r="T7" s="25"/>
      <c r="U7" s="25"/>
      <c r="V7" s="25"/>
      <c r="W7" s="26"/>
      <c r="X7" s="25"/>
      <c r="Y7" s="25"/>
      <c r="Z7" s="25"/>
      <c r="AA7" s="25"/>
      <c r="AB7" s="25"/>
      <c r="AC7" s="25"/>
      <c r="AD7" s="25"/>
      <c r="AE7" s="24"/>
      <c r="AF7" s="25"/>
      <c r="AG7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6"/>
  <sheetViews>
    <sheetView topLeftCell="Z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9" width="15.42578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80"/>
      <c r="AD1" s="80"/>
      <c r="AE1" s="80"/>
      <c r="AF1" s="80"/>
      <c r="AG1" s="27"/>
    </row>
    <row r="2" spans="1:39" ht="18">
      <c r="A2" s="29" t="s">
        <v>45</v>
      </c>
      <c r="B2" s="29" t="s">
        <v>44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27"/>
    </row>
    <row r="3" spans="1:39" ht="19.899999999999999" customHeight="1">
      <c r="A3" s="196" t="s">
        <v>0</v>
      </c>
      <c r="B3" s="196"/>
      <c r="C3" s="79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58"/>
    </row>
    <row r="5" spans="1:39" ht="15">
      <c r="A5" s="10">
        <v>1</v>
      </c>
      <c r="B5" s="42" t="s">
        <v>82</v>
      </c>
      <c r="C5" s="10">
        <v>0</v>
      </c>
      <c r="D5" s="42" t="s">
        <v>82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" si="0">U5+AA5</f>
        <v>750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119</v>
      </c>
      <c r="AH5" s="34">
        <f>AG5-AF5</f>
        <v>105581</v>
      </c>
      <c r="AI5" s="10" t="s">
        <v>171</v>
      </c>
      <c r="AJ5" s="10" t="s">
        <v>172</v>
      </c>
      <c r="AK5" s="34">
        <f>AH5</f>
        <v>105581</v>
      </c>
      <c r="AL5" s="34">
        <f>AK5+G5</f>
        <v>105596</v>
      </c>
      <c r="AM5" s="5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3"/>
  <sheetViews>
    <sheetView workbookViewId="0">
      <selection activeCell="D12" sqref="D12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8.0"/>
    <col min="4" max="4" customWidth="true" style="29" width="29.85546875"/>
    <col min="5" max="5" bestFit="true" customWidth="true" style="29" width="10.0"/>
    <col min="6" max="6" bestFit="true" customWidth="true" style="29" width="18.8554687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9" width="15.42578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86"/>
      <c r="AD1" s="86"/>
      <c r="AE1" s="86"/>
      <c r="AF1" s="86"/>
      <c r="AG1" s="27"/>
    </row>
    <row r="2" spans="1:39" ht="18">
      <c r="A2" s="29" t="s">
        <v>45</v>
      </c>
      <c r="B2" s="29" t="s">
        <v>44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27"/>
    </row>
    <row r="3" spans="1:39" ht="19.899999999999999" customHeight="1">
      <c r="A3" s="196" t="s">
        <v>0</v>
      </c>
      <c r="B3" s="196"/>
      <c r="C3" s="85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58"/>
    </row>
    <row r="5" spans="1:39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45</v>
      </c>
      <c r="Y5" s="9">
        <f>IF($D$3=1,ROUND(((U5*W5)/2),2),0)</f>
        <v>45</v>
      </c>
      <c r="Z5" s="9">
        <f>IF($D$3=2,ROUND(((U5*W5)),2),0)</f>
        <v>0</v>
      </c>
      <c r="AA5" s="9">
        <f>X5+Y5+Z5</f>
        <v>90</v>
      </c>
      <c r="AB5" s="9">
        <f t="shared" ref="AB5" si="0">U5+AA5</f>
        <v>840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196</v>
      </c>
      <c r="AH5" s="34">
        <f>AG5-AF5</f>
        <v>99641</v>
      </c>
      <c r="AI5" s="10" t="s">
        <v>171</v>
      </c>
      <c r="AJ5" s="10" t="s">
        <v>172</v>
      </c>
      <c r="AK5" s="34">
        <f>AH5</f>
        <v>99641</v>
      </c>
      <c r="AL5" s="34">
        <f>AK5+G5</f>
        <v>99656</v>
      </c>
      <c r="AM5" s="5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  <row r="9" spans="1:39">
      <c r="C9" s="89" t="s">
        <v>83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39">
      <c r="C10" s="90" t="s">
        <v>84</v>
      </c>
      <c r="D10" s="90" t="s">
        <v>6</v>
      </c>
      <c r="E10" s="90" t="s">
        <v>7</v>
      </c>
      <c r="F10" s="90" t="s">
        <v>85</v>
      </c>
      <c r="G10" s="90" t="s">
        <v>86</v>
      </c>
      <c r="H10" s="90" t="s">
        <v>87</v>
      </c>
      <c r="I10" s="90" t="s">
        <v>88</v>
      </c>
      <c r="J10" s="90" t="s">
        <v>89</v>
      </c>
      <c r="K10" s="90" t="s">
        <v>26</v>
      </c>
      <c r="L10" s="90" t="s">
        <v>27</v>
      </c>
      <c r="M10" s="90" t="s">
        <v>28</v>
      </c>
      <c r="N10" s="90" t="s">
        <v>29</v>
      </c>
      <c r="O10" s="90" t="s">
        <v>30</v>
      </c>
    </row>
    <row r="11" spans="1:39">
      <c r="C11" s="10">
        <v>1</v>
      </c>
      <c r="D11" s="10" t="s">
        <v>194</v>
      </c>
      <c r="E11" s="10">
        <v>0</v>
      </c>
      <c r="F11" s="10" t="s">
        <v>90</v>
      </c>
      <c r="G11" s="10" t="s">
        <v>91</v>
      </c>
      <c r="H11" s="10">
        <v>20</v>
      </c>
      <c r="I11" s="10">
        <v>6477.41</v>
      </c>
      <c r="J11" s="10">
        <v>4901</v>
      </c>
      <c r="K11" s="22">
        <v>0.12</v>
      </c>
      <c r="L11" s="10">
        <v>0</v>
      </c>
      <c r="M11" s="10">
        <v>0</v>
      </c>
      <c r="N11" s="10">
        <v>777.29</v>
      </c>
      <c r="O11" s="10">
        <v>777.29</v>
      </c>
    </row>
    <row r="12" spans="1:39">
      <c r="C12" s="10">
        <v>2</v>
      </c>
      <c r="D12" s="10" t="s">
        <v>195</v>
      </c>
      <c r="E12" s="10">
        <v>0</v>
      </c>
      <c r="F12" s="10" t="s">
        <v>92</v>
      </c>
      <c r="G12" s="10" t="s">
        <v>88</v>
      </c>
      <c r="H12" s="10"/>
      <c r="I12" s="10">
        <v>15000</v>
      </c>
      <c r="J12" s="10">
        <v>4901</v>
      </c>
      <c r="K12" s="22">
        <v>0.12</v>
      </c>
      <c r="L12" s="10">
        <v>0</v>
      </c>
      <c r="M12" s="10">
        <v>0</v>
      </c>
      <c r="N12" s="10">
        <v>1800</v>
      </c>
      <c r="O12" s="10">
        <v>1800</v>
      </c>
    </row>
    <row r="13" spans="1:39">
      <c r="C13" s="10"/>
      <c r="D13" s="10"/>
      <c r="E13" s="10"/>
      <c r="F13" s="10"/>
      <c r="G13" s="10"/>
      <c r="H13" s="10" t="s">
        <v>93</v>
      </c>
      <c r="I13" s="10">
        <v>21477.41</v>
      </c>
      <c r="J13" s="10"/>
      <c r="K13" s="10"/>
      <c r="L13" s="10">
        <v>0</v>
      </c>
      <c r="M13" s="10">
        <v>0</v>
      </c>
      <c r="N13" s="10">
        <v>2577.29</v>
      </c>
      <c r="O13" s="10">
        <v>2577.29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6"/>
  <sheetViews>
    <sheetView topLeftCell="Y1" workbookViewId="0">
      <selection activeCell="AJ5" sqref="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9" width="15.42578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88"/>
      <c r="AD1" s="88"/>
      <c r="AE1" s="88"/>
      <c r="AF1" s="88"/>
      <c r="AG1" s="27"/>
    </row>
    <row r="2" spans="1:39" ht="18">
      <c r="A2" s="29" t="s">
        <v>45</v>
      </c>
      <c r="B2" s="29" t="s">
        <v>44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27"/>
    </row>
    <row r="3" spans="1:39" ht="19.899999999999999" customHeight="1">
      <c r="A3" s="196" t="s">
        <v>0</v>
      </c>
      <c r="B3" s="196"/>
      <c r="C3" s="87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58"/>
    </row>
    <row r="5" spans="1:39" ht="15">
      <c r="A5" s="10">
        <v>1</v>
      </c>
      <c r="B5" s="42" t="s">
        <v>94</v>
      </c>
      <c r="C5" s="10">
        <v>0</v>
      </c>
      <c r="D5" s="42" t="s">
        <v>94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45</v>
      </c>
      <c r="Y5" s="9">
        <f>IF($D$3=1,ROUND(((U5*W5)/2),2),0)</f>
        <v>45</v>
      </c>
      <c r="Z5" s="9">
        <f>IF($D$3=2,ROUND(((U5*W5)),2),0)</f>
        <v>0</v>
      </c>
      <c r="AA5" s="9">
        <f>X5+Y5+Z5</f>
        <v>90</v>
      </c>
      <c r="AB5" s="9">
        <f t="shared" ref="AB5" si="0">U5+AA5</f>
        <v>840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173</v>
      </c>
      <c r="AH5" s="34">
        <f>AG5-AF5</f>
        <v>99985</v>
      </c>
      <c r="AI5" s="10" t="s">
        <v>171</v>
      </c>
      <c r="AJ5" s="10" t="s">
        <v>172</v>
      </c>
      <c r="AK5" s="34">
        <f>AH5</f>
        <v>99985</v>
      </c>
      <c r="AL5" s="34">
        <f>AK5+G5</f>
        <v>100000</v>
      </c>
      <c r="AM5" s="5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36"/>
  <sheetViews>
    <sheetView topLeftCell="Z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9" width="15.42578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93"/>
      <c r="AD1" s="93"/>
      <c r="AE1" s="93"/>
      <c r="AF1" s="93"/>
      <c r="AG1" s="27"/>
    </row>
    <row r="2" spans="1:39" ht="18">
      <c r="A2" s="29" t="s">
        <v>45</v>
      </c>
      <c r="B2" s="29" t="s">
        <v>44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27"/>
    </row>
    <row r="3" spans="1:39" ht="19.899999999999999" customHeight="1">
      <c r="A3" s="196" t="s">
        <v>0</v>
      </c>
      <c r="B3" s="196"/>
      <c r="C3" s="92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58"/>
    </row>
    <row r="5" spans="1:39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34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0.18</v>
      </c>
      <c r="X5" s="34">
        <f>IF($D$3=1,ROUND(((U5*W5)/2),2),0)</f>
        <v>67.5</v>
      </c>
      <c r="Y5" s="34">
        <f>IF($D$3=1,ROUND(((U5*W5)/2),2),0)</f>
        <v>67.5</v>
      </c>
      <c r="Z5" s="34">
        <f>IF($D$3=2,ROUND(((U5*W5)),2),0)</f>
        <v>0</v>
      </c>
      <c r="AA5" s="34">
        <f>X5+Y5+Z5</f>
        <v>135</v>
      </c>
      <c r="AB5" s="34">
        <f t="shared" ref="AB5" si="0">U5+AA5</f>
        <v>885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110</v>
      </c>
      <c r="AH5" s="34">
        <f>AG5-AF5</f>
        <v>62703</v>
      </c>
      <c r="AI5" s="10" t="s">
        <v>171</v>
      </c>
      <c r="AJ5" s="10" t="s">
        <v>172</v>
      </c>
      <c r="AK5" s="34">
        <f>AH5</f>
        <v>62703</v>
      </c>
      <c r="AL5" s="34">
        <f>AK5+G5</f>
        <v>62718</v>
      </c>
      <c r="AM5" s="59"/>
    </row>
    <row r="6" spans="1:39" ht="14.25" customHeight="1">
      <c r="A6" s="10">
        <v>2</v>
      </c>
      <c r="B6" s="97" t="s">
        <v>95</v>
      </c>
      <c r="C6" s="10">
        <v>0</v>
      </c>
      <c r="D6" s="97" t="s">
        <v>95</v>
      </c>
      <c r="E6" s="10" t="s">
        <v>32</v>
      </c>
      <c r="F6" s="10" t="s">
        <v>32</v>
      </c>
      <c r="G6" s="33">
        <v>16</v>
      </c>
      <c r="H6" s="10">
        <v>50</v>
      </c>
      <c r="I6" s="34">
        <f>G6*H6</f>
        <v>800</v>
      </c>
      <c r="J6" s="34"/>
      <c r="K6" s="34"/>
      <c r="L6" s="34"/>
      <c r="M6" s="9">
        <f>I6</f>
        <v>800</v>
      </c>
      <c r="N6" s="9">
        <f>ROUND((M6*J6)/100,2)</f>
        <v>0</v>
      </c>
      <c r="O6" s="9">
        <f>I6-N6</f>
        <v>800</v>
      </c>
      <c r="P6" s="9">
        <f>ROUND((O6*K6)/100,2)</f>
        <v>0</v>
      </c>
      <c r="Q6" s="9">
        <f>ROUND(O6-P6,2)</f>
        <v>800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800</v>
      </c>
      <c r="V6" s="33">
        <v>88363222</v>
      </c>
      <c r="W6" s="22">
        <v>0.18</v>
      </c>
      <c r="X6" s="34">
        <f>IF($D$3=1,ROUND(((U6*W6)/2),2),0)</f>
        <v>72</v>
      </c>
      <c r="Y6" s="34">
        <f>IF($D$3=1,ROUND(((U6*W6)/2),2),0)</f>
        <v>72</v>
      </c>
      <c r="Z6" s="34">
        <f>IF($D$3=2,ROUND(((U6*W6)),2),0)</f>
        <v>0</v>
      </c>
      <c r="AA6" s="34">
        <f>X6+Y6+Z6</f>
        <v>144</v>
      </c>
      <c r="AB6" s="34">
        <f t="shared" ref="AB6:AB14" si="3">U6+AA6</f>
        <v>944</v>
      </c>
      <c r="AC6" s="9">
        <v>120</v>
      </c>
      <c r="AD6" s="9">
        <f t="shared" ref="AD6:AD14" si="4">U6*$N$3</f>
        <v>800</v>
      </c>
      <c r="AE6" s="8">
        <v>1</v>
      </c>
      <c r="AF6" s="9">
        <f t="shared" ref="AF6:AF14" si="5">G6/AE6</f>
        <v>16</v>
      </c>
      <c r="AG6" s="36" t="s">
        <v>111</v>
      </c>
      <c r="AH6" s="34">
        <f>AG6-AF6</f>
        <v>99920</v>
      </c>
      <c r="AI6" s="10" t="s">
        <v>171</v>
      </c>
      <c r="AJ6" s="10" t="s">
        <v>172</v>
      </c>
      <c r="AK6" s="34">
        <f>AH6</f>
        <v>99920</v>
      </c>
      <c r="AL6" s="34">
        <f>AK6+G6</f>
        <v>99936</v>
      </c>
    </row>
    <row r="7" spans="1:39">
      <c r="A7" s="10">
        <v>3</v>
      </c>
      <c r="B7" s="97" t="s">
        <v>96</v>
      </c>
      <c r="C7" s="10">
        <v>0</v>
      </c>
      <c r="D7" s="97" t="s">
        <v>96</v>
      </c>
      <c r="E7" s="10" t="s">
        <v>32</v>
      </c>
      <c r="F7" s="10" t="s">
        <v>32</v>
      </c>
      <c r="G7" s="33">
        <v>17</v>
      </c>
      <c r="H7" s="10">
        <v>50</v>
      </c>
      <c r="I7" s="34">
        <f t="shared" ref="I7:I14" si="6">G7*H7</f>
        <v>850</v>
      </c>
      <c r="J7" s="34"/>
      <c r="K7" s="34"/>
      <c r="L7" s="34"/>
      <c r="M7" s="9">
        <f t="shared" ref="M7:M14" si="7">I7</f>
        <v>850</v>
      </c>
      <c r="N7" s="9">
        <f t="shared" ref="N7:N14" si="8">ROUND((M7*J7)/100,2)</f>
        <v>0</v>
      </c>
      <c r="O7" s="9">
        <f t="shared" ref="O7:O14" si="9">I7-N7</f>
        <v>850</v>
      </c>
      <c r="P7" s="9">
        <f t="shared" ref="P7:P14" si="10">ROUND((O7*K7)/100,2)</f>
        <v>0</v>
      </c>
      <c r="Q7" s="9">
        <f t="shared" ref="Q7:Q14" si="11">ROUND(O7-P7,2)</f>
        <v>850</v>
      </c>
      <c r="R7" s="9">
        <f t="shared" ref="R7:R14" si="12">ROUND((Q7*L7)/100,2)</f>
        <v>0</v>
      </c>
      <c r="S7" s="35">
        <f t="shared" ref="S7:S14" si="13">N7+P7+R7</f>
        <v>0</v>
      </c>
      <c r="T7" s="35">
        <f t="shared" ref="T7:T14" si="14">S7/G7</f>
        <v>0</v>
      </c>
      <c r="U7" s="9">
        <f t="shared" ref="U7:U14" si="15">(I7-S7)</f>
        <v>850</v>
      </c>
      <c r="V7" s="33">
        <v>88363222</v>
      </c>
      <c r="W7" s="22">
        <v>0.18</v>
      </c>
      <c r="X7" s="34">
        <f t="shared" ref="X7:X14" si="16">IF($D$3=1,ROUND(((U7*W7)/2),2),0)</f>
        <v>76.5</v>
      </c>
      <c r="Y7" s="34">
        <f t="shared" ref="Y7:Y14" si="17">IF($D$3=1,ROUND(((U7*W7)/2),2),0)</f>
        <v>76.5</v>
      </c>
      <c r="Z7" s="34">
        <f t="shared" ref="Z7:Z14" si="18">IF($D$3=2,ROUND(((U7*W7)),2),0)</f>
        <v>0</v>
      </c>
      <c r="AA7" s="34">
        <f t="shared" ref="AA7:AA14" si="19">X7+Y7+Z7</f>
        <v>153</v>
      </c>
      <c r="AB7" s="34">
        <f t="shared" si="3"/>
        <v>1003</v>
      </c>
      <c r="AC7" s="9">
        <v>120</v>
      </c>
      <c r="AD7" s="9">
        <f t="shared" si="4"/>
        <v>850</v>
      </c>
      <c r="AE7" s="8">
        <v>1</v>
      </c>
      <c r="AF7" s="9">
        <f t="shared" si="5"/>
        <v>17</v>
      </c>
      <c r="AG7" s="36" t="s">
        <v>112</v>
      </c>
      <c r="AH7" s="34">
        <f t="shared" ref="AH7:AH14" si="20">AG7-AF7</f>
        <v>99915</v>
      </c>
      <c r="AI7" s="10" t="s">
        <v>171</v>
      </c>
      <c r="AJ7" s="10" t="s">
        <v>172</v>
      </c>
      <c r="AK7" s="34">
        <f t="shared" ref="AK7:AK14" si="21">AH7</f>
        <v>99915</v>
      </c>
      <c r="AL7" s="34">
        <f t="shared" ref="AL7:AL14" si="22">AK7+G7</f>
        <v>99932</v>
      </c>
    </row>
    <row r="8" spans="1:39">
      <c r="A8" s="10">
        <v>4</v>
      </c>
      <c r="B8" s="97" t="s">
        <v>97</v>
      </c>
      <c r="C8" s="10">
        <v>0</v>
      </c>
      <c r="D8" s="97" t="s">
        <v>97</v>
      </c>
      <c r="E8" s="10" t="s">
        <v>32</v>
      </c>
      <c r="F8" s="10" t="s">
        <v>32</v>
      </c>
      <c r="G8" s="33">
        <v>18</v>
      </c>
      <c r="H8" s="10">
        <v>50</v>
      </c>
      <c r="I8" s="34">
        <f t="shared" si="6"/>
        <v>900</v>
      </c>
      <c r="J8" s="34"/>
      <c r="K8" s="34"/>
      <c r="L8" s="34"/>
      <c r="M8" s="9">
        <f t="shared" si="7"/>
        <v>900</v>
      </c>
      <c r="N8" s="9">
        <f t="shared" si="8"/>
        <v>0</v>
      </c>
      <c r="O8" s="9">
        <f t="shared" si="9"/>
        <v>900</v>
      </c>
      <c r="P8" s="9">
        <f t="shared" si="10"/>
        <v>0</v>
      </c>
      <c r="Q8" s="9">
        <f t="shared" si="11"/>
        <v>900</v>
      </c>
      <c r="R8" s="9">
        <f t="shared" si="12"/>
        <v>0</v>
      </c>
      <c r="S8" s="35">
        <f t="shared" si="13"/>
        <v>0</v>
      </c>
      <c r="T8" s="35">
        <f t="shared" si="14"/>
        <v>0</v>
      </c>
      <c r="U8" s="9">
        <f t="shared" si="15"/>
        <v>900</v>
      </c>
      <c r="V8" s="33">
        <v>88363222</v>
      </c>
      <c r="W8" s="22">
        <v>0.18</v>
      </c>
      <c r="X8" s="34">
        <f t="shared" si="16"/>
        <v>81</v>
      </c>
      <c r="Y8" s="34">
        <f t="shared" si="17"/>
        <v>81</v>
      </c>
      <c r="Z8" s="34">
        <f t="shared" si="18"/>
        <v>0</v>
      </c>
      <c r="AA8" s="34">
        <f>X8+Y8+Z8</f>
        <v>162</v>
      </c>
      <c r="AB8" s="34">
        <f t="shared" si="3"/>
        <v>1062</v>
      </c>
      <c r="AC8" s="9">
        <v>120</v>
      </c>
      <c r="AD8" s="9">
        <f t="shared" si="4"/>
        <v>900</v>
      </c>
      <c r="AE8" s="8">
        <v>1</v>
      </c>
      <c r="AF8" s="9">
        <f t="shared" si="5"/>
        <v>18</v>
      </c>
      <c r="AG8" s="36" t="s">
        <v>109</v>
      </c>
      <c r="AH8" s="34">
        <f t="shared" si="20"/>
        <v>99910</v>
      </c>
      <c r="AI8" s="10" t="s">
        <v>171</v>
      </c>
      <c r="AJ8" s="10" t="s">
        <v>172</v>
      </c>
      <c r="AK8" s="34">
        <f t="shared" si="21"/>
        <v>99910</v>
      </c>
      <c r="AL8" s="34">
        <f t="shared" si="22"/>
        <v>99928</v>
      </c>
    </row>
    <row r="9" spans="1:39">
      <c r="A9" s="10">
        <v>5</v>
      </c>
      <c r="B9" s="97" t="s">
        <v>98</v>
      </c>
      <c r="C9" s="10">
        <v>0</v>
      </c>
      <c r="D9" s="97" t="s">
        <v>98</v>
      </c>
      <c r="E9" s="10" t="s">
        <v>32</v>
      </c>
      <c r="F9" s="10" t="s">
        <v>32</v>
      </c>
      <c r="G9" s="33">
        <v>19</v>
      </c>
      <c r="H9" s="10">
        <v>50</v>
      </c>
      <c r="I9" s="34">
        <f t="shared" si="6"/>
        <v>950</v>
      </c>
      <c r="J9" s="34"/>
      <c r="K9" s="34"/>
      <c r="L9" s="34"/>
      <c r="M9" s="9">
        <f t="shared" si="7"/>
        <v>950</v>
      </c>
      <c r="N9" s="9">
        <f t="shared" si="8"/>
        <v>0</v>
      </c>
      <c r="O9" s="9">
        <f t="shared" si="9"/>
        <v>950</v>
      </c>
      <c r="P9" s="9">
        <f t="shared" si="10"/>
        <v>0</v>
      </c>
      <c r="Q9" s="9">
        <f t="shared" si="11"/>
        <v>950</v>
      </c>
      <c r="R9" s="9">
        <f t="shared" si="12"/>
        <v>0</v>
      </c>
      <c r="S9" s="35">
        <f t="shared" si="13"/>
        <v>0</v>
      </c>
      <c r="T9" s="35">
        <f t="shared" si="14"/>
        <v>0</v>
      </c>
      <c r="U9" s="9">
        <f t="shared" si="15"/>
        <v>950</v>
      </c>
      <c r="V9" s="33">
        <v>88363222</v>
      </c>
      <c r="W9" s="22">
        <v>0.18</v>
      </c>
      <c r="X9" s="34">
        <f t="shared" si="16"/>
        <v>85.5</v>
      </c>
      <c r="Y9" s="34">
        <f t="shared" si="17"/>
        <v>85.5</v>
      </c>
      <c r="Z9" s="34">
        <f t="shared" si="18"/>
        <v>0</v>
      </c>
      <c r="AA9" s="34">
        <f t="shared" si="19"/>
        <v>171</v>
      </c>
      <c r="AB9" s="34">
        <f t="shared" si="3"/>
        <v>1121</v>
      </c>
      <c r="AC9" s="9">
        <v>120</v>
      </c>
      <c r="AD9" s="9">
        <f t="shared" si="4"/>
        <v>950</v>
      </c>
      <c r="AE9" s="8">
        <v>1</v>
      </c>
      <c r="AF9" s="9">
        <f t="shared" si="5"/>
        <v>19</v>
      </c>
      <c r="AG9" s="36" t="s">
        <v>113</v>
      </c>
      <c r="AH9" s="34">
        <f t="shared" si="20"/>
        <v>99905</v>
      </c>
      <c r="AI9" s="10" t="s">
        <v>171</v>
      </c>
      <c r="AJ9" s="10" t="s">
        <v>172</v>
      </c>
      <c r="AK9" s="34">
        <f t="shared" si="21"/>
        <v>99905</v>
      </c>
      <c r="AL9" s="34">
        <f t="shared" si="22"/>
        <v>99924</v>
      </c>
    </row>
    <row r="10" spans="1:39">
      <c r="A10" s="10">
        <v>6</v>
      </c>
      <c r="B10" s="97" t="s">
        <v>99</v>
      </c>
      <c r="C10" s="10">
        <v>0</v>
      </c>
      <c r="D10" s="97" t="s">
        <v>99</v>
      </c>
      <c r="E10" s="10" t="s">
        <v>32</v>
      </c>
      <c r="F10" s="10" t="s">
        <v>32</v>
      </c>
      <c r="G10" s="33">
        <v>20</v>
      </c>
      <c r="H10" s="10">
        <v>50</v>
      </c>
      <c r="I10" s="34">
        <f t="shared" si="6"/>
        <v>1000</v>
      </c>
      <c r="J10" s="34"/>
      <c r="K10" s="34"/>
      <c r="L10" s="34"/>
      <c r="M10" s="9">
        <f t="shared" si="7"/>
        <v>1000</v>
      </c>
      <c r="N10" s="9">
        <f t="shared" si="8"/>
        <v>0</v>
      </c>
      <c r="O10" s="9">
        <f t="shared" si="9"/>
        <v>1000</v>
      </c>
      <c r="P10" s="9">
        <f t="shared" si="10"/>
        <v>0</v>
      </c>
      <c r="Q10" s="9">
        <f t="shared" si="11"/>
        <v>1000</v>
      </c>
      <c r="R10" s="9">
        <f t="shared" si="12"/>
        <v>0</v>
      </c>
      <c r="S10" s="35">
        <f t="shared" si="13"/>
        <v>0</v>
      </c>
      <c r="T10" s="35">
        <f t="shared" si="14"/>
        <v>0</v>
      </c>
      <c r="U10" s="9">
        <f t="shared" si="15"/>
        <v>1000</v>
      </c>
      <c r="V10" s="33">
        <v>88363222</v>
      </c>
      <c r="W10" s="22">
        <v>0.18</v>
      </c>
      <c r="X10" s="34">
        <f t="shared" si="16"/>
        <v>90</v>
      </c>
      <c r="Y10" s="34">
        <f t="shared" si="17"/>
        <v>90</v>
      </c>
      <c r="Z10" s="34">
        <f t="shared" si="18"/>
        <v>0</v>
      </c>
      <c r="AA10" s="34">
        <f t="shared" si="19"/>
        <v>180</v>
      </c>
      <c r="AB10" s="34">
        <f t="shared" si="3"/>
        <v>1180</v>
      </c>
      <c r="AC10" s="9">
        <v>120</v>
      </c>
      <c r="AD10" s="9">
        <f t="shared" si="4"/>
        <v>1000</v>
      </c>
      <c r="AE10" s="8">
        <v>1</v>
      </c>
      <c r="AF10" s="9">
        <f t="shared" si="5"/>
        <v>20</v>
      </c>
      <c r="AG10" s="36" t="s">
        <v>114</v>
      </c>
      <c r="AH10" s="34">
        <f t="shared" si="20"/>
        <v>99900</v>
      </c>
      <c r="AI10" s="10" t="s">
        <v>171</v>
      </c>
      <c r="AJ10" s="10" t="s">
        <v>172</v>
      </c>
      <c r="AK10" s="34">
        <f t="shared" si="21"/>
        <v>99900</v>
      </c>
      <c r="AL10" s="34">
        <f t="shared" si="22"/>
        <v>99920</v>
      </c>
    </row>
    <row r="11" spans="1:39">
      <c r="A11" s="10">
        <v>7</v>
      </c>
      <c r="B11" s="97" t="s">
        <v>100</v>
      </c>
      <c r="C11" s="10">
        <v>0</v>
      </c>
      <c r="D11" s="97" t="s">
        <v>100</v>
      </c>
      <c r="E11" s="10" t="s">
        <v>32</v>
      </c>
      <c r="F11" s="10" t="s">
        <v>32</v>
      </c>
      <c r="G11" s="33">
        <v>21</v>
      </c>
      <c r="H11" s="10">
        <v>50</v>
      </c>
      <c r="I11" s="34">
        <f t="shared" si="6"/>
        <v>1050</v>
      </c>
      <c r="J11" s="34"/>
      <c r="K11" s="34"/>
      <c r="L11" s="34"/>
      <c r="M11" s="9">
        <f t="shared" si="7"/>
        <v>1050</v>
      </c>
      <c r="N11" s="9">
        <f t="shared" si="8"/>
        <v>0</v>
      </c>
      <c r="O11" s="9">
        <f t="shared" si="9"/>
        <v>1050</v>
      </c>
      <c r="P11" s="9">
        <f t="shared" si="10"/>
        <v>0</v>
      </c>
      <c r="Q11" s="9">
        <f t="shared" si="11"/>
        <v>1050</v>
      </c>
      <c r="R11" s="9">
        <f t="shared" si="12"/>
        <v>0</v>
      </c>
      <c r="S11" s="35">
        <f t="shared" si="13"/>
        <v>0</v>
      </c>
      <c r="T11" s="35">
        <f t="shared" si="14"/>
        <v>0</v>
      </c>
      <c r="U11" s="9">
        <f t="shared" si="15"/>
        <v>1050</v>
      </c>
      <c r="V11" s="33">
        <v>88363222</v>
      </c>
      <c r="W11" s="22">
        <v>0.18</v>
      </c>
      <c r="X11" s="34">
        <f t="shared" si="16"/>
        <v>94.5</v>
      </c>
      <c r="Y11" s="34">
        <f t="shared" si="17"/>
        <v>94.5</v>
      </c>
      <c r="Z11" s="34">
        <f t="shared" si="18"/>
        <v>0</v>
      </c>
      <c r="AA11" s="34">
        <f t="shared" si="19"/>
        <v>189</v>
      </c>
      <c r="AB11" s="34">
        <f t="shared" si="3"/>
        <v>1239</v>
      </c>
      <c r="AC11" s="9">
        <v>120</v>
      </c>
      <c r="AD11" s="9">
        <f t="shared" si="4"/>
        <v>1050</v>
      </c>
      <c r="AE11" s="8">
        <v>1</v>
      </c>
      <c r="AF11" s="9">
        <f t="shared" si="5"/>
        <v>21</v>
      </c>
      <c r="AG11" s="36" t="s">
        <v>115</v>
      </c>
      <c r="AH11" s="34">
        <f t="shared" si="20"/>
        <v>99895</v>
      </c>
      <c r="AI11" s="10" t="s">
        <v>171</v>
      </c>
      <c r="AJ11" s="10" t="s">
        <v>172</v>
      </c>
      <c r="AK11" s="34">
        <f t="shared" si="21"/>
        <v>99895</v>
      </c>
      <c r="AL11" s="34">
        <f t="shared" si="22"/>
        <v>99916</v>
      </c>
    </row>
    <row r="12" spans="1:39">
      <c r="A12" s="99">
        <v>8</v>
      </c>
      <c r="B12" s="100" t="s">
        <v>101</v>
      </c>
      <c r="C12" s="99">
        <v>0</v>
      </c>
      <c r="D12" s="100" t="s">
        <v>101</v>
      </c>
      <c r="E12" s="99" t="s">
        <v>32</v>
      </c>
      <c r="F12" s="99" t="s">
        <v>32</v>
      </c>
      <c r="G12" s="101">
        <v>22</v>
      </c>
      <c r="H12" s="99">
        <v>50</v>
      </c>
      <c r="I12" s="102">
        <f t="shared" si="6"/>
        <v>1100</v>
      </c>
      <c r="J12" s="102"/>
      <c r="K12" s="102"/>
      <c r="L12" s="102"/>
      <c r="M12" s="103">
        <f t="shared" si="7"/>
        <v>1100</v>
      </c>
      <c r="N12" s="103">
        <f t="shared" si="8"/>
        <v>0</v>
      </c>
      <c r="O12" s="103">
        <f t="shared" si="9"/>
        <v>1100</v>
      </c>
      <c r="P12" s="103">
        <f t="shared" si="10"/>
        <v>0</v>
      </c>
      <c r="Q12" s="103">
        <f t="shared" si="11"/>
        <v>1100</v>
      </c>
      <c r="R12" s="103">
        <f t="shared" si="12"/>
        <v>0</v>
      </c>
      <c r="S12" s="104">
        <f t="shared" si="13"/>
        <v>0</v>
      </c>
      <c r="T12" s="104">
        <f t="shared" si="14"/>
        <v>0</v>
      </c>
      <c r="U12" s="103">
        <f t="shared" si="15"/>
        <v>1100</v>
      </c>
      <c r="V12" s="101">
        <v>88363222</v>
      </c>
      <c r="W12" s="105">
        <v>0.18</v>
      </c>
      <c r="X12" s="102">
        <f t="shared" si="16"/>
        <v>99</v>
      </c>
      <c r="Y12" s="102">
        <f t="shared" si="17"/>
        <v>99</v>
      </c>
      <c r="Z12" s="102">
        <f t="shared" si="18"/>
        <v>0</v>
      </c>
      <c r="AA12" s="102">
        <f t="shared" si="19"/>
        <v>198</v>
      </c>
      <c r="AB12" s="102">
        <f t="shared" si="3"/>
        <v>1298</v>
      </c>
      <c r="AC12" s="103">
        <v>120</v>
      </c>
      <c r="AD12" s="103">
        <f t="shared" si="4"/>
        <v>1100</v>
      </c>
      <c r="AE12" s="106">
        <v>1</v>
      </c>
      <c r="AF12" s="103">
        <f t="shared" si="5"/>
        <v>22</v>
      </c>
      <c r="AG12" s="36" t="s">
        <v>116</v>
      </c>
      <c r="AH12" s="102">
        <f t="shared" si="20"/>
        <v>99890</v>
      </c>
      <c r="AI12" s="10" t="s">
        <v>171</v>
      </c>
      <c r="AJ12" s="10" t="s">
        <v>172</v>
      </c>
      <c r="AK12" s="102">
        <f t="shared" si="21"/>
        <v>99890</v>
      </c>
      <c r="AL12" s="102">
        <f t="shared" si="22"/>
        <v>99912</v>
      </c>
    </row>
    <row r="13" spans="1:39">
      <c r="A13" s="10">
        <v>9</v>
      </c>
      <c r="B13" s="97" t="s">
        <v>102</v>
      </c>
      <c r="C13" s="10">
        <v>0</v>
      </c>
      <c r="D13" s="97" t="s">
        <v>102</v>
      </c>
      <c r="E13" s="10" t="s">
        <v>32</v>
      </c>
      <c r="F13" s="10" t="s">
        <v>32</v>
      </c>
      <c r="G13" s="33">
        <v>23</v>
      </c>
      <c r="H13" s="10">
        <v>50</v>
      </c>
      <c r="I13" s="34">
        <f t="shared" si="6"/>
        <v>1150</v>
      </c>
      <c r="J13" s="34"/>
      <c r="K13" s="34"/>
      <c r="L13" s="34"/>
      <c r="M13" s="9">
        <f t="shared" si="7"/>
        <v>1150</v>
      </c>
      <c r="N13" s="9">
        <f t="shared" si="8"/>
        <v>0</v>
      </c>
      <c r="O13" s="9">
        <f t="shared" si="9"/>
        <v>1150</v>
      </c>
      <c r="P13" s="9">
        <f t="shared" si="10"/>
        <v>0</v>
      </c>
      <c r="Q13" s="9">
        <f t="shared" si="11"/>
        <v>1150</v>
      </c>
      <c r="R13" s="9">
        <f t="shared" si="12"/>
        <v>0</v>
      </c>
      <c r="S13" s="35">
        <f t="shared" si="13"/>
        <v>0</v>
      </c>
      <c r="T13" s="35">
        <f t="shared" si="14"/>
        <v>0</v>
      </c>
      <c r="U13" s="9">
        <f t="shared" si="15"/>
        <v>1150</v>
      </c>
      <c r="V13" s="33">
        <v>88363222</v>
      </c>
      <c r="W13" s="22">
        <v>0.18</v>
      </c>
      <c r="X13" s="34">
        <f t="shared" si="16"/>
        <v>103.5</v>
      </c>
      <c r="Y13" s="34">
        <f t="shared" si="17"/>
        <v>103.5</v>
      </c>
      <c r="Z13" s="34">
        <f t="shared" si="18"/>
        <v>0</v>
      </c>
      <c r="AA13" s="34">
        <f t="shared" si="19"/>
        <v>207</v>
      </c>
      <c r="AB13" s="34">
        <f t="shared" si="3"/>
        <v>1357</v>
      </c>
      <c r="AC13" s="9">
        <v>120</v>
      </c>
      <c r="AD13" s="9">
        <f t="shared" si="4"/>
        <v>1150</v>
      </c>
      <c r="AE13" s="8">
        <v>1</v>
      </c>
      <c r="AF13" s="9">
        <f t="shared" si="5"/>
        <v>23</v>
      </c>
      <c r="AG13" s="36" t="s">
        <v>117</v>
      </c>
      <c r="AH13" s="34">
        <f t="shared" si="20"/>
        <v>99885</v>
      </c>
      <c r="AI13" s="10" t="s">
        <v>171</v>
      </c>
      <c r="AJ13" s="10" t="s">
        <v>172</v>
      </c>
      <c r="AK13" s="34">
        <f t="shared" si="21"/>
        <v>99885</v>
      </c>
      <c r="AL13" s="34">
        <f t="shared" si="22"/>
        <v>99908</v>
      </c>
    </row>
    <row r="14" spans="1:39">
      <c r="A14" s="10">
        <v>10</v>
      </c>
      <c r="B14" s="97" t="s">
        <v>103</v>
      </c>
      <c r="C14" s="10">
        <v>0</v>
      </c>
      <c r="D14" s="97" t="s">
        <v>103</v>
      </c>
      <c r="E14" s="10" t="s">
        <v>32</v>
      </c>
      <c r="F14" s="10" t="s">
        <v>32</v>
      </c>
      <c r="G14" s="33">
        <v>24</v>
      </c>
      <c r="H14" s="10">
        <v>50</v>
      </c>
      <c r="I14" s="34">
        <f t="shared" si="6"/>
        <v>1200</v>
      </c>
      <c r="J14" s="34"/>
      <c r="K14" s="34"/>
      <c r="L14" s="34"/>
      <c r="M14" s="9">
        <f t="shared" si="7"/>
        <v>1200</v>
      </c>
      <c r="N14" s="9">
        <f t="shared" si="8"/>
        <v>0</v>
      </c>
      <c r="O14" s="9">
        <f t="shared" si="9"/>
        <v>1200</v>
      </c>
      <c r="P14" s="9">
        <f t="shared" si="10"/>
        <v>0</v>
      </c>
      <c r="Q14" s="9">
        <f t="shared" si="11"/>
        <v>1200</v>
      </c>
      <c r="R14" s="9">
        <f t="shared" si="12"/>
        <v>0</v>
      </c>
      <c r="S14" s="35">
        <f t="shared" si="13"/>
        <v>0</v>
      </c>
      <c r="T14" s="35">
        <f t="shared" si="14"/>
        <v>0</v>
      </c>
      <c r="U14" s="9">
        <f t="shared" si="15"/>
        <v>1200</v>
      </c>
      <c r="V14" s="33">
        <v>88363222</v>
      </c>
      <c r="W14" s="22">
        <v>0.18</v>
      </c>
      <c r="X14" s="34">
        <f t="shared" si="16"/>
        <v>108</v>
      </c>
      <c r="Y14" s="34">
        <f t="shared" si="17"/>
        <v>108</v>
      </c>
      <c r="Z14" s="34">
        <f t="shared" si="18"/>
        <v>0</v>
      </c>
      <c r="AA14" s="34">
        <f t="shared" si="19"/>
        <v>216</v>
      </c>
      <c r="AB14" s="34">
        <f t="shared" si="3"/>
        <v>1416</v>
      </c>
      <c r="AC14" s="9">
        <v>120</v>
      </c>
      <c r="AD14" s="9">
        <f t="shared" si="4"/>
        <v>1200</v>
      </c>
      <c r="AE14" s="8">
        <v>1</v>
      </c>
      <c r="AF14" s="9">
        <f t="shared" si="5"/>
        <v>24</v>
      </c>
      <c r="AG14" s="36" t="s">
        <v>118</v>
      </c>
      <c r="AH14" s="34">
        <f t="shared" si="20"/>
        <v>99880</v>
      </c>
      <c r="AI14" s="10" t="s">
        <v>171</v>
      </c>
      <c r="AJ14" s="10" t="s">
        <v>172</v>
      </c>
      <c r="AK14" s="34">
        <f t="shared" si="21"/>
        <v>99880</v>
      </c>
      <c r="AL14" s="34">
        <f t="shared" si="22"/>
        <v>99904</v>
      </c>
    </row>
    <row r="15" spans="1:39" s="23" customFormat="1">
      <c r="B15" s="107"/>
      <c r="D15" s="107"/>
      <c r="G15" s="94"/>
      <c r="I15" s="95"/>
      <c r="J15" s="95"/>
      <c r="K15" s="95"/>
      <c r="L15" s="95"/>
      <c r="M15" s="25"/>
      <c r="N15" s="25"/>
      <c r="O15" s="25"/>
      <c r="P15" s="25"/>
      <c r="Q15" s="25"/>
      <c r="R15" s="25"/>
      <c r="S15" s="96"/>
      <c r="T15" s="96"/>
      <c r="U15" s="25"/>
      <c r="V15" s="94"/>
      <c r="W15" s="26"/>
      <c r="X15" s="95"/>
      <c r="Y15" s="95"/>
      <c r="Z15" s="95"/>
      <c r="AA15" s="95"/>
      <c r="AB15" s="95"/>
      <c r="AC15" s="25"/>
      <c r="AD15" s="25"/>
      <c r="AE15" s="24"/>
      <c r="AF15" s="25"/>
      <c r="AG15" s="25"/>
      <c r="AH15" s="95"/>
      <c r="AK15" s="95"/>
      <c r="AL15" s="95"/>
    </row>
    <row r="16" spans="1:39" s="23" customFormat="1">
      <c r="B16" s="107"/>
      <c r="D16" s="107"/>
      <c r="G16" s="94"/>
      <c r="I16" s="95"/>
      <c r="J16" s="95"/>
      <c r="K16" s="95"/>
      <c r="L16" s="95"/>
      <c r="M16" s="25"/>
      <c r="N16" s="25"/>
      <c r="O16" s="25"/>
      <c r="P16" s="25"/>
      <c r="Q16" s="25"/>
      <c r="R16" s="25"/>
      <c r="S16" s="96"/>
      <c r="T16" s="96"/>
      <c r="U16" s="25"/>
      <c r="V16" s="94"/>
      <c r="W16" s="26"/>
      <c r="X16" s="95"/>
      <c r="Y16" s="95"/>
      <c r="Z16" s="95"/>
      <c r="AA16" s="95"/>
      <c r="AB16" s="95"/>
      <c r="AC16" s="25"/>
      <c r="AD16" s="25"/>
      <c r="AE16" s="24"/>
      <c r="AF16" s="25"/>
      <c r="AG16" s="25"/>
      <c r="AH16" s="95"/>
      <c r="AK16" s="95"/>
      <c r="AL16" s="95"/>
    </row>
    <row r="17" spans="2:38" s="23" customFormat="1">
      <c r="B17" s="107"/>
      <c r="D17" s="107"/>
      <c r="G17" s="94"/>
      <c r="I17" s="95"/>
      <c r="J17" s="95"/>
      <c r="K17" s="95"/>
      <c r="L17" s="95"/>
      <c r="M17" s="25"/>
      <c r="N17" s="25"/>
      <c r="O17" s="25"/>
      <c r="P17" s="25"/>
      <c r="Q17" s="25"/>
      <c r="R17" s="25"/>
      <c r="S17" s="96"/>
      <c r="T17" s="96"/>
      <c r="U17" s="25"/>
      <c r="V17" s="94"/>
      <c r="W17" s="26"/>
      <c r="X17" s="95"/>
      <c r="Y17" s="95"/>
      <c r="Z17" s="95"/>
      <c r="AA17" s="95"/>
      <c r="AB17" s="95"/>
      <c r="AC17" s="25"/>
      <c r="AD17" s="25"/>
      <c r="AE17" s="24"/>
      <c r="AF17" s="25"/>
      <c r="AG17" s="25"/>
      <c r="AH17" s="95"/>
      <c r="AK17" s="95"/>
      <c r="AL17" s="95"/>
    </row>
    <row r="18" spans="2:38" s="23" customFormat="1">
      <c r="B18" s="107"/>
      <c r="D18" s="107"/>
      <c r="G18" s="94"/>
      <c r="I18" s="95"/>
      <c r="J18" s="95"/>
      <c r="K18" s="95"/>
      <c r="L18" s="95"/>
      <c r="M18" s="25"/>
      <c r="N18" s="25"/>
      <c r="O18" s="25"/>
      <c r="P18" s="25"/>
      <c r="Q18" s="25"/>
      <c r="R18" s="25"/>
      <c r="S18" s="96"/>
      <c r="T18" s="96"/>
      <c r="U18" s="25"/>
      <c r="V18" s="94"/>
      <c r="W18" s="26"/>
      <c r="X18" s="95"/>
      <c r="Y18" s="95"/>
      <c r="Z18" s="95"/>
      <c r="AA18" s="95"/>
      <c r="AB18" s="95"/>
      <c r="AC18" s="25"/>
      <c r="AD18" s="25"/>
      <c r="AE18" s="24"/>
      <c r="AF18" s="25"/>
      <c r="AG18" s="25"/>
      <c r="AH18" s="95"/>
      <c r="AK18" s="95"/>
      <c r="AL18" s="95"/>
    </row>
    <row r="19" spans="2:38" s="23" customFormat="1">
      <c r="B19" s="107"/>
      <c r="D19" s="107"/>
      <c r="G19" s="94"/>
      <c r="I19" s="95"/>
      <c r="J19" s="95"/>
      <c r="K19" s="95"/>
      <c r="L19" s="95"/>
      <c r="M19" s="25"/>
      <c r="N19" s="25"/>
      <c r="O19" s="25"/>
      <c r="P19" s="25"/>
      <c r="Q19" s="25"/>
      <c r="R19" s="25"/>
      <c r="S19" s="96"/>
      <c r="T19" s="96"/>
      <c r="U19" s="25"/>
      <c r="V19" s="94"/>
      <c r="W19" s="26"/>
      <c r="X19" s="95"/>
      <c r="Y19" s="95"/>
      <c r="Z19" s="95"/>
      <c r="AA19" s="95"/>
      <c r="AB19" s="95"/>
      <c r="AC19" s="25"/>
      <c r="AD19" s="25"/>
      <c r="AE19" s="24"/>
      <c r="AF19" s="25"/>
      <c r="AG19" s="25"/>
      <c r="AH19" s="95"/>
      <c r="AK19" s="95"/>
      <c r="AL19" s="95"/>
    </row>
    <row r="20" spans="2:38" s="23" customFormat="1">
      <c r="B20" s="107"/>
      <c r="D20" s="107"/>
      <c r="G20" s="94"/>
      <c r="I20" s="95"/>
      <c r="J20" s="95"/>
      <c r="K20" s="95"/>
      <c r="L20" s="95"/>
      <c r="M20" s="25"/>
      <c r="N20" s="25"/>
      <c r="O20" s="25"/>
      <c r="P20" s="25"/>
      <c r="Q20" s="25"/>
      <c r="R20" s="25"/>
      <c r="S20" s="96"/>
      <c r="T20" s="96"/>
      <c r="U20" s="25"/>
      <c r="V20" s="94"/>
      <c r="W20" s="26"/>
      <c r="X20" s="95"/>
      <c r="Y20" s="95"/>
      <c r="Z20" s="95"/>
      <c r="AA20" s="95"/>
      <c r="AB20" s="95"/>
      <c r="AC20" s="25"/>
      <c r="AD20" s="25"/>
      <c r="AE20" s="24"/>
      <c r="AF20" s="25"/>
      <c r="AG20" s="25"/>
      <c r="AH20" s="95"/>
      <c r="AK20" s="95"/>
      <c r="AL20" s="95"/>
    </row>
    <row r="21" spans="2:38" s="23" customFormat="1">
      <c r="B21" s="107"/>
      <c r="D21" s="107"/>
      <c r="G21" s="94"/>
      <c r="I21" s="95"/>
      <c r="J21" s="95"/>
      <c r="K21" s="95"/>
      <c r="L21" s="95"/>
      <c r="M21" s="25"/>
      <c r="N21" s="25"/>
      <c r="O21" s="25"/>
      <c r="P21" s="25"/>
      <c r="Q21" s="25"/>
      <c r="R21" s="25"/>
      <c r="S21" s="96"/>
      <c r="T21" s="96"/>
      <c r="U21" s="25"/>
      <c r="V21" s="94"/>
      <c r="W21" s="26"/>
      <c r="X21" s="95"/>
      <c r="Y21" s="95"/>
      <c r="Z21" s="95"/>
      <c r="AA21" s="95"/>
      <c r="AB21" s="95"/>
      <c r="AC21" s="25"/>
      <c r="AD21" s="25"/>
      <c r="AE21" s="24"/>
      <c r="AF21" s="25"/>
      <c r="AG21" s="25"/>
      <c r="AH21" s="95"/>
      <c r="AK21" s="95"/>
      <c r="AL21" s="95"/>
    </row>
    <row r="22" spans="2:38" s="23" customFormat="1">
      <c r="B22" s="107"/>
      <c r="D22" s="107"/>
      <c r="G22" s="94"/>
      <c r="I22" s="95"/>
      <c r="J22" s="95"/>
      <c r="K22" s="95"/>
      <c r="L22" s="95"/>
      <c r="M22" s="25"/>
      <c r="N22" s="25"/>
      <c r="O22" s="25"/>
      <c r="P22" s="25"/>
      <c r="Q22" s="25"/>
      <c r="R22" s="25"/>
      <c r="S22" s="96"/>
      <c r="T22" s="96"/>
      <c r="U22" s="25"/>
      <c r="V22" s="94"/>
      <c r="W22" s="26"/>
      <c r="X22" s="95"/>
      <c r="Y22" s="95"/>
      <c r="Z22" s="95"/>
      <c r="AA22" s="95"/>
      <c r="AB22" s="95"/>
      <c r="AC22" s="25"/>
      <c r="AD22" s="25"/>
      <c r="AE22" s="24"/>
      <c r="AF22" s="25"/>
      <c r="AG22" s="25"/>
      <c r="AH22" s="95"/>
      <c r="AK22" s="95"/>
      <c r="AL22" s="95"/>
    </row>
    <row r="23" spans="2:38" s="23" customFormat="1">
      <c r="B23" s="107"/>
      <c r="D23" s="107"/>
      <c r="G23" s="94"/>
      <c r="I23" s="95"/>
      <c r="J23" s="95"/>
      <c r="K23" s="95"/>
      <c r="L23" s="95"/>
      <c r="M23" s="25"/>
      <c r="N23" s="25"/>
      <c r="O23" s="25"/>
      <c r="P23" s="25"/>
      <c r="Q23" s="25"/>
      <c r="R23" s="25"/>
      <c r="S23" s="96"/>
      <c r="T23" s="96"/>
      <c r="U23" s="25"/>
      <c r="V23" s="94"/>
      <c r="W23" s="26"/>
      <c r="X23" s="95"/>
      <c r="Y23" s="95"/>
      <c r="Z23" s="95"/>
      <c r="AA23" s="95"/>
      <c r="AB23" s="95"/>
      <c r="AC23" s="25"/>
      <c r="AD23" s="25"/>
      <c r="AE23" s="24"/>
      <c r="AF23" s="25"/>
      <c r="AG23" s="25"/>
      <c r="AH23" s="95"/>
      <c r="AK23" s="95"/>
      <c r="AL23" s="95"/>
    </row>
    <row r="24" spans="2:38" s="23" customFormat="1">
      <c r="B24" s="107"/>
      <c r="D24" s="107"/>
      <c r="G24" s="94"/>
      <c r="I24" s="95"/>
      <c r="J24" s="95"/>
      <c r="K24" s="95"/>
      <c r="L24" s="95"/>
      <c r="M24" s="25"/>
      <c r="N24" s="25"/>
      <c r="O24" s="25"/>
      <c r="P24" s="25"/>
      <c r="Q24" s="25"/>
      <c r="R24" s="25"/>
      <c r="S24" s="96"/>
      <c r="T24" s="96"/>
      <c r="U24" s="25"/>
      <c r="V24" s="94"/>
      <c r="W24" s="26"/>
      <c r="X24" s="95"/>
      <c r="Y24" s="95"/>
      <c r="Z24" s="95"/>
      <c r="AA24" s="95"/>
      <c r="AB24" s="95"/>
      <c r="AC24" s="25"/>
      <c r="AD24" s="25"/>
      <c r="AE24" s="24"/>
      <c r="AF24" s="25"/>
      <c r="AG24" s="25"/>
      <c r="AH24" s="95"/>
      <c r="AK24" s="95"/>
      <c r="AL24" s="95"/>
    </row>
    <row r="25" spans="2:38" s="23" customFormat="1">
      <c r="B25" s="107"/>
      <c r="D25" s="107"/>
      <c r="G25" s="94"/>
      <c r="I25" s="95"/>
      <c r="J25" s="95"/>
      <c r="K25" s="95"/>
      <c r="L25" s="95"/>
      <c r="M25" s="25"/>
      <c r="N25" s="25"/>
      <c r="O25" s="25"/>
      <c r="P25" s="25"/>
      <c r="Q25" s="25"/>
      <c r="R25" s="25"/>
      <c r="S25" s="96"/>
      <c r="T25" s="96"/>
      <c r="U25" s="25"/>
      <c r="V25" s="94"/>
      <c r="W25" s="26"/>
      <c r="X25" s="95"/>
      <c r="Y25" s="95"/>
      <c r="Z25" s="95"/>
      <c r="AA25" s="95"/>
      <c r="AB25" s="95"/>
      <c r="AC25" s="25"/>
      <c r="AD25" s="25"/>
      <c r="AE25" s="24"/>
      <c r="AF25" s="25"/>
      <c r="AG25" s="25"/>
      <c r="AH25" s="95"/>
      <c r="AK25" s="95"/>
      <c r="AL25" s="95"/>
    </row>
    <row r="26" spans="2:38" s="23" customFormat="1">
      <c r="B26" s="107"/>
      <c r="D26" s="107"/>
      <c r="G26" s="94"/>
      <c r="I26" s="95"/>
      <c r="J26" s="95"/>
      <c r="K26" s="95"/>
      <c r="L26" s="95"/>
      <c r="M26" s="25"/>
      <c r="N26" s="25"/>
      <c r="O26" s="25"/>
      <c r="P26" s="25"/>
      <c r="Q26" s="25"/>
      <c r="R26" s="25"/>
      <c r="S26" s="96"/>
      <c r="T26" s="96"/>
      <c r="U26" s="25"/>
      <c r="V26" s="94"/>
      <c r="W26" s="26"/>
      <c r="X26" s="95"/>
      <c r="Y26" s="95"/>
      <c r="Z26" s="95"/>
      <c r="AA26" s="95"/>
      <c r="AB26" s="95"/>
      <c r="AC26" s="25"/>
      <c r="AD26" s="25"/>
      <c r="AE26" s="24"/>
      <c r="AF26" s="25"/>
      <c r="AG26" s="25"/>
      <c r="AH26" s="95"/>
      <c r="AK26" s="95"/>
      <c r="AL26" s="95"/>
    </row>
    <row r="27" spans="2:38" s="23" customFormat="1">
      <c r="B27" s="107"/>
      <c r="D27" s="107"/>
      <c r="G27" s="94"/>
      <c r="I27" s="95"/>
      <c r="J27" s="95"/>
      <c r="K27" s="95"/>
      <c r="L27" s="95"/>
      <c r="M27" s="25"/>
      <c r="N27" s="25"/>
      <c r="O27" s="25"/>
      <c r="P27" s="25"/>
      <c r="Q27" s="25"/>
      <c r="R27" s="25"/>
      <c r="S27" s="96"/>
      <c r="T27" s="96"/>
      <c r="U27" s="25"/>
      <c r="V27" s="94"/>
      <c r="W27" s="26"/>
      <c r="X27" s="95"/>
      <c r="Y27" s="95"/>
      <c r="Z27" s="95"/>
      <c r="AA27" s="95"/>
      <c r="AB27" s="95"/>
      <c r="AC27" s="25"/>
      <c r="AD27" s="25"/>
      <c r="AE27" s="24"/>
      <c r="AF27" s="25"/>
      <c r="AG27" s="25"/>
      <c r="AH27" s="95"/>
      <c r="AK27" s="95"/>
      <c r="AL27" s="95"/>
    </row>
    <row r="28" spans="2:38" s="23" customFormat="1">
      <c r="B28" s="107"/>
      <c r="D28" s="107"/>
      <c r="G28" s="94"/>
      <c r="I28" s="95"/>
      <c r="J28" s="95"/>
      <c r="K28" s="95"/>
      <c r="L28" s="95"/>
      <c r="M28" s="25"/>
      <c r="N28" s="25"/>
      <c r="O28" s="25"/>
      <c r="P28" s="25"/>
      <c r="Q28" s="25"/>
      <c r="R28" s="25"/>
      <c r="S28" s="96"/>
      <c r="T28" s="96"/>
      <c r="U28" s="25"/>
      <c r="V28" s="94"/>
      <c r="W28" s="26"/>
      <c r="X28" s="95"/>
      <c r="Y28" s="95"/>
      <c r="Z28" s="95"/>
      <c r="AA28" s="95"/>
      <c r="AB28" s="95"/>
      <c r="AC28" s="25"/>
      <c r="AD28" s="25"/>
      <c r="AE28" s="24"/>
      <c r="AF28" s="25"/>
      <c r="AG28" s="25"/>
      <c r="AH28" s="95"/>
      <c r="AK28" s="95"/>
      <c r="AL28" s="95"/>
    </row>
    <row r="29" spans="2:38" s="23" customFormat="1">
      <c r="B29" s="107"/>
      <c r="D29" s="107"/>
      <c r="G29" s="94"/>
      <c r="I29" s="95"/>
      <c r="J29" s="95"/>
      <c r="K29" s="95"/>
      <c r="L29" s="95"/>
      <c r="M29" s="25"/>
      <c r="N29" s="25"/>
      <c r="O29" s="25"/>
      <c r="P29" s="25"/>
      <c r="Q29" s="25"/>
      <c r="R29" s="25"/>
      <c r="S29" s="96"/>
      <c r="T29" s="96"/>
      <c r="U29" s="25"/>
      <c r="V29" s="94"/>
      <c r="W29" s="26"/>
      <c r="X29" s="95"/>
      <c r="Y29" s="95"/>
      <c r="Z29" s="95"/>
      <c r="AA29" s="95"/>
      <c r="AB29" s="95"/>
      <c r="AC29" s="25"/>
      <c r="AD29" s="25"/>
      <c r="AE29" s="24"/>
      <c r="AF29" s="25"/>
      <c r="AG29" s="25"/>
      <c r="AH29" s="95"/>
      <c r="AK29" s="95"/>
      <c r="AL29" s="95"/>
    </row>
    <row r="30" spans="2:38" s="23" customFormat="1">
      <c r="B30" s="107"/>
      <c r="D30" s="107"/>
      <c r="G30" s="94"/>
      <c r="I30" s="95"/>
      <c r="J30" s="95"/>
      <c r="K30" s="95"/>
      <c r="L30" s="95"/>
      <c r="M30" s="25"/>
      <c r="N30" s="25"/>
      <c r="O30" s="25"/>
      <c r="P30" s="25"/>
      <c r="Q30" s="25"/>
      <c r="R30" s="25"/>
      <c r="S30" s="96"/>
      <c r="T30" s="96"/>
      <c r="U30" s="25"/>
      <c r="V30" s="94"/>
      <c r="W30" s="26"/>
      <c r="X30" s="95"/>
      <c r="Y30" s="95"/>
      <c r="Z30" s="95"/>
      <c r="AA30" s="95"/>
      <c r="AB30" s="95"/>
      <c r="AC30" s="25"/>
      <c r="AD30" s="25"/>
      <c r="AE30" s="24"/>
      <c r="AF30" s="25"/>
      <c r="AG30" s="25"/>
      <c r="AH30" s="95"/>
      <c r="AK30" s="95"/>
      <c r="AL30" s="95"/>
    </row>
    <row r="31" spans="2:38" s="23" customFormat="1">
      <c r="B31" s="107"/>
      <c r="D31" s="107"/>
      <c r="G31" s="94"/>
      <c r="I31" s="95"/>
      <c r="J31" s="95"/>
      <c r="K31" s="95"/>
      <c r="L31" s="95"/>
      <c r="M31" s="25"/>
      <c r="N31" s="25"/>
      <c r="O31" s="25"/>
      <c r="P31" s="25"/>
      <c r="Q31" s="25"/>
      <c r="R31" s="25"/>
      <c r="S31" s="96"/>
      <c r="T31" s="96"/>
      <c r="U31" s="25"/>
      <c r="V31" s="94"/>
      <c r="W31" s="26"/>
      <c r="X31" s="95"/>
      <c r="Y31" s="95"/>
      <c r="Z31" s="95"/>
      <c r="AA31" s="95"/>
      <c r="AB31" s="95"/>
      <c r="AC31" s="25"/>
      <c r="AD31" s="25"/>
      <c r="AE31" s="24"/>
      <c r="AF31" s="25"/>
      <c r="AG31" s="25"/>
      <c r="AH31" s="95"/>
      <c r="AK31" s="95"/>
      <c r="AL31" s="95"/>
    </row>
    <row r="32" spans="2:38" s="23" customFormat="1">
      <c r="B32" s="107"/>
      <c r="D32" s="107"/>
      <c r="G32" s="94"/>
      <c r="I32" s="95"/>
      <c r="J32" s="95"/>
      <c r="K32" s="95"/>
      <c r="L32" s="95"/>
      <c r="M32" s="25"/>
      <c r="N32" s="25"/>
      <c r="O32" s="25"/>
      <c r="P32" s="25"/>
      <c r="Q32" s="25"/>
      <c r="R32" s="25"/>
      <c r="S32" s="96"/>
      <c r="T32" s="96"/>
      <c r="U32" s="25"/>
      <c r="V32" s="94"/>
      <c r="W32" s="26"/>
      <c r="X32" s="95"/>
      <c r="Y32" s="95"/>
      <c r="Z32" s="95"/>
      <c r="AA32" s="95"/>
      <c r="AB32" s="95"/>
      <c r="AC32" s="25"/>
      <c r="AD32" s="25"/>
      <c r="AE32" s="24"/>
      <c r="AF32" s="25"/>
      <c r="AG32" s="25"/>
      <c r="AH32" s="95"/>
      <c r="AK32" s="95"/>
      <c r="AL32" s="95"/>
    </row>
    <row r="33" spans="2:38" s="23" customFormat="1">
      <c r="B33" s="107"/>
      <c r="D33" s="107"/>
      <c r="G33" s="94"/>
      <c r="I33" s="95"/>
      <c r="J33" s="95"/>
      <c r="K33" s="95"/>
      <c r="L33" s="95"/>
      <c r="M33" s="25"/>
      <c r="N33" s="25"/>
      <c r="O33" s="25"/>
      <c r="P33" s="25"/>
      <c r="Q33" s="25"/>
      <c r="R33" s="25"/>
      <c r="S33" s="96"/>
      <c r="T33" s="96"/>
      <c r="U33" s="25"/>
      <c r="V33" s="94"/>
      <c r="W33" s="26"/>
      <c r="X33" s="95"/>
      <c r="Y33" s="95"/>
      <c r="Z33" s="95"/>
      <c r="AA33" s="95"/>
      <c r="AB33" s="95"/>
      <c r="AC33" s="25"/>
      <c r="AD33" s="25"/>
      <c r="AE33" s="24"/>
      <c r="AF33" s="25"/>
      <c r="AG33" s="25"/>
      <c r="AH33" s="95"/>
      <c r="AK33" s="95"/>
      <c r="AL33" s="95"/>
    </row>
    <row r="34" spans="2:38" s="23" customFormat="1">
      <c r="B34" s="107"/>
      <c r="D34" s="107"/>
      <c r="G34" s="94"/>
      <c r="I34" s="95"/>
      <c r="J34" s="95"/>
      <c r="K34" s="95"/>
      <c r="L34" s="95"/>
      <c r="M34" s="25"/>
      <c r="N34" s="25"/>
      <c r="O34" s="25"/>
      <c r="P34" s="25"/>
      <c r="Q34" s="25"/>
      <c r="R34" s="25"/>
      <c r="S34" s="96"/>
      <c r="T34" s="96"/>
      <c r="U34" s="25"/>
      <c r="V34" s="94"/>
      <c r="W34" s="26"/>
      <c r="X34" s="95"/>
      <c r="Y34" s="95"/>
      <c r="Z34" s="95"/>
      <c r="AA34" s="95"/>
      <c r="AB34" s="95"/>
      <c r="AC34" s="25"/>
      <c r="AD34" s="25"/>
      <c r="AE34" s="24"/>
      <c r="AF34" s="25"/>
      <c r="AG34" s="25"/>
      <c r="AH34" s="95"/>
      <c r="AK34" s="95"/>
      <c r="AL34" s="95"/>
    </row>
    <row r="35" spans="2:38">
      <c r="E35" s="23"/>
      <c r="F35" s="23"/>
      <c r="G35" s="94"/>
      <c r="H35" s="23"/>
      <c r="I35" s="25"/>
      <c r="J35" s="95"/>
      <c r="K35" s="95"/>
      <c r="L35" s="95"/>
      <c r="M35" s="25"/>
      <c r="N35" s="25"/>
      <c r="O35" s="25"/>
      <c r="P35" s="25"/>
      <c r="Q35" s="25"/>
      <c r="R35" s="25"/>
      <c r="S35" s="96"/>
      <c r="T35" s="96"/>
      <c r="U35" s="25"/>
      <c r="V35" s="94"/>
      <c r="W35" s="26"/>
      <c r="X35" s="25"/>
      <c r="Y35" s="25"/>
      <c r="Z35" s="25"/>
      <c r="AA35" s="25"/>
      <c r="AB35" s="25"/>
      <c r="AC35" s="25"/>
      <c r="AD35" s="25"/>
      <c r="AE35" s="24"/>
      <c r="AF35" s="25"/>
      <c r="AG35" s="25"/>
      <c r="AH35" s="95"/>
      <c r="AI35" s="23"/>
      <c r="AJ35" s="23"/>
      <c r="AK35" s="95"/>
      <c r="AL35" s="95"/>
    </row>
    <row r="36" spans="2:38">
      <c r="E36" s="23"/>
      <c r="F36" s="23"/>
      <c r="G36" s="94"/>
      <c r="H36" s="23"/>
      <c r="I36" s="25"/>
      <c r="J36" s="95"/>
      <c r="K36" s="95"/>
      <c r="L36" s="95"/>
      <c r="M36" s="25"/>
      <c r="N36" s="25"/>
      <c r="O36" s="25"/>
      <c r="P36" s="25"/>
      <c r="Q36" s="25"/>
      <c r="R36" s="25"/>
      <c r="S36" s="96"/>
      <c r="T36" s="96"/>
      <c r="U36" s="25"/>
      <c r="V36" s="94"/>
      <c r="W36" s="26"/>
      <c r="X36" s="25"/>
      <c r="Y36" s="25"/>
      <c r="Z36" s="25"/>
      <c r="AA36" s="25"/>
      <c r="AB36" s="25"/>
      <c r="AC36" s="25"/>
      <c r="AD36" s="25"/>
      <c r="AE36" s="24"/>
      <c r="AF36" s="25"/>
      <c r="AG36" s="25"/>
      <c r="AH36" s="95"/>
      <c r="AI36" s="23"/>
      <c r="AJ36" s="23"/>
      <c r="AK36" s="95"/>
      <c r="AL36" s="9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6"/>
  <sheetViews>
    <sheetView topLeftCell="AF1" workbookViewId="0">
      <selection activeCell="AL5" sqref="AL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8" width="36.0"/>
    <col min="40" max="40" customWidth="true" style="29" width="15.42578125"/>
    <col min="41" max="41" customWidth="true" style="29" width="14.140625"/>
    <col min="42" max="42" customWidth="true" style="29" width="15.0"/>
    <col min="43" max="43" customWidth="true" style="29" width="16.5703125"/>
    <col min="44" max="16384" style="29" width="9.140625"/>
  </cols>
  <sheetData>
    <row r="1" spans="1:43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4"/>
      <c r="AD1" s="54"/>
      <c r="AE1" s="54"/>
      <c r="AF1" s="54"/>
      <c r="AG1" s="27"/>
    </row>
    <row r="2" spans="1:43" ht="18">
      <c r="A2" s="29" t="s">
        <v>45</v>
      </c>
      <c r="B2" s="29" t="s">
        <v>44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27"/>
    </row>
    <row r="3" spans="1:43" ht="19.899999999999999" customHeight="1">
      <c r="A3" s="196" t="s">
        <v>0</v>
      </c>
      <c r="B3" s="196"/>
      <c r="C3" s="53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43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20" t="s">
        <v>105</v>
      </c>
      <c r="AN4" s="20" t="s">
        <v>104</v>
      </c>
      <c r="AO4" s="98" t="s">
        <v>106</v>
      </c>
      <c r="AP4" s="98" t="s">
        <v>107</v>
      </c>
      <c r="AQ4" s="98" t="s">
        <v>108</v>
      </c>
    </row>
    <row r="5" spans="1:43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45</v>
      </c>
      <c r="Y5" s="9">
        <f>IF($D$3=1,ROUND(((U5*W5)/2),2),0)</f>
        <v>45</v>
      </c>
      <c r="Z5" s="9">
        <f>IF($D$3=2,ROUND(((U5*W5)),2),0)</f>
        <v>0</v>
      </c>
      <c r="AA5" s="9">
        <f>X5+Y5+Z5</f>
        <v>90</v>
      </c>
      <c r="AB5" s="9">
        <f t="shared" ref="AB5" si="0">U5+AA5</f>
        <v>840</v>
      </c>
      <c r="AC5" s="9">
        <v>120</v>
      </c>
      <c r="AD5" s="9">
        <f t="shared" ref="AD5" si="1">U5*$N$3</f>
        <v>750</v>
      </c>
      <c r="AE5" s="8">
        <v>1</v>
      </c>
      <c r="AF5" s="9">
        <f>G5/AE5</f>
        <v>15</v>
      </c>
      <c r="AG5" s="36" t="s">
        <v>241</v>
      </c>
      <c r="AH5" s="33">
        <f>AG5-AF5</f>
        <v>56056</v>
      </c>
      <c r="AI5" s="10" t="s">
        <v>171</v>
      </c>
      <c r="AJ5" s="10" t="s">
        <v>172</v>
      </c>
      <c r="AK5" s="33">
        <f>AH5</f>
        <v>56056</v>
      </c>
      <c r="AL5" s="33">
        <f>AK5+G5</f>
        <v>56071</v>
      </c>
      <c r="AM5" s="28" t="s">
        <v>66</v>
      </c>
      <c r="AN5" s="67" t="s">
        <v>174</v>
      </c>
      <c r="AO5" s="29" t="s">
        <v>234</v>
      </c>
      <c r="AP5" s="34">
        <f>AO5+AF5</f>
        <v>99845</v>
      </c>
      <c r="AQ5" s="28">
        <f>AO5+AF5</f>
        <v>99845</v>
      </c>
    </row>
    <row r="6" spans="1:43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L6"/>
  <sheetViews>
    <sheetView topLeftCell="U1" workbookViewId="0">
      <selection activeCell="AD9" sqref="AD9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customWidth="true" style="29" width="34.5703125"/>
    <col min="8" max="8" customWidth="true" style="29" width="21.28515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33"/>
      <c r="AD1" s="133"/>
      <c r="AE1" s="133"/>
      <c r="AF1" s="133"/>
      <c r="AG1" s="27"/>
    </row>
    <row r="2" spans="1:38" ht="18">
      <c r="A2" s="29" t="s">
        <v>45</v>
      </c>
      <c r="B2" s="29" t="s">
        <v>44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27"/>
    </row>
    <row r="3" spans="1:38" ht="19.899999999999999" customHeight="1">
      <c r="A3" s="196" t="s">
        <v>0</v>
      </c>
      <c r="B3" s="196"/>
      <c r="C3" s="132"/>
      <c r="D3" s="3">
        <v>4</v>
      </c>
      <c r="E3" s="4" t="s">
        <v>167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7" t="s">
        <v>168</v>
      </c>
      <c r="AL4" s="58"/>
    </row>
    <row r="5" spans="1:38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IF(OR($D$3=1,$D$3=4),ROUND(((U5*W5)/2),2),0)</f>
        <v>45</v>
      </c>
      <c r="Y5" s="9">
        <f>IF($D$3=1,ROUND(((U5*W5)/2),2),0)</f>
        <v>0</v>
      </c>
      <c r="Z5" s="9">
        <f>IF($D$3=2,ROUND(((U5*W5)),2),0)</f>
        <v>0</v>
      </c>
      <c r="AA5" s="9">
        <f>X5+Y5+Z5+AK5</f>
        <v>90</v>
      </c>
      <c r="AB5" s="9">
        <f t="shared" ref="AB5" si="0">U5+AA5</f>
        <v>840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188</v>
      </c>
      <c r="AH5" s="9">
        <f>AG5-AF5</f>
        <v>99861</v>
      </c>
      <c r="AI5" s="10" t="s">
        <v>171</v>
      </c>
      <c r="AJ5" s="10" t="s">
        <v>172</v>
      </c>
      <c r="AK5" s="7">
        <f>IF($D$3=4,ROUND(((U5*W5)/2),2),0)</f>
        <v>45</v>
      </c>
      <c r="AL5" s="59"/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L6"/>
  <sheetViews>
    <sheetView topLeftCell="X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4"/>
      <c r="AD1" s="54"/>
      <c r="AE1" s="54"/>
      <c r="AF1" s="54"/>
      <c r="AG1" s="27"/>
    </row>
    <row r="2" spans="1:38" ht="18">
      <c r="A2" s="29" t="s">
        <v>45</v>
      </c>
      <c r="B2" s="29" t="s">
        <v>44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27"/>
    </row>
    <row r="3" spans="1:38" ht="19.899999999999999" customHeight="1">
      <c r="A3" s="196" t="s">
        <v>0</v>
      </c>
      <c r="B3" s="196"/>
      <c r="C3" s="53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7"/>
      <c r="AL4" s="58"/>
    </row>
    <row r="5" spans="1:38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90</v>
      </c>
      <c r="AA5" s="9">
        <f>X5+Y5+Z5</f>
        <v>90</v>
      </c>
      <c r="AB5" s="9">
        <f t="shared" ref="AB5" si="0">U5+AA5</f>
        <v>840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188</v>
      </c>
      <c r="AH5" s="9">
        <f>AG5-AF5</f>
        <v>99861</v>
      </c>
      <c r="AI5" s="10" t="s">
        <v>171</v>
      </c>
      <c r="AJ5" s="10" t="s">
        <v>172</v>
      </c>
      <c r="AK5" s="7"/>
      <c r="AL5" s="59"/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L6"/>
  <sheetViews>
    <sheetView topLeftCell="W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6"/>
      <c r="AD1" s="56"/>
      <c r="AE1" s="56"/>
      <c r="AF1" s="56"/>
      <c r="AG1" s="27"/>
    </row>
    <row r="2" spans="1:38" ht="18">
      <c r="A2" s="29" t="s">
        <v>45</v>
      </c>
      <c r="B2" s="29" t="s">
        <v>44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27"/>
    </row>
    <row r="3" spans="1:38" ht="19.899999999999999" customHeight="1">
      <c r="A3" s="196" t="s">
        <v>0</v>
      </c>
      <c r="B3" s="196"/>
      <c r="C3" s="55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7"/>
      <c r="AL4" s="58"/>
    </row>
    <row r="5" spans="1:38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30</v>
      </c>
      <c r="I5" s="9">
        <f>G5*H5</f>
        <v>450</v>
      </c>
      <c r="J5" s="34"/>
      <c r="K5" s="34"/>
      <c r="L5" s="34"/>
      <c r="M5" s="9">
        <f>I5</f>
        <v>450</v>
      </c>
      <c r="N5" s="9">
        <f>ROUND((M5*J5)/100,2)</f>
        <v>0</v>
      </c>
      <c r="O5" s="9">
        <f>I5-N5</f>
        <v>450</v>
      </c>
      <c r="P5" s="9">
        <f>ROUND((O5*K5)/100,2)</f>
        <v>0</v>
      </c>
      <c r="Q5" s="9">
        <f>ROUND(O5-P5,2)</f>
        <v>450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450</v>
      </c>
      <c r="V5" s="33">
        <v>88363222</v>
      </c>
      <c r="W5" s="22">
        <v>0.12</v>
      </c>
      <c r="X5" s="9">
        <f>IF($D$3=1,ROUND(((U5*W5)/2),2),0)</f>
        <v>27</v>
      </c>
      <c r="Y5" s="9">
        <f>IF($D$3=1,ROUND(((U5*W5)/2),2),0)</f>
        <v>27</v>
      </c>
      <c r="Z5" s="9">
        <f>IF($D$3=2,ROUND(((U5*W5)),2),0)</f>
        <v>0</v>
      </c>
      <c r="AA5" s="9">
        <f>X5+Y5+Z5</f>
        <v>54</v>
      </c>
      <c r="AB5" s="9">
        <f t="shared" ref="AB5" si="0">U5+AA5</f>
        <v>504</v>
      </c>
      <c r="AC5" s="9">
        <v>120</v>
      </c>
      <c r="AD5" s="9">
        <f t="shared" ref="AD5" si="1">U5*$N$3</f>
        <v>450</v>
      </c>
      <c r="AE5" s="8">
        <v>1</v>
      </c>
      <c r="AF5" s="9">
        <f t="shared" ref="AF5" si="2">G5/AE5</f>
        <v>15</v>
      </c>
      <c r="AG5" s="36" t="s">
        <v>189</v>
      </c>
      <c r="AH5" s="9">
        <f>AG5-AF5</f>
        <v>99816</v>
      </c>
      <c r="AI5" s="10" t="s">
        <v>171</v>
      </c>
      <c r="AJ5" s="10" t="s">
        <v>172</v>
      </c>
      <c r="AK5" s="7"/>
      <c r="AL5" s="59"/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L6"/>
  <sheetViews>
    <sheetView topLeftCell="W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6"/>
      <c r="AD1" s="56"/>
      <c r="AE1" s="56"/>
      <c r="AF1" s="56"/>
      <c r="AG1" s="27"/>
    </row>
    <row r="2" spans="1:38" ht="18">
      <c r="A2" s="29" t="s">
        <v>45</v>
      </c>
      <c r="B2" s="29" t="s">
        <v>44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27"/>
    </row>
    <row r="3" spans="1:38" ht="19.899999999999999" customHeight="1">
      <c r="A3" s="196" t="s">
        <v>0</v>
      </c>
      <c r="B3" s="196"/>
      <c r="C3" s="55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7"/>
      <c r="AL4" s="58"/>
    </row>
    <row r="5" spans="1:38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10</v>
      </c>
      <c r="H5" s="10">
        <v>40</v>
      </c>
      <c r="I5" s="9">
        <f>G5*H5</f>
        <v>400</v>
      </c>
      <c r="J5" s="34"/>
      <c r="K5" s="34"/>
      <c r="L5" s="34"/>
      <c r="M5" s="9">
        <f>I5</f>
        <v>400</v>
      </c>
      <c r="N5" s="9">
        <f>ROUND((M5*J5)/100,2)</f>
        <v>0</v>
      </c>
      <c r="O5" s="9">
        <f>I5-N5</f>
        <v>400</v>
      </c>
      <c r="P5" s="9">
        <f>ROUND((O5*K5)/100,2)</f>
        <v>0</v>
      </c>
      <c r="Q5" s="9">
        <f>ROUND(O5-P5,2)</f>
        <v>400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400</v>
      </c>
      <c r="V5" s="33">
        <v>88363222</v>
      </c>
      <c r="W5" s="22">
        <v>0.12</v>
      </c>
      <c r="X5" s="9">
        <f>IF($D$3=1,ROUND(((U5*W5)/2),2),0)</f>
        <v>24</v>
      </c>
      <c r="Y5" s="9">
        <f>IF($D$3=1,ROUND(((U5*W5)/2),2),0)</f>
        <v>24</v>
      </c>
      <c r="Z5" s="9">
        <f>IF($D$3=2,ROUND(((U5*W5)),2),0)</f>
        <v>0</v>
      </c>
      <c r="AA5" s="9">
        <f>X5+Y5+Z5</f>
        <v>48</v>
      </c>
      <c r="AB5" s="9">
        <f t="shared" ref="AB5" si="0">U5+AA5</f>
        <v>448</v>
      </c>
      <c r="AC5" s="9">
        <v>120</v>
      </c>
      <c r="AD5" s="9">
        <f t="shared" ref="AD5" si="1">U5*$N$3</f>
        <v>400</v>
      </c>
      <c r="AE5" s="8">
        <v>1</v>
      </c>
      <c r="AF5" s="9">
        <f t="shared" ref="AF5" si="2">G5/AE5</f>
        <v>10</v>
      </c>
      <c r="AG5" s="36" t="s">
        <v>190</v>
      </c>
      <c r="AH5" s="9">
        <f>AG5-AF5</f>
        <v>99806</v>
      </c>
      <c r="AI5" s="10" t="s">
        <v>171</v>
      </c>
      <c r="AJ5" s="10" t="s">
        <v>172</v>
      </c>
      <c r="AK5" s="7"/>
      <c r="AL5" s="59"/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L6"/>
  <sheetViews>
    <sheetView topLeftCell="X1" workbookViewId="0">
      <selection activeCell="AJ5" sqref="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6"/>
      <c r="AD1" s="56"/>
      <c r="AE1" s="56"/>
      <c r="AF1" s="56"/>
      <c r="AG1" s="27"/>
    </row>
    <row r="2" spans="1:38" ht="18">
      <c r="A2" s="29" t="s">
        <v>45</v>
      </c>
      <c r="B2" s="29" t="s">
        <v>44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27"/>
    </row>
    <row r="3" spans="1:38" ht="19.899999999999999" customHeight="1">
      <c r="A3" s="196" t="s">
        <v>0</v>
      </c>
      <c r="B3" s="196"/>
      <c r="C3" s="55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7"/>
      <c r="AL4" s="58"/>
    </row>
    <row r="5" spans="1:38" ht="15">
      <c r="A5" s="10">
        <v>1</v>
      </c>
      <c r="B5" s="60" t="s">
        <v>66</v>
      </c>
      <c r="C5" s="10">
        <v>0</v>
      </c>
      <c r="D5" s="60" t="s">
        <v>66</v>
      </c>
      <c r="E5" s="10" t="s">
        <v>32</v>
      </c>
      <c r="F5" s="10" t="s">
        <v>32</v>
      </c>
      <c r="G5" s="33">
        <v>10</v>
      </c>
      <c r="H5" s="10">
        <v>40</v>
      </c>
      <c r="I5" s="9">
        <f>G5*H5</f>
        <v>400</v>
      </c>
      <c r="J5" s="34"/>
      <c r="K5" s="34"/>
      <c r="L5" s="34"/>
      <c r="M5" s="9">
        <f>I5</f>
        <v>400</v>
      </c>
      <c r="N5" s="9">
        <f>ROUND((M5*J5)/100,2)</f>
        <v>0</v>
      </c>
      <c r="O5" s="9">
        <f>I5-N5</f>
        <v>400</v>
      </c>
      <c r="P5" s="9">
        <f>ROUND((O5*K5)/100,2)</f>
        <v>0</v>
      </c>
      <c r="Q5" s="9">
        <f>ROUND(O5-P5,2)</f>
        <v>400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400</v>
      </c>
      <c r="V5" s="33">
        <v>88363222</v>
      </c>
      <c r="W5" s="22">
        <v>0.12</v>
      </c>
      <c r="X5" s="9">
        <f>IF($D$3=1,ROUND(((U5*W5)/2),2),0)</f>
        <v>24</v>
      </c>
      <c r="Y5" s="9">
        <f>IF($D$3=1,ROUND(((U5*W5)/2),2),0)</f>
        <v>24</v>
      </c>
      <c r="Z5" s="9">
        <f>IF($D$3=2,ROUND(((U5*W5)),2),0)</f>
        <v>0</v>
      </c>
      <c r="AA5" s="9">
        <f>X5+Y5+Z5</f>
        <v>48</v>
      </c>
      <c r="AB5" s="9">
        <f t="shared" ref="AB5" si="0">U5+AA5</f>
        <v>448</v>
      </c>
      <c r="AC5" s="9">
        <v>120</v>
      </c>
      <c r="AD5" s="9">
        <f t="shared" ref="AD5" si="1">U5*$N$3</f>
        <v>400</v>
      </c>
      <c r="AE5" s="8">
        <v>1</v>
      </c>
      <c r="AF5" s="9">
        <f t="shared" ref="AF5" si="2">G5/AE5</f>
        <v>10</v>
      </c>
      <c r="AH5" s="9">
        <f>AG5-AF5</f>
        <v>-10</v>
      </c>
      <c r="AI5" s="63" t="s">
        <v>174</v>
      </c>
      <c r="AJ5" s="10" t="s">
        <v>172</v>
      </c>
      <c r="AK5" s="7"/>
      <c r="AL5" s="59"/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L6"/>
  <sheetViews>
    <sheetView topLeftCell="X1" workbookViewId="0">
      <selection activeCell="AJ5" sqref="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56"/>
      <c r="AD1" s="56"/>
      <c r="AE1" s="56"/>
      <c r="AF1" s="56"/>
      <c r="AG1" s="27"/>
    </row>
    <row r="2" spans="1:38" ht="18">
      <c r="A2" s="29" t="s">
        <v>45</v>
      </c>
      <c r="B2" s="29" t="s">
        <v>44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27"/>
    </row>
    <row r="3" spans="1:38" ht="19.899999999999999" customHeight="1">
      <c r="A3" s="196" t="s">
        <v>0</v>
      </c>
      <c r="B3" s="196"/>
      <c r="C3" s="55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7"/>
      <c r="AL4" s="58"/>
    </row>
    <row r="5" spans="1:38" ht="15">
      <c r="A5" s="10">
        <v>1</v>
      </c>
      <c r="B5" s="60" t="s">
        <v>67</v>
      </c>
      <c r="C5" s="10">
        <v>0</v>
      </c>
      <c r="D5" s="60" t="s">
        <v>67</v>
      </c>
      <c r="E5" s="10" t="s">
        <v>32</v>
      </c>
      <c r="F5" s="10" t="s">
        <v>32</v>
      </c>
      <c r="G5" s="33">
        <v>10</v>
      </c>
      <c r="H5" s="10">
        <v>40</v>
      </c>
      <c r="I5" s="9">
        <f>G5*H5</f>
        <v>400</v>
      </c>
      <c r="J5" s="34"/>
      <c r="K5" s="34"/>
      <c r="L5" s="34"/>
      <c r="M5" s="9">
        <f>I5</f>
        <v>400</v>
      </c>
      <c r="N5" s="9">
        <f>ROUND((M5*J5)/100,2)</f>
        <v>0</v>
      </c>
      <c r="O5" s="9">
        <f>I5-N5</f>
        <v>400</v>
      </c>
      <c r="P5" s="9">
        <f>ROUND((O5*K5)/100,2)</f>
        <v>0</v>
      </c>
      <c r="Q5" s="9">
        <f>ROUND(O5-P5,2)</f>
        <v>400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400</v>
      </c>
      <c r="V5" s="33">
        <v>88363222</v>
      </c>
      <c r="W5" s="22">
        <v>0.12</v>
      </c>
      <c r="X5" s="9">
        <f>IF($D$3=1,ROUND(((U5*W5)/2),2),0)</f>
        <v>24</v>
      </c>
      <c r="Y5" s="9">
        <f>IF($D$3=1,ROUND(((U5*W5)/2),2),0)</f>
        <v>24</v>
      </c>
      <c r="Z5" s="9">
        <f>IF($D$3=2,ROUND(((U5*W5)),2),0)</f>
        <v>0</v>
      </c>
      <c r="AA5" s="9">
        <f>X5+Y5+Z5</f>
        <v>48</v>
      </c>
      <c r="AB5" s="9">
        <f t="shared" ref="AB5" si="0">U5+AA5</f>
        <v>448</v>
      </c>
      <c r="AC5" s="9">
        <v>120</v>
      </c>
      <c r="AD5" s="9">
        <f t="shared" ref="AD5" si="1">U5*$N$3</f>
        <v>400</v>
      </c>
      <c r="AE5" s="8">
        <v>1</v>
      </c>
      <c r="AF5" s="9">
        <f t="shared" ref="AF5" si="2">G5/AE5</f>
        <v>10</v>
      </c>
      <c r="AH5" s="9">
        <f>AG5-AF5</f>
        <v>-10</v>
      </c>
      <c r="AI5" s="63" t="s">
        <v>75</v>
      </c>
      <c r="AJ5" s="10" t="s">
        <v>172</v>
      </c>
      <c r="AK5" s="7"/>
      <c r="AL5" s="59"/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L6"/>
  <sheetViews>
    <sheetView topLeftCell="K1" workbookViewId="0">
      <selection activeCell="V5" sqref="V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62"/>
      <c r="AD1" s="62"/>
      <c r="AE1" s="62"/>
      <c r="AF1" s="62"/>
      <c r="AG1" s="27"/>
    </row>
    <row r="2" spans="1:38" ht="18">
      <c r="A2" s="29" t="s">
        <v>45</v>
      </c>
      <c r="B2" s="29" t="s">
        <v>44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27"/>
    </row>
    <row r="3" spans="1:38" ht="19.899999999999999" customHeight="1">
      <c r="A3" s="196" t="s">
        <v>0</v>
      </c>
      <c r="B3" s="196"/>
      <c r="C3" s="61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68</v>
      </c>
      <c r="AL4" s="20" t="s">
        <v>69</v>
      </c>
    </row>
    <row r="5" spans="1:38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40</v>
      </c>
      <c r="I5" s="9">
        <f>G5*H5</f>
        <v>600</v>
      </c>
      <c r="J5" s="34"/>
      <c r="K5" s="34"/>
      <c r="L5" s="34"/>
      <c r="M5" s="9">
        <f>I5</f>
        <v>600</v>
      </c>
      <c r="N5" s="9">
        <f>ROUND((M5*J5)/100,2)</f>
        <v>0</v>
      </c>
      <c r="O5" s="9">
        <f>I5-N5</f>
        <v>600</v>
      </c>
      <c r="P5" s="9">
        <f>ROUND((O5*K5)/100,2)</f>
        <v>0</v>
      </c>
      <c r="Q5" s="9">
        <f>ROUND(O5-P5,2)</f>
        <v>600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600</v>
      </c>
      <c r="V5" s="33">
        <v>784140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72</v>
      </c>
      <c r="AA5" s="9">
        <f>X5+Y5+Z5</f>
        <v>72</v>
      </c>
      <c r="AB5" s="9">
        <f t="shared" ref="AB5" si="0">U5+AA5</f>
        <v>672</v>
      </c>
      <c r="AC5" s="9">
        <v>120</v>
      </c>
      <c r="AD5" s="9">
        <f t="shared" ref="AD5" si="1">U5*$N$3</f>
        <v>600</v>
      </c>
      <c r="AE5" s="8">
        <v>1</v>
      </c>
      <c r="AF5" s="9">
        <f t="shared" ref="AF5" si="2">G5/AE5</f>
        <v>15</v>
      </c>
      <c r="AG5" s="36" t="s">
        <v>210</v>
      </c>
      <c r="AH5" s="9">
        <f>AG5-AF5</f>
        <v>95771</v>
      </c>
      <c r="AI5" s="10" t="s">
        <v>171</v>
      </c>
      <c r="AJ5" s="10" t="s">
        <v>172</v>
      </c>
      <c r="AK5" s="66">
        <v>5</v>
      </c>
      <c r="AL5" s="67">
        <f>AK5*U5/100</f>
        <v>30</v>
      </c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K6"/>
  <sheetViews>
    <sheetView topLeftCell="W1" workbookViewId="0">
      <selection activeCell="AI5" sqref="AI5:AJ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5.42578125"/>
    <col min="38" max="16384" style="29" width="9.140625"/>
  </cols>
  <sheetData>
    <row r="1" spans="1:37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62"/>
      <c r="AD1" s="62"/>
      <c r="AE1" s="62"/>
      <c r="AF1" s="62"/>
      <c r="AG1" s="27"/>
    </row>
    <row r="2" spans="1:37" ht="18">
      <c r="A2" s="29" t="s">
        <v>45</v>
      </c>
      <c r="B2" s="29" t="s">
        <v>44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27"/>
    </row>
    <row r="3" spans="1:37" ht="19.899999999999999" customHeight="1">
      <c r="A3" s="196" t="s">
        <v>0</v>
      </c>
      <c r="B3" s="196"/>
      <c r="C3" s="61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7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58"/>
    </row>
    <row r="5" spans="1:37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40</v>
      </c>
      <c r="I5" s="9">
        <f>G5*H5</f>
        <v>600</v>
      </c>
      <c r="J5" s="34"/>
      <c r="K5" s="34"/>
      <c r="L5" s="34"/>
      <c r="M5" s="9">
        <f>I5</f>
        <v>600</v>
      </c>
      <c r="N5" s="9">
        <f>ROUND((M5*J5)/100,2)</f>
        <v>0</v>
      </c>
      <c r="O5" s="9">
        <f>I5-N5</f>
        <v>600</v>
      </c>
      <c r="P5" s="9">
        <f>ROUND((O5*K5)/100,2)</f>
        <v>0</v>
      </c>
      <c r="Q5" s="9">
        <f>ROUND(O5-P5,2)</f>
        <v>600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600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" si="0">U5+AA5</f>
        <v>600</v>
      </c>
      <c r="AC5" s="9">
        <v>120</v>
      </c>
      <c r="AD5" s="9">
        <f t="shared" ref="AD5" si="1">U5*$N$3</f>
        <v>600</v>
      </c>
      <c r="AE5" s="8">
        <v>1</v>
      </c>
      <c r="AF5" s="9">
        <f t="shared" ref="AF5" si="2">G5/AE5</f>
        <v>15</v>
      </c>
      <c r="AG5" s="36" t="s">
        <v>257</v>
      </c>
      <c r="AH5" s="9">
        <f>AG5-AF5</f>
        <v>45571</v>
      </c>
      <c r="AI5" s="10" t="s">
        <v>171</v>
      </c>
      <c r="AJ5" s="10" t="s">
        <v>172</v>
      </c>
      <c r="AK5" s="59"/>
    </row>
    <row r="6" spans="1:37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L6"/>
  <sheetViews>
    <sheetView topLeftCell="X1" workbookViewId="0">
      <selection activeCell="AI6" sqref="AI6:AJ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65"/>
      <c r="AD1" s="65"/>
      <c r="AE1" s="65"/>
      <c r="AF1" s="65"/>
      <c r="AG1" s="27"/>
    </row>
    <row r="2" spans="1:38" ht="18">
      <c r="A2" s="29" t="s">
        <v>45</v>
      </c>
      <c r="B2" s="29" t="s">
        <v>44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27"/>
    </row>
    <row r="3" spans="1:38" ht="19.899999999999999" customHeight="1">
      <c r="A3" s="196" t="s">
        <v>0</v>
      </c>
      <c r="B3" s="196"/>
      <c r="C3" s="64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70</v>
      </c>
      <c r="AL4" s="58"/>
    </row>
    <row r="5" spans="1:38" ht="15">
      <c r="A5" s="10">
        <v>1</v>
      </c>
      <c r="B5" s="42" t="s">
        <v>47</v>
      </c>
      <c r="C5" s="10">
        <v>0</v>
      </c>
      <c r="D5" s="42" t="s">
        <v>47</v>
      </c>
      <c r="E5" s="10" t="s">
        <v>32</v>
      </c>
      <c r="F5" s="10" t="s">
        <v>32</v>
      </c>
      <c r="G5" s="33">
        <v>15</v>
      </c>
      <c r="H5" s="10">
        <v>40</v>
      </c>
      <c r="I5" s="9">
        <f>G5*H5</f>
        <v>600</v>
      </c>
      <c r="J5" s="34"/>
      <c r="K5" s="34"/>
      <c r="L5" s="34"/>
      <c r="M5" s="9">
        <f>I5</f>
        <v>600</v>
      </c>
      <c r="N5" s="9">
        <f>ROUND((M5*J5)/100,2)</f>
        <v>0</v>
      </c>
      <c r="O5" s="9">
        <f>I5-N5</f>
        <v>600</v>
      </c>
      <c r="P5" s="9">
        <f>ROUND((O5*K5)/100,2)</f>
        <v>0</v>
      </c>
      <c r="Q5" s="9">
        <f>ROUND(O5-P5,2)</f>
        <v>600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600</v>
      </c>
      <c r="V5" s="33">
        <v>88363222</v>
      </c>
      <c r="W5" s="22">
        <v>0.12</v>
      </c>
      <c r="X5" s="9">
        <f>IF($D$3=1,ROUND(((U5*W5)/2),2),0)</f>
        <v>36</v>
      </c>
      <c r="Y5" s="9">
        <f>IF($D$3=1,ROUND(((U5*W5)/2),2),0)</f>
        <v>36</v>
      </c>
      <c r="Z5" s="9">
        <f>IF($D$3=2,ROUND(((U5*W5)),2),0)</f>
        <v>0</v>
      </c>
      <c r="AA5" s="9">
        <f>X5+Y5+Z5</f>
        <v>72</v>
      </c>
      <c r="AB5" s="9">
        <f t="shared" ref="AB5" si="0">U5+AA5</f>
        <v>672</v>
      </c>
      <c r="AC5" s="9">
        <v>120</v>
      </c>
      <c r="AD5" s="9">
        <f t="shared" ref="AD5" si="1">U5*$N$3</f>
        <v>600</v>
      </c>
      <c r="AE5" s="8">
        <v>2</v>
      </c>
      <c r="AF5" s="9">
        <f t="shared" ref="AF5" si="2">G5/AE5</f>
        <v>7.5</v>
      </c>
      <c r="AG5" s="36" t="s">
        <v>191</v>
      </c>
      <c r="AH5" s="9">
        <f>AG5-AF5</f>
        <v>99957.5</v>
      </c>
      <c r="AI5" s="10" t="s">
        <v>171</v>
      </c>
      <c r="AJ5" s="10" t="s">
        <v>172</v>
      </c>
      <c r="AK5" s="66" t="s">
        <v>72</v>
      </c>
      <c r="AL5" s="59"/>
    </row>
    <row r="6" spans="1:38" ht="15">
      <c r="A6" s="10">
        <v>2</v>
      </c>
      <c r="B6" s="42" t="s">
        <v>143</v>
      </c>
      <c r="C6" s="10">
        <v>0</v>
      </c>
      <c r="D6" s="42" t="s">
        <v>143</v>
      </c>
      <c r="E6" s="10" t="s">
        <v>32</v>
      </c>
      <c r="F6" s="10" t="s">
        <v>32</v>
      </c>
      <c r="G6" s="33">
        <v>15</v>
      </c>
      <c r="H6" s="10">
        <v>40</v>
      </c>
      <c r="I6" s="9">
        <f>G6*H6</f>
        <v>600</v>
      </c>
      <c r="J6" s="34"/>
      <c r="K6" s="34"/>
      <c r="L6" s="34"/>
      <c r="M6" s="9">
        <f>I6</f>
        <v>600</v>
      </c>
      <c r="N6" s="9">
        <f>ROUND((M6*J6)/100,2)</f>
        <v>0</v>
      </c>
      <c r="O6" s="9">
        <f>I6-N6</f>
        <v>600</v>
      </c>
      <c r="P6" s="9">
        <f>ROUND((O6*K6)/100,2)</f>
        <v>0</v>
      </c>
      <c r="Q6" s="9">
        <f>ROUND(O6-P6,2)</f>
        <v>600</v>
      </c>
      <c r="R6" s="9">
        <f>ROUND((Q6*L6)/100,2)</f>
        <v>0</v>
      </c>
      <c r="S6" s="35">
        <f>N6+P6+R6</f>
        <v>0</v>
      </c>
      <c r="T6" s="35">
        <f>S6/G6</f>
        <v>0</v>
      </c>
      <c r="U6" s="9">
        <f>(I6-S6)</f>
        <v>600</v>
      </c>
      <c r="V6" s="33">
        <v>88363222</v>
      </c>
      <c r="W6" s="22">
        <v>0.12</v>
      </c>
      <c r="X6" s="9">
        <f>IF($D$3=1,ROUND(((U6*W6)/2),2),0)</f>
        <v>36</v>
      </c>
      <c r="Y6" s="9">
        <f>IF($D$3=1,ROUND(((U6*W6)/2),2),0)</f>
        <v>36</v>
      </c>
      <c r="Z6" s="9">
        <f>IF($D$3=2,ROUND(((U6*W6)),2),0)</f>
        <v>0</v>
      </c>
      <c r="AA6" s="9">
        <f>X6+Y6+Z6</f>
        <v>72</v>
      </c>
      <c r="AB6" s="9">
        <f t="shared" ref="AB6" si="3">U6+AA6</f>
        <v>672</v>
      </c>
      <c r="AC6" s="9">
        <v>120</v>
      </c>
      <c r="AD6" s="9">
        <f t="shared" ref="AD6" si="4">U6*$N$3</f>
        <v>600</v>
      </c>
      <c r="AE6" s="8">
        <v>1</v>
      </c>
      <c r="AF6" s="9">
        <f t="shared" ref="AF6" si="5">G6/AE6</f>
        <v>15</v>
      </c>
      <c r="AG6" s="36" t="s">
        <v>192</v>
      </c>
      <c r="AH6" s="9">
        <f>AG6-AF6</f>
        <v>99791</v>
      </c>
      <c r="AI6" s="10" t="s">
        <v>171</v>
      </c>
      <c r="AJ6" s="10" t="s">
        <v>172</v>
      </c>
      <c r="AK6" s="66" t="s">
        <v>71</v>
      </c>
      <c r="AL6" s="59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L6"/>
  <sheetViews>
    <sheetView workbookViewId="0">
      <selection activeCell="H10" sqref="H10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54.5703125"/>
    <col min="38" max="38" customWidth="true" style="29" width="34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69"/>
      <c r="AD1" s="69"/>
      <c r="AE1" s="69"/>
      <c r="AF1" s="69"/>
      <c r="AG1" s="27"/>
    </row>
    <row r="2" spans="1:38" ht="18">
      <c r="A2" s="29" t="s">
        <v>45</v>
      </c>
      <c r="B2" s="29" t="s">
        <v>44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27"/>
    </row>
    <row r="3" spans="1:38" ht="19.899999999999999" customHeight="1">
      <c r="A3" s="196" t="s">
        <v>0</v>
      </c>
      <c r="B3" s="196"/>
      <c r="C3" s="68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76</v>
      </c>
      <c r="AL4" s="19" t="s">
        <v>78</v>
      </c>
    </row>
    <row r="5" spans="1:38" ht="15">
      <c r="A5" s="10">
        <v>1</v>
      </c>
      <c r="B5" s="42" t="s">
        <v>82</v>
      </c>
      <c r="C5" s="10">
        <v>0</v>
      </c>
      <c r="D5" s="42" t="s">
        <v>82</v>
      </c>
      <c r="E5" s="10" t="s">
        <v>32</v>
      </c>
      <c r="F5" s="10" t="s">
        <v>32</v>
      </c>
      <c r="G5" s="33">
        <v>15</v>
      </c>
      <c r="H5" s="10">
        <v>140</v>
      </c>
      <c r="I5" s="9">
        <f>G5*H5</f>
        <v>2100</v>
      </c>
      <c r="J5" s="34"/>
      <c r="K5" s="34"/>
      <c r="L5" s="34"/>
      <c r="M5" s="9">
        <f>I5</f>
        <v>2100</v>
      </c>
      <c r="N5" s="9">
        <f>ROUND((M5*J5)/100,2)</f>
        <v>0</v>
      </c>
      <c r="O5" s="9">
        <f>I5-N5</f>
        <v>2100</v>
      </c>
      <c r="P5" s="9">
        <f>ROUND((O5*K5)/100,2)</f>
        <v>0</v>
      </c>
      <c r="Q5" s="9">
        <f>ROUND(O5-P5,2)</f>
        <v>2100</v>
      </c>
      <c r="R5" s="9">
        <f>ROUND((Q5*L5)/100,2)</f>
        <v>0</v>
      </c>
      <c r="S5" s="91">
        <f>N5+P5+R5</f>
        <v>0</v>
      </c>
      <c r="T5" s="35">
        <f>S5/G5</f>
        <v>0</v>
      </c>
      <c r="U5" s="9">
        <f>(I5-S5)</f>
        <v>2100</v>
      </c>
      <c r="V5" s="33">
        <v>88363222</v>
      </c>
      <c r="W5" s="22">
        <v>0.18</v>
      </c>
      <c r="X5" s="34">
        <f>IF($D$3=1,ROUND(((U5*W5)/2),2),0)</f>
        <v>0</v>
      </c>
      <c r="Y5" s="34">
        <f>IF($D$3=1,ROUND(((U5*W5)/2),2),0)</f>
        <v>0</v>
      </c>
      <c r="Z5" s="34">
        <f>IF($D$3=2,ROUND(((U5*W5)),2),0)</f>
        <v>378</v>
      </c>
      <c r="AA5" s="9">
        <f>X5+Y5+Z5</f>
        <v>378</v>
      </c>
      <c r="AB5" s="9">
        <f t="shared" ref="AB5:AB6" si="0">U5+AA5</f>
        <v>2478</v>
      </c>
      <c r="AC5" s="9">
        <v>120</v>
      </c>
      <c r="AD5" s="9">
        <f t="shared" ref="AD5:AD6" si="1">U5*$N$3</f>
        <v>2100</v>
      </c>
      <c r="AE5" s="8">
        <v>2</v>
      </c>
      <c r="AF5" s="9">
        <f t="shared" ref="AF5:AF6" si="2">G5/AE5</f>
        <v>7.5</v>
      </c>
      <c r="AG5" s="36" t="s">
        <v>74</v>
      </c>
      <c r="AH5" s="34">
        <f>AG5-AF5</f>
        <v>9612.5</v>
      </c>
      <c r="AI5" s="10" t="s">
        <v>38</v>
      </c>
      <c r="AJ5" s="10">
        <v>4010101001</v>
      </c>
      <c r="AK5" s="72" t="s">
        <v>197</v>
      </c>
      <c r="AL5" s="72" t="s">
        <v>198</v>
      </c>
    </row>
    <row r="6" spans="1:38" ht="15">
      <c r="A6" s="10">
        <v>2</v>
      </c>
      <c r="B6" s="42" t="s">
        <v>206</v>
      </c>
      <c r="C6" s="10">
        <v>0</v>
      </c>
      <c r="D6" s="42" t="s">
        <v>206</v>
      </c>
      <c r="E6" s="10" t="s">
        <v>32</v>
      </c>
      <c r="F6" s="10" t="s">
        <v>32</v>
      </c>
      <c r="G6" s="33">
        <v>15</v>
      </c>
      <c r="H6" s="10">
        <v>40</v>
      </c>
      <c r="I6" s="9">
        <f>G6*H6</f>
        <v>600</v>
      </c>
      <c r="J6" s="34"/>
      <c r="K6" s="34"/>
      <c r="L6" s="34"/>
      <c r="M6" s="9">
        <f>I6</f>
        <v>600</v>
      </c>
      <c r="N6" s="9">
        <f>ROUND((M6*J6)/100,2)</f>
        <v>0</v>
      </c>
      <c r="O6" s="9">
        <f>I6-N6</f>
        <v>600</v>
      </c>
      <c r="P6" s="9">
        <f>ROUND((O6*K6)/100,2)</f>
        <v>0</v>
      </c>
      <c r="Q6" s="9">
        <f>ROUND(O6-P6,2)</f>
        <v>600</v>
      </c>
      <c r="R6" s="9">
        <f>ROUND((Q6*L6)/100,2)</f>
        <v>0</v>
      </c>
      <c r="S6" s="91">
        <f>N6+P6+R6</f>
        <v>0</v>
      </c>
      <c r="T6" s="35">
        <f>S6/G6</f>
        <v>0</v>
      </c>
      <c r="U6" s="9">
        <f>(I6-S6)</f>
        <v>600</v>
      </c>
      <c r="V6" s="33">
        <v>88363222</v>
      </c>
      <c r="W6" s="22">
        <v>0.18</v>
      </c>
      <c r="X6" s="34">
        <f>IF($D$3=1,ROUND(((U6*W6)/2),2),0)</f>
        <v>0</v>
      </c>
      <c r="Y6" s="34">
        <f>IF($D$3=1,ROUND(((U6*W6)/2),2),0)</f>
        <v>0</v>
      </c>
      <c r="Z6" s="34">
        <f>IF($D$3=2,ROUND(((U6*W6)),2),0)</f>
        <v>108</v>
      </c>
      <c r="AA6" s="9">
        <f>X6+Y6+Z6</f>
        <v>108</v>
      </c>
      <c r="AB6" s="9">
        <f t="shared" si="0"/>
        <v>708</v>
      </c>
      <c r="AC6" s="9">
        <v>120</v>
      </c>
      <c r="AD6" s="9">
        <f t="shared" si="1"/>
        <v>600</v>
      </c>
      <c r="AE6" s="8">
        <v>1</v>
      </c>
      <c r="AF6" s="9">
        <f t="shared" si="2"/>
        <v>15</v>
      </c>
      <c r="AG6" s="36" t="s">
        <v>73</v>
      </c>
      <c r="AH6" s="34">
        <f>AG6-AF6</f>
        <v>78104</v>
      </c>
      <c r="AI6" s="10" t="s">
        <v>38</v>
      </c>
      <c r="AJ6" s="10">
        <v>4010101001</v>
      </c>
      <c r="AK6" s="66" t="s">
        <v>197</v>
      </c>
      <c r="AL6" s="66" t="s">
        <v>198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L6"/>
  <sheetViews>
    <sheetView workbookViewId="0">
      <selection activeCell="AK15" sqref="AK1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54.5703125"/>
    <col min="38" max="38" customWidth="true" style="29" width="34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71"/>
      <c r="AD1" s="71"/>
      <c r="AE1" s="71"/>
      <c r="AF1" s="71"/>
      <c r="AG1" s="27"/>
    </row>
    <row r="2" spans="1:38" ht="18">
      <c r="A2" s="29" t="s">
        <v>45</v>
      </c>
      <c r="B2" s="29" t="s">
        <v>44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27"/>
    </row>
    <row r="3" spans="1:38" ht="19.899999999999999" customHeight="1">
      <c r="A3" s="196" t="s">
        <v>0</v>
      </c>
      <c r="B3" s="196"/>
      <c r="C3" s="70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76</v>
      </c>
      <c r="AL4" s="19" t="s">
        <v>78</v>
      </c>
    </row>
    <row r="5" spans="1:38" ht="15">
      <c r="A5" s="10">
        <v>1</v>
      </c>
      <c r="B5" s="42" t="s">
        <v>206</v>
      </c>
      <c r="C5" s="10">
        <v>0</v>
      </c>
      <c r="D5" s="42" t="s">
        <v>206</v>
      </c>
      <c r="E5" s="10" t="s">
        <v>32</v>
      </c>
      <c r="F5" s="10" t="s">
        <v>32</v>
      </c>
      <c r="G5" s="33">
        <v>15</v>
      </c>
      <c r="H5" s="10">
        <v>140</v>
      </c>
      <c r="I5" s="9">
        <f>G5*H5</f>
        <v>2100</v>
      </c>
      <c r="J5" s="34"/>
      <c r="K5" s="34"/>
      <c r="L5" s="34"/>
      <c r="M5" s="9">
        <f>I5</f>
        <v>2100</v>
      </c>
      <c r="N5" s="9">
        <f>ROUND((M5*J5)/100,2)</f>
        <v>0</v>
      </c>
      <c r="O5" s="9">
        <f>I5-N5</f>
        <v>2100</v>
      </c>
      <c r="P5" s="9">
        <f>ROUND((O5*K5)/100,2)</f>
        <v>0</v>
      </c>
      <c r="Q5" s="9">
        <f>ROUND(O5-P5,2)</f>
        <v>2100</v>
      </c>
      <c r="R5" s="9">
        <f>ROUND((Q5*L5)/100,2)</f>
        <v>0</v>
      </c>
      <c r="S5" s="91">
        <f>N5+P5+R5</f>
        <v>0</v>
      </c>
      <c r="T5" s="35">
        <f>S5/G5</f>
        <v>0</v>
      </c>
      <c r="U5" s="9">
        <f>(I5-S5)</f>
        <v>2100</v>
      </c>
      <c r="V5" s="33">
        <v>88363222</v>
      </c>
      <c r="W5" s="22">
        <v>0.18</v>
      </c>
      <c r="X5" s="34">
        <f>IF($D$3=1,ROUND(((U5*W5)/2),2),0)</f>
        <v>0</v>
      </c>
      <c r="Y5" s="34">
        <f>IF($D$3=1,ROUND(((U5*W5)/2),2),0)</f>
        <v>0</v>
      </c>
      <c r="Z5" s="34">
        <f>IF($D$3=2,ROUND(((U5*W5)),2),0)</f>
        <v>0</v>
      </c>
      <c r="AA5" s="9">
        <f>X5+Y5+Z5</f>
        <v>0</v>
      </c>
      <c r="AB5" s="9">
        <f t="shared" ref="AB5:AB6" si="0">U5+AA5</f>
        <v>2100</v>
      </c>
      <c r="AC5" s="9">
        <v>120</v>
      </c>
      <c r="AD5" s="9">
        <f t="shared" ref="AD5:AD6" si="1">U5*$N$3</f>
        <v>2100</v>
      </c>
      <c r="AE5" s="8">
        <v>2</v>
      </c>
      <c r="AF5" s="9">
        <f t="shared" ref="AF5:AF6" si="2">G5/AE5</f>
        <v>7.5</v>
      </c>
      <c r="AG5" s="36" t="s">
        <v>74</v>
      </c>
      <c r="AH5" s="34">
        <f>AG5-AF5</f>
        <v>9612.5</v>
      </c>
      <c r="AI5" s="10" t="s">
        <v>38</v>
      </c>
      <c r="AJ5" s="10">
        <v>4010101001</v>
      </c>
      <c r="AK5" s="72" t="s">
        <v>197</v>
      </c>
      <c r="AL5" s="72" t="s">
        <v>236</v>
      </c>
    </row>
    <row r="6" spans="1:38" ht="15">
      <c r="A6" s="10">
        <v>2</v>
      </c>
      <c r="B6" s="42" t="s">
        <v>82</v>
      </c>
      <c r="C6" s="10">
        <v>0</v>
      </c>
      <c r="D6" s="42" t="s">
        <v>82</v>
      </c>
      <c r="E6" s="10" t="s">
        <v>32</v>
      </c>
      <c r="F6" s="10" t="s">
        <v>32</v>
      </c>
      <c r="G6" s="33">
        <v>15</v>
      </c>
      <c r="H6" s="10">
        <v>40</v>
      </c>
      <c r="I6" s="9">
        <f>G6*H6</f>
        <v>600</v>
      </c>
      <c r="J6" s="34"/>
      <c r="K6" s="34"/>
      <c r="L6" s="34"/>
      <c r="M6" s="9">
        <f>I6</f>
        <v>600</v>
      </c>
      <c r="N6" s="9">
        <f>ROUND((M6*J6)/100,2)</f>
        <v>0</v>
      </c>
      <c r="O6" s="9">
        <f>I6-N6</f>
        <v>600</v>
      </c>
      <c r="P6" s="9">
        <f>ROUND((O6*K6)/100,2)</f>
        <v>0</v>
      </c>
      <c r="Q6" s="9">
        <f>ROUND(O6-P6,2)</f>
        <v>600</v>
      </c>
      <c r="R6" s="9">
        <f>ROUND((Q6*L6)/100,2)</f>
        <v>0</v>
      </c>
      <c r="S6" s="91">
        <f>N6+P6+R6</f>
        <v>0</v>
      </c>
      <c r="T6" s="35">
        <f>S6/G6</f>
        <v>0</v>
      </c>
      <c r="U6" s="9">
        <f>(I6-S6)</f>
        <v>600</v>
      </c>
      <c r="V6" s="33">
        <v>88363222</v>
      </c>
      <c r="W6" s="22">
        <v>0.18</v>
      </c>
      <c r="X6" s="34">
        <f>IF($D$3=1,ROUND(((U6*W6)/2),2),0)</f>
        <v>0</v>
      </c>
      <c r="Y6" s="34">
        <f>IF($D$3=1,ROUND(((U6*W6)/2),2),0)</f>
        <v>0</v>
      </c>
      <c r="Z6" s="34">
        <f>IF($D$3=2,ROUND(((U6*W6)),2),0)</f>
        <v>0</v>
      </c>
      <c r="AA6" s="9">
        <f>X6+Y6+Z6</f>
        <v>0</v>
      </c>
      <c r="AB6" s="9">
        <f t="shared" si="0"/>
        <v>600</v>
      </c>
      <c r="AC6" s="9">
        <v>120</v>
      </c>
      <c r="AD6" s="9">
        <f t="shared" si="1"/>
        <v>600</v>
      </c>
      <c r="AE6" s="8">
        <v>1</v>
      </c>
      <c r="AF6" s="9">
        <f t="shared" si="2"/>
        <v>15</v>
      </c>
      <c r="AG6" s="36" t="s">
        <v>73</v>
      </c>
      <c r="AH6" s="34">
        <f>AG6-AF6</f>
        <v>78104</v>
      </c>
      <c r="AI6" s="10" t="s">
        <v>38</v>
      </c>
      <c r="AJ6" s="10">
        <v>4010101001</v>
      </c>
      <c r="AK6" s="66" t="s">
        <v>197</v>
      </c>
      <c r="AL6" s="66" t="s">
        <v>236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L5"/>
  <sheetViews>
    <sheetView topLeftCell="AD1" workbookViewId="0">
      <selection activeCell="AI5" sqref="AI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54.5703125"/>
    <col min="38" max="38" customWidth="true" style="29" width="34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74"/>
      <c r="AD1" s="74"/>
      <c r="AE1" s="74"/>
      <c r="AF1" s="74"/>
      <c r="AG1" s="27"/>
    </row>
    <row r="2" spans="1:38" ht="18">
      <c r="A2" s="29" t="s">
        <v>45</v>
      </c>
      <c r="B2" s="29" t="s">
        <v>44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27"/>
    </row>
    <row r="3" spans="1:38" ht="19.899999999999999" customHeight="1">
      <c r="A3" s="196" t="s">
        <v>0</v>
      </c>
      <c r="B3" s="196"/>
      <c r="C3" s="73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79</v>
      </c>
      <c r="AL4" s="19" t="s">
        <v>78</v>
      </c>
    </row>
    <row r="5" spans="1:38" ht="15">
      <c r="A5" s="10">
        <v>1</v>
      </c>
      <c r="B5" s="42" t="s">
        <v>67</v>
      </c>
      <c r="C5" s="10">
        <v>0</v>
      </c>
      <c r="D5" s="42" t="s">
        <v>67</v>
      </c>
      <c r="E5" s="10" t="s">
        <v>32</v>
      </c>
      <c r="F5" s="10" t="s">
        <v>32</v>
      </c>
      <c r="G5" s="33">
        <v>15</v>
      </c>
      <c r="H5" s="10">
        <v>140</v>
      </c>
      <c r="I5" s="9">
        <f>G5*H5</f>
        <v>2100</v>
      </c>
      <c r="J5" s="34"/>
      <c r="K5" s="34"/>
      <c r="L5" s="34"/>
      <c r="M5" s="9">
        <f>I5</f>
        <v>2100</v>
      </c>
      <c r="N5" s="9">
        <f>ROUND((M5*J5)/100,2)</f>
        <v>0</v>
      </c>
      <c r="O5" s="9">
        <f>I5-N5</f>
        <v>2100</v>
      </c>
      <c r="P5" s="9">
        <f>ROUND((O5*K5)/100,2)</f>
        <v>0</v>
      </c>
      <c r="Q5" s="9">
        <f>ROUND(O5-P5,2)</f>
        <v>2100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2100</v>
      </c>
      <c r="V5" s="33">
        <v>88363222</v>
      </c>
      <c r="W5" s="22">
        <v>0.18</v>
      </c>
      <c r="X5" s="34">
        <f>IF($D$3=1,ROUND(((U5*W5)/2),2),0)</f>
        <v>189</v>
      </c>
      <c r="Y5" s="34">
        <f>IF($D$3=1,ROUND(((U5*W5)/2),2),0)</f>
        <v>189</v>
      </c>
      <c r="Z5" s="34">
        <f>IF($D$3=2,ROUND(((U5*W5)),2),0)</f>
        <v>0</v>
      </c>
      <c r="AA5" s="9">
        <f>X5+Y5+Z5</f>
        <v>378</v>
      </c>
      <c r="AB5" s="9">
        <f t="shared" ref="AB5" si="0">U5+AA5</f>
        <v>2478</v>
      </c>
      <c r="AC5" s="9">
        <v>120</v>
      </c>
      <c r="AD5" s="9">
        <f t="shared" ref="AD5" si="1">U5*$N$3</f>
        <v>2100</v>
      </c>
      <c r="AE5" s="8">
        <v>2</v>
      </c>
      <c r="AF5" s="9">
        <f t="shared" ref="AF5" si="2">G5/AE5</f>
        <v>7.5</v>
      </c>
      <c r="AH5" s="9">
        <f>AG5-AF5</f>
        <v>-7.5</v>
      </c>
      <c r="AI5" s="10" t="s">
        <v>171</v>
      </c>
      <c r="AJ5" s="10" t="s">
        <v>172</v>
      </c>
      <c r="AK5" s="72" t="s">
        <v>193</v>
      </c>
      <c r="AL5" s="72" t="s">
        <v>77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L5"/>
  <sheetViews>
    <sheetView topLeftCell="AD1" workbookViewId="0">
      <selection activeCell="AI5" sqref="AI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style="29" width="9.140625"/>
    <col min="36" max="36" bestFit="true" customWidth="true" style="29" width="13.140625"/>
    <col min="37" max="37" customWidth="true" style="29" width="54.5703125"/>
    <col min="38" max="38" customWidth="true" style="29" width="34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76"/>
      <c r="AD1" s="76"/>
      <c r="AE1" s="76"/>
      <c r="AF1" s="76"/>
      <c r="AG1" s="27"/>
    </row>
    <row r="2" spans="1:38" ht="18">
      <c r="A2" s="29" t="s">
        <v>45</v>
      </c>
      <c r="B2" s="29" t="s">
        <v>44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27"/>
    </row>
    <row r="3" spans="1:38" ht="19.899999999999999" customHeight="1">
      <c r="A3" s="196" t="s">
        <v>0</v>
      </c>
      <c r="B3" s="196"/>
      <c r="C3" s="75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79</v>
      </c>
      <c r="AL4" s="19" t="s">
        <v>78</v>
      </c>
    </row>
    <row r="5" spans="1:38" ht="15">
      <c r="A5" s="10">
        <v>1</v>
      </c>
      <c r="B5" s="42" t="s">
        <v>67</v>
      </c>
      <c r="C5" s="10">
        <v>0</v>
      </c>
      <c r="D5" s="42" t="s">
        <v>67</v>
      </c>
      <c r="E5" s="10" t="s">
        <v>32</v>
      </c>
      <c r="F5" s="10" t="s">
        <v>32</v>
      </c>
      <c r="G5" s="33">
        <v>10</v>
      </c>
      <c r="H5" s="10">
        <v>140</v>
      </c>
      <c r="I5" s="9">
        <f>G5*H5</f>
        <v>1400</v>
      </c>
      <c r="J5" s="34"/>
      <c r="K5" s="34"/>
      <c r="L5" s="34"/>
      <c r="M5" s="9">
        <f>I5</f>
        <v>1400</v>
      </c>
      <c r="N5" s="9">
        <f>ROUND((M5*J5)/100,2)</f>
        <v>0</v>
      </c>
      <c r="O5" s="9">
        <f>I5-N5</f>
        <v>1400</v>
      </c>
      <c r="P5" s="9">
        <f>ROUND((O5*K5)/100,2)</f>
        <v>0</v>
      </c>
      <c r="Q5" s="9">
        <f>ROUND(O5-P5,2)</f>
        <v>1400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1400</v>
      </c>
      <c r="V5" s="33">
        <v>88363222</v>
      </c>
      <c r="W5" s="22">
        <v>0.18</v>
      </c>
      <c r="X5" s="34">
        <f>IF($D$3=1,ROUND(((U5*W5)/2),2),0)</f>
        <v>0</v>
      </c>
      <c r="Y5" s="34">
        <f>IF($D$3=1,ROUND(((U5*W5)/2),2),0)</f>
        <v>0</v>
      </c>
      <c r="Z5" s="34">
        <f>IF($D$3=2,ROUND(((U5*W5)),2),0)</f>
        <v>0</v>
      </c>
      <c r="AA5" s="9">
        <f>X5+Y5+Z5</f>
        <v>0</v>
      </c>
      <c r="AB5" s="9">
        <f t="shared" ref="AB5" si="0">U5+AA5</f>
        <v>1400</v>
      </c>
      <c r="AC5" s="9">
        <v>120</v>
      </c>
      <c r="AD5" s="9">
        <f t="shared" ref="AD5" si="1">U5*$N$3</f>
        <v>1400</v>
      </c>
      <c r="AE5" s="8">
        <v>1</v>
      </c>
      <c r="AF5" s="9">
        <f t="shared" ref="AF5" si="2">G5/AE5</f>
        <v>10</v>
      </c>
      <c r="AH5" s="9">
        <f>AG5-AF5</f>
        <v>-10</v>
      </c>
      <c r="AI5" s="10" t="s">
        <v>171</v>
      </c>
      <c r="AJ5" s="10" t="s">
        <v>172</v>
      </c>
      <c r="AK5" s="72" t="s">
        <v>193</v>
      </c>
      <c r="AL5" s="72" t="s">
        <v>77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L5"/>
  <sheetViews>
    <sheetView topLeftCell="AD1" workbookViewId="0">
      <selection activeCell="AI5" sqref="AI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1.7109375"/>
    <col min="36" max="36" bestFit="true" customWidth="true" style="29" width="13.140625"/>
    <col min="37" max="37" customWidth="true" style="29" width="54.5703125"/>
    <col min="38" max="38" customWidth="true" style="29" width="34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78"/>
      <c r="AD1" s="78"/>
      <c r="AE1" s="78"/>
      <c r="AF1" s="78"/>
      <c r="AG1" s="27"/>
    </row>
    <row r="2" spans="1:38" ht="18">
      <c r="A2" s="29" t="s">
        <v>45</v>
      </c>
      <c r="B2" s="29" t="s">
        <v>44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27"/>
    </row>
    <row r="3" spans="1:38" ht="19.899999999999999" customHeight="1">
      <c r="A3" s="196" t="s">
        <v>0</v>
      </c>
      <c r="B3" s="196"/>
      <c r="C3" s="77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79</v>
      </c>
      <c r="AL4" s="19" t="s">
        <v>78</v>
      </c>
    </row>
    <row r="5" spans="1:38" ht="15">
      <c r="A5" s="10">
        <v>1</v>
      </c>
      <c r="B5" s="42" t="s">
        <v>67</v>
      </c>
      <c r="C5" s="10">
        <v>0</v>
      </c>
      <c r="D5" s="42" t="s">
        <v>67</v>
      </c>
      <c r="E5" s="10" t="s">
        <v>32</v>
      </c>
      <c r="F5" s="10" t="s">
        <v>32</v>
      </c>
      <c r="G5" s="33">
        <v>10</v>
      </c>
      <c r="H5" s="10">
        <v>140</v>
      </c>
      <c r="I5" s="9">
        <f>G5*H5</f>
        <v>1400</v>
      </c>
      <c r="J5" s="34"/>
      <c r="K5" s="34"/>
      <c r="L5" s="34"/>
      <c r="M5" s="9">
        <f>I5</f>
        <v>1400</v>
      </c>
      <c r="N5" s="9">
        <f>ROUND((M5*J5)/100,2)</f>
        <v>0</v>
      </c>
      <c r="O5" s="9">
        <f>I5-N5</f>
        <v>1400</v>
      </c>
      <c r="P5" s="9">
        <f>ROUND((O5*K5)/100,2)</f>
        <v>0</v>
      </c>
      <c r="Q5" s="9">
        <f>ROUND(O5-P5,2)</f>
        <v>1400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1400</v>
      </c>
      <c r="V5" s="33">
        <v>88363222</v>
      </c>
      <c r="W5" s="22">
        <v>0.18</v>
      </c>
      <c r="X5" s="34">
        <f>IF($D$3=1,ROUND(((U5*W5)/2),2),0)</f>
        <v>0</v>
      </c>
      <c r="Y5" s="34">
        <f>IF($D$3=1,ROUND(((U5*W5)/2),2),0)</f>
        <v>0</v>
      </c>
      <c r="Z5" s="34">
        <f>IF($D$3=2,ROUND(((U5*W5)),2),0)</f>
        <v>0</v>
      </c>
      <c r="AA5" s="9">
        <f>X5+Y5+Z5</f>
        <v>0</v>
      </c>
      <c r="AB5" s="9">
        <f t="shared" ref="AB5" si="0">U5+AA5</f>
        <v>1400</v>
      </c>
      <c r="AC5" s="9">
        <v>120</v>
      </c>
      <c r="AD5" s="9">
        <f t="shared" ref="AD5" si="1">U5*$N$3</f>
        <v>1400</v>
      </c>
      <c r="AE5" s="8">
        <v>2</v>
      </c>
      <c r="AF5" s="9">
        <f t="shared" ref="AF5" si="2">G5/AE5</f>
        <v>5</v>
      </c>
      <c r="AH5" s="9">
        <f>AG5-AF5</f>
        <v>-5</v>
      </c>
      <c r="AI5" s="10" t="s">
        <v>171</v>
      </c>
      <c r="AJ5" s="10" t="s">
        <v>172</v>
      </c>
      <c r="AK5" s="72" t="s">
        <v>193</v>
      </c>
      <c r="AL5" s="72" t="s">
        <v>77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M6"/>
  <sheetViews>
    <sheetView topLeftCell="X1" workbookViewId="0">
      <selection activeCell="AI5" sqref="AI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9" width="15.42578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84"/>
      <c r="AD1" s="84"/>
      <c r="AE1" s="84"/>
      <c r="AF1" s="84"/>
      <c r="AG1" s="27"/>
    </row>
    <row r="2" spans="1:39" ht="18">
      <c r="A2" s="29" t="s">
        <v>45</v>
      </c>
      <c r="B2" s="29" t="s">
        <v>44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27"/>
    </row>
    <row r="3" spans="1:39" ht="19.899999999999999" customHeight="1">
      <c r="A3" s="196" t="s">
        <v>0</v>
      </c>
      <c r="B3" s="196"/>
      <c r="C3" s="83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58"/>
    </row>
    <row r="5" spans="1:39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 t="shared" ref="AB5" si="0">U5+AA5</f>
        <v>750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237</v>
      </c>
      <c r="AH5" s="34">
        <f>AG5-AF5</f>
        <v>99160</v>
      </c>
      <c r="AI5" s="10" t="s">
        <v>216</v>
      </c>
      <c r="AJ5" s="10" t="s">
        <v>172</v>
      </c>
      <c r="AK5" s="34">
        <f>AH5</f>
        <v>99160</v>
      </c>
      <c r="AL5" s="34">
        <f>AK5+G5</f>
        <v>99175</v>
      </c>
      <c r="AM5" s="5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M6"/>
  <sheetViews>
    <sheetView topLeftCell="Y1" workbookViewId="0">
      <selection activeCell="AI5" sqref="AI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customWidth="true" style="29" width="29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customWidth="true" style="28" width="10.28515625"/>
    <col min="35" max="35" customWidth="true" style="29" width="12.42578125"/>
    <col min="36" max="36" bestFit="true" customWidth="true" style="29" width="13.140625"/>
    <col min="37" max="37" customWidth="true" style="29" width="13.140625"/>
    <col min="38" max="38" customWidth="true" style="28" width="12.5703125"/>
    <col min="39" max="39" customWidth="true" style="29" width="15.42578125"/>
    <col min="40" max="16384" style="29" width="9.140625"/>
  </cols>
  <sheetData>
    <row r="1" spans="1:39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82"/>
      <c r="AD1" s="82"/>
      <c r="AE1" s="82"/>
      <c r="AF1" s="82"/>
      <c r="AG1" s="27"/>
    </row>
    <row r="2" spans="1:39" ht="18">
      <c r="A2" s="29" t="s">
        <v>45</v>
      </c>
      <c r="B2" s="29" t="s">
        <v>44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27"/>
    </row>
    <row r="3" spans="1:39" ht="19.899999999999999" customHeight="1">
      <c r="A3" s="196" t="s">
        <v>0</v>
      </c>
      <c r="B3" s="196"/>
      <c r="C3" s="81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9" s="31" customFormat="1" ht="42.7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21" t="s">
        <v>81</v>
      </c>
      <c r="AL4" s="20" t="s">
        <v>80</v>
      </c>
      <c r="AM4" s="58"/>
    </row>
    <row r="5" spans="1:39" ht="15">
      <c r="A5" s="10">
        <v>1</v>
      </c>
      <c r="B5" s="42" t="s">
        <v>143</v>
      </c>
      <c r="C5" s="10">
        <v>0</v>
      </c>
      <c r="D5" s="42" t="s">
        <v>143</v>
      </c>
      <c r="E5" s="10" t="s">
        <v>32</v>
      </c>
      <c r="F5" s="10" t="s">
        <v>32</v>
      </c>
      <c r="G5" s="33">
        <v>15</v>
      </c>
      <c r="H5" s="10">
        <v>50</v>
      </c>
      <c r="I5" s="9">
        <f>G5*H5</f>
        <v>750</v>
      </c>
      <c r="J5" s="34"/>
      <c r="K5" s="34"/>
      <c r="L5" s="34"/>
      <c r="M5" s="9">
        <f>I5</f>
        <v>750</v>
      </c>
      <c r="N5" s="9">
        <f>ROUND((M5*J5)/100,2)</f>
        <v>0</v>
      </c>
      <c r="O5" s="9">
        <f>I5-N5</f>
        <v>750</v>
      </c>
      <c r="P5" s="9">
        <f>ROUND((O5*K5)/100,2)</f>
        <v>0</v>
      </c>
      <c r="Q5" s="9">
        <f>ROUND(O5-P5,2)</f>
        <v>750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750</v>
      </c>
      <c r="V5" s="33">
        <v>88363222</v>
      </c>
      <c r="W5" s="22">
        <v>0.12</v>
      </c>
      <c r="X5" s="9">
        <f>IF($D$3=1,ROUND(((U5*W5)/2),2),0)</f>
        <v>45</v>
      </c>
      <c r="Y5" s="9">
        <f>IF($D$3=1,ROUND(((U5*W5)/2),2),0)</f>
        <v>45</v>
      </c>
      <c r="Z5" s="9">
        <f>IF($D$3=2,ROUND(((U5*W5)),2),0)</f>
        <v>0</v>
      </c>
      <c r="AA5" s="9">
        <f>X5+Y5+Z5</f>
        <v>90</v>
      </c>
      <c r="AB5" s="9">
        <f t="shared" ref="AB5" si="0">U5+AA5</f>
        <v>840</v>
      </c>
      <c r="AC5" s="9">
        <v>120</v>
      </c>
      <c r="AD5" s="9">
        <f t="shared" ref="AD5" si="1">U5*$N$3</f>
        <v>750</v>
      </c>
      <c r="AE5" s="8">
        <v>1</v>
      </c>
      <c r="AF5" s="9">
        <f t="shared" ref="AF5" si="2">G5/AE5</f>
        <v>15</v>
      </c>
      <c r="AG5" s="36" t="s">
        <v>237</v>
      </c>
      <c r="AH5" s="34">
        <f>AG5-AF5</f>
        <v>99160</v>
      </c>
      <c r="AI5" s="10" t="s">
        <v>216</v>
      </c>
      <c r="AJ5" s="10" t="s">
        <v>172</v>
      </c>
      <c r="AK5" s="34">
        <f>AH5</f>
        <v>99160</v>
      </c>
      <c r="AL5" s="34">
        <f>AK5+G5</f>
        <v>99175</v>
      </c>
      <c r="AM5" s="5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11" sqref="B11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customWidth="true" style="29" width="15.42578125"/>
    <col min="6" max="16384" style="29" width="9.140625"/>
  </cols>
  <sheetData>
    <row r="1" spans="1:5" ht="27.75" customHeight="1">
      <c r="A1" s="197" t="s">
        <v>129</v>
      </c>
      <c r="B1" s="197"/>
      <c r="C1" s="197"/>
      <c r="D1" s="197"/>
    </row>
    <row r="2" spans="1:5" ht="18">
      <c r="D2" s="112"/>
    </row>
    <row r="3" spans="1:5" ht="19.899999999999999" customHeight="1">
      <c r="A3" s="196"/>
      <c r="B3" s="196"/>
      <c r="C3" s="111"/>
      <c r="D3" s="111"/>
    </row>
    <row r="4" spans="1:5" s="31" customFormat="1">
      <c r="A4" s="11" t="s">
        <v>5</v>
      </c>
      <c r="B4" s="11" t="s">
        <v>120</v>
      </c>
      <c r="C4" s="11" t="s">
        <v>125</v>
      </c>
      <c r="D4" s="11" t="s">
        <v>126</v>
      </c>
      <c r="E4" s="58"/>
    </row>
    <row r="5" spans="1:5" ht="15">
      <c r="A5" s="10">
        <v>1</v>
      </c>
      <c r="B5" s="29" t="s">
        <v>265</v>
      </c>
      <c r="C5" s="42" t="s">
        <v>128</v>
      </c>
      <c r="D5" s="10">
        <v>40</v>
      </c>
      <c r="E5" s="59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D5" sqref="D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customWidth="true" style="29" width="15.42578125"/>
    <col min="6" max="16384" style="29" width="9.140625"/>
  </cols>
  <sheetData>
    <row r="1" spans="1:5" ht="27.75" customHeight="1">
      <c r="A1" s="197" t="s">
        <v>130</v>
      </c>
      <c r="B1" s="197"/>
      <c r="C1" s="197"/>
      <c r="D1" s="197"/>
    </row>
    <row r="2" spans="1:5" ht="18">
      <c r="D2" s="112"/>
    </row>
    <row r="3" spans="1:5" ht="19.899999999999999" customHeight="1">
      <c r="A3" s="196"/>
      <c r="B3" s="196"/>
      <c r="C3" s="111"/>
      <c r="D3" s="111"/>
    </row>
    <row r="4" spans="1:5" s="31" customFormat="1">
      <c r="A4" s="11" t="s">
        <v>5</v>
      </c>
      <c r="B4" s="11" t="s">
        <v>120</v>
      </c>
      <c r="C4" s="11" t="s">
        <v>125</v>
      </c>
      <c r="D4" s="11" t="s">
        <v>126</v>
      </c>
      <c r="E4" s="58"/>
    </row>
    <row r="5" spans="1:5" ht="15">
      <c r="A5" s="10">
        <v>1</v>
      </c>
      <c r="B5" s="29" t="s">
        <v>233</v>
      </c>
      <c r="C5" s="42" t="s">
        <v>127</v>
      </c>
      <c r="D5" s="10">
        <v>30</v>
      </c>
      <c r="E5" s="59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D18" sqref="D18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bestFit="true" customWidth="true" style="29" width="20.140625"/>
    <col min="7" max="9" style="29" width="9.140625"/>
    <col min="10" max="10" bestFit="true" customWidth="true" style="29" width="12.0"/>
    <col min="11" max="15" style="29" width="9.140625"/>
    <col min="16" max="16" bestFit="true" customWidth="true" style="29" width="20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65"/>
    </row>
    <row r="3" spans="1:16" ht="19.899999999999999" customHeight="1">
      <c r="A3" s="196"/>
      <c r="B3" s="196"/>
      <c r="C3" s="164"/>
      <c r="D3" s="164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135</v>
      </c>
      <c r="C5" s="42" t="s">
        <v>57</v>
      </c>
      <c r="D5" s="10" t="s">
        <v>124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7.5</v>
      </c>
      <c r="J5" s="122">
        <f>I5*(G5/C5)</f>
        <v>17.5</v>
      </c>
      <c r="K5" s="10">
        <f>I5*G5</f>
        <v>262.5</v>
      </c>
      <c r="L5" s="124">
        <v>0.18</v>
      </c>
      <c r="M5" s="10">
        <f>K5*L5</f>
        <v>47.25</v>
      </c>
      <c r="N5" s="10" t="s">
        <v>32</v>
      </c>
      <c r="O5" s="123">
        <v>88363221</v>
      </c>
      <c r="P5" s="10" t="s">
        <v>218</v>
      </c>
    </row>
    <row r="12" spans="1:16">
      <c r="D12" s="115"/>
    </row>
    <row r="13" spans="1:16">
      <c r="D13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P13"/>
  <sheetViews>
    <sheetView topLeftCell="D1" workbookViewId="0">
      <selection activeCell="P5" sqref="P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bestFit="true" customWidth="true" style="29" width="20.140625"/>
    <col min="7" max="9" style="29" width="9.140625"/>
    <col min="10" max="10" bestFit="true" customWidth="true" style="29" width="12.0"/>
    <col min="11" max="15" style="29" width="9.140625"/>
    <col min="16" max="16" bestFit="true" customWidth="true" style="29" width="20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12"/>
    </row>
    <row r="3" spans="1:16" ht="19.899999999999999" customHeight="1">
      <c r="A3" s="196"/>
      <c r="B3" s="196"/>
      <c r="C3" s="111"/>
      <c r="D3" s="111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135</v>
      </c>
      <c r="C5" s="42" t="s">
        <v>57</v>
      </c>
      <c r="D5" s="10" t="s">
        <v>124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7.5</v>
      </c>
      <c r="J5" s="122">
        <f>I5*(G5/C5)</f>
        <v>17.5</v>
      </c>
      <c r="K5" s="10">
        <f>I5*G5</f>
        <v>262.5</v>
      </c>
      <c r="L5" s="124">
        <v>0.18</v>
      </c>
      <c r="M5" s="10">
        <f>K5*L5</f>
        <v>47.25</v>
      </c>
      <c r="N5" s="10" t="s">
        <v>32</v>
      </c>
      <c r="O5" s="123">
        <v>88363221</v>
      </c>
      <c r="P5" s="10" t="s">
        <v>211</v>
      </c>
    </row>
    <row r="12" spans="1:16">
      <c r="D12" s="115"/>
    </row>
    <row r="13" spans="1:16">
      <c r="D13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selection activeCell="B5" sqref="B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customWidth="true" style="29" width="12.0"/>
    <col min="7" max="15" style="29" width="9.140625"/>
    <col min="16" max="16" bestFit="true" customWidth="true" style="29" width="14.8554687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68"/>
    </row>
    <row r="3" spans="1:16" ht="19.899999999999999" customHeight="1">
      <c r="A3" s="196"/>
      <c r="B3" s="196"/>
      <c r="C3" s="167"/>
      <c r="D3" s="167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135</v>
      </c>
      <c r="C5" s="114" t="s">
        <v>138</v>
      </c>
      <c r="D5" s="10" t="s">
        <v>124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12.5</v>
      </c>
      <c r="J5" s="122">
        <f>I5*(G5/C5)</f>
        <v>17.5</v>
      </c>
      <c r="K5" s="10">
        <f>I5*G5</f>
        <v>437.5</v>
      </c>
      <c r="L5" s="124">
        <v>0.18</v>
      </c>
      <c r="M5" s="10">
        <f>K5*L5</f>
        <v>78.75</v>
      </c>
      <c r="N5" s="10" t="s">
        <v>32</v>
      </c>
      <c r="O5" s="123">
        <v>88363221</v>
      </c>
      <c r="P5" s="195" t="s">
        <v>273</v>
      </c>
    </row>
    <row r="11" spans="1:16">
      <c r="D11" s="115"/>
    </row>
    <row r="12" spans="1:16">
      <c r="D12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P12"/>
  <sheetViews>
    <sheetView topLeftCell="C1" workbookViewId="0">
      <selection activeCell="B23" sqref="B23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customWidth="true" style="29" width="12.0"/>
    <col min="7" max="15" style="29" width="9.140625"/>
    <col min="16" max="16" bestFit="true" customWidth="true" style="29" width="12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12"/>
    </row>
    <row r="3" spans="1:16" ht="19.899999999999999" customHeight="1">
      <c r="A3" s="196"/>
      <c r="B3" s="196"/>
      <c r="C3" s="111"/>
      <c r="D3" s="111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135</v>
      </c>
      <c r="C5" s="114" t="s">
        <v>138</v>
      </c>
      <c r="D5" s="10" t="s">
        <v>124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12.5</v>
      </c>
      <c r="J5" s="122">
        <f>I5*(G5/C5)</f>
        <v>17.5</v>
      </c>
      <c r="K5" s="10">
        <f>I5*G5</f>
        <v>437.5</v>
      </c>
      <c r="L5" s="124">
        <v>0.18</v>
      </c>
      <c r="M5" s="10">
        <f>K5*L5</f>
        <v>78.75</v>
      </c>
      <c r="N5" s="10" t="s">
        <v>32</v>
      </c>
      <c r="O5" s="123">
        <v>88363221</v>
      </c>
      <c r="P5" s="10" t="s">
        <v>139</v>
      </c>
    </row>
    <row r="11" spans="1:16">
      <c r="D11" s="115"/>
    </row>
    <row r="12" spans="1:16">
      <c r="D12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selection activeCell="E12" sqref="E12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customWidth="true" style="29" width="11.5703125"/>
    <col min="7" max="9" style="29" width="9.140625"/>
    <col min="10" max="10" bestFit="true" customWidth="true" style="29" width="12.0"/>
    <col min="11" max="15" style="29" width="9.140625"/>
    <col min="16" max="16" bestFit="true" customWidth="true" style="29" width="20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65"/>
    </row>
    <row r="3" spans="1:16" ht="19.899999999999999" customHeight="1">
      <c r="A3" s="196"/>
      <c r="B3" s="196"/>
      <c r="C3" s="164"/>
      <c r="D3" s="164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144</v>
      </c>
      <c r="C5" s="114" t="s">
        <v>138</v>
      </c>
      <c r="D5" s="10" t="s">
        <v>146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12.5</v>
      </c>
      <c r="J5" s="122">
        <f>I5*(G5/C5)</f>
        <v>17.5</v>
      </c>
      <c r="K5" s="10">
        <f>I5*G5</f>
        <v>437.5</v>
      </c>
      <c r="L5" s="124">
        <v>0.18</v>
      </c>
      <c r="M5" s="10">
        <f>K5*L5</f>
        <v>78.75</v>
      </c>
      <c r="N5" s="10" t="s">
        <v>32</v>
      </c>
      <c r="O5" s="123">
        <v>88363221</v>
      </c>
      <c r="P5" s="166" t="s">
        <v>220</v>
      </c>
    </row>
    <row r="12" spans="1:16">
      <c r="D12" s="115"/>
    </row>
    <row r="13" spans="1:16">
      <c r="D13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P13"/>
  <sheetViews>
    <sheetView topLeftCell="C1" workbookViewId="0">
      <selection activeCell="P5" sqref="P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customWidth="true" style="29" width="11.5703125"/>
    <col min="7" max="9" style="29" width="9.140625"/>
    <col min="10" max="10" bestFit="true" customWidth="true" style="29" width="12.0"/>
    <col min="11" max="15" style="29" width="9.140625"/>
    <col min="16" max="16" bestFit="true" customWidth="true" style="29" width="20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19"/>
    </row>
    <row r="3" spans="1:16" ht="19.899999999999999" customHeight="1">
      <c r="A3" s="196"/>
      <c r="B3" s="196"/>
      <c r="C3" s="118"/>
      <c r="D3" s="118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144</v>
      </c>
      <c r="C5" s="114" t="s">
        <v>138</v>
      </c>
      <c r="D5" s="10" t="s">
        <v>146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12.5</v>
      </c>
      <c r="J5" s="122">
        <f>I5*(G5/C5)</f>
        <v>17.5</v>
      </c>
      <c r="K5" s="10">
        <f>I5*G5</f>
        <v>437.5</v>
      </c>
      <c r="L5" s="124">
        <v>0.18</v>
      </c>
      <c r="M5" s="10">
        <f>K5*L5</f>
        <v>78.75</v>
      </c>
      <c r="N5" s="10" t="s">
        <v>32</v>
      </c>
      <c r="O5" s="123">
        <v>88363221</v>
      </c>
      <c r="P5" s="10" t="s">
        <v>215</v>
      </c>
    </row>
    <row r="12" spans="1:16">
      <c r="D12" s="115"/>
    </row>
    <row r="13" spans="1:16">
      <c r="D13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selection activeCell="D5" sqref="D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customWidth="true" style="29" width="13.140625"/>
    <col min="7" max="9" style="29" width="9.140625"/>
    <col min="10" max="10" customWidth="true" style="29" width="11.140625"/>
    <col min="11" max="15" style="29" width="9.140625"/>
    <col min="16" max="16" bestFit="true" customWidth="true" style="29" width="20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65"/>
    </row>
    <row r="3" spans="1:16" ht="19.899999999999999" customHeight="1">
      <c r="A3" s="196"/>
      <c r="B3" s="196"/>
      <c r="C3" s="164"/>
      <c r="D3" s="164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137</v>
      </c>
      <c r="C5" s="114" t="s">
        <v>138</v>
      </c>
      <c r="D5" s="10" t="s">
        <v>271</v>
      </c>
      <c r="E5" s="67" t="s">
        <v>133</v>
      </c>
      <c r="F5" s="10">
        <v>2</v>
      </c>
      <c r="G5" s="10">
        <v>35</v>
      </c>
      <c r="H5" s="10">
        <v>2</v>
      </c>
      <c r="I5" s="10">
        <f>ROUND(C5*H5/F5,3)</f>
        <v>25</v>
      </c>
      <c r="J5" s="122">
        <f>I5*(G5/C5)</f>
        <v>35</v>
      </c>
      <c r="K5" s="10">
        <f>I5*G5</f>
        <v>875</v>
      </c>
      <c r="L5" s="124">
        <v>0.18</v>
      </c>
      <c r="M5" s="10">
        <f>K5*L5</f>
        <v>157.5</v>
      </c>
      <c r="N5" s="10" t="s">
        <v>158</v>
      </c>
      <c r="O5" s="123">
        <v>88363221</v>
      </c>
      <c r="P5" s="10" t="s">
        <v>219</v>
      </c>
    </row>
    <row r="11" spans="1:16">
      <c r="D11" s="115"/>
    </row>
    <row r="12" spans="1:16">
      <c r="D12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selection activeCell="D5" sqref="D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6" customWidth="true" style="29" width="13.140625"/>
    <col min="7" max="9" style="29" width="9.140625"/>
    <col min="10" max="10" customWidth="true" style="29" width="11.140625"/>
    <col min="11" max="15" style="29" width="9.140625"/>
    <col min="16" max="16" bestFit="true" customWidth="true" style="29" width="20.140625"/>
    <col min="17" max="16384" style="29" width="9.140625"/>
  </cols>
  <sheetData>
    <row r="1" spans="1:16" ht="27.75" customHeight="1">
      <c r="A1" s="197" t="s">
        <v>134</v>
      </c>
      <c r="B1" s="197"/>
      <c r="C1" s="197"/>
      <c r="D1" s="197"/>
    </row>
    <row r="2" spans="1:16" ht="18">
      <c r="D2" s="112"/>
    </row>
    <row r="3" spans="1:16" ht="19.899999999999999" customHeight="1">
      <c r="A3" s="196"/>
      <c r="B3" s="196"/>
      <c r="C3" s="111"/>
      <c r="D3" s="111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114" t="s">
        <v>137</v>
      </c>
      <c r="C5" s="114" t="s">
        <v>138</v>
      </c>
      <c r="D5" s="10" t="s">
        <v>271</v>
      </c>
      <c r="E5" s="67" t="s">
        <v>133</v>
      </c>
      <c r="F5" s="10">
        <v>2</v>
      </c>
      <c r="G5" s="10">
        <v>35</v>
      </c>
      <c r="H5" s="10">
        <v>2</v>
      </c>
      <c r="I5" s="10">
        <f>ROUND(C5*H5/F5,3)</f>
        <v>25</v>
      </c>
      <c r="J5" s="122">
        <f>I5*(G5/C5)</f>
        <v>35</v>
      </c>
      <c r="K5" s="10">
        <f>I5*G5</f>
        <v>875</v>
      </c>
      <c r="L5" s="124">
        <v>0.18</v>
      </c>
      <c r="M5" s="10">
        <f>K5*L5</f>
        <v>157.5</v>
      </c>
      <c r="N5" s="10" t="s">
        <v>158</v>
      </c>
      <c r="O5" s="123">
        <v>88363221</v>
      </c>
      <c r="P5" s="10" t="s">
        <v>212</v>
      </c>
    </row>
    <row r="11" spans="1:16">
      <c r="D11" s="115"/>
    </row>
    <row r="12" spans="1:16">
      <c r="D12" s="10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selection activeCell="D5" sqref="D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16384" style="29" width="9.140625"/>
  </cols>
  <sheetData>
    <row r="1" spans="1:15" ht="27.75" customHeight="1">
      <c r="A1" s="197" t="s">
        <v>134</v>
      </c>
      <c r="B1" s="197"/>
      <c r="C1" s="197"/>
      <c r="D1" s="197"/>
    </row>
    <row r="2" spans="1:15" ht="18">
      <c r="D2" s="112"/>
    </row>
    <row r="3" spans="1:15" ht="19.899999999999999" customHeight="1">
      <c r="A3" s="196"/>
      <c r="B3" s="196"/>
      <c r="C3" s="111"/>
      <c r="D3" s="111"/>
    </row>
    <row r="4" spans="1:15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</row>
    <row r="5" spans="1:15" ht="15">
      <c r="A5" s="10">
        <v>1</v>
      </c>
      <c r="B5" s="42" t="s">
        <v>131</v>
      </c>
      <c r="C5" s="42" t="s">
        <v>57</v>
      </c>
      <c r="D5" s="10" t="s">
        <v>271</v>
      </c>
      <c r="E5" s="67" t="s">
        <v>133</v>
      </c>
      <c r="F5" s="10">
        <v>2</v>
      </c>
      <c r="G5" s="10">
        <v>50</v>
      </c>
      <c r="H5" s="10">
        <v>2</v>
      </c>
      <c r="I5" s="10">
        <f>ROUND(C5*H5/F5,3)</f>
        <v>15</v>
      </c>
      <c r="J5" s="122">
        <f>I5*(G5/C5)</f>
        <v>50</v>
      </c>
      <c r="K5" s="10">
        <f>I5*G5</f>
        <v>750</v>
      </c>
      <c r="L5" s="124">
        <v>0.18</v>
      </c>
      <c r="M5" s="10">
        <f>K5*L5</f>
        <v>135</v>
      </c>
      <c r="N5" s="10" t="s">
        <v>158</v>
      </c>
      <c r="O5" s="123">
        <v>88363221</v>
      </c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P15"/>
  <sheetViews>
    <sheetView workbookViewId="0">
      <selection activeCell="B5" sqref="B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7.42578125"/>
    <col min="5" max="5" bestFit="true" customWidth="true" style="29" width="19.5703125"/>
    <col min="6" max="6" bestFit="true" customWidth="true" style="29" width="12.140625"/>
    <col min="7" max="9" style="29" width="9.140625"/>
    <col min="10" max="10" customWidth="true" style="29" width="11.7109375"/>
    <col min="11" max="15" style="29" width="9.140625"/>
    <col min="16" max="16" bestFit="true" customWidth="true" style="29" width="12.140625"/>
    <col min="17" max="16384" style="29" width="9.140625"/>
  </cols>
  <sheetData>
    <row r="1" spans="1:16" ht="27.75" customHeight="1">
      <c r="A1" s="197" t="s">
        <v>145</v>
      </c>
      <c r="B1" s="197"/>
      <c r="C1" s="197"/>
      <c r="D1" s="197"/>
    </row>
    <row r="2" spans="1:16" ht="18">
      <c r="D2" s="168"/>
    </row>
    <row r="3" spans="1:16" ht="19.899999999999999" customHeight="1">
      <c r="A3" s="196"/>
      <c r="B3" s="196"/>
      <c r="C3" s="167"/>
      <c r="D3" s="167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42" t="s">
        <v>144</v>
      </c>
      <c r="C5" s="42" t="s">
        <v>57</v>
      </c>
      <c r="D5" s="10" t="s">
        <v>140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7.5</v>
      </c>
      <c r="J5" s="122">
        <f>I5*(G5/C5)</f>
        <v>17.5</v>
      </c>
      <c r="K5" s="10">
        <f>I5*G5</f>
        <v>262.5</v>
      </c>
      <c r="L5" s="124">
        <v>0.18</v>
      </c>
      <c r="M5" s="10">
        <f>K5*L5</f>
        <v>47.25</v>
      </c>
      <c r="N5" s="10" t="s">
        <v>32</v>
      </c>
      <c r="O5" s="123">
        <v>88363221</v>
      </c>
      <c r="P5" s="10" t="s">
        <v>273</v>
      </c>
    </row>
    <row r="14" spans="1:16">
      <c r="D14" s="125"/>
    </row>
    <row r="15" spans="1:16">
      <c r="D15" s="66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P15"/>
  <sheetViews>
    <sheetView topLeftCell="C1" workbookViewId="0">
      <selection activeCell="P5" sqref="P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7.42578125"/>
    <col min="5" max="5" bestFit="true" customWidth="true" style="29" width="19.5703125"/>
    <col min="6" max="6" bestFit="true" customWidth="true" style="29" width="12.140625"/>
    <col min="7" max="9" style="29" width="9.140625"/>
    <col min="10" max="10" customWidth="true" style="29" width="11.7109375"/>
    <col min="11" max="15" style="29" width="9.140625"/>
    <col min="16" max="16" bestFit="true" customWidth="true" style="29" width="12.140625"/>
    <col min="17" max="16384" style="29" width="9.140625"/>
  </cols>
  <sheetData>
    <row r="1" spans="1:16" ht="27.75" customHeight="1">
      <c r="A1" s="197" t="s">
        <v>145</v>
      </c>
      <c r="B1" s="197"/>
      <c r="C1" s="197"/>
      <c r="D1" s="197"/>
    </row>
    <row r="2" spans="1:16" ht="18">
      <c r="D2" s="121"/>
    </row>
    <row r="3" spans="1:16" ht="19.899999999999999" customHeight="1">
      <c r="A3" s="196"/>
      <c r="B3" s="196"/>
      <c r="C3" s="120"/>
      <c r="D3" s="120"/>
    </row>
    <row r="4" spans="1:16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136</v>
      </c>
    </row>
    <row r="5" spans="1:16" ht="15">
      <c r="A5" s="10">
        <v>1</v>
      </c>
      <c r="B5" s="42" t="s">
        <v>144</v>
      </c>
      <c r="C5" s="42" t="s">
        <v>57</v>
      </c>
      <c r="D5" s="10" t="s">
        <v>140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7.5</v>
      </c>
      <c r="J5" s="122">
        <f>I5*(G5/C5)</f>
        <v>17.5</v>
      </c>
      <c r="K5" s="10">
        <f>I5*G5</f>
        <v>262.5</v>
      </c>
      <c r="L5" s="124">
        <v>0.18</v>
      </c>
      <c r="M5" s="10">
        <f>K5*L5</f>
        <v>47.25</v>
      </c>
      <c r="N5" s="10" t="s">
        <v>32</v>
      </c>
      <c r="O5" s="123">
        <v>88363221</v>
      </c>
      <c r="P5" s="10" t="s">
        <v>139</v>
      </c>
    </row>
    <row r="14" spans="1:16">
      <c r="D14" s="125"/>
    </row>
    <row r="15" spans="1:16">
      <c r="D15" s="66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selection activeCell="O5" sqref="O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9" style="29" width="9.140625"/>
    <col min="10" max="10" customWidth="true" style="29" width="11.0"/>
    <col min="11" max="16384" style="29" width="9.140625"/>
  </cols>
  <sheetData>
    <row r="1" spans="1:15" ht="27.75" customHeight="1">
      <c r="A1" s="197" t="s">
        <v>142</v>
      </c>
      <c r="B1" s="197"/>
      <c r="C1" s="197"/>
      <c r="D1" s="197"/>
    </row>
    <row r="2" spans="1:15" ht="18">
      <c r="D2" s="117"/>
    </row>
    <row r="3" spans="1:15" ht="19.899999999999999" customHeight="1">
      <c r="A3" s="196"/>
      <c r="B3" s="196"/>
      <c r="C3" s="116"/>
      <c r="D3" s="116"/>
    </row>
    <row r="4" spans="1:15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</row>
    <row r="5" spans="1:15" ht="15">
      <c r="A5" s="10">
        <v>1</v>
      </c>
      <c r="B5" s="42" t="s">
        <v>141</v>
      </c>
      <c r="C5" s="42" t="s">
        <v>57</v>
      </c>
      <c r="D5" s="10" t="s">
        <v>140</v>
      </c>
      <c r="E5" s="67" t="s">
        <v>133</v>
      </c>
      <c r="F5" s="10">
        <v>2</v>
      </c>
      <c r="G5" s="10">
        <v>35</v>
      </c>
      <c r="H5" s="10">
        <v>1</v>
      </c>
      <c r="I5" s="10">
        <f>ROUND(C5*H5/F5,3)</f>
        <v>7.5</v>
      </c>
      <c r="J5" s="122">
        <f>I5*(G5/C5)</f>
        <v>17.5</v>
      </c>
      <c r="K5" s="10">
        <f>I5*G5</f>
        <v>262.5</v>
      </c>
      <c r="L5" s="124">
        <v>0.18</v>
      </c>
      <c r="M5" s="10">
        <f>K5*L5</f>
        <v>47.25</v>
      </c>
      <c r="N5" s="10" t="s">
        <v>32</v>
      </c>
      <c r="O5" s="123">
        <v>88363221</v>
      </c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M6"/>
  <sheetViews>
    <sheetView tabSelected="1" workbookViewId="0">
      <selection activeCell="T5" sqref="T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customWidth="true" style="29" width="15.28515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165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29"/>
      <c r="AE1" s="129"/>
      <c r="AF1" s="129"/>
      <c r="AG1" s="129"/>
      <c r="AH1" s="27"/>
    </row>
    <row r="2" spans="1:39" ht="18">
      <c r="A2" s="29" t="s">
        <v>45</v>
      </c>
      <c r="B2" s="29" t="s">
        <v>44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27"/>
    </row>
    <row r="3" spans="1:39" ht="19.899999999999999" customHeight="1">
      <c r="A3" s="196" t="s">
        <v>0</v>
      </c>
      <c r="B3" s="196"/>
      <c r="C3" s="128"/>
      <c r="D3" s="3">
        <v>1</v>
      </c>
      <c r="E3" s="4" t="s">
        <v>167</v>
      </c>
      <c r="F3" s="5"/>
      <c r="G3" s="5"/>
      <c r="H3" s="5"/>
      <c r="I3" s="6"/>
      <c r="J3" s="6">
        <v>2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s="29" t="s">
        <v>138</v>
      </c>
      <c r="D5" s="10" t="s">
        <v>124</v>
      </c>
      <c r="E5" s="67" t="s">
        <v>133</v>
      </c>
      <c r="F5" s="29" t="s">
        <v>127</v>
      </c>
      <c r="G5" s="29" t="s">
        <v>272</v>
      </c>
      <c r="H5" s="29" t="s">
        <v>159</v>
      </c>
      <c r="I5" s="10">
        <f>ROUND(C5*H5/F5,3)</f>
        <v>7.5</v>
      </c>
      <c r="J5" s="10">
        <f>I5*(G5/C5)</f>
        <v>15</v>
      </c>
      <c r="K5" s="10">
        <f>I5*G5</f>
        <v>225</v>
      </c>
      <c r="L5" s="29" t="s">
        <v>32</v>
      </c>
      <c r="M5" s="33">
        <v>88363221</v>
      </c>
      <c r="N5" s="22">
        <v>0.18</v>
      </c>
      <c r="O5" s="34">
        <f>IF($D$3=1,ROUND(((K5*N5)/2),2),0)</f>
        <v>20.25</v>
      </c>
      <c r="P5" s="34">
        <f>IF($D$3=1,ROUND(((K5*N5)/2),2),0)</f>
        <v>20.25</v>
      </c>
      <c r="Q5" s="34">
        <f>IF($D$3=2,ROUND((K5*N5),2),0)</f>
        <v>0</v>
      </c>
      <c r="R5" s="34">
        <f>IF($D$3=4,ROUND((K5*N5),2),0)</f>
        <v>0</v>
      </c>
      <c r="S5" s="34">
        <f>ROUND(O5+P5+Q5+R5,2)</f>
        <v>40.5</v>
      </c>
      <c r="T5" s="34">
        <f>ROUND(IF($J$3=1, K5+S5, K5),2)</f>
        <v>225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3:B3"/>
    <mergeCell ref="A1:AC1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selection activeCell="K21" sqref="K21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customWidth="true" style="29" width="15.28515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164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29"/>
      <c r="AE1" s="129"/>
      <c r="AF1" s="129"/>
      <c r="AG1" s="129"/>
      <c r="AH1" s="27"/>
    </row>
    <row r="2" spans="1:39" ht="18">
      <c r="A2" s="29" t="s">
        <v>45</v>
      </c>
      <c r="B2" s="29" t="s">
        <v>44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27"/>
    </row>
    <row r="3" spans="1:39" ht="19.899999999999999" customHeight="1">
      <c r="A3" s="196" t="s">
        <v>0</v>
      </c>
      <c r="B3" s="196"/>
      <c r="C3" s="128"/>
      <c r="D3" s="3">
        <v>2</v>
      </c>
      <c r="E3" s="4" t="s">
        <v>167</v>
      </c>
      <c r="F3" s="5"/>
      <c r="G3" s="5"/>
      <c r="H3" s="5"/>
      <c r="I3" s="6"/>
      <c r="J3" s="6">
        <v>1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s="29" t="s">
        <v>162</v>
      </c>
      <c r="D5" s="10" t="s">
        <v>124</v>
      </c>
      <c r="E5" s="67" t="s">
        <v>133</v>
      </c>
      <c r="F5" s="29" t="s">
        <v>127</v>
      </c>
      <c r="G5" s="29" t="s">
        <v>138</v>
      </c>
      <c r="H5" s="29" t="s">
        <v>127</v>
      </c>
      <c r="I5" s="10">
        <f>ROUND(C5*H5/F5,3)</f>
        <v>12.5</v>
      </c>
      <c r="J5" s="10">
        <f>I5*(G5/C5)</f>
        <v>15</v>
      </c>
      <c r="K5" s="10">
        <f>I5*G5</f>
        <v>375</v>
      </c>
      <c r="L5" s="29" t="s">
        <v>158</v>
      </c>
      <c r="M5" s="33">
        <v>88363221</v>
      </c>
      <c r="N5" s="22">
        <v>0.18</v>
      </c>
      <c r="O5" s="34">
        <f>IF($D$3=1,ROUND(((K5*N5)/2),2),0)</f>
        <v>0</v>
      </c>
      <c r="P5" s="34">
        <f>IF($D$3=1,ROUND(((K5*N5)/2),2),0)</f>
        <v>0</v>
      </c>
      <c r="Q5" s="34">
        <f>IF($D$3=2,ROUND((K5*N5),2),0)</f>
        <v>67.5</v>
      </c>
      <c r="R5" s="34">
        <f>IF($D$3=4,ROUND((K5*N5),2),0)</f>
        <v>0</v>
      </c>
      <c r="S5" s="34">
        <f>ROUND(O5+P5+Q5+R5,2)</f>
        <v>67.5</v>
      </c>
      <c r="T5" s="34">
        <f>ROUND(IF($J$3=1, K5+S5, K5),2)</f>
        <v>442.5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3:B3"/>
    <mergeCell ref="A1:AC1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selection activeCell="I10" sqref="I10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customWidth="true" style="29" width="15.28515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170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29"/>
      <c r="AE1" s="129"/>
      <c r="AF1" s="129"/>
      <c r="AG1" s="129"/>
      <c r="AH1" s="27"/>
    </row>
    <row r="2" spans="1:39" ht="18">
      <c r="A2" s="29" t="s">
        <v>45</v>
      </c>
      <c r="B2" s="29" t="s">
        <v>44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27"/>
    </row>
    <row r="3" spans="1:39" ht="19.899999999999999" customHeight="1">
      <c r="A3" s="196" t="s">
        <v>0</v>
      </c>
      <c r="B3" s="196"/>
      <c r="C3" s="128"/>
      <c r="D3" s="3">
        <v>4</v>
      </c>
      <c r="E3" s="4" t="s">
        <v>167</v>
      </c>
      <c r="F3" s="5"/>
      <c r="G3" s="5"/>
      <c r="H3" s="5"/>
      <c r="I3" s="6"/>
      <c r="J3" s="6">
        <v>1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s="29" t="s">
        <v>162</v>
      </c>
      <c r="D5" s="10" t="s">
        <v>124</v>
      </c>
      <c r="E5" s="67" t="s">
        <v>133</v>
      </c>
      <c r="F5" s="29" t="s">
        <v>127</v>
      </c>
      <c r="G5" s="29" t="s">
        <v>272</v>
      </c>
      <c r="H5" s="29" t="s">
        <v>159</v>
      </c>
      <c r="I5" s="10">
        <f>ROUND(C5*H5/F5,3)</f>
        <v>12.5</v>
      </c>
      <c r="J5" s="10">
        <f>I5*(G5/C5)</f>
        <v>15</v>
      </c>
      <c r="K5" s="10">
        <f>I5*G5</f>
        <v>375</v>
      </c>
      <c r="L5" s="29" t="s">
        <v>32</v>
      </c>
      <c r="M5" s="33">
        <v>88363221</v>
      </c>
      <c r="N5" s="22">
        <v>0.18</v>
      </c>
      <c r="O5" s="34">
        <f>IF(OR($D$3=1,$D$3=4),ROUND(((K5*N5)/2),2),0)</f>
        <v>33.75</v>
      </c>
      <c r="P5" s="34">
        <f>IF($D$3=1,ROUND(((K5*N5)/2),2),0)</f>
        <v>0</v>
      </c>
      <c r="Q5" s="34">
        <f>IF($D$3=2,ROUND((K5*N5),2),0)</f>
        <v>0</v>
      </c>
      <c r="R5" s="34">
        <f>IF($D$3=4,ROUND(((K5*N5)/2),2),0)</f>
        <v>33.75</v>
      </c>
      <c r="S5" s="34">
        <f>ROUND(O5+P5+Q5+R5,2)</f>
        <v>67.5</v>
      </c>
      <c r="T5" s="34">
        <f>ROUND(IF($J$3=1, K5+S5, K5),2)</f>
        <v>442.5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1:AC1"/>
    <mergeCell ref="A3:B3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selection activeCell="G25" sqref="G2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customWidth="true" style="29" width="15.28515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169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29"/>
      <c r="AE1" s="129"/>
      <c r="AF1" s="129"/>
      <c r="AG1" s="129"/>
      <c r="AH1" s="27"/>
    </row>
    <row r="2" spans="1:39" ht="18">
      <c r="A2" s="29" t="s">
        <v>45</v>
      </c>
      <c r="B2" s="29" t="s">
        <v>44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27"/>
    </row>
    <row r="3" spans="1:39" ht="19.899999999999999" customHeight="1">
      <c r="A3" s="196" t="s">
        <v>0</v>
      </c>
      <c r="B3" s="196"/>
      <c r="C3" s="128"/>
      <c r="D3" s="3">
        <v>4</v>
      </c>
      <c r="E3" s="4" t="s">
        <v>167</v>
      </c>
      <c r="F3" s="5"/>
      <c r="G3" s="5"/>
      <c r="H3" s="5"/>
      <c r="I3" s="6"/>
      <c r="J3" s="6">
        <v>2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s="29" t="s">
        <v>138</v>
      </c>
      <c r="D5" s="10" t="s">
        <v>124</v>
      </c>
      <c r="E5" s="67" t="s">
        <v>133</v>
      </c>
      <c r="F5" s="29" t="s">
        <v>127</v>
      </c>
      <c r="G5" s="29" t="s">
        <v>272</v>
      </c>
      <c r="H5" s="29" t="s">
        <v>159</v>
      </c>
      <c r="I5" s="10">
        <f>ROUND(C5*H5/F5,3)</f>
        <v>12.5</v>
      </c>
      <c r="J5" s="10">
        <f>I5*(G5/C5)</f>
        <v>15</v>
      </c>
      <c r="K5" s="10">
        <f>I5*G5</f>
        <v>375</v>
      </c>
      <c r="L5" s="29" t="s">
        <v>32</v>
      </c>
      <c r="M5" s="33">
        <v>88363221</v>
      </c>
      <c r="N5" s="22">
        <v>0.18</v>
      </c>
      <c r="O5" s="34">
        <f>IF(OR($D$3=1,$D$3=4),ROUND(((K5*N5)/2),2),0)</f>
        <v>33.75</v>
      </c>
      <c r="P5" s="34">
        <f>IF($D$3=1,ROUND(((K5*N5)/2),2),0)</f>
        <v>0</v>
      </c>
      <c r="Q5" s="34">
        <f>IF($D$3=2,ROUND((K5*N5),2),0)</f>
        <v>0</v>
      </c>
      <c r="R5" s="34">
        <f>IF($D$3=4,ROUND(((K5*N5)/2),2),0)</f>
        <v>33.75</v>
      </c>
      <c r="S5" s="34">
        <f>ROUND(O5+P5+Q5+R5,2)</f>
        <v>67.5</v>
      </c>
      <c r="T5" s="34">
        <f>ROUND(IF($J$3=1, K5+S5, K5),2)</f>
        <v>375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1:AC1"/>
    <mergeCell ref="A3:B3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selection activeCell="E16" sqref="E16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customWidth="true" style="29" width="15.28515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163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29"/>
      <c r="AE1" s="129"/>
      <c r="AF1" s="129"/>
      <c r="AG1" s="129"/>
      <c r="AH1" s="27"/>
    </row>
    <row r="2" spans="1:39" ht="18">
      <c r="A2" s="29" t="s">
        <v>45</v>
      </c>
      <c r="B2" s="29" t="s">
        <v>44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27"/>
    </row>
    <row r="3" spans="1:39" ht="19.899999999999999" customHeight="1">
      <c r="A3" s="196" t="s">
        <v>0</v>
      </c>
      <c r="B3" s="196"/>
      <c r="C3" s="128"/>
      <c r="D3" s="3">
        <v>2</v>
      </c>
      <c r="E3" s="4" t="s">
        <v>167</v>
      </c>
      <c r="F3" s="5"/>
      <c r="G3" s="5"/>
      <c r="H3" s="5"/>
      <c r="I3" s="6"/>
      <c r="J3" s="6">
        <v>2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s="29" t="s">
        <v>57</v>
      </c>
      <c r="D5" s="10" t="s">
        <v>124</v>
      </c>
      <c r="E5" s="67" t="s">
        <v>133</v>
      </c>
      <c r="F5" s="29" t="s">
        <v>127</v>
      </c>
      <c r="G5" s="29" t="s">
        <v>217</v>
      </c>
      <c r="H5" s="29" t="s">
        <v>159</v>
      </c>
      <c r="I5" s="10">
        <f>ROUND(C5*H5/F5,3)</f>
        <v>12.5</v>
      </c>
      <c r="J5" s="10">
        <f>I5*(G5/C5)</f>
        <v>15</v>
      </c>
      <c r="K5" s="10">
        <f>I5*G5</f>
        <v>375</v>
      </c>
      <c r="L5" s="29" t="s">
        <v>32</v>
      </c>
      <c r="M5" s="33">
        <v>88363221</v>
      </c>
      <c r="N5" s="22">
        <v>0.18</v>
      </c>
      <c r="O5" s="34">
        <f>IF($D$3=1,ROUND(((K5*N5)/2),2),0)</f>
        <v>0</v>
      </c>
      <c r="P5" s="34">
        <f>IF($D$3=1,ROUND(((K5*N5)/2),2),0)</f>
        <v>0</v>
      </c>
      <c r="Q5" s="34">
        <f>IF($D$3=2,ROUND((K5*N5),2),0)</f>
        <v>67.5</v>
      </c>
      <c r="R5" s="34">
        <f>IF($D$3=4,ROUND((K5*N5),2),0)</f>
        <v>0</v>
      </c>
      <c r="S5" s="34">
        <f>ROUND(O5+P5+Q5+R5,2)</f>
        <v>67.5</v>
      </c>
      <c r="T5" s="34">
        <f>ROUND(IF($J$3=1, K5+S5, K5),2)</f>
        <v>375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3:B3"/>
    <mergeCell ref="A1:AC1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selection activeCell="I5" sqref="I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bestFit="true" customWidth="true" style="29" width="60.140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161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29"/>
      <c r="AE1" s="129"/>
      <c r="AF1" s="129"/>
      <c r="AG1" s="129"/>
      <c r="AH1" s="27"/>
    </row>
    <row r="2" spans="1:39" ht="18">
      <c r="A2" s="29" t="s">
        <v>45</v>
      </c>
      <c r="B2" s="29" t="s">
        <v>44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27"/>
    </row>
    <row r="3" spans="1:39" ht="19.899999999999999" customHeight="1">
      <c r="A3" s="196" t="s">
        <v>0</v>
      </c>
      <c r="B3" s="196"/>
      <c r="C3" s="128"/>
      <c r="D3" s="3">
        <v>1</v>
      </c>
      <c r="E3" s="4" t="s">
        <v>167</v>
      </c>
      <c r="F3" s="5"/>
      <c r="G3" s="5"/>
      <c r="H3" s="5"/>
      <c r="I3" s="6"/>
      <c r="J3" s="6">
        <v>1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t="s" s="29">
        <v>162</v>
      </c>
      <c r="D5" s="10" t="s">
        <v>124</v>
      </c>
      <c r="E5" s="67" t="s">
        <v>133</v>
      </c>
      <c r="F5" t="s" s="29">
        <v>127</v>
      </c>
      <c r="G5" t="s" s="29">
        <v>272</v>
      </c>
      <c r="H5" t="s" s="29">
        <v>159</v>
      </c>
      <c r="I5" s="10">
        <f>ROUND(C5*H5/F5,3)</f>
        <v>10</v>
      </c>
      <c r="J5" s="10">
        <f>I5*(G5/C5)</f>
        <v>15</v>
      </c>
      <c r="K5" s="10">
        <f>I5*G5</f>
        <v>300</v>
      </c>
      <c r="L5" t="s" s="29">
        <v>32</v>
      </c>
      <c r="M5" s="33">
        <v>88363221</v>
      </c>
      <c r="N5" s="22">
        <v>0.18</v>
      </c>
      <c r="O5" s="34">
        <f>IF($D$3=1,ROUND(((K5*N5)/2),2),0)</f>
        <v>27</v>
      </c>
      <c r="P5" s="34">
        <f>IF($D$3=1,ROUND(((K5*N5)/2),2),0)</f>
        <v>27</v>
      </c>
      <c r="Q5" s="34">
        <f>IF($D$3=2,ROUND((K5*N5),2),0)</f>
        <v>0</v>
      </c>
      <c r="R5" s="34">
        <f>IF($D$3=4,ROUND((K5*N5),2),0)</f>
        <v>0</v>
      </c>
      <c r="S5" s="34">
        <f>ROUND(O5+P5+Q5+R5,2)</f>
        <v>54</v>
      </c>
      <c r="T5" s="34">
        <f>ROUND(IF($J$3=1, K5+S5, K5),2)</f>
        <v>354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3:B3"/>
    <mergeCell ref="A1:AC1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6"/>
  <sheetViews>
    <sheetView workbookViewId="0">
      <selection activeCell="E5" sqref="E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9" style="29" width="9.140625"/>
    <col min="10" max="10" customWidth="true" style="29" width="13.0"/>
    <col min="11" max="14" style="29" width="9.140625"/>
    <col min="15" max="15" customWidth="true" style="29" width="10.42578125"/>
    <col min="16" max="16" style="29" width="9.140625"/>
    <col min="17" max="17" bestFit="true" customWidth="true" style="29" width="20.42578125"/>
    <col min="18" max="16384" style="29" width="9.140625"/>
  </cols>
  <sheetData>
    <row r="1" spans="1:17" ht="27.75" customHeight="1">
      <c r="A1" s="197" t="s">
        <v>121</v>
      </c>
      <c r="B1" s="197"/>
      <c r="C1" s="197"/>
      <c r="D1" s="197"/>
    </row>
    <row r="2" spans="1:17" ht="18">
      <c r="D2" s="175"/>
    </row>
    <row r="3" spans="1:17" ht="19.899999999999999" customHeight="1">
      <c r="A3" s="196"/>
      <c r="B3" s="196"/>
      <c r="C3" s="174"/>
      <c r="D3" s="174"/>
    </row>
    <row r="4" spans="1:17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153</v>
      </c>
      <c r="Q4" s="115" t="s">
        <v>154</v>
      </c>
    </row>
    <row r="5" spans="1:17" ht="15">
      <c r="A5" s="10">
        <v>1</v>
      </c>
      <c r="B5" s="42" t="s">
        <v>240</v>
      </c>
      <c r="C5" s="42" t="s">
        <v>138</v>
      </c>
      <c r="D5" s="10" t="s">
        <v>124</v>
      </c>
      <c r="E5" s="67" t="s">
        <v>133</v>
      </c>
      <c r="F5" s="10">
        <v>1</v>
      </c>
      <c r="G5" s="10">
        <v>20</v>
      </c>
      <c r="H5" s="10">
        <v>1</v>
      </c>
      <c r="I5" s="10">
        <f>ROUND(C5*H5/F5,3)</f>
        <v>25</v>
      </c>
      <c r="J5" s="122">
        <f>I5*(G5/C5)</f>
        <v>20</v>
      </c>
      <c r="K5" s="10">
        <f>I5*G5</f>
        <v>500</v>
      </c>
      <c r="L5" s="124">
        <v>0.18</v>
      </c>
      <c r="M5" s="10">
        <f>K5*L5</f>
        <v>90</v>
      </c>
      <c r="N5" s="10" t="s">
        <v>32</v>
      </c>
      <c r="O5" s="123">
        <v>88363221</v>
      </c>
      <c r="P5" s="10" t="s">
        <v>155</v>
      </c>
      <c r="Q5" s="10" t="s">
        <v>156</v>
      </c>
    </row>
    <row r="6" spans="1:17">
      <c r="L6" s="28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6"/>
  <sheetViews>
    <sheetView workbookViewId="0">
      <selection activeCell="C14" sqref="C14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9" style="29" width="9.140625"/>
    <col min="10" max="10" customWidth="true" style="29" width="13.0"/>
    <col min="11" max="14" style="29" width="9.140625"/>
    <col min="15" max="15" customWidth="true" style="29" width="10.42578125"/>
    <col min="16" max="16" style="29" width="9.140625"/>
    <col min="17" max="17" bestFit="true" customWidth="true" style="29" width="20.42578125"/>
    <col min="18" max="16384" style="29" width="9.140625"/>
  </cols>
  <sheetData>
    <row r="1" spans="1:17" ht="27.75" customHeight="1">
      <c r="A1" s="197" t="s">
        <v>121</v>
      </c>
      <c r="B1" s="197"/>
      <c r="C1" s="197"/>
      <c r="D1" s="197"/>
    </row>
    <row r="2" spans="1:17" ht="18">
      <c r="D2" s="171"/>
    </row>
    <row r="3" spans="1:17" ht="19.899999999999999" customHeight="1">
      <c r="A3" s="196"/>
      <c r="B3" s="196"/>
      <c r="C3" s="170"/>
      <c r="D3" s="170"/>
    </row>
    <row r="4" spans="1:17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153</v>
      </c>
      <c r="Q4" s="115" t="s">
        <v>154</v>
      </c>
    </row>
    <row r="5" spans="1:17" ht="15">
      <c r="A5" s="10">
        <v>1</v>
      </c>
      <c r="B5" s="42" t="s">
        <v>235</v>
      </c>
      <c r="C5" s="42" t="s">
        <v>138</v>
      </c>
      <c r="D5" s="10" t="s">
        <v>124</v>
      </c>
      <c r="E5" s="67" t="s">
        <v>133</v>
      </c>
      <c r="F5" s="10">
        <v>1</v>
      </c>
      <c r="G5" s="10">
        <v>20</v>
      </c>
      <c r="H5" s="10">
        <v>1</v>
      </c>
      <c r="I5" s="10">
        <f>ROUND(C5*H5/F5,3)</f>
        <v>25</v>
      </c>
      <c r="J5" s="122">
        <f>I5*(G5/C5)</f>
        <v>20</v>
      </c>
      <c r="K5" s="10">
        <f>I5*G5</f>
        <v>500</v>
      </c>
      <c r="L5" s="124">
        <v>0.18</v>
      </c>
      <c r="M5" s="10">
        <f>K5*L5</f>
        <v>90</v>
      </c>
      <c r="N5" s="10" t="s">
        <v>32</v>
      </c>
      <c r="O5" s="123">
        <v>88363221</v>
      </c>
      <c r="P5" s="10" t="s">
        <v>155</v>
      </c>
      <c r="Q5" s="10" t="s">
        <v>156</v>
      </c>
    </row>
    <row r="6" spans="1:17">
      <c r="L6" s="28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6"/>
  <sheetViews>
    <sheetView workbookViewId="0">
      <selection activeCell="C5" sqref="C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21.7109375"/>
    <col min="4" max="4" customWidth="true" style="29" width="24.28515625"/>
    <col min="5" max="5" bestFit="true" customWidth="true" style="29" width="19.5703125"/>
    <col min="6" max="9" style="29" width="9.140625"/>
    <col min="10" max="10" customWidth="true" style="29" width="13.0"/>
    <col min="11" max="14" style="29" width="9.140625"/>
    <col min="15" max="15" customWidth="true" style="29" width="10.42578125"/>
    <col min="16" max="16" style="29" width="9.140625"/>
    <col min="17" max="17" bestFit="true" customWidth="true" style="29" width="20.42578125"/>
    <col min="18" max="16384" style="29" width="9.140625"/>
  </cols>
  <sheetData>
    <row r="1" spans="1:17" ht="27.75" customHeight="1">
      <c r="A1" s="197" t="s">
        <v>121</v>
      </c>
      <c r="B1" s="197"/>
      <c r="C1" s="197"/>
      <c r="D1" s="197"/>
    </row>
    <row r="2" spans="1:17" ht="18">
      <c r="D2" s="109"/>
    </row>
    <row r="3" spans="1:17" ht="19.899999999999999" customHeight="1">
      <c r="A3" s="196"/>
      <c r="B3" s="196"/>
      <c r="C3" s="110"/>
      <c r="D3" s="108"/>
    </row>
    <row r="4" spans="1:17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15" t="s">
        <v>125</v>
      </c>
      <c r="G4" s="115" t="s">
        <v>126</v>
      </c>
      <c r="H4" s="115" t="s">
        <v>147</v>
      </c>
      <c r="I4" s="115" t="s">
        <v>148</v>
      </c>
      <c r="J4" s="115" t="s">
        <v>149</v>
      </c>
      <c r="K4" s="115" t="s">
        <v>150</v>
      </c>
      <c r="L4" s="115" t="s">
        <v>151</v>
      </c>
      <c r="M4" s="115" t="s">
        <v>152</v>
      </c>
      <c r="N4" s="115" t="s">
        <v>157</v>
      </c>
      <c r="O4" s="115" t="s">
        <v>89</v>
      </c>
      <c r="P4" s="115" t="s">
        <v>153</v>
      </c>
      <c r="Q4" s="115" t="s">
        <v>154</v>
      </c>
    </row>
    <row r="5" spans="1:17" ht="15">
      <c r="A5" s="10">
        <v>1</v>
      </c>
      <c r="B5" s="42" t="s">
        <v>122</v>
      </c>
      <c r="C5" s="42" t="s">
        <v>138</v>
      </c>
      <c r="D5" s="10" t="s">
        <v>124</v>
      </c>
      <c r="E5" s="67" t="s">
        <v>133</v>
      </c>
      <c r="F5" s="10">
        <v>1</v>
      </c>
      <c r="G5" s="10">
        <v>20</v>
      </c>
      <c r="H5" s="10">
        <v>1</v>
      </c>
      <c r="I5" s="10">
        <f>ROUND(C5*H5/F5,3)</f>
        <v>25</v>
      </c>
      <c r="J5" s="122">
        <f>I5*(G5/C5)</f>
        <v>20</v>
      </c>
      <c r="K5" s="10">
        <f>I5*G5</f>
        <v>500</v>
      </c>
      <c r="L5" s="124">
        <v>0.18</v>
      </c>
      <c r="M5" s="10">
        <f>K5*L5</f>
        <v>90</v>
      </c>
      <c r="N5" s="10" t="s">
        <v>32</v>
      </c>
      <c r="O5" s="123">
        <v>88363221</v>
      </c>
      <c r="P5" s="10" t="s">
        <v>155</v>
      </c>
      <c r="Q5" s="10" t="s">
        <v>156</v>
      </c>
    </row>
    <row r="6" spans="1:17">
      <c r="L6" s="28"/>
    </row>
  </sheetData>
  <mergeCells count="2">
    <mergeCell ref="A1:D1"/>
    <mergeCell ref="A3:B3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C5" sqref="C5"/>
    </sheetView>
  </sheetViews>
  <sheetFormatPr defaultColWidth="9.140625" defaultRowHeight="14.25"/>
  <cols>
    <col min="1" max="1" customWidth="true" style="29" width="15.28515625"/>
    <col min="2" max="2" customWidth="true" style="29" width="15.140625"/>
    <col min="3" max="16384" style="29" width="9.140625"/>
  </cols>
  <sheetData>
    <row r="1" spans="1:4" ht="27.75" customHeight="1">
      <c r="A1" s="197" t="s">
        <v>221</v>
      </c>
      <c r="B1" s="197"/>
    </row>
    <row r="3" spans="1:4" ht="19.899999999999999" customHeight="1">
      <c r="A3" s="198" t="s">
        <v>230</v>
      </c>
      <c r="B3" s="198"/>
    </row>
    <row r="4" spans="1:4" s="31" customFormat="1">
      <c r="A4" s="11" t="s">
        <v>222</v>
      </c>
      <c r="B4" s="11" t="s">
        <v>223</v>
      </c>
    </row>
    <row r="5" spans="1:4">
      <c r="A5" t="s" s="29">
        <v>231</v>
      </c>
      <c r="B5" t="s" s="29">
        <v>159</v>
      </c>
    </row>
    <row r="7" spans="1:4">
      <c r="D7" s="36"/>
    </row>
  </sheetData>
  <mergeCells count="2">
    <mergeCell ref="A1:B1"/>
    <mergeCell ref="A3:B3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H5" sqref="H5"/>
    </sheetView>
  </sheetViews>
  <sheetFormatPr defaultColWidth="9.140625" defaultRowHeight="14.25"/>
  <cols>
    <col min="1" max="1" customWidth="true" style="29" width="15.28515625"/>
    <col min="2" max="2" customWidth="true" style="29" width="15.140625"/>
    <col min="3" max="3" customWidth="true" style="29" width="14.5703125"/>
    <col min="4" max="4" customWidth="true" style="29" width="15.5703125"/>
    <col min="5" max="5" bestFit="true" customWidth="true" style="29" width="10.7109375"/>
    <col min="6" max="6" bestFit="true" customWidth="true" style="29" width="10.5703125"/>
    <col min="7" max="16384" style="29" width="9.140625"/>
  </cols>
  <sheetData>
    <row r="1" spans="1:8" ht="27.75" customHeight="1">
      <c r="A1" s="197" t="s">
        <v>221</v>
      </c>
      <c r="B1" s="197"/>
      <c r="C1" s="197"/>
      <c r="D1" s="197"/>
    </row>
    <row r="2" spans="1:8" ht="18">
      <c r="D2" s="169"/>
    </row>
    <row r="3" spans="1:8" ht="19.899999999999999" customHeight="1">
      <c r="A3" s="198" t="s">
        <v>230</v>
      </c>
      <c r="B3" s="198"/>
      <c r="C3" s="198"/>
      <c r="D3" s="198"/>
      <c r="E3" s="199" t="s">
        <v>232</v>
      </c>
      <c r="F3" s="199"/>
      <c r="G3" s="199" t="s">
        <v>242</v>
      </c>
      <c r="H3" s="199"/>
    </row>
    <row r="4" spans="1:8" s="31" customFormat="1">
      <c r="A4" s="11" t="s">
        <v>224</v>
      </c>
      <c r="B4" s="11" t="s">
        <v>225</v>
      </c>
      <c r="C4" s="11" t="s">
        <v>226</v>
      </c>
      <c r="D4" s="11" t="s">
        <v>228</v>
      </c>
      <c r="E4" s="11" t="s">
        <v>222</v>
      </c>
      <c r="F4" s="11" t="s">
        <v>223</v>
      </c>
      <c r="G4" s="11" t="s">
        <v>222</v>
      </c>
      <c r="H4" s="11" t="s">
        <v>223</v>
      </c>
    </row>
    <row r="5" spans="1:8" ht="15">
      <c r="A5" s="122" t="s">
        <v>229</v>
      </c>
      <c r="B5" s="42" t="s">
        <v>227</v>
      </c>
      <c r="C5" s="42" t="s">
        <v>227</v>
      </c>
      <c r="D5" s="10">
        <v>11</v>
      </c>
      <c r="E5" s="122" t="s">
        <v>231</v>
      </c>
      <c r="F5" s="114" t="s">
        <v>159</v>
      </c>
      <c r="G5" s="122" t="s">
        <v>227</v>
      </c>
      <c r="H5" s="42" t="s">
        <v>227</v>
      </c>
    </row>
    <row r="7" spans="1:8">
      <c r="H7" s="36"/>
    </row>
  </sheetData>
  <mergeCells count="4">
    <mergeCell ref="A1:D1"/>
    <mergeCell ref="A3:D3"/>
    <mergeCell ref="E3:F3"/>
    <mergeCell ref="G3:H3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M6"/>
  <sheetViews>
    <sheetView workbookViewId="0">
      <selection activeCell="E8" sqref="E8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customWidth="true" style="29" width="8.5703125"/>
    <col min="4" max="4" customWidth="true" style="29" width="18.28515625"/>
    <col min="5" max="5" customWidth="true" style="29" width="15.28515625"/>
    <col min="6" max="6" bestFit="true" customWidth="true" style="29" width="12.5703125"/>
    <col min="7" max="7" customWidth="true" style="29" width="14.42578125"/>
    <col min="8" max="8" bestFit="true" customWidth="true" style="29" width="10.140625"/>
    <col min="9" max="10" customWidth="true" style="29" width="13.5703125"/>
    <col min="11" max="11" customWidth="true" style="29" width="12.28515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7109375"/>
    <col min="19" max="19" customWidth="true" style="29" width="9.0"/>
    <col min="20" max="20" bestFit="true" customWidth="true" style="29" width="10.85546875"/>
    <col min="21" max="21" bestFit="true" customWidth="true" style="29" width="17.85546875"/>
    <col min="22" max="22" bestFit="true" customWidth="true" style="29" width="10.5703125"/>
    <col min="23" max="23" customWidth="true" style="29" width="16.140625"/>
    <col min="24" max="24" bestFit="true" customWidth="true" style="29" width="9.28515625"/>
    <col min="25" max="26" bestFit="true" customWidth="true" style="29" width="10.7109375"/>
    <col min="27" max="27" customWidth="true" style="29" width="11.28515625"/>
    <col min="28" max="28" bestFit="true" customWidth="true" style="29" width="10.7109375"/>
    <col min="29" max="29" customWidth="true" style="29" width="11.7109375"/>
    <col min="30" max="30" bestFit="true" customWidth="true" style="29" width="16.0"/>
    <col min="31" max="31" bestFit="true" customWidth="true" style="29" width="12.0"/>
    <col min="32" max="32" customWidth="true" style="29" width="12.28515625"/>
    <col min="33" max="33" bestFit="true" customWidth="true" style="29" width="14.7109375"/>
    <col min="34" max="34" customWidth="true" style="36" width="14.140625"/>
    <col min="35" max="35" customWidth="true" style="28" width="10.28515625"/>
    <col min="36" max="36" customWidth="true" style="29" width="12.42578125"/>
    <col min="37" max="37" bestFit="true" customWidth="true" style="29" width="13.140625"/>
    <col min="38" max="38" customWidth="true" style="29" width="13.140625"/>
    <col min="39" max="39" customWidth="true" style="28" width="12.5703125"/>
    <col min="40" max="40" customWidth="true" style="29" width="15.42578125"/>
    <col min="41" max="16384" style="29" width="9.140625"/>
  </cols>
  <sheetData>
    <row r="1" spans="1:39" ht="27.75" customHeight="1">
      <c r="A1" s="197" t="s">
        <v>163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31"/>
      <c r="AE1" s="131"/>
      <c r="AF1" s="131"/>
      <c r="AG1" s="131"/>
      <c r="AH1" s="27"/>
    </row>
    <row r="2" spans="1:39" ht="18">
      <c r="A2" s="29" t="s">
        <v>45</v>
      </c>
      <c r="B2" s="29" t="s">
        <v>44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27"/>
    </row>
    <row r="3" spans="1:39" ht="19.899999999999999" customHeight="1">
      <c r="A3" s="196" t="s">
        <v>0</v>
      </c>
      <c r="B3" s="196"/>
      <c r="C3" s="130"/>
      <c r="D3" s="3">
        <v>2</v>
      </c>
      <c r="E3" s="4" t="s">
        <v>167</v>
      </c>
      <c r="F3" s="5"/>
      <c r="G3" s="5"/>
      <c r="H3" s="5"/>
      <c r="I3" s="6"/>
      <c r="J3" s="6">
        <v>2</v>
      </c>
      <c r="K3" s="7" t="s">
        <v>160</v>
      </c>
      <c r="L3" s="7"/>
      <c r="M3" s="7"/>
      <c r="N3" s="7"/>
      <c r="O3" s="7"/>
      <c r="P3" s="7"/>
      <c r="Q3" s="7"/>
      <c r="R3" s="7"/>
      <c r="S3" s="7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30"/>
    </row>
    <row r="4" spans="1:39" s="31" customFormat="1">
      <c r="A4" s="11" t="s">
        <v>5</v>
      </c>
      <c r="B4" s="11" t="s">
        <v>6</v>
      </c>
      <c r="C4" s="11" t="s">
        <v>123</v>
      </c>
      <c r="D4" s="11" t="s">
        <v>120</v>
      </c>
      <c r="E4" s="113" t="s">
        <v>132</v>
      </c>
      <c r="F4" s="126" t="s">
        <v>125</v>
      </c>
      <c r="G4" s="126" t="s">
        <v>126</v>
      </c>
      <c r="H4" s="126" t="s">
        <v>147</v>
      </c>
      <c r="I4" s="115" t="s">
        <v>148</v>
      </c>
      <c r="J4" s="115" t="s">
        <v>149</v>
      </c>
      <c r="K4" s="115" t="s">
        <v>150</v>
      </c>
      <c r="L4" s="127" t="s">
        <v>157</v>
      </c>
      <c r="M4" s="11" t="s">
        <v>25</v>
      </c>
      <c r="N4" s="17" t="s">
        <v>26</v>
      </c>
      <c r="O4" s="17" t="s">
        <v>27</v>
      </c>
      <c r="P4" s="17" t="s">
        <v>28</v>
      </c>
      <c r="Q4" s="17" t="s">
        <v>29</v>
      </c>
      <c r="R4" s="17" t="s">
        <v>168</v>
      </c>
      <c r="S4" s="17" t="s">
        <v>30</v>
      </c>
      <c r="T4" s="18" t="s">
        <v>31</v>
      </c>
      <c r="U4" s="58"/>
    </row>
    <row r="5" spans="1:39" ht="15">
      <c r="A5" s="10">
        <v>1</v>
      </c>
      <c r="B5" s="42" t="s">
        <v>122</v>
      </c>
      <c r="C5" s="29" t="s">
        <v>162</v>
      </c>
      <c r="D5" s="10" t="s">
        <v>124</v>
      </c>
      <c r="E5" s="67" t="s">
        <v>133</v>
      </c>
      <c r="F5" s="29" t="s">
        <v>127</v>
      </c>
      <c r="G5" s="29" t="s">
        <v>166</v>
      </c>
      <c r="H5" s="29" t="s">
        <v>159</v>
      </c>
      <c r="I5" s="10">
        <f>ROUND(C5*H5/F5,3)</f>
        <v>10</v>
      </c>
      <c r="J5" s="10">
        <f>I5*(G5/C5)</f>
        <v>22.5</v>
      </c>
      <c r="K5" s="10">
        <f>I5*G5</f>
        <v>450</v>
      </c>
      <c r="L5" s="29" t="s">
        <v>32</v>
      </c>
      <c r="M5" s="33">
        <v>88363222</v>
      </c>
      <c r="N5" s="22">
        <v>0.18</v>
      </c>
      <c r="O5" s="33">
        <f>IF($D$3=1,ROUND(((K5*N5)/2),2),0)</f>
        <v>0</v>
      </c>
      <c r="P5" s="33">
        <f>IF($D$3=1,ROUND(((K5*N5)/2),2),0)</f>
        <v>0</v>
      </c>
      <c r="Q5" s="33">
        <f>IF($D$3=2,ROUND((K5*N5),2),0)</f>
        <v>81</v>
      </c>
      <c r="R5" s="33">
        <f>IF($D$3=4,ROUND((K5*N5),2),0)</f>
        <v>0</v>
      </c>
      <c r="S5" s="33">
        <f>O5+P5+Q5+R5</f>
        <v>81</v>
      </c>
      <c r="T5" s="33">
        <f>IF($J$3=1, K5+S5, K5)</f>
        <v>450</v>
      </c>
      <c r="U5" s="59"/>
      <c r="AH5" s="29"/>
      <c r="AI5" s="29"/>
      <c r="AM5" s="29"/>
    </row>
    <row r="6" spans="1:39" ht="14.25" customHeight="1">
      <c r="A6" s="23"/>
      <c r="B6" s="23"/>
      <c r="C6" s="23"/>
      <c r="D6" s="23"/>
      <c r="E6" s="23"/>
      <c r="F6" s="23"/>
      <c r="G6" s="24"/>
      <c r="H6" s="25"/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4"/>
      <c r="AG6" s="25"/>
      <c r="AH6" s="25"/>
    </row>
  </sheetData>
  <mergeCells count="2">
    <mergeCell ref="A1:AC1"/>
    <mergeCell ref="A3:B3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L8"/>
  <sheetViews>
    <sheetView workbookViewId="0">
      <selection activeCell="E19" sqref="E19"/>
    </sheetView>
  </sheetViews>
  <sheetFormatPr defaultColWidth="9.140625" defaultRowHeight="14.25"/>
  <cols>
    <col min="1" max="1" customWidth="true" style="137" width="5.7109375"/>
    <col min="2" max="2" customWidth="true" style="137" width="28.85546875"/>
    <col min="3" max="3" customWidth="true" style="137" width="4.5703125"/>
    <col min="4" max="4" customWidth="true" style="137" width="28.85546875"/>
    <col min="5" max="5" customWidth="true" style="137" width="10.0"/>
    <col min="6" max="6" customWidth="true" style="137" width="12.5703125"/>
    <col min="7" max="7" customWidth="true" style="137" width="14.7109375"/>
    <col min="8" max="8" customWidth="true" style="137" width="10.140625"/>
    <col min="9" max="9" customWidth="true" style="137" width="13.5703125"/>
    <col min="10" max="11" customWidth="true" style="137" width="8.140625"/>
    <col min="12" max="12" customWidth="true" style="137" width="8.0"/>
    <col min="13" max="13" customWidth="true" style="137" width="13.85546875"/>
    <col min="14" max="14" customWidth="true" style="137" width="9.7109375"/>
    <col min="15" max="15" customWidth="true" style="137" width="12.5703125"/>
    <col min="16" max="16" customWidth="true" style="137" width="14.7109375"/>
    <col min="17" max="17" customWidth="true" style="137" width="9.7109375"/>
    <col min="18" max="18" customWidth="true" style="137" width="9.0"/>
    <col min="19" max="19" customWidth="true" style="137" width="10.85546875"/>
    <col min="20" max="20" customWidth="true" style="137" width="17.85546875"/>
    <col min="21" max="21" customWidth="true" style="137" width="10.5703125"/>
    <col min="22" max="22" customWidth="true" style="137" width="11.5703125"/>
    <col min="23" max="23" customWidth="true" style="137" width="9.28515625"/>
    <col min="24" max="25" customWidth="true" style="137" width="10.7109375"/>
    <col min="26" max="26" customWidth="true" style="137" width="11.28515625"/>
    <col min="27" max="27" customWidth="true" style="137" width="12.0"/>
    <col min="28" max="28" customWidth="true" style="137" width="12.28515625"/>
    <col min="29" max="29" customWidth="true" style="137" width="14.7109375"/>
    <col min="30" max="30" customWidth="true" style="163" width="12.28515625"/>
    <col min="31" max="31" bestFit="true" customWidth="true" style="163" width="13.5703125"/>
    <col min="32" max="32" customWidth="true" style="163" width="13.5703125"/>
    <col min="33" max="33" bestFit="true" customWidth="true" style="136" width="15.7109375"/>
    <col min="34" max="34" customWidth="true" style="137" width="13.5703125"/>
    <col min="35" max="35" customWidth="true" style="137" width="12.7109375"/>
    <col min="36" max="16384" style="137" width="9.140625"/>
  </cols>
  <sheetData>
    <row r="1" spans="1:38" ht="27.75" customHeight="1">
      <c r="A1" s="200" t="s">
        <v>39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134"/>
      <c r="AB1" s="134"/>
      <c r="AC1" s="134"/>
      <c r="AD1" s="135"/>
      <c r="AE1" s="135"/>
      <c r="AF1" s="135"/>
    </row>
    <row r="2" spans="1:38" ht="18">
      <c r="A2" s="134" t="s">
        <v>203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5"/>
      <c r="AE2" s="135"/>
      <c r="AF2" s="135"/>
    </row>
    <row r="3" spans="1:38" ht="19.899999999999999" customHeight="1" thickBot="1">
      <c r="A3" s="201" t="s">
        <v>0</v>
      </c>
      <c r="B3" s="201"/>
      <c r="C3" s="138"/>
      <c r="D3" s="139">
        <v>2</v>
      </c>
      <c r="E3" s="140" t="s">
        <v>204</v>
      </c>
      <c r="F3" s="141"/>
      <c r="G3" s="141"/>
      <c r="H3" s="141"/>
      <c r="I3" s="142"/>
      <c r="J3" s="143" t="s">
        <v>2</v>
      </c>
      <c r="K3" s="143" t="s">
        <v>3</v>
      </c>
      <c r="L3" s="143"/>
      <c r="M3" s="143" t="s">
        <v>4</v>
      </c>
      <c r="N3" s="143">
        <v>1</v>
      </c>
      <c r="O3" s="143"/>
      <c r="P3" s="143"/>
      <c r="Q3" s="143"/>
      <c r="R3" s="143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4"/>
      <c r="AE3" s="144"/>
      <c r="AF3" s="144"/>
    </row>
    <row r="4" spans="1:38" s="154" customFormat="1" ht="42.75">
      <c r="A4" s="145" t="s">
        <v>5</v>
      </c>
      <c r="B4" s="145" t="s">
        <v>6</v>
      </c>
      <c r="C4" s="145" t="s">
        <v>7</v>
      </c>
      <c r="D4" s="146" t="s">
        <v>8</v>
      </c>
      <c r="E4" s="145" t="s">
        <v>9</v>
      </c>
      <c r="F4" s="145" t="s">
        <v>10</v>
      </c>
      <c r="G4" s="147" t="s">
        <v>11</v>
      </c>
      <c r="H4" s="145" t="s">
        <v>12</v>
      </c>
      <c r="I4" s="145" t="s">
        <v>13</v>
      </c>
      <c r="J4" s="148" t="s">
        <v>14</v>
      </c>
      <c r="K4" s="148" t="s">
        <v>15</v>
      </c>
      <c r="L4" s="148" t="s">
        <v>16</v>
      </c>
      <c r="M4" s="149" t="s">
        <v>17</v>
      </c>
      <c r="N4" s="149" t="s">
        <v>18</v>
      </c>
      <c r="O4" s="149" t="s">
        <v>19</v>
      </c>
      <c r="P4" s="149" t="s">
        <v>20</v>
      </c>
      <c r="Q4" s="150" t="s">
        <v>21</v>
      </c>
      <c r="R4" s="149" t="s">
        <v>22</v>
      </c>
      <c r="S4" s="148" t="s">
        <v>23</v>
      </c>
      <c r="T4" s="148" t="s">
        <v>40</v>
      </c>
      <c r="U4" s="145" t="s">
        <v>24</v>
      </c>
      <c r="V4" s="145" t="s">
        <v>25</v>
      </c>
      <c r="W4" s="151" t="s">
        <v>26</v>
      </c>
      <c r="X4" s="151" t="s">
        <v>27</v>
      </c>
      <c r="Y4" s="151" t="s">
        <v>28</v>
      </c>
      <c r="Z4" s="151" t="s">
        <v>29</v>
      </c>
      <c r="AA4" s="151" t="s">
        <v>30</v>
      </c>
      <c r="AB4" s="152" t="s">
        <v>31</v>
      </c>
      <c r="AC4" s="152" t="s">
        <v>41</v>
      </c>
      <c r="AD4" s="153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55">
        <v>1</v>
      </c>
      <c r="B5" s="32" t="s">
        <v>82</v>
      </c>
      <c r="C5" s="155">
        <v>0</v>
      </c>
      <c r="D5" s="32" t="s">
        <v>82</v>
      </c>
      <c r="E5" s="155" t="s">
        <v>32</v>
      </c>
      <c r="F5" s="155" t="s">
        <v>32</v>
      </c>
      <c r="G5" s="155">
        <v>10</v>
      </c>
      <c r="H5" s="155">
        <v>1234</v>
      </c>
      <c r="I5" s="155">
        <f t="shared" ref="I5:I6" si="0">G5*H5</f>
        <v>12340</v>
      </c>
      <c r="J5" s="155">
        <v>1</v>
      </c>
      <c r="K5" s="155">
        <v>2</v>
      </c>
      <c r="L5" s="155">
        <v>4</v>
      </c>
      <c r="M5" s="155">
        <f t="shared" ref="M5:M6" si="1">I5</f>
        <v>12340</v>
      </c>
      <c r="N5" s="155">
        <f t="shared" ref="N5:N6" si="2">ROUND((M5*J5)/100,2)</f>
        <v>123.4</v>
      </c>
      <c r="O5" s="155">
        <f t="shared" ref="O5:O6" si="3">I5-N5</f>
        <v>12216.6</v>
      </c>
      <c r="P5" s="155">
        <f t="shared" ref="P5:P6" si="4">ROUND((O5*K5)/100,2)</f>
        <v>244.33</v>
      </c>
      <c r="Q5" s="155">
        <f t="shared" ref="Q5:Q6" si="5">ROUND(O5-P5,2)</f>
        <v>11972.27</v>
      </c>
      <c r="R5" s="155">
        <f t="shared" ref="R5:R6" si="6">ROUND((Q5*L5)/100,2)</f>
        <v>478.89</v>
      </c>
      <c r="S5" s="155">
        <f t="shared" ref="S5:S6" si="7">N5+P5+R5</f>
        <v>846.62</v>
      </c>
      <c r="T5" s="155">
        <f t="shared" ref="T5:T6" si="8">ROUND(S5/G5,2)</f>
        <v>84.66</v>
      </c>
      <c r="U5" s="155">
        <f t="shared" ref="U5:U6" si="9">(I5-S5)</f>
        <v>11493.38</v>
      </c>
      <c r="V5" s="155" t="s">
        <v>205</v>
      </c>
      <c r="W5" s="156">
        <v>0.18</v>
      </c>
      <c r="X5" s="155">
        <f t="shared" ref="X5:X6" si="10">IF(OR($D$3=1,$D$3=4),ROUND((U5*W5)/2,2),0)</f>
        <v>0</v>
      </c>
      <c r="Y5" s="155">
        <f t="shared" ref="Y5:Y6" si="11">IF($D$3=1,ROUND(((U5*W5)/2),2),0)</f>
        <v>0</v>
      </c>
      <c r="Z5" s="155">
        <f t="shared" ref="Z5:Z6" si="12">IF($D$3=2,ROUND(((U5*W5)),2),0)</f>
        <v>2068.81</v>
      </c>
      <c r="AA5" s="155">
        <f>X5+Y5+Z5</f>
        <v>2068.81</v>
      </c>
      <c r="AB5" s="155">
        <f>U5+AA5</f>
        <v>13562.189999999999</v>
      </c>
      <c r="AC5" s="155">
        <v>120</v>
      </c>
      <c r="AD5" s="155">
        <f t="shared" ref="AD5:AD6" si="13">U5*$N$3</f>
        <v>11493.38</v>
      </c>
      <c r="AE5" s="8">
        <v>1</v>
      </c>
      <c r="AF5" s="9">
        <f t="shared" ref="AF5" si="14">G5/AE5</f>
        <v>10</v>
      </c>
      <c r="AG5" s="36" t="s">
        <v>183</v>
      </c>
      <c r="AH5" s="9">
        <f>AG5-AF5</f>
        <v>99896</v>
      </c>
      <c r="AI5" s="10" t="s">
        <v>171</v>
      </c>
      <c r="AJ5" s="10" t="s">
        <v>172</v>
      </c>
      <c r="AK5" s="29">
        <v>87850</v>
      </c>
      <c r="AL5" s="33">
        <f>AK5+G5</f>
        <v>87860</v>
      </c>
    </row>
    <row r="6" spans="1:38" ht="14.25" customHeight="1">
      <c r="A6" s="155">
        <v>2</v>
      </c>
      <c r="B6" s="32" t="s">
        <v>206</v>
      </c>
      <c r="C6" s="155">
        <v>0</v>
      </c>
      <c r="D6" s="32" t="s">
        <v>206</v>
      </c>
      <c r="E6" s="155" t="s">
        <v>158</v>
      </c>
      <c r="F6" s="155" t="s">
        <v>32</v>
      </c>
      <c r="G6" s="155">
        <v>10</v>
      </c>
      <c r="H6" s="155">
        <v>3214</v>
      </c>
      <c r="I6" s="155">
        <f t="shared" si="0"/>
        <v>32140</v>
      </c>
      <c r="J6" s="155">
        <v>2</v>
      </c>
      <c r="K6" s="155">
        <v>7</v>
      </c>
      <c r="L6" s="155">
        <v>9</v>
      </c>
      <c r="M6" s="155">
        <f t="shared" si="1"/>
        <v>32140</v>
      </c>
      <c r="N6" s="155">
        <f t="shared" si="2"/>
        <v>642.79999999999995</v>
      </c>
      <c r="O6" s="155">
        <f t="shared" si="3"/>
        <v>31497.200000000001</v>
      </c>
      <c r="P6" s="155">
        <f t="shared" si="4"/>
        <v>2204.8000000000002</v>
      </c>
      <c r="Q6" s="155">
        <f t="shared" si="5"/>
        <v>29292.400000000001</v>
      </c>
      <c r="R6" s="155">
        <f t="shared" si="6"/>
        <v>2636.32</v>
      </c>
      <c r="S6" s="155">
        <f t="shared" si="7"/>
        <v>5483.92</v>
      </c>
      <c r="T6" s="155">
        <f t="shared" si="8"/>
        <v>548.39</v>
      </c>
      <c r="U6" s="155">
        <f t="shared" si="9"/>
        <v>26656.080000000002</v>
      </c>
      <c r="V6" s="155" t="s">
        <v>205</v>
      </c>
      <c r="W6" s="156">
        <v>0.18</v>
      </c>
      <c r="X6" s="155">
        <f t="shared" si="10"/>
        <v>0</v>
      </c>
      <c r="Y6" s="155">
        <f t="shared" si="11"/>
        <v>0</v>
      </c>
      <c r="Z6" s="155">
        <f t="shared" si="12"/>
        <v>4798.09</v>
      </c>
      <c r="AA6" s="155">
        <f>X6+Y6+Z6</f>
        <v>4798.09</v>
      </c>
      <c r="AB6" s="155">
        <f>U6+AA6</f>
        <v>31454.170000000002</v>
      </c>
      <c r="AC6" s="155">
        <v>120</v>
      </c>
      <c r="AD6" s="155">
        <f t="shared" si="13"/>
        <v>26656.080000000002</v>
      </c>
      <c r="AE6" s="8">
        <v>3</v>
      </c>
      <c r="AF6" s="9">
        <f>ROUND(G6/AE6,3)</f>
        <v>3.3330000000000002</v>
      </c>
      <c r="AG6" s="36" t="s">
        <v>184</v>
      </c>
      <c r="AH6" s="9">
        <f>AG6-AF6</f>
        <v>99966.667000000001</v>
      </c>
      <c r="AI6" s="10" t="s">
        <v>171</v>
      </c>
      <c r="AJ6" s="10" t="s">
        <v>172</v>
      </c>
      <c r="AK6" s="29" t="s">
        <v>46</v>
      </c>
      <c r="AL6" s="33">
        <f>AK6+G6</f>
        <v>87860</v>
      </c>
    </row>
    <row r="7" spans="1:38" ht="14.25" customHeight="1">
      <c r="A7" s="157"/>
      <c r="B7" s="157"/>
      <c r="C7" s="157"/>
      <c r="D7" s="157"/>
      <c r="E7" s="157"/>
      <c r="F7" s="157"/>
      <c r="G7" s="158"/>
      <c r="H7" s="159"/>
      <c r="I7" s="159"/>
      <c r="J7" s="160"/>
      <c r="K7" s="160"/>
      <c r="L7" s="160"/>
      <c r="M7" s="159"/>
      <c r="N7" s="159"/>
      <c r="O7" s="159"/>
      <c r="P7" s="161"/>
      <c r="Q7" s="161" t="s">
        <v>207</v>
      </c>
      <c r="R7" s="161"/>
      <c r="S7" s="161"/>
      <c r="T7" s="161"/>
      <c r="U7" s="159"/>
      <c r="V7" s="159"/>
      <c r="W7" s="160"/>
      <c r="X7" s="159"/>
      <c r="Y7" s="159"/>
      <c r="Z7" s="161" t="s">
        <v>208</v>
      </c>
      <c r="AA7" s="161"/>
      <c r="AB7" s="162">
        <f>SUM(AB5:AB6)</f>
        <v>45016.36</v>
      </c>
      <c r="AC7" s="161" t="s">
        <v>209</v>
      </c>
      <c r="AD7" s="162">
        <f>SUM(AD5:AD6)</f>
        <v>38149.46</v>
      </c>
      <c r="AE7" s="158"/>
      <c r="AF7" s="158"/>
      <c r="AG7" s="159"/>
      <c r="AH7" s="159"/>
      <c r="AI7" s="159"/>
      <c r="AJ7" s="136"/>
    </row>
    <row r="8" spans="1:38" ht="14.25" customHeight="1">
      <c r="A8" s="157"/>
      <c r="B8" s="157"/>
      <c r="C8" s="157"/>
      <c r="D8" s="157"/>
      <c r="E8" s="157"/>
      <c r="F8" s="157"/>
      <c r="G8" s="158"/>
      <c r="H8" s="159"/>
      <c r="I8" s="159"/>
      <c r="J8" s="160"/>
      <c r="K8" s="160"/>
      <c r="L8" s="160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60"/>
      <c r="X8" s="159"/>
      <c r="Y8" s="159"/>
      <c r="Z8" s="159"/>
      <c r="AA8" s="159"/>
      <c r="AB8" s="158"/>
      <c r="AC8" s="159"/>
      <c r="AD8" s="159"/>
      <c r="AE8" s="159"/>
      <c r="AF8" s="159"/>
    </row>
  </sheetData>
  <mergeCells count="2">
    <mergeCell ref="A1:Z1"/>
    <mergeCell ref="A3:B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L6"/>
  <sheetViews>
    <sheetView workbookViewId="0">
      <selection activeCell="F22" sqref="F22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bestFit="true" customWidth="true" style="29" width="28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bestFit="true" customWidth="true" style="28" width="11.7109375"/>
    <col min="35" max="35" bestFit="true" customWidth="true" style="29" width="26.8554687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73"/>
      <c r="AD1" s="173"/>
      <c r="AE1" s="173"/>
      <c r="AF1" s="173"/>
      <c r="AG1" s="27"/>
    </row>
    <row r="2" spans="1:38" ht="18">
      <c r="A2" s="29" t="s">
        <v>45</v>
      </c>
      <c r="B2" s="29" t="s">
        <v>44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27"/>
    </row>
    <row r="3" spans="1:38" ht="19.899999999999999" customHeight="1">
      <c r="A3" s="196" t="s">
        <v>0</v>
      </c>
      <c r="B3" s="196"/>
      <c r="C3" s="172"/>
      <c r="D3" s="3">
        <v>2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28.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32" t="s">
        <v>143</v>
      </c>
      <c r="C5" s="10">
        <v>0</v>
      </c>
      <c r="D5" s="37" t="s">
        <v>143</v>
      </c>
      <c r="E5" s="10" t="s">
        <v>32</v>
      </c>
      <c r="F5" s="10" t="s">
        <v>32</v>
      </c>
      <c r="G5" s="33">
        <v>15</v>
      </c>
      <c r="H5" s="9">
        <v>1500</v>
      </c>
      <c r="I5" s="9">
        <f>G5*H5</f>
        <v>22500</v>
      </c>
      <c r="J5" s="34"/>
      <c r="K5" s="34"/>
      <c r="L5" s="34"/>
      <c r="M5" s="9">
        <f>I5</f>
        <v>22500</v>
      </c>
      <c r="N5" s="9">
        <f>ROUND((M5*J5)/100,2)</f>
        <v>0</v>
      </c>
      <c r="O5" s="9">
        <f>I5-N5</f>
        <v>22500</v>
      </c>
      <c r="P5" s="9">
        <f>ROUND((O5*K5)/100,2)</f>
        <v>0</v>
      </c>
      <c r="Q5" s="9">
        <f>ROUND(O5-P5,2)</f>
        <v>22500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22500</v>
      </c>
      <c r="V5" s="33">
        <v>88363222</v>
      </c>
      <c r="W5" s="22">
        <v>0.18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4050</v>
      </c>
      <c r="AA5" s="9">
        <f>X5+Y5+Z5</f>
        <v>4050</v>
      </c>
      <c r="AB5" s="9">
        <f>U5+AA5</f>
        <v>26550</v>
      </c>
      <c r="AC5" s="9">
        <v>120</v>
      </c>
      <c r="AD5" s="9">
        <f t="shared" ref="AD5" si="0">U5*$N$3</f>
        <v>22500</v>
      </c>
      <c r="AE5" s="8">
        <v>1</v>
      </c>
      <c r="AF5" s="9">
        <f t="shared" ref="AF5" si="1">G5/AE5</f>
        <v>15</v>
      </c>
      <c r="AG5" s="36" t="s">
        <v>243</v>
      </c>
      <c r="AH5" s="9">
        <f>AG5-AF5</f>
        <v>54751</v>
      </c>
      <c r="AI5" s="10" t="s">
        <v>171</v>
      </c>
      <c r="AJ5" s="10" t="s">
        <v>172</v>
      </c>
      <c r="AK5" s="29">
        <v>87850</v>
      </c>
      <c r="AL5" s="33">
        <f>AK5+G5</f>
        <v>87865</v>
      </c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94">
        <f>SUM(I5:I5)</f>
        <v>22500</v>
      </c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94">
        <f>SUM(U5:U5)</f>
        <v>22500</v>
      </c>
      <c r="V6" s="25"/>
      <c r="W6" s="26"/>
      <c r="X6" s="25"/>
      <c r="Y6" s="25"/>
      <c r="Z6" s="25"/>
      <c r="AA6" s="94">
        <f>SUM(AA5:AA5)</f>
        <v>4050</v>
      </c>
      <c r="AB6" s="94">
        <f>SUM(AB5:AB5)</f>
        <v>26550</v>
      </c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L6"/>
  <sheetViews>
    <sheetView workbookViewId="0">
      <selection activeCell="D20" sqref="D20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bestFit="true" customWidth="true" style="29" width="28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bestFit="true" customWidth="true" style="28" width="11.7109375"/>
    <col min="35" max="35" bestFit="true" customWidth="true" style="29" width="26.8554687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73"/>
      <c r="AD1" s="173"/>
      <c r="AE1" s="173"/>
      <c r="AF1" s="173"/>
      <c r="AG1" s="27"/>
    </row>
    <row r="2" spans="1:38" ht="18">
      <c r="A2" s="29" t="s">
        <v>45</v>
      </c>
      <c r="B2" s="29" t="s">
        <v>44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27"/>
    </row>
    <row r="3" spans="1:38" ht="19.899999999999999" customHeight="1">
      <c r="A3" s="196" t="s">
        <v>0</v>
      </c>
      <c r="B3" s="196"/>
      <c r="C3" s="172"/>
      <c r="D3" s="3">
        <v>3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28.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32" t="s">
        <v>143</v>
      </c>
      <c r="C5" s="10">
        <v>0</v>
      </c>
      <c r="D5" s="37" t="s">
        <v>143</v>
      </c>
      <c r="E5" s="10" t="s">
        <v>32</v>
      </c>
      <c r="F5" s="10" t="s">
        <v>32</v>
      </c>
      <c r="G5" s="33">
        <v>15</v>
      </c>
      <c r="H5" s="9">
        <v>110</v>
      </c>
      <c r="I5" s="9">
        <f>G5*H5</f>
        <v>1650</v>
      </c>
      <c r="J5" s="34"/>
      <c r="K5" s="34"/>
      <c r="L5" s="34"/>
      <c r="M5" s="9">
        <f>I5</f>
        <v>1650</v>
      </c>
      <c r="N5" s="9">
        <f>ROUND((M5*J5)/100,2)</f>
        <v>0</v>
      </c>
      <c r="O5" s="9">
        <f>I5-N5</f>
        <v>1650</v>
      </c>
      <c r="P5" s="9">
        <f>ROUND((O5*K5)/100,2)</f>
        <v>0</v>
      </c>
      <c r="Q5" s="9">
        <f>ROUND(O5-P5,2)</f>
        <v>1650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1650</v>
      </c>
      <c r="V5" s="33">
        <v>88363222</v>
      </c>
      <c r="W5" s="22">
        <v>0.18</v>
      </c>
      <c r="X5" s="9">
        <f>IF($D$3=1,ROUND(((U5*W5)/2),2),0)</f>
        <v>0</v>
      </c>
      <c r="Y5" s="9">
        <f>IF($D$3=1,ROUND(((U5*W5)/2),2),0)</f>
        <v>0</v>
      </c>
      <c r="Z5" s="9">
        <f>IF($D$3=2,ROUND(((U5*W5)),2),0)</f>
        <v>0</v>
      </c>
      <c r="AA5" s="9">
        <f>X5+Y5+Z5</f>
        <v>0</v>
      </c>
      <c r="AB5" s="9">
        <f>U5+AA5</f>
        <v>1650</v>
      </c>
      <c r="AC5" s="9">
        <v>120</v>
      </c>
      <c r="AD5" s="9">
        <f t="shared" ref="AD5" si="0">U5*$N$3</f>
        <v>1650</v>
      </c>
      <c r="AE5" s="8">
        <v>1</v>
      </c>
      <c r="AF5" s="9">
        <f t="shared" ref="AF5" si="1">G5/AE5</f>
        <v>15</v>
      </c>
      <c r="AG5" s="36" t="s">
        <v>238</v>
      </c>
      <c r="AH5" s="9">
        <f>AG5-AF5</f>
        <v>93801</v>
      </c>
      <c r="AI5" s="10" t="s">
        <v>171</v>
      </c>
      <c r="AJ5" s="10" t="s">
        <v>172</v>
      </c>
      <c r="AK5" s="29">
        <v>87850</v>
      </c>
      <c r="AL5" s="33">
        <f>AK5+G5</f>
        <v>87865</v>
      </c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94">
        <f>SUM(I5:I5)</f>
        <v>1650</v>
      </c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94">
        <f>SUM(U5:U5)</f>
        <v>1650</v>
      </c>
      <c r="V6" s="25"/>
      <c r="W6" s="26"/>
      <c r="X6" s="25"/>
      <c r="Y6" s="25"/>
      <c r="Z6" s="25"/>
      <c r="AA6" s="94">
        <f>SUM(AA5:AA5)</f>
        <v>0</v>
      </c>
      <c r="AB6" s="94">
        <f>SUM(AB5:AB5)</f>
        <v>1650</v>
      </c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L6"/>
  <sheetViews>
    <sheetView workbookViewId="0">
      <selection activeCell="A5" sqref="A5"/>
    </sheetView>
  </sheetViews>
  <sheetFormatPr defaultColWidth="9.140625" defaultRowHeight="14.25"/>
  <cols>
    <col min="1" max="1" bestFit="true" customWidth="true" style="29" width="5.7109375"/>
    <col min="2" max="2" bestFit="true" customWidth="true" style="29" width="30.42578125"/>
    <col min="3" max="3" bestFit="true" customWidth="true" style="29" width="4.5703125"/>
    <col min="4" max="4" bestFit="true" customWidth="true" style="29" width="28.85546875"/>
    <col min="5" max="5" bestFit="true" customWidth="true" style="29" width="10.0"/>
    <col min="6" max="6" bestFit="true" customWidth="true" style="29" width="12.5703125"/>
    <col min="7" max="7" bestFit="true" customWidth="true" style="29" width="14.7109375"/>
    <col min="8" max="8" bestFit="true" customWidth="true" style="29" width="10.140625"/>
    <col min="9" max="9" customWidth="true" style="29" width="13.5703125"/>
    <col min="10" max="11" bestFit="true" customWidth="true" style="29" width="8.140625"/>
    <col min="12" max="12" bestFit="true" customWidth="true" style="29" width="8.0"/>
    <col min="13" max="13" bestFit="true" customWidth="true" style="29" width="13.85546875"/>
    <col min="14" max="14" bestFit="true" customWidth="true" style="29" width="9.7109375"/>
    <col min="15" max="15" customWidth="true" style="29" width="12.5703125"/>
    <col min="16" max="16" customWidth="true" style="29" width="14.7109375"/>
    <col min="17" max="17" bestFit="true" customWidth="true" style="29" width="9.7109375"/>
    <col min="18" max="18" customWidth="true" style="29" width="9.0"/>
    <col min="19" max="19" bestFit="true" customWidth="true" style="29" width="10.85546875"/>
    <col min="20" max="20" bestFit="true" customWidth="true" style="29" width="17.85546875"/>
    <col min="21" max="21" bestFit="true" customWidth="true" style="29" width="10.5703125"/>
    <col min="22" max="22" customWidth="true" style="29" width="16.140625"/>
    <col min="23" max="23" bestFit="true" customWidth="true" style="29" width="9.28515625"/>
    <col min="24" max="25" bestFit="true" customWidth="true" style="29" width="10.7109375"/>
    <col min="26" max="26" customWidth="true" style="29" width="11.28515625"/>
    <col min="27" max="27" bestFit="true" customWidth="true" style="29" width="10.7109375"/>
    <col min="28" max="28" customWidth="true" style="29" width="11.7109375"/>
    <col min="29" max="29" bestFit="true" customWidth="true" style="29" width="16.0"/>
    <col min="30" max="30" bestFit="true" customWidth="true" style="29" width="12.0"/>
    <col min="31" max="31" customWidth="true" style="29" width="12.28515625"/>
    <col min="32" max="32" bestFit="true" customWidth="true" style="29" width="14.7109375"/>
    <col min="33" max="33" customWidth="true" style="36" width="14.140625"/>
    <col min="34" max="34" bestFit="true" customWidth="true" style="28" width="11.7109375"/>
    <col min="35" max="35" bestFit="true" customWidth="true" style="29" width="26.85546875"/>
    <col min="36" max="36" bestFit="true" customWidth="true" style="29" width="13.140625"/>
    <col min="37" max="37" customWidth="true" style="29" width="14.28515625"/>
    <col min="38" max="38" customWidth="true" style="29" width="15.42578125"/>
    <col min="39" max="16384" style="29" width="9.140625"/>
  </cols>
  <sheetData>
    <row r="1" spans="1:38" ht="27.75" customHeight="1">
      <c r="A1" s="197" t="s">
        <v>39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73"/>
      <c r="AD1" s="173"/>
      <c r="AE1" s="173"/>
      <c r="AF1" s="173"/>
      <c r="AG1" s="27"/>
    </row>
    <row r="2" spans="1:38" ht="18">
      <c r="A2" s="29" t="s">
        <v>45</v>
      </c>
      <c r="B2" s="29" t="s">
        <v>44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27"/>
    </row>
    <row r="3" spans="1:38" ht="19.899999999999999" customHeight="1">
      <c r="A3" s="196" t="s">
        <v>0</v>
      </c>
      <c r="B3" s="196"/>
      <c r="C3" s="172"/>
      <c r="D3" s="3">
        <v>1</v>
      </c>
      <c r="E3" s="4" t="s">
        <v>1</v>
      </c>
      <c r="F3" s="5"/>
      <c r="G3" s="5"/>
      <c r="H3" s="5"/>
      <c r="I3" s="6"/>
      <c r="J3" s="7" t="s">
        <v>2</v>
      </c>
      <c r="K3" s="7" t="s">
        <v>3</v>
      </c>
      <c r="L3" s="7"/>
      <c r="M3" s="7" t="s">
        <v>4</v>
      </c>
      <c r="N3" s="7">
        <v>1</v>
      </c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30"/>
    </row>
    <row r="4" spans="1:38" s="31" customFormat="1" ht="28.5">
      <c r="A4" s="11" t="s">
        <v>5</v>
      </c>
      <c r="B4" s="11" t="s">
        <v>6</v>
      </c>
      <c r="C4" s="11" t="s">
        <v>7</v>
      </c>
      <c r="D4" s="12" t="s">
        <v>8</v>
      </c>
      <c r="E4" s="11" t="s">
        <v>9</v>
      </c>
      <c r="F4" s="11" t="s">
        <v>10</v>
      </c>
      <c r="G4" s="13" t="s">
        <v>11</v>
      </c>
      <c r="H4" s="11" t="s">
        <v>12</v>
      </c>
      <c r="I4" s="11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16" t="s">
        <v>21</v>
      </c>
      <c r="R4" s="15" t="s">
        <v>22</v>
      </c>
      <c r="S4" s="14" t="s">
        <v>23</v>
      </c>
      <c r="T4" s="14" t="s">
        <v>40</v>
      </c>
      <c r="U4" s="11" t="s">
        <v>24</v>
      </c>
      <c r="V4" s="11" t="s">
        <v>25</v>
      </c>
      <c r="W4" s="17" t="s">
        <v>26</v>
      </c>
      <c r="X4" s="17" t="s">
        <v>27</v>
      </c>
      <c r="Y4" s="17" t="s">
        <v>28</v>
      </c>
      <c r="Z4" s="17" t="s">
        <v>29</v>
      </c>
      <c r="AA4" s="17" t="s">
        <v>30</v>
      </c>
      <c r="AB4" s="18" t="s">
        <v>31</v>
      </c>
      <c r="AC4" s="18" t="s">
        <v>41</v>
      </c>
      <c r="AD4" s="21" t="s">
        <v>42</v>
      </c>
      <c r="AE4" s="18" t="s">
        <v>33</v>
      </c>
      <c r="AF4" s="18" t="s">
        <v>34</v>
      </c>
      <c r="AG4" s="19" t="s">
        <v>35</v>
      </c>
      <c r="AH4" s="20" t="s">
        <v>36</v>
      </c>
      <c r="AI4" s="21" t="s">
        <v>37</v>
      </c>
      <c r="AJ4" s="21" t="s">
        <v>43</v>
      </c>
      <c r="AK4" s="19" t="s">
        <v>35</v>
      </c>
      <c r="AL4" s="20" t="s">
        <v>36</v>
      </c>
    </row>
    <row r="5" spans="1:38" ht="15">
      <c r="A5" s="10">
        <v>1</v>
      </c>
      <c r="B5" s="32" t="s">
        <v>143</v>
      </c>
      <c r="C5" s="10">
        <v>0</v>
      </c>
      <c r="D5" s="37" t="s">
        <v>143</v>
      </c>
      <c r="E5" s="10" t="s">
        <v>32</v>
      </c>
      <c r="F5" s="10" t="s">
        <v>32</v>
      </c>
      <c r="G5" s="33">
        <v>15</v>
      </c>
      <c r="H5" s="9">
        <v>1500</v>
      </c>
      <c r="I5" s="9">
        <f>G5*H5</f>
        <v>22500</v>
      </c>
      <c r="J5" s="34"/>
      <c r="K5" s="34"/>
      <c r="L5" s="34"/>
      <c r="M5" s="9">
        <f>I5</f>
        <v>22500</v>
      </c>
      <c r="N5" s="9">
        <f>ROUND((M5*J5)/100,2)</f>
        <v>0</v>
      </c>
      <c r="O5" s="9">
        <f>I5-N5</f>
        <v>22500</v>
      </c>
      <c r="P5" s="9">
        <f>ROUND((O5*K5)/100,2)</f>
        <v>0</v>
      </c>
      <c r="Q5" s="9">
        <f>ROUND(O5-P5,2)</f>
        <v>22500</v>
      </c>
      <c r="R5" s="9">
        <f>ROUND((Q5*L5)/100,2)</f>
        <v>0</v>
      </c>
      <c r="S5" s="35">
        <f>N5+P5+R5</f>
        <v>0</v>
      </c>
      <c r="T5" s="35">
        <f>S5/G5</f>
        <v>0</v>
      </c>
      <c r="U5" s="9">
        <f>(I5-S5)</f>
        <v>22500</v>
      </c>
      <c r="V5" s="33">
        <v>88363222</v>
      </c>
      <c r="W5" s="22">
        <v>0.18</v>
      </c>
      <c r="X5" s="9">
        <f>IF($D$3=1,ROUND(((U5*W5)/2),2),0)</f>
        <v>2025</v>
      </c>
      <c r="Y5" s="9">
        <f>IF($D$3=1,ROUND(((U5*W5)/2),2),0)</f>
        <v>2025</v>
      </c>
      <c r="Z5" s="9">
        <f>IF($D$3=2,ROUND(((U5*W5)),2),0)</f>
        <v>0</v>
      </c>
      <c r="AA5" s="9">
        <f>X5+Y5+Z5</f>
        <v>4050</v>
      </c>
      <c r="AB5" s="9">
        <f>U5+AA5</f>
        <v>26550</v>
      </c>
      <c r="AC5" s="9">
        <v>120</v>
      </c>
      <c r="AD5" s="9">
        <f t="shared" ref="AD5" si="0">U5*$N$3</f>
        <v>22500</v>
      </c>
      <c r="AE5" s="8">
        <v>1</v>
      </c>
      <c r="AF5" s="9">
        <f t="shared" ref="AF5" si="1">G5/AE5</f>
        <v>15</v>
      </c>
      <c r="AG5" s="36" t="s">
        <v>239</v>
      </c>
      <c r="AH5" s="9">
        <f>AG5-AF5</f>
        <v>90991</v>
      </c>
      <c r="AI5" s="10" t="s">
        <v>171</v>
      </c>
      <c r="AJ5" s="10" t="s">
        <v>172</v>
      </c>
      <c r="AK5" s="29">
        <v>87850</v>
      </c>
      <c r="AL5" s="33">
        <f>AK5+G5</f>
        <v>87865</v>
      </c>
    </row>
    <row r="6" spans="1:38" ht="14.25" customHeight="1">
      <c r="A6" s="23"/>
      <c r="B6" s="23"/>
      <c r="C6" s="23"/>
      <c r="D6" s="23"/>
      <c r="E6" s="23"/>
      <c r="F6" s="23"/>
      <c r="G6" s="24"/>
      <c r="H6" s="25"/>
      <c r="I6" s="94">
        <f>SUM(I5:I5)</f>
        <v>22500</v>
      </c>
      <c r="J6" s="26"/>
      <c r="K6" s="26"/>
      <c r="L6" s="26"/>
      <c r="M6" s="25"/>
      <c r="N6" s="25"/>
      <c r="O6" s="25"/>
      <c r="P6" s="25"/>
      <c r="Q6" s="25"/>
      <c r="R6" s="25"/>
      <c r="S6" s="25"/>
      <c r="T6" s="25"/>
      <c r="U6" s="94">
        <f>SUM(U5:U5)</f>
        <v>22500</v>
      </c>
      <c r="V6" s="25"/>
      <c r="W6" s="26"/>
      <c r="X6" s="25"/>
      <c r="Y6" s="25"/>
      <c r="Z6" s="25"/>
      <c r="AA6" s="94">
        <f>SUM(AA5:AA5)</f>
        <v>4050</v>
      </c>
      <c r="AB6" s="94">
        <f>SUM(AB5:AB5)</f>
        <v>26550</v>
      </c>
      <c r="AC6" s="25"/>
      <c r="AD6" s="25"/>
      <c r="AE6" s="24"/>
      <c r="AF6" s="25"/>
      <c r="AG6" s="25"/>
    </row>
  </sheetData>
  <mergeCells count="2">
    <mergeCell ref="A1:AB1"/>
    <mergeCell ref="A3:B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F15" sqref="F1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14.5703125"/>
    <col min="5" max="5" bestFit="true" customWidth="true" style="29" width="19.42578125"/>
    <col min="6" max="6" customWidth="true" style="29" width="16.7109375"/>
    <col min="7" max="16384" style="29" width="9.140625"/>
  </cols>
  <sheetData>
    <row r="1" spans="1:6" ht="27.75" customHeight="1">
      <c r="A1" s="197" t="s">
        <v>244</v>
      </c>
      <c r="B1" s="197"/>
      <c r="C1" s="197"/>
      <c r="D1" s="197"/>
      <c r="E1" s="176"/>
    </row>
    <row r="3" spans="1:6" ht="19.899999999999999" customHeight="1">
      <c r="A3" s="198" t="s">
        <v>245</v>
      </c>
      <c r="B3" s="198"/>
      <c r="C3" s="198"/>
      <c r="D3" s="198"/>
      <c r="E3" s="198"/>
      <c r="F3" s="198"/>
    </row>
    <row r="4" spans="1:6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</row>
    <row r="5" spans="1:6">
      <c r="A5" s="29" t="s">
        <v>260</v>
      </c>
      <c r="B5" s="29" t="s">
        <v>260</v>
      </c>
      <c r="C5" s="29" t="s">
        <v>217</v>
      </c>
      <c r="D5" s="29" t="s">
        <v>162</v>
      </c>
      <c r="E5" s="10">
        <f>C5*D5</f>
        <v>600</v>
      </c>
      <c r="F5" s="33">
        <f>E5-B5</f>
        <v>246</v>
      </c>
    </row>
  </sheetData>
  <mergeCells count="2">
    <mergeCell ref="A1:D1"/>
    <mergeCell ref="A3:F3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selection activeCell="C6" sqref="C6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7" bestFit="true" customWidth="true" style="29" width="16.85546875"/>
    <col min="8" max="8" bestFit="true" customWidth="true" style="29" width="26.85546875"/>
    <col min="9" max="16" style="29" width="9.14062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18" ht="27.75" customHeight="1">
      <c r="A1" s="197" t="s">
        <v>259</v>
      </c>
      <c r="B1" s="197"/>
      <c r="C1" s="197"/>
      <c r="D1" s="197"/>
      <c r="E1" s="177"/>
    </row>
    <row r="3" spans="1:18" ht="19.899999999999999" customHeight="1">
      <c r="A3" s="198" t="s">
        <v>245</v>
      </c>
      <c r="B3" s="198"/>
      <c r="C3" s="198"/>
      <c r="D3" s="198"/>
      <c r="E3" s="198"/>
      <c r="F3" s="198"/>
    </row>
    <row r="4" spans="1:18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87" t="s">
        <v>266</v>
      </c>
      <c r="H4" s="187" t="s">
        <v>267</v>
      </c>
      <c r="Q4" s="187" t="s">
        <v>266</v>
      </c>
      <c r="R4" s="187" t="s">
        <v>267</v>
      </c>
    </row>
    <row r="5" spans="1:18">
      <c r="A5" s="29" t="s">
        <v>252</v>
      </c>
      <c r="B5" s="29" t="s">
        <v>252</v>
      </c>
      <c r="C5" s="29" t="s">
        <v>217</v>
      </c>
      <c r="D5" s="29" t="s">
        <v>138</v>
      </c>
      <c r="E5" s="10">
        <f>C5*D5</f>
        <v>750</v>
      </c>
      <c r="F5" s="33"/>
      <c r="G5" s="29">
        <v>25</v>
      </c>
      <c r="H5" s="29">
        <f>B5-G5</f>
        <v>350</v>
      </c>
      <c r="Q5" s="29" t="s">
        <v>268</v>
      </c>
      <c r="R5" s="29">
        <f>B5-Q5</f>
        <v>175</v>
      </c>
    </row>
    <row r="6" spans="1:18">
      <c r="A6" s="10"/>
      <c r="B6" s="10"/>
      <c r="C6" s="10">
        <v>55</v>
      </c>
      <c r="D6" s="10">
        <v>1</v>
      </c>
      <c r="E6" s="10">
        <f>C6*D6</f>
        <v>55</v>
      </c>
      <c r="F6" s="10"/>
    </row>
    <row r="7" spans="1:18">
      <c r="A7" s="10"/>
      <c r="B7" s="10"/>
      <c r="C7" s="10"/>
      <c r="D7" s="178" t="s">
        <v>258</v>
      </c>
      <c r="E7" s="10">
        <f>SUM(E5:E6)</f>
        <v>805</v>
      </c>
      <c r="F7" s="10">
        <f>E7-B5</f>
        <v>430</v>
      </c>
    </row>
  </sheetData>
  <mergeCells count="2">
    <mergeCell ref="A1:D1"/>
    <mergeCell ref="A3:F3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M7"/>
  <sheetViews>
    <sheetView workbookViewId="0">
      <selection activeCell="J2" sqref="J2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79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1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10">
        <f>M5-B5</f>
        <v>65</v>
      </c>
      <c r="G5" s="22">
        <v>0.18</v>
      </c>
      <c r="H5" s="29">
        <f>IF(OR($D$2=1,$D$2=4),ROUND(((E5*G5)/2),2),0)</f>
        <v>0</v>
      </c>
      <c r="I5" s="29">
        <f>IF($D$2=1,ROUND(((E5*G5)/2),2),0)</f>
        <v>0</v>
      </c>
      <c r="J5" s="29">
        <f>IF($D$2=2,ROUND((E5*G5),2),0)</f>
        <v>54</v>
      </c>
      <c r="K5" s="29">
        <f>IF($D$2=4,ROUND(((E5*G5)/2),2),0)</f>
        <v>0</v>
      </c>
      <c r="L5" s="29">
        <f>ROUND(H5+I5+J5+K5,0)</f>
        <v>54</v>
      </c>
      <c r="M5" s="29">
        <f>IF($J2=1,E7+L7,E7)</f>
        <v>419</v>
      </c>
      <c r="N5" s="10">
        <f>L7+E7</f>
        <v>419</v>
      </c>
      <c r="O5" s="29">
        <f>IF(N5-INT(N5) &gt;= 0.5, INT(N5)+1, INT(N5))</f>
        <v>419</v>
      </c>
      <c r="P5" s="36">
        <f>N5-O5</f>
        <v>0</v>
      </c>
      <c r="Q5" s="29" t="s">
        <v>268</v>
      </c>
      <c r="R5" s="29">
        <f>O5-Q5</f>
        <v>219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0</v>
      </c>
      <c r="I6" s="29">
        <f>IF($D$2=1,ROUND(((E6*G6)/2),2),0)</f>
        <v>0</v>
      </c>
      <c r="J6" s="29">
        <f>IF($D$2=2,ROUND((E6*G6),2),0)</f>
        <v>9.9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355</v>
      </c>
      <c r="F7" s="10"/>
      <c r="L7" s="29">
        <f>L5+L6</f>
        <v>64</v>
      </c>
    </row>
  </sheetData>
  <mergeCells count="3">
    <mergeCell ref="A1:D1"/>
    <mergeCell ref="A3:F3"/>
    <mergeCell ref="A2:B2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N5" sqref="N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79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1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33">
        <f>M5-B5</f>
        <v>0</v>
      </c>
      <c r="G5" s="22">
        <v>0.18</v>
      </c>
      <c r="H5" s="10">
        <f>IF(OR($D$2=1,$D$2=4),ROUND(((E5*G5)/2),2),0)</f>
        <v>0</v>
      </c>
      <c r="I5" s="10">
        <f>IF($D$2=1,ROUND(((E5*G5)/2),2),0)</f>
        <v>0</v>
      </c>
      <c r="J5" s="10">
        <f>IF($D$2=2,ROUND((E5*G5),2),0)</f>
        <v>54</v>
      </c>
      <c r="K5" s="10">
        <f>IF($D$2=4,ROUND(((E5*G5)/2),2),0)</f>
        <v>0</v>
      </c>
      <c r="L5" s="10">
        <f>H5+I5+J5+K5</f>
        <v>54</v>
      </c>
      <c r="M5" s="10">
        <f>IF($J2=1,E5+L5,E5)</f>
        <v>354</v>
      </c>
      <c r="N5" s="10">
        <f>M5</f>
        <v>354</v>
      </c>
      <c r="O5" s="29">
        <f>IF(N5-INT(N5) &gt;= 0.5, INT(N5)+1, INT(N5))</f>
        <v>354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G8" sqref="G8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1"/>
    </row>
    <row r="2" spans="1:39" ht="19.899999999999999" customHeight="1">
      <c r="A2" s="196" t="s">
        <v>0</v>
      </c>
      <c r="B2" s="196"/>
      <c r="D2" s="29">
        <v>1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 t="s">
        <v>138</v>
      </c>
      <c r="E5" s="10">
        <f>C5*D5</f>
        <v>750</v>
      </c>
      <c r="F5" s="33">
        <f>M5-B5</f>
        <v>396</v>
      </c>
      <c r="G5" s="22">
        <v>0.18</v>
      </c>
      <c r="H5" s="10">
        <f>IF(OR($D$2=1,$D$2=4),ROUND(((E5*G5)/2),2),0)</f>
        <v>67.5</v>
      </c>
      <c r="I5" s="10">
        <f>IF($D$2=1,ROUND(((E5*G5)/2),2),0)</f>
        <v>67.5</v>
      </c>
      <c r="J5" s="10">
        <f>IF($D$2=2,ROUND((E5*G5),2),0)</f>
        <v>0</v>
      </c>
      <c r="K5" s="10">
        <f>IF($D$2=4,ROUND(((E5*G5)/2),2),0)</f>
        <v>0</v>
      </c>
      <c r="L5" s="10">
        <f>H5+I5+J5+K5</f>
        <v>135</v>
      </c>
      <c r="M5" s="10">
        <f>IF($J2=1,E5+L5,E5)</f>
        <v>750</v>
      </c>
      <c r="N5" s="10">
        <f>M5</f>
        <v>750</v>
      </c>
      <c r="O5" s="29">
        <f>IF(N5-INT(N5) &gt;= 0.5, INT(N5)+1, INT(N5))</f>
        <v>750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M7"/>
  <sheetViews>
    <sheetView topLeftCell="A4" workbookViewId="0">
      <selection activeCell="E9" sqref="E9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2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260</v>
      </c>
      <c r="B5" s="29">
        <v>354</v>
      </c>
      <c r="C5" s="29" t="s">
        <v>217</v>
      </c>
      <c r="D5" s="29" t="s">
        <v>227</v>
      </c>
      <c r="E5" s="10">
        <f>C5*D5</f>
        <v>300</v>
      </c>
      <c r="F5" s="10">
        <f>M5-B5</f>
        <v>1</v>
      </c>
      <c r="G5" s="22">
        <v>0.18</v>
      </c>
      <c r="H5" s="29">
        <f>IF(OR($D$2=1,$D$2=4),ROUND(((E5*G5)/2),2),0)</f>
        <v>0</v>
      </c>
      <c r="I5" s="29">
        <f>IF($D$2=1,ROUND(((E5*G5)/2),2),0)</f>
        <v>0</v>
      </c>
      <c r="J5" s="29">
        <f>IF($D$2=2,ROUND((E5*G5),2),0)</f>
        <v>54</v>
      </c>
      <c r="K5" s="29">
        <f>IF($D$2=4,ROUND(((E5*G5)/2),2),0)</f>
        <v>0</v>
      </c>
      <c r="L5" s="29">
        <f>ROUND(H5+I5+J5+K5,0)</f>
        <v>54</v>
      </c>
      <c r="M5" s="29">
        <f>IF($J2=1,E7+L7,E7)</f>
        <v>355</v>
      </c>
      <c r="N5" s="10">
        <f>M5</f>
        <v>355</v>
      </c>
      <c r="O5" s="29">
        <f>IF(N5-INT(N5) &gt;= 0.5, INT(N5)+1, INT(N5))</f>
        <v>355</v>
      </c>
      <c r="P5" s="36">
        <f>N5-O5</f>
        <v>0</v>
      </c>
      <c r="Q5" s="29">
        <v>25</v>
      </c>
      <c r="R5" s="29">
        <f>O5-Q5</f>
        <v>330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0</v>
      </c>
      <c r="I6" s="29">
        <f>IF($D$2=1,ROUND(((E6*G6)/2),2),0)</f>
        <v>0</v>
      </c>
      <c r="J6" s="29">
        <f>IF($D$2=2,ROUND((E6*G6),2),0)</f>
        <v>9.9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355</v>
      </c>
      <c r="F7" s="10"/>
      <c r="L7" s="29">
        <f>L5+L6</f>
        <v>64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F5" sqref="F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3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264</v>
      </c>
      <c r="B5" s="29" t="s">
        <v>264</v>
      </c>
      <c r="C5" s="29" t="s">
        <v>217</v>
      </c>
      <c r="D5" s="29" t="s">
        <v>138</v>
      </c>
      <c r="E5" s="10">
        <f>C5*D5</f>
        <v>750</v>
      </c>
      <c r="F5" s="34">
        <f>M5-B5</f>
        <v>307.5</v>
      </c>
      <c r="G5" s="22">
        <v>0.18</v>
      </c>
      <c r="H5" s="10">
        <f>IF(OR($D$2=1,$D$2=4),ROUND(((E5*G5)/2),2),0)</f>
        <v>0</v>
      </c>
      <c r="I5" s="10">
        <f>IF($D$2=1,ROUND(((E5*G5)/2),2),0)</f>
        <v>0</v>
      </c>
      <c r="J5" s="10">
        <f>IF($D$2=2,ROUND((E5*G5),2),0)</f>
        <v>135</v>
      </c>
      <c r="K5" s="10">
        <f>IF($D$2=4,ROUND(((E5*G5)/2),2),0)</f>
        <v>0</v>
      </c>
      <c r="L5" s="10">
        <f>H5+I5+J5+K5</f>
        <v>135</v>
      </c>
      <c r="M5" s="10">
        <f>IF($J2=1,E5+L5,E5)</f>
        <v>750</v>
      </c>
      <c r="N5" s="10">
        <f>M5</f>
        <v>750</v>
      </c>
      <c r="O5" s="29">
        <f>IF(N5-INT(N5) &gt;= 0.5, INT(N5)+1, INT(N5))</f>
        <v>750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M7"/>
  <sheetViews>
    <sheetView topLeftCell="F1" workbookViewId="0">
      <selection activeCell="R4" sqref="R4:R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4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264</v>
      </c>
      <c r="B5" s="29" t="s">
        <v>264</v>
      </c>
      <c r="C5" s="29" t="s">
        <v>217</v>
      </c>
      <c r="D5" s="29" t="s">
        <v>138</v>
      </c>
      <c r="E5" s="10">
        <f>C5*D5</f>
        <v>750</v>
      </c>
      <c r="F5" s="10">
        <f>M5-B5</f>
        <v>362.5</v>
      </c>
      <c r="G5" s="22">
        <v>0.18</v>
      </c>
      <c r="H5" s="29">
        <f>IF(OR($D$2=1,$D$2=4),ROUND(((E5*G5)/2),2),0)</f>
        <v>0</v>
      </c>
      <c r="I5" s="29">
        <f>IF($D$2=1,ROUND(((E5*G5)/2),2),0)</f>
        <v>0</v>
      </c>
      <c r="J5" s="29">
        <f>IF($D$2=2,ROUND((E5*G5),2),0)</f>
        <v>135</v>
      </c>
      <c r="K5" s="29">
        <f>IF($D$2=4,ROUND(((E5*G5)/2),2),0)</f>
        <v>0</v>
      </c>
      <c r="L5" s="29">
        <f>ROUND(H5+I5+J5+K5,0)</f>
        <v>135</v>
      </c>
      <c r="M5" s="29">
        <f>IF($J2=1,E7+L7,E7)</f>
        <v>805</v>
      </c>
      <c r="N5" s="10">
        <f>M5</f>
        <v>805</v>
      </c>
      <c r="O5" s="29">
        <f>IF(N5-INT(N5) &gt;= 0.5, INT(N5)+1, INT(N5))</f>
        <v>805</v>
      </c>
      <c r="P5" s="36">
        <f>N5-O5</f>
        <v>0</v>
      </c>
      <c r="Q5" s="29">
        <v>25</v>
      </c>
      <c r="R5" s="29">
        <f>O5-Q5</f>
        <v>780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0</v>
      </c>
      <c r="I6" s="29">
        <f>IF($D$2=1,ROUND(((E6*G6)/2),2),0)</f>
        <v>0</v>
      </c>
      <c r="J6" s="29">
        <f>IF($D$2=2,ROUND((E6*G6),2),0)</f>
        <v>9.9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805</v>
      </c>
      <c r="F7" s="10"/>
      <c r="L7" s="29">
        <f>L5+L6</f>
        <v>145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E10" sqref="E10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5"/>
    </row>
    <row r="2" spans="1:39" ht="19.899999999999999" customHeight="1">
      <c r="A2" s="196" t="s">
        <v>0</v>
      </c>
      <c r="B2" s="196"/>
      <c r="D2" s="29">
        <v>1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33">
        <f>M5-B5</f>
        <v>-54</v>
      </c>
      <c r="G5" s="22">
        <v>0.18</v>
      </c>
      <c r="H5" s="10">
        <f>IF(OR($D$2=1,$D$2=4),ROUND(((E5*G5)/2),2),0)</f>
        <v>27</v>
      </c>
      <c r="I5" s="10">
        <f>IF($D$2=1,ROUND(((E5*G5)/2),2),0)</f>
        <v>27</v>
      </c>
      <c r="J5" s="10">
        <f>IF($D$2=2,ROUND((E5*G5),2),0)</f>
        <v>0</v>
      </c>
      <c r="K5" s="10">
        <f>IF($D$2=4,ROUND(((E5*G5)/2),2),0)</f>
        <v>0</v>
      </c>
      <c r="L5" s="10">
        <f>H5+I5+J5+K5</f>
        <v>54</v>
      </c>
      <c r="M5" s="10">
        <f>IF($J2=1,E5+L5,E5)</f>
        <v>300</v>
      </c>
      <c r="N5" s="10">
        <f>M5</f>
        <v>300</v>
      </c>
      <c r="O5" s="29">
        <f>IF(N5-INT(N5) &gt;= 0.5, INT(N5)+1, INT(N5))</f>
        <v>300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M7"/>
  <sheetViews>
    <sheetView topLeftCell="G1" workbookViewId="0">
      <selection activeCell="S1" sqref="S1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9" customWidth="true" style="29" width="27.85546875"/>
    <col min="20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9"/>
    </row>
    <row r="2" spans="1:39" ht="19.899999999999999" customHeight="1">
      <c r="A2" s="196" t="s">
        <v>0</v>
      </c>
      <c r="B2" s="196"/>
      <c r="D2" s="29">
        <v>1</v>
      </c>
      <c r="E2" s="4" t="s">
        <v>167</v>
      </c>
      <c r="F2" s="5"/>
      <c r="G2" s="5"/>
      <c r="H2" s="5"/>
      <c r="I2" s="6"/>
      <c r="J2" s="6">
        <v>1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  <c r="S4" s="187" t="s">
        <v>269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10">
        <f>M5-B5</f>
        <v>65</v>
      </c>
      <c r="G5" s="22">
        <v>0.18</v>
      </c>
      <c r="H5" s="29">
        <f>IF(OR($D$2=1,$D$2=4),ROUND(((E5*G5)/2),2),0)</f>
        <v>27</v>
      </c>
      <c r="I5" s="29">
        <f>IF($D$2=1,ROUND(((E5*G5)/2),2),0)</f>
        <v>27</v>
      </c>
      <c r="J5" s="29">
        <f>IF($D$2=2,ROUND((E5*G5),2),0)</f>
        <v>0</v>
      </c>
      <c r="K5" s="29">
        <f>IF($D$2=4,ROUND(((E5*G5)/2),2),0)</f>
        <v>0</v>
      </c>
      <c r="L5" s="29">
        <f>ROUND(H5+I5+J5+K5,0)</f>
        <v>54</v>
      </c>
      <c r="M5" s="29">
        <f>IF($J2=1,E7+L7,E7)</f>
        <v>419</v>
      </c>
      <c r="N5" s="10">
        <f>L7+E7</f>
        <v>419</v>
      </c>
      <c r="O5" s="29">
        <f>IF(N5-INT(N5) &gt;= 0.5, INT(N5)+1, INT(N5))</f>
        <v>419</v>
      </c>
      <c r="P5" s="36">
        <f>N5-O5</f>
        <v>0</v>
      </c>
      <c r="Q5" s="29">
        <v>25</v>
      </c>
      <c r="R5" s="29">
        <f>O5-Q5</f>
        <v>394</v>
      </c>
      <c r="S5" s="29" t="s">
        <v>270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4.95</v>
      </c>
      <c r="I6" s="29">
        <f>IF($D$2=1,ROUND(((E6*G6)/2),2),0)</f>
        <v>4.95</v>
      </c>
      <c r="J6" s="29">
        <f>IF($D$2=2,ROUND((E6*G6),2),0)</f>
        <v>0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355</v>
      </c>
      <c r="F7" s="10"/>
      <c r="L7" s="29">
        <f>L5+L6</f>
        <v>64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M7"/>
  <sheetViews>
    <sheetView workbookViewId="0">
      <selection activeCell="E9" sqref="E9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6"/>
    </row>
    <row r="2" spans="1:39" ht="19.899999999999999" customHeight="1">
      <c r="A2" s="196" t="s">
        <v>0</v>
      </c>
      <c r="B2" s="196"/>
      <c r="D2" s="29">
        <v>1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10">
        <f>M5-B5</f>
        <v>1</v>
      </c>
      <c r="G5" s="22">
        <v>0.18</v>
      </c>
      <c r="H5" s="29">
        <f>IF(OR($D$2=1,$D$2=4),ROUND(((E5*G5)/2),2),0)</f>
        <v>27</v>
      </c>
      <c r="I5" s="29">
        <f>IF($D$2=1,ROUND(((E5*G5)/2),2),0)</f>
        <v>27</v>
      </c>
      <c r="J5" s="29">
        <f>IF($D$2=2,ROUND((E5*G5),2),0)</f>
        <v>0</v>
      </c>
      <c r="K5" s="29">
        <f>IF($D$2=4,ROUND(((E5*G5)/2),2),0)</f>
        <v>0</v>
      </c>
      <c r="L5" s="29">
        <f>ROUND(H5+I5+J5+K5,0)</f>
        <v>54</v>
      </c>
      <c r="M5" s="29">
        <f>IF($J2=1,E7+L7,E7)</f>
        <v>355</v>
      </c>
      <c r="N5" s="10">
        <f>L7+E7</f>
        <v>419</v>
      </c>
      <c r="O5" s="29">
        <f>IF(N5-INT(N5) &gt;= 0.5, INT(N5)+1, INT(N5))</f>
        <v>419</v>
      </c>
      <c r="P5" s="36">
        <f>N5-O5</f>
        <v>0</v>
      </c>
      <c r="Q5" s="29">
        <v>25</v>
      </c>
      <c r="R5" s="29">
        <f>O5-Q5</f>
        <v>394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4.95</v>
      </c>
      <c r="I6" s="29">
        <f>IF($D$2=1,ROUND(((E6*G6)/2),2),0)</f>
        <v>4.95</v>
      </c>
      <c r="J6" s="29">
        <f>IF($D$2=2,ROUND((E6*G6),2),0)</f>
        <v>0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355</v>
      </c>
      <c r="F7" s="10"/>
      <c r="L7" s="29">
        <f>L5+L6</f>
        <v>64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D6" sqref="D6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88"/>
    </row>
    <row r="2" spans="1:39" ht="19.899999999999999" customHeight="1">
      <c r="A2" s="196" t="s">
        <v>0</v>
      </c>
      <c r="B2" s="196"/>
      <c r="D2" s="29">
        <v>1</v>
      </c>
      <c r="E2" s="4" t="s">
        <v>167</v>
      </c>
      <c r="F2" s="5"/>
      <c r="G2" s="5"/>
      <c r="H2" s="5"/>
      <c r="I2" s="6"/>
      <c r="J2" s="6">
        <v>1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33">
        <f>M5-B5</f>
        <v>0</v>
      </c>
      <c r="G5" s="22">
        <v>0.18</v>
      </c>
      <c r="H5" s="10">
        <f>IF(OR($D$2=1,$D$2=4),ROUND(((E5*G5)/2),2),0)</f>
        <v>27</v>
      </c>
      <c r="I5" s="10">
        <f>IF($D$2=1,ROUND(((E5*G5)/2),2),0)</f>
        <v>27</v>
      </c>
      <c r="J5" s="10">
        <f>IF($D$2=2,ROUND((E5*G5),2),0)</f>
        <v>0</v>
      </c>
      <c r="K5" s="10">
        <f>IF($D$2=4,ROUND(((E5*G5)/2),2),0)</f>
        <v>0</v>
      </c>
      <c r="L5" s="10">
        <f>H5+I5+J5+K5</f>
        <v>54</v>
      </c>
      <c r="M5" s="10">
        <f>IF($J2=1,E5+L5,E5)</f>
        <v>354</v>
      </c>
      <c r="N5" s="10">
        <f>M5</f>
        <v>354</v>
      </c>
      <c r="O5" s="29">
        <f>IF(N5-INT(N5) &gt;= 0.5, INT(N5)+1, INT(N5))</f>
        <v>354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E5" sqref="E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0"/>
    </row>
    <row r="2" spans="1:39" ht="19.899999999999999" customHeight="1">
      <c r="A2" s="196" t="s">
        <v>0</v>
      </c>
      <c r="B2" s="196"/>
      <c r="D2" s="29">
        <v>1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>
        <v>10</v>
      </c>
      <c r="E5" s="10">
        <f>C5*D5</f>
        <v>300</v>
      </c>
      <c r="F5" s="33">
        <f>M5-B5</f>
        <v>-54</v>
      </c>
      <c r="G5" s="22">
        <v>0.18</v>
      </c>
      <c r="H5" s="10">
        <f>IF(OR($D$2=1,$D$2=4),ROUND(((E5*G5)/2),2),0)</f>
        <v>27</v>
      </c>
      <c r="I5" s="10">
        <f>IF($D$2=1,ROUND(((E5*G5)/2),2),0)</f>
        <v>27</v>
      </c>
      <c r="J5" s="10">
        <f>IF($D$2=2,ROUND((E5*G5),2),0)</f>
        <v>0</v>
      </c>
      <c r="K5" s="10">
        <f>IF($D$2=4,ROUND(((E5*G5)/2),2),0)</f>
        <v>0</v>
      </c>
      <c r="L5" s="10">
        <f>H5+I5+J5+K5</f>
        <v>54</v>
      </c>
      <c r="M5" s="10">
        <f>IF($J2=1,E5+L5,E5)</f>
        <v>300</v>
      </c>
      <c r="N5" s="10">
        <f>M5</f>
        <v>300</v>
      </c>
      <c r="O5" s="29">
        <f>IF(N5-INT(N5) &gt;= 0.5, INT(N5)+1, INT(N5))</f>
        <v>300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E11" sqref="E11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1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1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33">
        <f>M5-B5</f>
        <v>0</v>
      </c>
      <c r="G5" s="22">
        <v>0.18</v>
      </c>
      <c r="H5" s="10">
        <f>IF(OR($D$2=1,$D$2=4),ROUND(((E5*G5)/2),2),0)</f>
        <v>0</v>
      </c>
      <c r="I5" s="10">
        <f>IF($D$2=1,ROUND(((E5*G5)/2),2),0)</f>
        <v>0</v>
      </c>
      <c r="J5" s="10">
        <f>IF($D$2=2,ROUND((E5*G5),2),0)</f>
        <v>54</v>
      </c>
      <c r="K5" s="10">
        <f>IF($D$2=4,ROUND(((E5*G5)/2),2),0)</f>
        <v>0</v>
      </c>
      <c r="L5" s="10">
        <f>H5+I5+J5+K5</f>
        <v>54</v>
      </c>
      <c r="M5" s="10">
        <f>IF($J2=1,E5+L5,E5)</f>
        <v>354</v>
      </c>
      <c r="N5" s="10">
        <f>M5</f>
        <v>354</v>
      </c>
      <c r="O5" s="29">
        <f>IF(N5-INT(N5) &gt;= 0.5, INT(N5)+1, INT(N5))</f>
        <v>354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M7"/>
  <sheetViews>
    <sheetView workbookViewId="0">
      <selection activeCell="F25" sqref="F2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2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1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10">
        <f>M5-B5</f>
        <v>65</v>
      </c>
      <c r="G5" s="22">
        <v>0.18</v>
      </c>
      <c r="H5" s="29">
        <f>IF(OR($D$2=1,$D$2=4),ROUND(((E5*G5)/2),2),0)</f>
        <v>0</v>
      </c>
      <c r="I5" s="29">
        <f>IF($D$2=1,ROUND(((E5*G5)/2),2),0)</f>
        <v>0</v>
      </c>
      <c r="J5" s="29">
        <f>IF($D$2=2,ROUND((E5*G5),2),0)</f>
        <v>54</v>
      </c>
      <c r="K5" s="29">
        <f>IF($D$2=4,ROUND(((E5*G5)/2),2),0)</f>
        <v>0</v>
      </c>
      <c r="L5" s="29">
        <f>ROUND(H5+I5+J5+K5,0)</f>
        <v>54</v>
      </c>
      <c r="M5" s="29">
        <f>IF($J2=1,E7+L7,E7)</f>
        <v>419</v>
      </c>
      <c r="N5" s="10">
        <f>L7+E7</f>
        <v>419</v>
      </c>
      <c r="O5" s="29">
        <f>IF(N5-INT(N5) &gt;= 0.5, INT(N5)+1, INT(N5))</f>
        <v>419</v>
      </c>
      <c r="P5" s="36">
        <f>N5-O5</f>
        <v>0</v>
      </c>
      <c r="Q5" s="29">
        <v>25</v>
      </c>
      <c r="R5" s="29">
        <f>O5-Q5</f>
        <v>394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0</v>
      </c>
      <c r="I6" s="29">
        <f>IF($D$2=1,ROUND(((E6*G6)/2),2),0)</f>
        <v>0</v>
      </c>
      <c r="J6" s="29">
        <f>IF($D$2=2,ROUND((E6*G6),2),0)</f>
        <v>9.9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355</v>
      </c>
      <c r="F7" s="10"/>
      <c r="L7" s="29">
        <f>L5+L6</f>
        <v>64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F9" sqref="F9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3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264</v>
      </c>
      <c r="B5" s="29" t="s">
        <v>264</v>
      </c>
      <c r="C5" s="29" t="s">
        <v>217</v>
      </c>
      <c r="D5" s="29">
        <v>10</v>
      </c>
      <c r="E5" s="10">
        <f>C5*D5</f>
        <v>300</v>
      </c>
      <c r="F5" s="34">
        <f>M5-B5</f>
        <v>-142.5</v>
      </c>
      <c r="G5" s="22">
        <v>0.18</v>
      </c>
      <c r="H5" s="10">
        <f>IF(OR($D$2=1,$D$2=4),ROUND(((E5*G5)/2),2),0)</f>
        <v>0</v>
      </c>
      <c r="I5" s="10">
        <f>IF($D$2=1,ROUND(((E5*G5)/2),2),0)</f>
        <v>0</v>
      </c>
      <c r="J5" s="10">
        <f>IF($D$2=2,ROUND((E5*G5),2),0)</f>
        <v>54</v>
      </c>
      <c r="K5" s="10">
        <f>IF($D$2=4,ROUND(((E5*G5)/2),2),0)</f>
        <v>0</v>
      </c>
      <c r="L5" s="10">
        <f>H5+I5+J5+K5</f>
        <v>54</v>
      </c>
      <c r="M5" s="10">
        <f>IF($J2=1,E5+L5,E5)</f>
        <v>300</v>
      </c>
      <c r="N5" s="10">
        <f>M5</f>
        <v>300</v>
      </c>
      <c r="O5" s="29">
        <f>IF(N5-INT(N5) &gt;= 0.5, INT(N5)+1, INT(N5))</f>
        <v>300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M7"/>
  <sheetViews>
    <sheetView workbookViewId="0">
      <selection activeCell="M8" sqref="M8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3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264</v>
      </c>
      <c r="B5" s="29" t="s">
        <v>264</v>
      </c>
      <c r="C5" s="29" t="s">
        <v>217</v>
      </c>
      <c r="D5" s="29" t="s">
        <v>138</v>
      </c>
      <c r="E5" s="10">
        <f>C5*D5</f>
        <v>750</v>
      </c>
      <c r="F5" s="10">
        <f>M5-B5</f>
        <v>362.5</v>
      </c>
      <c r="G5" s="22">
        <v>0.18</v>
      </c>
      <c r="H5" s="29">
        <f>IF(OR($D$2=1,$D$2=4),ROUND(((E5*G5)/2),2),0)</f>
        <v>0</v>
      </c>
      <c r="I5" s="29">
        <f>IF($D$2=1,ROUND(((E5*G5)/2),2),0)</f>
        <v>0</v>
      </c>
      <c r="J5" s="29">
        <f>IF($D$2=2,ROUND((E5*G5),2),0)</f>
        <v>135</v>
      </c>
      <c r="K5" s="29">
        <f>IF($D$2=4,ROUND(((E5*G5)/2),2),0)</f>
        <v>0</v>
      </c>
      <c r="L5" s="29">
        <f>ROUND(H5+I5+J5+K5,0)</f>
        <v>135</v>
      </c>
      <c r="M5" s="29">
        <f>IF($J2=1,E7+L7,E7)</f>
        <v>805</v>
      </c>
      <c r="N5" s="10">
        <f>M5</f>
        <v>805</v>
      </c>
      <c r="O5" s="29">
        <f>IF(N5-INT(N5) &gt;= 0.5, INT(N5)+1, INT(N5))</f>
        <v>805</v>
      </c>
      <c r="P5" s="36">
        <f>N5-O5</f>
        <v>0</v>
      </c>
      <c r="Q5" s="29">
        <v>25</v>
      </c>
      <c r="R5" s="29">
        <f>O5-Q5</f>
        <v>780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0</v>
      </c>
      <c r="I6" s="29">
        <f>IF($D$2=1,ROUND(((E6*G6)/2),2),0)</f>
        <v>0</v>
      </c>
      <c r="J6" s="29">
        <f>IF($D$2=2,ROUND((E6*G6),2),0)</f>
        <v>9.9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805</v>
      </c>
      <c r="F7" s="10"/>
      <c r="L7" s="29">
        <f>L5+L6</f>
        <v>145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M21"/>
  <sheetViews>
    <sheetView workbookViewId="0">
      <selection activeCell="D10" sqref="D10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bestFit="true" customWidth="true" style="29" width="14.28515625"/>
    <col min="16" max="16" bestFit="true" customWidth="true" style="29" width="11.7109375"/>
    <col min="17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4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202" t="s">
        <v>245</v>
      </c>
      <c r="B3" s="202"/>
      <c r="C3" s="202"/>
      <c r="D3" s="202"/>
      <c r="E3" s="202"/>
      <c r="F3" s="202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33">
        <f>M5-B5</f>
        <v>-54</v>
      </c>
      <c r="G5" s="22">
        <v>0.18</v>
      </c>
      <c r="H5" s="10">
        <f>IF(OR($D$2=1,$D$2=4),ROUND(((E5*G5)/2),2),0)</f>
        <v>0</v>
      </c>
      <c r="I5" s="10">
        <f>IF($D$2=1,ROUND(((E5*G5)/2),2),0)</f>
        <v>0</v>
      </c>
      <c r="J5" s="10">
        <f>IF($D$2=2,ROUND((E5*G5),2),0)</f>
        <v>54</v>
      </c>
      <c r="K5" s="10">
        <f>IF($D$2=4,ROUND(((E5*G5)/2),2),0)</f>
        <v>0</v>
      </c>
      <c r="L5" s="10">
        <f>H5+I5+J5+K5</f>
        <v>54</v>
      </c>
      <c r="M5" s="10">
        <f>IF($J2=1,E5+L5,E5)</f>
        <v>300</v>
      </c>
      <c r="N5" s="10">
        <f>M5</f>
        <v>300</v>
      </c>
      <c r="O5" s="29">
        <f>IF(N5-INT(N5) &gt;= 0.5, INT(N5)+1, INT(N5))</f>
        <v>300</v>
      </c>
      <c r="P5" s="36">
        <f>N5-O5</f>
        <v>0</v>
      </c>
    </row>
    <row r="21" spans="3:3">
      <c r="C21" s="29">
        <v>2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M7"/>
  <sheetViews>
    <sheetView workbookViewId="0">
      <selection activeCell="F15" sqref="F15"/>
    </sheetView>
  </sheetViews>
  <sheetFormatPr defaultColWidth="9.140625" defaultRowHeight="14.25"/>
  <cols>
    <col min="1" max="1" customWidth="true" style="29" width="15.28515625"/>
    <col min="2" max="3" customWidth="true" style="29" width="15.140625"/>
    <col min="4" max="4" customWidth="true" style="29" width="27.28515625"/>
    <col min="5" max="5" bestFit="true" customWidth="true" style="29" width="19.42578125"/>
    <col min="6" max="6" customWidth="true" style="29" width="16.7109375"/>
    <col min="7" max="13" style="29" width="9.140625"/>
    <col min="14" max="14" bestFit="true" customWidth="true" style="29" width="16.85546875"/>
    <col min="15" max="15" style="29" width="9.140625"/>
    <col min="16" max="16" bestFit="true" customWidth="true" style="29" width="11.7109375"/>
    <col min="17" max="17" bestFit="true" customWidth="true" style="29" width="16.85546875"/>
    <col min="18" max="18" bestFit="true" customWidth="true" style="29" width="26.85546875"/>
    <col min="19" max="16384" style="29" width="9.140625"/>
  </cols>
  <sheetData>
    <row r="1" spans="1:39" ht="27.75" customHeight="1">
      <c r="A1" s="197" t="s">
        <v>259</v>
      </c>
      <c r="B1" s="197"/>
      <c r="C1" s="197"/>
      <c r="D1" s="197"/>
      <c r="E1" s="194"/>
    </row>
    <row r="2" spans="1:39" ht="19.899999999999999" customHeight="1">
      <c r="A2" s="196" t="s">
        <v>0</v>
      </c>
      <c r="B2" s="196"/>
      <c r="D2" s="29">
        <v>2</v>
      </c>
      <c r="E2" s="4" t="s">
        <v>167</v>
      </c>
      <c r="F2" s="5"/>
      <c r="G2" s="5"/>
      <c r="H2" s="5"/>
      <c r="I2" s="6"/>
      <c r="J2" s="6">
        <v>2</v>
      </c>
      <c r="K2" s="7" t="s">
        <v>160</v>
      </c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30"/>
      <c r="AI2" s="28"/>
      <c r="AM2" s="28"/>
    </row>
    <row r="3" spans="1:39" ht="19.899999999999999" customHeight="1">
      <c r="A3" s="198" t="s">
        <v>245</v>
      </c>
      <c r="B3" s="198"/>
      <c r="C3" s="198"/>
      <c r="D3" s="198"/>
      <c r="E3" s="198"/>
      <c r="F3" s="198"/>
    </row>
    <row r="4" spans="1:39" s="31" customFormat="1">
      <c r="A4" s="11" t="s">
        <v>246</v>
      </c>
      <c r="B4" s="11" t="s">
        <v>247</v>
      </c>
      <c r="C4" s="11" t="s">
        <v>248</v>
      </c>
      <c r="D4" s="11" t="s">
        <v>249</v>
      </c>
      <c r="E4" s="11" t="s">
        <v>250</v>
      </c>
      <c r="F4" s="115" t="s">
        <v>251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168</v>
      </c>
      <c r="L4" s="17" t="s">
        <v>30</v>
      </c>
      <c r="M4" s="18" t="s">
        <v>31</v>
      </c>
      <c r="N4" s="180" t="s">
        <v>261</v>
      </c>
      <c r="O4" s="180" t="s">
        <v>263</v>
      </c>
      <c r="P4" s="180" t="s">
        <v>262</v>
      </c>
      <c r="Q4" s="187" t="s">
        <v>266</v>
      </c>
      <c r="R4" s="187" t="s">
        <v>267</v>
      </c>
    </row>
    <row r="5" spans="1:39">
      <c r="A5" s="29" t="s">
        <v>260</v>
      </c>
      <c r="B5" s="29" t="s">
        <v>260</v>
      </c>
      <c r="C5" s="29" t="s">
        <v>217</v>
      </c>
      <c r="D5" s="29" t="s">
        <v>227</v>
      </c>
      <c r="E5" s="10">
        <f>C5*D5</f>
        <v>300</v>
      </c>
      <c r="F5" s="10">
        <f>M5-B5</f>
        <v>1</v>
      </c>
      <c r="G5" s="22">
        <v>0.18</v>
      </c>
      <c r="H5" s="29">
        <f>IF(OR($D$2=1,$D$2=4),ROUND(((E5*G5)/2),2),0)</f>
        <v>0</v>
      </c>
      <c r="I5" s="29">
        <f>IF($D$2=1,ROUND(((E5*G5)/2),2),0)</f>
        <v>0</v>
      </c>
      <c r="J5" s="29">
        <f>IF($D$2=2,ROUND((E5*G5),2),0)</f>
        <v>54</v>
      </c>
      <c r="K5" s="29">
        <f>IF($D$2=4,ROUND(((E5*G5)/2),2),0)</f>
        <v>0</v>
      </c>
      <c r="L5" s="29">
        <f>ROUND(H5+I5+J5+K5,0)</f>
        <v>54</v>
      </c>
      <c r="M5" s="29">
        <f>IF($J2=1,E7+L7,E7)</f>
        <v>355</v>
      </c>
      <c r="N5" s="10">
        <f>L7+E7</f>
        <v>419</v>
      </c>
      <c r="O5" s="29">
        <f>IF(N5-INT(N5) &gt;= 0.5, INT(N5)+1, INT(N5))</f>
        <v>419</v>
      </c>
      <c r="P5" s="36">
        <f>N5-O5</f>
        <v>0</v>
      </c>
      <c r="Q5" s="29">
        <v>25</v>
      </c>
      <c r="R5" s="29">
        <f>O5-Q5</f>
        <v>394</v>
      </c>
    </row>
    <row r="6" spans="1:39">
      <c r="A6" s="10"/>
      <c r="B6" s="10"/>
      <c r="C6" s="10">
        <v>55</v>
      </c>
      <c r="D6" s="10">
        <v>1</v>
      </c>
      <c r="E6" s="10">
        <f>C6*D6</f>
        <v>55</v>
      </c>
      <c r="F6" s="10"/>
      <c r="G6" s="22">
        <v>0.18</v>
      </c>
      <c r="H6" s="29">
        <f>IF(OR($D$2=1,$D$2=4),ROUND(((E6*G6)/2),2),0)</f>
        <v>0</v>
      </c>
      <c r="I6" s="29">
        <f>IF($D$2=1,ROUND(((E6*G6)/2),2),0)</f>
        <v>0</v>
      </c>
      <c r="J6" s="29">
        <f>IF($D$2=2,ROUND((E6*G6),2),0)</f>
        <v>9.9</v>
      </c>
      <c r="K6" s="29">
        <f>IF($D$2=4,ROUND(((E6*G6)/2),2),0)</f>
        <v>0</v>
      </c>
      <c r="L6" s="29">
        <f>ROUND(H6+I6+J6+K6,0)</f>
        <v>10</v>
      </c>
    </row>
    <row r="7" spans="1:39">
      <c r="A7" s="10"/>
      <c r="B7" s="10"/>
      <c r="C7" s="10"/>
      <c r="D7" s="178" t="s">
        <v>258</v>
      </c>
      <c r="E7" s="10">
        <f>SUM(E5:E6)</f>
        <v>355</v>
      </c>
      <c r="F7" s="10"/>
      <c r="L7" s="29">
        <f>L5+L6</f>
        <v>64</v>
      </c>
    </row>
  </sheetData>
  <mergeCells count="3">
    <mergeCell ref="A1:D1"/>
    <mergeCell ref="A2:B2"/>
    <mergeCell ref="A3:F3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Domestic S&amp;D</vt:lpstr>
      <vt:lpstr>Export S&amp;D</vt:lpstr>
      <vt:lpstr>DomesticRateCont S&amp;D</vt:lpstr>
      <vt:lpstr>ExportRateCont S&amp;D</vt:lpstr>
      <vt:lpstr>DomesticPriceList S&amp;D</vt:lpstr>
      <vt:lpstr>ExportPriceList S&amp;D</vt:lpstr>
      <vt:lpstr>DomesticStandard S&amp;D</vt:lpstr>
      <vt:lpstr>ExportStandard S&amp;D</vt:lpstr>
      <vt:lpstr>DomesticCatalog S&amp;D</vt:lpstr>
      <vt:lpstr>ExportCatalog S&amp;D</vt:lpstr>
      <vt:lpstr>ExportCRNote</vt:lpstr>
      <vt:lpstr>Charges</vt:lpstr>
      <vt:lpstr>ShipSet</vt:lpstr>
      <vt:lpstr>MultipleSalesInvoiceLine</vt:lpstr>
      <vt:lpstr>LocalCustomer</vt:lpstr>
      <vt:lpstr>UTGSTCustomer</vt:lpstr>
      <vt:lpstr>InterStateCustomer</vt:lpstr>
      <vt:lpstr>FreeSampleType</vt:lpstr>
      <vt:lpstr>FreeReplacement</vt:lpstr>
      <vt:lpstr>ScrapType</vt:lpstr>
      <vt:lpstr>ServiceType</vt:lpstr>
      <vt:lpstr>CESScustomer</vt:lpstr>
      <vt:lpstr>SEZCustomer</vt:lpstr>
      <vt:lpstr>PromotionalType</vt:lpstr>
      <vt:lpstr>PIDirectType</vt:lpstr>
      <vt:lpstr>PIDirectTypeExport</vt:lpstr>
      <vt:lpstr>CRNoteDomestic</vt:lpstr>
      <vt:lpstr>CRNoteExport</vt:lpstr>
      <vt:lpstr>CRNoteExportService</vt:lpstr>
      <vt:lpstr>CRNoteGateEntryExport</vt:lpstr>
      <vt:lpstr>CRNoteGateEntry</vt:lpstr>
      <vt:lpstr>OpenSCORevise</vt:lpstr>
      <vt:lpstr>OpenSCO</vt:lpstr>
      <vt:lpstr>DirectSCOWithSOU3</vt:lpstr>
      <vt:lpstr>DirectSCOWithSO</vt:lpstr>
      <vt:lpstr>DirectSCOWithProjectU3</vt:lpstr>
      <vt:lpstr>DirectSCOWithProject</vt:lpstr>
      <vt:lpstr>DirectSCOSerialWithSOU3</vt:lpstr>
      <vt:lpstr>DirectSCOSerialWithSO</vt:lpstr>
      <vt:lpstr>DirectSCOWithSOandConvU3</vt:lpstr>
      <vt:lpstr>DirectSCOWithSOandConv</vt:lpstr>
      <vt:lpstr>DirectSCOWithConv</vt:lpstr>
      <vt:lpstr>DirectSCOSerialWithPrjU3</vt:lpstr>
      <vt:lpstr>DirectSCOSerialWithPrj</vt:lpstr>
      <vt:lpstr>DirectSCOSerial</vt:lpstr>
      <vt:lpstr>ProcCalculationLocalUnreg</vt:lpstr>
      <vt:lpstr>ProcCalculationInterstateReg</vt:lpstr>
      <vt:lpstr>ProcCalculationUTGSTreg</vt:lpstr>
      <vt:lpstr>ProcCalculationUTGSTUnreg</vt:lpstr>
      <vt:lpstr>ProcCalculationInterstateUnreg</vt:lpstr>
      <vt:lpstr>ProcCalculationLocalReg</vt:lpstr>
      <vt:lpstr>DirectSCOSerialWithQC</vt:lpstr>
      <vt:lpstr>DirectSCOWithQC</vt:lpstr>
      <vt:lpstr>DirectSCO</vt:lpstr>
      <vt:lpstr>GRNSourceSFCode</vt:lpstr>
      <vt:lpstr>SourceSFCode</vt:lpstr>
      <vt:lpstr>SCOCharges</vt:lpstr>
      <vt:lpstr>SOtoSIDomestic</vt:lpstr>
      <vt:lpstr>BRSPSI</vt:lpstr>
      <vt:lpstr>BRSPSIE</vt:lpstr>
      <vt:lpstr>BRSPMI</vt:lpstr>
      <vt:lpstr>PurchaseBillDeviation</vt:lpstr>
      <vt:lpstr>PurchaseBillDeviationandExp</vt:lpstr>
      <vt:lpstr>DevandExpTaxCalculation</vt:lpstr>
      <vt:lpstr>DevTaxCalculation</vt:lpstr>
      <vt:lpstr>DevRCMTaxCalculation</vt:lpstr>
      <vt:lpstr>DevandExpRCMTaxCalculation</vt:lpstr>
      <vt:lpstr>DevInterRCMTaxCalculation</vt:lpstr>
      <vt:lpstr>DevandExpInterRCMTaxCalculation</vt:lpstr>
      <vt:lpstr>DevTaxLocalUnregCalculation</vt:lpstr>
      <vt:lpstr>DevandExpTaxLocRegCalculation</vt:lpstr>
      <vt:lpstr>DevandExpTaxLocUnregCalculation</vt:lpstr>
      <vt:lpstr>DevTaxLocalRegCalculation</vt:lpstr>
      <vt:lpstr>DirectDevRCMTaxCalculation</vt:lpstr>
      <vt:lpstr>DevTaxInterstateRegCalculation</vt:lpstr>
      <vt:lpstr>DevandExpTaxInterstatregCalcula</vt:lpstr>
      <vt:lpstr>DevInterRegRCMTaxCalculation</vt:lpstr>
      <vt:lpstr>DevandExpInterRegRCMTaxCal</vt:lpstr>
      <vt:lpstr>DevTaxInterstateUnRegCal</vt:lpstr>
      <vt:lpstr>DevandExpTaxInterstateUnregCal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2024-08-28T12:59:00Z</dcterms:created>
  <dc:creator>Premkumar.K</dc:creator>
  <cp:lastModifiedBy>Vimal Raj.P</cp:lastModifiedBy>
  <dcterms:modified xsi:type="dcterms:W3CDTF">2026-07-23T06:15:20Z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DF1FCE896026400A82FB33CE9FFFC117_12</vt:lpwstr>
  </property>
  <property fmtid="{D5CDD505-2E9C-101B-9397-08002B2CF9AE}" pid="3" name="KSOProductBuildVer">
    <vt:lpwstr>1033-12.2.0.17562</vt:lpwstr>
  </property>
</Properties>
</file>