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  <Override ContentType="application/vnd.openxmlformats-officedocument.spreadsheetml.worksheet+xml" PartName="/xl/worksheets/sheet62.xml"/>
  <Override ContentType="application/vnd.openxmlformats-officedocument.spreadsheetml.worksheet+xml" PartName="/xl/worksheets/sheet63.xml"/>
  <Override ContentType="application/vnd.openxmlformats-officedocument.spreadsheetml.worksheet+xml" PartName="/xl/worksheets/sheet64.xml"/>
  <Override ContentType="application/vnd.openxmlformats-officedocument.spreadsheetml.worksheet+xml" PartName="/xl/worksheets/sheet65.xml"/>
  <Override ContentType="application/vnd.openxmlformats-officedocument.spreadsheetml.worksheet+xml" PartName="/xl/worksheets/sheet66.xml"/>
  <Override ContentType="application/vnd.openxmlformats-officedocument.spreadsheetml.worksheet+xml" PartName="/xl/worksheets/sheet67.xml"/>
  <Override ContentType="application/vnd.openxmlformats-officedocument.spreadsheetml.worksheet+xml" PartName="/xl/worksheets/sheet68.xml"/>
  <Override ContentType="application/vnd.openxmlformats-officedocument.spreadsheetml.worksheet+xml" PartName="/xl/worksheets/sheet69.xml"/>
  <Override ContentType="application/vnd.openxmlformats-officedocument.spreadsheetml.worksheet+xml" PartName="/xl/worksheets/sheet70.xml"/>
  <Override ContentType="application/vnd.openxmlformats-officedocument.spreadsheetml.worksheet+xml" PartName="/xl/worksheets/sheet71.xml"/>
  <Override ContentType="application/vnd.openxmlformats-officedocument.spreadsheetml.worksheet+xml" PartName="/xl/worksheets/sheet72.xml"/>
  <Override ContentType="application/vnd.openxmlformats-officedocument.spreadsheetml.worksheet+xml" PartName="/xl/worksheets/sheet73.xml"/>
  <Override ContentType="application/vnd.openxmlformats-officedocument.spreadsheetml.worksheet+xml" PartName="/xl/worksheets/sheet74.xml"/>
  <Override ContentType="application/vnd.openxmlformats-officedocument.spreadsheetml.worksheet+xml" PartName="/xl/worksheets/sheet75.xml"/>
  <Override ContentType="application/vnd.openxmlformats-officedocument.spreadsheetml.worksheet+xml" PartName="/xl/worksheets/sheet76.xml"/>
  <Override ContentType="application/vnd.openxmlformats-officedocument.spreadsheetml.worksheet+xml" PartName="/xl/worksheets/sheet77.xml"/>
  <Override ContentType="application/vnd.openxmlformats-officedocument.spreadsheetml.worksheet+xml" PartName="/xl/worksheets/sheet78.xml"/>
  <Override ContentType="application/vnd.openxmlformats-officedocument.spreadsheetml.worksheet+xml" PartName="/xl/worksheets/sheet79.xml"/>
  <Override ContentType="application/vnd.openxmlformats-officedocument.spreadsheetml.worksheet+xml" PartName="/xl/worksheets/sheet80.xml"/>
  <Override ContentType="application/vnd.openxmlformats-officedocument.spreadsheetml.worksheet+xml" PartName="/xl/worksheets/sheet8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11" activeTab="11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UTGSTCustomer" sheetId="58" r:id="rId16"/>
    <sheet name="InterStateCustomer" sheetId="14" r:id="rId17"/>
    <sheet name="FreeSampleType" sheetId="15" r:id="rId18"/>
    <sheet name="FreeReplacement" sheetId="16" r:id="rId19"/>
    <sheet name="ScrapType" sheetId="17" r:id="rId20"/>
    <sheet name="ServiceType" sheetId="18" r:id="rId21"/>
    <sheet name="CESScustomer" sheetId="20" r:id="rId22"/>
    <sheet name="SEZCustomer" sheetId="19" r:id="rId23"/>
    <sheet name="PromotionalType" sheetId="21" r:id="rId24"/>
    <sheet name="PIDirectType" sheetId="22" r:id="rId25"/>
    <sheet name="PIDirectTypeExport" sheetId="23" r:id="rId26"/>
    <sheet name="CRNoteDomestic" sheetId="24" r:id="rId27"/>
    <sheet name="CRNoteExport" sheetId="25" r:id="rId28"/>
    <sheet name="CRNoteExportService" sheetId="28" r:id="rId29"/>
    <sheet name="CRNoteGateEntryExport" sheetId="31" r:id="rId30"/>
    <sheet name="CRNoteGateEntry" sheetId="30" r:id="rId31"/>
    <sheet name="OpenSCORevise" sheetId="41" r:id="rId32"/>
    <sheet name="OpenSCO" sheetId="40" r:id="rId33"/>
    <sheet name="DirectSCOWithSOU3" sheetId="62" r:id="rId34"/>
    <sheet name="DirectSCOWithSO" sheetId="43" r:id="rId35"/>
    <sheet name="DirectSCOWithProjectU3" sheetId="65" r:id="rId36"/>
    <sheet name="DirectSCOWithProject" sheetId="45" r:id="rId37"/>
    <sheet name="DirectSCOSerialWithSOU3" sheetId="63" r:id="rId38"/>
    <sheet name="DirectSCOSerialWithSO" sheetId="47" r:id="rId39"/>
    <sheet name="DirectSCOWithSOandConvU3" sheetId="64" r:id="rId40"/>
    <sheet name="DirectSCOWithSOandConv" sheetId="44" r:id="rId41"/>
    <sheet name="DirectSCOWithConv" sheetId="42" r:id="rId42"/>
    <sheet name="DirectSCOSerialWithPrjU3" sheetId="66" r:id="rId43"/>
    <sheet name="DirectSCOSerialWithPrj" sheetId="48" r:id="rId44"/>
    <sheet name="DirectSCOSerial" sheetId="46" r:id="rId45"/>
    <sheet name="ProcCalculationLocalUnreg" sheetId="52" r:id="rId46"/>
    <sheet name="ProcCalculationInterstateReg" sheetId="53" r:id="rId47"/>
    <sheet name="ProcCalculationUTGSTreg" sheetId="56" r:id="rId48"/>
    <sheet name="ProcCalculationUTGSTUnreg" sheetId="55" r:id="rId49"/>
    <sheet name="ProcCalculationInterstateUnreg" sheetId="54" r:id="rId50"/>
    <sheet name="ProcCalculationLocalReg" sheetId="51" r:id="rId51"/>
    <sheet name="DirectSCOSerialWithQC" sheetId="73" r:id="rId52"/>
    <sheet name="DirectSCOWithQC" sheetId="68" r:id="rId53"/>
    <sheet name="DirectSCO" sheetId="39" r:id="rId54"/>
    <sheet name="GRNSourceSFCode" sheetId="72" r:id="rId55"/>
    <sheet name="SourceSFCode" sheetId="67" r:id="rId56"/>
    <sheet name="SCOCharges" sheetId="57" r:id="rId57"/>
    <sheet name="SOtoSIDomestic" sheetId="61" r:id="rId58"/>
    <sheet name="BRSPSI" sheetId="69" r:id="rId59"/>
    <sheet name="BRSPSIE" sheetId="70" r:id="rId60"/>
    <sheet name="BRSPMI" sheetId="71" r:id="rId61"/>
    <sheet name="PurchaseBillDeviation" sheetId="74" r:id="rId62"/>
    <sheet name="PurchaseBillDeviationandExp" sheetId="75" r:id="rId63"/>
    <sheet name="DevandExpTaxCalculation" sheetId="77" r:id="rId64"/>
    <sheet name="DevTaxCalculation" sheetId="78" r:id="rId65"/>
    <sheet name="DevRCMTaxCalculation" sheetId="79" r:id="rId66"/>
    <sheet name="DevandExpRCMTaxCalculation" sheetId="80" r:id="rId67"/>
    <sheet name="DevInterRCMTaxCalculation" sheetId="81" r:id="rId68"/>
    <sheet name="DevandExpInterRCMTaxCalculation" sheetId="82" r:id="rId69"/>
    <sheet name="DevTaxLocalUnregCalculation" sheetId="83" r:id="rId70"/>
    <sheet name="DevandExpTaxLocRegCalculation" sheetId="87" r:id="rId71"/>
    <sheet name="DevandExpTaxLocUnregCalculation" sheetId="84" r:id="rId72"/>
    <sheet name="DevTaxLocalRegCalculation" sheetId="86" r:id="rId73"/>
    <sheet name="DirectDevRCMTaxCalculation" sheetId="88" r:id="rId74"/>
    <sheet name="DevTaxInterstateRegCalculation" sheetId="89" r:id="rId75"/>
    <sheet name="DevandExpTaxInterstatregCalcula" sheetId="90" r:id="rId76"/>
    <sheet name="DevInterRegRCMTaxCalculation" sheetId="92" r:id="rId77"/>
    <sheet name="DevandExpInterRegRCMTaxCal" sheetId="93" r:id="rId78"/>
    <sheet name="DevTaxInterstateUnRegCal" sheetId="94" r:id="rId79"/>
    <sheet name="DevandExpTaxInterstateUnregCal" sheetId="95" r:id="rId80"/>
    <sheet name="Sheet1" sheetId="85" r:id="rId8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95"/>
  <c r="I6"/>
  <c r="H6"/>
  <c r="E6"/>
  <c r="J6" s="1"/>
  <c r="K5"/>
  <c r="I5"/>
  <c r="H5"/>
  <c r="E5"/>
  <c r="J5" s="1"/>
  <c r="K5" i="94"/>
  <c r="I5"/>
  <c r="H5"/>
  <c r="E5"/>
  <c r="J5" s="1"/>
  <c r="K6" i="93"/>
  <c r="I6"/>
  <c r="H6"/>
  <c r="E6"/>
  <c r="J6" s="1"/>
  <c r="K5"/>
  <c r="I5"/>
  <c r="H5"/>
  <c r="E5"/>
  <c r="J5" s="1"/>
  <c r="K5" i="92"/>
  <c r="I5"/>
  <c r="H5"/>
  <c r="E5"/>
  <c r="J5" s="1"/>
  <c r="K6" i="90"/>
  <c r="J6"/>
  <c r="I6"/>
  <c r="H6"/>
  <c r="E6"/>
  <c r="K5"/>
  <c r="E5"/>
  <c r="H5" s="1"/>
  <c r="K5" i="89"/>
  <c r="E5"/>
  <c r="J5" s="1"/>
  <c r="K5" i="88"/>
  <c r="J5"/>
  <c r="E5"/>
  <c r="M5" s="1"/>
  <c r="K6" i="87"/>
  <c r="J6"/>
  <c r="E6"/>
  <c r="I6" s="1"/>
  <c r="K5"/>
  <c r="J5"/>
  <c r="E5"/>
  <c r="K5" i="86"/>
  <c r="J5"/>
  <c r="E5"/>
  <c r="I5" s="1"/>
  <c r="R5" i="75"/>
  <c r="H5"/>
  <c r="K6" i="84"/>
  <c r="E6"/>
  <c r="J6" s="1"/>
  <c r="K5"/>
  <c r="E5"/>
  <c r="J5" s="1"/>
  <c r="K5" i="83"/>
  <c r="E5"/>
  <c r="J5" s="1"/>
  <c r="K6" i="82"/>
  <c r="I6"/>
  <c r="H6"/>
  <c r="E6"/>
  <c r="J6" s="1"/>
  <c r="K5"/>
  <c r="I5"/>
  <c r="H5"/>
  <c r="E5"/>
  <c r="J5" s="1"/>
  <c r="K5" i="81"/>
  <c r="E5"/>
  <c r="I5" s="1"/>
  <c r="K6" i="80"/>
  <c r="I6"/>
  <c r="H6"/>
  <c r="E6"/>
  <c r="J6" s="1"/>
  <c r="K5"/>
  <c r="I5"/>
  <c r="H5"/>
  <c r="E5"/>
  <c r="J5" s="1"/>
  <c r="E5" i="79"/>
  <c r="H5" s="1"/>
  <c r="K5"/>
  <c r="J5"/>
  <c r="L6" i="93" l="1"/>
  <c r="L6" i="95"/>
  <c r="L5" i="93"/>
  <c r="L5" i="95"/>
  <c r="E7"/>
  <c r="L5" i="94"/>
  <c r="M5" s="1"/>
  <c r="E7" i="93"/>
  <c r="M5" s="1"/>
  <c r="L5" i="92"/>
  <c r="M5"/>
  <c r="J5" i="90"/>
  <c r="L6"/>
  <c r="I5"/>
  <c r="E7"/>
  <c r="I5" i="89"/>
  <c r="H5"/>
  <c r="H6" i="84"/>
  <c r="H6" i="87"/>
  <c r="L6" s="1"/>
  <c r="N5" i="88"/>
  <c r="F5"/>
  <c r="I5"/>
  <c r="H5"/>
  <c r="L6" i="82"/>
  <c r="H5" i="86"/>
  <c r="L5" s="1"/>
  <c r="M5" s="1"/>
  <c r="E7" i="87"/>
  <c r="I6" i="84"/>
  <c r="I5" i="87"/>
  <c r="H5"/>
  <c r="H5" i="84"/>
  <c r="I5"/>
  <c r="I5" i="83"/>
  <c r="H5"/>
  <c r="E7" i="84"/>
  <c r="L5" i="82"/>
  <c r="E7"/>
  <c r="M5" i="81"/>
  <c r="F5" s="1"/>
  <c r="J5"/>
  <c r="L6" i="80"/>
  <c r="H5" i="81"/>
  <c r="L5" i="80"/>
  <c r="E7"/>
  <c r="I5" i="79"/>
  <c r="L5" s="1"/>
  <c r="M5"/>
  <c r="L7" i="93" l="1"/>
  <c r="L7" i="95"/>
  <c r="N5" s="1"/>
  <c r="O5" s="1"/>
  <c r="R5" s="1"/>
  <c r="M5"/>
  <c r="F5" s="1"/>
  <c r="F5" i="94"/>
  <c r="N5"/>
  <c r="F5" i="93"/>
  <c r="N5"/>
  <c r="F5" i="92"/>
  <c r="N5"/>
  <c r="L5" i="90"/>
  <c r="L7" s="1"/>
  <c r="N5" s="1"/>
  <c r="O5" s="1"/>
  <c r="R5" s="1"/>
  <c r="L5" i="89"/>
  <c r="M5" s="1"/>
  <c r="L5" i="84"/>
  <c r="L6"/>
  <c r="O5" i="88"/>
  <c r="P5" s="1"/>
  <c r="L5"/>
  <c r="L5" i="83"/>
  <c r="M5" s="1"/>
  <c r="F5" s="1"/>
  <c r="L7" i="82"/>
  <c r="L5" i="87"/>
  <c r="L7" s="1"/>
  <c r="N5" i="86"/>
  <c r="F5"/>
  <c r="M5" i="82"/>
  <c r="N5" i="81"/>
  <c r="O5" s="1"/>
  <c r="P5" s="1"/>
  <c r="L7" i="80"/>
  <c r="M5" s="1"/>
  <c r="L5" i="81"/>
  <c r="N5" i="79"/>
  <c r="F5"/>
  <c r="L7" i="84" l="1"/>
  <c r="N5" s="1"/>
  <c r="O5" s="1"/>
  <c r="P5" i="95"/>
  <c r="O5" i="94"/>
  <c r="P5" s="1"/>
  <c r="O5" i="93"/>
  <c r="R5" s="1"/>
  <c r="O5" i="92"/>
  <c r="P5" s="1"/>
  <c r="M5" i="90"/>
  <c r="F5" s="1"/>
  <c r="P5"/>
  <c r="N5" i="89"/>
  <c r="F5"/>
  <c r="N5" i="83"/>
  <c r="O5" s="1"/>
  <c r="P5" s="1"/>
  <c r="N5" i="87"/>
  <c r="M5"/>
  <c r="F5" s="1"/>
  <c r="O5" i="86"/>
  <c r="P5" s="1"/>
  <c r="M5" i="84"/>
  <c r="F5" s="1"/>
  <c r="N5" i="82"/>
  <c r="F5"/>
  <c r="F5" i="80"/>
  <c r="N5"/>
  <c r="O5" s="1"/>
  <c r="O5" i="79"/>
  <c r="P5" s="1"/>
  <c r="P5" i="93" l="1"/>
  <c r="O5" i="89"/>
  <c r="P5" s="1"/>
  <c r="O5" i="87"/>
  <c r="R5" s="1"/>
  <c r="P5" i="80"/>
  <c r="R5"/>
  <c r="P5" i="84"/>
  <c r="R5"/>
  <c r="O5" i="82"/>
  <c r="K6" i="77"/>
  <c r="I6"/>
  <c r="H6"/>
  <c r="E5" i="78"/>
  <c r="K5"/>
  <c r="P5" i="87" l="1"/>
  <c r="P5" i="82"/>
  <c r="R5"/>
  <c r="H5" i="78"/>
  <c r="J5"/>
  <c r="I5"/>
  <c r="K5" i="77"/>
  <c r="I5"/>
  <c r="E6"/>
  <c r="J6" s="1"/>
  <c r="L6" s="1"/>
  <c r="E5"/>
  <c r="E5" i="75"/>
  <c r="E6"/>
  <c r="E5" i="74"/>
  <c r="F5" s="1"/>
  <c r="I5" i="73"/>
  <c r="K5" s="1"/>
  <c r="M5" s="1"/>
  <c r="AL5" i="71"/>
  <c r="AF5"/>
  <c r="AH5" s="1"/>
  <c r="Z5"/>
  <c r="I5"/>
  <c r="I6" s="1"/>
  <c r="AL5" i="70"/>
  <c r="AF5"/>
  <c r="AH5" s="1"/>
  <c r="Z5"/>
  <c r="Y5"/>
  <c r="X5"/>
  <c r="I5"/>
  <c r="I6" s="1"/>
  <c r="AL5" i="69"/>
  <c r="AF5"/>
  <c r="AH5" s="1"/>
  <c r="Y5"/>
  <c r="X5"/>
  <c r="I5"/>
  <c r="I6" s="1"/>
  <c r="I5" i="68"/>
  <c r="J5" s="1"/>
  <c r="I5" i="66"/>
  <c r="K5" s="1"/>
  <c r="M5" s="1"/>
  <c r="I5" i="65"/>
  <c r="J5" s="1"/>
  <c r="I5" i="64"/>
  <c r="J5" s="1"/>
  <c r="I5" i="63"/>
  <c r="J5" s="1"/>
  <c r="I5" i="62"/>
  <c r="J5" s="1"/>
  <c r="I5" i="51"/>
  <c r="K5" s="1"/>
  <c r="P5" s="1"/>
  <c r="AL6" i="61"/>
  <c r="AF6"/>
  <c r="AH6" s="1"/>
  <c r="AL5"/>
  <c r="AF5"/>
  <c r="AH5" s="1"/>
  <c r="Y6"/>
  <c r="X6"/>
  <c r="I6"/>
  <c r="Y5"/>
  <c r="X5"/>
  <c r="I5"/>
  <c r="AF5" i="58"/>
  <c r="AH5" s="1"/>
  <c r="Y5"/>
  <c r="I5"/>
  <c r="M5" s="1"/>
  <c r="N5" s="1"/>
  <c r="AF6" i="8"/>
  <c r="R5" i="57"/>
  <c r="P5"/>
  <c r="O5"/>
  <c r="I5"/>
  <c r="J5" s="1"/>
  <c r="Q5" i="56"/>
  <c r="P5"/>
  <c r="I5"/>
  <c r="J5" s="1"/>
  <c r="Q5" i="51"/>
  <c r="P5" i="54"/>
  <c r="O5"/>
  <c r="I5"/>
  <c r="J5" s="1"/>
  <c r="P5" i="53"/>
  <c r="O5"/>
  <c r="I5"/>
  <c r="K5" s="1"/>
  <c r="Q5" s="1"/>
  <c r="Q5" i="52"/>
  <c r="I5"/>
  <c r="K5" s="1"/>
  <c r="T5" s="1"/>
  <c r="P5" i="55"/>
  <c r="I5"/>
  <c r="J5" s="1"/>
  <c r="E7" i="77" l="1"/>
  <c r="E7" i="75"/>
  <c r="F7" s="1"/>
  <c r="AA5" i="70"/>
  <c r="AA6" s="1"/>
  <c r="M5"/>
  <c r="N5" s="1"/>
  <c r="O5" s="1"/>
  <c r="L5" i="78"/>
  <c r="M5" s="1"/>
  <c r="N5" s="1"/>
  <c r="M5" i="71"/>
  <c r="N5" s="1"/>
  <c r="P5" i="52"/>
  <c r="O5"/>
  <c r="J5" i="77"/>
  <c r="H5"/>
  <c r="J5" i="73"/>
  <c r="O5" i="71"/>
  <c r="M5" i="69"/>
  <c r="N5" s="1"/>
  <c r="K5" i="68"/>
  <c r="M5" s="1"/>
  <c r="J5" i="66"/>
  <c r="K5" i="65"/>
  <c r="M5" s="1"/>
  <c r="K5" i="64"/>
  <c r="M5" s="1"/>
  <c r="K5" i="63"/>
  <c r="M5" s="1"/>
  <c r="K5" i="62"/>
  <c r="M5" s="1"/>
  <c r="O5" i="51"/>
  <c r="M5" i="61"/>
  <c r="N5" s="1"/>
  <c r="M6"/>
  <c r="N6" s="1"/>
  <c r="O5" i="58"/>
  <c r="K5" i="57"/>
  <c r="K5" i="56"/>
  <c r="R5" i="51"/>
  <c r="J5"/>
  <c r="K5" i="54"/>
  <c r="R5" i="53"/>
  <c r="S5" s="1"/>
  <c r="T5" s="1"/>
  <c r="J5"/>
  <c r="R5" i="52"/>
  <c r="J5"/>
  <c r="K5" i="55"/>
  <c r="M5" i="77" l="1"/>
  <c r="L5"/>
  <c r="L7" s="1"/>
  <c r="N5" s="1"/>
  <c r="O5" i="78"/>
  <c r="P5" s="1"/>
  <c r="O5" i="55"/>
  <c r="R5"/>
  <c r="S5" i="51"/>
  <c r="T5" s="1"/>
  <c r="T5" i="54"/>
  <c r="Q5"/>
  <c r="S5" i="52"/>
  <c r="P5" i="71"/>
  <c r="P5" i="70"/>
  <c r="O5" i="69"/>
  <c r="O5" i="56"/>
  <c r="R5"/>
  <c r="T5" i="55"/>
  <c r="O5" i="61"/>
  <c r="O6"/>
  <c r="P5" i="58"/>
  <c r="Q5" s="1"/>
  <c r="R5" s="1"/>
  <c r="Q5" i="57"/>
  <c r="S5" s="1"/>
  <c r="T5"/>
  <c r="R5" i="54"/>
  <c r="Q5" i="55"/>
  <c r="I5" i="43"/>
  <c r="J5" s="1"/>
  <c r="I5" i="45"/>
  <c r="J5" s="1"/>
  <c r="I5" i="47"/>
  <c r="J5" s="1"/>
  <c r="I5" i="44"/>
  <c r="J5" s="1"/>
  <c r="I5" i="42"/>
  <c r="J5" s="1"/>
  <c r="I5" i="48"/>
  <c r="J5" s="1"/>
  <c r="S5" i="56" l="1"/>
  <c r="T5" s="1"/>
  <c r="F5" i="77"/>
  <c r="S5" i="54"/>
  <c r="Q5" i="71"/>
  <c r="R5" s="1"/>
  <c r="S5" s="1"/>
  <c r="Q5" i="70"/>
  <c r="R5" s="1"/>
  <c r="S5" s="1"/>
  <c r="P5" i="69"/>
  <c r="Q5" s="1"/>
  <c r="R5" s="1"/>
  <c r="S5" i="55"/>
  <c r="P5" i="61"/>
  <c r="P6"/>
  <c r="S5" i="58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T5" i="71" l="1"/>
  <c r="U5"/>
  <c r="T5" i="70"/>
  <c r="U5"/>
  <c r="S5" i="69"/>
  <c r="Q5" i="61"/>
  <c r="R5" s="1"/>
  <c r="S5" s="1"/>
  <c r="Q6"/>
  <c r="R6" s="1"/>
  <c r="S6" s="1"/>
  <c r="U5" i="58"/>
  <c r="T5"/>
  <c r="K5" i="39"/>
  <c r="M5" s="1"/>
  <c r="J5" i="46"/>
  <c r="AF5" i="13"/>
  <c r="AH5" s="1"/>
  <c r="AK5" s="1"/>
  <c r="AL5" s="1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F5" i="33"/>
  <c r="AH5" s="1"/>
  <c r="AK5" s="1"/>
  <c r="AL5" s="1"/>
  <c r="Z5"/>
  <c r="I5"/>
  <c r="AF5" i="32"/>
  <c r="AH5" s="1"/>
  <c r="AK5" s="1"/>
  <c r="AL5" s="1"/>
  <c r="Z5"/>
  <c r="I5"/>
  <c r="M5" s="1"/>
  <c r="N5" s="1"/>
  <c r="AF5" i="31"/>
  <c r="AH5" s="1"/>
  <c r="AK5" s="1"/>
  <c r="AL5" s="1"/>
  <c r="Z5"/>
  <c r="I5"/>
  <c r="M5" s="1"/>
  <c r="N5" s="1"/>
  <c r="AF5" i="30"/>
  <c r="AH5" s="1"/>
  <c r="AK5" s="1"/>
  <c r="AL5" s="1"/>
  <c r="Z5"/>
  <c r="I5"/>
  <c r="M5" s="1"/>
  <c r="N5" s="1"/>
  <c r="AF5" i="29"/>
  <c r="AH5" s="1"/>
  <c r="AK5" s="1"/>
  <c r="AL5" s="1"/>
  <c r="Z5"/>
  <c r="M5"/>
  <c r="N5" s="1"/>
  <c r="I5"/>
  <c r="AF5" i="28"/>
  <c r="AH5" s="1"/>
  <c r="Z5"/>
  <c r="Y5"/>
  <c r="X5"/>
  <c r="I5"/>
  <c r="M5" s="1"/>
  <c r="N5" s="1"/>
  <c r="AL6" i="4"/>
  <c r="AM6" s="1"/>
  <c r="AL5"/>
  <c r="AM5" s="1"/>
  <c r="AF5" i="25"/>
  <c r="AH5" s="1"/>
  <c r="Z5"/>
  <c r="I5"/>
  <c r="M5" s="1"/>
  <c r="N5" s="1"/>
  <c r="AF5" i="24"/>
  <c r="AH5" s="1"/>
  <c r="Z5"/>
  <c r="I5"/>
  <c r="M5" s="1"/>
  <c r="N5" s="1"/>
  <c r="AF6" i="23"/>
  <c r="AH6" s="1"/>
  <c r="Y6"/>
  <c r="X6"/>
  <c r="I6"/>
  <c r="M6" s="1"/>
  <c r="N6" s="1"/>
  <c r="AF5"/>
  <c r="AH5" s="1"/>
  <c r="Y5"/>
  <c r="X5"/>
  <c r="I5"/>
  <c r="M5" s="1"/>
  <c r="N5" s="1"/>
  <c r="AF6" i="22"/>
  <c r="AH6" s="1"/>
  <c r="I6"/>
  <c r="AF5"/>
  <c r="AH5" s="1"/>
  <c r="I5"/>
  <c r="AF6" i="21"/>
  <c r="AH6" s="1"/>
  <c r="Z6"/>
  <c r="I6"/>
  <c r="M6" s="1"/>
  <c r="N6" s="1"/>
  <c r="AF5"/>
  <c r="AH5" s="1"/>
  <c r="Z5"/>
  <c r="I5"/>
  <c r="M5" s="1"/>
  <c r="N5" s="1"/>
  <c r="AF5" i="20"/>
  <c r="AH5" s="1"/>
  <c r="Y5"/>
  <c r="X5"/>
  <c r="I5"/>
  <c r="M5" s="1"/>
  <c r="N5" s="1"/>
  <c r="AF5" i="19"/>
  <c r="AH5" s="1"/>
  <c r="Z5"/>
  <c r="I5"/>
  <c r="M5" s="1"/>
  <c r="N5" s="1"/>
  <c r="AF5" i="18"/>
  <c r="AH5" s="1"/>
  <c r="Z5"/>
  <c r="I5"/>
  <c r="AF5" i="17"/>
  <c r="AH5" s="1"/>
  <c r="Z5"/>
  <c r="I5"/>
  <c r="M5" s="1"/>
  <c r="N5" s="1"/>
  <c r="AF5" i="16"/>
  <c r="AH5" s="1"/>
  <c r="Z5"/>
  <c r="I5"/>
  <c r="M5" s="1"/>
  <c r="N5" s="1"/>
  <c r="AF5" i="15"/>
  <c r="AH5" s="1"/>
  <c r="I5"/>
  <c r="M5" s="1"/>
  <c r="N5" s="1"/>
  <c r="AF5" i="14"/>
  <c r="AH5" s="1"/>
  <c r="I5"/>
  <c r="M5" s="1"/>
  <c r="N5" s="1"/>
  <c r="I5" i="13"/>
  <c r="AF6" i="12"/>
  <c r="AH6" s="1"/>
  <c r="Y6"/>
  <c r="X6"/>
  <c r="I6"/>
  <c r="M6" s="1"/>
  <c r="N6" s="1"/>
  <c r="AF5"/>
  <c r="AH5" s="1"/>
  <c r="Y5"/>
  <c r="X5"/>
  <c r="I5"/>
  <c r="AL6" i="11"/>
  <c r="AF6"/>
  <c r="AH6" s="1"/>
  <c r="Y6"/>
  <c r="X6"/>
  <c r="I6"/>
  <c r="AL5"/>
  <c r="AF5"/>
  <c r="AH5" s="1"/>
  <c r="Y5"/>
  <c r="X5"/>
  <c r="I5"/>
  <c r="AL6" i="10"/>
  <c r="AF6"/>
  <c r="AH6" s="1"/>
  <c r="Y6"/>
  <c r="X6"/>
  <c r="I6"/>
  <c r="M6" s="1"/>
  <c r="N6" s="1"/>
  <c r="AL5"/>
  <c r="AF5"/>
  <c r="AH5" s="1"/>
  <c r="Y5"/>
  <c r="X5"/>
  <c r="I5"/>
  <c r="M5" s="1"/>
  <c r="N5" s="1"/>
  <c r="AL6" i="9"/>
  <c r="AF6"/>
  <c r="AH6" s="1"/>
  <c r="Y6"/>
  <c r="X6"/>
  <c r="I6"/>
  <c r="M6" s="1"/>
  <c r="N6" s="1"/>
  <c r="AL5"/>
  <c r="AF5"/>
  <c r="AH5" s="1"/>
  <c r="Y5"/>
  <c r="X5"/>
  <c r="I5"/>
  <c r="M5" s="1"/>
  <c r="N5" s="1"/>
  <c r="O5" s="1"/>
  <c r="AH6" i="8"/>
  <c r="AL6"/>
  <c r="Y6"/>
  <c r="X6"/>
  <c r="I6"/>
  <c r="M6" s="1"/>
  <c r="N6" s="1"/>
  <c r="AL5"/>
  <c r="AF5"/>
  <c r="AH5" s="1"/>
  <c r="Y5"/>
  <c r="X5"/>
  <c r="I5"/>
  <c r="AL6" i="7"/>
  <c r="AF6"/>
  <c r="AH6" s="1"/>
  <c r="Y6"/>
  <c r="X6"/>
  <c r="I6"/>
  <c r="AL5"/>
  <c r="AF5"/>
  <c r="AH5" s="1"/>
  <c r="Y5"/>
  <c r="X5"/>
  <c r="I5"/>
  <c r="AL6" i="6"/>
  <c r="AF6"/>
  <c r="AH6" s="1"/>
  <c r="Y6"/>
  <c r="X6"/>
  <c r="I6"/>
  <c r="M6" s="1"/>
  <c r="N6" s="1"/>
  <c r="O6" s="1"/>
  <c r="AL5"/>
  <c r="AF5"/>
  <c r="AH5" s="1"/>
  <c r="Y5"/>
  <c r="X5"/>
  <c r="I5"/>
  <c r="AL6" i="5"/>
  <c r="AF6"/>
  <c r="AH6" s="1"/>
  <c r="Y6"/>
  <c r="X6"/>
  <c r="I6"/>
  <c r="M6" s="1"/>
  <c r="N6" s="1"/>
  <c r="AL5"/>
  <c r="AF5"/>
  <c r="AH5" s="1"/>
  <c r="Y5"/>
  <c r="X5"/>
  <c r="I5"/>
  <c r="AF6" i="4"/>
  <c r="AH6" s="1"/>
  <c r="Y6"/>
  <c r="X6"/>
  <c r="I6"/>
  <c r="AF5"/>
  <c r="AH5" s="1"/>
  <c r="Y5"/>
  <c r="X5"/>
  <c r="I5"/>
  <c r="M5" s="1"/>
  <c r="N5" s="1"/>
  <c r="O5" s="1"/>
  <c r="P5" s="1"/>
  <c r="AF6" i="1"/>
  <c r="AH6" s="1"/>
  <c r="AL6"/>
  <c r="Y6"/>
  <c r="X6"/>
  <c r="I6"/>
  <c r="M6" s="1"/>
  <c r="N6" s="1"/>
  <c r="AL5"/>
  <c r="AF5"/>
  <c r="AH5" s="1"/>
  <c r="Y5"/>
  <c r="X5"/>
  <c r="I5"/>
  <c r="M5" s="1"/>
  <c r="N5" s="1"/>
  <c r="AQ5" i="13" l="1"/>
  <c r="AP5"/>
  <c r="AA5" i="28"/>
  <c r="X5" i="58"/>
  <c r="AK5"/>
  <c r="U6" i="71"/>
  <c r="X5"/>
  <c r="AD5"/>
  <c r="Y5"/>
  <c r="U6" i="70"/>
  <c r="AB5"/>
  <c r="AB6" s="1"/>
  <c r="AD5"/>
  <c r="T5" i="69"/>
  <c r="U5"/>
  <c r="T6" i="61"/>
  <c r="U6"/>
  <c r="T5"/>
  <c r="U5"/>
  <c r="Z5" i="58"/>
  <c r="AD5"/>
  <c r="O8" i="34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O5" i="24"/>
  <c r="O6" i="23"/>
  <c r="O5"/>
  <c r="M6" i="22"/>
  <c r="N6" s="1"/>
  <c r="M5"/>
  <c r="N5" s="1"/>
  <c r="O6" i="21"/>
  <c r="O5"/>
  <c r="O5" i="20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M6" i="7"/>
  <c r="N6" s="1"/>
  <c r="O6" s="1"/>
  <c r="M5"/>
  <c r="N5" s="1"/>
  <c r="O5" s="1"/>
  <c r="Q6" i="6"/>
  <c r="R6" s="1"/>
  <c r="P6"/>
  <c r="M5"/>
  <c r="N5" s="1"/>
  <c r="O6" i="5"/>
  <c r="M5"/>
  <c r="N5" s="1"/>
  <c r="Q5" i="4"/>
  <c r="R5" s="1"/>
  <c r="S5" s="1"/>
  <c r="M6"/>
  <c r="N6" s="1"/>
  <c r="O6" s="1"/>
  <c r="O6" i="1"/>
  <c r="O5"/>
  <c r="AA5" i="58" l="1"/>
  <c r="AB5" s="1"/>
  <c r="AA5" i="71"/>
  <c r="AD5" i="69"/>
  <c r="U6"/>
  <c r="Z5"/>
  <c r="AA5" s="1"/>
  <c r="AA6" s="1"/>
  <c r="AD6" i="61"/>
  <c r="Z6"/>
  <c r="AA6" s="1"/>
  <c r="Z5"/>
  <c r="AD5"/>
  <c r="P9" i="34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P5" i="28"/>
  <c r="Q5" s="1"/>
  <c r="R5" s="1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P5" i="19"/>
  <c r="Q5" s="1"/>
  <c r="R5" s="1"/>
  <c r="P5" i="18"/>
  <c r="Q5" s="1"/>
  <c r="R5" s="1"/>
  <c r="P5" i="17"/>
  <c r="P5" i="16"/>
  <c r="P5" i="15"/>
  <c r="P5" i="14"/>
  <c r="S5" i="13"/>
  <c r="P6" i="12"/>
  <c r="Q6" s="1"/>
  <c r="R6" s="1"/>
  <c r="O5"/>
  <c r="O6" i="11"/>
  <c r="O5"/>
  <c r="P5" i="10"/>
  <c r="P6"/>
  <c r="P6" i="9"/>
  <c r="Q6" s="1"/>
  <c r="R6" s="1"/>
  <c r="Q5"/>
  <c r="R5" s="1"/>
  <c r="S5" s="1"/>
  <c r="P6" i="8"/>
  <c r="O5"/>
  <c r="P6" i="7"/>
  <c r="P5"/>
  <c r="Q5" s="1"/>
  <c r="R5" s="1"/>
  <c r="S6" i="6"/>
  <c r="T6" s="1"/>
  <c r="O5"/>
  <c r="P6" i="5"/>
  <c r="Q6" s="1"/>
  <c r="R6" s="1"/>
  <c r="O5"/>
  <c r="T5" i="4"/>
  <c r="U5"/>
  <c r="P6"/>
  <c r="P6" i="1"/>
  <c r="Q6" s="1"/>
  <c r="R6" s="1"/>
  <c r="P5"/>
  <c r="Q6" i="4" l="1"/>
  <c r="R6" s="1"/>
  <c r="S6" s="1"/>
  <c r="U6" s="1"/>
  <c r="AA6" i="71"/>
  <c r="AB5"/>
  <c r="AB6" s="1"/>
  <c r="AB5" i="69"/>
  <c r="AB6" s="1"/>
  <c r="AA5" i="61"/>
  <c r="AB5" s="1"/>
  <c r="AB6"/>
  <c r="AD7"/>
  <c r="T9" i="34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Q5"/>
  <c r="R5" s="1"/>
  <c r="S5" s="1"/>
  <c r="P5" i="33"/>
  <c r="Q5" i="32"/>
  <c r="R5" s="1"/>
  <c r="S5" s="1"/>
  <c r="Q5" i="31"/>
  <c r="R5" s="1"/>
  <c r="S5" s="1"/>
  <c r="S5" i="30"/>
  <c r="Q5" i="29"/>
  <c r="R5" s="1"/>
  <c r="S5" s="1"/>
  <c r="S5" i="28"/>
  <c r="S5" i="25"/>
  <c r="Q5" i="24"/>
  <c r="R5" s="1"/>
  <c r="S5" s="1"/>
  <c r="S6" i="23"/>
  <c r="S5"/>
  <c r="P6" i="22"/>
  <c r="P5"/>
  <c r="S6" i="21"/>
  <c r="Q5"/>
  <c r="R5" s="1"/>
  <c r="S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Q5" i="10"/>
  <c r="R5" s="1"/>
  <c r="S5" s="1"/>
  <c r="Q6"/>
  <c r="R6" s="1"/>
  <c r="S6" s="1"/>
  <c r="T5" i="9"/>
  <c r="U5"/>
  <c r="Z5" s="1"/>
  <c r="AA5" s="1"/>
  <c r="S6"/>
  <c r="P5" i="8"/>
  <c r="Q6"/>
  <c r="R6" s="1"/>
  <c r="S6" s="1"/>
  <c r="S5" i="7"/>
  <c r="T5" s="1"/>
  <c r="Q6"/>
  <c r="R6" s="1"/>
  <c r="S6" s="1"/>
  <c r="U6" i="6"/>
  <c r="AD6" s="1"/>
  <c r="Z6"/>
  <c r="AA6" s="1"/>
  <c r="P5"/>
  <c r="Q5" s="1"/>
  <c r="R5" s="1"/>
  <c r="S6" i="5"/>
  <c r="P5"/>
  <c r="AD5" i="4"/>
  <c r="Z5"/>
  <c r="AA5" s="1"/>
  <c r="AB5" s="1"/>
  <c r="S6" i="1"/>
  <c r="Q5"/>
  <c r="R5" s="1"/>
  <c r="S5" s="1"/>
  <c r="T6" i="4" l="1"/>
  <c r="AB7" i="61"/>
  <c r="T12" i="34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Q6" i="22"/>
  <c r="R6" s="1"/>
  <c r="S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Z5" s="1"/>
  <c r="Y5" i="13"/>
  <c r="X5"/>
  <c r="AD5"/>
  <c r="Z5"/>
  <c r="U6" i="12"/>
  <c r="T6"/>
  <c r="Q5"/>
  <c r="R5" s="1"/>
  <c r="S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Q5"/>
  <c r="R5" s="1"/>
  <c r="S5" s="1"/>
  <c r="U5" i="7"/>
  <c r="T6"/>
  <c r="U6"/>
  <c r="Z6" s="1"/>
  <c r="AA6" s="1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Y5" i="21" l="1"/>
  <c r="X5"/>
  <c r="AD5" i="7"/>
  <c r="Z5"/>
  <c r="AA5" s="1"/>
  <c r="AL5" i="20"/>
  <c r="Z5"/>
  <c r="AA5" s="1"/>
  <c r="X5" i="24"/>
  <c r="Y5"/>
  <c r="Y6" i="21"/>
  <c r="X6"/>
  <c r="AA9" i="34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Y6"/>
  <c r="AD5"/>
  <c r="X5"/>
  <c r="Y5"/>
  <c r="T5" i="33"/>
  <c r="U5"/>
  <c r="AD5" i="32"/>
  <c r="X5"/>
  <c r="Y5"/>
  <c r="AD5" i="31"/>
  <c r="X5"/>
  <c r="Y5"/>
  <c r="AD5" i="30"/>
  <c r="X5"/>
  <c r="Y5"/>
  <c r="AD5" i="29"/>
  <c r="X5"/>
  <c r="AA5" s="1"/>
  <c r="AB5" s="1"/>
  <c r="Y5"/>
  <c r="AB5" i="28"/>
  <c r="AD5"/>
  <c r="AD5" i="25"/>
  <c r="X5"/>
  <c r="Y5"/>
  <c r="AD5" i="24"/>
  <c r="AD5" i="23"/>
  <c r="Z5"/>
  <c r="AA5" s="1"/>
  <c r="AB5" s="1"/>
  <c r="Z6"/>
  <c r="AA6" s="1"/>
  <c r="AB6" s="1"/>
  <c r="AD6"/>
  <c r="T5" i="22"/>
  <c r="U5"/>
  <c r="Z5" s="1"/>
  <c r="T6"/>
  <c r="U6"/>
  <c r="Z6" s="1"/>
  <c r="AD6" i="21"/>
  <c r="AD5"/>
  <c r="AB5" i="20"/>
  <c r="AD5"/>
  <c r="X5" i="19"/>
  <c r="Y5"/>
  <c r="AD5"/>
  <c r="Y5" i="18"/>
  <c r="AD5"/>
  <c r="X5"/>
  <c r="X5" i="17"/>
  <c r="Y5"/>
  <c r="AD5"/>
  <c r="X5" i="16"/>
  <c r="Y5"/>
  <c r="AD5"/>
  <c r="X5" i="15"/>
  <c r="Y5"/>
  <c r="Z5"/>
  <c r="AD5"/>
  <c r="AD5" i="14"/>
  <c r="Y5"/>
  <c r="X5"/>
  <c r="AA5" i="13"/>
  <c r="AB5" s="1"/>
  <c r="T5" i="12"/>
  <c r="U5"/>
  <c r="AD6"/>
  <c r="Z6"/>
  <c r="AA6" s="1"/>
  <c r="AB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D6" i="8"/>
  <c r="Z6"/>
  <c r="AA6" s="1"/>
  <c r="AB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D5"/>
  <c r="Z5"/>
  <c r="AA5" s="1"/>
  <c r="AB5" s="1"/>
  <c r="AA5" i="16" l="1"/>
  <c r="AB5" s="1"/>
  <c r="AA5" i="17"/>
  <c r="AB5" s="1"/>
  <c r="AA5" i="31"/>
  <c r="AB5" s="1"/>
  <c r="AA5" i="25"/>
  <c r="AB5" s="1"/>
  <c r="AA5" i="32"/>
  <c r="AB5" s="1"/>
  <c r="AA6" i="34"/>
  <c r="AB6" s="1"/>
  <c r="AA5" i="19"/>
  <c r="AB5" s="1"/>
  <c r="AA6" i="21"/>
  <c r="AB6" s="1"/>
  <c r="AA5"/>
  <c r="AB5" s="1"/>
  <c r="AA5" i="30"/>
  <c r="AB5" s="1"/>
  <c r="AA5" i="24"/>
  <c r="AB5" s="1"/>
  <c r="AA5" i="34"/>
  <c r="AB5" s="1"/>
  <c r="AA8"/>
  <c r="AB8" s="1"/>
  <c r="AA13"/>
  <c r="AB13" s="1"/>
  <c r="AA7"/>
  <c r="AB7" s="1"/>
  <c r="AA12"/>
  <c r="AB12" s="1"/>
  <c r="AA14"/>
  <c r="AB14" s="1"/>
  <c r="AA10"/>
  <c r="AB10" s="1"/>
  <c r="AD5" i="33"/>
  <c r="X5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D5" i="8"/>
  <c r="Z5"/>
  <c r="AA5" s="1"/>
  <c r="AB5" s="1"/>
  <c r="Z5" i="6"/>
  <c r="AA5" s="1"/>
  <c r="AB5" s="1"/>
  <c r="AD5"/>
  <c r="AD5" i="5"/>
  <c r="AB5"/>
  <c r="AA5" i="33" l="1"/>
  <c r="AB5" s="1"/>
  <c r="AA5" i="22"/>
  <c r="AB5" s="1"/>
  <c r="AA6"/>
  <c r="AB6" s="1"/>
  <c r="F5" i="78" l="1"/>
  <c r="O5" i="77"/>
  <c r="R5" s="1"/>
  <c r="P5" l="1"/>
</calcChain>
</file>

<file path=xl/sharedStrings.xml><?xml version="1.0" encoding="utf-8"?>
<sst xmlns="http://schemas.openxmlformats.org/spreadsheetml/2006/main" count="3218" uniqueCount="299">
  <si>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</si>
  <si>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</si>
  <si>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</si>
  <si>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</si>
  <si>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</si>
  <si>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</si>
  <si>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</si>
  <si>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</si>
  <si>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</si>
  <si>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</si>
  <si>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</si>
  <si>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</si>
  <si>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</si>
  <si>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</si>
  <si>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</si>
  <si>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</si>
  <si>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</si>
  <si>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</si>
  <si>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</si>
  <si>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</si>
  <si>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</si>
  <si>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</si>
  <si>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</si>
  <si>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</si>
  <si>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</si>
  <si>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</si>
  <si>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</si>
  <si>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</si>
  <si>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</si>
  <si>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</si>
  <si>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</si>
  <si>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</si>
  <si>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</si>
  <si>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</si>
  <si>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</si>
  <si>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</si>
  <si>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</si>
  <si>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</si>
  <si>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</si>
  <si>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</si>
  <si>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</si>
  <si>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</si>
  <si>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</si>
  <si>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</si>
  <si>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</si>
  <si>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</si>
  <si>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</si>
  <si>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</si>
  <si>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</si>
  <si>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</si>
  <si>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</si>
  <si>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</si>
  <si>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Domestic_PL_Item_ID</t>
  </si>
  <si>
    <t>Domestic_PL_Item_ID_Disimilar</t>
  </si>
  <si>
    <t>60</t>
  </si>
  <si>
    <t>Export_PL_Item_ID</t>
  </si>
  <si>
    <t>Export_PL_Item_ID_Disimilar</t>
  </si>
  <si>
    <t>15</t>
  </si>
  <si>
    <t>Domestic_SP_Item_ID</t>
  </si>
  <si>
    <t>Domestic_SP_Item_ID_Disimalar</t>
  </si>
  <si>
    <t>Export_SP_Item_ID</t>
  </si>
  <si>
    <t>Export_SP_Item_ID_Disimalar</t>
  </si>
  <si>
    <t>Domestic_CG_Item_ID</t>
  </si>
  <si>
    <t>Domestic_CG_Item_ID_Disimalar</t>
  </si>
  <si>
    <t>Export_CG_Item_ID</t>
  </si>
  <si>
    <t>Export_CG_Item_ID_Disimalar</t>
  </si>
  <si>
    <t>HK-TVS-SCRAP-10001</t>
  </si>
  <si>
    <t>Service0001</t>
  </si>
  <si>
    <t>CESS%</t>
  </si>
  <si>
    <t>CESS Amt</t>
  </si>
  <si>
    <t>Promotional Type</t>
  </si>
  <si>
    <t>Promotional</t>
  </si>
  <si>
    <t>Sales Regular</t>
  </si>
  <si>
    <t>78119</t>
  </si>
  <si>
    <t>9620</t>
  </si>
  <si>
    <t>PROD 100</t>
  </si>
  <si>
    <t>SO/Reference Domestic</t>
  </si>
  <si>
    <t>SO100/00895/25-26</t>
  </si>
  <si>
    <t>SO/Reference Export</t>
  </si>
  <si>
    <t>CPC Code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</si>
  <si>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</si>
  <si>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</si>
  <si>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</si>
  <si>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</si>
  <si>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</si>
  <si>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</si>
  <si>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</si>
  <si>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</si>
  <si>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</si>
  <si>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</si>
  <si>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</si>
  <si>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</si>
  <si>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</si>
  <si>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</si>
  <si>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</si>
  <si>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</si>
  <si>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</si>
  <si>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</si>
  <si>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</si>
  <si>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</si>
  <si>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</si>
  <si>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</si>
  <si>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</si>
  <si>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</si>
  <si>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</si>
  <si>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Scrap Item</t>
  </si>
  <si>
    <t>Scarp Before Stk Qty</t>
  </si>
  <si>
    <t>Scarp After Stk Qty</t>
  </si>
  <si>
    <t>Scarp After MRV Stk Qty</t>
  </si>
  <si>
    <t>Process</t>
  </si>
  <si>
    <t>Scenario  : Direct SCO With BOM Standard Type</t>
  </si>
  <si>
    <t>Vj-FIFO-LOT-BATCH-50001(FG)</t>
  </si>
  <si>
    <t>Qty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</si>
  <si>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</si>
  <si>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</si>
  <si>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</si>
  <si>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</si>
  <si>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</si>
  <si>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</si>
  <si>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</si>
  <si>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</si>
  <si>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GLACCT</t>
  </si>
  <si>
    <t>CHARGES ACCOUNT</t>
  </si>
  <si>
    <t>Scenario  : Direct SCO With Conv. Factor</t>
  </si>
  <si>
    <t>FG20001</t>
  </si>
  <si>
    <t>SO Ref</t>
  </si>
  <si>
    <t>FG30001</t>
  </si>
  <si>
    <t>25</t>
  </si>
  <si>
    <t>VJ-PROJECT</t>
  </si>
  <si>
    <t>PROC-004</t>
  </si>
  <si>
    <t>VR-SERIAL-FIFO-BATCH-90001</t>
  </si>
  <si>
    <t>Scenario  : Direct SCO Serial With BOM Standard Type</t>
  </si>
  <si>
    <t>FG50011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</si>
  <si>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</si>
  <si>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</si>
  <si>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</si>
  <si>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</si>
  <si>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</si>
  <si>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</si>
  <si>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</si>
  <si>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</si>
  <si>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</si>
  <si>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</si>
  <si>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</si>
  <si>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</si>
  <si>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</si>
  <si>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</si>
  <si>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</si>
  <si>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</si>
  <si>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</si>
  <si>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</si>
  <si>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</si>
  <si>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</si>
  <si>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</si>
  <si>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</si>
  <si>
    <t>45</t>
  </si>
  <si>
    <t>(1 - Local Sales,2 Interstate Sales, 3 Import Sales, 4 UTGST)</t>
  </si>
  <si>
    <t>UTGST</t>
  </si>
  <si>
    <t>Scenario  : Subcontract Process Calculation UTGST(UnRegistered)</t>
  </si>
  <si>
    <t>Scenario  : Subcontract Process Calculation UTGST(Registered)</t>
  </si>
  <si>
    <t>FG WH</t>
  </si>
  <si>
    <t>LOCAL SALES</t>
  </si>
  <si>
    <t>SCR WH</t>
  </si>
  <si>
    <t>99985</t>
  </si>
  <si>
    <t>70</t>
  </si>
  <si>
    <t>80</t>
  </si>
  <si>
    <t>79</t>
  </si>
  <si>
    <t>61</t>
  </si>
  <si>
    <t>71</t>
  </si>
  <si>
    <t>50</t>
  </si>
  <si>
    <t>99906</t>
  </si>
  <si>
    <t>99970</t>
  </si>
  <si>
    <t>99955</t>
  </si>
  <si>
    <t>99988.334</t>
  </si>
  <si>
    <t>99876</t>
  </si>
  <si>
    <t>CPC-10001</t>
  </si>
  <si>
    <t>HK-CH-00002</t>
  </si>
  <si>
    <t>HK-CH-00003</t>
  </si>
  <si>
    <t>SORD-2526-00266</t>
  </si>
  <si>
    <t>99865</t>
  </si>
  <si>
    <t>81</t>
  </si>
  <si>
    <t>Sales Order</t>
  </si>
  <si>
    <t>(1 - Local Sales,2 Interstate Sales, 3 Export Sales)</t>
  </si>
  <si>
    <t>HSN1</t>
  </si>
  <si>
    <t>HK-FG-DISSIMILAR-10001</t>
  </si>
  <si>
    <t>DISC AMOUNT</t>
  </si>
  <si>
    <t xml:space="preserve">NET AMOUNT </t>
  </si>
  <si>
    <t>SALES AMOUNT</t>
  </si>
  <si>
    <t>95786</t>
  </si>
  <si>
    <t>SORD-2526-00764</t>
  </si>
  <si>
    <t>SORD-2526-00765</t>
  </si>
  <si>
    <t>SORD-2526-00808</t>
  </si>
  <si>
    <t>FG WH49</t>
  </si>
  <si>
    <t>30</t>
  </si>
  <si>
    <t>SO3-2526-00090</t>
  </si>
  <si>
    <t>SO3-2526-00091</t>
  </si>
  <si>
    <t>SO3-2526-00097</t>
  </si>
  <si>
    <t>Scenario  :SourceSF And TarSF Code</t>
  </si>
  <si>
    <t>Sou.SF</t>
  </si>
  <si>
    <t>Tar.SF</t>
  </si>
  <si>
    <t>Sou.SF(1)</t>
  </si>
  <si>
    <t>Tar.SF(1)</t>
  </si>
  <si>
    <t>Sou.SF(2)</t>
  </si>
  <si>
    <t>10</t>
  </si>
  <si>
    <t>Tar.SF(2)</t>
  </si>
  <si>
    <t>00</t>
  </si>
  <si>
    <t>SCO - STD</t>
  </si>
  <si>
    <t>0</t>
  </si>
  <si>
    <t>SCO - Val.Add</t>
  </si>
  <si>
    <t>FG70001-QC-LOT</t>
  </si>
  <si>
    <t>93816</t>
  </si>
  <si>
    <t>91006</t>
  </si>
  <si>
    <t>VR-SERIAL-FIFO-BATCH-80001QC</t>
  </si>
  <si>
    <t>SCO - Rework</t>
  </si>
  <si>
    <t>54766</t>
  </si>
  <si>
    <t>Scenario  :Purchase Bills deviation Calculation</t>
  </si>
  <si>
    <t>Deviation</t>
  </si>
  <si>
    <t>Matched Amt</t>
  </si>
  <si>
    <t>GRN Amt</t>
  </si>
  <si>
    <t>UnitCost</t>
  </si>
  <si>
    <t>Proc.Qty</t>
  </si>
  <si>
    <t>Curr.Matched Amt</t>
  </si>
  <si>
    <t>Deviation Amt</t>
  </si>
  <si>
    <t>375.00</t>
  </si>
  <si>
    <t>99265</t>
  </si>
  <si>
    <t>97795</t>
  </si>
  <si>
    <t>97779</t>
  </si>
  <si>
    <t>99260</t>
  </si>
  <si>
    <t>45586</t>
  </si>
  <si>
    <t>MatchedAmt</t>
  </si>
  <si>
    <t>Scenario  :Purchase Bills deviation + Exp Type Calculation</t>
  </si>
  <si>
    <t>354.00</t>
  </si>
  <si>
    <t>MatchedAmt+ Tax</t>
  </si>
  <si>
    <t>Rounded Off</t>
  </si>
  <si>
    <t>Bfr. Rounded Off</t>
  </si>
  <si>
    <t>442.50</t>
  </si>
  <si>
    <t>BankPaymentAmt</t>
  </si>
  <si>
    <t>GRN Amt - BankPayment Amt</t>
  </si>
  <si>
    <t>200.00</t>
  </si>
  <si>
    <t>GL Acct</t>
  </si>
  <si>
    <t>ACTIVE GARMENTS (AP)</t>
  </si>
  <si>
    <t>PROC-01</t>
  </si>
  <si>
    <t>35</t>
  </si>
  <si>
    <t>PROJ3</t>
  </si>
  <si>
    <t>105976</t>
  </si>
  <si>
    <t>98250</t>
  </si>
  <si>
    <t>12.5</t>
  </si>
  <si>
    <t>94210</t>
  </si>
  <si>
    <t>103526</t>
  </si>
  <si>
    <t>93717.5</t>
  </si>
  <si>
    <t>94105</t>
  </si>
  <si>
    <t>HK-FG-DISSIMILAR-10002</t>
  </si>
  <si>
    <t>SORD-2627-07025</t>
  </si>
  <si>
    <t>HK-FIFO-LOT-BATCH-70001(FG)</t>
  </si>
  <si>
    <t>98070</t>
  </si>
  <si>
    <t>98035</t>
  </si>
  <si>
    <t>103511</t>
  </si>
  <si>
    <t>97045</t>
  </si>
  <si>
    <t>93712.5</t>
  </si>
  <si>
    <t>195126</t>
  </si>
  <si>
    <t>92905</t>
  </si>
  <si>
    <t>97392</t>
  </si>
  <si>
    <t>97229</t>
  </si>
  <si>
    <t>97066</t>
  </si>
  <si>
    <t>96903</t>
  </si>
  <si>
    <t>103081</t>
  </si>
  <si>
    <t>96740</t>
  </si>
  <si>
    <t>96577</t>
  </si>
  <si>
    <t>96414</t>
  </si>
  <si>
    <t>96251</t>
  </si>
  <si>
    <t>96088</t>
  </si>
  <si>
    <t>98240</t>
  </si>
  <si>
    <t>40</t>
  </si>
  <si>
    <t>102801</t>
  </si>
  <si>
    <t>93637.5</t>
  </si>
  <si>
    <t>SORD-2627-07474</t>
  </si>
  <si>
    <t>102786</t>
  </si>
  <si>
    <t>HK-TVS-SCRAP-10002</t>
  </si>
  <si>
    <t>PC- 768894</t>
  </si>
  <si>
    <t>PC- 326766</t>
  </si>
  <si>
    <t>102216</t>
  </si>
  <si>
    <t>102206</t>
  </si>
  <si>
    <t>102191</t>
  </si>
  <si>
    <t>PC- 425081</t>
  </si>
  <si>
    <t>PC- 364513</t>
  </si>
  <si>
    <t>PC- 039403</t>
  </si>
  <si>
    <t>PC- 106591</t>
  </si>
  <si>
    <t>92845</t>
  </si>
  <si>
    <t>102176</t>
  </si>
  <si>
    <t>97328</t>
  </si>
  <si>
    <t>97161</t>
  </si>
  <si>
    <t>96994</t>
  </si>
  <si>
    <t>96827</t>
  </si>
  <si>
    <t>96660</t>
  </si>
  <si>
    <t>96493</t>
  </si>
  <si>
    <t>96326</t>
  </si>
  <si>
    <t>96159</t>
  </si>
  <si>
    <t>95992</t>
  </si>
  <si>
    <t>102161</t>
  </si>
</sst>
</file>

<file path=xl/styles.xml><?xml version="1.0" encoding="utf-8"?>
<styleSheet xmlns="http://schemas.openxmlformats.org/spreadsheetml/2006/main">
  <numFmts count="1">
    <numFmt numFmtId="164" formatCode="0.000"/>
  </numFmts>
  <fonts count="18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family val="2"/>
    </font>
    <font>
      <sz val="9"/>
      <color rgb="FF000000"/>
      <name val="Arial"/>
      <family val="2"/>
    </font>
    <font>
      <sz val="11"/>
      <color theme="1"/>
      <name val="Calibri"/>
      <family val="2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  <font>
      <sz val="11"/>
      <color rgb="FF9C6500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color rgb="FF9C6500"/>
      <name val="Calibri"/>
      <family val="2"/>
      <scheme val="minor"/>
    </font>
    <font>
      <sz val="9"/>
      <color rgb="FF262626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</borders>
  <cellStyleXfs count="2">
    <xf numFmtId="0" fontId="0" fillId="0" borderId="0"/>
    <xf numFmtId="0" fontId="11" fillId="9" borderId="0" applyNumberFormat="0" applyBorder="0" applyAlignment="0" applyProtection="0"/>
  </cellStyleXfs>
  <cellXfs count="203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2" fontId="12" fillId="0" borderId="0" xfId="0" applyNumberFormat="1" applyFont="1" applyBorder="1" applyAlignment="1">
      <alignment horizontal="left" vertical="top"/>
    </xf>
    <xf numFmtId="0" fontId="13" fillId="0" borderId="0" xfId="0" applyNumberFormat="1" applyFont="1"/>
    <xf numFmtId="0" fontId="13" fillId="0" borderId="0" xfId="0" applyFont="1"/>
    <xf numFmtId="0" fontId="13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/>
    </xf>
    <xf numFmtId="0" fontId="14" fillId="0" borderId="0" xfId="0" applyFont="1" applyFill="1" applyBorder="1"/>
    <xf numFmtId="0" fontId="13" fillId="0" borderId="0" xfId="0" applyFont="1" applyFill="1" applyBorder="1"/>
    <xf numFmtId="2" fontId="14" fillId="0" borderId="0" xfId="0" applyNumberFormat="1" applyFont="1" applyFill="1" applyBorder="1"/>
    <xf numFmtId="0" fontId="14" fillId="2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3" fillId="0" borderId="1" xfId="0" applyFont="1" applyBorder="1"/>
    <xf numFmtId="10" fontId="13" fillId="0" borderId="1" xfId="0" applyNumberFormat="1" applyFont="1" applyBorder="1"/>
    <xf numFmtId="0" fontId="13" fillId="0" borderId="0" xfId="0" applyFont="1" applyBorder="1"/>
    <xf numFmtId="164" fontId="13" fillId="0" borderId="0" xfId="0" applyNumberFormat="1" applyFont="1" applyBorder="1"/>
    <xf numFmtId="2" fontId="13" fillId="0" borderId="0" xfId="0" applyNumberFormat="1" applyFont="1" applyBorder="1"/>
    <xf numFmtId="10" fontId="13" fillId="0" borderId="0" xfId="0" applyNumberFormat="1" applyFont="1" applyBorder="1"/>
    <xf numFmtId="2" fontId="16" fillId="9" borderId="0" xfId="1" applyNumberFormat="1" applyFont="1" applyBorder="1"/>
    <xf numFmtId="0" fontId="16" fillId="9" borderId="0" xfId="1" applyNumberFormat="1" applyFont="1" applyBorder="1"/>
    <xf numFmtId="2" fontId="13" fillId="0" borderId="0" xfId="0" applyNumberFormat="1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6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2" borderId="1" xfId="0" applyFont="1" applyFill="1" applyBorder="1"/>
    <xf numFmtId="0" fontId="1" fillId="0" borderId="0" xfId="0" applyFont="1" applyBorder="1" applyAlignment="1">
      <alignment horizontal="left" vertical="top"/>
    </xf>
    <xf numFmtId="0" fontId="4" fillId="6" borderId="1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4" fillId="2" borderId="0" xfId="0" applyFont="1" applyFill="1" applyAlignment="1">
      <alignment horizontal="center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7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/>
    </xf>
    <xf numFmtId="0" fontId="12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horizontal="left" vertical="center"/>
    </xf>
    <xf numFmtId="0" fontId="2" fillId="11" borderId="2" xfId="0" applyFont="1" applyFill="1" applyBorder="1" applyAlignment="1">
      <alignment horizontal="center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worksheets/sheet62.xml" Type="http://schemas.openxmlformats.org/officeDocument/2006/relationships/worksheet"/><Relationship Id="rId63" Target="worksheets/sheet63.xml" Type="http://schemas.openxmlformats.org/officeDocument/2006/relationships/worksheet"/><Relationship Id="rId64" Target="worksheets/sheet64.xml" Type="http://schemas.openxmlformats.org/officeDocument/2006/relationships/worksheet"/><Relationship Id="rId65" Target="worksheets/sheet65.xml" Type="http://schemas.openxmlformats.org/officeDocument/2006/relationships/worksheet"/><Relationship Id="rId66" Target="worksheets/sheet66.xml" Type="http://schemas.openxmlformats.org/officeDocument/2006/relationships/worksheet"/><Relationship Id="rId67" Target="worksheets/sheet67.xml" Type="http://schemas.openxmlformats.org/officeDocument/2006/relationships/worksheet"/><Relationship Id="rId68" Target="worksheets/sheet68.xml" Type="http://schemas.openxmlformats.org/officeDocument/2006/relationships/worksheet"/><Relationship Id="rId69" Target="worksheets/sheet69.xml" Type="http://schemas.openxmlformats.org/officeDocument/2006/relationships/worksheet"/><Relationship Id="rId7" Target="worksheets/sheet7.xml" Type="http://schemas.openxmlformats.org/officeDocument/2006/relationships/worksheet"/><Relationship Id="rId70" Target="worksheets/sheet70.xml" Type="http://schemas.openxmlformats.org/officeDocument/2006/relationships/worksheet"/><Relationship Id="rId71" Target="worksheets/sheet71.xml" Type="http://schemas.openxmlformats.org/officeDocument/2006/relationships/worksheet"/><Relationship Id="rId72" Target="worksheets/sheet72.xml" Type="http://schemas.openxmlformats.org/officeDocument/2006/relationships/worksheet"/><Relationship Id="rId73" Target="worksheets/sheet73.xml" Type="http://schemas.openxmlformats.org/officeDocument/2006/relationships/worksheet"/><Relationship Id="rId74" Target="worksheets/sheet74.xml" Type="http://schemas.openxmlformats.org/officeDocument/2006/relationships/worksheet"/><Relationship Id="rId75" Target="worksheets/sheet75.xml" Type="http://schemas.openxmlformats.org/officeDocument/2006/relationships/worksheet"/><Relationship Id="rId76" Target="worksheets/sheet76.xml" Type="http://schemas.openxmlformats.org/officeDocument/2006/relationships/worksheet"/><Relationship Id="rId77" Target="worksheets/sheet77.xml" Type="http://schemas.openxmlformats.org/officeDocument/2006/relationships/worksheet"/><Relationship Id="rId78" Target="worksheets/sheet78.xml" Type="http://schemas.openxmlformats.org/officeDocument/2006/relationships/worksheet"/><Relationship Id="rId79" Target="worksheets/sheet79.xml" Type="http://schemas.openxmlformats.org/officeDocument/2006/relationships/worksheet"/><Relationship Id="rId8" Target="worksheets/sheet8.xml" Type="http://schemas.openxmlformats.org/officeDocument/2006/relationships/worksheet"/><Relationship Id="rId80" Target="worksheets/sheet80.xml" Type="http://schemas.openxmlformats.org/officeDocument/2006/relationships/worksheet"/><Relationship Id="rId81" Target="worksheets/sheet81.xml" Type="http://schemas.openxmlformats.org/officeDocument/2006/relationships/worksheet"/><Relationship Id="rId82" Target="theme/theme1.xml" Type="http://schemas.openxmlformats.org/officeDocument/2006/relationships/theme"/><Relationship Id="rId83" Target="styles.xml" Type="http://schemas.openxmlformats.org/officeDocument/2006/relationships/styles"/><Relationship Id="rId84" Target="sharedStrings.xml" Type="http://schemas.openxmlformats.org/officeDocument/2006/relationships/sharedStrings"/><Relationship Id="rId85" Target="calcChain.xml" Type="http://schemas.openxmlformats.org/officeDocument/2006/relationships/calcChain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_rels/sheet49.xml.rels><?xml version="1.0" encoding="UTF-8" standalone="yes"?><Relationships xmlns="http://schemas.openxmlformats.org/package/2006/relationships"><Relationship Id="rId1" Target="../printerSettings/printerSettings49.bin" Type="http://schemas.openxmlformats.org/officeDocument/2006/relationships/printerSettings"/></Relationships>
</file>

<file path=xl/worksheets/_rels/sheet50.xml.rels><?xml version="1.0" encoding="UTF-8" standalone="yes"?><Relationships xmlns="http://schemas.openxmlformats.org/package/2006/relationships"><Relationship Id="rId1" Target="../printerSettings/printerSettings50.bin" Type="http://schemas.openxmlformats.org/officeDocument/2006/relationships/printerSettings"/></Relationships>
</file>

<file path=xl/worksheets/_rels/sheet51.xml.rels><?xml version="1.0" encoding="UTF-8" standalone="yes"?><Relationships xmlns="http://schemas.openxmlformats.org/package/2006/relationships"><Relationship Id="rId1" Target="../printerSettings/printerSettings51.bin" Type="http://schemas.openxmlformats.org/officeDocument/2006/relationships/printerSettings"/></Relationships>
</file>

<file path=xl/worksheets/_rels/sheet52.xml.rels><?xml version="1.0" encoding="UTF-8" standalone="yes"?><Relationships xmlns="http://schemas.openxmlformats.org/package/2006/relationships"><Relationship Id="rId1" Target="../printerSettings/printerSettings52.bin" Type="http://schemas.openxmlformats.org/officeDocument/2006/relationships/printerSettings"/></Relationships>
</file>

<file path=xl/worksheets/_rels/sheet53.xml.rels><?xml version="1.0" encoding="UTF-8" standalone="yes"?><Relationships xmlns="http://schemas.openxmlformats.org/package/2006/relationships"><Relationship Id="rId1" Target="../printerSettings/printerSettings53.bin" Type="http://schemas.openxmlformats.org/officeDocument/2006/relationships/printerSettings"/></Relationships>
</file>

<file path=xl/worksheets/_rels/sheet54.xml.rels><?xml version="1.0" encoding="UTF-8" standalone="yes"?><Relationships xmlns="http://schemas.openxmlformats.org/package/2006/relationships"><Relationship Id="rId1" Target="../printerSettings/printerSettings54.bin" Type="http://schemas.openxmlformats.org/officeDocument/2006/relationships/printerSettings"/></Relationships>
</file>

<file path=xl/worksheets/_rels/sheet55.xml.rels><?xml version="1.0" encoding="UTF-8" standalone="yes"?><Relationships xmlns="http://schemas.openxmlformats.org/package/2006/relationships"><Relationship Id="rId1" Target="../printerSettings/printerSettings55.bin" Type="http://schemas.openxmlformats.org/officeDocument/2006/relationships/printerSettings"/></Relationships>
</file>

<file path=xl/worksheets/_rels/sheet56.xml.rels><?xml version="1.0" encoding="UTF-8" standalone="yes"?><Relationships xmlns="http://schemas.openxmlformats.org/package/2006/relationships"><Relationship Id="rId1" Target="../printerSettings/printerSettings56.bin" Type="http://schemas.openxmlformats.org/officeDocument/2006/relationships/printerSettings"/></Relationships>
</file>

<file path=xl/worksheets/_rels/sheet57.xml.rels><?xml version="1.0" encoding="UTF-8" standalone="yes"?><Relationships xmlns="http://schemas.openxmlformats.org/package/2006/relationships"><Relationship Id="rId1" Target="../printerSettings/printerSettings57.bin" Type="http://schemas.openxmlformats.org/officeDocument/2006/relationships/printerSettings"/></Relationships>
</file>

<file path=xl/worksheets/_rels/sheet62.xml.rels><?xml version="1.0" encoding="UTF-8" standalone="yes"?><Relationships xmlns="http://schemas.openxmlformats.org/package/2006/relationships"><Relationship Id="rId1" Target="../printerSettings/printerSettings58.bin" Type="http://schemas.openxmlformats.org/officeDocument/2006/relationships/printerSettings"/></Relationships>
</file>

<file path=xl/worksheets/_rels/sheet63.xml.rels><?xml version="1.0" encoding="UTF-8" standalone="yes"?><Relationships xmlns="http://schemas.openxmlformats.org/package/2006/relationships"><Relationship Id="rId1" Target="../printerSettings/printerSettings59.bin" Type="http://schemas.openxmlformats.org/officeDocument/2006/relationships/printerSettings"/></Relationships>
</file>

<file path=xl/worksheets/_rels/sheet64.xml.rels><?xml version="1.0" encoding="UTF-8" standalone="yes"?><Relationships xmlns="http://schemas.openxmlformats.org/package/2006/relationships"><Relationship Id="rId1" Target="../printerSettings/printerSettings60.bin" Type="http://schemas.openxmlformats.org/officeDocument/2006/relationships/printerSettings"/></Relationships>
</file>

<file path=xl/worksheets/_rels/sheet65.xml.rels><?xml version="1.0" encoding="UTF-8" standalone="yes"?><Relationships xmlns="http://schemas.openxmlformats.org/package/2006/relationships"><Relationship Id="rId1" Target="../printerSettings/printerSettings61.bin" Type="http://schemas.openxmlformats.org/officeDocument/2006/relationships/printerSettings"/></Relationships>
</file>

<file path=xl/worksheets/_rels/sheet66.xml.rels><?xml version="1.0" encoding="UTF-8" standalone="yes"?><Relationships xmlns="http://schemas.openxmlformats.org/package/2006/relationships"><Relationship Id="rId1" Target="../printerSettings/printerSettings62.bin" Type="http://schemas.openxmlformats.org/officeDocument/2006/relationships/printerSettings"/></Relationships>
</file>

<file path=xl/worksheets/_rels/sheet67.xml.rels><?xml version="1.0" encoding="UTF-8" standalone="yes"?><Relationships xmlns="http://schemas.openxmlformats.org/package/2006/relationships"><Relationship Id="rId1" Target="../printerSettings/printerSettings63.bin" Type="http://schemas.openxmlformats.org/officeDocument/2006/relationships/printerSettings"/></Relationships>
</file>

<file path=xl/worksheets/_rels/sheet68.xml.rels><?xml version="1.0" encoding="UTF-8" standalone="yes"?><Relationships xmlns="http://schemas.openxmlformats.org/package/2006/relationships"><Relationship Id="rId1" Target="../printerSettings/printerSettings64.bin" Type="http://schemas.openxmlformats.org/officeDocument/2006/relationships/printerSettings"/></Relationships>
</file>

<file path=xl/worksheets/_rels/sheet69.xml.rels><?xml version="1.0" encoding="UTF-8" standalone="yes"?><Relationships xmlns="http://schemas.openxmlformats.org/package/2006/relationships"><Relationship Id="rId1" Target="../printerSettings/printerSettings65.bin" Type="http://schemas.openxmlformats.org/officeDocument/2006/relationships/printerSettings"/></Relationships>
</file>

<file path=xl/worksheets/_rels/sheet70.xml.rels><?xml version="1.0" encoding="UTF-8" standalone="yes"?><Relationships xmlns="http://schemas.openxmlformats.org/package/2006/relationships"><Relationship Id="rId1" Target="../printerSettings/printerSettings66.bin" Type="http://schemas.openxmlformats.org/officeDocument/2006/relationships/printerSettings"/></Relationships>
</file>

<file path=xl/worksheets/_rels/sheet71.xml.rels><?xml version="1.0" encoding="UTF-8" standalone="yes"?><Relationships xmlns="http://schemas.openxmlformats.org/package/2006/relationships"><Relationship Id="rId1" Target="../printerSettings/printerSettings67.bin" Type="http://schemas.openxmlformats.org/officeDocument/2006/relationships/printerSettings"/></Relationships>
</file>

<file path=xl/worksheets/_rels/sheet72.xml.rels><?xml version="1.0" encoding="UTF-8" standalone="yes"?><Relationships xmlns="http://schemas.openxmlformats.org/package/2006/relationships"><Relationship Id="rId1" Target="../printerSettings/printerSettings68.bin" Type="http://schemas.openxmlformats.org/officeDocument/2006/relationships/printerSettings"/></Relationships>
</file>

<file path=xl/worksheets/_rels/sheet73.xml.rels><?xml version="1.0" encoding="UTF-8" standalone="yes"?><Relationships xmlns="http://schemas.openxmlformats.org/package/2006/relationships"><Relationship Id="rId1" Target="../printerSettings/printerSettings69.bin" Type="http://schemas.openxmlformats.org/officeDocument/2006/relationships/printerSettings"/></Relationships>
</file>

<file path=xl/worksheets/_rels/sheet74.xml.rels><?xml version="1.0" encoding="UTF-8" standalone="yes"?><Relationships xmlns="http://schemas.openxmlformats.org/package/2006/relationships"><Relationship Id="rId1" Target="../printerSettings/printerSettings70.bin" Type="http://schemas.openxmlformats.org/officeDocument/2006/relationships/printerSettings"/></Relationships>
</file>

<file path=xl/worksheets/_rels/sheet75.xml.rels><?xml version="1.0" encoding="UTF-8" standalone="yes"?><Relationships xmlns="http://schemas.openxmlformats.org/package/2006/relationships"><Relationship Id="rId1" Target="../printerSettings/printerSettings71.bin" Type="http://schemas.openxmlformats.org/officeDocument/2006/relationships/printerSettings"/></Relationships>
</file>

<file path=xl/worksheets/_rels/sheet76.xml.rels><?xml version="1.0" encoding="UTF-8" standalone="yes"?><Relationships xmlns="http://schemas.openxmlformats.org/package/2006/relationships"><Relationship Id="rId1" Target="../printerSettings/printerSettings72.bin" Type="http://schemas.openxmlformats.org/officeDocument/2006/relationships/printerSettings"/></Relationships>
</file>

<file path=xl/worksheets/_rels/sheet77.xml.rels><?xml version="1.0" encoding="UTF-8" standalone="yes"?><Relationships xmlns="http://schemas.openxmlformats.org/package/2006/relationships"><Relationship Id="rId1" Target="../printerSettings/printerSettings73.bin" Type="http://schemas.openxmlformats.org/officeDocument/2006/relationships/printerSettings"/></Relationships>
</file>

<file path=xl/worksheets/_rels/sheet78.xml.rels><?xml version="1.0" encoding="UTF-8" standalone="yes"?><Relationships xmlns="http://schemas.openxmlformats.org/package/2006/relationships"><Relationship Id="rId1" Target="../printerSettings/printerSettings74.bin" Type="http://schemas.openxmlformats.org/officeDocument/2006/relationships/printerSettings"/></Relationships>
</file>

<file path=xl/worksheets/_rels/sheet79.xml.rels><?xml version="1.0" encoding="UTF-8" standalone="yes"?><Relationships xmlns="http://schemas.openxmlformats.org/package/2006/relationships"><Relationship Id="rId1" Target="../printerSettings/printerSettings75.bin" Type="http://schemas.openxmlformats.org/officeDocument/2006/relationships/printerSettings"/></Relationships>
</file>

<file path=xl/worksheets/_rels/sheet80.xml.rels><?xml version="1.0" encoding="UTF-8" standalone="yes"?><Relationships xmlns="http://schemas.openxmlformats.org/package/2006/relationships"><Relationship Id="rId1" Target="../printerSettings/printerSettings76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topLeftCell="AB1" workbookViewId="0">
      <selection activeCell="A4" sqref="A4:AL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bestFit="true" customWidth="true" style="29" width="26.85546875"/>
    <col min="36" max="36" bestFit="true" customWidth="true" style="29" width="13.140625"/>
    <col min="37" max="37" bestFit="true" customWidth="true" style="29" width="14.0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96" t="s">
        <v>0</v>
      </c>
      <c r="B3" s="196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132</v>
      </c>
      <c r="C5" s="10">
        <v>0</v>
      </c>
      <c r="D5" s="37" t="s">
        <v>132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273</v>
      </c>
      <c r="AH5" s="9">
        <f>AG5-AF5</f>
        <v>103556</v>
      </c>
      <c r="AI5" s="10" t="s">
        <v>160</v>
      </c>
      <c r="AJ5" s="10" t="s">
        <v>161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274</v>
      </c>
      <c r="AH6" s="9">
        <f>AG6-AF6</f>
        <v>93727.5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39" customWidth="true" style="28" width="12.5703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96" t="s">
        <v>0</v>
      </c>
      <c r="B3" s="196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80</v>
      </c>
    </row>
    <row r="5" spans="1:39" ht="15">
      <c r="A5" s="10">
        <v>1</v>
      </c>
      <c r="B5" s="32" t="s">
        <v>132</v>
      </c>
      <c r="C5" s="10">
        <v>0</v>
      </c>
      <c r="D5" s="37" t="s">
        <v>132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248</v>
      </c>
      <c r="AH5" s="9">
        <f>AG5-AF5</f>
        <v>103511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249</v>
      </c>
      <c r="AH6" s="9">
        <f>AG6-AF6</f>
        <v>93712.5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96" t="s">
        <v>0</v>
      </c>
      <c r="B3" s="196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32</v>
      </c>
      <c r="I5" s="9" t="e">
        <f>G5*H5</f>
        <v>#VALUE!</v>
      </c>
      <c r="J5" s="34"/>
      <c r="K5" s="34"/>
      <c r="L5" s="34"/>
      <c r="M5" s="9" t="e">
        <f>I5</f>
        <v>#VALUE!</v>
      </c>
      <c r="N5" s="9" t="e">
        <f>ROUND((M5*J5)/100,2)</f>
        <v>#VALUE!</v>
      </c>
      <c r="O5" s="9" t="e">
        <f>I5-N5</f>
        <v>#VALUE!</v>
      </c>
      <c r="P5" s="9" t="e">
        <f>ROUND((O5*K5)/100,2)</f>
        <v>#VALUE!</v>
      </c>
      <c r="Q5" s="9" t="e">
        <f>ROUND(O5-P5,2)</f>
        <v>#VALUE!</v>
      </c>
      <c r="R5" s="9" t="e">
        <f>ROUND((Q5*L5)/100,2)</f>
        <v>#VALUE!</v>
      </c>
      <c r="S5" s="35" t="e">
        <f>N5+P5+R5</f>
        <v>#VALUE!</v>
      </c>
      <c r="T5" s="35" t="e">
        <f>S5/G5</f>
        <v>#VALUE!</v>
      </c>
      <c r="U5" s="9" t="e">
        <f>(I5-S5)</f>
        <v>#VALUE!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 t="e">
        <f>IF($D$3=2,ROUND(((U5*W5)),2),0)</f>
        <v>#VALUE!</v>
      </c>
      <c r="AA5" s="9" t="e">
        <f>X5+Y5+Z5</f>
        <v>#VALUE!</v>
      </c>
      <c r="AB5" s="9" t="e">
        <f t="shared" ref="AB5:AB6" si="0">U5+AA5</f>
        <v>#VALUE!</v>
      </c>
      <c r="AC5" s="9">
        <v>120</v>
      </c>
      <c r="AD5" s="9" t="e">
        <f t="shared" ref="AD5:AD6" si="1">U5*$N$3</f>
        <v>#VALUE!</v>
      </c>
      <c r="AE5" s="8">
        <v>1</v>
      </c>
      <c r="AF5" s="9">
        <f t="shared" ref="AF5" si="2">G5/AE5</f>
        <v>15</v>
      </c>
      <c r="AG5" s="36" t="s">
        <v>247</v>
      </c>
      <c r="AH5" s="9">
        <f>AG5-AF5</f>
        <v>94195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147</v>
      </c>
      <c r="I6" s="9">
        <f>G6*H6</f>
        <v>100</v>
      </c>
      <c r="J6" s="34"/>
      <c r="K6" s="34"/>
      <c r="L6" s="34"/>
      <c r="M6" s="9">
        <f>I6</f>
        <v>100</v>
      </c>
      <c r="N6" s="9">
        <f>ROUND((M6*J6)/100,2)</f>
        <v>0</v>
      </c>
      <c r="O6" s="9">
        <f>I6-N6</f>
        <v>100</v>
      </c>
      <c r="P6" s="9">
        <f>ROUND((O6*K6)/100,2)</f>
        <v>0</v>
      </c>
      <c r="Q6" s="9">
        <f>ROUND(O6-P6,2)</f>
        <v>100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12</v>
      </c>
      <c r="AA6" s="9">
        <f>X6+Y6+Z6</f>
        <v>12</v>
      </c>
      <c r="AB6" s="9">
        <f t="shared" si="0"/>
        <v>112</v>
      </c>
      <c r="AC6" s="9">
        <v>120</v>
      </c>
      <c r="AD6" s="9">
        <f t="shared" si="1"/>
        <v>100</v>
      </c>
      <c r="AE6" s="8">
        <v>2</v>
      </c>
      <c r="AF6" s="9">
        <f>ROUND(G6/AE6,3)</f>
        <v>5</v>
      </c>
      <c r="AG6" s="36" t="s">
        <v>254</v>
      </c>
      <c r="AH6" s="9">
        <f>AG6-AF6</f>
        <v>98145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96" t="s">
        <v>0</v>
      </c>
      <c r="B3" s="196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32</v>
      </c>
      <c r="I5" s="9" t="e">
        <f>G5*H5</f>
        <v>#VALUE!</v>
      </c>
      <c r="J5" s="34"/>
      <c r="K5" s="34"/>
      <c r="L5" s="34"/>
      <c r="M5" s="9" t="e">
        <f>I5</f>
        <v>#VALUE!</v>
      </c>
      <c r="N5" s="9" t="e">
        <f>ROUND((M5*J5)/100,2)</f>
        <v>#VALUE!</v>
      </c>
      <c r="O5" s="9" t="e">
        <f>I5-N5</f>
        <v>#VALUE!</v>
      </c>
      <c r="P5" s="9" t="e">
        <f>ROUND((O5*K5)/100,2)</f>
        <v>#VALUE!</v>
      </c>
      <c r="Q5" s="9" t="e">
        <f>ROUND(O5-P5,2)</f>
        <v>#VALUE!</v>
      </c>
      <c r="R5" s="9" t="e">
        <f>ROUND((Q5*L5)/100,2)</f>
        <v>#VALUE!</v>
      </c>
      <c r="S5" s="35" t="e">
        <f>N5+P5+R5</f>
        <v>#VALUE!</v>
      </c>
      <c r="T5" s="35" t="e">
        <f>S5/G5</f>
        <v>#VALUE!</v>
      </c>
      <c r="U5" s="9" t="e">
        <f>(I5-S5)</f>
        <v>#VALUE!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 t="e">
        <f t="shared" ref="AB5:AB6" si="0">U5+AA5</f>
        <v>#VALUE!</v>
      </c>
      <c r="AC5" s="9">
        <v>120</v>
      </c>
      <c r="AD5" s="9" t="e">
        <f t="shared" ref="AD5:AD6" si="1">U5*$N$3</f>
        <v>#VALUE!</v>
      </c>
      <c r="AE5" s="8">
        <v>1</v>
      </c>
      <c r="AF5" s="9">
        <f t="shared" ref="AF5" si="2">G5/AE5</f>
        <v>15</v>
      </c>
      <c r="AG5" s="36" t="s">
        <v>250</v>
      </c>
      <c r="AH5" s="9">
        <f>AG5-AF5</f>
        <v>94090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147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2</v>
      </c>
      <c r="AF6" s="9">
        <f>ROUND(G6/AE6,3)</f>
        <v>5</v>
      </c>
      <c r="AG6" s="36" t="s">
        <v>255</v>
      </c>
      <c r="AH6" s="9">
        <f>AG6-AF6</f>
        <v>99990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96" t="s">
        <v>0</v>
      </c>
      <c r="B3" s="196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54</v>
      </c>
      <c r="I5" s="9">
        <f>G5*H5</f>
        <v>900</v>
      </c>
      <c r="J5" s="34"/>
      <c r="K5" s="34"/>
      <c r="L5" s="34"/>
      <c r="M5" s="9">
        <f>I5</f>
        <v>900</v>
      </c>
      <c r="N5" s="9">
        <f>ROUND((M5*J5)/100,2)</f>
        <v>0</v>
      </c>
      <c r="O5" s="9">
        <f>I5-N5</f>
        <v>900</v>
      </c>
      <c r="P5" s="9">
        <f>ROUND((O5*K5)/100,2)</f>
        <v>0</v>
      </c>
      <c r="Q5" s="9">
        <f>ROUND(O5-P5,2)</f>
        <v>900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900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108</v>
      </c>
      <c r="AA5" s="9">
        <f>X5+Y5+Z5</f>
        <v>108</v>
      </c>
      <c r="AB5" s="9">
        <f t="shared" ref="AB5:AB6" si="0">U5+AA5</f>
        <v>1008</v>
      </c>
      <c r="AC5" s="9">
        <v>120</v>
      </c>
      <c r="AD5" s="9">
        <f t="shared" ref="AD5:AD6" si="1">U5*$N$3</f>
        <v>900</v>
      </c>
      <c r="AE5" s="8">
        <v>1</v>
      </c>
      <c r="AF5" s="9">
        <f t="shared" ref="AF5" si="2">G5/AE5</f>
        <v>15</v>
      </c>
      <c r="AG5" s="36" t="s">
        <v>172</v>
      </c>
      <c r="AH5" s="9">
        <f>AG5-AF5</f>
        <v>99940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164</v>
      </c>
      <c r="I6" s="9">
        <f>G6*H6</f>
        <v>700</v>
      </c>
      <c r="J6" s="34"/>
      <c r="K6" s="34"/>
      <c r="L6" s="34"/>
      <c r="M6" s="9">
        <f>I6</f>
        <v>700</v>
      </c>
      <c r="N6" s="9">
        <f>ROUND((M6*J6)/100,2)</f>
        <v>0</v>
      </c>
      <c r="O6" s="9">
        <f>I6-N6</f>
        <v>700</v>
      </c>
      <c r="P6" s="9">
        <f>ROUND((O6*K6)/100,2)</f>
        <v>0</v>
      </c>
      <c r="Q6" s="9">
        <f>ROUND(O6-P6,2)</f>
        <v>700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84</v>
      </c>
      <c r="AA6" s="9">
        <f>X6+Y6+Z6</f>
        <v>84</v>
      </c>
      <c r="AB6" s="9">
        <f t="shared" si="0"/>
        <v>784</v>
      </c>
      <c r="AC6" s="9">
        <v>120</v>
      </c>
      <c r="AD6" s="9">
        <f t="shared" si="1"/>
        <v>700</v>
      </c>
      <c r="AE6" s="8">
        <v>2</v>
      </c>
      <c r="AF6" s="9">
        <f>ROUND(G6/AE6,3)</f>
        <v>5</v>
      </c>
      <c r="AG6" s="36" t="s">
        <v>163</v>
      </c>
      <c r="AH6" s="9">
        <f>AG6-AF6</f>
        <v>99980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F6" sqref="F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96" t="s">
        <v>0</v>
      </c>
      <c r="B3" s="196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165</v>
      </c>
      <c r="I5" s="9">
        <f>G5*H5</f>
        <v>1200</v>
      </c>
      <c r="J5" s="34"/>
      <c r="K5" s="34"/>
      <c r="L5" s="34"/>
      <c r="M5" s="9">
        <f>I5</f>
        <v>1200</v>
      </c>
      <c r="N5" s="9">
        <f>ROUND((M5*J5)/100,2)</f>
        <v>0</v>
      </c>
      <c r="O5" s="9">
        <f>I5-N5</f>
        <v>1200</v>
      </c>
      <c r="P5" s="9">
        <f>ROUND((O5*K5)/100,2)</f>
        <v>0</v>
      </c>
      <c r="Q5" s="9">
        <f>ROUND(O5-P5,2)</f>
        <v>1200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1200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1200</v>
      </c>
      <c r="AC5" s="9">
        <v>120</v>
      </c>
      <c r="AD5" s="9">
        <f t="shared" ref="AD5:AD6" si="1">U5*$N$3</f>
        <v>1200</v>
      </c>
      <c r="AE5" s="8">
        <v>1</v>
      </c>
      <c r="AF5" s="9">
        <f t="shared" ref="AF5" si="2">G5/AE5</f>
        <v>15</v>
      </c>
      <c r="AG5" s="36" t="s">
        <v>172</v>
      </c>
      <c r="AH5" s="9">
        <f>AG5-AF5</f>
        <v>99940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166</v>
      </c>
      <c r="I6" s="9">
        <f>G6*H6</f>
        <v>790</v>
      </c>
      <c r="J6" s="34"/>
      <c r="K6" s="34"/>
      <c r="L6" s="34"/>
      <c r="M6" s="9">
        <f>I6</f>
        <v>790</v>
      </c>
      <c r="N6" s="9">
        <f>ROUND((M6*J6)/100,2)</f>
        <v>0</v>
      </c>
      <c r="O6" s="9">
        <f>I6-N6</f>
        <v>790</v>
      </c>
      <c r="P6" s="9">
        <f>ROUND((O6*K6)/100,2)</f>
        <v>0</v>
      </c>
      <c r="Q6" s="9">
        <f>ROUND(O6-P6,2)</f>
        <v>790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790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790</v>
      </c>
      <c r="AC6" s="9">
        <v>120</v>
      </c>
      <c r="AD6" s="9">
        <f t="shared" si="1"/>
        <v>790</v>
      </c>
      <c r="AE6" s="8">
        <v>2</v>
      </c>
      <c r="AF6" s="9">
        <f>ROUND(G6/AE6,3)</f>
        <v>5</v>
      </c>
      <c r="AG6" s="36" t="s">
        <v>173</v>
      </c>
      <c r="AH6" s="9">
        <f>AG6-AF6</f>
        <v>99983.334000000003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V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96" t="s">
        <v>0</v>
      </c>
      <c r="B3" s="196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58</v>
      </c>
      <c r="C5" s="10">
        <v>0</v>
      </c>
      <c r="D5" s="42" t="s">
        <v>58</v>
      </c>
      <c r="E5" s="10" t="s">
        <v>32</v>
      </c>
      <c r="F5" s="10" t="s">
        <v>32</v>
      </c>
      <c r="G5" s="33">
        <v>15</v>
      </c>
      <c r="H5" s="29" t="s">
        <v>167</v>
      </c>
      <c r="I5" s="9">
        <f>G5*H5</f>
        <v>915</v>
      </c>
      <c r="J5" s="34"/>
      <c r="K5" s="34"/>
      <c r="L5" s="34"/>
      <c r="M5" s="9">
        <f>I5</f>
        <v>915</v>
      </c>
      <c r="N5" s="9">
        <f>ROUND((M5*J5)/100,2)</f>
        <v>0</v>
      </c>
      <c r="O5" s="9">
        <f>I5-N5</f>
        <v>915</v>
      </c>
      <c r="P5" s="9">
        <f>ROUND((O5*K5)/100,2)</f>
        <v>0</v>
      </c>
      <c r="Q5" s="9">
        <f>ROUND(O5-P5,2)</f>
        <v>915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915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109.8</v>
      </c>
      <c r="AA5" s="9">
        <f>X5+Y5+Z5</f>
        <v>109.8</v>
      </c>
      <c r="AB5" s="9">
        <f t="shared" ref="AB5:AB6" si="0">U5+AA5</f>
        <v>1024.8</v>
      </c>
      <c r="AC5" s="9">
        <v>120</v>
      </c>
      <c r="AD5" s="9">
        <f t="shared" ref="AD5:AD6" si="1">U5*$N$3</f>
        <v>915</v>
      </c>
      <c r="AE5" s="8">
        <v>1</v>
      </c>
      <c r="AF5" s="9">
        <f t="shared" ref="AF5" si="2">G5/AE5</f>
        <v>15</v>
      </c>
      <c r="AG5" s="36" t="s">
        <v>172</v>
      </c>
      <c r="AH5" s="9">
        <f>AG5-AF5</f>
        <v>99940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59</v>
      </c>
      <c r="C6" s="10">
        <v>0</v>
      </c>
      <c r="D6" s="42" t="s">
        <v>59</v>
      </c>
      <c r="E6" s="10" t="s">
        <v>32</v>
      </c>
      <c r="F6" s="10" t="s">
        <v>32</v>
      </c>
      <c r="G6" s="33">
        <v>10</v>
      </c>
      <c r="H6" s="29" t="s">
        <v>168</v>
      </c>
      <c r="I6" s="9">
        <f>G6*H6</f>
        <v>710</v>
      </c>
      <c r="J6" s="34"/>
      <c r="K6" s="34"/>
      <c r="L6" s="34"/>
      <c r="M6" s="9">
        <f>I6</f>
        <v>710</v>
      </c>
      <c r="N6" s="9">
        <f>ROUND((M6*J6)/100,2)</f>
        <v>0</v>
      </c>
      <c r="O6" s="9">
        <f>I6-N6</f>
        <v>710</v>
      </c>
      <c r="P6" s="9">
        <f>ROUND((O6*K6)/100,2)</f>
        <v>0</v>
      </c>
      <c r="Q6" s="9">
        <f>ROUND(O6-P6,2)</f>
        <v>710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710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85.2</v>
      </c>
      <c r="AA6" s="9">
        <f>X6+Y6+Z6</f>
        <v>85.2</v>
      </c>
      <c r="AB6" s="9">
        <f t="shared" si="0"/>
        <v>795.2</v>
      </c>
      <c r="AC6" s="9">
        <v>120</v>
      </c>
      <c r="AD6" s="9">
        <f t="shared" si="1"/>
        <v>710</v>
      </c>
      <c r="AE6" s="8">
        <v>2</v>
      </c>
      <c r="AF6" s="9">
        <f>ROUND(G6/AE6,3)</f>
        <v>5</v>
      </c>
      <c r="AG6" s="36" t="s">
        <v>163</v>
      </c>
      <c r="AH6" s="9">
        <f>AG6-AF6</f>
        <v>99980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96" t="s">
        <v>0</v>
      </c>
      <c r="B3" s="196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180</v>
      </c>
      <c r="I5" s="9">
        <f>G5*H5</f>
        <v>1215</v>
      </c>
      <c r="J5" s="34"/>
      <c r="K5" s="34"/>
      <c r="L5" s="34"/>
      <c r="M5" s="9">
        <f>I5</f>
        <v>1215</v>
      </c>
      <c r="N5" s="9">
        <f>ROUND((M5*J5)/100,2)</f>
        <v>0</v>
      </c>
      <c r="O5" s="9">
        <f>I5-N5</f>
        <v>1215</v>
      </c>
      <c r="P5" s="9">
        <f>ROUND((O5*K5)/100,2)</f>
        <v>0</v>
      </c>
      <c r="Q5" s="9">
        <f>ROUND(O5-P5,2)</f>
        <v>1215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1215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1215</v>
      </c>
      <c r="AC5" s="9">
        <v>120</v>
      </c>
      <c r="AD5" s="9">
        <f t="shared" ref="AD5:AD6" si="1">U5*$N$3</f>
        <v>1215</v>
      </c>
      <c r="AE5" s="8">
        <v>1</v>
      </c>
      <c r="AF5" s="9">
        <f t="shared" ref="AF5" si="2">G5/AE5</f>
        <v>15</v>
      </c>
      <c r="AG5" s="36" t="s">
        <v>179</v>
      </c>
      <c r="AH5" s="9">
        <f>AG5-AF5</f>
        <v>99850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168</v>
      </c>
      <c r="I6" s="9">
        <f>G6*H6</f>
        <v>710</v>
      </c>
      <c r="J6" s="34"/>
      <c r="K6" s="34"/>
      <c r="L6" s="34"/>
      <c r="M6" s="9">
        <f>I6</f>
        <v>710</v>
      </c>
      <c r="N6" s="9">
        <f>ROUND((M6*J6)/100,2)</f>
        <v>0</v>
      </c>
      <c r="O6" s="9">
        <f>I6-N6</f>
        <v>710</v>
      </c>
      <c r="P6" s="9">
        <f>ROUND((O6*K6)/100,2)</f>
        <v>0</v>
      </c>
      <c r="Q6" s="9">
        <f>ROUND(O6-P6,2)</f>
        <v>710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710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710</v>
      </c>
      <c r="AC6" s="9">
        <v>120</v>
      </c>
      <c r="AD6" s="9">
        <f t="shared" si="1"/>
        <v>710</v>
      </c>
      <c r="AE6" s="8">
        <v>2</v>
      </c>
      <c r="AF6" s="9">
        <f>ROUND(G6/AE6,3)</f>
        <v>5</v>
      </c>
      <c r="AG6" s="36" t="s">
        <v>172</v>
      </c>
      <c r="AH6" s="9">
        <f>AG6-AF6</f>
        <v>99950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96" t="s">
        <v>0</v>
      </c>
      <c r="B3" s="196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62</v>
      </c>
      <c r="C5" s="10">
        <v>0</v>
      </c>
      <c r="D5" s="42" t="s">
        <v>62</v>
      </c>
      <c r="E5" s="10" t="s">
        <v>32</v>
      </c>
      <c r="F5" s="10" t="s">
        <v>32</v>
      </c>
      <c r="G5" s="33">
        <v>15</v>
      </c>
      <c r="H5" s="29" t="s">
        <v>169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:AB6" si="0">U5+AA5</f>
        <v>840</v>
      </c>
      <c r="AC5" s="9">
        <v>120</v>
      </c>
      <c r="AD5" s="9">
        <f t="shared" ref="AD5:AD6" si="1">U5*$N$3</f>
        <v>750</v>
      </c>
      <c r="AE5" s="8">
        <v>1</v>
      </c>
      <c r="AF5" s="9">
        <f t="shared" ref="AF5" si="2">G5/AE5</f>
        <v>15</v>
      </c>
      <c r="AG5" s="36" t="s">
        <v>226</v>
      </c>
      <c r="AH5" s="9">
        <f>AG5-AF5</f>
        <v>97764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63</v>
      </c>
      <c r="C6" s="10">
        <v>0</v>
      </c>
      <c r="D6" s="42" t="s">
        <v>63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72</v>
      </c>
      <c r="AA6" s="9">
        <f>X6+Y6+Z6</f>
        <v>72</v>
      </c>
      <c r="AB6" s="9">
        <f t="shared" si="0"/>
        <v>672</v>
      </c>
      <c r="AC6" s="9">
        <v>120</v>
      </c>
      <c r="AD6" s="9">
        <f t="shared" si="1"/>
        <v>600</v>
      </c>
      <c r="AE6" s="8">
        <v>2</v>
      </c>
      <c r="AF6" s="9">
        <f>ROUND(G6/AE6,3)</f>
        <v>5</v>
      </c>
      <c r="AG6" s="36" t="s">
        <v>227</v>
      </c>
      <c r="AH6" s="9">
        <f>AG6-AF6</f>
        <v>99255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96" t="s">
        <v>0</v>
      </c>
      <c r="B3" s="196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164</v>
      </c>
      <c r="I5" s="9">
        <f>G5*H5</f>
        <v>1050</v>
      </c>
      <c r="J5" s="34"/>
      <c r="K5" s="34"/>
      <c r="L5" s="34"/>
      <c r="M5" s="9">
        <f>I5</f>
        <v>1050</v>
      </c>
      <c r="N5" s="9">
        <f>ROUND((M5*J5)/100,2)</f>
        <v>0</v>
      </c>
      <c r="O5" s="9">
        <f>I5-N5</f>
        <v>1050</v>
      </c>
      <c r="P5" s="9">
        <f>ROUND((O5*K5)/100,2)</f>
        <v>0</v>
      </c>
      <c r="Q5" s="9">
        <f>ROUND(O5-P5,2)</f>
        <v>1050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1050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126</v>
      </c>
      <c r="AA5" s="9">
        <f>X5+Y5+Z5</f>
        <v>126</v>
      </c>
      <c r="AB5" s="9">
        <f t="shared" ref="AB5:AB6" si="0">U5+AA5</f>
        <v>1176</v>
      </c>
      <c r="AC5" s="9">
        <v>120</v>
      </c>
      <c r="AD5" s="9">
        <f t="shared" ref="AD5:AD6" si="1">U5*$N$3</f>
        <v>1050</v>
      </c>
      <c r="AE5" s="8">
        <v>1</v>
      </c>
      <c r="AF5" s="9">
        <f t="shared" ref="AF5" si="2">G5/AE5</f>
        <v>15</v>
      </c>
      <c r="AG5" s="36" t="s">
        <v>225</v>
      </c>
      <c r="AH5" s="9">
        <f>AG5-AF5</f>
        <v>97780</v>
      </c>
      <c r="AI5" s="10" t="s">
        <v>160</v>
      </c>
      <c r="AJ5" s="10" t="s">
        <v>161</v>
      </c>
      <c r="AK5" s="7"/>
      <c r="AL5" s="59"/>
    </row>
    <row r="6" spans="1:38" ht="1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165</v>
      </c>
      <c r="I6" s="9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96</v>
      </c>
      <c r="AA6" s="9">
        <f>X6+Y6+Z6</f>
        <v>96</v>
      </c>
      <c r="AB6" s="9">
        <f t="shared" si="0"/>
        <v>896</v>
      </c>
      <c r="AC6" s="9">
        <v>120</v>
      </c>
      <c r="AD6" s="9">
        <f t="shared" si="1"/>
        <v>800</v>
      </c>
      <c r="AE6" s="8">
        <v>2</v>
      </c>
      <c r="AF6" s="9">
        <f>ROUND(G6/AE6,3)</f>
        <v>5</v>
      </c>
      <c r="AG6" s="36" t="s">
        <v>224</v>
      </c>
      <c r="AH6" s="9">
        <f>AG6-AF6</f>
        <v>99260</v>
      </c>
      <c r="AI6" s="10" t="s">
        <v>160</v>
      </c>
      <c r="AJ6" s="10" t="s">
        <v>161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96" t="s">
        <v>0</v>
      </c>
      <c r="B3" s="196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259</v>
      </c>
      <c r="AH5" s="34">
        <f>AG5-AF5</f>
        <v>105581</v>
      </c>
      <c r="AI5" s="10" t="s">
        <v>160</v>
      </c>
      <c r="AJ5" s="10" t="s">
        <v>161</v>
      </c>
      <c r="AK5" s="34">
        <f>AH5</f>
        <v>105581</v>
      </c>
      <c r="AL5" s="34">
        <f>AK5+G5</f>
        <v>105596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tabSelected="1" topLeftCell="H1" workbookViewId="0">
      <selection activeCell="J12" sqref="J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8.0"/>
    <col min="4" max="4" customWidth="true" style="29" width="29.85546875"/>
    <col min="5" max="5" bestFit="true" customWidth="true" style="29" width="10.0"/>
    <col min="6" max="6" bestFit="true" customWidth="true" style="29" width="18.8554687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0" bestFit="true" customWidth="true" style="29" width="10.140625"/>
    <col min="11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96" t="s">
        <v>0</v>
      </c>
      <c r="B3" s="196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t="s" s="36">
        <v>282</v>
      </c>
      <c r="AH5" s="34">
        <f>AG5-AF5</f>
        <v>99641</v>
      </c>
      <c r="AI5" s="10" t="s">
        <v>160</v>
      </c>
      <c r="AJ5" s="10" t="s">
        <v>161</v>
      </c>
      <c r="AK5" s="34">
        <f>AH5</f>
        <v>99641</v>
      </c>
      <c r="AL5" s="34">
        <f>AK5+G5</f>
        <v>99656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83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84</v>
      </c>
      <c r="D10" s="90" t="s">
        <v>6</v>
      </c>
      <c r="E10" s="90" t="s">
        <v>7</v>
      </c>
      <c r="F10" s="90" t="s">
        <v>85</v>
      </c>
      <c r="G10" s="90" t="s">
        <v>86</v>
      </c>
      <c r="H10" s="90" t="s">
        <v>87</v>
      </c>
      <c r="I10" s="90" t="s">
        <v>88</v>
      </c>
      <c r="J10" s="90" t="s">
        <v>89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176</v>
      </c>
      <c r="E11" s="10">
        <v>0</v>
      </c>
      <c r="F11" s="10" t="s">
        <v>90</v>
      </c>
      <c r="G11" s="10" t="s">
        <v>91</v>
      </c>
      <c r="H11" s="10">
        <v>20</v>
      </c>
      <c r="I11" s="10">
        <v>6477.41</v>
      </c>
      <c r="J11" s="33">
        <v>88363222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177</v>
      </c>
      <c r="E12" s="10">
        <v>0</v>
      </c>
      <c r="F12" s="10" t="s">
        <v>92</v>
      </c>
      <c r="G12" s="10" t="s">
        <v>88</v>
      </c>
      <c r="H12" s="10"/>
      <c r="I12" s="10">
        <v>15000</v>
      </c>
      <c r="J12" s="33">
        <v>88363222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93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96" t="s">
        <v>0</v>
      </c>
      <c r="B3" s="196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94</v>
      </c>
      <c r="C5" s="10">
        <v>0</v>
      </c>
      <c r="D5" s="42" t="s">
        <v>94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257</v>
      </c>
      <c r="AH5" s="34">
        <f>AG5-AF5</f>
        <v>97045</v>
      </c>
      <c r="AI5" s="10" t="s">
        <v>160</v>
      </c>
      <c r="AJ5" s="10" t="s">
        <v>161</v>
      </c>
      <c r="AK5" s="34">
        <f>AH5</f>
        <v>97045</v>
      </c>
      <c r="AL5" s="34">
        <f>AK5+G5</f>
        <v>97060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opLeftCell="S1" workbookViewId="0">
      <selection activeCell="E3" sqref="E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96" t="s">
        <v>0</v>
      </c>
      <c r="B3" s="196"/>
      <c r="C3" s="9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135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t="s" s="36">
        <v>288</v>
      </c>
      <c r="AH5" s="34">
        <f>AG5-AF5</f>
        <v>104501</v>
      </c>
      <c r="AI5" s="10" t="s">
        <v>160</v>
      </c>
      <c r="AJ5" s="10" t="s">
        <v>161</v>
      </c>
      <c r="AK5" s="34">
        <f>AH5</f>
        <v>104501</v>
      </c>
      <c r="AL5" s="34">
        <f>AK5+G5</f>
        <v>104516</v>
      </c>
      <c r="AM5" s="59"/>
    </row>
    <row r="6" spans="1:39" ht="14.25" customHeight="1">
      <c r="A6" s="10">
        <v>2</v>
      </c>
      <c r="B6" s="97" t="s">
        <v>95</v>
      </c>
      <c r="C6" s="10">
        <v>0</v>
      </c>
      <c r="D6" s="97" t="s">
        <v>95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144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t="s" s="36">
        <v>289</v>
      </c>
      <c r="AH6" s="34">
        <f>AG6-AF6</f>
        <v>99920</v>
      </c>
      <c r="AI6" s="10" t="s">
        <v>160</v>
      </c>
      <c r="AJ6" s="10" t="s">
        <v>161</v>
      </c>
      <c r="AK6" s="34">
        <f>AH6</f>
        <v>99920</v>
      </c>
      <c r="AL6" s="34">
        <f>AK6+G6</f>
        <v>99936</v>
      </c>
    </row>
    <row r="7" spans="1:39">
      <c r="A7" s="10">
        <v>3</v>
      </c>
      <c r="B7" s="97" t="s">
        <v>96</v>
      </c>
      <c r="C7" s="10">
        <v>0</v>
      </c>
      <c r="D7" s="97" t="s">
        <v>96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0</v>
      </c>
      <c r="Y7" s="34">
        <f t="shared" ref="Y7:Y14" si="17">IF($D$3=1,ROUND(((U7*W7)/2),2),0)</f>
        <v>0</v>
      </c>
      <c r="Z7" s="34">
        <f t="shared" ref="Z7:Z14" si="18">IF($D$3=2,ROUND(((U7*W7)),2),0)</f>
        <v>153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t="s" s="36">
        <v>290</v>
      </c>
      <c r="AH7" s="34">
        <f t="shared" ref="AH7:AH14" si="20">AG7-AF7</f>
        <v>99915</v>
      </c>
      <c r="AI7" s="10" t="s">
        <v>160</v>
      </c>
      <c r="AJ7" s="10" t="s">
        <v>161</v>
      </c>
      <c r="AK7" s="34">
        <f t="shared" ref="AK7:AK14" si="21">AH7</f>
        <v>99915</v>
      </c>
      <c r="AL7" s="34">
        <f t="shared" ref="AL7:AL14" si="22">AK7+G7</f>
        <v>99932</v>
      </c>
    </row>
    <row r="8" spans="1:39">
      <c r="A8" s="10">
        <v>4</v>
      </c>
      <c r="B8" s="97" t="s">
        <v>97</v>
      </c>
      <c r="C8" s="10">
        <v>0</v>
      </c>
      <c r="D8" s="97" t="s">
        <v>97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0</v>
      </c>
      <c r="Y8" s="34">
        <f t="shared" si="17"/>
        <v>0</v>
      </c>
      <c r="Z8" s="34">
        <f t="shared" si="18"/>
        <v>162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t="s" s="36">
        <v>291</v>
      </c>
      <c r="AH8" s="34">
        <f t="shared" si="20"/>
        <v>99910</v>
      </c>
      <c r="AI8" s="10" t="s">
        <v>160</v>
      </c>
      <c r="AJ8" s="10" t="s">
        <v>161</v>
      </c>
      <c r="AK8" s="34">
        <f t="shared" si="21"/>
        <v>99910</v>
      </c>
      <c r="AL8" s="34">
        <f t="shared" si="22"/>
        <v>99928</v>
      </c>
    </row>
    <row r="9" spans="1:39">
      <c r="A9" s="10">
        <v>5</v>
      </c>
      <c r="B9" s="97" t="s">
        <v>98</v>
      </c>
      <c r="C9" s="10">
        <v>0</v>
      </c>
      <c r="D9" s="97" t="s">
        <v>98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0</v>
      </c>
      <c r="Y9" s="34">
        <f t="shared" si="17"/>
        <v>0</v>
      </c>
      <c r="Z9" s="34">
        <f t="shared" si="18"/>
        <v>171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t="s" s="36">
        <v>292</v>
      </c>
      <c r="AH9" s="34">
        <f t="shared" si="20"/>
        <v>99905</v>
      </c>
      <c r="AI9" s="10" t="s">
        <v>160</v>
      </c>
      <c r="AJ9" s="10" t="s">
        <v>161</v>
      </c>
      <c r="AK9" s="34">
        <f t="shared" si="21"/>
        <v>99905</v>
      </c>
      <c r="AL9" s="34">
        <f t="shared" si="22"/>
        <v>99924</v>
      </c>
    </row>
    <row r="10" spans="1:39">
      <c r="A10" s="10">
        <v>6</v>
      </c>
      <c r="B10" s="97" t="s">
        <v>99</v>
      </c>
      <c r="C10" s="10">
        <v>0</v>
      </c>
      <c r="D10" s="97" t="s">
        <v>99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0</v>
      </c>
      <c r="Y10" s="34">
        <f t="shared" si="17"/>
        <v>0</v>
      </c>
      <c r="Z10" s="34">
        <f t="shared" si="18"/>
        <v>180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t="s" s="36">
        <v>293</v>
      </c>
      <c r="AH10" s="34">
        <f t="shared" si="20"/>
        <v>99900</v>
      </c>
      <c r="AI10" s="10" t="s">
        <v>160</v>
      </c>
      <c r="AJ10" s="10" t="s">
        <v>161</v>
      </c>
      <c r="AK10" s="34">
        <f t="shared" si="21"/>
        <v>99900</v>
      </c>
      <c r="AL10" s="34">
        <f t="shared" si="22"/>
        <v>99920</v>
      </c>
    </row>
    <row r="11" spans="1:39">
      <c r="A11" s="10">
        <v>7</v>
      </c>
      <c r="B11" s="97" t="s">
        <v>100</v>
      </c>
      <c r="C11" s="10">
        <v>0</v>
      </c>
      <c r="D11" s="97" t="s">
        <v>100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0</v>
      </c>
      <c r="Y11" s="34">
        <f t="shared" si="17"/>
        <v>0</v>
      </c>
      <c r="Z11" s="34">
        <f t="shared" si="18"/>
        <v>189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t="s" s="36">
        <v>294</v>
      </c>
      <c r="AH11" s="34">
        <f t="shared" si="20"/>
        <v>99895</v>
      </c>
      <c r="AI11" s="10" t="s">
        <v>160</v>
      </c>
      <c r="AJ11" s="10" t="s">
        <v>161</v>
      </c>
      <c r="AK11" s="34">
        <f t="shared" si="21"/>
        <v>99895</v>
      </c>
      <c r="AL11" s="34">
        <f t="shared" si="22"/>
        <v>99916</v>
      </c>
    </row>
    <row r="12" spans="1:39">
      <c r="A12" s="99">
        <v>8</v>
      </c>
      <c r="B12" s="100" t="s">
        <v>101</v>
      </c>
      <c r="C12" s="99">
        <v>0</v>
      </c>
      <c r="D12" s="100" t="s">
        <v>101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0</v>
      </c>
      <c r="Y12" s="102">
        <f t="shared" si="17"/>
        <v>0</v>
      </c>
      <c r="Z12" s="102">
        <f t="shared" si="18"/>
        <v>198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t="s" s="36">
        <v>295</v>
      </c>
      <c r="AH12" s="102">
        <f t="shared" si="20"/>
        <v>99890</v>
      </c>
      <c r="AI12" s="10" t="s">
        <v>160</v>
      </c>
      <c r="AJ12" s="10" t="s">
        <v>161</v>
      </c>
      <c r="AK12" s="102">
        <f t="shared" si="21"/>
        <v>99890</v>
      </c>
      <c r="AL12" s="102">
        <f t="shared" si="22"/>
        <v>99912</v>
      </c>
    </row>
    <row r="13" spans="1:39">
      <c r="A13" s="10">
        <v>9</v>
      </c>
      <c r="B13" s="97" t="s">
        <v>102</v>
      </c>
      <c r="C13" s="10">
        <v>0</v>
      </c>
      <c r="D13" s="97" t="s">
        <v>102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0</v>
      </c>
      <c r="Y13" s="34">
        <f t="shared" si="17"/>
        <v>0</v>
      </c>
      <c r="Z13" s="34">
        <f t="shared" si="18"/>
        <v>207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t="s" s="36">
        <v>296</v>
      </c>
      <c r="AH13" s="34">
        <f t="shared" si="20"/>
        <v>99885</v>
      </c>
      <c r="AI13" s="10" t="s">
        <v>160</v>
      </c>
      <c r="AJ13" s="10" t="s">
        <v>161</v>
      </c>
      <c r="AK13" s="34">
        <f t="shared" si="21"/>
        <v>99885</v>
      </c>
      <c r="AL13" s="34">
        <f t="shared" si="22"/>
        <v>99908</v>
      </c>
    </row>
    <row r="14" spans="1:39">
      <c r="A14" s="10">
        <v>10</v>
      </c>
      <c r="B14" s="97" t="s">
        <v>103</v>
      </c>
      <c r="C14" s="10">
        <v>0</v>
      </c>
      <c r="D14" s="97" t="s">
        <v>103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0</v>
      </c>
      <c r="Y14" s="34">
        <f t="shared" si="17"/>
        <v>0</v>
      </c>
      <c r="Z14" s="34">
        <f t="shared" si="18"/>
        <v>216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t="s" s="36">
        <v>297</v>
      </c>
      <c r="AH14" s="34">
        <f t="shared" si="20"/>
        <v>99880</v>
      </c>
      <c r="AI14" s="10" t="s">
        <v>160</v>
      </c>
      <c r="AJ14" s="10" t="s">
        <v>161</v>
      </c>
      <c r="AK14" s="34">
        <f t="shared" si="21"/>
        <v>99880</v>
      </c>
      <c r="AL14" s="34">
        <f t="shared" si="22"/>
        <v>99904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topLeftCell="AF1" workbookViewId="0">
      <selection activeCell="AL5" sqref="AL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8" width="36.0"/>
    <col min="40" max="40" customWidth="true" style="29" width="15.42578125"/>
    <col min="41" max="41" customWidth="true" style="29" width="14.140625"/>
    <col min="42" max="42" customWidth="true" style="29" width="15.0"/>
    <col min="43" max="43" customWidth="true" style="29" width="16.5703125"/>
    <col min="44" max="16384" style="29" width="9.140625"/>
  </cols>
  <sheetData>
    <row r="1" spans="1:43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96" t="s">
        <v>0</v>
      </c>
      <c r="B3" s="196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20" t="s">
        <v>105</v>
      </c>
      <c r="AN4" s="20" t="s">
        <v>104</v>
      </c>
      <c r="AO4" s="98" t="s">
        <v>106</v>
      </c>
      <c r="AP4" s="98" t="s">
        <v>107</v>
      </c>
      <c r="AQ4" s="98" t="s">
        <v>108</v>
      </c>
    </row>
    <row r="5" spans="1:43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t="s" s="36">
        <v>298</v>
      </c>
      <c r="AH5" s="33">
        <f>AG5-AF5</f>
        <v>105906</v>
      </c>
      <c r="AI5" s="10" t="s">
        <v>160</v>
      </c>
      <c r="AJ5" s="10" t="s">
        <v>161</v>
      </c>
      <c r="AK5" s="33">
        <f>AH5</f>
        <v>105906</v>
      </c>
      <c r="AL5" s="33">
        <f>AK5+G5</f>
        <v>105921</v>
      </c>
      <c r="AM5" s="28" t="s">
        <v>66</v>
      </c>
      <c r="AN5" s="67" t="s">
        <v>162</v>
      </c>
      <c r="AO5" s="29" t="s">
        <v>271</v>
      </c>
      <c r="AP5" s="34">
        <f>AO5+AF5</f>
        <v>99845</v>
      </c>
      <c r="AQ5" s="28">
        <f>AO5+AF5</f>
        <v>99845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D9" sqref="AD9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customWidth="true" style="29" width="34.5703125"/>
    <col min="8" max="8" customWidth="true" style="29" width="21.28515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33"/>
      <c r="AD1" s="133"/>
      <c r="AE1" s="133"/>
      <c r="AF1" s="133"/>
      <c r="AG1" s="27"/>
    </row>
    <row r="2" spans="1:38" ht="18">
      <c r="A2" s="29" t="s">
        <v>45</v>
      </c>
      <c r="B2" s="29" t="s">
        <v>44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27"/>
    </row>
    <row r="3" spans="1:38" ht="19.899999999999999" customHeight="1">
      <c r="A3" s="196" t="s">
        <v>0</v>
      </c>
      <c r="B3" s="196"/>
      <c r="C3" s="132"/>
      <c r="D3" s="3">
        <v>4</v>
      </c>
      <c r="E3" s="4" t="s">
        <v>156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7" t="s">
        <v>157</v>
      </c>
      <c r="AL4" s="58"/>
    </row>
    <row r="5" spans="1:38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IF(OR($D$3=1,$D$3=4),ROUND(((U5*W5)/2),2),0)</f>
        <v>45</v>
      </c>
      <c r="Y5" s="9">
        <f>IF($D$3=1,ROUND(((U5*W5)/2),2),0)</f>
        <v>0</v>
      </c>
      <c r="Z5" s="9">
        <f>IF($D$3=2,ROUND(((U5*W5)),2),0)</f>
        <v>0</v>
      </c>
      <c r="AA5" s="9">
        <f>X5+Y5+Z5+AK5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174</v>
      </c>
      <c r="AH5" s="9">
        <f>AG5-AF5</f>
        <v>99861</v>
      </c>
      <c r="AI5" s="10" t="s">
        <v>160</v>
      </c>
      <c r="AJ5" s="10" t="s">
        <v>161</v>
      </c>
      <c r="AK5" s="7">
        <f>IF($D$3=4,ROUND(((U5*W5)/2),2),0)</f>
        <v>45</v>
      </c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96" t="s">
        <v>0</v>
      </c>
      <c r="B3" s="196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174</v>
      </c>
      <c r="AH5" s="9">
        <f>AG5-AF5</f>
        <v>99861</v>
      </c>
      <c r="AI5" s="10" t="s">
        <v>160</v>
      </c>
      <c r="AJ5" s="10" t="s">
        <v>161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244</v>
      </c>
      <c r="AH5" s="9">
        <f>AG5-AF5</f>
        <v>105961</v>
      </c>
      <c r="AI5" s="10" t="s">
        <v>160</v>
      </c>
      <c r="AJ5" s="10" t="s">
        <v>161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280</v>
      </c>
      <c r="AH5" s="9">
        <f>AG5-AF5</f>
        <v>105951</v>
      </c>
      <c r="AI5" s="10" t="s">
        <v>160</v>
      </c>
      <c r="AJ5" s="10" t="s">
        <v>161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277</v>
      </c>
      <c r="C5" s="10">
        <v>0</v>
      </c>
      <c r="D5" s="60" t="s">
        <v>277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245</v>
      </c>
      <c r="AH5" s="9">
        <f>AG5-AF5</f>
        <v>98240</v>
      </c>
      <c r="AI5" s="63" t="s">
        <v>162</v>
      </c>
      <c r="AJ5" s="10" t="s">
        <v>161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67</v>
      </c>
      <c r="C5" s="10">
        <v>0</v>
      </c>
      <c r="D5" s="60" t="s">
        <v>67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-10</v>
      </c>
      <c r="AI5" s="63" t="s">
        <v>75</v>
      </c>
      <c r="AJ5" s="10" t="s">
        <v>161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K1" workbookViewId="0">
      <selection activeCell="V5" sqref="V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96" t="s">
        <v>0</v>
      </c>
      <c r="B3" s="196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68</v>
      </c>
      <c r="AL4" s="20" t="s">
        <v>69</v>
      </c>
    </row>
    <row r="5" spans="1:38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784140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188</v>
      </c>
      <c r="AH5" s="9">
        <f>AG5-AF5</f>
        <v>95771</v>
      </c>
      <c r="AI5" s="10" t="s">
        <v>160</v>
      </c>
      <c r="AJ5" s="10" t="s">
        <v>161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5.42578125"/>
    <col min="38" max="16384" style="29" width="9.140625"/>
  </cols>
  <sheetData>
    <row r="1" spans="1:37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96" t="s">
        <v>0</v>
      </c>
      <c r="B3" s="196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228</v>
      </c>
      <c r="AH5" s="9">
        <f>AG5-AF5</f>
        <v>45571</v>
      </c>
      <c r="AI5" s="10" t="s">
        <v>160</v>
      </c>
      <c r="AJ5" s="10" t="s">
        <v>161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6" sqref="AI6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96" t="s">
        <v>0</v>
      </c>
      <c r="B3" s="196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70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258</v>
      </c>
      <c r="AH5" s="9">
        <f>AG5-AF5</f>
        <v>93950</v>
      </c>
      <c r="AI5" s="10" t="s">
        <v>160</v>
      </c>
      <c r="AJ5" s="10" t="s">
        <v>161</v>
      </c>
      <c r="AK5" s="66" t="s">
        <v>72</v>
      </c>
      <c r="AL5" s="59"/>
    </row>
    <row r="6" spans="1:38" ht="15">
      <c r="A6" s="10">
        <v>2</v>
      </c>
      <c r="B6" s="42" t="s">
        <v>132</v>
      </c>
      <c r="C6" s="10">
        <v>0</v>
      </c>
      <c r="D6" s="42" t="s">
        <v>132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256</v>
      </c>
      <c r="AH6" s="9">
        <f>AG6-AF6</f>
        <v>105936</v>
      </c>
      <c r="AI6" s="10" t="s">
        <v>160</v>
      </c>
      <c r="AJ6" s="10" t="s">
        <v>161</v>
      </c>
      <c r="AK6" s="66" t="s">
        <v>71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96" t="s">
        <v>0</v>
      </c>
      <c r="B3" s="196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253</v>
      </c>
      <c r="C5" s="10">
        <v>0</v>
      </c>
      <c r="D5" s="42" t="s">
        <v>253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252</v>
      </c>
      <c r="AL5" s="72" t="s">
        <v>178</v>
      </c>
    </row>
    <row r="6" spans="1:38" ht="15">
      <c r="A6" s="10">
        <v>2</v>
      </c>
      <c r="B6" s="42" t="s">
        <v>251</v>
      </c>
      <c r="C6" s="10">
        <v>0</v>
      </c>
      <c r="D6" s="42" t="s">
        <v>251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252</v>
      </c>
      <c r="AL6" s="66" t="s">
        <v>178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6"/>
  <sheetViews>
    <sheetView topLeftCell="AH1" workbookViewId="0">
      <selection activeCell="AL5" sqref="AL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96" t="s">
        <v>0</v>
      </c>
      <c r="B3" s="196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251</v>
      </c>
      <c r="C5" s="10">
        <v>0</v>
      </c>
      <c r="D5" s="42" t="s">
        <v>251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252</v>
      </c>
      <c r="AL5" s="72" t="s">
        <v>275</v>
      </c>
    </row>
    <row r="6" spans="1:38" ht="15">
      <c r="A6" s="10">
        <v>2</v>
      </c>
      <c r="B6" s="42" t="s">
        <v>253</v>
      </c>
      <c r="C6" s="10">
        <v>0</v>
      </c>
      <c r="D6" s="42" t="s">
        <v>253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252</v>
      </c>
      <c r="AL6" s="66" t="s">
        <v>275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96" t="s">
        <v>0</v>
      </c>
      <c r="B3" s="196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-7.5</v>
      </c>
      <c r="AI5" s="10" t="s">
        <v>160</v>
      </c>
      <c r="AJ5" s="10" t="s">
        <v>161</v>
      </c>
      <c r="AK5" s="72" t="s">
        <v>175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96" t="s">
        <v>0</v>
      </c>
      <c r="B3" s="196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160</v>
      </c>
      <c r="AJ5" s="10" t="s">
        <v>161</v>
      </c>
      <c r="AK5" s="72" t="s">
        <v>175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1.710937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96" t="s">
        <v>0</v>
      </c>
      <c r="B3" s="196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160</v>
      </c>
      <c r="AJ5" s="10" t="s">
        <v>161</v>
      </c>
      <c r="AK5" s="72" t="s">
        <v>175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96" t="s">
        <v>0</v>
      </c>
      <c r="B3" s="196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260</v>
      </c>
      <c r="AH5" s="34">
        <f>AG5-AF5</f>
        <v>99160</v>
      </c>
      <c r="AI5" s="10" t="s">
        <v>192</v>
      </c>
      <c r="AJ5" s="10" t="s">
        <v>161</v>
      </c>
      <c r="AK5" s="34">
        <f>AH5</f>
        <v>99160</v>
      </c>
      <c r="AL5" s="34">
        <f>AK5+G5</f>
        <v>99175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96" t="s">
        <v>0</v>
      </c>
      <c r="B3" s="196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t="s" s="36">
        <v>287</v>
      </c>
      <c r="AH5" s="34">
        <f>AG5-AF5</f>
        <v>99160</v>
      </c>
      <c r="AI5" s="10" t="s">
        <v>192</v>
      </c>
      <c r="AJ5" s="10" t="s">
        <v>161</v>
      </c>
      <c r="AK5" s="34">
        <f>AH5</f>
        <v>99160</v>
      </c>
      <c r="AL5" s="34">
        <f>AK5+G5</f>
        <v>99175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B7" sqref="B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97" t="s">
        <v>118</v>
      </c>
      <c r="B1" s="197"/>
      <c r="C1" s="197"/>
      <c r="D1" s="197"/>
    </row>
    <row r="2" spans="1:5" ht="18">
      <c r="D2" s="112"/>
    </row>
    <row r="3" spans="1:5" ht="19.899999999999999" customHeight="1">
      <c r="A3" s="196"/>
      <c r="B3" s="196"/>
      <c r="C3" s="111"/>
      <c r="D3" s="111"/>
    </row>
    <row r="4" spans="1:5" s="31" customFormat="1">
      <c r="A4" s="11" t="s">
        <v>5</v>
      </c>
      <c r="B4" s="11" t="s">
        <v>109</v>
      </c>
      <c r="C4" s="11" t="s">
        <v>114</v>
      </c>
      <c r="D4" s="11" t="s">
        <v>115</v>
      </c>
      <c r="E4" s="58"/>
    </row>
    <row r="5" spans="1:5" ht="15">
      <c r="A5" s="10">
        <v>1</v>
      </c>
      <c r="B5" s="29" t="s">
        <v>279</v>
      </c>
      <c r="C5" s="42" t="s">
        <v>117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97" t="s">
        <v>119</v>
      </c>
      <c r="B1" s="197"/>
      <c r="C1" s="197"/>
      <c r="D1" s="197"/>
    </row>
    <row r="2" spans="1:5" ht="18">
      <c r="D2" s="112"/>
    </row>
    <row r="3" spans="1:5" ht="19.899999999999999" customHeight="1">
      <c r="A3" s="196"/>
      <c r="B3" s="196"/>
      <c r="C3" s="111"/>
      <c r="D3" s="111"/>
    </row>
    <row r="4" spans="1:5" s="31" customFormat="1">
      <c r="A4" s="11" t="s">
        <v>5</v>
      </c>
      <c r="B4" s="11" t="s">
        <v>109</v>
      </c>
      <c r="C4" s="11" t="s">
        <v>114</v>
      </c>
      <c r="D4" s="11" t="s">
        <v>115</v>
      </c>
      <c r="E4" s="58"/>
    </row>
    <row r="5" spans="1:5" ht="15">
      <c r="A5" s="10">
        <v>1</v>
      </c>
      <c r="B5" t="s" s="29">
        <v>286</v>
      </c>
      <c r="C5" s="42" t="s">
        <v>116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D18" sqref="D1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65"/>
    </row>
    <row r="3" spans="1:16" ht="19.899999999999999" customHeight="1">
      <c r="A3" s="196"/>
      <c r="B3" s="196"/>
      <c r="C3" s="164"/>
      <c r="D3" s="164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124</v>
      </c>
      <c r="C5" s="42" t="s">
        <v>57</v>
      </c>
      <c r="D5" s="10" t="s">
        <v>113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194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3"/>
  <sheetViews>
    <sheetView topLeftCell="D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12"/>
    </row>
    <row r="3" spans="1:16" ht="19.899999999999999" customHeight="1">
      <c r="A3" s="196"/>
      <c r="B3" s="196"/>
      <c r="C3" s="111"/>
      <c r="D3" s="111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124</v>
      </c>
      <c r="C5" s="42" t="s">
        <v>57</v>
      </c>
      <c r="D5" s="10" t="s">
        <v>113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189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4.8554687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68"/>
    </row>
    <row r="3" spans="1:16" ht="19.899999999999999" customHeight="1">
      <c r="A3" s="196"/>
      <c r="B3" s="196"/>
      <c r="C3" s="167"/>
      <c r="D3" s="167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124</v>
      </c>
      <c r="C5" s="114" t="s">
        <v>127</v>
      </c>
      <c r="D5" s="10" t="s">
        <v>113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95" t="s">
        <v>243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P12"/>
  <sheetViews>
    <sheetView topLeftCell="C1" workbookViewId="0">
      <selection activeCell="B23" sqref="B2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12"/>
    </row>
    <row r="3" spans="1:16" ht="19.899999999999999" customHeight="1">
      <c r="A3" s="196"/>
      <c r="B3" s="196"/>
      <c r="C3" s="111"/>
      <c r="D3" s="111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124</v>
      </c>
      <c r="C5" s="114" t="s">
        <v>127</v>
      </c>
      <c r="D5" s="10" t="s">
        <v>113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128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E12" sqref="E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65"/>
    </row>
    <row r="3" spans="1:16" ht="19.899999999999999" customHeight="1">
      <c r="A3" s="196"/>
      <c r="B3" s="196"/>
      <c r="C3" s="164"/>
      <c r="D3" s="164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133</v>
      </c>
      <c r="C5" s="114" t="s">
        <v>127</v>
      </c>
      <c r="D5" s="10" t="s">
        <v>135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66" t="s">
        <v>196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P13"/>
  <sheetViews>
    <sheetView topLeftCell="C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19"/>
    </row>
    <row r="3" spans="1:16" ht="19.899999999999999" customHeight="1">
      <c r="A3" s="196"/>
      <c r="B3" s="196"/>
      <c r="C3" s="118"/>
      <c r="D3" s="118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133</v>
      </c>
      <c r="C5" s="114" t="s">
        <v>127</v>
      </c>
      <c r="D5" s="10" t="s">
        <v>135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191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65"/>
    </row>
    <row r="3" spans="1:16" ht="19.899999999999999" customHeight="1">
      <c r="A3" s="196"/>
      <c r="B3" s="196"/>
      <c r="C3" s="164"/>
      <c r="D3" s="164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126</v>
      </c>
      <c r="C5" s="114" t="s">
        <v>127</v>
      </c>
      <c r="D5" s="10" t="s">
        <v>241</v>
      </c>
      <c r="E5" s="67" t="s">
        <v>122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147</v>
      </c>
      <c r="O5" s="123">
        <v>88363221</v>
      </c>
      <c r="P5" s="10" t="s">
        <v>195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12"/>
    </row>
    <row r="3" spans="1:16" ht="19.899999999999999" customHeight="1">
      <c r="A3" s="196"/>
      <c r="B3" s="196"/>
      <c r="C3" s="111"/>
      <c r="D3" s="111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126</v>
      </c>
      <c r="C5" s="114" t="s">
        <v>127</v>
      </c>
      <c r="D5" s="10" t="s">
        <v>241</v>
      </c>
      <c r="E5" s="67" t="s">
        <v>122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147</v>
      </c>
      <c r="O5" s="123">
        <v>88363221</v>
      </c>
      <c r="P5" s="10" t="s">
        <v>190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16384" style="29" width="9.140625"/>
  </cols>
  <sheetData>
    <row r="1" spans="1:15" ht="27.75" customHeight="1">
      <c r="A1" s="197" t="s">
        <v>123</v>
      </c>
      <c r="B1" s="197"/>
      <c r="C1" s="197"/>
      <c r="D1" s="197"/>
    </row>
    <row r="2" spans="1:15" ht="18">
      <c r="D2" s="112"/>
    </row>
    <row r="3" spans="1:15" ht="19.899999999999999" customHeight="1">
      <c r="A3" s="196"/>
      <c r="B3" s="196"/>
      <c r="C3" s="111"/>
      <c r="D3" s="111"/>
    </row>
    <row r="4" spans="1:15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</row>
    <row r="5" spans="1:15" ht="15">
      <c r="A5" s="10">
        <v>1</v>
      </c>
      <c r="B5" s="42" t="s">
        <v>120</v>
      </c>
      <c r="C5" s="42" t="s">
        <v>57</v>
      </c>
      <c r="D5" s="10" t="s">
        <v>241</v>
      </c>
      <c r="E5" s="67" t="s">
        <v>122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147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97" t="s">
        <v>134</v>
      </c>
      <c r="B1" s="197"/>
      <c r="C1" s="197"/>
      <c r="D1" s="197"/>
    </row>
    <row r="2" spans="1:16" ht="18">
      <c r="D2" s="168"/>
    </row>
    <row r="3" spans="1:16" ht="19.899999999999999" customHeight="1">
      <c r="A3" s="196"/>
      <c r="B3" s="196"/>
      <c r="C3" s="167"/>
      <c r="D3" s="167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42" t="s">
        <v>133</v>
      </c>
      <c r="C5" s="42" t="s">
        <v>57</v>
      </c>
      <c r="D5" s="10" t="s">
        <v>129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243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P15"/>
  <sheetViews>
    <sheetView topLeftCell="C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97" t="s">
        <v>134</v>
      </c>
      <c r="B1" s="197"/>
      <c r="C1" s="197"/>
      <c r="D1" s="197"/>
    </row>
    <row r="2" spans="1:16" ht="18">
      <c r="D2" s="121"/>
    </row>
    <row r="3" spans="1:16" ht="19.899999999999999" customHeight="1">
      <c r="A3" s="196"/>
      <c r="B3" s="196"/>
      <c r="C3" s="120"/>
      <c r="D3" s="120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42" t="s">
        <v>133</v>
      </c>
      <c r="C5" s="42" t="s">
        <v>57</v>
      </c>
      <c r="D5" s="10" t="s">
        <v>129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128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1.0"/>
    <col min="11" max="16384" style="29" width="9.140625"/>
  </cols>
  <sheetData>
    <row r="1" spans="1:15" ht="27.75" customHeight="1">
      <c r="A1" s="197" t="s">
        <v>131</v>
      </c>
      <c r="B1" s="197"/>
      <c r="C1" s="197"/>
      <c r="D1" s="197"/>
    </row>
    <row r="2" spans="1:15" ht="18">
      <c r="D2" s="117"/>
    </row>
    <row r="3" spans="1:15" ht="19.899999999999999" customHeight="1">
      <c r="A3" s="196"/>
      <c r="B3" s="196"/>
      <c r="C3" s="116"/>
      <c r="D3" s="116"/>
    </row>
    <row r="4" spans="1:15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</row>
    <row r="5" spans="1:15" ht="15">
      <c r="A5" s="10">
        <v>1</v>
      </c>
      <c r="B5" s="42" t="s">
        <v>130</v>
      </c>
      <c r="C5" s="42" t="s">
        <v>57</v>
      </c>
      <c r="D5" s="10" t="s">
        <v>129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D25" sqref="D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154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1</v>
      </c>
      <c r="E3" s="4" t="s">
        <v>156</v>
      </c>
      <c r="F3" s="5"/>
      <c r="G3" s="5"/>
      <c r="H3" s="5"/>
      <c r="I3" s="6"/>
      <c r="J3" s="6">
        <v>2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57</v>
      </c>
      <c r="D5" s="10" t="s">
        <v>113</v>
      </c>
      <c r="E5" s="67" t="s">
        <v>122</v>
      </c>
      <c r="F5" s="29" t="s">
        <v>116</v>
      </c>
      <c r="G5" s="29" t="s">
        <v>272</v>
      </c>
      <c r="H5" s="29" t="s">
        <v>148</v>
      </c>
      <c r="I5" s="10">
        <f>ROUND(C5*H5/F5,3)</f>
        <v>12.5</v>
      </c>
      <c r="J5" s="10">
        <f>I5*(G5/C5)</f>
        <v>17.5</v>
      </c>
      <c r="K5" s="10">
        <f>I5*G5</f>
        <v>437.5</v>
      </c>
      <c r="L5" s="29" t="s">
        <v>32</v>
      </c>
      <c r="M5" s="33">
        <v>88363221</v>
      </c>
      <c r="N5" s="22">
        <v>0.18</v>
      </c>
      <c r="O5" s="34">
        <f>IF($D$3=1,ROUND(((K5*N5)/2),2),0)</f>
        <v>39.380000000000003</v>
      </c>
      <c r="P5" s="34">
        <f>IF($D$3=1,ROUND(((K5*N5)/2),2),0)</f>
        <v>39.380000000000003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78.760000000000005</v>
      </c>
      <c r="T5" s="34">
        <f>ROUND(IF($J$3=1, K5+S5, K5),2)</f>
        <v>437.5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M5"/>
  <sheetViews>
    <sheetView topLeftCell="H1" workbookViewId="0">
      <selection activeCell="T7" sqref="T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153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2</v>
      </c>
      <c r="E3" s="4" t="s">
        <v>156</v>
      </c>
      <c r="F3" s="5"/>
      <c r="G3" s="5"/>
      <c r="H3" s="5"/>
      <c r="I3" s="6"/>
      <c r="J3" s="6">
        <v>1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t="s" s="29">
        <v>151</v>
      </c>
      <c r="D5" s="10" t="s">
        <v>113</v>
      </c>
      <c r="E5" s="67" t="s">
        <v>122</v>
      </c>
      <c r="F5" t="s" s="29">
        <v>116</v>
      </c>
      <c r="G5" t="s" s="29">
        <v>272</v>
      </c>
      <c r="H5" t="s" s="29">
        <v>148</v>
      </c>
      <c r="I5" s="10">
        <f>ROUND(C5*H5/F5,3)</f>
        <v>12.5</v>
      </c>
      <c r="J5" s="10">
        <f>I5*(G5/C5)</f>
        <v>15</v>
      </c>
      <c r="K5" s="10">
        <f>I5*G5</f>
        <v>375</v>
      </c>
      <c r="L5" t="s" s="29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67.5</v>
      </c>
      <c r="R5" s="34">
        <f>IF($D$3=4,ROUND((K5*N5),2),0)</f>
        <v>0</v>
      </c>
      <c r="S5" s="34">
        <f>ROUND(O5+P5+Q5+R5,2)</f>
        <v>67.5</v>
      </c>
      <c r="T5" s="34">
        <f>ROUND(IF($J$3=1, K5+S5, K5),2)</f>
        <v>442.5</v>
      </c>
      <c r="U5" s="59"/>
      <c r="AH5" s="29"/>
      <c r="AI5" s="29"/>
      <c r="AM5" s="29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I10" sqref="I1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4</v>
      </c>
      <c r="E3" s="4" t="s">
        <v>156</v>
      </c>
      <c r="F3" s="5"/>
      <c r="G3" s="5"/>
      <c r="H3" s="5"/>
      <c r="I3" s="6"/>
      <c r="J3" s="6">
        <v>1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151</v>
      </c>
      <c r="D5" s="10" t="s">
        <v>113</v>
      </c>
      <c r="E5" s="67" t="s">
        <v>122</v>
      </c>
      <c r="F5" s="29" t="s">
        <v>116</v>
      </c>
      <c r="G5" s="29" t="s">
        <v>242</v>
      </c>
      <c r="H5" s="29" t="s">
        <v>148</v>
      </c>
      <c r="I5" s="10">
        <f>ROUND(C5*H5/F5,3)</f>
        <v>10</v>
      </c>
      <c r="J5" s="10">
        <f>I5*(G5/C5)</f>
        <v>17.5</v>
      </c>
      <c r="K5" s="10">
        <f>I5*G5</f>
        <v>350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31.5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31.5</v>
      </c>
      <c r="S5" s="34">
        <f>ROUND(O5+P5+Q5+R5,2)</f>
        <v>63</v>
      </c>
      <c r="T5" s="34">
        <f>ROUND(IF($J$3=1, K5+S5, K5),2)</f>
        <v>413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G25" sqref="G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158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4</v>
      </c>
      <c r="E3" s="4" t="s">
        <v>156</v>
      </c>
      <c r="F3" s="5"/>
      <c r="G3" s="5"/>
      <c r="H3" s="5"/>
      <c r="I3" s="6"/>
      <c r="J3" s="6">
        <v>2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57</v>
      </c>
      <c r="D5" s="10" t="s">
        <v>113</v>
      </c>
      <c r="E5" s="67" t="s">
        <v>122</v>
      </c>
      <c r="F5" s="29" t="s">
        <v>116</v>
      </c>
      <c r="G5" s="29" t="s">
        <v>242</v>
      </c>
      <c r="H5" s="29" t="s">
        <v>148</v>
      </c>
      <c r="I5" s="10">
        <f>ROUND(C5*H5/F5,3)</f>
        <v>12.5</v>
      </c>
      <c r="J5" s="10">
        <f>I5*(G5/C5)</f>
        <v>17.5</v>
      </c>
      <c r="K5" s="10">
        <f>I5*G5</f>
        <v>437.5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39.380000000000003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39.380000000000003</v>
      </c>
      <c r="S5" s="34">
        <f>ROUND(O5+P5+Q5+R5,2)</f>
        <v>78.760000000000005</v>
      </c>
      <c r="T5" s="34">
        <f>ROUND(IF($J$3=1, K5+S5, K5),2)</f>
        <v>437.5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16" sqref="E1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152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2</v>
      </c>
      <c r="E3" s="4" t="s">
        <v>156</v>
      </c>
      <c r="F3" s="5"/>
      <c r="G3" s="5"/>
      <c r="H3" s="5"/>
      <c r="I3" s="6"/>
      <c r="J3" s="6">
        <v>2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57</v>
      </c>
      <c r="D5" s="10" t="s">
        <v>113</v>
      </c>
      <c r="E5" s="67" t="s">
        <v>122</v>
      </c>
      <c r="F5" s="29" t="s">
        <v>116</v>
      </c>
      <c r="G5" s="29" t="s">
        <v>272</v>
      </c>
      <c r="H5" s="29" t="s">
        <v>116</v>
      </c>
      <c r="I5" s="10">
        <f>ROUND(C5*H5/F5,3)</f>
        <v>12.5</v>
      </c>
      <c r="J5" s="10">
        <f>I5*(G5/C5)</f>
        <v>15</v>
      </c>
      <c r="K5" s="10">
        <f>I5*G5</f>
        <v>375</v>
      </c>
      <c r="L5" s="29" t="s">
        <v>147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67.5</v>
      </c>
      <c r="R5" s="34">
        <f>IF($D$3=4,ROUND((K5*N5),2),0)</f>
        <v>0</v>
      </c>
      <c r="S5" s="34">
        <f>ROUND(O5+P5+Q5+R5,2)</f>
        <v>67.5</v>
      </c>
      <c r="T5" s="34">
        <f>ROUND(IF($J$3=1, K5+S5, K5),2)</f>
        <v>375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I5" sqref="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bestFit="true" customWidth="true" style="29" width="60.140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150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1</v>
      </c>
      <c r="E3" s="4" t="s">
        <v>156</v>
      </c>
      <c r="F3" s="5"/>
      <c r="G3" s="5"/>
      <c r="H3" s="5"/>
      <c r="I3" s="6"/>
      <c r="J3" s="6">
        <v>1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t="s" s="29">
        <v>148</v>
      </c>
      <c r="D5" s="10" t="s">
        <v>113</v>
      </c>
      <c r="E5" s="67" t="s">
        <v>122</v>
      </c>
      <c r="F5" t="s" s="29">
        <v>116</v>
      </c>
      <c r="G5" t="s" s="29">
        <v>127</v>
      </c>
      <c r="H5" t="s" s="29">
        <v>148</v>
      </c>
      <c r="I5" s="10">
        <f>ROUND(C5*H5/F5,3)</f>
        <v>10</v>
      </c>
      <c r="J5" s="10">
        <f>I5*(G5/C5)</f>
        <v>15</v>
      </c>
      <c r="K5" s="10">
        <f>I5*G5</f>
        <v>300</v>
      </c>
      <c r="L5" t="s" s="29">
        <v>32</v>
      </c>
      <c r="M5" s="33">
        <v>88363221</v>
      </c>
      <c r="N5" s="22">
        <v>0.18</v>
      </c>
      <c r="O5" s="34">
        <f>IF($D$3=1,ROUND(((K5*N5)/2),2),0)</f>
        <v>27</v>
      </c>
      <c r="P5" s="34">
        <f>IF($D$3=1,ROUND(((K5*N5)/2),2),0)</f>
        <v>27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54</v>
      </c>
      <c r="T5" s="34">
        <f>ROUND(IF($J$3=1, K5+S5, K5),2)</f>
        <v>354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E5" sqref="E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97" t="s">
        <v>110</v>
      </c>
      <c r="B1" s="197"/>
      <c r="C1" s="197"/>
      <c r="D1" s="197"/>
    </row>
    <row r="2" spans="1:17" ht="18">
      <c r="D2" s="175"/>
    </row>
    <row r="3" spans="1:17" ht="19.899999999999999" customHeight="1">
      <c r="A3" s="196"/>
      <c r="B3" s="196"/>
      <c r="C3" s="174"/>
      <c r="D3" s="174"/>
    </row>
    <row r="4" spans="1:17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142</v>
      </c>
      <c r="Q4" s="115" t="s">
        <v>143</v>
      </c>
    </row>
    <row r="5" spans="1:17" ht="15">
      <c r="A5" s="10">
        <v>1</v>
      </c>
      <c r="B5" s="42" t="s">
        <v>212</v>
      </c>
      <c r="C5" s="42" t="s">
        <v>127</v>
      </c>
      <c r="D5" s="10" t="s">
        <v>113</v>
      </c>
      <c r="E5" s="67" t="s">
        <v>122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144</v>
      </c>
      <c r="Q5" s="10" t="s">
        <v>145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14" sqref="C14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97" t="s">
        <v>110</v>
      </c>
      <c r="B1" s="197"/>
      <c r="C1" s="197"/>
      <c r="D1" s="197"/>
    </row>
    <row r="2" spans="1:17" ht="18">
      <c r="D2" s="171"/>
    </row>
    <row r="3" spans="1:17" ht="19.899999999999999" customHeight="1">
      <c r="A3" s="196"/>
      <c r="B3" s="196"/>
      <c r="C3" s="170"/>
      <c r="D3" s="170"/>
    </row>
    <row r="4" spans="1:17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142</v>
      </c>
      <c r="Q4" s="115" t="s">
        <v>143</v>
      </c>
    </row>
    <row r="5" spans="1:17" ht="15">
      <c r="A5" s="10">
        <v>1</v>
      </c>
      <c r="B5" s="42" t="s">
        <v>209</v>
      </c>
      <c r="C5" s="42" t="s">
        <v>127</v>
      </c>
      <c r="D5" s="10" t="s">
        <v>113</v>
      </c>
      <c r="E5" s="67" t="s">
        <v>122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144</v>
      </c>
      <c r="Q5" s="10" t="s">
        <v>145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5" sqref="C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97" t="s">
        <v>110</v>
      </c>
      <c r="B1" s="197"/>
      <c r="C1" s="197"/>
      <c r="D1" s="197"/>
    </row>
    <row r="2" spans="1:17" ht="18">
      <c r="D2" s="109"/>
    </row>
    <row r="3" spans="1:17" ht="19.899999999999999" customHeight="1">
      <c r="A3" s="196"/>
      <c r="B3" s="196"/>
      <c r="C3" s="110"/>
      <c r="D3" s="108"/>
    </row>
    <row r="4" spans="1:17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142</v>
      </c>
      <c r="Q4" s="115" t="s">
        <v>143</v>
      </c>
    </row>
    <row r="5" spans="1:17" ht="15">
      <c r="A5" s="10">
        <v>1</v>
      </c>
      <c r="B5" s="42" t="s">
        <v>111</v>
      </c>
      <c r="C5" s="42" t="s">
        <v>127</v>
      </c>
      <c r="D5" s="10" t="s">
        <v>113</v>
      </c>
      <c r="E5" s="67" t="s">
        <v>122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144</v>
      </c>
      <c r="Q5" s="10" t="s">
        <v>145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D7"/>
  <sheetViews>
    <sheetView workbookViewId="0">
      <selection activeCell="C5" sqref="C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16384" style="29" width="9.140625"/>
  </cols>
  <sheetData>
    <row r="1" spans="1:4" ht="27.75" customHeight="1">
      <c r="A1" s="197" t="s">
        <v>197</v>
      </c>
      <c r="B1" s="197"/>
    </row>
    <row r="3" spans="1:4" ht="19.899999999999999" customHeight="1">
      <c r="A3" s="198" t="s">
        <v>206</v>
      </c>
      <c r="B3" s="198"/>
    </row>
    <row r="4" spans="1:4" s="31" customFormat="1">
      <c r="A4" s="11" t="s">
        <v>198</v>
      </c>
      <c r="B4" s="11" t="s">
        <v>199</v>
      </c>
    </row>
    <row r="5" spans="1:4">
      <c r="A5" t="s" s="29">
        <v>205</v>
      </c>
      <c r="B5" t="s" s="29">
        <v>203</v>
      </c>
    </row>
    <row r="7" spans="1:4">
      <c r="D7" s="36"/>
    </row>
  </sheetData>
  <mergeCells count="2">
    <mergeCell ref="A1:B1"/>
    <mergeCell ref="A3:B3"/>
  </mergeCells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H7"/>
  <sheetViews>
    <sheetView workbookViewId="0">
      <selection activeCell="H5" sqref="H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3" customWidth="true" style="29" width="14.5703125"/>
    <col min="4" max="4" customWidth="true" style="29" width="15.5703125"/>
    <col min="5" max="5" bestFit="true" customWidth="true" style="29" width="10.7109375"/>
    <col min="6" max="6" bestFit="true" customWidth="true" style="29" width="10.5703125"/>
    <col min="7" max="16384" style="29" width="9.140625"/>
  </cols>
  <sheetData>
    <row r="1" spans="1:8" ht="27.75" customHeight="1">
      <c r="A1" s="197" t="s">
        <v>197</v>
      </c>
      <c r="B1" s="197"/>
      <c r="C1" s="197"/>
      <c r="D1" s="197"/>
    </row>
    <row r="2" spans="1:8" ht="18">
      <c r="D2" s="169"/>
    </row>
    <row r="3" spans="1:8" ht="19.899999999999999" customHeight="1">
      <c r="A3" s="198" t="s">
        <v>206</v>
      </c>
      <c r="B3" s="198"/>
      <c r="C3" s="198"/>
      <c r="D3" s="198"/>
      <c r="E3" s="199" t="s">
        <v>208</v>
      </c>
      <c r="F3" s="199"/>
      <c r="G3" s="199" t="s">
        <v>213</v>
      </c>
      <c r="H3" s="199"/>
    </row>
    <row r="4" spans="1:8" s="31" customFormat="1">
      <c r="A4" s="11" t="s">
        <v>200</v>
      </c>
      <c r="B4" s="11" t="s">
        <v>201</v>
      </c>
      <c r="C4" s="11" t="s">
        <v>202</v>
      </c>
      <c r="D4" s="11" t="s">
        <v>204</v>
      </c>
      <c r="E4" s="11" t="s">
        <v>198</v>
      </c>
      <c r="F4" s="11" t="s">
        <v>199</v>
      </c>
      <c r="G4" s="11" t="s">
        <v>198</v>
      </c>
      <c r="H4" s="11" t="s">
        <v>199</v>
      </c>
    </row>
    <row r="5" spans="1:8" ht="15">
      <c r="A5" s="122" t="s">
        <v>205</v>
      </c>
      <c r="B5" s="42" t="s">
        <v>203</v>
      </c>
      <c r="C5" s="42" t="s">
        <v>203</v>
      </c>
      <c r="D5" s="10">
        <v>11</v>
      </c>
      <c r="E5" s="122" t="s">
        <v>207</v>
      </c>
      <c r="F5" s="114" t="s">
        <v>148</v>
      </c>
      <c r="G5" s="122" t="s">
        <v>203</v>
      </c>
      <c r="H5" s="42" t="s">
        <v>203</v>
      </c>
    </row>
    <row r="7" spans="1:8">
      <c r="H7" s="36"/>
    </row>
  </sheetData>
  <mergeCells count="4">
    <mergeCell ref="A1:D1"/>
    <mergeCell ref="A3:D3"/>
    <mergeCell ref="E3:F3"/>
    <mergeCell ref="G3:H3"/>
  </mergeCells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8" sqref="E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152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31"/>
      <c r="AE1" s="131"/>
      <c r="AF1" s="131"/>
      <c r="AG1" s="131"/>
      <c r="AH1" s="27"/>
    </row>
    <row r="2" spans="1:39" ht="18">
      <c r="A2" s="29" t="s">
        <v>45</v>
      </c>
      <c r="B2" s="29" t="s">
        <v>44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7"/>
    </row>
    <row r="3" spans="1:39" ht="19.899999999999999" customHeight="1">
      <c r="A3" s="196" t="s">
        <v>0</v>
      </c>
      <c r="B3" s="196"/>
      <c r="C3" s="130"/>
      <c r="D3" s="3">
        <v>2</v>
      </c>
      <c r="E3" s="4" t="s">
        <v>156</v>
      </c>
      <c r="F3" s="5"/>
      <c r="G3" s="5"/>
      <c r="H3" s="5"/>
      <c r="I3" s="6"/>
      <c r="J3" s="6">
        <v>2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151</v>
      </c>
      <c r="D5" s="10" t="s">
        <v>113</v>
      </c>
      <c r="E5" s="67" t="s">
        <v>122</v>
      </c>
      <c r="F5" s="29" t="s">
        <v>116</v>
      </c>
      <c r="G5" s="29" t="s">
        <v>155</v>
      </c>
      <c r="H5" s="29" t="s">
        <v>148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L8"/>
  <sheetViews>
    <sheetView workbookViewId="0">
      <selection activeCell="E19" sqref="E19"/>
    </sheetView>
  </sheetViews>
  <sheetFormatPr defaultColWidth="9.140625" defaultRowHeight="14.25"/>
  <cols>
    <col min="1" max="1" customWidth="true" style="137" width="5.7109375"/>
    <col min="2" max="2" customWidth="true" style="137" width="28.85546875"/>
    <col min="3" max="3" customWidth="true" style="137" width="4.5703125"/>
    <col min="4" max="4" customWidth="true" style="137" width="28.85546875"/>
    <col min="5" max="5" customWidth="true" style="137" width="10.0"/>
    <col min="6" max="6" customWidth="true" style="137" width="12.5703125"/>
    <col min="7" max="7" customWidth="true" style="137" width="14.7109375"/>
    <col min="8" max="8" customWidth="true" style="137" width="10.140625"/>
    <col min="9" max="9" customWidth="true" style="137" width="13.5703125"/>
    <col min="10" max="11" customWidth="true" style="137" width="8.140625"/>
    <col min="12" max="12" customWidth="true" style="137" width="8.0"/>
    <col min="13" max="13" customWidth="true" style="137" width="13.85546875"/>
    <col min="14" max="14" customWidth="true" style="137" width="9.7109375"/>
    <col min="15" max="15" customWidth="true" style="137" width="12.5703125"/>
    <col min="16" max="16" customWidth="true" style="137" width="14.7109375"/>
    <col min="17" max="17" customWidth="true" style="137" width="9.7109375"/>
    <col min="18" max="18" customWidth="true" style="137" width="9.0"/>
    <col min="19" max="19" customWidth="true" style="137" width="10.85546875"/>
    <col min="20" max="20" customWidth="true" style="137" width="17.85546875"/>
    <col min="21" max="21" customWidth="true" style="137" width="10.5703125"/>
    <col min="22" max="22" customWidth="true" style="137" width="11.5703125"/>
    <col min="23" max="23" customWidth="true" style="137" width="9.28515625"/>
    <col min="24" max="25" customWidth="true" style="137" width="10.7109375"/>
    <col min="26" max="26" customWidth="true" style="137" width="11.28515625"/>
    <col min="27" max="27" customWidth="true" style="137" width="12.0"/>
    <col min="28" max="28" customWidth="true" style="137" width="12.28515625"/>
    <col min="29" max="29" customWidth="true" style="137" width="14.7109375"/>
    <col min="30" max="30" customWidth="true" style="163" width="12.28515625"/>
    <col min="31" max="31" bestFit="true" customWidth="true" style="163" width="13.5703125"/>
    <col min="32" max="32" customWidth="true" style="163" width="13.5703125"/>
    <col min="33" max="33" bestFit="true" customWidth="true" style="136" width="15.7109375"/>
    <col min="34" max="34" customWidth="true" style="137" width="13.5703125"/>
    <col min="35" max="35" customWidth="true" style="137" width="12.7109375"/>
    <col min="36" max="16384" style="137" width="9.140625"/>
  </cols>
  <sheetData>
    <row r="1" spans="1:38" ht="27.75" customHeight="1">
      <c r="A1" s="200" t="s">
        <v>39</v>
      </c>
      <c r="B1" s="200"/>
      <c r="C1" s="200"/>
      <c r="D1" s="200"/>
      <c r="E1" s="200"/>
      <c r="F1" s="200"/>
      <c r="G1" s="200"/>
      <c r="H1" s="200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134"/>
      <c r="AB1" s="134"/>
      <c r="AC1" s="134"/>
      <c r="AD1" s="135"/>
      <c r="AE1" s="135"/>
      <c r="AF1" s="135"/>
    </row>
    <row r="2" spans="1:38" ht="18">
      <c r="A2" s="134" t="s">
        <v>181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5"/>
      <c r="AE2" s="135"/>
      <c r="AF2" s="135"/>
    </row>
    <row r="3" spans="1:38" ht="19.899999999999999" customHeight="1" thickBot="1">
      <c r="A3" s="201" t="s">
        <v>0</v>
      </c>
      <c r="B3" s="201"/>
      <c r="C3" s="138"/>
      <c r="D3" s="139">
        <v>2</v>
      </c>
      <c r="E3" s="140" t="s">
        <v>182</v>
      </c>
      <c r="F3" s="141"/>
      <c r="G3" s="141"/>
      <c r="H3" s="141"/>
      <c r="I3" s="142"/>
      <c r="J3" s="143" t="s">
        <v>2</v>
      </c>
      <c r="K3" s="143" t="s">
        <v>3</v>
      </c>
      <c r="L3" s="143"/>
      <c r="M3" s="143" t="s">
        <v>4</v>
      </c>
      <c r="N3" s="143">
        <v>1</v>
      </c>
      <c r="O3" s="143"/>
      <c r="P3" s="143"/>
      <c r="Q3" s="143"/>
      <c r="R3" s="143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4"/>
      <c r="AE3" s="144"/>
      <c r="AF3" s="144"/>
    </row>
    <row r="4" spans="1:38" s="154" customFormat="1" ht="42.75">
      <c r="A4" s="145" t="s">
        <v>5</v>
      </c>
      <c r="B4" s="145" t="s">
        <v>6</v>
      </c>
      <c r="C4" s="145" t="s">
        <v>7</v>
      </c>
      <c r="D4" s="146" t="s">
        <v>8</v>
      </c>
      <c r="E4" s="145" t="s">
        <v>9</v>
      </c>
      <c r="F4" s="145" t="s">
        <v>10</v>
      </c>
      <c r="G4" s="147" t="s">
        <v>11</v>
      </c>
      <c r="H4" s="145" t="s">
        <v>12</v>
      </c>
      <c r="I4" s="145" t="s">
        <v>13</v>
      </c>
      <c r="J4" s="148" t="s">
        <v>14</v>
      </c>
      <c r="K4" s="148" t="s">
        <v>15</v>
      </c>
      <c r="L4" s="148" t="s">
        <v>16</v>
      </c>
      <c r="M4" s="149" t="s">
        <v>17</v>
      </c>
      <c r="N4" s="149" t="s">
        <v>18</v>
      </c>
      <c r="O4" s="149" t="s">
        <v>19</v>
      </c>
      <c r="P4" s="149" t="s">
        <v>20</v>
      </c>
      <c r="Q4" s="150" t="s">
        <v>21</v>
      </c>
      <c r="R4" s="149" t="s">
        <v>22</v>
      </c>
      <c r="S4" s="148" t="s">
        <v>23</v>
      </c>
      <c r="T4" s="148" t="s">
        <v>40</v>
      </c>
      <c r="U4" s="145" t="s">
        <v>24</v>
      </c>
      <c r="V4" s="145" t="s">
        <v>25</v>
      </c>
      <c r="W4" s="151" t="s">
        <v>26</v>
      </c>
      <c r="X4" s="151" t="s">
        <v>27</v>
      </c>
      <c r="Y4" s="151" t="s">
        <v>28</v>
      </c>
      <c r="Z4" s="151" t="s">
        <v>29</v>
      </c>
      <c r="AA4" s="151" t="s">
        <v>30</v>
      </c>
      <c r="AB4" s="152" t="s">
        <v>31</v>
      </c>
      <c r="AC4" s="152" t="s">
        <v>41</v>
      </c>
      <c r="AD4" s="153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55">
        <v>1</v>
      </c>
      <c r="B5" s="32" t="s">
        <v>82</v>
      </c>
      <c r="C5" s="155">
        <v>0</v>
      </c>
      <c r="D5" s="32" t="s">
        <v>82</v>
      </c>
      <c r="E5" s="155" t="s">
        <v>32</v>
      </c>
      <c r="F5" s="155" t="s">
        <v>32</v>
      </c>
      <c r="G5" s="155">
        <v>10</v>
      </c>
      <c r="H5" s="155">
        <v>1234</v>
      </c>
      <c r="I5" s="155">
        <f t="shared" ref="I5:I6" si="0">G5*H5</f>
        <v>12340</v>
      </c>
      <c r="J5" s="155">
        <v>1</v>
      </c>
      <c r="K5" s="155">
        <v>2</v>
      </c>
      <c r="L5" s="155">
        <v>4</v>
      </c>
      <c r="M5" s="155">
        <f t="shared" ref="M5:M6" si="1">I5</f>
        <v>12340</v>
      </c>
      <c r="N5" s="155">
        <f t="shared" ref="N5:N6" si="2">ROUND((M5*J5)/100,2)</f>
        <v>123.4</v>
      </c>
      <c r="O5" s="155">
        <f t="shared" ref="O5:O6" si="3">I5-N5</f>
        <v>12216.6</v>
      </c>
      <c r="P5" s="155">
        <f t="shared" ref="P5:P6" si="4">ROUND((O5*K5)/100,2)</f>
        <v>244.33</v>
      </c>
      <c r="Q5" s="155">
        <f t="shared" ref="Q5:Q6" si="5">ROUND(O5-P5,2)</f>
        <v>11972.27</v>
      </c>
      <c r="R5" s="155">
        <f t="shared" ref="R5:R6" si="6">ROUND((Q5*L5)/100,2)</f>
        <v>478.89</v>
      </c>
      <c r="S5" s="155">
        <f t="shared" ref="S5:S6" si="7">N5+P5+R5</f>
        <v>846.62</v>
      </c>
      <c r="T5" s="155">
        <f t="shared" ref="T5:T6" si="8">ROUND(S5/G5,2)</f>
        <v>84.66</v>
      </c>
      <c r="U5" s="155">
        <f t="shared" ref="U5:U6" si="9">(I5-S5)</f>
        <v>11493.38</v>
      </c>
      <c r="V5" s="155" t="s">
        <v>183</v>
      </c>
      <c r="W5" s="156">
        <v>0.18</v>
      </c>
      <c r="X5" s="155">
        <f t="shared" ref="X5:X6" si="10">IF(OR($D$3=1,$D$3=4),ROUND((U5*W5)/2,2),0)</f>
        <v>0</v>
      </c>
      <c r="Y5" s="155">
        <f t="shared" ref="Y5:Y6" si="11">IF($D$3=1,ROUND(((U5*W5)/2),2),0)</f>
        <v>0</v>
      </c>
      <c r="Z5" s="155">
        <f t="shared" ref="Z5:Z6" si="12">IF($D$3=2,ROUND(((U5*W5)),2),0)</f>
        <v>2068.81</v>
      </c>
      <c r="AA5" s="155">
        <f>X5+Y5+Z5</f>
        <v>2068.81</v>
      </c>
      <c r="AB5" s="155">
        <f>U5+AA5</f>
        <v>13562.189999999999</v>
      </c>
      <c r="AC5" s="155">
        <v>120</v>
      </c>
      <c r="AD5" s="155">
        <f t="shared" ref="AD5:AD6" si="13">U5*$N$3</f>
        <v>11493.38</v>
      </c>
      <c r="AE5" s="8">
        <v>1</v>
      </c>
      <c r="AF5" s="9">
        <f t="shared" ref="AF5" si="14">G5/AE5</f>
        <v>10</v>
      </c>
      <c r="AG5" s="36" t="s">
        <v>170</v>
      </c>
      <c r="AH5" s="9">
        <f>AG5-AF5</f>
        <v>99896</v>
      </c>
      <c r="AI5" s="10" t="s">
        <v>160</v>
      </c>
      <c r="AJ5" s="10" t="s">
        <v>161</v>
      </c>
      <c r="AK5" s="29">
        <v>87850</v>
      </c>
      <c r="AL5" s="33">
        <f>AK5+G5</f>
        <v>87860</v>
      </c>
    </row>
    <row r="6" spans="1:38" ht="14.25" customHeight="1">
      <c r="A6" s="155">
        <v>2</v>
      </c>
      <c r="B6" s="32" t="s">
        <v>184</v>
      </c>
      <c r="C6" s="155">
        <v>0</v>
      </c>
      <c r="D6" s="32" t="s">
        <v>184</v>
      </c>
      <c r="E6" s="155" t="s">
        <v>147</v>
      </c>
      <c r="F6" s="155" t="s">
        <v>32</v>
      </c>
      <c r="G6" s="155">
        <v>10</v>
      </c>
      <c r="H6" s="155">
        <v>3214</v>
      </c>
      <c r="I6" s="155">
        <f t="shared" si="0"/>
        <v>32140</v>
      </c>
      <c r="J6" s="155">
        <v>2</v>
      </c>
      <c r="K6" s="155">
        <v>7</v>
      </c>
      <c r="L6" s="155">
        <v>9</v>
      </c>
      <c r="M6" s="155">
        <f t="shared" si="1"/>
        <v>32140</v>
      </c>
      <c r="N6" s="155">
        <f t="shared" si="2"/>
        <v>642.79999999999995</v>
      </c>
      <c r="O6" s="155">
        <f t="shared" si="3"/>
        <v>31497.200000000001</v>
      </c>
      <c r="P6" s="155">
        <f t="shared" si="4"/>
        <v>2204.8000000000002</v>
      </c>
      <c r="Q6" s="155">
        <f t="shared" si="5"/>
        <v>29292.400000000001</v>
      </c>
      <c r="R6" s="155">
        <f t="shared" si="6"/>
        <v>2636.32</v>
      </c>
      <c r="S6" s="155">
        <f t="shared" si="7"/>
        <v>5483.92</v>
      </c>
      <c r="T6" s="155">
        <f t="shared" si="8"/>
        <v>548.39</v>
      </c>
      <c r="U6" s="155">
        <f t="shared" si="9"/>
        <v>26656.080000000002</v>
      </c>
      <c r="V6" s="155" t="s">
        <v>183</v>
      </c>
      <c r="W6" s="156">
        <v>0.18</v>
      </c>
      <c r="X6" s="155">
        <f t="shared" si="10"/>
        <v>0</v>
      </c>
      <c r="Y6" s="155">
        <f t="shared" si="11"/>
        <v>0</v>
      </c>
      <c r="Z6" s="155">
        <f t="shared" si="12"/>
        <v>4798.09</v>
      </c>
      <c r="AA6" s="155">
        <f>X6+Y6+Z6</f>
        <v>4798.09</v>
      </c>
      <c r="AB6" s="155">
        <f>U6+AA6</f>
        <v>31454.170000000002</v>
      </c>
      <c r="AC6" s="155">
        <v>120</v>
      </c>
      <c r="AD6" s="155">
        <f t="shared" si="13"/>
        <v>26656.080000000002</v>
      </c>
      <c r="AE6" s="8">
        <v>3</v>
      </c>
      <c r="AF6" s="9">
        <f>ROUND(G6/AE6,3)</f>
        <v>3.3330000000000002</v>
      </c>
      <c r="AG6" s="36" t="s">
        <v>171</v>
      </c>
      <c r="AH6" s="9">
        <f>AG6-AF6</f>
        <v>99966.667000000001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157"/>
      <c r="B7" s="157"/>
      <c r="C7" s="157"/>
      <c r="D7" s="157"/>
      <c r="E7" s="157"/>
      <c r="F7" s="157"/>
      <c r="G7" s="158"/>
      <c r="H7" s="159"/>
      <c r="I7" s="159"/>
      <c r="J7" s="160"/>
      <c r="K7" s="160"/>
      <c r="L7" s="160"/>
      <c r="M7" s="159"/>
      <c r="N7" s="159"/>
      <c r="O7" s="159"/>
      <c r="P7" s="161"/>
      <c r="Q7" s="161" t="s">
        <v>185</v>
      </c>
      <c r="R7" s="161"/>
      <c r="S7" s="161"/>
      <c r="T7" s="161"/>
      <c r="U7" s="159"/>
      <c r="V7" s="159"/>
      <c r="W7" s="160"/>
      <c r="X7" s="159"/>
      <c r="Y7" s="159"/>
      <c r="Z7" s="161" t="s">
        <v>186</v>
      </c>
      <c r="AA7" s="161"/>
      <c r="AB7" s="162">
        <f>SUM(AB5:AB6)</f>
        <v>45016.36</v>
      </c>
      <c r="AC7" s="161" t="s">
        <v>187</v>
      </c>
      <c r="AD7" s="162">
        <f>SUM(AD5:AD6)</f>
        <v>38149.46</v>
      </c>
      <c r="AE7" s="158"/>
      <c r="AF7" s="158"/>
      <c r="AG7" s="159"/>
      <c r="AH7" s="159"/>
      <c r="AI7" s="159"/>
      <c r="AJ7" s="136"/>
    </row>
    <row r="8" spans="1:38" ht="14.25" customHeight="1">
      <c r="A8" s="157"/>
      <c r="B8" s="157"/>
      <c r="C8" s="157"/>
      <c r="D8" s="157"/>
      <c r="E8" s="157"/>
      <c r="F8" s="157"/>
      <c r="G8" s="158"/>
      <c r="H8" s="159"/>
      <c r="I8" s="159"/>
      <c r="J8" s="160"/>
      <c r="K8" s="160"/>
      <c r="L8" s="160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60"/>
      <c r="X8" s="159"/>
      <c r="Y8" s="159"/>
      <c r="Z8" s="159"/>
      <c r="AA8" s="159"/>
      <c r="AB8" s="158"/>
      <c r="AC8" s="159"/>
      <c r="AD8" s="159"/>
      <c r="AE8" s="159"/>
      <c r="AF8" s="159"/>
    </row>
  </sheetData>
  <mergeCells count="2">
    <mergeCell ref="A1:Z1"/>
    <mergeCell ref="A3:B3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F22" sqref="F2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6" t="s">
        <v>0</v>
      </c>
      <c r="B3" s="196"/>
      <c r="C3" s="17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132</v>
      </c>
      <c r="C5" s="10">
        <v>0</v>
      </c>
      <c r="D5" s="37" t="s">
        <v>132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4050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214</v>
      </c>
      <c r="AH5" s="9">
        <f>AG5-AF5</f>
        <v>54751</v>
      </c>
      <c r="AI5" s="10" t="s">
        <v>160</v>
      </c>
      <c r="AJ5" s="10" t="s">
        <v>161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20" sqref="D2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6" t="s">
        <v>0</v>
      </c>
      <c r="B3" s="196"/>
      <c r="C3" s="172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132</v>
      </c>
      <c r="C5" s="10">
        <v>0</v>
      </c>
      <c r="D5" s="37" t="s">
        <v>132</v>
      </c>
      <c r="E5" s="10" t="s">
        <v>32</v>
      </c>
      <c r="F5" s="10" t="s">
        <v>32</v>
      </c>
      <c r="G5" s="33">
        <v>15</v>
      </c>
      <c r="H5" s="9">
        <v>110</v>
      </c>
      <c r="I5" s="9">
        <f>G5*H5</f>
        <v>1650</v>
      </c>
      <c r="J5" s="34"/>
      <c r="K5" s="34"/>
      <c r="L5" s="34"/>
      <c r="M5" s="9">
        <f>I5</f>
        <v>1650</v>
      </c>
      <c r="N5" s="9">
        <f>ROUND((M5*J5)/100,2)</f>
        <v>0</v>
      </c>
      <c r="O5" s="9">
        <f>I5-N5</f>
        <v>1650</v>
      </c>
      <c r="P5" s="9">
        <f>ROUND((O5*K5)/100,2)</f>
        <v>0</v>
      </c>
      <c r="Q5" s="9">
        <f>ROUND(O5-P5,2)</f>
        <v>1650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1650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>U5+AA5</f>
        <v>1650</v>
      </c>
      <c r="AC5" s="9">
        <v>120</v>
      </c>
      <c r="AD5" s="9">
        <f t="shared" ref="AD5" si="0">U5*$N$3</f>
        <v>1650</v>
      </c>
      <c r="AE5" s="8">
        <v>1</v>
      </c>
      <c r="AF5" s="9">
        <f t="shared" ref="AF5" si="1">G5/AE5</f>
        <v>15</v>
      </c>
      <c r="AG5" s="36" t="s">
        <v>210</v>
      </c>
      <c r="AH5" s="9">
        <f>AG5-AF5</f>
        <v>93801</v>
      </c>
      <c r="AI5" s="10" t="s">
        <v>160</v>
      </c>
      <c r="AJ5" s="10" t="s">
        <v>161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1650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1650</v>
      </c>
      <c r="V6" s="25"/>
      <c r="W6" s="26"/>
      <c r="X6" s="25"/>
      <c r="Y6" s="25"/>
      <c r="Z6" s="25"/>
      <c r="AA6" s="94">
        <f>SUM(AA5:AA5)</f>
        <v>0</v>
      </c>
      <c r="AB6" s="94">
        <f>SUM(AB5:AB5)</f>
        <v>1650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5" sqref="A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6" t="s">
        <v>0</v>
      </c>
      <c r="B3" s="196"/>
      <c r="C3" s="17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132</v>
      </c>
      <c r="C5" s="10">
        <v>0</v>
      </c>
      <c r="D5" s="37" t="s">
        <v>132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2025</v>
      </c>
      <c r="Y5" s="9">
        <f>IF($D$3=1,ROUND(((U5*W5)/2),2),0)</f>
        <v>2025</v>
      </c>
      <c r="Z5" s="9">
        <f>IF($D$3=2,ROUND(((U5*W5)),2),0)</f>
        <v>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211</v>
      </c>
      <c r="AH5" s="9">
        <f>AG5-AF5</f>
        <v>90991</v>
      </c>
      <c r="AI5" s="10" t="s">
        <v>160</v>
      </c>
      <c r="AJ5" s="10" t="s">
        <v>161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F5"/>
  <sheetViews>
    <sheetView workbookViewId="0">
      <selection activeCell="F15" sqref="F1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14.5703125"/>
    <col min="5" max="5" bestFit="true" customWidth="true" style="29" width="19.42578125"/>
    <col min="6" max="6" customWidth="true" style="29" width="16.7109375"/>
    <col min="7" max="16384" style="29" width="9.140625"/>
  </cols>
  <sheetData>
    <row r="1" spans="1:6" ht="27.75" customHeight="1">
      <c r="A1" s="197" t="s">
        <v>215</v>
      </c>
      <c r="B1" s="197"/>
      <c r="C1" s="197"/>
      <c r="D1" s="197"/>
      <c r="E1" s="176"/>
    </row>
    <row r="3" spans="1:6" ht="19.899999999999999" customHeight="1">
      <c r="A3" s="198" t="s">
        <v>216</v>
      </c>
      <c r="B3" s="198"/>
      <c r="C3" s="198"/>
      <c r="D3" s="198"/>
      <c r="E3" s="198"/>
      <c r="F3" s="198"/>
    </row>
    <row r="4" spans="1:6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</row>
    <row r="5" spans="1:6">
      <c r="A5" s="29" t="s">
        <v>223</v>
      </c>
      <c r="B5" s="29" t="s">
        <v>223</v>
      </c>
      <c r="C5" s="29" t="s">
        <v>193</v>
      </c>
      <c r="D5" s="29" t="s">
        <v>127</v>
      </c>
      <c r="E5" s="10">
        <f>C5*D5</f>
        <v>750</v>
      </c>
      <c r="F5" s="33">
        <f>E5-B5</f>
        <v>375</v>
      </c>
    </row>
  </sheetData>
  <mergeCells count="2">
    <mergeCell ref="A1:D1"/>
    <mergeCell ref="A3:F3"/>
  </mergeCells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selection activeCell="C6" sqref="C6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7" bestFit="true" customWidth="true" style="29" width="16.85546875"/>
    <col min="8" max="8" bestFit="true" customWidth="true" style="29" width="26.85546875"/>
    <col min="9" max="16" style="29" width="9.14062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18" ht="27.75" customHeight="1">
      <c r="A1" s="197" t="s">
        <v>230</v>
      </c>
      <c r="B1" s="197"/>
      <c r="C1" s="197"/>
      <c r="D1" s="197"/>
      <c r="E1" s="177"/>
    </row>
    <row r="3" spans="1:18" ht="19.899999999999999" customHeight="1">
      <c r="A3" s="198" t="s">
        <v>216</v>
      </c>
      <c r="B3" s="198"/>
      <c r="C3" s="198"/>
      <c r="D3" s="198"/>
      <c r="E3" s="198"/>
      <c r="F3" s="198"/>
    </row>
    <row r="4" spans="1:18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87" t="s">
        <v>236</v>
      </c>
      <c r="H4" s="187" t="s">
        <v>237</v>
      </c>
      <c r="Q4" s="187" t="s">
        <v>236</v>
      </c>
      <c r="R4" s="187" t="s">
        <v>237</v>
      </c>
    </row>
    <row r="5" spans="1:18">
      <c r="A5" s="29" t="s">
        <v>223</v>
      </c>
      <c r="B5" s="29" t="s">
        <v>223</v>
      </c>
      <c r="C5" s="29" t="s">
        <v>193</v>
      </c>
      <c r="D5" s="29" t="s">
        <v>127</v>
      </c>
      <c r="E5" s="10">
        <f>C5*D5</f>
        <v>750</v>
      </c>
      <c r="F5" s="33"/>
      <c r="G5" s="29">
        <v>25</v>
      </c>
      <c r="H5" s="29">
        <f>B5-G5</f>
        <v>350</v>
      </c>
      <c r="Q5" s="29" t="s">
        <v>238</v>
      </c>
      <c r="R5" s="29">
        <f>B5-Q5</f>
        <v>175</v>
      </c>
    </row>
    <row r="6" spans="1:18">
      <c r="A6" s="10"/>
      <c r="B6" s="10"/>
      <c r="C6" s="10">
        <v>55</v>
      </c>
      <c r="D6" s="10">
        <v>1</v>
      </c>
      <c r="E6" s="10">
        <f>C6*D6</f>
        <v>55</v>
      </c>
      <c r="F6" s="10"/>
    </row>
    <row r="7" spans="1:18">
      <c r="A7" s="10"/>
      <c r="B7" s="10"/>
      <c r="C7" s="10"/>
      <c r="D7" s="178" t="s">
        <v>229</v>
      </c>
      <c r="E7" s="10">
        <f>SUM(E5:E6)</f>
        <v>805</v>
      </c>
      <c r="F7" s="10">
        <f>E7-B5</f>
        <v>430</v>
      </c>
    </row>
  </sheetData>
  <mergeCells count="2">
    <mergeCell ref="A1:D1"/>
    <mergeCell ref="A3:F3"/>
  </mergeCells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J2" sqref="J2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79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216</v>
      </c>
      <c r="B3" s="198"/>
      <c r="C3" s="198"/>
      <c r="D3" s="198"/>
      <c r="E3" s="198"/>
      <c r="F3" s="198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  <c r="Q4" s="187" t="s">
        <v>236</v>
      </c>
      <c r="R4" s="187" t="s">
        <v>237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 t="s">
        <v>238</v>
      </c>
      <c r="R5" s="29">
        <f>O5-Q5</f>
        <v>219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229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3:F3"/>
    <mergeCell ref="A2:B2"/>
  </mergeCells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N5" sqref="N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79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G8" sqref="G8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81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231</v>
      </c>
      <c r="B5" s="29" t="s">
        <v>231</v>
      </c>
      <c r="C5" s="29" t="s">
        <v>193</v>
      </c>
      <c r="D5" s="29" t="s">
        <v>127</v>
      </c>
      <c r="E5" s="10">
        <f>C5*D5</f>
        <v>750</v>
      </c>
      <c r="F5" s="33">
        <f>M5-B5</f>
        <v>396</v>
      </c>
      <c r="G5" s="22">
        <v>0.18</v>
      </c>
      <c r="H5" s="10">
        <f>IF(OR($D$2=1,$D$2=4),ROUND(((E5*G5)/2),2),0)</f>
        <v>67.5</v>
      </c>
      <c r="I5" s="10">
        <f>IF($D$2=1,ROUND(((E5*G5)/2),2),0)</f>
        <v>67.5</v>
      </c>
      <c r="J5" s="10">
        <f>IF($D$2=2,ROUND((E5*G5),2),0)</f>
        <v>0</v>
      </c>
      <c r="K5" s="10">
        <f>IF($D$2=4,ROUND(((E5*G5)/2),2),0)</f>
        <v>0</v>
      </c>
      <c r="L5" s="10">
        <f>H5+I5+J5+K5</f>
        <v>135</v>
      </c>
      <c r="M5" s="10">
        <f>IF($J2=1,E5+L5,E5)</f>
        <v>750</v>
      </c>
      <c r="N5" s="10">
        <f>M5</f>
        <v>750</v>
      </c>
      <c r="O5" s="29">
        <f>IF(N5-INT(N5) &gt;= 0.5, INT(N5)+1, INT(N5))</f>
        <v>750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>
  <dimension ref="A1:AM7"/>
  <sheetViews>
    <sheetView topLeftCell="A4" workbookViewId="0">
      <selection activeCell="E9" sqref="E9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82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216</v>
      </c>
      <c r="B3" s="198"/>
      <c r="C3" s="198"/>
      <c r="D3" s="198"/>
      <c r="E3" s="198"/>
      <c r="F3" s="198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  <c r="Q4" s="187" t="s">
        <v>236</v>
      </c>
      <c r="R4" s="187" t="s">
        <v>237</v>
      </c>
    </row>
    <row r="5" spans="1:39">
      <c r="A5" s="29" t="s">
        <v>231</v>
      </c>
      <c r="B5" s="29">
        <v>354</v>
      </c>
      <c r="C5" s="29" t="s">
        <v>193</v>
      </c>
      <c r="D5" s="29" t="s">
        <v>203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M5</f>
        <v>355</v>
      </c>
      <c r="O5" s="29">
        <f>IF(N5-INT(N5) &gt;= 0.5, INT(N5)+1, INT(N5))</f>
        <v>355</v>
      </c>
      <c r="P5" s="36">
        <f>N5-O5</f>
        <v>0</v>
      </c>
      <c r="Q5" s="29">
        <v>25</v>
      </c>
      <c r="R5" s="29">
        <f>O5-Q5</f>
        <v>330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229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F5" sqref="F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83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235</v>
      </c>
      <c r="B5" s="29" t="s">
        <v>235</v>
      </c>
      <c r="C5" s="29" t="s">
        <v>193</v>
      </c>
      <c r="D5" s="29" t="s">
        <v>246</v>
      </c>
      <c r="E5" s="10">
        <f>C5*D5</f>
        <v>375</v>
      </c>
      <c r="F5" s="34">
        <f>M5-B5</f>
        <v>-67.5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67.5</v>
      </c>
      <c r="K5" s="10">
        <f>IF($D$2=4,ROUND(((E5*G5)/2),2),0)</f>
        <v>0</v>
      </c>
      <c r="L5" s="10">
        <f>H5+I5+J5+K5</f>
        <v>67.5</v>
      </c>
      <c r="M5" s="10">
        <f>IF($J2=1,E5+L5,E5)</f>
        <v>375</v>
      </c>
      <c r="N5" s="10">
        <f>M5</f>
        <v>375</v>
      </c>
      <c r="O5" s="29">
        <f>IF(N5-INT(N5) &gt;= 0.5, INT(N5)+1, INT(N5))</f>
        <v>375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>
  <dimension ref="A1:AM7"/>
  <sheetViews>
    <sheetView topLeftCell="F1" workbookViewId="0">
      <selection activeCell="M5" sqref="M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84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216</v>
      </c>
      <c r="B3" s="198"/>
      <c r="C3" s="198"/>
      <c r="D3" s="198"/>
      <c r="E3" s="198"/>
      <c r="F3" s="198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  <c r="Q4" s="187" t="s">
        <v>236</v>
      </c>
      <c r="R4" s="187" t="s">
        <v>237</v>
      </c>
    </row>
    <row r="5" spans="1:39">
      <c r="A5" s="29" t="s">
        <v>235</v>
      </c>
      <c r="B5" s="29" t="s">
        <v>235</v>
      </c>
      <c r="C5" s="29" t="s">
        <v>193</v>
      </c>
      <c r="D5" s="29" t="s">
        <v>246</v>
      </c>
      <c r="E5" s="10">
        <f>C5*D5</f>
        <v>375</v>
      </c>
      <c r="F5" s="10">
        <f>M5-B5</f>
        <v>-12.5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67.5</v>
      </c>
      <c r="K5" s="29">
        <f>IF($D$2=4,ROUND(((E5*G5)/2),2),0)</f>
        <v>0</v>
      </c>
      <c r="L5" s="29">
        <f>ROUND(H5+I5+J5+K5,0)</f>
        <v>68</v>
      </c>
      <c r="M5" s="29">
        <f>IF($J2=1,E7+L7,E7)</f>
        <v>430</v>
      </c>
      <c r="N5" s="10">
        <f>M5</f>
        <v>430</v>
      </c>
      <c r="O5" s="29">
        <f>IF(N5-INT(N5) &gt;= 0.5, INT(N5)+1, INT(N5))</f>
        <v>430</v>
      </c>
      <c r="P5" s="36">
        <f>N5-O5</f>
        <v>0</v>
      </c>
      <c r="R5" s="29">
        <f>O5-Q5</f>
        <v>430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229</v>
      </c>
      <c r="E7" s="10">
        <f>SUM(E5:E6)</f>
        <v>430</v>
      </c>
      <c r="F7" s="10"/>
      <c r="L7" s="29">
        <f>L5+L6</f>
        <v>78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>
  <dimension ref="A1:AM21"/>
  <sheetViews>
    <sheetView topLeftCell="D1" workbookViewId="0">
      <selection activeCell="E10" sqref="E10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85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>
  <dimension ref="A1:AM7"/>
  <sheetViews>
    <sheetView topLeftCell="G1" workbookViewId="0">
      <selection activeCell="S1" sqref="S1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9" customWidth="true" style="29" width="27.85546875"/>
    <col min="20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89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216</v>
      </c>
      <c r="B3" s="198"/>
      <c r="C3" s="198"/>
      <c r="D3" s="198"/>
      <c r="E3" s="198"/>
      <c r="F3" s="198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  <c r="Q4" s="187" t="s">
        <v>236</v>
      </c>
      <c r="R4" s="187" t="s">
        <v>237</v>
      </c>
      <c r="S4" s="187" t="s">
        <v>239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27</v>
      </c>
      <c r="I5" s="29">
        <f>IF($D$2=1,ROUND(((E5*G5)/2),2),0)</f>
        <v>27</v>
      </c>
      <c r="J5" s="29">
        <f>IF($D$2=2,ROUND((E5*G5),2),0)</f>
        <v>0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  <c r="S5" s="29" t="s">
        <v>240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4.95</v>
      </c>
      <c r="I6" s="29">
        <f>IF($D$2=1,ROUND(((E6*G6)/2),2),0)</f>
        <v>4.95</v>
      </c>
      <c r="J6" s="29">
        <f>IF($D$2=2,ROUND((E6*G6),2),0)</f>
        <v>0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229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E9" sqref="E9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86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216</v>
      </c>
      <c r="B3" s="198"/>
      <c r="C3" s="198"/>
      <c r="D3" s="198"/>
      <c r="E3" s="198"/>
      <c r="F3" s="198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  <c r="Q4" s="187" t="s">
        <v>236</v>
      </c>
      <c r="R4" s="187" t="s">
        <v>237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27</v>
      </c>
      <c r="I5" s="29">
        <f>IF($D$2=1,ROUND(((E5*G5)/2),2),0)</f>
        <v>27</v>
      </c>
      <c r="J5" s="29">
        <f>IF($D$2=2,ROUND((E5*G5),2),0)</f>
        <v>0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4.95</v>
      </c>
      <c r="I6" s="29">
        <f>IF($D$2=1,ROUND(((E6*G6)/2),2),0)</f>
        <v>4.95</v>
      </c>
      <c r="J6" s="29">
        <f>IF($D$2=2,ROUND((E6*G6),2),0)</f>
        <v>0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229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D6" sqref="D6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88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E5" sqref="E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90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231</v>
      </c>
      <c r="B5" s="29" t="s">
        <v>231</v>
      </c>
      <c r="C5" s="29" t="s">
        <v>193</v>
      </c>
      <c r="D5" s="29">
        <v>10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E11" sqref="E11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91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F25" sqref="F2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92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216</v>
      </c>
      <c r="B3" s="198"/>
      <c r="C3" s="198"/>
      <c r="D3" s="198"/>
      <c r="E3" s="198"/>
      <c r="F3" s="198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  <c r="Q4" s="187" t="s">
        <v>236</v>
      </c>
      <c r="R4" s="187" t="s">
        <v>237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229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F9" sqref="F9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93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235</v>
      </c>
      <c r="B5" s="29" t="s">
        <v>235</v>
      </c>
      <c r="C5" s="29" t="s">
        <v>193</v>
      </c>
      <c r="D5" s="29">
        <v>10</v>
      </c>
      <c r="E5" s="10">
        <f>C5*D5</f>
        <v>300</v>
      </c>
      <c r="F5" s="34">
        <f>M5-B5</f>
        <v>-142.5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M8" sqref="M8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93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216</v>
      </c>
      <c r="B3" s="198"/>
      <c r="C3" s="198"/>
      <c r="D3" s="198"/>
      <c r="E3" s="198"/>
      <c r="F3" s="198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  <c r="Q4" s="187" t="s">
        <v>236</v>
      </c>
      <c r="R4" s="187" t="s">
        <v>237</v>
      </c>
    </row>
    <row r="5" spans="1:39">
      <c r="A5" s="29" t="s">
        <v>235</v>
      </c>
      <c r="B5" s="29" t="s">
        <v>235</v>
      </c>
      <c r="C5" s="29" t="s">
        <v>193</v>
      </c>
      <c r="D5" s="29" t="s">
        <v>127</v>
      </c>
      <c r="E5" s="10">
        <f>C5*D5</f>
        <v>750</v>
      </c>
      <c r="F5" s="10">
        <f>M5-B5</f>
        <v>362.5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135</v>
      </c>
      <c r="K5" s="29">
        <f>IF($D$2=4,ROUND(((E5*G5)/2),2),0)</f>
        <v>0</v>
      </c>
      <c r="L5" s="29">
        <f>ROUND(H5+I5+J5+K5,0)</f>
        <v>135</v>
      </c>
      <c r="M5" s="29">
        <f>IF($J2=1,E7+L7,E7)</f>
        <v>805</v>
      </c>
      <c r="N5" s="10">
        <f>M5</f>
        <v>805</v>
      </c>
      <c r="O5" s="29">
        <f>IF(N5-INT(N5) &gt;= 0.5, INT(N5)+1, INT(N5))</f>
        <v>805</v>
      </c>
      <c r="P5" s="36">
        <f>N5-O5</f>
        <v>0</v>
      </c>
      <c r="Q5" s="29">
        <v>25</v>
      </c>
      <c r="R5" s="29">
        <f>O5-Q5</f>
        <v>780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229</v>
      </c>
      <c r="E7" s="10">
        <f>SUM(E5:E6)</f>
        <v>805</v>
      </c>
      <c r="F7" s="10"/>
      <c r="L7" s="29">
        <f>L5+L6</f>
        <v>145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D10" sqref="D10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94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F15" sqref="F1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94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216</v>
      </c>
      <c r="B3" s="198"/>
      <c r="C3" s="198"/>
      <c r="D3" s="198"/>
      <c r="E3" s="198"/>
      <c r="F3" s="198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  <c r="Q4" s="187" t="s">
        <v>236</v>
      </c>
      <c r="R4" s="187" t="s">
        <v>237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229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81</vt:i4>
      </vt:variant>
    </vt:vector>
  </HeadingPairs>
  <TitlesOfParts>
    <vt:vector size="81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UTGSTCustomer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DirectSCOWithSOU3</vt:lpstr>
      <vt:lpstr>DirectSCOWithSO</vt:lpstr>
      <vt:lpstr>DirectSCOWithProjectU3</vt:lpstr>
      <vt:lpstr>DirectSCOWithProject</vt:lpstr>
      <vt:lpstr>DirectSCOSerialWithSOU3</vt:lpstr>
      <vt:lpstr>DirectSCOSerialWithSO</vt:lpstr>
      <vt:lpstr>DirectSCOWithSOandConvU3</vt:lpstr>
      <vt:lpstr>DirectSCOWithSOandConv</vt:lpstr>
      <vt:lpstr>DirectSCOWithConv</vt:lpstr>
      <vt:lpstr>DirectSCOSerialWithPrjU3</vt:lpstr>
      <vt:lpstr>DirectSCOSerialWithPrj</vt:lpstr>
      <vt:lpstr>DirectSCOSerial</vt:lpstr>
      <vt:lpstr>ProcCalculationLocalUnreg</vt:lpstr>
      <vt:lpstr>ProcCalculationInterstateReg</vt:lpstr>
      <vt:lpstr>ProcCalculationUTGSTreg</vt:lpstr>
      <vt:lpstr>ProcCalculationUTGSTUnreg</vt:lpstr>
      <vt:lpstr>ProcCalculationInterstateUnreg</vt:lpstr>
      <vt:lpstr>ProcCalculationLocalReg</vt:lpstr>
      <vt:lpstr>DirectSCOSerialWithQC</vt:lpstr>
      <vt:lpstr>DirectSCOWithQC</vt:lpstr>
      <vt:lpstr>DirectSCO</vt:lpstr>
      <vt:lpstr>GRNSourceSFCode</vt:lpstr>
      <vt:lpstr>SourceSFCode</vt:lpstr>
      <vt:lpstr>SCOCharges</vt:lpstr>
      <vt:lpstr>SOtoSIDomestic</vt:lpstr>
      <vt:lpstr>BRSPSI</vt:lpstr>
      <vt:lpstr>BRSPSIE</vt:lpstr>
      <vt:lpstr>BRSPMI</vt:lpstr>
      <vt:lpstr>PurchaseBillDeviation</vt:lpstr>
      <vt:lpstr>PurchaseBillDeviationandExp</vt:lpstr>
      <vt:lpstr>DevandExpTaxCalculation</vt:lpstr>
      <vt:lpstr>DevTaxCalculation</vt:lpstr>
      <vt:lpstr>DevRCMTaxCalculation</vt:lpstr>
      <vt:lpstr>DevandExpRCMTaxCalculation</vt:lpstr>
      <vt:lpstr>DevInterRCMTaxCalculation</vt:lpstr>
      <vt:lpstr>DevandExpInterRCMTaxCalculation</vt:lpstr>
      <vt:lpstr>DevTaxLocalUnregCalculation</vt:lpstr>
      <vt:lpstr>DevandExpTaxLocRegCalculation</vt:lpstr>
      <vt:lpstr>DevandExpTaxLocUnregCalculation</vt:lpstr>
      <vt:lpstr>DevTaxLocalRegCalculation</vt:lpstr>
      <vt:lpstr>DirectDevRCMTaxCalculation</vt:lpstr>
      <vt:lpstr>DevTaxInterstateRegCalculation</vt:lpstr>
      <vt:lpstr>DevandExpTaxInterstatregCalcula</vt:lpstr>
      <vt:lpstr>DevInterRegRCMTaxCalculation</vt:lpstr>
      <vt:lpstr>DevandExpInterRegRCMTaxCal</vt:lpstr>
      <vt:lpstr>DevTaxInterstateUnRegCal</vt:lpstr>
      <vt:lpstr>DevandExpTaxInterstateUnregCal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Vimal Raj.P</cp:lastModifiedBy>
  <dcterms:modified xsi:type="dcterms:W3CDTF">2026-09-23T04:22:30Z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