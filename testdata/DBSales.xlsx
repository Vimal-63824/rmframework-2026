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71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77" activeTab="79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L6" s="1"/>
  <c r="K5"/>
  <c r="I5"/>
  <c r="H5"/>
  <c r="E5"/>
  <c r="J5" s="1"/>
  <c r="K5" i="94"/>
  <c r="I5"/>
  <c r="H5"/>
  <c r="E5"/>
  <c r="J5" s="1"/>
  <c r="L6" i="93"/>
  <c r="K6"/>
  <c r="J6"/>
  <c r="I6"/>
  <c r="H6"/>
  <c r="E6"/>
  <c r="K5"/>
  <c r="I5"/>
  <c r="H5"/>
  <c r="L5" s="1"/>
  <c r="L7" s="1"/>
  <c r="E5"/>
  <c r="J5" s="1"/>
  <c r="K5" i="92"/>
  <c r="I5"/>
  <c r="H5"/>
  <c r="E5"/>
  <c r="J5" s="1"/>
  <c r="K6" i="90"/>
  <c r="J6"/>
  <c r="I6"/>
  <c r="H6"/>
  <c r="E6"/>
  <c r="K5"/>
  <c r="E5"/>
  <c r="H5" s="1"/>
  <c r="K5" i="89"/>
  <c r="J5"/>
  <c r="E5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5" i="95" l="1"/>
  <c r="L7" s="1"/>
  <c r="N5" s="1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O5" i="95" l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7" s="1"/>
  <c r="N5" s="1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P5" i="95" l="1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O5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7" l="1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<sst xmlns="http://schemas.openxmlformats.org/spreadsheetml/2006/main" count="3178" uniqueCount="273">
  <si>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</si>
  <si>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</si>
  <si>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</si>
  <si>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</si>
  <si>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</si>
  <si>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</si>
  <si>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</si>
  <si>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</si>
  <si>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</si>
  <si>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</si>
  <si>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</si>
  <si>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</si>
  <si>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</si>
  <si>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</si>
  <si>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</si>
  <si>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</si>
  <si>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</si>
  <si>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</si>
  <si>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</si>
  <si>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</si>
  <si>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</si>
  <si>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</si>
  <si>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</si>
  <si>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</si>
  <si>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</si>
  <si>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</si>
  <si>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</si>
  <si>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</si>
  <si>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</si>
  <si>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</si>
  <si>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</si>
  <si>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</si>
  <si>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</si>
  <si>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</si>
  <si>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</si>
  <si>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</si>
  <si>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</si>
  <si>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</si>
  <si>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</si>
  <si>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</si>
  <si>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</si>
  <si>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</si>
  <si>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</si>
  <si>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</si>
  <si>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</si>
  <si>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</si>
  <si>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</si>
  <si>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</si>
  <si>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</si>
  <si>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</si>
  <si>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</si>
  <si>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</si>
  <si>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</si>
  <si>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</si>
  <si>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</si>
  <si>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</si>
  <si>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</si>
  <si>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</si>
  <si>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</si>
  <si>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</si>
  <si>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</si>
  <si>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</si>
  <si>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</si>
  <si>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</si>
  <si>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</si>
  <si>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</si>
  <si>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</si>
  <si>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</si>
  <si>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</si>
  <si>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</si>
  <si>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</si>
  <si>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</si>
  <si>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</si>
  <si>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</si>
  <si>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</si>
  <si>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</si>
  <si>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</si>
  <si>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</si>
  <si>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</si>
  <si>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</si>
  <si>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</si>
  <si>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</si>
  <si>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</si>
  <si>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</si>
  <si>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</si>
  <si>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</si>
  <si>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</si>
  <si>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</si>
  <si>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</si>
  <si>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</si>
  <si>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</si>
  <si>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</si>
  <si>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</si>
  <si>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</si>
  <si>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</si>
  <si>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</si>
  <si>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</si>
  <si>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</si>
  <si>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</si>
  <si>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</si>
  <si>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</si>
  <si>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</si>
  <si>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</si>
  <si>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</si>
  <si>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</si>
  <si>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</si>
  <si>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</si>
  <si>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</si>
  <si>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</si>
  <si>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</si>
  <si>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</si>
  <si>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</si>
  <si>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</si>
  <si>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</si>
  <si>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</si>
  <si>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</si>
  <si>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</si>
  <si>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</si>
  <si>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</si>
  <si>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</si>
  <si>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</si>
  <si>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</si>
  <si>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</si>
  <si>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</si>
  <si>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</si>
  <si>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</si>
  <si>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</si>
  <si>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</si>
  <si>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</si>
  <si>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</si>
  <si>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</si>
  <si>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</si>
  <si>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</si>
  <si>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</si>
  <si>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</si>
  <si>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</si>
  <si>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</si>
  <si>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</si>
  <si>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</si>
  <si>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</si>
  <si>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</si>
  <si>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</si>
  <si>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</si>
  <si>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</si>
  <si>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</si>
  <si>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</si>
  <si>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</si>
  <si>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</si>
  <si>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</si>
  <si>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</si>
  <si>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</si>
  <si>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</si>
  <si>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</si>
  <si>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</si>
  <si>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</si>
  <si>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</si>
  <si>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</si>
  <si>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</si>
  <si>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</si>
  <si>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</si>
  <si>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</si>
  <si>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</si>
  <si>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</si>
  <si>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</si>
  <si>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</si>
  <si>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</si>
  <si>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</si>
  <si>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</si>
  <si>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</si>
  <si>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</si>
  <si>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</si>
  <si>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</si>
  <si>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</si>
  <si>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</si>
  <si>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</si>
  <si>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</si>
  <si>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</si>
  <si>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</si>
  <si>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</si>
  <si>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</si>
  <si>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</si>
  <si>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</si>
  <si>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</si>
  <si>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</si>
  <si>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</si>
  <si>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</si>
  <si>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</si>
  <si>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</si>
  <si>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</si>
  <si>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</si>
  <si>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</si>
  <si>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</si>
  <si>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</si>
  <si>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</si>
  <si>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</si>
  <si>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</si>
  <si>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</si>
  <si>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</si>
  <si>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</si>
  <si>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</si>
  <si>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</si>
  <si>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</si>
  <si>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</si>
  <si>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</si>
  <si>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</si>
  <si>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</si>
  <si>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</si>
  <si>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</si>
  <si>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</si>
  <si>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</si>
  <si>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</si>
  <si>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</si>
  <si>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</si>
  <si>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</si>
  <si>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</si>
  <si>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</si>
  <si>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</si>
  <si>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</si>
  <si>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</si>
  <si>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</si>
  <si>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</si>
  <si>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</si>
  <si>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</si>
  <si>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</si>
  <si>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</si>
  <si>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</si>
  <si>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</si>
  <si>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</si>
  <si>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</si>
  <si>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</si>
  <si>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</si>
  <si>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</si>
  <si>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</si>
  <si>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</si>
  <si>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</si>
  <si>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</si>
  <si>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</si>
  <si>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FG70001-QC-LOT</t>
  </si>
  <si>
    <t>SORD-2526-01270</t>
  </si>
  <si>
    <t>99175</t>
  </si>
  <si>
    <t>93816</t>
  </si>
  <si>
    <t>91006</t>
  </si>
  <si>
    <t>VR-SERIAL-FIFO-BATCH-80001QC</t>
  </si>
  <si>
    <t>56071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</si>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</sst>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5" t="s">
        <v>0</v>
      </c>
      <c r="B3" s="195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214</v>
      </c>
      <c r="AH5" s="9">
        <f>AG5-AF5</f>
        <v>93996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215</v>
      </c>
      <c r="AH6" s="9">
        <f>AG6-AF6</f>
        <v>99587.5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5" t="s">
        <v>0</v>
      </c>
      <c r="B3" s="195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99891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99965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5" t="s">
        <v>0</v>
      </c>
      <c r="B3" s="195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99760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201</v>
      </c>
      <c r="AH6" s="9">
        <f>AG6-AF6</f>
        <v>99920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5" t="s">
        <v>0</v>
      </c>
      <c r="B3" s="195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99970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176</v>
      </c>
      <c r="AH6" s="9">
        <f>AG6-AF6</f>
        <v>99990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5" t="s">
        <v>0</v>
      </c>
      <c r="B3" s="195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5" t="s">
        <v>0</v>
      </c>
      <c r="B3" s="195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188</v>
      </c>
      <c r="AH6" s="9">
        <f>AG6-AF6</f>
        <v>99983.334000000003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5" t="s">
        <v>0</v>
      </c>
      <c r="B3" s="195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5" t="s">
        <v>0</v>
      </c>
      <c r="B3" s="195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203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99850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187</v>
      </c>
      <c r="AH6" s="9">
        <f>AG6-AF6</f>
        <v>99950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5" t="s">
        <v>0</v>
      </c>
      <c r="B3" s="195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257</v>
      </c>
      <c r="AH5" s="9">
        <f>AG5-AF5</f>
        <v>97764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258</v>
      </c>
      <c r="AH6" s="9">
        <f>AG6-AF6</f>
        <v>99255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5" t="s">
        <v>0</v>
      </c>
      <c r="B3" s="195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256</v>
      </c>
      <c r="AH5" s="9">
        <f>AG5-AF5</f>
        <v>97780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255</v>
      </c>
      <c r="AH6" s="9">
        <f>AG6-AF6</f>
        <v>99260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5" t="s">
        <v>0</v>
      </c>
      <c r="B3" s="195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105581</v>
      </c>
      <c r="AI5" s="10" t="s">
        <v>172</v>
      </c>
      <c r="AJ5" s="10" t="s">
        <v>173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5" t="s">
        <v>0</v>
      </c>
      <c r="B3" s="195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197</v>
      </c>
      <c r="AH5" s="34">
        <f>AG5-AF5</f>
        <v>99641</v>
      </c>
      <c r="AI5" s="10" t="s">
        <v>172</v>
      </c>
      <c r="AJ5" s="10" t="s">
        <v>173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195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196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5" t="s">
        <v>0</v>
      </c>
      <c r="B3" s="195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99985</v>
      </c>
      <c r="AI5" s="10" t="s">
        <v>172</v>
      </c>
      <c r="AJ5" s="10" t="s">
        <v>173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5" t="s">
        <v>0</v>
      </c>
      <c r="B3" s="195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62703</v>
      </c>
      <c r="AI5" s="10" t="s">
        <v>172</v>
      </c>
      <c r="AJ5" s="10" t="s">
        <v>173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99920</v>
      </c>
      <c r="AI6" s="10" t="s">
        <v>172</v>
      </c>
      <c r="AJ6" s="10" t="s">
        <v>173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99915</v>
      </c>
      <c r="AI7" s="10" t="s">
        <v>172</v>
      </c>
      <c r="AJ7" s="10" t="s">
        <v>173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172</v>
      </c>
      <c r="AJ8" s="10" t="s">
        <v>173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99905</v>
      </c>
      <c r="AI9" s="10" t="s">
        <v>172</v>
      </c>
      <c r="AJ9" s="10" t="s">
        <v>173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99900</v>
      </c>
      <c r="AI10" s="10" t="s">
        <v>172</v>
      </c>
      <c r="AJ10" s="10" t="s">
        <v>173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99895</v>
      </c>
      <c r="AI11" s="10" t="s">
        <v>172</v>
      </c>
      <c r="AJ11" s="10" t="s">
        <v>173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99890</v>
      </c>
      <c r="AI12" s="10" t="s">
        <v>172</v>
      </c>
      <c r="AJ12" s="10" t="s">
        <v>173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99885</v>
      </c>
      <c r="AI13" s="10" t="s">
        <v>172</v>
      </c>
      <c r="AJ13" s="10" t="s">
        <v>173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99880</v>
      </c>
      <c r="AI14" s="10" t="s">
        <v>172</v>
      </c>
      <c r="AJ14" s="10" t="s">
        <v>173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5" t="s">
        <v>0</v>
      </c>
      <c r="B3" s="195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243</v>
      </c>
      <c r="AH5" s="33">
        <f>AG5-AF5</f>
        <v>56056</v>
      </c>
      <c r="AI5" s="10" t="s">
        <v>172</v>
      </c>
      <c r="AJ5" s="10" t="s">
        <v>173</v>
      </c>
      <c r="AK5" s="33">
        <f>AH5</f>
        <v>56056</v>
      </c>
      <c r="AL5" s="33">
        <f>AK5+G5</f>
        <v>56071</v>
      </c>
      <c r="AM5" s="28" t="s">
        <v>66</v>
      </c>
      <c r="AN5" s="67" t="s">
        <v>175</v>
      </c>
      <c r="AO5" s="29" t="s">
        <v>236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5" t="s">
        <v>0</v>
      </c>
      <c r="B3" s="195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5" t="s">
        <v>0</v>
      </c>
      <c r="B3" s="195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99816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191</v>
      </c>
      <c r="AH5" s="9">
        <f>AG5-AF5</f>
        <v>99806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5" t="s">
        <v>0</v>
      </c>
      <c r="B3" s="195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211</v>
      </c>
      <c r="AH5" s="9">
        <f>AG5-AF5</f>
        <v>95771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5" t="s">
        <v>0</v>
      </c>
      <c r="B3" s="195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259</v>
      </c>
      <c r="AH5" s="9">
        <f>AG5-AF5</f>
        <v>45571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5" t="s">
        <v>0</v>
      </c>
      <c r="B3" s="195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192</v>
      </c>
      <c r="AH5" s="9">
        <f>AG5-AF5</f>
        <v>99957.5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193</v>
      </c>
      <c r="AH6" s="9">
        <f>AG6-AF6</f>
        <v>99791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5" t="s">
        <v>0</v>
      </c>
      <c r="B3" s="195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199</v>
      </c>
    </row>
    <row r="6" spans="1:38" ht="15">
      <c r="A6" s="10">
        <v>2</v>
      </c>
      <c r="B6" s="42" t="s">
        <v>207</v>
      </c>
      <c r="C6" s="10">
        <v>0</v>
      </c>
      <c r="D6" s="42" t="s">
        <v>207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199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5" t="s">
        <v>0</v>
      </c>
      <c r="B3" s="195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207</v>
      </c>
      <c r="C5" s="10">
        <v>0</v>
      </c>
      <c r="D5" s="42" t="s">
        <v>207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238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238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5" t="s">
        <v>0</v>
      </c>
      <c r="B3" s="195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5" t="s">
        <v>0</v>
      </c>
      <c r="B3" s="195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5" t="s">
        <v>0</v>
      </c>
      <c r="B3" s="195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5" t="s">
        <v>0</v>
      </c>
      <c r="B3" s="195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239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5" t="s">
        <v>0</v>
      </c>
      <c r="B3" s="195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239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96" t="s">
        <v>129</v>
      </c>
      <c r="B1" s="196"/>
      <c r="C1" s="196"/>
      <c r="D1" s="196"/>
    </row>
    <row r="2" spans="1:5" ht="18">
      <c r="D2" s="112"/>
    </row>
    <row r="3" spans="1:5" ht="19.899999999999999" customHeight="1">
      <c r="A3" s="195"/>
      <c r="B3" s="195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267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96" t="s">
        <v>130</v>
      </c>
      <c r="B1" s="196"/>
      <c r="C1" s="196"/>
      <c r="D1" s="196"/>
    </row>
    <row r="2" spans="1:5" ht="18">
      <c r="D2" s="112"/>
    </row>
    <row r="3" spans="1:5" ht="19.899999999999999" customHeight="1">
      <c r="A3" s="195"/>
      <c r="B3" s="195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235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8"/>
    </row>
    <row r="3" spans="1:16" ht="19.899999999999999" customHeight="1">
      <c r="A3" s="195"/>
      <c r="B3" s="195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9"/>
    </row>
    <row r="3" spans="1:16" ht="19.899999999999999" customHeight="1">
      <c r="A3" s="195"/>
      <c r="B3" s="195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96" t="s">
        <v>135</v>
      </c>
      <c r="B1" s="196"/>
      <c r="C1" s="196"/>
      <c r="D1" s="196"/>
    </row>
    <row r="2" spans="1:15" ht="18">
      <c r="D2" s="112"/>
    </row>
    <row r="3" spans="1:15" ht="19.899999999999999" customHeight="1">
      <c r="A3" s="195"/>
      <c r="B3" s="195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96" t="s">
        <v>146</v>
      </c>
      <c r="B1" s="196"/>
      <c r="C1" s="196"/>
      <c r="D1" s="196"/>
    </row>
    <row r="2" spans="1:16" ht="18">
      <c r="D2" s="168"/>
    </row>
    <row r="3" spans="1:16" ht="19.899999999999999" customHeight="1">
      <c r="A3" s="195"/>
      <c r="B3" s="195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96" t="s">
        <v>146</v>
      </c>
      <c r="B1" s="196"/>
      <c r="C1" s="196"/>
      <c r="D1" s="196"/>
    </row>
    <row r="2" spans="1:16" ht="18">
      <c r="D2" s="121"/>
    </row>
    <row r="3" spans="1:16" ht="19.899999999999999" customHeight="1">
      <c r="A3" s="195"/>
      <c r="B3" s="195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96" t="s">
        <v>143</v>
      </c>
      <c r="B1" s="196"/>
      <c r="C1" s="196"/>
      <c r="D1" s="196"/>
    </row>
    <row r="2" spans="1:15" ht="18">
      <c r="D2" s="117"/>
    </row>
    <row r="3" spans="1:15" ht="19.899999999999999" customHeight="1">
      <c r="A3" s="195"/>
      <c r="B3" s="195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166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K21" sqref="K2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171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170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60.140625" style="29" bestFit="1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162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75"/>
    </row>
    <row r="3" spans="1:17" ht="19.899999999999999" customHeight="1">
      <c r="A3" s="195"/>
      <c r="B3" s="195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71"/>
    </row>
    <row r="3" spans="1:17" ht="19.899999999999999" customHeight="1">
      <c r="A3" s="195"/>
      <c r="B3" s="195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237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09"/>
    </row>
    <row r="3" spans="1:17" ht="19.899999999999999" customHeight="1">
      <c r="A3" s="195"/>
      <c r="B3" s="195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16384" width="9.140625" style="29"/>
  </cols>
  <sheetData>
    <row r="1" spans="1:4" ht="27.75" customHeight="1">
      <c r="A1" s="196" t="s">
        <v>223</v>
      </c>
      <c r="B1" s="196"/>
    </row>
    <row r="3" spans="1:4" ht="19.899999999999999" customHeight="1">
      <c r="A3" s="197" t="s">
        <v>232</v>
      </c>
      <c r="B3" s="197"/>
    </row>
    <row r="4" spans="1:4" s="31" customFormat="1">
      <c r="A4" s="11" t="s">
        <v>224</v>
      </c>
      <c r="B4" s="11" t="s">
        <v>225</v>
      </c>
    </row>
    <row r="5" spans="1:4">
      <c r="A5" s="29" t="s">
        <v>231</v>
      </c>
      <c r="B5" s="29" t="s">
        <v>229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96" t="s">
        <v>223</v>
      </c>
      <c r="B1" s="196"/>
      <c r="C1" s="196"/>
      <c r="D1" s="196"/>
    </row>
    <row r="2" spans="1:8" ht="18">
      <c r="D2" s="169"/>
    </row>
    <row r="3" spans="1:8" ht="19.899999999999999" customHeight="1">
      <c r="A3" s="197" t="s">
        <v>232</v>
      </c>
      <c r="B3" s="197"/>
      <c r="C3" s="197"/>
      <c r="D3" s="197"/>
      <c r="E3" s="198" t="s">
        <v>234</v>
      </c>
      <c r="F3" s="198"/>
      <c r="G3" s="198" t="s">
        <v>244</v>
      </c>
      <c r="H3" s="198"/>
    </row>
    <row r="4" spans="1:8" s="31" customFormat="1">
      <c r="A4" s="11" t="s">
        <v>226</v>
      </c>
      <c r="B4" s="11" t="s">
        <v>227</v>
      </c>
      <c r="C4" s="11" t="s">
        <v>228</v>
      </c>
      <c r="D4" s="11" t="s">
        <v>230</v>
      </c>
      <c r="E4" s="11" t="s">
        <v>224</v>
      </c>
      <c r="F4" s="11" t="s">
        <v>225</v>
      </c>
      <c r="G4" s="11" t="s">
        <v>224</v>
      </c>
      <c r="H4" s="11" t="s">
        <v>225</v>
      </c>
    </row>
    <row r="5" spans="1:8" ht="15">
      <c r="A5" s="122" t="s">
        <v>231</v>
      </c>
      <c r="B5" s="42" t="s">
        <v>229</v>
      </c>
      <c r="C5" s="42" t="s">
        <v>229</v>
      </c>
      <c r="D5" s="10">
        <v>11</v>
      </c>
      <c r="E5" s="122" t="s">
        <v>233</v>
      </c>
      <c r="F5" s="114" t="s">
        <v>160</v>
      </c>
      <c r="G5" s="122" t="s">
        <v>229</v>
      </c>
      <c r="H5" s="42" t="s">
        <v>229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5" t="s">
        <v>0</v>
      </c>
      <c r="B3" s="195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99" t="s">
        <v>39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34"/>
      <c r="AB1" s="134"/>
      <c r="AC1" s="134"/>
      <c r="AD1" s="135"/>
      <c r="AE1" s="135"/>
      <c r="AF1" s="135"/>
    </row>
    <row r="2" spans="1:38" ht="18">
      <c r="A2" s="134" t="s">
        <v>204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0" t="s">
        <v>0</v>
      </c>
      <c r="B3" s="200"/>
      <c r="C3" s="138"/>
      <c r="D3" s="139">
        <v>2</v>
      </c>
      <c r="E3" s="140" t="s">
        <v>205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206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207</v>
      </c>
      <c r="C6" s="155">
        <v>0</v>
      </c>
      <c r="D6" s="32" t="s">
        <v>207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206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208</v>
      </c>
      <c r="R7" s="161"/>
      <c r="S7" s="161"/>
      <c r="T7" s="161"/>
      <c r="U7" s="159"/>
      <c r="V7" s="159"/>
      <c r="W7" s="160"/>
      <c r="X7" s="159"/>
      <c r="Y7" s="159"/>
      <c r="Z7" s="161" t="s">
        <v>209</v>
      </c>
      <c r="AA7" s="161"/>
      <c r="AB7" s="162">
        <f>SUM(AB5:AB6)</f>
        <v>45016.36</v>
      </c>
      <c r="AC7" s="161" t="s">
        <v>210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245</v>
      </c>
      <c r="AH5" s="9">
        <f>AG5-AF5</f>
        <v>54751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240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241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14.5703125" style="29" customWidth="1"/>
    <col min="5" max="5" width="19.42578125" style="29" bestFit="1" customWidth="1"/>
    <col min="6" max="6" width="16.7109375" style="29" customWidth="1"/>
    <col min="7" max="16384" width="9.140625" style="29"/>
  </cols>
  <sheetData>
    <row r="1" spans="1:6" ht="27.75" customHeight="1">
      <c r="A1" s="196" t="s">
        <v>246</v>
      </c>
      <c r="B1" s="196"/>
      <c r="C1" s="196"/>
      <c r="D1" s="196"/>
      <c r="E1" s="176"/>
    </row>
    <row r="3" spans="1:6" ht="19.899999999999999" customHeight="1">
      <c r="A3" s="197" t="s">
        <v>247</v>
      </c>
      <c r="B3" s="197"/>
      <c r="C3" s="197"/>
      <c r="D3" s="197"/>
      <c r="E3" s="197"/>
      <c r="F3" s="197"/>
    </row>
    <row r="4" spans="1:6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</row>
    <row r="5" spans="1:6">
      <c r="A5" s="29" t="s">
        <v>262</v>
      </c>
      <c r="B5" s="29" t="s">
        <v>262</v>
      </c>
      <c r="C5" s="29" t="s">
        <v>218</v>
      </c>
      <c r="D5" s="29" t="s">
        <v>163</v>
      </c>
      <c r="E5" s="10">
        <f>C5*D5</f>
        <v>600</v>
      </c>
      <c r="F5" s="33">
        <f>E5-B5</f>
        <v>246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7" width="16.85546875" style="29" bestFit="1" customWidth="1"/>
    <col min="8" max="8" width="26.85546875" style="29" bestFit="1" customWidth="1"/>
    <col min="9" max="16" width="9.140625" style="29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18" ht="27.75" customHeight="1">
      <c r="A1" s="196" t="s">
        <v>261</v>
      </c>
      <c r="B1" s="196"/>
      <c r="C1" s="196"/>
      <c r="D1" s="196"/>
      <c r="E1" s="177"/>
    </row>
    <row r="3" spans="1:18" ht="19.899999999999999" customHeight="1">
      <c r="A3" s="197" t="s">
        <v>247</v>
      </c>
      <c r="B3" s="197"/>
      <c r="C3" s="197"/>
      <c r="D3" s="197"/>
      <c r="E3" s="197"/>
      <c r="F3" s="197"/>
    </row>
    <row r="4" spans="1:18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87" t="s">
        <v>268</v>
      </c>
      <c r="H4" s="187" t="s">
        <v>269</v>
      </c>
      <c r="Q4" s="187" t="s">
        <v>268</v>
      </c>
      <c r="R4" s="187" t="s">
        <v>269</v>
      </c>
    </row>
    <row r="5" spans="1:18">
      <c r="A5" s="29" t="s">
        <v>254</v>
      </c>
      <c r="B5" s="29" t="s">
        <v>254</v>
      </c>
      <c r="C5" s="29" t="s">
        <v>218</v>
      </c>
      <c r="D5" s="29" t="s">
        <v>139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270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260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79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270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79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1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139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2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>
        <v>354</v>
      </c>
      <c r="C5" s="29" t="s">
        <v>218</v>
      </c>
      <c r="D5" s="29" t="s">
        <v>229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3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266</v>
      </c>
      <c r="B5" s="29" t="s">
        <v>266</v>
      </c>
      <c r="C5" s="29" t="s">
        <v>218</v>
      </c>
      <c r="D5" s="29" t="s">
        <v>139</v>
      </c>
      <c r="E5" s="10">
        <f>C5*D5</f>
        <v>750</v>
      </c>
      <c r="F5" s="34">
        <f>M5-B5</f>
        <v>307.5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135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R4" sqref="R4:R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4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266</v>
      </c>
      <c r="B5" s="29" t="s">
        <v>266</v>
      </c>
      <c r="C5" s="29" t="s">
        <v>218</v>
      </c>
      <c r="D5" s="29" t="s">
        <v>139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0" sqref="E10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5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9" width="27.85546875" style="29" customWidth="1"/>
    <col min="20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9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  <c r="S4" s="187" t="s">
        <v>271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272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6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8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0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1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2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3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266</v>
      </c>
      <c r="B5" s="29" t="s">
        <v>266</v>
      </c>
      <c r="C5" s="29" t="s">
        <v>218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3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266</v>
      </c>
      <c r="B5" s="29" t="s">
        <v>266</v>
      </c>
      <c r="C5" s="29" t="s">
        <v>218</v>
      </c>
      <c r="D5" s="29" t="s">
        <v>139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4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tabSelected="1" workbookViewId="0">
      <selection activeCell="F15" sqref="F1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4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2026-04-07T05:28:59Z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