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59" activeTab="62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K5"/>
  <c r="I5"/>
  <c r="H5"/>
  <c r="E5"/>
  <c r="J5" s="1"/>
  <c r="K5" i="94"/>
  <c r="I5"/>
  <c r="H5"/>
  <c r="E5"/>
  <c r="J5" s="1"/>
  <c r="K6" i="93"/>
  <c r="I6"/>
  <c r="H6"/>
  <c r="E6"/>
  <c r="J6" s="1"/>
  <c r="K5"/>
  <c r="I5"/>
  <c r="H5"/>
  <c r="E5"/>
  <c r="J5" s="1"/>
  <c r="K5" i="92"/>
  <c r="I5"/>
  <c r="H5"/>
  <c r="E5"/>
  <c r="J5" s="1"/>
  <c r="K6" i="90"/>
  <c r="J6"/>
  <c r="I6"/>
  <c r="H6"/>
  <c r="E6"/>
  <c r="K5"/>
  <c r="E5"/>
  <c r="H5" s="1"/>
  <c r="K5" i="89"/>
  <c r="E5"/>
  <c r="J5" s="1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6" i="93" l="1"/>
  <c r="L6" i="95"/>
  <c r="L5" i="93"/>
  <c r="L5" i="95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L7" i="93" l="1"/>
  <c r="L7" i="95"/>
  <c r="N5" s="1"/>
  <c r="O5" s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L7" i="84" l="1"/>
  <c r="N5" s="1"/>
  <c r="O5" s="1"/>
  <c r="P5" i="95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6" l="1"/>
  <c r="AB5" s="1"/>
  <c r="AA5" i="17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<sst xmlns="http://schemas.openxmlformats.org/spreadsheetml/2006/main" count="3251" uniqueCount="283">
  <si>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</si>
  <si>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</si>
  <si>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</si>
  <si>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</si>
  <si>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</si>
  <si>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</si>
  <si>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</si>
  <si>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</si>
  <si>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</si>
  <si>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</si>
  <si>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</si>
  <si>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</si>
  <si>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</si>
  <si>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</si>
  <si>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</si>
  <si>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</si>
  <si>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</si>
  <si>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</si>
  <si>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</si>
  <si>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</si>
  <si>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</si>
  <si>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</si>
  <si>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</si>
  <si>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</si>
  <si>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</si>
  <si>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</si>
  <si>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</si>
  <si>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</si>
  <si>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</si>
  <si>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</si>
  <si>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</si>
  <si>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</si>
  <si>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</si>
  <si>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</si>
  <si>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</si>
  <si>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</si>
  <si>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</si>
  <si>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</si>
  <si>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</si>
  <si>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</si>
  <si>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</si>
  <si>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</si>
  <si>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</si>
  <si>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</si>
  <si>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</si>
  <si>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</si>
  <si>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</si>
  <si>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</si>
  <si>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</si>
  <si>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</si>
  <si>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</si>
  <si>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</si>
  <si>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</si>
  <si>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</si>
  <si>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</si>
  <si>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</si>
  <si>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</si>
  <si>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</si>
  <si>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</si>
  <si>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</si>
  <si>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</si>
  <si>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</si>
  <si>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</si>
  <si>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</si>
  <si>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</si>
  <si>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</si>
  <si>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</si>
  <si>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</si>
  <si>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</si>
  <si>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</si>
  <si>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</si>
  <si>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</si>
  <si>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</si>
  <si>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</si>
  <si>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</si>
  <si>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</si>
  <si>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</si>
  <si>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</si>
  <si>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</si>
  <si>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</si>
  <si>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</si>
  <si>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</si>
  <si>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</si>
  <si>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</si>
  <si>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</si>
  <si>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</si>
  <si>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</si>
  <si>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</si>
  <si>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</si>
  <si>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</si>
  <si>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</si>
  <si>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</si>
  <si>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</si>
  <si>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</si>
  <si>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</si>
  <si>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</si>
  <si>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</si>
  <si>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</si>
  <si>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</si>
  <si>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</si>
  <si>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</si>
  <si>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</si>
  <si>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</si>
  <si>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</si>
  <si>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</si>
  <si>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</si>
  <si>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</si>
  <si>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</si>
  <si>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</si>
  <si>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</si>
  <si>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</si>
  <si>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</si>
  <si>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</si>
  <si>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</si>
  <si>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</si>
  <si>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</si>
  <si>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</si>
  <si>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</si>
  <si>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</si>
  <si>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</si>
  <si>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</si>
  <si>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</si>
  <si>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</si>
  <si>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</si>
  <si>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</si>
  <si>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</si>
  <si>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</si>
  <si>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</si>
  <si>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</si>
  <si>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</si>
  <si>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</si>
  <si>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</si>
  <si>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</si>
  <si>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</si>
  <si>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</si>
  <si>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</si>
  <si>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</si>
  <si>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</si>
  <si>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</si>
  <si>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</si>
  <si>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</si>
  <si>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</si>
  <si>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</si>
  <si>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</si>
  <si>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</si>
  <si>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</si>
  <si>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</si>
  <si>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</si>
  <si>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</si>
  <si>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</si>
  <si>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</si>
  <si>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</si>
  <si>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</si>
  <si>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</si>
  <si>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</si>
  <si>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</si>
  <si>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</si>
  <si>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</si>
  <si>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</si>
  <si>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</si>
  <si>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</si>
  <si>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</si>
  <si>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SCR WH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</si>
  <si>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</si>
  <si>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</si>
  <si>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</si>
  <si>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</si>
  <si>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</si>
  <si>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</si>
  <si>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</si>
  <si>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</si>
  <si>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</si>
  <si>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99955</t>
  </si>
  <si>
    <t>99988.334</t>
  </si>
  <si>
    <t>99876</t>
  </si>
  <si>
    <t>CPC-10001</t>
  </si>
  <si>
    <t>HK-CH-00002</t>
  </si>
  <si>
    <t>HK-CH-00003</t>
  </si>
  <si>
    <t>SORD-2526-00266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</si>
  <si>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</si>
  <si>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</si>
  <si>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</si>
  <si>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</si>
  <si>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</si>
  <si>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</si>
  <si>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</si>
  <si>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</si>
  <si>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</si>
  <si>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</si>
  <si>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</si>
  <si>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</si>
  <si>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SORD-2526-00808</t>
  </si>
  <si>
    <t>FG WH49</t>
  </si>
  <si>
    <t>30</t>
  </si>
  <si>
    <t>SO3-2526-00090</t>
  </si>
  <si>
    <t>SO3-2526-00091</t>
  </si>
  <si>
    <t>SO3-2526-00097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</si>
  <si>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</si>
  <si>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</si>
  <si>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</si>
  <si>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</si>
  <si>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</si>
  <si>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</si>
  <si>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</si>
  <si>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</si>
  <si>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</si>
  <si>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</si>
  <si>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</si>
  <si>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</si>
  <si>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FG70001-QC-LOT</t>
  </si>
  <si>
    <t>93816</t>
  </si>
  <si>
    <t>91006</t>
  </si>
  <si>
    <t>VR-SERIAL-FIFO-BATCH-80001QC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</si>
  <si>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</si>
  <si>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</si>
  <si>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</si>
  <si>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</si>
  <si>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</si>
  <si>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</si>
  <si>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</si>
  <si>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</si>
  <si>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</si>
  <si>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</si>
  <si>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</si>
  <si>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</si>
  <si>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</si>
  <si>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</si>
  <si>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</si>
  <si>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</si>
  <si>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</si>
  <si>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</si>
  <si>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</si>
  <si>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</si>
  <si>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</si>
  <si>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</si>
  <si>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</si>
  <si>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BankPaymentAmt</t>
  </si>
  <si>
    <t>GRN Amt - BankPayment Amt</t>
  </si>
  <si>
    <t>200.00</t>
  </si>
  <si>
    <t>GL Acct</t>
  </si>
  <si>
    <t>ACTIVE GARMENTS (AP)</t>
  </si>
  <si>
    <t>PROC-01</t>
  </si>
  <si>
    <t>35</t>
  </si>
  <si>
    <t>PROJ3</t>
  </si>
  <si>
    <t>105976</t>
  </si>
  <si>
    <t>98250</t>
  </si>
  <si>
    <t>12.5</t>
  </si>
  <si>
    <t>94210</t>
  </si>
  <si>
    <t>103526</t>
  </si>
  <si>
    <t>93717.5</t>
  </si>
  <si>
    <t>94105</t>
  </si>
  <si>
    <t>HK-FG-DISSIMILAR-10002</t>
  </si>
  <si>
    <t>SORD-2627-07025</t>
  </si>
  <si>
    <t>HK-FIFO-LOT-BATCH-70001(FG)</t>
  </si>
  <si>
    <t>98070</t>
  </si>
  <si>
    <t>98035</t>
  </si>
  <si>
    <t>103511</t>
  </si>
  <si>
    <t>97045</t>
  </si>
  <si>
    <t>93712.5</t>
  </si>
  <si>
    <t>195126</t>
  </si>
  <si>
    <t>92905</t>
  </si>
  <si>
    <t>98240</t>
  </si>
  <si>
    <t>40</t>
  </si>
  <si>
    <t>102801</t>
  </si>
  <si>
    <t>93637.5</t>
  </si>
  <si>
    <t>SORD-2627-07474</t>
  </si>
  <si>
    <t>HK-TVS-SCRAP-10002</t>
  </si>
  <si>
    <t>PC- 326766</t>
  </si>
  <si>
    <t>102216</t>
  </si>
  <si>
    <t>102191</t>
  </si>
  <si>
    <t>PC- 106591</t>
  </si>
  <si>
    <t>92845</t>
  </si>
  <si>
    <t>102176</t>
  </si>
  <si>
    <t>97328</t>
  </si>
  <si>
    <t>97161</t>
  </si>
  <si>
    <t>96994</t>
  </si>
  <si>
    <t>96827</t>
  </si>
  <si>
    <t>96660</t>
  </si>
  <si>
    <t>96493</t>
  </si>
  <si>
    <t>96326</t>
  </si>
  <si>
    <t>96159</t>
  </si>
  <si>
    <t>95992</t>
  </si>
  <si>
    <t>102161</t>
  </si>
</sst>
</file>

<file path=xl/styles.xml><?xml version="1.0" encoding="utf-8"?>
<styleSheet xmlns="http://schemas.openxmlformats.org/spreadsheetml/2006/main">
  <numFmts count="1">
    <numFmt numFmtId="164" formatCode="0.000"/>
  </numFmts>
  <fonts count="18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9"/>
      <color rgb="FF26262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7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theme/theme1.xml" Type="http://schemas.openxmlformats.org/officeDocument/2006/relationships/theme"/><Relationship Id="rId83" Target="styles.xml" Type="http://schemas.openxmlformats.org/officeDocument/2006/relationships/styles"/><Relationship Id="rId84" Target="sharedStrings.xml" Type="http://schemas.openxmlformats.org/officeDocument/2006/relationships/sharedStrings"/><Relationship Id="rId85" Target="calcChain.xml" Type="http://schemas.openxmlformats.org/officeDocument/2006/relationships/calcChain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6" t="s">
        <v>0</v>
      </c>
      <c r="B3" s="19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263</v>
      </c>
      <c r="AH5" s="9">
        <f>AG5-AF5</f>
        <v>103556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264</v>
      </c>
      <c r="AH6" s="9">
        <f>AG6-AF6</f>
        <v>93727.5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6" t="s">
        <v>0</v>
      </c>
      <c r="B3" s="19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248</v>
      </c>
      <c r="AH5" s="9">
        <f>AG5-AF5</f>
        <v>103511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249</v>
      </c>
      <c r="AH6" s="9">
        <f>AG6-AF6</f>
        <v>93712.5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6" t="s">
        <v>0</v>
      </c>
      <c r="B3" s="19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 t="e">
        <f>IF($D$3=2,ROUND(((U5*W5)),2),0)</f>
        <v>#VALUE!</v>
      </c>
      <c r="AA5" s="9" t="e">
        <f>X5+Y5+Z5</f>
        <v>#VALUE!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247</v>
      </c>
      <c r="AH5" s="9">
        <f>AG5-AF5</f>
        <v>94195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100</v>
      </c>
      <c r="J6" s="34"/>
      <c r="K6" s="34"/>
      <c r="L6" s="34"/>
      <c r="M6" s="9">
        <f>I6</f>
        <v>100</v>
      </c>
      <c r="N6" s="9">
        <f>ROUND((M6*J6)/100,2)</f>
        <v>0</v>
      </c>
      <c r="O6" s="9">
        <f>I6-N6</f>
        <v>100</v>
      </c>
      <c r="P6" s="9">
        <f>ROUND((O6*K6)/100,2)</f>
        <v>0</v>
      </c>
      <c r="Q6" s="9">
        <f>ROUND(O6-P6,2)</f>
        <v>100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12</v>
      </c>
      <c r="AA6" s="9">
        <f>X6+Y6+Z6</f>
        <v>12</v>
      </c>
      <c r="AB6" s="9">
        <f t="shared" si="0"/>
        <v>112</v>
      </c>
      <c r="AC6" s="9">
        <v>120</v>
      </c>
      <c r="AD6" s="9">
        <f t="shared" si="1"/>
        <v>100</v>
      </c>
      <c r="AE6" s="8">
        <v>2</v>
      </c>
      <c r="AF6" s="9">
        <f>ROUND(G6/AE6,3)</f>
        <v>5</v>
      </c>
      <c r="AG6" s="36" t="s">
        <v>254</v>
      </c>
      <c r="AH6" s="9">
        <f>AG6-AF6</f>
        <v>98145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6" t="s">
        <v>0</v>
      </c>
      <c r="B3" s="19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250</v>
      </c>
      <c r="AH5" s="9">
        <f>AG5-AF5</f>
        <v>94090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255</v>
      </c>
      <c r="AH6" s="9">
        <f>AG6-AF6</f>
        <v>99990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6" t="s">
        <v>0</v>
      </c>
      <c r="B3" s="19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164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6" t="s">
        <v>0</v>
      </c>
      <c r="B3" s="19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165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166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173</v>
      </c>
      <c r="AH6" s="9">
        <f>AG6-AF6</f>
        <v>99983.334000000003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167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179</v>
      </c>
      <c r="AH5" s="9">
        <f>AG5-AF5</f>
        <v>99850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172</v>
      </c>
      <c r="AH6" s="9">
        <f>AG6-AF6</f>
        <v>99950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169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226</v>
      </c>
      <c r="AH5" s="9">
        <f>AG5-AF5</f>
        <v>97764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227</v>
      </c>
      <c r="AH6" s="9">
        <f>AG6-AF6</f>
        <v>99255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164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225</v>
      </c>
      <c r="AH5" s="9">
        <f>AG5-AF5</f>
        <v>97780</v>
      </c>
      <c r="AI5" s="10" t="s">
        <v>160</v>
      </c>
      <c r="AJ5" s="10" t="s">
        <v>161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165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224</v>
      </c>
      <c r="AH6" s="9">
        <f>AG6-AF6</f>
        <v>99260</v>
      </c>
      <c r="AI6" s="10" t="s">
        <v>160</v>
      </c>
      <c r="AJ6" s="10" t="s">
        <v>161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6" t="s">
        <v>0</v>
      </c>
      <c r="B3" s="19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259</v>
      </c>
      <c r="AH5" s="34">
        <f>AG5-AF5</f>
        <v>105581</v>
      </c>
      <c r="AI5" s="10" t="s">
        <v>160</v>
      </c>
      <c r="AJ5" s="10" t="s">
        <v>161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topLeftCell="H1" workbookViewId="0">
      <selection activeCell="J12" sqref="J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0" bestFit="true" customWidth="true" style="29" width="10.140625"/>
    <col min="11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6" t="s">
        <v>0</v>
      </c>
      <c r="B3" s="19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269</v>
      </c>
      <c r="AH5" s="34">
        <f>AG5-AF5</f>
        <v>99641</v>
      </c>
      <c r="AI5" s="10" t="s">
        <v>160</v>
      </c>
      <c r="AJ5" s="10" t="s">
        <v>161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176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33">
        <v>88363222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177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33">
        <v>88363222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6" t="s">
        <v>0</v>
      </c>
      <c r="B3" s="19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257</v>
      </c>
      <c r="AH5" s="34">
        <f>AG5-AF5</f>
        <v>97045</v>
      </c>
      <c r="AI5" s="10" t="s">
        <v>160</v>
      </c>
      <c r="AJ5" s="10" t="s">
        <v>161</v>
      </c>
      <c r="AK5" s="34">
        <f>AH5</f>
        <v>97045</v>
      </c>
      <c r="AL5" s="34">
        <f>AK5+G5</f>
        <v>97060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S1" workbookViewId="0">
      <selection activeCell="E3" sqref="E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6" t="s">
        <v>0</v>
      </c>
      <c r="B3" s="196"/>
      <c r="C3" s="9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135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272</v>
      </c>
      <c r="AH5" s="34">
        <f>AG5-AF5</f>
        <v>104501</v>
      </c>
      <c r="AI5" s="10" t="s">
        <v>160</v>
      </c>
      <c r="AJ5" s="10" t="s">
        <v>161</v>
      </c>
      <c r="AK5" s="34">
        <f>AH5</f>
        <v>104501</v>
      </c>
      <c r="AL5" s="34">
        <f>AK5+G5</f>
        <v>104516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144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273</v>
      </c>
      <c r="AH6" s="34">
        <f>AG6-AF6</f>
        <v>99920</v>
      </c>
      <c r="AI6" s="10" t="s">
        <v>160</v>
      </c>
      <c r="AJ6" s="10" t="s">
        <v>161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0</v>
      </c>
      <c r="Y7" s="34">
        <f t="shared" ref="Y7:Y14" si="17">IF($D$3=1,ROUND(((U7*W7)/2),2),0)</f>
        <v>0</v>
      </c>
      <c r="Z7" s="34">
        <f t="shared" ref="Z7:Z14" si="18">IF($D$3=2,ROUND(((U7*W7)),2),0)</f>
        <v>153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274</v>
      </c>
      <c r="AH7" s="34">
        <f t="shared" ref="AH7:AH14" si="20">AG7-AF7</f>
        <v>99915</v>
      </c>
      <c r="AI7" s="10" t="s">
        <v>160</v>
      </c>
      <c r="AJ7" s="10" t="s">
        <v>161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0</v>
      </c>
      <c r="Y8" s="34">
        <f t="shared" si="17"/>
        <v>0</v>
      </c>
      <c r="Z8" s="34">
        <f t="shared" si="18"/>
        <v>162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275</v>
      </c>
      <c r="AH8" s="34">
        <f t="shared" si="20"/>
        <v>99910</v>
      </c>
      <c r="AI8" s="10" t="s">
        <v>160</v>
      </c>
      <c r="AJ8" s="10" t="s">
        <v>161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0</v>
      </c>
      <c r="Y9" s="34">
        <f t="shared" si="17"/>
        <v>0</v>
      </c>
      <c r="Z9" s="34">
        <f t="shared" si="18"/>
        <v>171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276</v>
      </c>
      <c r="AH9" s="34">
        <f t="shared" si="20"/>
        <v>99905</v>
      </c>
      <c r="AI9" s="10" t="s">
        <v>160</v>
      </c>
      <c r="AJ9" s="10" t="s">
        <v>161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0</v>
      </c>
      <c r="Y10" s="34">
        <f t="shared" si="17"/>
        <v>0</v>
      </c>
      <c r="Z10" s="34">
        <f t="shared" si="18"/>
        <v>180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277</v>
      </c>
      <c r="AH10" s="34">
        <f t="shared" si="20"/>
        <v>99900</v>
      </c>
      <c r="AI10" s="10" t="s">
        <v>160</v>
      </c>
      <c r="AJ10" s="10" t="s">
        <v>161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0</v>
      </c>
      <c r="Y11" s="34">
        <f t="shared" si="17"/>
        <v>0</v>
      </c>
      <c r="Z11" s="34">
        <f t="shared" si="18"/>
        <v>189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278</v>
      </c>
      <c r="AH11" s="34">
        <f t="shared" si="20"/>
        <v>99895</v>
      </c>
      <c r="AI11" s="10" t="s">
        <v>160</v>
      </c>
      <c r="AJ11" s="10" t="s">
        <v>161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0</v>
      </c>
      <c r="Y12" s="102">
        <f t="shared" si="17"/>
        <v>0</v>
      </c>
      <c r="Z12" s="102">
        <f t="shared" si="18"/>
        <v>198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279</v>
      </c>
      <c r="AH12" s="102">
        <f t="shared" si="20"/>
        <v>99890</v>
      </c>
      <c r="AI12" s="10" t="s">
        <v>160</v>
      </c>
      <c r="AJ12" s="10" t="s">
        <v>161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0</v>
      </c>
      <c r="Y13" s="34">
        <f t="shared" si="17"/>
        <v>0</v>
      </c>
      <c r="Z13" s="34">
        <f t="shared" si="18"/>
        <v>207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280</v>
      </c>
      <c r="AH13" s="34">
        <f t="shared" si="20"/>
        <v>99885</v>
      </c>
      <c r="AI13" s="10" t="s">
        <v>160</v>
      </c>
      <c r="AJ13" s="10" t="s">
        <v>161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0</v>
      </c>
      <c r="Y14" s="34">
        <f t="shared" si="17"/>
        <v>0</v>
      </c>
      <c r="Z14" s="34">
        <f t="shared" si="18"/>
        <v>216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281</v>
      </c>
      <c r="AH14" s="34">
        <f t="shared" si="20"/>
        <v>99880</v>
      </c>
      <c r="AI14" s="10" t="s">
        <v>160</v>
      </c>
      <c r="AJ14" s="10" t="s">
        <v>161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6" t="s">
        <v>0</v>
      </c>
      <c r="B3" s="19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282</v>
      </c>
      <c r="AH5" s="33">
        <f>AG5-AF5</f>
        <v>105906</v>
      </c>
      <c r="AI5" s="10" t="s">
        <v>160</v>
      </c>
      <c r="AJ5" s="10" t="s">
        <v>161</v>
      </c>
      <c r="AK5" s="33">
        <f>AH5</f>
        <v>105906</v>
      </c>
      <c r="AL5" s="33">
        <f>AK5+G5</f>
        <v>105921</v>
      </c>
      <c r="AM5" s="28" t="s">
        <v>66</v>
      </c>
      <c r="AN5" s="67" t="s">
        <v>162</v>
      </c>
      <c r="AO5" s="29" t="s">
        <v>261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6" t="s">
        <v>0</v>
      </c>
      <c r="B3" s="196"/>
      <c r="C3" s="132"/>
      <c r="D3" s="3">
        <v>4</v>
      </c>
      <c r="E3" s="4" t="s">
        <v>156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157</v>
      </c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6" t="s">
        <v>0</v>
      </c>
      <c r="B3" s="19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244</v>
      </c>
      <c r="AH5" s="9">
        <f>AG5-AF5</f>
        <v>105961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268</v>
      </c>
      <c r="AH5" s="9">
        <f>AG5-AF5</f>
        <v>105951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266</v>
      </c>
      <c r="C5" s="10">
        <v>0</v>
      </c>
      <c r="D5" s="60" t="s">
        <v>266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245</v>
      </c>
      <c r="AH5" s="9">
        <f>AG5-AF5</f>
        <v>98240</v>
      </c>
      <c r="AI5" s="63" t="s">
        <v>162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6" t="s">
        <v>0</v>
      </c>
      <c r="B3" s="19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95771</v>
      </c>
      <c r="AI5" s="10" t="s">
        <v>160</v>
      </c>
      <c r="AJ5" s="10" t="s">
        <v>161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6" t="s">
        <v>0</v>
      </c>
      <c r="B3" s="19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228</v>
      </c>
      <c r="AH5" s="9">
        <f>AG5-AF5</f>
        <v>45571</v>
      </c>
      <c r="AI5" s="10" t="s">
        <v>160</v>
      </c>
      <c r="AJ5" s="10" t="s">
        <v>161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6" t="s">
        <v>0</v>
      </c>
      <c r="B3" s="19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258</v>
      </c>
      <c r="AH5" s="9">
        <f>AG5-AF5</f>
        <v>93950</v>
      </c>
      <c r="AI5" s="10" t="s">
        <v>160</v>
      </c>
      <c r="AJ5" s="10" t="s">
        <v>161</v>
      </c>
      <c r="AK5" s="66" t="s">
        <v>72</v>
      </c>
      <c r="AL5" s="59"/>
    </row>
    <row r="6" spans="1:38" ht="15">
      <c r="A6" s="10">
        <v>2</v>
      </c>
      <c r="B6" s="42" t="s">
        <v>132</v>
      </c>
      <c r="C6" s="10">
        <v>0</v>
      </c>
      <c r="D6" s="42" t="s">
        <v>132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256</v>
      </c>
      <c r="AH6" s="9">
        <f>AG6-AF6</f>
        <v>105936</v>
      </c>
      <c r="AI6" s="10" t="s">
        <v>160</v>
      </c>
      <c r="AJ6" s="10" t="s">
        <v>161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6" t="s">
        <v>0</v>
      </c>
      <c r="B3" s="19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253</v>
      </c>
      <c r="C5" s="10">
        <v>0</v>
      </c>
      <c r="D5" s="42" t="s">
        <v>253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252</v>
      </c>
      <c r="AL5" s="72" t="s">
        <v>178</v>
      </c>
    </row>
    <row r="6" spans="1:38" ht="15">
      <c r="A6" s="10">
        <v>2</v>
      </c>
      <c r="B6" s="42" t="s">
        <v>251</v>
      </c>
      <c r="C6" s="10">
        <v>0</v>
      </c>
      <c r="D6" s="42" t="s">
        <v>251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252</v>
      </c>
      <c r="AL6" s="66" t="s">
        <v>178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topLeftCell="AH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6" t="s">
        <v>0</v>
      </c>
      <c r="B3" s="19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251</v>
      </c>
      <c r="C5" s="10">
        <v>0</v>
      </c>
      <c r="D5" s="42" t="s">
        <v>251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252</v>
      </c>
      <c r="AL5" s="72" t="s">
        <v>265</v>
      </c>
    </row>
    <row r="6" spans="1:38" ht="15">
      <c r="A6" s="10">
        <v>2</v>
      </c>
      <c r="B6" s="42" t="s">
        <v>253</v>
      </c>
      <c r="C6" s="10">
        <v>0</v>
      </c>
      <c r="D6" s="42" t="s">
        <v>253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252</v>
      </c>
      <c r="AL6" s="66" t="s">
        <v>265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6" t="s">
        <v>0</v>
      </c>
      <c r="B3" s="19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6" t="s">
        <v>0</v>
      </c>
      <c r="B3" s="19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6" t="s">
        <v>0</v>
      </c>
      <c r="B3" s="19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6" t="s">
        <v>0</v>
      </c>
      <c r="B3" s="19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260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6" t="s">
        <v>0</v>
      </c>
      <c r="B3" s="19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271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7" sqref="B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118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s="29" t="s">
        <v>267</v>
      </c>
      <c r="C5" s="42" t="s">
        <v>117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119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s="29" t="s">
        <v>270</v>
      </c>
      <c r="C5" s="42" t="s">
        <v>116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194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189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95" t="s">
        <v>243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128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196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9"/>
    </row>
    <row r="3" spans="1:16" ht="19.899999999999999" customHeight="1">
      <c r="A3" s="196"/>
      <c r="B3" s="196"/>
      <c r="C3" s="118"/>
      <c r="D3" s="118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191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241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241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97" t="s">
        <v>123</v>
      </c>
      <c r="B1" s="197"/>
      <c r="C1" s="197"/>
      <c r="D1" s="197"/>
    </row>
    <row r="2" spans="1:15" ht="18">
      <c r="D2" s="112"/>
    </row>
    <row r="3" spans="1:15" ht="19.899999999999999" customHeight="1">
      <c r="A3" s="196"/>
      <c r="B3" s="196"/>
      <c r="C3" s="111"/>
      <c r="D3" s="111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120</v>
      </c>
      <c r="C5" s="42" t="s">
        <v>57</v>
      </c>
      <c r="D5" s="10" t="s">
        <v>241</v>
      </c>
      <c r="E5" s="67" t="s">
        <v>122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147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243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21"/>
    </row>
    <row r="3" spans="1:16" ht="19.899999999999999" customHeight="1">
      <c r="A3" s="196"/>
      <c r="B3" s="196"/>
      <c r="C3" s="120"/>
      <c r="D3" s="120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128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97" t="s">
        <v>131</v>
      </c>
      <c r="B1" s="197"/>
      <c r="C1" s="197"/>
      <c r="D1" s="197"/>
    </row>
    <row r="2" spans="1:15" ht="18">
      <c r="D2" s="117"/>
    </row>
    <row r="3" spans="1:15" ht="19.899999999999999" customHeight="1">
      <c r="A3" s="196"/>
      <c r="B3" s="196"/>
      <c r="C3" s="116"/>
      <c r="D3" s="116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130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5" sqref="D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154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262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IF($D$3=1,ROUND(((K5*N5)/2),2),0)</f>
        <v>39.380000000000003</v>
      </c>
      <c r="P5" s="34">
        <f>IF($D$3=1,ROUND(((K5*N5)/2),2),0)</f>
        <v>39.380000000000003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5"/>
  <sheetViews>
    <sheetView topLeftCell="H1" workbookViewId="0">
      <selection activeCell="T7" sqref="T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153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262</v>
      </c>
      <c r="H5" s="29" t="s">
        <v>148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242</v>
      </c>
      <c r="H5" s="29" t="s">
        <v>148</v>
      </c>
      <c r="I5" s="10">
        <f>ROUND(C5*H5/F5,3)</f>
        <v>10</v>
      </c>
      <c r="J5" s="10">
        <f>I5*(G5/C5)</f>
        <v>17.5</v>
      </c>
      <c r="K5" s="10">
        <f>I5*G5</f>
        <v>350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31.5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31.5</v>
      </c>
      <c r="S5" s="34">
        <f>ROUND(O5+P5+Q5+R5,2)</f>
        <v>63</v>
      </c>
      <c r="T5" s="34">
        <f>ROUND(IF($J$3=1, K5+S5, K5),2)</f>
        <v>413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25" sqref="G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158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242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t="s" s="29">
        <v>127</v>
      </c>
      <c r="D5" s="10" t="s">
        <v>113</v>
      </c>
      <c r="E5" s="67" t="s">
        <v>122</v>
      </c>
      <c r="F5" t="s" s="29">
        <v>116</v>
      </c>
      <c r="G5" t="s" s="29">
        <v>193</v>
      </c>
      <c r="H5" t="s" s="29">
        <v>148</v>
      </c>
      <c r="I5" s="10">
        <f>ROUND(C5*H5/F5,3)</f>
        <v>12.5</v>
      </c>
      <c r="J5" s="10">
        <f>I5*(G5/C5)</f>
        <v>15</v>
      </c>
      <c r="K5" s="10">
        <f>I5*G5</f>
        <v>375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bestFit="true" customWidth="true" style="29" width="60.140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193</v>
      </c>
      <c r="H5" s="29" t="s">
        <v>148</v>
      </c>
      <c r="I5" s="10">
        <f>ROUND(C5*H5/F5,3)</f>
        <v>10</v>
      </c>
      <c r="J5" s="10">
        <f>I5*(G5/C5)</f>
        <v>15</v>
      </c>
      <c r="K5" s="10">
        <f>I5*G5</f>
        <v>300</v>
      </c>
      <c r="L5" s="29" t="s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5"/>
    </row>
    <row r="3" spans="1:17" ht="19.899999999999999" customHeight="1">
      <c r="A3" s="196"/>
      <c r="B3" s="196"/>
      <c r="C3" s="174"/>
      <c r="D3" s="174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212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1"/>
    </row>
    <row r="3" spans="1:17" ht="19.899999999999999" customHeight="1">
      <c r="A3" s="196"/>
      <c r="B3" s="196"/>
      <c r="C3" s="170"/>
      <c r="D3" s="170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209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09"/>
    </row>
    <row r="3" spans="1:17" ht="19.899999999999999" customHeight="1">
      <c r="A3" s="196"/>
      <c r="B3" s="196"/>
      <c r="C3" s="110"/>
      <c r="D3" s="108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111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97" t="s">
        <v>197</v>
      </c>
      <c r="B1" s="197"/>
    </row>
    <row r="3" spans="1:4" ht="19.899999999999999" customHeight="1">
      <c r="A3" s="198" t="s">
        <v>206</v>
      </c>
      <c r="B3" s="198"/>
    </row>
    <row r="4" spans="1:4" s="31" customFormat="1">
      <c r="A4" s="11" t="s">
        <v>198</v>
      </c>
      <c r="B4" s="11" t="s">
        <v>199</v>
      </c>
    </row>
    <row r="5" spans="1:4">
      <c r="A5" t="s" s="29">
        <v>205</v>
      </c>
      <c r="B5" t="s" s="29">
        <v>203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97" t="s">
        <v>197</v>
      </c>
      <c r="B1" s="197"/>
      <c r="C1" s="197"/>
      <c r="D1" s="197"/>
    </row>
    <row r="2" spans="1:8" ht="18">
      <c r="D2" s="169"/>
    </row>
    <row r="3" spans="1:8" ht="19.899999999999999" customHeight="1">
      <c r="A3" s="198" t="s">
        <v>206</v>
      </c>
      <c r="B3" s="198"/>
      <c r="C3" s="198"/>
      <c r="D3" s="198"/>
      <c r="E3" s="199" t="s">
        <v>208</v>
      </c>
      <c r="F3" s="199"/>
      <c r="G3" s="199" t="s">
        <v>213</v>
      </c>
      <c r="H3" s="199"/>
    </row>
    <row r="4" spans="1:8" s="31" customFormat="1">
      <c r="A4" s="11" t="s">
        <v>200</v>
      </c>
      <c r="B4" s="11" t="s">
        <v>201</v>
      </c>
      <c r="C4" s="11" t="s">
        <v>202</v>
      </c>
      <c r="D4" s="11" t="s">
        <v>204</v>
      </c>
      <c r="E4" s="11" t="s">
        <v>198</v>
      </c>
      <c r="F4" s="11" t="s">
        <v>199</v>
      </c>
      <c r="G4" s="11" t="s">
        <v>198</v>
      </c>
      <c r="H4" s="11" t="s">
        <v>199</v>
      </c>
    </row>
    <row r="5" spans="1:8" ht="15">
      <c r="A5" s="122" t="s">
        <v>205</v>
      </c>
      <c r="B5" s="42" t="s">
        <v>203</v>
      </c>
      <c r="C5" s="42" t="s">
        <v>203</v>
      </c>
      <c r="D5" s="10">
        <v>11</v>
      </c>
      <c r="E5" s="122" t="s">
        <v>207</v>
      </c>
      <c r="F5" s="114" t="s">
        <v>148</v>
      </c>
      <c r="G5" s="122" t="s">
        <v>203</v>
      </c>
      <c r="H5" s="42" t="s">
        <v>203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6" t="s">
        <v>0</v>
      </c>
      <c r="B3" s="196"/>
      <c r="C3" s="130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155</v>
      </c>
      <c r="H5" s="29" t="s">
        <v>148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200" t="s">
        <v>39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134"/>
      <c r="AB1" s="134"/>
      <c r="AC1" s="134"/>
      <c r="AD1" s="135"/>
      <c r="AE1" s="135"/>
      <c r="AF1" s="135"/>
    </row>
    <row r="2" spans="1:38" ht="18">
      <c r="A2" s="134" t="s">
        <v>181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1" t="s">
        <v>0</v>
      </c>
      <c r="B3" s="201"/>
      <c r="C3" s="138"/>
      <c r="D3" s="139">
        <v>2</v>
      </c>
      <c r="E3" s="140" t="s">
        <v>182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183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170</v>
      </c>
      <c r="AH5" s="9">
        <f>AG5-AF5</f>
        <v>99896</v>
      </c>
      <c r="AI5" s="10" t="s">
        <v>160</v>
      </c>
      <c r="AJ5" s="10" t="s">
        <v>161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184</v>
      </c>
      <c r="C6" s="155">
        <v>0</v>
      </c>
      <c r="D6" s="32" t="s">
        <v>184</v>
      </c>
      <c r="E6" s="155" t="s">
        <v>147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183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171</v>
      </c>
      <c r="AH6" s="9">
        <f>AG6-AF6</f>
        <v>99966.667000000001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185</v>
      </c>
      <c r="R7" s="161"/>
      <c r="S7" s="161"/>
      <c r="T7" s="161"/>
      <c r="U7" s="159"/>
      <c r="V7" s="159"/>
      <c r="W7" s="160"/>
      <c r="X7" s="159"/>
      <c r="Y7" s="159"/>
      <c r="Z7" s="161" t="s">
        <v>186</v>
      </c>
      <c r="AA7" s="161"/>
      <c r="AB7" s="162">
        <f>SUM(AB5:AB6)</f>
        <v>45016.36</v>
      </c>
      <c r="AC7" s="161" t="s">
        <v>187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214</v>
      </c>
      <c r="AH5" s="9">
        <f>AG5-AF5</f>
        <v>54751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210</v>
      </c>
      <c r="AH5" s="9">
        <f>AG5-AF5</f>
        <v>93801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211</v>
      </c>
      <c r="AH5" s="9">
        <f>AG5-AF5</f>
        <v>90991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97" t="s">
        <v>215</v>
      </c>
      <c r="B1" s="197"/>
      <c r="C1" s="197"/>
      <c r="D1" s="197"/>
      <c r="E1" s="176"/>
    </row>
    <row r="3" spans="1:6" ht="19.899999999999999" customHeight="1">
      <c r="A3" s="198" t="s">
        <v>216</v>
      </c>
      <c r="B3" s="198"/>
      <c r="C3" s="198"/>
      <c r="D3" s="198"/>
      <c r="E3" s="198"/>
      <c r="F3" s="198"/>
    </row>
    <row r="4" spans="1:6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</row>
    <row r="5" spans="1:6">
      <c r="A5" s="29" t="s">
        <v>223</v>
      </c>
      <c r="B5" s="29" t="s">
        <v>223</v>
      </c>
      <c r="C5" s="29" t="s">
        <v>193</v>
      </c>
      <c r="D5" s="29" t="s">
        <v>127</v>
      </c>
      <c r="E5" s="10">
        <f>C5*D5</f>
        <v>750</v>
      </c>
      <c r="F5" s="33">
        <f>E5-B5</f>
        <v>375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selection activeCell="E7" sqref="E7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7" bestFit="true" customWidth="true" style="29" width="16.85546875"/>
    <col min="8" max="8" bestFit="true" customWidth="true" style="29" width="26.85546875"/>
    <col min="9" max="16" style="29" width="9.14062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18" ht="27.75" customHeight="1">
      <c r="A1" s="197" t="s">
        <v>230</v>
      </c>
      <c r="B1" s="197"/>
      <c r="C1" s="197"/>
      <c r="D1" s="197"/>
      <c r="E1" s="177"/>
    </row>
    <row r="3" spans="1:18" ht="19.899999999999999" customHeight="1">
      <c r="A3" s="198" t="s">
        <v>216</v>
      </c>
      <c r="B3" s="198"/>
      <c r="C3" s="198"/>
      <c r="D3" s="198"/>
      <c r="E3" s="198"/>
      <c r="F3" s="198"/>
    </row>
    <row r="4" spans="1:18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87" t="s">
        <v>236</v>
      </c>
      <c r="H4" s="187" t="s">
        <v>237</v>
      </c>
      <c r="Q4" s="187" t="s">
        <v>236</v>
      </c>
      <c r="R4" s="187" t="s">
        <v>237</v>
      </c>
    </row>
    <row r="5" spans="1:18">
      <c r="A5" t="s" s="29">
        <v>223</v>
      </c>
      <c r="B5" t="s" s="29">
        <v>223</v>
      </c>
      <c r="C5" t="s" s="29">
        <v>193</v>
      </c>
      <c r="D5" t="s" s="29">
        <v>127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238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229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238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1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127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>
        <v>354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235</v>
      </c>
      <c r="B5" s="29" t="s">
        <v>235</v>
      </c>
      <c r="C5" s="29" t="s">
        <v>193</v>
      </c>
      <c r="D5" s="29" t="s">
        <v>246</v>
      </c>
      <c r="E5" s="10">
        <f>C5*D5</f>
        <v>375</v>
      </c>
      <c r="F5" s="34">
        <f>M5-B5</f>
        <v>-67.5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67.5</v>
      </c>
      <c r="K5" s="10">
        <f>IF($D$2=4,ROUND(((E5*G5)/2),2),0)</f>
        <v>0</v>
      </c>
      <c r="L5" s="10">
        <f>H5+I5+J5+K5</f>
        <v>67.5</v>
      </c>
      <c r="M5" s="10">
        <f>IF($J2=1,E5+L5,E5)</f>
        <v>375</v>
      </c>
      <c r="N5" s="10">
        <f>M5</f>
        <v>375</v>
      </c>
      <c r="O5" s="29">
        <f>IF(N5-INT(N5) &gt;= 0.5, INT(N5)+1, INT(N5))</f>
        <v>375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F1" workbookViewId="0">
      <selection activeCell="M5" sqref="M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235</v>
      </c>
      <c r="B5" s="29" t="s">
        <v>235</v>
      </c>
      <c r="C5" s="29" t="s">
        <v>193</v>
      </c>
      <c r="D5" s="29" t="s">
        <v>246</v>
      </c>
      <c r="E5" s="10">
        <f>C5*D5</f>
        <v>375</v>
      </c>
      <c r="F5" s="10">
        <f>M5-B5</f>
        <v>-12.5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67.5</v>
      </c>
      <c r="K5" s="29">
        <f>IF($D$2=4,ROUND(((E5*G5)/2),2),0)</f>
        <v>0</v>
      </c>
      <c r="L5" s="29">
        <f>ROUND(H5+I5+J5+K5,0)</f>
        <v>68</v>
      </c>
      <c r="M5" s="29">
        <f>IF($J2=1,E7+L7,E7)</f>
        <v>430</v>
      </c>
      <c r="N5" s="10">
        <f>M5</f>
        <v>430</v>
      </c>
      <c r="O5" s="29">
        <f>IF(N5-INT(N5) &gt;= 0.5, INT(N5)+1, INT(N5))</f>
        <v>430</v>
      </c>
      <c r="P5" s="36">
        <f>N5-O5</f>
        <v>0</v>
      </c>
      <c r="R5" s="29">
        <f>O5-Q5</f>
        <v>430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430</v>
      </c>
      <c r="F7" s="10"/>
      <c r="L7" s="29">
        <f>L5+L6</f>
        <v>78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topLeftCell="D1" workbookViewId="0">
      <selection activeCell="E10" sqref="E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5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9" customWidth="true" style="29" width="27.85546875"/>
    <col min="20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9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  <c r="S4" s="187" t="s">
        <v>239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240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6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88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0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1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235</v>
      </c>
      <c r="B5" s="29" t="s">
        <v>235</v>
      </c>
      <c r="C5" s="29" t="s">
        <v>193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235</v>
      </c>
      <c r="B5" s="29" t="s">
        <v>235</v>
      </c>
      <c r="C5" s="29" t="s">
        <v>193</v>
      </c>
      <c r="D5" s="29" t="s">
        <v>127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10" sqref="D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216</v>
      </c>
      <c r="B3" s="202"/>
      <c r="C3" s="202"/>
      <c r="D3" s="202"/>
      <c r="E3" s="202"/>
      <c r="F3" s="202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230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216</v>
      </c>
      <c r="B3" s="198"/>
      <c r="C3" s="198"/>
      <c r="D3" s="198"/>
      <c r="E3" s="198"/>
      <c r="F3" s="198"/>
    </row>
    <row r="4" spans="1:39" s="31" customFormat="1">
      <c r="A4" s="11" t="s">
        <v>217</v>
      </c>
      <c r="B4" s="11" t="s">
        <v>218</v>
      </c>
      <c r="C4" s="11" t="s">
        <v>219</v>
      </c>
      <c r="D4" s="11" t="s">
        <v>220</v>
      </c>
      <c r="E4" s="11" t="s">
        <v>221</v>
      </c>
      <c r="F4" s="115" t="s">
        <v>222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232</v>
      </c>
      <c r="O4" s="180" t="s">
        <v>234</v>
      </c>
      <c r="P4" s="180" t="s">
        <v>233</v>
      </c>
      <c r="Q4" s="187" t="s">
        <v>236</v>
      </c>
      <c r="R4" s="187" t="s">
        <v>237</v>
      </c>
    </row>
    <row r="5" spans="1:39">
      <c r="A5" s="29" t="s">
        <v>231</v>
      </c>
      <c r="B5" s="29" t="s">
        <v>231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229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2026-09-25T08:54:49Z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