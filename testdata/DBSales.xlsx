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51" activeTab="55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73"/>
  <c r="K5" s="1"/>
  <c r="M5" s="1"/>
  <c r="I6" i="71"/>
  <c r="AL5"/>
  <c r="AH5"/>
  <c r="AF5"/>
  <c r="Z5"/>
  <c r="M5"/>
  <c r="N5" s="1"/>
  <c r="I5"/>
  <c r="I6" i="70"/>
  <c r="AL5"/>
  <c r="AH5"/>
  <c r="AF5"/>
  <c r="AA5"/>
  <c r="AA6" s="1"/>
  <c r="Z5"/>
  <c r="Y5"/>
  <c r="X5"/>
  <c r="M5"/>
  <c r="N5" s="1"/>
  <c r="I5"/>
  <c r="AL5" i="69"/>
  <c r="AF5"/>
  <c r="AH5" s="1"/>
  <c r="Y5"/>
  <c r="X5"/>
  <c r="I5"/>
  <c r="I6" s="1"/>
  <c r="I5" i="68"/>
  <c r="J5" s="1"/>
  <c r="I5" i="66"/>
  <c r="K5" s="1"/>
  <c r="M5" s="1"/>
  <c r="I5" i="65"/>
  <c r="J5" s="1"/>
  <c r="R5" i="55"/>
  <c r="O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73" l="1"/>
  <c r="O5" i="71"/>
  <c r="O5" i="70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P5" i="71" l="1"/>
  <c r="P5" i="70"/>
  <c r="O5" i="69"/>
  <c r="O5" i="56"/>
  <c r="S5" s="1"/>
  <c r="T5" s="1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Q5" i="71" l="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U6" i="71" l="1"/>
  <c r="X5"/>
  <c r="AD5"/>
  <c r="Y5"/>
  <c r="U6" i="70"/>
  <c r="AB5"/>
  <c r="AB6" s="1"/>
  <c r="AD5"/>
  <c r="T5" i="69"/>
  <c r="U5"/>
  <c r="T6" i="6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A5" i="71" l="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A6" i="71" l="1"/>
  <c r="AB5"/>
  <c r="AB6" s="1"/>
  <c r="AB5" i="69"/>
  <c r="AB6" s="1"/>
  <c r="AB5" i="6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<sst xmlns="http://schemas.openxmlformats.org/spreadsheetml/2006/main" count="2782" uniqueCount="253">
  <si>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</si>
  <si>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</si>
  <si>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</si>
  <si>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</si>
  <si>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</si>
  <si>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</si>
  <si>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</si>
  <si>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</si>
  <si>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</si>
  <si>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</si>
  <si>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</si>
  <si>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</si>
  <si>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</si>
  <si>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</si>
  <si>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</si>
  <si>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</si>
  <si>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</si>
  <si>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</si>
  <si>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</si>
  <si>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</si>
  <si>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</si>
  <si>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</si>
  <si>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</si>
  <si>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</si>
  <si>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</si>
  <si>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</si>
  <si>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</si>
  <si>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</si>
  <si>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</si>
  <si>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</si>
  <si>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</si>
  <si>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</si>
  <si>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</si>
  <si>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</si>
  <si>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</si>
  <si>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</si>
  <si>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</si>
  <si>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</si>
  <si>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</si>
  <si>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</si>
  <si>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</si>
  <si>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</si>
  <si>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</si>
  <si>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</si>
  <si>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</si>
  <si>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</si>
  <si>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</si>
  <si>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</si>
  <si>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</si>
  <si>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</si>
  <si>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</si>
  <si>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</si>
  <si>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</si>
  <si>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</si>
  <si>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</si>
  <si>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</si>
  <si>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</si>
  <si>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</si>
  <si>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</si>
  <si>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</si>
  <si>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</si>
  <si>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</si>
  <si>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</si>
  <si>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</si>
  <si>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</si>
  <si>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</si>
  <si>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</si>
  <si>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</si>
  <si>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</si>
  <si>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</si>
  <si>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</si>
  <si>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</si>
  <si>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</si>
  <si>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</si>
  <si>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</si>
  <si>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</si>
  <si>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</si>
  <si>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</si>
  <si>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</si>
  <si>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</si>
  <si>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</si>
  <si>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</si>
  <si>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</si>
  <si>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</si>
  <si>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</si>
  <si>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</si>
  <si>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</si>
  <si>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</si>
  <si>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</si>
  <si>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</si>
  <si>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</si>
  <si>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</si>
  <si>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</si>
  <si>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</si>
  <si>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</si>
  <si>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</si>
  <si>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</si>
  <si>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</si>
  <si>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</si>
  <si>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</si>
  <si>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</si>
  <si>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</si>
  <si>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</si>
  <si>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</si>
  <si>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</si>
  <si>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</si>
  <si>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</si>
  <si>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</si>
  <si>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</si>
  <si>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</si>
  <si>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</si>
  <si>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</si>
  <si>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</si>
  <si>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</si>
  <si>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</si>
  <si>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</si>
  <si>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</si>
  <si>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</si>
  <si>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</si>
  <si>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</si>
  <si>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</si>
  <si>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</si>
  <si>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</si>
  <si>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</si>
  <si>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</si>
  <si>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</si>
  <si>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</si>
  <si>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</si>
  <si>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</si>
  <si>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</si>
  <si>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</si>
  <si>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</si>
  <si>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</si>
  <si>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</si>
  <si>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</si>
  <si>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</si>
  <si>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</si>
  <si>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</si>
  <si>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</si>
  <si>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</si>
  <si>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</si>
  <si>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</si>
  <si>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</si>
  <si>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</si>
  <si>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</si>
  <si>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</si>
  <si>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</si>
  <si>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</si>
  <si>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</si>
  <si>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</si>
  <si>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</si>
  <si>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</si>
  <si>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</si>
  <si>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</si>
  <si>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</si>
  <si>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</si>
  <si>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</si>
  <si>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</si>
  <si>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</si>
  <si>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</si>
  <si>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</si>
  <si>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</si>
  <si>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</si>
  <si>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</si>
  <si>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</si>
  <si>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</si>
  <si>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</si>
  <si>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</si>
  <si>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</si>
  <si>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</si>
  <si>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</si>
  <si>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</si>
  <si>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</si>
  <si>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</si>
  <si>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</si>
  <si>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</si>
  <si>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</si>
  <si>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</si>
  <si>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</si>
  <si>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</si>
  <si>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</si>
  <si>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</si>
  <si>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</si>
  <si>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</si>
  <si>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</si>
  <si>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</si>
  <si>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</si>
  <si>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</si>
  <si>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</si>
  <si>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</si>
  <si>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</si>
  <si>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</si>
  <si>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</si>
  <si>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</si>
  <si>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</si>
  <si>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</si>
  <si>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</si>
  <si>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</si>
  <si>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</si>
  <si>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</si>
  <si>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</si>
  <si>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</si>
  <si>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</si>
  <si>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</si>
  <si>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</si>
  <si>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</si>
  <si>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</si>
  <si>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</si>
  <si>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</si>
  <si>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</si>
  <si>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</si>
  <si>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</si>
  <si>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</si>
  <si>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</si>
  <si>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</si>
  <si>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</si>
  <si>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</si>
  <si>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</si>
  <si>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</si>
  <si>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</si>
  <si>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</si>
  <si>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</si>
  <si>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</si>
  <si>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</si>
  <si>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</si>
  <si>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</si>
  <si>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</si>
  <si>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</si>
  <si>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</si>
  <si>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</si>
  <si>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</si>
  <si>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</si>
  <si>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</si>
  <si>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</si>
  <si>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</si>
  <si>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</si>
  <si>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</si>
  <si>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</si>
  <si>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</si>
  <si>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</si>
  <si>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PROC- 0744</t>
  </si>
  <si>
    <t>40</t>
  </si>
  <si>
    <t>FG70001-QC-LOT</t>
  </si>
  <si>
    <t>SORD-2526-01270</t>
  </si>
  <si>
    <t>99175</t>
  </si>
  <si>
    <t>91021</t>
  </si>
  <si>
    <t>93816</t>
  </si>
  <si>
    <t>91006</t>
  </si>
  <si>
    <t>VR-SERIAL-FIFO-BATCH-80001QC</t>
  </si>
  <si>
    <t>56071</t>
  </si>
  <si>
    <t>SCO - Rework</t>
  </si>
  <si>
    <t>54781</t>
  </si>
  <si>
    <t>54766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</si>
</sst>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8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theme/theme1.xml" Type="http://schemas.openxmlformats.org/officeDocument/2006/relationships/theme"/><Relationship Id="rId63" Target="styles.xml" Type="http://schemas.openxmlformats.org/officeDocument/2006/relationships/styles"/><Relationship Id="rId64" Target="sharedStrings.xml" Type="http://schemas.openxmlformats.org/officeDocument/2006/relationships/sharedStrings"/><Relationship Id="rId65" Target="calcChain.xml" Type="http://schemas.openxmlformats.org/officeDocument/2006/relationships/calcChain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6" t="s">
        <v>0</v>
      </c>
      <c r="B3" s="17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216</v>
      </c>
      <c r="AH5" s="9">
        <f>AG5-AF5</f>
        <v>-15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217</v>
      </c>
      <c r="AH6" s="9">
        <f>AG6-AF6</f>
        <v>9490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6" t="s">
        <v>0</v>
      </c>
      <c r="B3" s="17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82574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9657.5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6" t="s">
        <v>0</v>
      </c>
      <c r="B3" s="17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9645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202</v>
      </c>
      <c r="AH6" s="9">
        <f>AG6-AF6</f>
        <v>9950.6589999999997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6" t="s">
        <v>0</v>
      </c>
      <c r="B3" s="17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9745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6" t="s">
        <v>0</v>
      </c>
      <c r="B3" s="17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9717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6" t="s">
        <v>0</v>
      </c>
      <c r="B3" s="17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9795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9703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9852.5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6" t="s">
        <v>0</v>
      </c>
      <c r="B3" s="17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6" t="s">
        <v>0</v>
      </c>
      <c r="B3" s="17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9775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174</v>
      </c>
      <c r="AH6" s="9">
        <f>AG6-AF6</f>
        <v>9890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6" t="s">
        <v>0</v>
      </c>
      <c r="B3" s="17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172</v>
      </c>
      <c r="AJ5" s="10" t="s">
        <v>173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6" t="s">
        <v>0</v>
      </c>
      <c r="B3" s="17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6" t="s">
        <v>0</v>
      </c>
      <c r="B3" s="17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6" t="s">
        <v>0</v>
      </c>
      <c r="B3" s="176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172</v>
      </c>
      <c r="AJ5" s="10" t="s">
        <v>173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172</v>
      </c>
      <c r="AJ6" s="10" t="s">
        <v>173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172</v>
      </c>
      <c r="AJ7" s="10" t="s">
        <v>173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172</v>
      </c>
      <c r="AJ8" s="10" t="s">
        <v>173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172</v>
      </c>
      <c r="AJ9" s="10" t="s">
        <v>173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172</v>
      </c>
      <c r="AJ10" s="10" t="s">
        <v>173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172</v>
      </c>
      <c r="AJ11" s="10" t="s">
        <v>173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172</v>
      </c>
      <c r="AJ12" s="10" t="s">
        <v>173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172</v>
      </c>
      <c r="AJ13" s="10" t="s">
        <v>173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172</v>
      </c>
      <c r="AJ14" s="10" t="s">
        <v>173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6" t="s">
        <v>0</v>
      </c>
      <c r="B3" s="17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249</v>
      </c>
      <c r="AH5" s="33">
        <f>AG5-AF5</f>
        <v>99656</v>
      </c>
      <c r="AI5" s="10" t="s">
        <v>172</v>
      </c>
      <c r="AJ5" s="10" t="s">
        <v>173</v>
      </c>
      <c r="AK5" s="33">
        <f>AH5</f>
        <v>99656</v>
      </c>
      <c r="AL5" s="33">
        <f>AK5+G5</f>
        <v>99671</v>
      </c>
      <c r="AM5" s="28" t="s">
        <v>66</v>
      </c>
      <c r="AN5" s="67" t="s">
        <v>175</v>
      </c>
      <c r="AO5" s="29" t="s">
        <v>239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6" t="s">
        <v>0</v>
      </c>
      <c r="B3" s="176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6" t="s">
        <v>0</v>
      </c>
      <c r="B3" s="17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80704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6" t="s">
        <v>0</v>
      </c>
      <c r="B3" s="17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6" t="s">
        <v>0</v>
      </c>
      <c r="B3" s="17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80699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6" t="s">
        <v>0</v>
      </c>
      <c r="B3" s="17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63733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6" t="s">
        <v>0</v>
      </c>
      <c r="B3" s="17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9630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78219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6" t="s">
        <v>0</v>
      </c>
      <c r="B3" s="17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209</v>
      </c>
      <c r="C6" s="10">
        <v>0</v>
      </c>
      <c r="D6" s="42" t="s">
        <v>209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6" t="s">
        <v>0</v>
      </c>
      <c r="B3" s="17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209</v>
      </c>
      <c r="C5" s="10">
        <v>0</v>
      </c>
      <c r="D5" s="42" t="s">
        <v>209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243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243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6" t="s">
        <v>0</v>
      </c>
      <c r="B3" s="17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6" t="s">
        <v>0</v>
      </c>
      <c r="B3" s="17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6" t="s">
        <v>0</v>
      </c>
      <c r="B3" s="17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6" t="s">
        <v>0</v>
      </c>
      <c r="B3" s="17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244</v>
      </c>
      <c r="AH5" s="34">
        <f>AG5-AF5</f>
        <v>49586</v>
      </c>
      <c r="AI5" s="10" t="s">
        <v>219</v>
      </c>
      <c r="AJ5" s="10" t="s">
        <v>173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6" t="s">
        <v>0</v>
      </c>
      <c r="B3" s="17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244</v>
      </c>
      <c r="AH5" s="34">
        <f>AG5-AF5</f>
        <v>65983</v>
      </c>
      <c r="AI5" s="10" t="s">
        <v>219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7" t="s">
        <v>129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240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7" t="s">
        <v>130</v>
      </c>
      <c r="B1" s="177"/>
      <c r="C1" s="177"/>
      <c r="D1" s="177"/>
    </row>
    <row r="2" spans="1:5" ht="18">
      <c r="D2" s="112"/>
    </row>
    <row r="3" spans="1:5" ht="19.899999999999999" customHeight="1">
      <c r="A3" s="176"/>
      <c r="B3" s="176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238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223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9"/>
    </row>
    <row r="3" spans="1:16" ht="19.899999999999999" customHeight="1">
      <c r="A3" s="176"/>
      <c r="B3" s="176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65"/>
    </row>
    <row r="3" spans="1:16" ht="19.899999999999999" customHeight="1">
      <c r="A3" s="176"/>
      <c r="B3" s="176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7" t="s">
        <v>135</v>
      </c>
      <c r="B1" s="177"/>
      <c r="C1" s="177"/>
      <c r="D1" s="177"/>
    </row>
    <row r="2" spans="1:16" ht="18">
      <c r="D2" s="112"/>
    </row>
    <row r="3" spans="1:16" ht="19.899999999999999" customHeight="1">
      <c r="A3" s="176"/>
      <c r="B3" s="176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77" t="s">
        <v>135</v>
      </c>
      <c r="B1" s="177"/>
      <c r="C1" s="177"/>
      <c r="D1" s="177"/>
    </row>
    <row r="2" spans="1:15" ht="18">
      <c r="D2" s="112"/>
    </row>
    <row r="3" spans="1:15" ht="19.899999999999999" customHeight="1">
      <c r="A3" s="176"/>
      <c r="B3" s="176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68"/>
    </row>
    <row r="3" spans="1:16" ht="19.899999999999999" customHeight="1">
      <c r="A3" s="176"/>
      <c r="B3" s="176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7" t="s">
        <v>146</v>
      </c>
      <c r="B1" s="177"/>
      <c r="C1" s="177"/>
      <c r="D1" s="177"/>
    </row>
    <row r="2" spans="1:16" ht="18">
      <c r="D2" s="121"/>
    </row>
    <row r="3" spans="1:16" ht="19.899999999999999" customHeight="1">
      <c r="A3" s="176"/>
      <c r="B3" s="176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77" t="s">
        <v>143</v>
      </c>
      <c r="B1" s="177"/>
      <c r="C1" s="177"/>
      <c r="D1" s="177"/>
    </row>
    <row r="2" spans="1:15" ht="18">
      <c r="D2" s="117"/>
    </row>
    <row r="3" spans="1:15" ht="19.899999999999999" customHeight="1">
      <c r="A3" s="176"/>
      <c r="B3" s="176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220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t="s" s="29">
        <v>163</v>
      </c>
      <c r="D5" s="10" t="s">
        <v>124</v>
      </c>
      <c r="E5" s="67" t="s">
        <v>134</v>
      </c>
      <c r="F5" t="s" s="29">
        <v>127</v>
      </c>
      <c r="G5" t="s" s="29">
        <v>139</v>
      </c>
      <c r="H5" t="s" s="29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171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>
        <v>20</v>
      </c>
      <c r="D5" s="10" t="s">
        <v>124</v>
      </c>
      <c r="E5" s="67" t="s">
        <v>134</v>
      </c>
      <c r="F5" s="29" t="s">
        <v>127</v>
      </c>
      <c r="G5" s="29" t="s">
        <v>241</v>
      </c>
      <c r="H5" s="29" t="s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36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36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170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224</v>
      </c>
      <c r="H5" s="29" t="s">
        <v>160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241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E1" workbookViewId="0">
      <selection activeCell="S5" sqref="S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162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6" t="s">
        <v>0</v>
      </c>
      <c r="B3" s="176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t="s" s="29">
        <v>160</v>
      </c>
      <c r="D5" s="10" t="s">
        <v>124</v>
      </c>
      <c r="E5" s="67" t="s">
        <v>134</v>
      </c>
      <c r="F5" t="s" s="29">
        <v>160</v>
      </c>
      <c r="G5" t="s" s="29">
        <v>139</v>
      </c>
      <c r="H5" t="s" s="29">
        <v>160</v>
      </c>
      <c r="I5" s="10">
        <f>ROUND(C5*H5/F5,3)</f>
        <v>10</v>
      </c>
      <c r="J5" s="10">
        <f>I5*(G5/C5)</f>
        <v>20</v>
      </c>
      <c r="K5" s="10">
        <f>I5*G5</f>
        <v>400</v>
      </c>
      <c r="L5" t="s" s="29">
        <v>32</v>
      </c>
      <c r="M5" s="33">
        <v>88363221</v>
      </c>
      <c r="N5" s="22">
        <v>0.18</v>
      </c>
      <c r="O5" s="34">
        <f>IF($D$3=1,ROUND(((K5*N5)/2),2),0)</f>
        <v>36</v>
      </c>
      <c r="P5" s="34">
        <f>IF($D$3=1,ROUND(((K5*N5)/2),2),0)</f>
        <v>36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72</v>
      </c>
      <c r="T5" s="34">
        <f>ROUND(IF($J$3=1, K5+S5, K5),2)</f>
        <v>472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5"/>
    </row>
    <row r="3" spans="1:17" ht="19.899999999999999" customHeight="1">
      <c r="A3" s="176"/>
      <c r="B3" s="176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248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71"/>
    </row>
    <row r="3" spans="1:17" ht="19.899999999999999" customHeight="1">
      <c r="A3" s="176"/>
      <c r="B3" s="176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242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7" t="s">
        <v>121</v>
      </c>
      <c r="B1" s="177"/>
      <c r="C1" s="177"/>
      <c r="D1" s="177"/>
    </row>
    <row r="2" spans="1:17" ht="18">
      <c r="D2" s="109"/>
    </row>
    <row r="3" spans="1:17" ht="19.899999999999999" customHeight="1">
      <c r="A3" s="176"/>
      <c r="B3" s="176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77" t="s">
        <v>226</v>
      </c>
      <c r="B1" s="177"/>
    </row>
    <row r="3" spans="1:4" ht="19.899999999999999" customHeight="1">
      <c r="A3" s="178" t="s">
        <v>235</v>
      </c>
      <c r="B3" s="178"/>
    </row>
    <row r="4" spans="1:4" s="31" customFormat="1">
      <c r="A4" s="11" t="s">
        <v>227</v>
      </c>
      <c r="B4" s="11" t="s">
        <v>228</v>
      </c>
    </row>
    <row r="5" spans="1:4">
      <c r="A5" t="s" s="29">
        <v>232</v>
      </c>
      <c r="B5" t="s" s="29">
        <v>232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tabSelected="1"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77" t="s">
        <v>226</v>
      </c>
      <c r="B1" s="177"/>
      <c r="C1" s="177"/>
      <c r="D1" s="177"/>
    </row>
    <row r="2" spans="1:8" ht="18">
      <c r="D2" s="169"/>
    </row>
    <row r="3" spans="1:8" ht="19.899999999999999" customHeight="1">
      <c r="A3" s="178" t="s">
        <v>235</v>
      </c>
      <c r="B3" s="178"/>
      <c r="C3" s="178"/>
      <c r="D3" s="178"/>
      <c r="E3" s="179" t="s">
        <v>237</v>
      </c>
      <c r="F3" s="179"/>
      <c r="G3" s="179" t="s">
        <v>250</v>
      </c>
      <c r="H3" s="179"/>
    </row>
    <row r="4" spans="1:8" s="31" customFormat="1">
      <c r="A4" s="11" t="s">
        <v>229</v>
      </c>
      <c r="B4" s="11" t="s">
        <v>230</v>
      </c>
      <c r="C4" s="11" t="s">
        <v>231</v>
      </c>
      <c r="D4" s="11" t="s">
        <v>233</v>
      </c>
      <c r="E4" s="11" t="s">
        <v>227</v>
      </c>
      <c r="F4" s="11" t="s">
        <v>228</v>
      </c>
      <c r="G4" s="11" t="s">
        <v>227</v>
      </c>
      <c r="H4" s="11" t="s">
        <v>228</v>
      </c>
    </row>
    <row r="5" spans="1:8" ht="15">
      <c r="A5" s="122" t="s">
        <v>234</v>
      </c>
      <c r="B5" s="42" t="s">
        <v>232</v>
      </c>
      <c r="C5" s="42" t="s">
        <v>232</v>
      </c>
      <c r="D5" s="10">
        <v>11</v>
      </c>
      <c r="E5" s="122" t="s">
        <v>236</v>
      </c>
      <c r="F5" s="114" t="s">
        <v>160</v>
      </c>
      <c r="G5" s="122" t="s">
        <v>232</v>
      </c>
      <c r="H5" s="42" t="s">
        <v>232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7" t="s">
        <v>164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6" t="s">
        <v>0</v>
      </c>
      <c r="B3" s="176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80" t="s">
        <v>39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34"/>
      <c r="AB1" s="134"/>
      <c r="AC1" s="134"/>
      <c r="AD1" s="135"/>
      <c r="AE1" s="135"/>
      <c r="AF1" s="135"/>
    </row>
    <row r="2" spans="1:38" ht="18">
      <c r="A2" s="134" t="s">
        <v>206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81" t="s">
        <v>0</v>
      </c>
      <c r="B3" s="181"/>
      <c r="C3" s="138"/>
      <c r="D3" s="139">
        <v>2</v>
      </c>
      <c r="E3" s="140" t="s">
        <v>207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208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209</v>
      </c>
      <c r="C6" s="155">
        <v>0</v>
      </c>
      <c r="D6" s="32" t="s">
        <v>209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208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210</v>
      </c>
      <c r="R7" s="161"/>
      <c r="S7" s="161"/>
      <c r="T7" s="161"/>
      <c r="U7" s="159"/>
      <c r="V7" s="159"/>
      <c r="W7" s="160"/>
      <c r="X7" s="159"/>
      <c r="Y7" s="159"/>
      <c r="Z7" s="161" t="s">
        <v>211</v>
      </c>
      <c r="AA7" s="161"/>
      <c r="AB7" s="162">
        <f>SUM(AB5:AB6)</f>
        <v>45016.36</v>
      </c>
      <c r="AC7" s="161" t="s">
        <v>212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t="s" s="36">
        <v>252</v>
      </c>
      <c r="AH5" s="9">
        <f>AG5-AF5</f>
        <v>91006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246</v>
      </c>
      <c r="AH5" s="9">
        <f>AG5-AF5</f>
        <v>93801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7" t="s">
        <v>39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76" t="s">
        <v>0</v>
      </c>
      <c r="B3" s="17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247</v>
      </c>
      <c r="AH5" s="9">
        <f>AG5-AF5</f>
        <v>90991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2026-02-06T04:53:26Z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