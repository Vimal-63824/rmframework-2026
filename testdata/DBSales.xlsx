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LocalCustomer" sheetId="13" r:id="rId14"/>
    <sheet name="InterStateCustomer" sheetId="14" r:id="rId15"/>
    <sheet name="FreeSampleType" sheetId="15" r:id="rId16"/>
    <sheet name="FreeReplacement" sheetId="16" r:id="rId17"/>
    <sheet name="ScrapType" sheetId="17" r:id="rId18"/>
    <sheet name="ServiceType" sheetId="18" r:id="rId19"/>
    <sheet name="CESScustomer" sheetId="20" r:id="rId20"/>
    <sheet name="SEZCustomer" sheetId="19" r:id="rId21"/>
    <sheet name="PromotionalType" sheetId="21" r:id="rId22"/>
    <sheet name="PIDirectType" sheetId="22" r:id="rId23"/>
    <sheet name="PIDirectTypeExport" sheetId="23" r:id="rId24"/>
    <sheet name="CRNoteDomestic" sheetId="24" r:id="rId25"/>
    <sheet name="CRNoteExport" sheetId="25" r:id="rId26"/>
    <sheet name="CRNoteExportService" sheetId="28" r:id="rId27"/>
    <sheet name="CRNoteGateEntryExport" sheetId="31" r:id="rId28"/>
    <sheet name="CRNoteGateEntry" sheetId="30" r:id="rId29"/>
    <sheet name="Sheet2" sheetId="2" r:id="rId30"/>
    <sheet name="Sheet3" sheetId="3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H5" i="13"/>
  <c r="AL5"/>
  <c r="AK5"/>
  <c r="AF5" i="29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AF5" i="13"/>
  <c r="I5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1"/>
  <c r="AH6" i="4"/>
  <c r="AH5"/>
  <c r="AH5" i="1"/>
  <c r="AF6" i="4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M5" i="33" l="1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O5" i="33" l="1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P5" i="33" l="1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S5" i="33" l="1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T5" i="33" l="1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B5" i="33" l="1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<sst xmlns="http://schemas.openxmlformats.org/spreadsheetml/2006/main" count="1644" uniqueCount="151">
  <si>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</si>
  <si>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</si>
  <si>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</si>
  <si>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</si>
  <si>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</si>
  <si>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</si>
  <si>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</si>
  <si>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</si>
  <si>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</si>
  <si>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</si>
  <si>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</si>
  <si>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</si>
  <si>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</si>
  <si>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</si>
  <si>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</si>
  <si>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</si>
  <si>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</si>
  <si>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</si>
  <si>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</si>
  <si>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</si>
  <si>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</si>
  <si>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</si>
  <si>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</si>
  <si>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</si>
  <si>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</si>
  <si>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</si>
  <si>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</si>
  <si>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</si>
  <si>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</si>
  <si>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</si>
  <si>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</si>
  <si>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</si>
  <si>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</si>
  <si>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</si>
  <si>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</si>
  <si>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</si>
  <si>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</si>
  <si>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</si>
  <si>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</si>
  <si>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</si>
  <si>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</si>
  <si>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</si>
  <si>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</si>
  <si>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</si>
  <si>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</si>
  <si>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</si>
  <si>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</si>
  <si>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</si>
  <si>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</si>
  <si>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</si>
  <si>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</si>
  <si>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</si>
  <si>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65</t>
  </si>
  <si>
    <t>30</t>
  </si>
  <si>
    <t>9630</t>
  </si>
  <si>
    <t>RC_Export_001</t>
  </si>
  <si>
    <t>Export_RC_Item_ID_Disimilar</t>
  </si>
  <si>
    <t>45</t>
  </si>
  <si>
    <t>9885</t>
  </si>
  <si>
    <t>299</t>
  </si>
  <si>
    <t>Domestic_PL_Item_ID</t>
  </si>
  <si>
    <t>Domestic_PL_Item_ID_Disimilar</t>
  </si>
  <si>
    <t>60</t>
  </si>
  <si>
    <t>9870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</si>
  <si>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</si>
  <si>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</si>
  <si>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</si>
  <si>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</si>
  <si>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</si>
  <si>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</si>
  <si>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</si>
  <si>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</si>
  <si>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</si>
  <si>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</si>
  <si>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</si>
  <si>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</si>
  <si>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</si>
  <si>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</si>
  <si>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</si>
  <si>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</si>
  <si>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</si>
  <si>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</si>
  <si>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</si>
  <si>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</si>
  <si>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9895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</si>
  <si>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</si>
  <si>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</si>
  <si>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</si>
  <si>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</si>
  <si>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</si>
  <si>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</si>
  <si>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</si>
  <si>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</si>
  <si>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</si>
  <si>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</si>
  <si>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78219</t>
  </si>
  <si>
    <t>9595</t>
  </si>
  <si>
    <t>9933.992</t>
  </si>
  <si>
    <t>9725</t>
  </si>
  <si>
    <t>9707</t>
  </si>
  <si>
    <t>9860</t>
  </si>
  <si>
    <t>9785</t>
  </si>
  <si>
    <t>9693</t>
  </si>
  <si>
    <t>9847.5</t>
  </si>
  <si>
    <t>9795</t>
  </si>
  <si>
    <t>9900</t>
  </si>
  <si>
    <t>9706</t>
  </si>
  <si>
    <t>9765</t>
  </si>
  <si>
    <t>78174</t>
  </si>
  <si>
    <t>78144</t>
  </si>
  <si>
    <t>78129</t>
  </si>
  <si>
    <t>491512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</si>
  <si>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</si>
  <si>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</si>
  <si>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</si>
  <si>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</si>
  <si>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</si>
  <si>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</si>
  <si>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</si>
  <si>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</si>
  <si>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</si>
  <si>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</si>
  <si>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</si>
  <si>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</si>
  <si>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</si>
  <si>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66208</t>
  </si>
  <si>
    <t>After Stk Qty</t>
  </si>
  <si>
    <t>66103</t>
  </si>
  <si>
    <t>9515</t>
  </si>
  <si>
    <t>HK-FIFO-LOT-BATCH-10001(FG)</t>
  </si>
  <si>
    <t>797</t>
  </si>
  <si>
    <t>65998</t>
  </si>
  <si>
    <t>49601</t>
  </si>
  <si>
    <t>49526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</si>
  <si>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</si>
  <si>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</si>
  <si>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</si>
  <si>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</si>
  <si>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</si>
  <si>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</si>
  <si>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</si>
  <si>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</si>
  <si>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</si>
  <si>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</si>
  <si>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</si>
  <si>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</si>
  <si>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</si>
  <si>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</si>
  <si>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19060</t>
  </si>
  <si>
    <t>65863</t>
  </si>
  <si>
    <t>65848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</si>
</sst>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91" t="s">
        <v>0</v>
      </c>
      <c r="B3" s="9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t="s" s="36">
        <v>150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87880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54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U1"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91" t="s">
        <v>0</v>
      </c>
      <c r="B3" s="9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124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127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128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91" t="s">
        <v>0</v>
      </c>
      <c r="B3" s="9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96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97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91" t="s">
        <v>0</v>
      </c>
      <c r="B3" s="9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98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63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91" t="s">
        <v>0</v>
      </c>
      <c r="B3" s="9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99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64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91" t="s">
        <v>0</v>
      </c>
      <c r="B3" s="9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101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84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69</v>
      </c>
      <c r="C5" s="10">
        <v>0</v>
      </c>
      <c r="D5" s="42" t="s">
        <v>69</v>
      </c>
      <c r="E5" s="10" t="s">
        <v>32</v>
      </c>
      <c r="F5" s="10" t="s">
        <v>32</v>
      </c>
      <c r="G5" s="33">
        <v>15</v>
      </c>
      <c r="H5" s="29" t="s">
        <v>73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102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70</v>
      </c>
      <c r="C6" s="10">
        <v>0</v>
      </c>
      <c r="D6" s="42" t="s">
        <v>70</v>
      </c>
      <c r="E6" s="10" t="s">
        <v>32</v>
      </c>
      <c r="F6" s="10" t="s">
        <v>32</v>
      </c>
      <c r="G6" s="33">
        <v>10</v>
      </c>
      <c r="H6" s="29" t="s">
        <v>74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103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104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105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77</v>
      </c>
      <c r="C5" s="10">
        <v>0</v>
      </c>
      <c r="D5" s="42" t="s">
        <v>77</v>
      </c>
      <c r="E5" s="10" t="s">
        <v>32</v>
      </c>
      <c r="F5" s="10" t="s">
        <v>32</v>
      </c>
      <c r="G5" s="33">
        <v>15</v>
      </c>
      <c r="H5" s="29" t="s">
        <v>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78</v>
      </c>
      <c r="C6" s="10">
        <v>0</v>
      </c>
      <c r="D6" s="42" t="s">
        <v>78</v>
      </c>
      <c r="E6" s="10" t="s">
        <v>32</v>
      </c>
      <c r="F6" s="10" t="s">
        <v>32</v>
      </c>
      <c r="G6" s="33">
        <v>10</v>
      </c>
      <c r="H6" s="29" t="s">
        <v>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79</v>
      </c>
      <c r="C5" s="10">
        <v>0</v>
      </c>
      <c r="D5" s="42" t="s">
        <v>79</v>
      </c>
      <c r="E5" s="10" t="s">
        <v>32</v>
      </c>
      <c r="F5" s="10" t="s">
        <v>32</v>
      </c>
      <c r="G5" s="33">
        <v>15</v>
      </c>
      <c r="H5" s="29" t="s">
        <v>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107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80</v>
      </c>
      <c r="C6" s="10">
        <v>0</v>
      </c>
      <c r="D6" s="42" t="s">
        <v>80</v>
      </c>
      <c r="E6" s="10" t="s">
        <v>32</v>
      </c>
      <c r="F6" s="10" t="s">
        <v>32</v>
      </c>
      <c r="G6" s="33">
        <v>10</v>
      </c>
      <c r="H6" s="29" t="s">
        <v>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58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91" t="s">
        <v>0</v>
      </c>
      <c r="B3" s="9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129</v>
      </c>
      <c r="C5" s="10">
        <v>0</v>
      </c>
      <c r="D5" s="42" t="s">
        <v>129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130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topLeftCell="B1" workbookViewId="0">
      <selection activeCell="F11" sqref="F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91" t="s">
        <v>0</v>
      </c>
      <c r="B3" s="9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131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134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135</v>
      </c>
      <c r="D10" s="90" t="s">
        <v>6</v>
      </c>
      <c r="E10" s="90" t="s">
        <v>7</v>
      </c>
      <c r="F10" s="90" t="s">
        <v>136</v>
      </c>
      <c r="G10" s="90" t="s">
        <v>137</v>
      </c>
      <c r="H10" s="90" t="s">
        <v>138</v>
      </c>
      <c r="I10" s="90" t="s">
        <v>139</v>
      </c>
      <c r="J10" s="90" t="s">
        <v>140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141</v>
      </c>
      <c r="E11" s="10">
        <v>0</v>
      </c>
      <c r="F11" s="10" t="s">
        <v>142</v>
      </c>
      <c r="G11" s="10" t="s">
        <v>143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144</v>
      </c>
      <c r="E12" s="10">
        <v>0</v>
      </c>
      <c r="F12" s="10" t="s">
        <v>145</v>
      </c>
      <c r="G12" s="10" t="s">
        <v>139</v>
      </c>
      <c r="H12" s="10"/>
      <c r="I12" s="10">
        <v>15000</v>
      </c>
      <c r="J12" s="10">
        <v>112341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146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91" t="s">
        <v>0</v>
      </c>
      <c r="B3" s="9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147</v>
      </c>
      <c r="C5" s="10">
        <v>0</v>
      </c>
      <c r="D5" s="42" t="s">
        <v>147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148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9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9" ht="19.899999999999999" customHeight="1">
      <c r="A3" s="91" t="s">
        <v>0</v>
      </c>
      <c r="B3" s="9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149</v>
      </c>
      <c r="AH5" s="34">
        <f>AG5-AF5</f>
        <v>66013</v>
      </c>
      <c r="AI5" s="10" t="s">
        <v>38</v>
      </c>
      <c r="AJ5" s="10">
        <v>4010101001</v>
      </c>
      <c r="AK5" s="34">
        <f>AH5</f>
        <v>66013</v>
      </c>
      <c r="AL5" s="34">
        <f>AK5+G5</f>
        <v>66028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91" t="s">
        <v>0</v>
      </c>
      <c r="B3" s="9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108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109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110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86</v>
      </c>
      <c r="C5" s="10">
        <v>0</v>
      </c>
      <c r="D5" s="60" t="s">
        <v>86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111</v>
      </c>
      <c r="AH5" s="9">
        <f>AG5-AF5</f>
        <v>80704</v>
      </c>
      <c r="AI5" s="63" t="s">
        <v>88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87</v>
      </c>
      <c r="C5" s="10">
        <v>0</v>
      </c>
      <c r="D5" s="60" t="s">
        <v>87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115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91" t="s">
        <v>0</v>
      </c>
      <c r="B3" s="9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89</v>
      </c>
      <c r="AL4" s="20" t="s">
        <v>90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91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114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91" t="s">
        <v>0</v>
      </c>
      <c r="B3" s="9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125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91" t="s">
        <v>0</v>
      </c>
      <c r="B3" s="9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92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113</v>
      </c>
      <c r="AH5" s="9">
        <f>AG5-AF5</f>
        <v>9630</v>
      </c>
      <c r="AI5" s="10" t="s">
        <v>38</v>
      </c>
      <c r="AJ5" s="10">
        <v>4010101001</v>
      </c>
      <c r="AK5" s="66" t="s">
        <v>94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112</v>
      </c>
      <c r="AH6" s="9">
        <f>AG6-AF6</f>
        <v>78219</v>
      </c>
      <c r="AI6" s="10" t="s">
        <v>38</v>
      </c>
      <c r="AJ6" s="10">
        <v>4010101001</v>
      </c>
      <c r="AK6" s="66" t="s">
        <v>93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91" t="s">
        <v>0</v>
      </c>
      <c r="B3" s="9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91" t="s">
        <v>0</v>
      </c>
      <c r="B3" s="9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91" t="s">
        <v>0</v>
      </c>
      <c r="B3" s="9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Y5" sqref="Y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91" t="s">
        <v>0</v>
      </c>
      <c r="B3" s="9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91" t="s">
        <v>0</v>
      </c>
      <c r="B3" s="9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91" t="s">
        <v>0</v>
      </c>
      <c r="B3" s="9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49586</v>
      </c>
      <c r="AI5" s="10" t="s">
        <v>123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91" t="s">
        <v>0</v>
      </c>
      <c r="B3" s="9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132</v>
      </c>
      <c r="AH5" s="34">
        <f>AG5-AF5</f>
        <v>65983</v>
      </c>
      <c r="AI5" s="10" t="s">
        <v>123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24" sqref="F24"/>
    </sheetView>
  </sheetViews>
  <sheetFormatPr defaultColWidth="9"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2025-04-29T08:51:41Z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