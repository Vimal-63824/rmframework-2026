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44" activeTab="47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" sheetId="39" r:id="rId52"/>
    <sheet name="SourceSFCode" sheetId="67" r:id="rId53"/>
    <sheet name="SCOCharges" sheetId="57" r:id="rId54"/>
    <sheet name="SOtoSIDomestic" sheetId="61" r:id="rId55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66"/>
  <c r="K5" s="1"/>
  <c r="M5" s="1"/>
  <c r="I5" i="65"/>
  <c r="J5" s="1"/>
  <c r="R5" i="56"/>
  <c r="R5" i="55"/>
  <c r="O5" i="56"/>
  <c r="O5" i="55"/>
  <c r="I5" i="64"/>
  <c r="J5" s="1"/>
  <c r="I5" i="63"/>
  <c r="J5" s="1"/>
  <c r="I5" i="62"/>
  <c r="J5" s="1"/>
  <c r="T5" i="52"/>
  <c r="T5" i="53"/>
  <c r="T5" i="54"/>
  <c r="S5"/>
  <c r="S5" i="53"/>
  <c r="S5" i="52"/>
  <c r="I5" i="51"/>
  <c r="K5" s="1"/>
  <c r="P5" s="1"/>
  <c r="AL6" i="61"/>
  <c r="AF6"/>
  <c r="AH6" s="1"/>
  <c r="AL5"/>
  <c r="AH5"/>
  <c r="AF5"/>
  <c r="Y6"/>
  <c r="X6"/>
  <c r="I6"/>
  <c r="Y5"/>
  <c r="X5"/>
  <c r="I5"/>
  <c r="AL5" i="13"/>
  <c r="AK5"/>
  <c r="AH5"/>
  <c r="AH5" i="19"/>
  <c r="AA5" i="58"/>
  <c r="AK5"/>
  <c r="X5"/>
  <c r="AH5"/>
  <c r="AF5"/>
  <c r="Y5"/>
  <c r="N5"/>
  <c r="M5"/>
  <c r="I5"/>
  <c r="AF6" i="8"/>
  <c r="R5" i="57"/>
  <c r="P5"/>
  <c r="O5"/>
  <c r="I5"/>
  <c r="J5" s="1"/>
  <c r="Q5" i="56"/>
  <c r="P5"/>
  <c r="I5"/>
  <c r="J5" s="1"/>
  <c r="Q5" i="51"/>
  <c r="Q5" i="54"/>
  <c r="P5"/>
  <c r="O5"/>
  <c r="I5"/>
  <c r="J5" s="1"/>
  <c r="Q5" i="53"/>
  <c r="P5"/>
  <c r="O5"/>
  <c r="I5"/>
  <c r="K5" s="1"/>
  <c r="Q5" i="52"/>
  <c r="P5"/>
  <c r="O5"/>
  <c r="I5"/>
  <c r="K5" s="1"/>
  <c r="P5" i="55"/>
  <c r="I5"/>
  <c r="J5" s="1"/>
  <c r="J5" i="66" l="1"/>
  <c r="K5" i="65"/>
  <c r="M5" s="1"/>
  <c r="S5" i="56"/>
  <c r="T5" s="1"/>
  <c r="K5" i="64"/>
  <c r="M5" s="1"/>
  <c r="K5" i="63"/>
  <c r="M5" s="1"/>
  <c r="K5" i="62"/>
  <c r="M5" s="1"/>
  <c r="O5" i="51"/>
  <c r="S5" s="1"/>
  <c r="T5" s="1"/>
  <c r="M5" i="61"/>
  <c r="N5" s="1"/>
  <c r="M6"/>
  <c r="N6" s="1"/>
  <c r="O5" i="58"/>
  <c r="K5" i="57"/>
  <c r="K5" i="56"/>
  <c r="R5" i="51"/>
  <c r="J5"/>
  <c r="K5" i="54"/>
  <c r="R5" i="53"/>
  <c r="J5"/>
  <c r="R5" i="52"/>
  <c r="J5"/>
  <c r="K5" i="55"/>
  <c r="T5" l="1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55" l="1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Q5" i="61" l="1"/>
  <c r="R5" s="1"/>
  <c r="S5" s="1"/>
  <c r="Q6"/>
  <c r="R6" s="1"/>
  <c r="S6" s="1"/>
  <c r="U5" i="58"/>
  <c r="T5"/>
  <c r="K5" i="39"/>
  <c r="M5" s="1"/>
  <c r="J5" i="46"/>
  <c r="AH5" i="1"/>
  <c r="AQ5" i="13"/>
  <c r="AP5"/>
  <c r="AF5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T6" i="61" l="1"/>
  <c r="U6"/>
  <c r="T5"/>
  <c r="U5"/>
  <c r="Z5" i="58"/>
  <c r="AB5" s="1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AD6" i="61" l="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AB5" i="61" l="1"/>
  <c r="AA5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AB7" i="61" l="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<sst xmlns="http://schemas.openxmlformats.org/spreadsheetml/2006/main" count="2479" uniqueCount="244">
  <si>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</si>
  <si>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</si>
  <si>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</si>
  <si>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</si>
  <si>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</si>
  <si>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</si>
  <si>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</si>
  <si>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</si>
  <si>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</si>
  <si>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</si>
  <si>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</si>
  <si>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</si>
  <si>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</si>
  <si>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</si>
  <si>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</si>
  <si>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</si>
  <si>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</si>
  <si>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</si>
  <si>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</si>
  <si>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</si>
  <si>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</si>
  <si>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</si>
  <si>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</si>
  <si>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</si>
  <si>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</si>
  <si>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</si>
  <si>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</si>
  <si>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</si>
  <si>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</si>
  <si>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</si>
  <si>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</si>
  <si>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</si>
  <si>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</si>
  <si>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</si>
  <si>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</si>
  <si>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</si>
  <si>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</si>
  <si>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</si>
  <si>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</si>
  <si>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</si>
  <si>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</si>
  <si>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</si>
  <si>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</si>
  <si>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</si>
  <si>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</si>
  <si>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</si>
  <si>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</si>
  <si>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</si>
  <si>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</si>
  <si>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</si>
  <si>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</si>
  <si>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</si>
  <si>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</si>
  <si>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</si>
  <si>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</si>
  <si>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</si>
  <si>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</si>
  <si>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</si>
  <si>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</si>
  <si>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</si>
  <si>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</si>
  <si>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</si>
  <si>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</si>
  <si>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</si>
  <si>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</si>
  <si>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</si>
  <si>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</si>
  <si>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</si>
  <si>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</si>
  <si>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</si>
  <si>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</si>
  <si>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</si>
  <si>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</si>
  <si>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</si>
  <si>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</si>
  <si>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</si>
  <si>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</si>
  <si>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</si>
  <si>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</si>
  <si>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</si>
  <si>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</si>
  <si>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</si>
  <si>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</si>
  <si>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</si>
  <si>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</si>
  <si>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</si>
  <si>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</si>
  <si>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</si>
  <si>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</si>
  <si>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</si>
  <si>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</si>
  <si>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</si>
  <si>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</si>
  <si>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</si>
  <si>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</si>
  <si>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</si>
  <si>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</si>
  <si>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</si>
  <si>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</si>
  <si>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</si>
  <si>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</si>
  <si>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</si>
  <si>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</si>
  <si>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</si>
  <si>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</si>
  <si>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</si>
  <si>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</si>
  <si>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</si>
  <si>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</si>
  <si>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</si>
  <si>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</si>
  <si>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</si>
  <si>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</si>
  <si>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</si>
  <si>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</si>
  <si>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</si>
  <si>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</si>
  <si>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</si>
  <si>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</si>
  <si>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</si>
  <si>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100001867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</si>
  <si>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</si>
  <si>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</si>
  <si>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</si>
  <si>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</si>
  <si>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</si>
  <si>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</si>
  <si>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</si>
  <si>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</si>
  <si>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</si>
  <si>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</si>
  <si>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</si>
  <si>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</si>
  <si>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</si>
  <si>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</si>
  <si>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</si>
  <si>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</si>
  <si>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</si>
  <si>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</si>
  <si>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</si>
  <si>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</si>
  <si>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</si>
  <si>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</si>
  <si>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</si>
  <si>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</si>
  <si>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</si>
  <si>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</si>
  <si>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</si>
  <si>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</si>
  <si>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</si>
  <si>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</si>
  <si>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</si>
  <si>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</si>
  <si>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</si>
  <si>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</si>
  <si>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</si>
  <si>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</si>
  <si>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</si>
  <si>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</si>
  <si>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</si>
  <si>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</si>
  <si>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</si>
  <si>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</si>
  <si>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</si>
  <si>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</si>
  <si>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</si>
  <si>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</si>
  <si>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</si>
  <si>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</si>
  <si>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</si>
  <si>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</si>
  <si>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</si>
  <si>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</si>
  <si>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</si>
  <si>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</si>
  <si>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</si>
  <si>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</si>
  <si>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</si>
  <si>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</si>
  <si>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</si>
  <si>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</si>
  <si>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</si>
  <si>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</si>
  <si>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</si>
  <si>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</si>
  <si>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</si>
  <si>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</si>
  <si>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</si>
  <si>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</si>
  <si>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</si>
  <si>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</si>
  <si>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99846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</si>
  <si>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</si>
  <si>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</si>
  <si>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</si>
  <si>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</si>
  <si>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</si>
  <si>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</si>
  <si>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</si>
  <si>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</si>
  <si>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</si>
  <si>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SORD-2526-00266</t>
  </si>
  <si>
    <t>99775</t>
  </si>
  <si>
    <t>99925</t>
  </si>
  <si>
    <t>99865</t>
  </si>
  <si>
    <t>81</t>
  </si>
  <si>
    <t>99894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</si>
  <si>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</si>
  <si>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</si>
  <si>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</si>
  <si>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</si>
  <si>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</si>
  <si>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</si>
  <si>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</si>
  <si>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</si>
  <si>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</si>
  <si>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</si>
  <si>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94011</t>
  </si>
  <si>
    <t>99592.5</t>
  </si>
  <si>
    <t>PROC- 8781</t>
  </si>
  <si>
    <t>SORD-2526-00808</t>
  </si>
  <si>
    <t>FG WH49</t>
  </si>
  <si>
    <t>30</t>
  </si>
  <si>
    <t>SO3-2526-00090</t>
  </si>
  <si>
    <t>SO3-2526-00091</t>
  </si>
  <si>
    <t>SO3-2526-00097</t>
  </si>
  <si>
    <t>35</t>
  </si>
  <si>
    <t>VJ-PROJECTU3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</si>
  <si>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</si>
  <si>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</si>
  <si>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</si>
  <si>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</si>
  <si>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</si>
  <si>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</si>
  <si>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</si>
  <si>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</si>
  <si>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</si>
  <si>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</si>
  <si>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</si>
  <si>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</si>
  <si>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</si>
  <si>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91316</t>
  </si>
  <si>
    <t>99725</t>
  </si>
  <si>
    <t>99710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</si>
</sst>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b/>
      <sz val="10"/>
      <color theme="1"/>
      <name val="Cambria"/>
      <charset val="134"/>
      <scheme val="major"/>
    </font>
    <font>
      <sz val="11"/>
      <color rgb="FF9C6500"/>
      <name val="Calibri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176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26.85546875" style="29" bestFit="1" customWidth="1"/>
    <col min="36" max="36" width="13.140625" style="29" bestFit="1" customWidth="1"/>
    <col min="37" max="37" width="14" style="29" bestFit="1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70" t="s">
        <v>0</v>
      </c>
      <c r="B3" s="170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145</v>
      </c>
      <c r="C5" s="10">
        <v>0</v>
      </c>
      <c r="D5" s="37" t="s">
        <v>145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217</v>
      </c>
      <c r="AH5" s="9">
        <f>AG5-AF5</f>
        <v>-15</v>
      </c>
      <c r="AI5" s="10" t="s">
        <v>173</v>
      </c>
      <c r="AJ5" s="10" t="s">
        <v>174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218</v>
      </c>
      <c r="AH6" s="9">
        <f>AG6-AF6</f>
        <v>9490</v>
      </c>
      <c r="AI6" s="10" t="s">
        <v>173</v>
      </c>
      <c r="AJ6" s="10" t="s">
        <v>174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39" width="12.5703125" style="28" customWidth="1"/>
    <col min="40" max="16384" width="9.140625" style="29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70" t="s">
        <v>0</v>
      </c>
      <c r="B3" s="170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145</v>
      </c>
      <c r="C5" s="10">
        <v>0</v>
      </c>
      <c r="D5" s="37" t="s">
        <v>145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185</v>
      </c>
      <c r="AH5" s="9">
        <f>AG5-AF5</f>
        <v>82574</v>
      </c>
      <c r="AI5" s="10" t="s">
        <v>173</v>
      </c>
      <c r="AJ5" s="10" t="s">
        <v>174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186</v>
      </c>
      <c r="AH6" s="9">
        <f>AG6-AF6</f>
        <v>9657.5</v>
      </c>
      <c r="AI6" s="10" t="s">
        <v>173</v>
      </c>
      <c r="AJ6" s="10" t="s">
        <v>174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70" t="s">
        <v>0</v>
      </c>
      <c r="B3" s="170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179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202</v>
      </c>
      <c r="AH5" s="9">
        <f>AG5-AF5</f>
        <v>9645</v>
      </c>
      <c r="AI5" s="10" t="s">
        <v>173</v>
      </c>
      <c r="AJ5" s="10" t="s">
        <v>174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203</v>
      </c>
      <c r="AH6" s="9">
        <f>AG6-AF6</f>
        <v>9950.6589999999997</v>
      </c>
      <c r="AI6" s="10" t="s">
        <v>173</v>
      </c>
      <c r="AJ6" s="10" t="s">
        <v>174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70" t="s">
        <v>0</v>
      </c>
      <c r="B3" s="170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178</v>
      </c>
      <c r="AH5" s="9">
        <f>AG5-AF5</f>
        <v>9745</v>
      </c>
      <c r="AI5" s="10" t="s">
        <v>173</v>
      </c>
      <c r="AJ5" s="10" t="s">
        <v>174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9880</v>
      </c>
      <c r="AI6" s="10" t="s">
        <v>173</v>
      </c>
      <c r="AJ6" s="10" t="s">
        <v>174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70" t="s">
        <v>0</v>
      </c>
      <c r="B3" s="170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188</v>
      </c>
      <c r="AH5" s="9">
        <f>AG5-AF5</f>
        <v>9717</v>
      </c>
      <c r="AI5" s="10" t="s">
        <v>173</v>
      </c>
      <c r="AJ5" s="10" t="s">
        <v>174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178</v>
      </c>
      <c r="AH6" s="9">
        <f>AG6-AF6</f>
        <v>9865</v>
      </c>
      <c r="AI6" s="10" t="s">
        <v>173</v>
      </c>
      <c r="AJ6" s="10" t="s">
        <v>174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70" t="s">
        <v>0</v>
      </c>
      <c r="B3" s="170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180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188</v>
      </c>
      <c r="AH5" s="9">
        <f>AG5-AF5</f>
        <v>9795</v>
      </c>
      <c r="AI5" s="10" t="s">
        <v>173</v>
      </c>
      <c r="AJ5" s="10" t="s">
        <v>174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181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189</v>
      </c>
      <c r="AH6" s="9">
        <f>AG6-AF6</f>
        <v>9900</v>
      </c>
      <c r="AI6" s="10" t="s">
        <v>173</v>
      </c>
      <c r="AJ6" s="10" t="s">
        <v>174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0" t="s">
        <v>0</v>
      </c>
      <c r="B3" s="170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182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188</v>
      </c>
      <c r="AH5" s="9">
        <f>AG5-AF5</f>
        <v>9703</v>
      </c>
      <c r="AI5" s="10" t="s">
        <v>173</v>
      </c>
      <c r="AJ5" s="10" t="s">
        <v>174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178</v>
      </c>
      <c r="AH6" s="9">
        <f>AG6-AF6</f>
        <v>9852.5</v>
      </c>
      <c r="AI6" s="10" t="s">
        <v>173</v>
      </c>
      <c r="AJ6" s="10" t="s">
        <v>174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0" t="s">
        <v>0</v>
      </c>
      <c r="B3" s="170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205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204</v>
      </c>
      <c r="AH5" s="9">
        <f>AG5-AF5</f>
        <v>9805</v>
      </c>
      <c r="AI5" s="10" t="s">
        <v>173</v>
      </c>
      <c r="AJ5" s="10" t="s">
        <v>174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188</v>
      </c>
      <c r="AH6" s="9">
        <f>AG6-AF6</f>
        <v>9905</v>
      </c>
      <c r="AI6" s="10" t="s">
        <v>173</v>
      </c>
      <c r="AJ6" s="10" t="s">
        <v>174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0" t="s">
        <v>0</v>
      </c>
      <c r="B3" s="170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206</v>
      </c>
      <c r="AH5" s="9">
        <f>AG5-AF5</f>
        <v>9805</v>
      </c>
      <c r="AI5" s="10" t="s">
        <v>173</v>
      </c>
      <c r="AJ5" s="10" t="s">
        <v>174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184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194</v>
      </c>
      <c r="AH6" s="9">
        <f>AG6-AF6</f>
        <v>9905</v>
      </c>
      <c r="AI6" s="10" t="s">
        <v>173</v>
      </c>
      <c r="AJ6" s="10" t="s">
        <v>174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0" t="s">
        <v>0</v>
      </c>
      <c r="B3" s="170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175</v>
      </c>
      <c r="AH5" s="9">
        <f>AG5-AF5</f>
        <v>9775</v>
      </c>
      <c r="AI5" s="10" t="s">
        <v>173</v>
      </c>
      <c r="AJ5" s="10" t="s">
        <v>174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175</v>
      </c>
      <c r="AH6" s="9">
        <f>AG6-AF6</f>
        <v>9890</v>
      </c>
      <c r="AI6" s="10" t="s">
        <v>173</v>
      </c>
      <c r="AJ6" s="10" t="s">
        <v>174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70" t="s">
        <v>0</v>
      </c>
      <c r="B3" s="170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119</v>
      </c>
      <c r="AH5" s="34">
        <f>AG5-AF5</f>
        <v>782</v>
      </c>
      <c r="AI5" s="10" t="s">
        <v>173</v>
      </c>
      <c r="AJ5" s="10" t="s">
        <v>174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" style="29" bestFit="1" customWidth="1"/>
    <col min="4" max="4" width="29.85546875" style="29" customWidth="1"/>
    <col min="5" max="5" width="10" style="29" bestFit="1" customWidth="1"/>
    <col min="6" max="6" width="18.8554687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70" t="s">
        <v>0</v>
      </c>
      <c r="B3" s="170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199</v>
      </c>
      <c r="AH5" s="34">
        <f>AG5-AF5</f>
        <v>65983</v>
      </c>
      <c r="AI5" s="10" t="s">
        <v>173</v>
      </c>
      <c r="AJ5" s="10" t="s">
        <v>174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197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198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70" t="s">
        <v>0</v>
      </c>
      <c r="B3" s="170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175</v>
      </c>
      <c r="AH5" s="34">
        <f>AG5-AF5</f>
        <v>65983</v>
      </c>
      <c r="AI5" s="10" t="s">
        <v>173</v>
      </c>
      <c r="AJ5" s="10" t="s">
        <v>174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70" t="s">
        <v>0</v>
      </c>
      <c r="B3" s="170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110</v>
      </c>
      <c r="AH5" s="34">
        <f>AG5-AF5</f>
        <v>65248</v>
      </c>
      <c r="AI5" s="10" t="s">
        <v>173</v>
      </c>
      <c r="AJ5" s="10" t="s">
        <v>174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111</v>
      </c>
      <c r="AH6" s="34">
        <f>AG6-AF6</f>
        <v>99984</v>
      </c>
      <c r="AI6" s="10" t="s">
        <v>173</v>
      </c>
      <c r="AJ6" s="10" t="s">
        <v>174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112</v>
      </c>
      <c r="AH7" s="34">
        <f t="shared" ref="AH7:AH14" si="20">AG7-AF7</f>
        <v>99983</v>
      </c>
      <c r="AI7" s="10" t="s">
        <v>173</v>
      </c>
      <c r="AJ7" s="10" t="s">
        <v>174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99982</v>
      </c>
      <c r="AI8" s="10" t="s">
        <v>173</v>
      </c>
      <c r="AJ8" s="10" t="s">
        <v>174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113</v>
      </c>
      <c r="AH9" s="34">
        <f t="shared" si="20"/>
        <v>99981</v>
      </c>
      <c r="AI9" s="10" t="s">
        <v>173</v>
      </c>
      <c r="AJ9" s="10" t="s">
        <v>174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114</v>
      </c>
      <c r="AH10" s="34">
        <f t="shared" si="20"/>
        <v>99980</v>
      </c>
      <c r="AI10" s="10" t="s">
        <v>173</v>
      </c>
      <c r="AJ10" s="10" t="s">
        <v>174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115</v>
      </c>
      <c r="AH11" s="34">
        <f t="shared" si="20"/>
        <v>99979</v>
      </c>
      <c r="AI11" s="10" t="s">
        <v>173</v>
      </c>
      <c r="AJ11" s="10" t="s">
        <v>174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116</v>
      </c>
      <c r="AH12" s="102">
        <f t="shared" si="20"/>
        <v>99978</v>
      </c>
      <c r="AI12" s="10" t="s">
        <v>173</v>
      </c>
      <c r="AJ12" s="10" t="s">
        <v>174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117</v>
      </c>
      <c r="AH13" s="34">
        <f t="shared" si="20"/>
        <v>99977</v>
      </c>
      <c r="AI13" s="10" t="s">
        <v>173</v>
      </c>
      <c r="AJ13" s="10" t="s">
        <v>174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118</v>
      </c>
      <c r="AH14" s="34">
        <f t="shared" si="20"/>
        <v>99976</v>
      </c>
      <c r="AI14" s="10" t="s">
        <v>173</v>
      </c>
      <c r="AJ14" s="10" t="s">
        <v>174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36" style="28" customWidth="1"/>
    <col min="40" max="40" width="15.42578125" style="29" customWidth="1"/>
    <col min="41" max="41" width="14.140625" style="29" customWidth="1"/>
    <col min="42" max="42" width="15" style="29" customWidth="1"/>
    <col min="43" max="43" width="16.5703125" style="29" customWidth="1"/>
    <col min="44" max="16384" width="9.140625" style="29"/>
  </cols>
  <sheetData>
    <row r="1" spans="1:43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70" t="s">
        <v>0</v>
      </c>
      <c r="B3" s="170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241</v>
      </c>
      <c r="AH5" s="33">
        <f>AG5-AF5</f>
        <v>99656</v>
      </c>
      <c r="AI5" s="10" t="s">
        <v>173</v>
      </c>
      <c r="AJ5" s="10" t="s">
        <v>174</v>
      </c>
      <c r="AK5" s="33">
        <f>AH5</f>
        <v>99656</v>
      </c>
      <c r="AL5" s="33">
        <f>AK5+G5</f>
        <v>99671</v>
      </c>
      <c r="AM5" s="28" t="s">
        <v>66</v>
      </c>
      <c r="AN5" s="67" t="s">
        <v>176</v>
      </c>
      <c r="AO5" s="29" t="s">
        <v>120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34.5703125" style="29" customWidth="1"/>
    <col min="8" max="8" width="21.28515625" style="29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70" t="s">
        <v>0</v>
      </c>
      <c r="B3" s="170"/>
      <c r="C3" s="132"/>
      <c r="D3" s="3">
        <v>4</v>
      </c>
      <c r="E3" s="4" t="s">
        <v>169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170</v>
      </c>
      <c r="AL4" s="58"/>
    </row>
    <row r="5" spans="1:38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99861</v>
      </c>
      <c r="AI5" s="10" t="s">
        <v>173</v>
      </c>
      <c r="AJ5" s="10" t="s">
        <v>174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70" t="s">
        <v>0</v>
      </c>
      <c r="B3" s="170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80699</v>
      </c>
      <c r="AI5" s="10" t="s">
        <v>173</v>
      </c>
      <c r="AJ5" s="10" t="s">
        <v>174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0" t="s">
        <v>0</v>
      </c>
      <c r="B3" s="170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192</v>
      </c>
      <c r="AH5" s="9">
        <f>AG5-AF5</f>
        <v>80699</v>
      </c>
      <c r="AI5" s="10" t="s">
        <v>173</v>
      </c>
      <c r="AJ5" s="10" t="s">
        <v>174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0" t="s">
        <v>0</v>
      </c>
      <c r="B3" s="170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193</v>
      </c>
      <c r="AH5" s="9">
        <f>AG5-AF5</f>
        <v>80704</v>
      </c>
      <c r="AI5" s="10" t="s">
        <v>173</v>
      </c>
      <c r="AJ5" s="10" t="s">
        <v>174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0" t="s">
        <v>0</v>
      </c>
      <c r="B3" s="170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176</v>
      </c>
      <c r="AJ5" s="10" t="s">
        <v>174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0" t="s">
        <v>0</v>
      </c>
      <c r="B3" s="170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75</v>
      </c>
      <c r="AJ5" s="10" t="s">
        <v>174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70" t="s">
        <v>0</v>
      </c>
      <c r="B3" s="170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214</v>
      </c>
      <c r="AH5" s="9">
        <f>AG5-AF5</f>
        <v>80699</v>
      </c>
      <c r="AI5" s="10" t="s">
        <v>173</v>
      </c>
      <c r="AJ5" s="10" t="s">
        <v>174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5.42578125" style="29" customWidth="1"/>
    <col min="38" max="16384" width="9.140625" style="29"/>
  </cols>
  <sheetData>
    <row r="1" spans="1:37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70" t="s">
        <v>0</v>
      </c>
      <c r="B3" s="170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191</v>
      </c>
      <c r="AH5" s="9">
        <f>AG5-AF5</f>
        <v>63733</v>
      </c>
      <c r="AI5" s="10" t="s">
        <v>173</v>
      </c>
      <c r="AJ5" s="10" t="s">
        <v>174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70" t="s">
        <v>0</v>
      </c>
      <c r="B3" s="170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194</v>
      </c>
      <c r="AH5" s="9">
        <f>AG5-AF5</f>
        <v>9630</v>
      </c>
      <c r="AI5" s="10" t="s">
        <v>173</v>
      </c>
      <c r="AJ5" s="10" t="s">
        <v>174</v>
      </c>
      <c r="AK5" s="66" t="s">
        <v>72</v>
      </c>
      <c r="AL5" s="59"/>
    </row>
    <row r="6" spans="1:38" ht="15">
      <c r="A6" s="10">
        <v>2</v>
      </c>
      <c r="B6" s="42" t="s">
        <v>145</v>
      </c>
      <c r="C6" s="10">
        <v>0</v>
      </c>
      <c r="D6" s="42" t="s">
        <v>145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195</v>
      </c>
      <c r="AH6" s="9">
        <f>AG6-AF6</f>
        <v>78219</v>
      </c>
      <c r="AI6" s="10" t="s">
        <v>173</v>
      </c>
      <c r="AJ6" s="10" t="s">
        <v>174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topLeftCell="AE1" workbookViewId="0">
      <selection activeCell="AK23" sqref="AK23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70" t="s">
        <v>0</v>
      </c>
      <c r="B3" s="170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200</v>
      </c>
      <c r="AL5" s="72" t="s">
        <v>201</v>
      </c>
    </row>
    <row r="6" spans="1:38" ht="15">
      <c r="A6" s="10">
        <v>2</v>
      </c>
      <c r="B6" s="42" t="s">
        <v>145</v>
      </c>
      <c r="C6" s="10">
        <v>0</v>
      </c>
      <c r="D6" s="42" t="s">
        <v>145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200</v>
      </c>
      <c r="AL6" s="66" t="s">
        <v>201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L6" sqref="AL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70" t="s">
        <v>0</v>
      </c>
      <c r="B3" s="170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200</v>
      </c>
      <c r="AL5" s="72" t="s">
        <v>201</v>
      </c>
    </row>
    <row r="6" spans="1:38" ht="15">
      <c r="A6" s="10">
        <v>2</v>
      </c>
      <c r="B6" s="42" t="s">
        <v>145</v>
      </c>
      <c r="C6" s="10">
        <v>0</v>
      </c>
      <c r="D6" s="42" t="s">
        <v>145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200</v>
      </c>
      <c r="AL6" s="66" t="s">
        <v>201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70" t="s">
        <v>0</v>
      </c>
      <c r="B3" s="170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173</v>
      </c>
      <c r="AJ5" s="10" t="s">
        <v>174</v>
      </c>
      <c r="AK5" s="72" t="s">
        <v>196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70" t="s">
        <v>0</v>
      </c>
      <c r="B3" s="170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173</v>
      </c>
      <c r="AJ5" s="10" t="s">
        <v>174</v>
      </c>
      <c r="AK5" s="72" t="s">
        <v>196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1.7109375" style="29" customWidth="1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70" t="s">
        <v>0</v>
      </c>
      <c r="B3" s="170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173</v>
      </c>
      <c r="AJ5" s="10" t="s">
        <v>174</v>
      </c>
      <c r="AK5" s="72" t="s">
        <v>196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70" t="s">
        <v>0</v>
      </c>
      <c r="B3" s="170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243</v>
      </c>
      <c r="AH5" s="34">
        <f>AG5-AF5</f>
        <v>49586</v>
      </c>
      <c r="AI5" s="10" t="s">
        <v>221</v>
      </c>
      <c r="AJ5" s="10" t="s">
        <v>174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70" t="s">
        <v>0</v>
      </c>
      <c r="B3" s="170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145</v>
      </c>
      <c r="C5" s="10">
        <v>0</v>
      </c>
      <c r="D5" s="42" t="s">
        <v>145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242</v>
      </c>
      <c r="AH5" s="34">
        <f>AG5-AF5</f>
        <v>65983</v>
      </c>
      <c r="AI5" s="10" t="s">
        <v>221</v>
      </c>
      <c r="AJ5" s="10" t="s">
        <v>174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71" t="s">
        <v>130</v>
      </c>
      <c r="B1" s="171"/>
      <c r="C1" s="171"/>
      <c r="D1" s="171"/>
    </row>
    <row r="2" spans="1:5" ht="18">
      <c r="D2" s="112"/>
    </row>
    <row r="3" spans="1:5" ht="19.899999999999999" customHeight="1">
      <c r="A3" s="170"/>
      <c r="B3" s="170"/>
      <c r="C3" s="111"/>
      <c r="D3" s="111"/>
    </row>
    <row r="4" spans="1:5" s="31" customFormat="1">
      <c r="A4" s="11" t="s">
        <v>5</v>
      </c>
      <c r="B4" s="11" t="s">
        <v>121</v>
      </c>
      <c r="C4" s="11" t="s">
        <v>126</v>
      </c>
      <c r="D4" s="11" t="s">
        <v>127</v>
      </c>
      <c r="E4" s="58"/>
    </row>
    <row r="5" spans="1:5" ht="15">
      <c r="A5" s="10">
        <v>1</v>
      </c>
      <c r="B5" s="29" t="s">
        <v>219</v>
      </c>
      <c r="C5" s="42" t="s">
        <v>129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71" t="s">
        <v>131</v>
      </c>
      <c r="B1" s="171"/>
      <c r="C1" s="171"/>
      <c r="D1" s="171"/>
    </row>
    <row r="2" spans="1:5" ht="18">
      <c r="D2" s="112"/>
    </row>
    <row r="3" spans="1:5" ht="19.899999999999999" customHeight="1">
      <c r="A3" s="170"/>
      <c r="B3" s="170"/>
      <c r="C3" s="111"/>
      <c r="D3" s="111"/>
    </row>
    <row r="4" spans="1:5" s="31" customFormat="1">
      <c r="A4" s="11" t="s">
        <v>5</v>
      </c>
      <c r="B4" s="11" t="s">
        <v>121</v>
      </c>
      <c r="C4" s="11" t="s">
        <v>126</v>
      </c>
      <c r="D4" s="11" t="s">
        <v>127</v>
      </c>
      <c r="E4" s="58"/>
    </row>
    <row r="5" spans="1:5" ht="15">
      <c r="A5" s="10">
        <v>1</v>
      </c>
      <c r="B5" s="29" t="s">
        <v>240</v>
      </c>
      <c r="C5" s="42" t="s">
        <v>128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1" t="s">
        <v>136</v>
      </c>
      <c r="B1" s="171"/>
      <c r="C1" s="171"/>
      <c r="D1" s="171"/>
    </row>
    <row r="2" spans="1:16" ht="18">
      <c r="D2" s="165"/>
    </row>
    <row r="3" spans="1:16" ht="19.899999999999999" customHeight="1">
      <c r="A3" s="170"/>
      <c r="B3" s="170"/>
      <c r="C3" s="164"/>
      <c r="D3" s="164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138</v>
      </c>
    </row>
    <row r="5" spans="1:16" ht="15">
      <c r="A5" s="10">
        <v>1</v>
      </c>
      <c r="B5" s="114" t="s">
        <v>137</v>
      </c>
      <c r="C5" s="42" t="s">
        <v>57</v>
      </c>
      <c r="D5" s="10" t="s">
        <v>125</v>
      </c>
      <c r="E5" s="67" t="s">
        <v>135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223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H7" sqref="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1" t="s">
        <v>136</v>
      </c>
      <c r="B1" s="171"/>
      <c r="C1" s="171"/>
      <c r="D1" s="171"/>
    </row>
    <row r="2" spans="1:16" ht="18">
      <c r="D2" s="112"/>
    </row>
    <row r="3" spans="1:16" ht="19.899999999999999" customHeight="1">
      <c r="A3" s="170"/>
      <c r="B3" s="170"/>
      <c r="C3" s="111"/>
      <c r="D3" s="111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138</v>
      </c>
    </row>
    <row r="5" spans="1:16" ht="15">
      <c r="A5" s="10">
        <v>1</v>
      </c>
      <c r="B5" s="114" t="s">
        <v>137</v>
      </c>
      <c r="C5" s="42" t="s">
        <v>57</v>
      </c>
      <c r="D5" s="10" t="s">
        <v>125</v>
      </c>
      <c r="E5" s="67" t="s">
        <v>135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215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2" style="29" customWidth="1"/>
    <col min="7" max="15" width="9.140625" style="29"/>
    <col min="16" max="16" width="14.85546875" style="29" bestFit="1" customWidth="1"/>
    <col min="17" max="16384" width="9.140625" style="29"/>
  </cols>
  <sheetData>
    <row r="1" spans="1:16" ht="27.75" customHeight="1">
      <c r="A1" s="171" t="s">
        <v>136</v>
      </c>
      <c r="B1" s="171"/>
      <c r="C1" s="171"/>
      <c r="D1" s="171"/>
    </row>
    <row r="2" spans="1:16" ht="18">
      <c r="D2" s="168"/>
    </row>
    <row r="3" spans="1:16" ht="19.899999999999999" customHeight="1">
      <c r="A3" s="170"/>
      <c r="B3" s="170"/>
      <c r="C3" s="167"/>
      <c r="D3" s="167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138</v>
      </c>
    </row>
    <row r="5" spans="1:16" ht="15">
      <c r="A5" s="10">
        <v>1</v>
      </c>
      <c r="B5" s="114" t="s">
        <v>137</v>
      </c>
      <c r="C5" s="114" t="s">
        <v>140</v>
      </c>
      <c r="D5" s="10" t="s">
        <v>125</v>
      </c>
      <c r="E5" s="67" t="s">
        <v>135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227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2" style="29" customWidth="1"/>
    <col min="7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71" t="s">
        <v>136</v>
      </c>
      <c r="B1" s="171"/>
      <c r="C1" s="171"/>
      <c r="D1" s="171"/>
    </row>
    <row r="2" spans="1:16" ht="18">
      <c r="D2" s="112"/>
    </row>
    <row r="3" spans="1:16" ht="19.899999999999999" customHeight="1">
      <c r="A3" s="170"/>
      <c r="B3" s="170"/>
      <c r="C3" s="111"/>
      <c r="D3" s="111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138</v>
      </c>
    </row>
    <row r="5" spans="1:16" ht="15">
      <c r="A5" s="10">
        <v>1</v>
      </c>
      <c r="B5" s="114" t="s">
        <v>137</v>
      </c>
      <c r="C5" s="114" t="s">
        <v>140</v>
      </c>
      <c r="D5" s="10" t="s">
        <v>125</v>
      </c>
      <c r="E5" s="67" t="s">
        <v>135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141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1.5703125" style="29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1" t="s">
        <v>136</v>
      </c>
      <c r="B1" s="171"/>
      <c r="C1" s="171"/>
      <c r="D1" s="171"/>
    </row>
    <row r="2" spans="1:16" ht="18">
      <c r="D2" s="165"/>
    </row>
    <row r="3" spans="1:16" ht="19.899999999999999" customHeight="1">
      <c r="A3" s="170"/>
      <c r="B3" s="170"/>
      <c r="C3" s="164"/>
      <c r="D3" s="164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138</v>
      </c>
    </row>
    <row r="5" spans="1:16" ht="15">
      <c r="A5" s="10">
        <v>1</v>
      </c>
      <c r="B5" s="114" t="s">
        <v>146</v>
      </c>
      <c r="C5" s="114" t="s">
        <v>140</v>
      </c>
      <c r="D5" s="10" t="s">
        <v>148</v>
      </c>
      <c r="E5" s="67" t="s">
        <v>135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225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P5" sqref="P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1.5703125" style="29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1" t="s">
        <v>136</v>
      </c>
      <c r="B1" s="171"/>
      <c r="C1" s="171"/>
      <c r="D1" s="171"/>
    </row>
    <row r="2" spans="1:16" ht="18">
      <c r="D2" s="119"/>
    </row>
    <row r="3" spans="1:16" ht="19.899999999999999" customHeight="1">
      <c r="A3" s="170"/>
      <c r="B3" s="170"/>
      <c r="C3" s="118"/>
      <c r="D3" s="118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138</v>
      </c>
    </row>
    <row r="5" spans="1:16" ht="15">
      <c r="A5" s="10">
        <v>1</v>
      </c>
      <c r="B5" s="114" t="s">
        <v>146</v>
      </c>
      <c r="C5" s="114" t="s">
        <v>140</v>
      </c>
      <c r="D5" s="10" t="s">
        <v>148</v>
      </c>
      <c r="E5" s="67" t="s">
        <v>135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220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3.140625" style="29" customWidth="1"/>
    <col min="7" max="9" width="9.140625" style="29"/>
    <col min="10" max="10" width="11.140625" style="29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1" t="s">
        <v>136</v>
      </c>
      <c r="B1" s="171"/>
      <c r="C1" s="171"/>
      <c r="D1" s="171"/>
    </row>
    <row r="2" spans="1:16" ht="18">
      <c r="D2" s="165"/>
    </row>
    <row r="3" spans="1:16" ht="19.899999999999999" customHeight="1">
      <c r="A3" s="170"/>
      <c r="B3" s="170"/>
      <c r="C3" s="164"/>
      <c r="D3" s="164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138</v>
      </c>
    </row>
    <row r="5" spans="1:16" ht="15">
      <c r="A5" s="10">
        <v>1</v>
      </c>
      <c r="B5" s="114" t="s">
        <v>139</v>
      </c>
      <c r="C5" s="114" t="s">
        <v>140</v>
      </c>
      <c r="D5" s="10" t="s">
        <v>133</v>
      </c>
      <c r="E5" s="67" t="s">
        <v>135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160</v>
      </c>
      <c r="O5" s="123">
        <v>88363221</v>
      </c>
      <c r="P5" s="10" t="s">
        <v>224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3.140625" style="29" customWidth="1"/>
    <col min="7" max="9" width="9.140625" style="29"/>
    <col min="10" max="10" width="11.140625" style="29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1" t="s">
        <v>136</v>
      </c>
      <c r="B1" s="171"/>
      <c r="C1" s="171"/>
      <c r="D1" s="171"/>
    </row>
    <row r="2" spans="1:16" ht="18">
      <c r="D2" s="112"/>
    </row>
    <row r="3" spans="1:16" ht="19.899999999999999" customHeight="1">
      <c r="A3" s="170"/>
      <c r="B3" s="170"/>
      <c r="C3" s="111"/>
      <c r="D3" s="111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138</v>
      </c>
    </row>
    <row r="5" spans="1:16" ht="15">
      <c r="A5" s="10">
        <v>1</v>
      </c>
      <c r="B5" s="114" t="s">
        <v>139</v>
      </c>
      <c r="C5" s="114" t="s">
        <v>140</v>
      </c>
      <c r="D5" s="10" t="s">
        <v>133</v>
      </c>
      <c r="E5" s="67" t="s">
        <v>135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160</v>
      </c>
      <c r="O5" s="123">
        <v>88363221</v>
      </c>
      <c r="P5" s="10" t="s">
        <v>216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15" ht="27.75" customHeight="1">
      <c r="A1" s="171" t="s">
        <v>136</v>
      </c>
      <c r="B1" s="171"/>
      <c r="C1" s="171"/>
      <c r="D1" s="171"/>
    </row>
    <row r="2" spans="1:15" ht="18">
      <c r="D2" s="112"/>
    </row>
    <row r="3" spans="1:15" ht="19.899999999999999" customHeight="1">
      <c r="A3" s="170"/>
      <c r="B3" s="170"/>
      <c r="C3" s="111"/>
      <c r="D3" s="111"/>
    </row>
    <row r="4" spans="1:15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</row>
    <row r="5" spans="1:15" ht="15">
      <c r="A5" s="10">
        <v>1</v>
      </c>
      <c r="B5" s="42" t="s">
        <v>132</v>
      </c>
      <c r="C5" s="42" t="s">
        <v>57</v>
      </c>
      <c r="D5" s="10" t="s">
        <v>133</v>
      </c>
      <c r="E5" s="67" t="s">
        <v>135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160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7.42578125" style="29" customWidth="1"/>
    <col min="5" max="5" width="19.5703125" style="29" bestFit="1" customWidth="1"/>
    <col min="6" max="6" width="12.140625" style="29" bestFit="1" customWidth="1"/>
    <col min="7" max="9" width="9.140625" style="29"/>
    <col min="10" max="10" width="11.7109375" style="29" customWidth="1"/>
    <col min="11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71" t="s">
        <v>147</v>
      </c>
      <c r="B1" s="171"/>
      <c r="C1" s="171"/>
      <c r="D1" s="171"/>
    </row>
    <row r="2" spans="1:16" ht="18">
      <c r="D2" s="168"/>
    </row>
    <row r="3" spans="1:16" ht="19.899999999999999" customHeight="1">
      <c r="A3" s="170"/>
      <c r="B3" s="170"/>
      <c r="C3" s="167"/>
      <c r="D3" s="167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138</v>
      </c>
    </row>
    <row r="5" spans="1:16" ht="15">
      <c r="A5" s="10">
        <v>1</v>
      </c>
      <c r="B5" s="42" t="s">
        <v>146</v>
      </c>
      <c r="C5" s="42" t="s">
        <v>57</v>
      </c>
      <c r="D5" s="10" t="s">
        <v>142</v>
      </c>
      <c r="E5" s="67" t="s">
        <v>135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141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7.42578125" style="29" customWidth="1"/>
    <col min="5" max="5" width="19.5703125" style="29" bestFit="1" customWidth="1"/>
    <col min="6" max="6" width="12.140625" style="29" bestFit="1" customWidth="1"/>
    <col min="7" max="9" width="9.140625" style="29"/>
    <col min="10" max="10" width="11.7109375" style="29" customWidth="1"/>
    <col min="11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71" t="s">
        <v>147</v>
      </c>
      <c r="B1" s="171"/>
      <c r="C1" s="171"/>
      <c r="D1" s="171"/>
    </row>
    <row r="2" spans="1:16" ht="18">
      <c r="D2" s="121"/>
    </row>
    <row r="3" spans="1:16" ht="19.899999999999999" customHeight="1">
      <c r="A3" s="170"/>
      <c r="B3" s="170"/>
      <c r="C3" s="120"/>
      <c r="D3" s="120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138</v>
      </c>
    </row>
    <row r="5" spans="1:16" ht="15">
      <c r="A5" s="10">
        <v>1</v>
      </c>
      <c r="B5" s="42" t="s">
        <v>146</v>
      </c>
      <c r="C5" s="42" t="s">
        <v>57</v>
      </c>
      <c r="D5" s="10" t="s">
        <v>142</v>
      </c>
      <c r="E5" s="67" t="s">
        <v>135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141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1" style="29" customWidth="1"/>
    <col min="11" max="16384" width="9.140625" style="29"/>
  </cols>
  <sheetData>
    <row r="1" spans="1:15" ht="27.75" customHeight="1">
      <c r="A1" s="171" t="s">
        <v>144</v>
      </c>
      <c r="B1" s="171"/>
      <c r="C1" s="171"/>
      <c r="D1" s="171"/>
    </row>
    <row r="2" spans="1:15" ht="18">
      <c r="D2" s="117"/>
    </row>
    <row r="3" spans="1:15" ht="19.899999999999999" customHeight="1">
      <c r="A3" s="170"/>
      <c r="B3" s="170"/>
      <c r="C3" s="116"/>
      <c r="D3" s="116"/>
    </row>
    <row r="4" spans="1:15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</row>
    <row r="5" spans="1:15" ht="15">
      <c r="A5" s="10">
        <v>1</v>
      </c>
      <c r="B5" s="42" t="s">
        <v>143</v>
      </c>
      <c r="C5" s="42" t="s">
        <v>57</v>
      </c>
      <c r="D5" s="10" t="s">
        <v>142</v>
      </c>
      <c r="E5" s="67" t="s">
        <v>135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T6" sqref="T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1" t="s">
        <v>167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1</v>
      </c>
      <c r="E3" s="4" t="s">
        <v>169</v>
      </c>
      <c r="F3" s="5"/>
      <c r="G3" s="5"/>
      <c r="H3" s="5"/>
      <c r="I3" s="6"/>
      <c r="J3" s="6">
        <v>2</v>
      </c>
      <c r="K3" s="7" t="s">
        <v>162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26" t="s">
        <v>126</v>
      </c>
      <c r="G4" s="126" t="s">
        <v>127</v>
      </c>
      <c r="H4" s="126" t="s">
        <v>149</v>
      </c>
      <c r="I4" s="115" t="s">
        <v>150</v>
      </c>
      <c r="J4" s="115" t="s">
        <v>151</v>
      </c>
      <c r="K4" s="115" t="s">
        <v>152</v>
      </c>
      <c r="L4" s="127" t="s">
        <v>159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170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57</v>
      </c>
      <c r="D5" s="10" t="s">
        <v>125</v>
      </c>
      <c r="E5" s="67" t="s">
        <v>135</v>
      </c>
      <c r="F5" s="29" t="s">
        <v>128</v>
      </c>
      <c r="G5" s="29" t="s">
        <v>222</v>
      </c>
      <c r="H5" s="29" t="s">
        <v>161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40.5</v>
      </c>
      <c r="P5" s="34">
        <f>IF($D$3=1,ROUND(((K5*N5)/2),2),0)</f>
        <v>40.5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P25" sqref="P2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1" t="s">
        <v>166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2</v>
      </c>
      <c r="E3" s="4" t="s">
        <v>169</v>
      </c>
      <c r="F3" s="5"/>
      <c r="G3" s="5"/>
      <c r="H3" s="5"/>
      <c r="I3" s="6"/>
      <c r="J3" s="6">
        <v>1</v>
      </c>
      <c r="K3" s="7" t="s">
        <v>162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26" t="s">
        <v>126</v>
      </c>
      <c r="G4" s="126" t="s">
        <v>127</v>
      </c>
      <c r="H4" s="126" t="s">
        <v>149</v>
      </c>
      <c r="I4" s="115" t="s">
        <v>150</v>
      </c>
      <c r="J4" s="115" t="s">
        <v>151</v>
      </c>
      <c r="K4" s="115" t="s">
        <v>152</v>
      </c>
      <c r="L4" s="127" t="s">
        <v>159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170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57</v>
      </c>
      <c r="D5" s="10" t="s">
        <v>125</v>
      </c>
      <c r="E5" s="67" t="s">
        <v>135</v>
      </c>
      <c r="F5" s="29" t="s">
        <v>128</v>
      </c>
      <c r="G5" s="29" t="s">
        <v>222</v>
      </c>
      <c r="H5" s="29" t="s">
        <v>161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tabSelected="1" workbookViewId="0">
      <selection activeCell="R6" sqref="R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1" t="s">
        <v>172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4</v>
      </c>
      <c r="E3" s="4" t="s">
        <v>169</v>
      </c>
      <c r="F3" s="5"/>
      <c r="G3" s="5"/>
      <c r="H3" s="5"/>
      <c r="I3" s="6"/>
      <c r="J3" s="6">
        <v>1</v>
      </c>
      <c r="K3" s="7" t="s">
        <v>162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26" t="s">
        <v>126</v>
      </c>
      <c r="G4" s="126" t="s">
        <v>127</v>
      </c>
      <c r="H4" s="126" t="s">
        <v>149</v>
      </c>
      <c r="I4" s="115" t="s">
        <v>150</v>
      </c>
      <c r="J4" s="115" t="s">
        <v>151</v>
      </c>
      <c r="K4" s="115" t="s">
        <v>152</v>
      </c>
      <c r="L4" s="127" t="s">
        <v>159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170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140</v>
      </c>
      <c r="D5" s="10" t="s">
        <v>125</v>
      </c>
      <c r="E5" s="67" t="s">
        <v>135</v>
      </c>
      <c r="F5" s="29" t="s">
        <v>128</v>
      </c>
      <c r="G5" s="29" t="s">
        <v>226</v>
      </c>
      <c r="H5" s="29" t="s">
        <v>161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40.5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40.5</v>
      </c>
      <c r="S5" s="34">
        <f>ROUND(O5+P5+Q5+R5,2)</f>
        <v>81</v>
      </c>
      <c r="T5" s="34">
        <f>ROUND(IF($J$3=1, K5+S5, K5),2)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R6" sqref="R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1" t="s">
        <v>171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4</v>
      </c>
      <c r="E3" s="4" t="s">
        <v>169</v>
      </c>
      <c r="F3" s="5"/>
      <c r="G3" s="5"/>
      <c r="H3" s="5"/>
      <c r="I3" s="6"/>
      <c r="J3" s="6">
        <v>2</v>
      </c>
      <c r="K3" s="7" t="s">
        <v>162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26" t="s">
        <v>126</v>
      </c>
      <c r="G4" s="126" t="s">
        <v>127</v>
      </c>
      <c r="H4" s="126" t="s">
        <v>149</v>
      </c>
      <c r="I4" s="115" t="s">
        <v>150</v>
      </c>
      <c r="J4" s="115" t="s">
        <v>151</v>
      </c>
      <c r="K4" s="115" t="s">
        <v>152</v>
      </c>
      <c r="L4" s="127" t="s">
        <v>159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170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140</v>
      </c>
      <c r="D5" s="10" t="s">
        <v>125</v>
      </c>
      <c r="E5" s="67" t="s">
        <v>135</v>
      </c>
      <c r="F5" s="29" t="s">
        <v>128</v>
      </c>
      <c r="G5" s="29" t="s">
        <v>226</v>
      </c>
      <c r="H5" s="29" t="s">
        <v>161</v>
      </c>
      <c r="I5" s="10">
        <f>ROUND(C5*H5/F5,3)</f>
        <v>12.5</v>
      </c>
      <c r="J5" s="10">
        <f>I5*(G5/C5)</f>
        <v>30</v>
      </c>
      <c r="K5" s="10">
        <f>I5*G5</f>
        <v>750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67.5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67.5</v>
      </c>
      <c r="S5" s="34">
        <f>ROUND(O5+P5+Q5+R5,2)</f>
        <v>135</v>
      </c>
      <c r="T5" s="34">
        <f>ROUND(IF($J$3=1, K5+S5, K5),2)</f>
        <v>750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topLeftCell="F1" workbookViewId="0">
      <selection activeCell="T5" sqref="T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1" t="s">
        <v>165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2</v>
      </c>
      <c r="E3" s="4" t="s">
        <v>169</v>
      </c>
      <c r="F3" s="5"/>
      <c r="G3" s="5"/>
      <c r="H3" s="5"/>
      <c r="I3" s="6"/>
      <c r="J3" s="6">
        <v>2</v>
      </c>
      <c r="K3" s="7" t="s">
        <v>162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26" t="s">
        <v>126</v>
      </c>
      <c r="G4" s="126" t="s">
        <v>127</v>
      </c>
      <c r="H4" s="126" t="s">
        <v>149</v>
      </c>
      <c r="I4" s="115" t="s">
        <v>150</v>
      </c>
      <c r="J4" s="115" t="s">
        <v>151</v>
      </c>
      <c r="K4" s="115" t="s">
        <v>152</v>
      </c>
      <c r="L4" s="127" t="s">
        <v>159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170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140</v>
      </c>
      <c r="D5" s="10" t="s">
        <v>125</v>
      </c>
      <c r="E5" s="67" t="s">
        <v>135</v>
      </c>
      <c r="F5" s="29" t="s">
        <v>128</v>
      </c>
      <c r="G5" s="29" t="s">
        <v>226</v>
      </c>
      <c r="H5" s="29" t="s">
        <v>161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topLeftCell="J1" workbookViewId="0">
      <selection activeCell="T5" sqref="T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1" t="s">
        <v>163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1</v>
      </c>
      <c r="E3" s="4" t="s">
        <v>169</v>
      </c>
      <c r="F3" s="5"/>
      <c r="G3" s="5"/>
      <c r="H3" s="5"/>
      <c r="I3" s="6"/>
      <c r="J3" s="6">
        <v>1</v>
      </c>
      <c r="K3" s="7" t="s">
        <v>162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26" t="s">
        <v>126</v>
      </c>
      <c r="G4" s="126" t="s">
        <v>127</v>
      </c>
      <c r="H4" s="126" t="s">
        <v>149</v>
      </c>
      <c r="I4" s="115" t="s">
        <v>150</v>
      </c>
      <c r="J4" s="115" t="s">
        <v>151</v>
      </c>
      <c r="K4" s="115" t="s">
        <v>152</v>
      </c>
      <c r="L4" s="127" t="s">
        <v>159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170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164</v>
      </c>
      <c r="D5" s="10" t="s">
        <v>125</v>
      </c>
      <c r="E5" s="67" t="s">
        <v>135</v>
      </c>
      <c r="F5" s="29" t="s">
        <v>128</v>
      </c>
      <c r="G5" s="29" t="s">
        <v>226</v>
      </c>
      <c r="H5" s="29" t="s">
        <v>161</v>
      </c>
      <c r="I5" s="10">
        <f>ROUND(C5*H5/F5,3)</f>
        <v>25</v>
      </c>
      <c r="J5" s="10">
        <f>I5*(G5/C5)</f>
        <v>25</v>
      </c>
      <c r="K5" s="10">
        <f>I5*G5</f>
        <v>625</v>
      </c>
      <c r="L5" s="29" t="s">
        <v>32</v>
      </c>
      <c r="M5" s="33">
        <v>88363221</v>
      </c>
      <c r="N5" s="22">
        <v>0.18</v>
      </c>
      <c r="O5" s="34">
        <f>IF($D$3=1,ROUND(((K5*N5)/2),2),0)</f>
        <v>56.25</v>
      </c>
      <c r="P5" s="34">
        <f>IF($D$3=1,ROUND(((K5*N5)/2),2),0)</f>
        <v>56.25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112.5</v>
      </c>
      <c r="T5" s="34">
        <f>ROUND(IF($J$3=1, K5+S5, K5),2)</f>
        <v>737.5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71" t="s">
        <v>122</v>
      </c>
      <c r="B1" s="171"/>
      <c r="C1" s="171"/>
      <c r="D1" s="171"/>
    </row>
    <row r="2" spans="1:17" ht="18">
      <c r="D2" s="109"/>
    </row>
    <row r="3" spans="1:17" ht="19.899999999999999" customHeight="1">
      <c r="A3" s="170"/>
      <c r="B3" s="170"/>
      <c r="C3" s="110"/>
      <c r="D3" s="108"/>
    </row>
    <row r="4" spans="1:17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15" t="s">
        <v>126</v>
      </c>
      <c r="G4" s="115" t="s">
        <v>127</v>
      </c>
      <c r="H4" s="115" t="s">
        <v>149</v>
      </c>
      <c r="I4" s="115" t="s">
        <v>150</v>
      </c>
      <c r="J4" s="115" t="s">
        <v>151</v>
      </c>
      <c r="K4" s="115" t="s">
        <v>152</v>
      </c>
      <c r="L4" s="115" t="s">
        <v>153</v>
      </c>
      <c r="M4" s="115" t="s">
        <v>154</v>
      </c>
      <c r="N4" s="115" t="s">
        <v>159</v>
      </c>
      <c r="O4" s="115" t="s">
        <v>89</v>
      </c>
      <c r="P4" s="115" t="s">
        <v>155</v>
      </c>
      <c r="Q4" s="115" t="s">
        <v>156</v>
      </c>
    </row>
    <row r="5" spans="1:17" ht="15">
      <c r="A5" s="10">
        <v>1</v>
      </c>
      <c r="B5" s="42" t="s">
        <v>123</v>
      </c>
      <c r="C5" s="42" t="s">
        <v>140</v>
      </c>
      <c r="D5" s="10" t="s">
        <v>125</v>
      </c>
      <c r="E5" s="67" t="s">
        <v>135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157</v>
      </c>
      <c r="Q5" s="10" t="s">
        <v>158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F5" sqref="F5"/>
    </sheetView>
  </sheetViews>
  <sheetFormatPr defaultColWidth="9.140625" defaultRowHeight="14.25"/>
  <cols>
    <col min="1" max="1" width="15.28515625" style="29" customWidth="1"/>
    <col min="2" max="2" width="15.140625" style="29" customWidth="1"/>
    <col min="3" max="3" width="14.5703125" style="29" customWidth="1"/>
    <col min="4" max="4" width="15.5703125" style="29" customWidth="1"/>
    <col min="5" max="5" width="10.7109375" style="29" bestFit="1" customWidth="1"/>
    <col min="6" max="6" width="10.5703125" style="29" bestFit="1" customWidth="1"/>
    <col min="7" max="16384" width="9.140625" style="29"/>
  </cols>
  <sheetData>
    <row r="1" spans="1:8" ht="27.75" customHeight="1">
      <c r="A1" s="171" t="s">
        <v>228</v>
      </c>
      <c r="B1" s="171"/>
      <c r="C1" s="171"/>
      <c r="D1" s="171"/>
    </row>
    <row r="2" spans="1:8" ht="18">
      <c r="D2" s="169"/>
    </row>
    <row r="3" spans="1:8" ht="19.899999999999999" customHeight="1">
      <c r="A3" s="172" t="s">
        <v>237</v>
      </c>
      <c r="B3" s="172"/>
      <c r="C3" s="172"/>
      <c r="D3" s="172"/>
      <c r="E3" s="173" t="s">
        <v>239</v>
      </c>
      <c r="F3" s="173"/>
    </row>
    <row r="4" spans="1:8" s="31" customFormat="1">
      <c r="A4" s="11" t="s">
        <v>231</v>
      </c>
      <c r="B4" s="11" t="s">
        <v>232</v>
      </c>
      <c r="C4" s="11" t="s">
        <v>233</v>
      </c>
      <c r="D4" s="11" t="s">
        <v>235</v>
      </c>
      <c r="E4" s="11" t="s">
        <v>229</v>
      </c>
      <c r="F4" s="11" t="s">
        <v>230</v>
      </c>
    </row>
    <row r="5" spans="1:8" ht="15">
      <c r="A5" s="122" t="s">
        <v>236</v>
      </c>
      <c r="B5" s="42" t="s">
        <v>234</v>
      </c>
      <c r="C5" s="42" t="s">
        <v>234</v>
      </c>
      <c r="D5" s="10">
        <v>11</v>
      </c>
      <c r="E5" s="122" t="s">
        <v>238</v>
      </c>
      <c r="F5" s="114" t="s">
        <v>161</v>
      </c>
    </row>
    <row r="7" spans="1:8">
      <c r="H7" s="36"/>
    </row>
  </sheetData>
  <mergeCells count="3">
    <mergeCell ref="A1:D1"/>
    <mergeCell ref="A3:D3"/>
    <mergeCell ref="E3:F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1" t="s">
        <v>165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70" t="s">
        <v>0</v>
      </c>
      <c r="B3" s="170"/>
      <c r="C3" s="130"/>
      <c r="D3" s="3">
        <v>2</v>
      </c>
      <c r="E3" s="4" t="s">
        <v>169</v>
      </c>
      <c r="F3" s="5"/>
      <c r="G3" s="5"/>
      <c r="H3" s="5"/>
      <c r="I3" s="6"/>
      <c r="J3" s="6">
        <v>2</v>
      </c>
      <c r="K3" s="7" t="s">
        <v>162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134</v>
      </c>
      <c r="F4" s="126" t="s">
        <v>126</v>
      </c>
      <c r="G4" s="126" t="s">
        <v>127</v>
      </c>
      <c r="H4" s="126" t="s">
        <v>149</v>
      </c>
      <c r="I4" s="115" t="s">
        <v>150</v>
      </c>
      <c r="J4" s="115" t="s">
        <v>151</v>
      </c>
      <c r="K4" s="115" t="s">
        <v>152</v>
      </c>
      <c r="L4" s="127" t="s">
        <v>159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170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164</v>
      </c>
      <c r="D5" s="10" t="s">
        <v>125</v>
      </c>
      <c r="E5" s="67" t="s">
        <v>135</v>
      </c>
      <c r="F5" s="29" t="s">
        <v>128</v>
      </c>
      <c r="G5" s="29" t="s">
        <v>168</v>
      </c>
      <c r="H5" s="29" t="s">
        <v>161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width="5.7109375" style="137" customWidth="1"/>
    <col min="2" max="2" width="28.85546875" style="137" customWidth="1"/>
    <col min="3" max="3" width="4.5703125" style="137" customWidth="1"/>
    <col min="4" max="4" width="28.85546875" style="137" customWidth="1"/>
    <col min="5" max="5" width="10" style="137" customWidth="1"/>
    <col min="6" max="6" width="12.5703125" style="137" customWidth="1"/>
    <col min="7" max="7" width="14.7109375" style="137" customWidth="1"/>
    <col min="8" max="8" width="10.140625" style="137" customWidth="1"/>
    <col min="9" max="9" width="13.5703125" style="137" customWidth="1"/>
    <col min="10" max="11" width="8.140625" style="137" customWidth="1"/>
    <col min="12" max="12" width="8" style="137" customWidth="1"/>
    <col min="13" max="13" width="13.85546875" style="137" customWidth="1"/>
    <col min="14" max="14" width="9.7109375" style="137" customWidth="1"/>
    <col min="15" max="15" width="12.5703125" style="137" customWidth="1"/>
    <col min="16" max="16" width="14.7109375" style="137" customWidth="1"/>
    <col min="17" max="17" width="9.7109375" style="137" customWidth="1"/>
    <col min="18" max="18" width="9" style="137" customWidth="1"/>
    <col min="19" max="19" width="10.85546875" style="137" customWidth="1"/>
    <col min="20" max="20" width="17.85546875" style="137" customWidth="1"/>
    <col min="21" max="21" width="10.5703125" style="137" customWidth="1"/>
    <col min="22" max="22" width="11.5703125" style="137" customWidth="1"/>
    <col min="23" max="23" width="9.28515625" style="137" customWidth="1"/>
    <col min="24" max="25" width="10.7109375" style="137" customWidth="1"/>
    <col min="26" max="26" width="11.28515625" style="137" customWidth="1"/>
    <col min="27" max="27" width="12" style="137" customWidth="1"/>
    <col min="28" max="28" width="12.28515625" style="137" customWidth="1"/>
    <col min="29" max="29" width="14.7109375" style="137" customWidth="1"/>
    <col min="30" max="30" width="12.28515625" style="163" customWidth="1"/>
    <col min="31" max="31" width="13.5703125" style="163" bestFit="1" customWidth="1"/>
    <col min="32" max="32" width="13.5703125" style="163" customWidth="1"/>
    <col min="33" max="33" width="15.7109375" style="136" bestFit="1" customWidth="1"/>
    <col min="34" max="34" width="13.5703125" style="137" customWidth="1"/>
    <col min="35" max="35" width="12.7109375" style="137" customWidth="1"/>
    <col min="36" max="16384" width="9.140625" style="137"/>
  </cols>
  <sheetData>
    <row r="1" spans="1:38" ht="27.75" customHeight="1">
      <c r="A1" s="174" t="s">
        <v>39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34"/>
      <c r="AB1" s="134"/>
      <c r="AC1" s="134"/>
      <c r="AD1" s="135"/>
      <c r="AE1" s="135"/>
      <c r="AF1" s="135"/>
    </row>
    <row r="2" spans="1:38" ht="18">
      <c r="A2" s="134" t="s">
        <v>207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175" t="s">
        <v>0</v>
      </c>
      <c r="B3" s="175"/>
      <c r="C3" s="138"/>
      <c r="D3" s="139">
        <v>2</v>
      </c>
      <c r="E3" s="140" t="s">
        <v>208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209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185</v>
      </c>
      <c r="AH5" s="9">
        <f>AG5-AF5</f>
        <v>99896</v>
      </c>
      <c r="AI5" s="10" t="s">
        <v>173</v>
      </c>
      <c r="AJ5" s="10" t="s">
        <v>174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210</v>
      </c>
      <c r="C6" s="155">
        <v>0</v>
      </c>
      <c r="D6" s="32" t="s">
        <v>210</v>
      </c>
      <c r="E6" s="155" t="s">
        <v>160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209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186</v>
      </c>
      <c r="AH6" s="9">
        <f>AG6-AF6</f>
        <v>99966.667000000001</v>
      </c>
      <c r="AI6" s="10" t="s">
        <v>173</v>
      </c>
      <c r="AJ6" s="10" t="s">
        <v>174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211</v>
      </c>
      <c r="R7" s="161"/>
      <c r="S7" s="161"/>
      <c r="T7" s="161"/>
      <c r="U7" s="159"/>
      <c r="V7" s="159"/>
      <c r="W7" s="160"/>
      <c r="X7" s="159"/>
      <c r="Y7" s="159"/>
      <c r="Z7" s="161" t="s">
        <v>212</v>
      </c>
      <c r="AA7" s="161"/>
      <c r="AB7" s="162">
        <f>SUM(AB5:AB6)</f>
        <v>45016.36</v>
      </c>
      <c r="AC7" s="161" t="s">
        <v>213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55</vt:i4>
      </vt:variant>
    </vt:vector>
  </HeadingPairs>
  <TitlesOfParts>
    <vt:vector size="55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</vt:lpstr>
      <vt:lpstr>SourceSFCode</vt:lpstr>
      <vt:lpstr>SCOCharges</vt:lpstr>
      <vt:lpstr>SOtoSIDomestic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Vimal Raj.P</cp:lastModifiedBy>
  <dcterms:created xsi:type="dcterms:W3CDTF">2024-08-28T12:59:00Z</dcterms:created>
  <dcterms:modified xsi:type="dcterms:W3CDTF">2025-12-10T07:08:44Z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