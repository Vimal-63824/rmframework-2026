
<file path=[Content_Types].xml><?xml version="1.0" encoding="utf-8"?>
<Types xmlns="http://schemas.openxmlformats.org/package/2006/content-types">
  <Override PartName="/xl/worksheets/sheet15.xml" ContentType="application/vnd.openxmlformats-officedocument.spreadsheetml.worksheet+xml"/>
  <Override PartName="/xl/worksheets/sheet24.xml" ContentType="application/vnd.openxmlformats-officedocument.spreadsheetml.worksheet+xml"/>
  <Override PartName="/xl/worksheets/sheet35.xml" ContentType="application/vnd.openxmlformats-officedocument.spreadsheetml.worksheet+xml"/>
  <Override PartName="/xl/worksheets/sheet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worksheets/sheet1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sharedStrings.xml" ContentType="application/vnd.openxmlformats-officedocument.spreadsheetml.sharedString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docProps/core.xml" ContentType="application/vnd.openxmlformats-package.core-properties+xml"/>
  <Override PartName="/xl/worksheets/sheet16.xml" ContentType="application/vnd.openxmlformats-officedocument.spreadsheetml.worksheet+xml"/>
  <Override PartName="/xl/worksheets/sheet25.xml" ContentType="application/vnd.openxmlformats-officedocument.spreadsheetml.worksheet+xml"/>
  <Override PartName="/xl/worksheets/sheet34.xml" ContentType="application/vnd.openxmlformats-officedocument.spreadsheetml.worksheet+xml"/>
  <Default Extension="bin" ContentType="application/vnd.openxmlformats-officedocument.spreadsheetml.printerSettings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33" activeTab="36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InterStateCustomer" sheetId="14" r:id="rId16"/>
    <sheet name="FreeSampleType" sheetId="15" r:id="rId17"/>
    <sheet name="FreeReplacement" sheetId="16" r:id="rId18"/>
    <sheet name="ScrapType" sheetId="17" r:id="rId19"/>
    <sheet name="ServiceType" sheetId="18" r:id="rId20"/>
    <sheet name="CESScustomer" sheetId="20" r:id="rId21"/>
    <sheet name="SEZCustomer" sheetId="19" r:id="rId22"/>
    <sheet name="PromotionalType" sheetId="21" r:id="rId23"/>
    <sheet name="PIDirectType" sheetId="22" r:id="rId24"/>
    <sheet name="PIDirectTypeExport" sheetId="23" r:id="rId25"/>
    <sheet name="CRNoteDomestic" sheetId="24" r:id="rId26"/>
    <sheet name="CRNoteExport" sheetId="25" r:id="rId27"/>
    <sheet name="CRNoteExportService" sheetId="28" r:id="rId28"/>
    <sheet name="CRNoteGateEntryExport" sheetId="31" r:id="rId29"/>
    <sheet name="CRNoteGateEntry" sheetId="30" r:id="rId30"/>
    <sheet name="OpenSCORevise" sheetId="41" r:id="rId31"/>
    <sheet name="OpenSCO" sheetId="40" r:id="rId32"/>
    <sheet name="DirectSCOWithSO" sheetId="43" r:id="rId33"/>
    <sheet name="DirectSCOWithProject" sheetId="45" r:id="rId34"/>
    <sheet name="DirectSCOWithSOandConv" sheetId="44" r:id="rId35"/>
    <sheet name="DirectSCOWithConv" sheetId="42" r:id="rId36"/>
    <sheet name="DirectSCOSerial" sheetId="46" r:id="rId37"/>
    <sheet name="DirectSCO" sheetId="39" r:id="rId38"/>
    <sheet name="Sheet3" sheetId="3" r:id="rId39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5" i="1"/>
  <c r="AQ5" i="13"/>
  <c r="AP5"/>
  <c r="AF5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H6" i="1"/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F5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I5" i="13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4"/>
  <c r="AH5"/>
  <c r="AF6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O8" i="34" l="1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P9" i="34" l="1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T9" i="34" l="1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S5"/>
  <c r="Q5"/>
  <c r="R5" s="1"/>
  <c r="P5" i="33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T12" i="34" l="1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AA9" i="34" l="1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AA6" s="1"/>
  <c r="AB6" s="1"/>
  <c r="Y6"/>
  <c r="AD5"/>
  <c r="X5"/>
  <c r="Y5"/>
  <c r="T5" i="33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A5" i="34" l="1"/>
  <c r="AB5" s="1"/>
  <c r="AA8"/>
  <c r="AB8" s="1"/>
  <c r="AA13"/>
  <c r="AB13" s="1"/>
  <c r="AA7"/>
  <c r="AB7" s="1"/>
  <c r="AA12"/>
  <c r="AB12" s="1"/>
  <c r="AA14"/>
  <c r="AB14" s="1"/>
  <c r="AA10"/>
  <c r="AB10" s="1"/>
  <c r="AB5" i="33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<sst xmlns="http://schemas.openxmlformats.org/spreadsheetml/2006/main" count="1833" uniqueCount="203">
  <si>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</si>
  <si>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</si>
  <si>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</si>
  <si>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</si>
  <si>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</si>
  <si>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</si>
  <si>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</si>
  <si>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</si>
  <si>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</si>
  <si>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</si>
  <si>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</si>
  <si>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</si>
  <si>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</si>
  <si>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</si>
  <si>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</si>
  <si>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</si>
  <si>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</si>
  <si>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</si>
  <si>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</si>
  <si>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</si>
  <si>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</si>
  <si>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</si>
  <si>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</si>
  <si>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</si>
  <si>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</si>
  <si>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</si>
  <si>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</si>
  <si>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</si>
  <si>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</si>
  <si>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</si>
  <si>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</si>
  <si>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</si>
  <si>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</si>
  <si>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</si>
  <si>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</si>
  <si>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</si>
  <si>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</si>
  <si>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</si>
  <si>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</si>
  <si>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</si>
  <si>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</si>
  <si>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</si>
  <si>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</si>
  <si>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</si>
  <si>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</si>
  <si>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</si>
  <si>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</si>
  <si>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</si>
  <si>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</si>
  <si>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</si>
  <si>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</si>
  <si>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</si>
  <si>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</si>
  <si>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</si>
  <si>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299</t>
  </si>
  <si>
    <t>Domestic_PL_Item_ID</t>
  </si>
  <si>
    <t>Domestic_PL_Item_ID_Disimilar</t>
  </si>
  <si>
    <t>60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</si>
  <si>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</si>
  <si>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</si>
  <si>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</si>
  <si>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</si>
  <si>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</si>
  <si>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</si>
  <si>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</si>
  <si>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</si>
  <si>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</si>
  <si>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</si>
  <si>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</si>
  <si>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</si>
  <si>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</si>
  <si>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</si>
  <si>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</si>
  <si>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</si>
  <si>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</si>
  <si>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</si>
  <si>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</si>
  <si>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</si>
  <si>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</si>
  <si>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</si>
  <si>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</si>
  <si>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</si>
  <si>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</si>
  <si>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</si>
  <si>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</si>
  <si>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</si>
  <si>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</si>
  <si>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</si>
  <si>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</si>
  <si>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</si>
  <si>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</si>
  <si>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</si>
  <si>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</si>
  <si>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</si>
  <si>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</si>
  <si>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</si>
  <si>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</si>
  <si>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</si>
  <si>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</si>
  <si>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</si>
  <si>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</si>
  <si>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</si>
  <si>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</si>
  <si>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</si>
  <si>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</si>
  <si>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</si>
  <si>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</si>
  <si>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</si>
  <si>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</si>
  <si>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</si>
  <si>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</si>
  <si>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</si>
  <si>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</si>
  <si>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</si>
  <si>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</si>
  <si>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</si>
  <si>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</si>
  <si>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</si>
  <si>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</si>
  <si>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</si>
  <si>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</si>
  <si>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</si>
  <si>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</si>
  <si>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</si>
  <si>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</si>
  <si>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</si>
  <si>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</si>
  <si>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R100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</si>
  <si>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</si>
  <si>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</si>
  <si>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</si>
  <si>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</si>
  <si>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</si>
  <si>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</si>
  <si>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</si>
  <si>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</si>
  <si>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</si>
  <si>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</si>
  <si>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</si>
  <si>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</si>
  <si>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</si>
  <si>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</si>
  <si>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</si>
  <si>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100001867</t>
  </si>
  <si>
    <t>Process</t>
  </si>
  <si>
    <t>Scenario  : Direct SCO With BOM Standard Type</t>
  </si>
  <si>
    <t>Vj-FIFO-LOT-BATCH-50001(FG)</t>
  </si>
  <si>
    <t>Qty</t>
  </si>
  <si>
    <t>7</t>
  </si>
  <si>
    <t>19252.5</t>
  </si>
  <si>
    <t>109385</t>
  </si>
  <si>
    <t>109745</t>
  </si>
  <si>
    <t>9755</t>
  </si>
  <si>
    <t>9385</t>
  </si>
  <si>
    <t>9750</t>
  </si>
  <si>
    <t>9395</t>
  </si>
  <si>
    <t>109470</t>
  </si>
  <si>
    <t>109775</t>
  </si>
  <si>
    <t>63748</t>
  </si>
  <si>
    <t>49091</t>
  </si>
  <si>
    <t>63528</t>
  </si>
  <si>
    <t>63513</t>
  </si>
  <si>
    <t>63498</t>
  </si>
  <si>
    <t>488806</t>
  </si>
  <si>
    <t>63488</t>
  </si>
  <si>
    <t>18850</t>
  </si>
  <si>
    <t>19225</t>
  </si>
  <si>
    <t>63113</t>
  </si>
  <si>
    <t>62963</t>
  </si>
  <si>
    <t>19212.5</t>
  </si>
  <si>
    <t>9165</t>
  </si>
  <si>
    <t>19778.992</t>
  </si>
  <si>
    <t>9202</t>
  </si>
  <si>
    <t>9680</t>
  </si>
  <si>
    <t>9203</t>
  </si>
  <si>
    <t>9672.5</t>
  </si>
  <si>
    <t>109321</t>
  </si>
  <si>
    <t>109720</t>
  </si>
  <si>
    <t>62948</t>
  </si>
  <si>
    <t>49031</t>
  </si>
  <si>
    <t>62933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</si>
  <si>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</si>
  <si>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</si>
  <si>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</si>
  <si>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</si>
  <si>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</si>
  <si>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</si>
  <si>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</si>
  <si>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</si>
  <si>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MOULDING</t>
  </si>
  <si>
    <t>GLACCT</t>
  </si>
  <si>
    <t>CHARGES ACCOUNT</t>
  </si>
  <si>
    <t>Scenario  : Direct SCO With Conv. Factor</t>
  </si>
  <si>
    <t>FG20001</t>
  </si>
  <si>
    <t>SO Ref</t>
  </si>
  <si>
    <t>SO100/05696/25-26</t>
  </si>
  <si>
    <t>FG30001</t>
  </si>
  <si>
    <t>25</t>
  </si>
  <si>
    <t>SO100/05697/25-26</t>
  </si>
  <si>
    <t>VJ-PROJECT</t>
  </si>
  <si>
    <t>PROC-004</t>
  </si>
  <si>
    <t>VR-SERIAL-FIFO-BATCH-90001</t>
  </si>
  <si>
    <t>Scenario  : Direct SCO Serial With BOM Standard Type</t>
  </si>
</sst>
</file>

<file path=xl/styles.xml><?xml version="1.0" encoding="utf-8"?>
<styleSheet xmlns="http://schemas.openxmlformats.org/spreadsheetml/2006/main">
  <numFmts count="1">
    <numFmt numFmtId="164" formatCode="0.000"/>
  </numFmts>
  <fonts count="11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26.85546875" style="29" bestFit="1" customWidth="1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18" t="s">
        <v>0</v>
      </c>
      <c r="B3" s="118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168</v>
      </c>
      <c r="AH5" s="9">
        <f>AG5-AF5</f>
        <v>-15</v>
      </c>
      <c r="AI5" s="10" t="s">
        <v>38</v>
      </c>
      <c r="AJ5" s="10">
        <v>4010101001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169</v>
      </c>
      <c r="AH6" s="9">
        <f>AG6-AF6</f>
        <v>9490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8.85546875" style="29" bestFit="1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39" width="12.5703125" style="28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18" t="s">
        <v>0</v>
      </c>
      <c r="B3" s="118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100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178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149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6" sqref="AI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18" t="s">
        <v>0</v>
      </c>
      <c r="B3" s="118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58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170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171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18" t="s">
        <v>0</v>
      </c>
      <c r="B3" s="118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150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151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18" t="s">
        <v>0</v>
      </c>
      <c r="B3" s="118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172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58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173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18" t="s">
        <v>0</v>
      </c>
      <c r="B3" s="118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59</v>
      </c>
      <c r="C5" s="10">
        <v>0</v>
      </c>
      <c r="D5" s="42" t="s">
        <v>59</v>
      </c>
      <c r="E5" s="10" t="s">
        <v>32</v>
      </c>
      <c r="F5" s="10" t="s">
        <v>32</v>
      </c>
      <c r="G5" s="33">
        <v>15</v>
      </c>
      <c r="H5" s="29" t="s">
        <v>61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153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60</v>
      </c>
      <c r="C6" s="10">
        <v>0</v>
      </c>
      <c r="D6" s="42" t="s">
        <v>60</v>
      </c>
      <c r="E6" s="10" t="s">
        <v>32</v>
      </c>
      <c r="F6" s="10" t="s">
        <v>32</v>
      </c>
      <c r="G6" s="33">
        <v>10</v>
      </c>
      <c r="H6" s="29" t="s">
        <v>62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154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18" t="s">
        <v>0</v>
      </c>
      <c r="B3" s="118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63</v>
      </c>
      <c r="C5" s="10">
        <v>0</v>
      </c>
      <c r="D5" s="42" t="s">
        <v>63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174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64</v>
      </c>
      <c r="C6" s="10">
        <v>0</v>
      </c>
      <c r="D6" s="42" t="s">
        <v>64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175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18" t="s">
        <v>0</v>
      </c>
      <c r="B3" s="118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s="29" t="s">
        <v>69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155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s="29" t="s">
        <v>70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152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18" t="s">
        <v>0</v>
      </c>
      <c r="B3" s="118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176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177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18" t="s">
        <v>0</v>
      </c>
      <c r="B3" s="118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73</v>
      </c>
      <c r="C5" s="10">
        <v>0</v>
      </c>
      <c r="D5" s="42" t="s">
        <v>73</v>
      </c>
      <c r="E5" s="10" t="s">
        <v>32</v>
      </c>
      <c r="F5" s="10" t="s">
        <v>32</v>
      </c>
      <c r="G5" s="33">
        <v>15</v>
      </c>
      <c r="H5" s="29" t="s">
        <v>77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156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74</v>
      </c>
      <c r="C6" s="10">
        <v>0</v>
      </c>
      <c r="D6" s="42" t="s">
        <v>74</v>
      </c>
      <c r="E6" s="10" t="s">
        <v>32</v>
      </c>
      <c r="F6" s="10" t="s">
        <v>32</v>
      </c>
      <c r="G6" s="33">
        <v>10</v>
      </c>
      <c r="H6" s="29" t="s">
        <v>78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157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18" t="s">
        <v>0</v>
      </c>
      <c r="B3" s="118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102</v>
      </c>
      <c r="C5" s="10">
        <v>0</v>
      </c>
      <c r="D5" s="42" t="s">
        <v>102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142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J12" sqref="J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8" style="29" bestFit="1" customWidth="1"/>
    <col min="4" max="4" width="29.85546875" style="29" customWidth="1"/>
    <col min="5" max="5" width="10" style="29" bestFit="1" customWidth="1"/>
    <col min="6" max="6" width="18.8554687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18" t="s">
        <v>0</v>
      </c>
      <c r="B3" s="118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167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103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104</v>
      </c>
      <c r="D10" s="90" t="s">
        <v>6</v>
      </c>
      <c r="E10" s="90" t="s">
        <v>7</v>
      </c>
      <c r="F10" s="90" t="s">
        <v>105</v>
      </c>
      <c r="G10" s="90" t="s">
        <v>106</v>
      </c>
      <c r="H10" s="90" t="s">
        <v>107</v>
      </c>
      <c r="I10" s="90" t="s">
        <v>108</v>
      </c>
      <c r="J10" s="90" t="s">
        <v>109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110</v>
      </c>
      <c r="E11" s="10">
        <v>0</v>
      </c>
      <c r="F11" s="10" t="s">
        <v>111</v>
      </c>
      <c r="G11" s="10" t="s">
        <v>112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113</v>
      </c>
      <c r="E12" s="10">
        <v>0</v>
      </c>
      <c r="F12" s="10" t="s">
        <v>114</v>
      </c>
      <c r="G12" s="10" t="s">
        <v>108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115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18" t="s">
        <v>0</v>
      </c>
      <c r="B3" s="118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116</v>
      </c>
      <c r="C5" s="10">
        <v>0</v>
      </c>
      <c r="D5" s="42" t="s">
        <v>116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165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workbookViewId="0">
      <selection activeCell="D15" sqref="D1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93"/>
      <c r="AD1" s="93"/>
      <c r="AE1" s="93"/>
      <c r="AF1" s="93"/>
      <c r="AG1" s="27"/>
    </row>
    <row r="2" spans="1:39" ht="18">
      <c r="A2" s="29" t="s">
        <v>47</v>
      </c>
      <c r="B2" s="29" t="s">
        <v>46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18" t="s">
        <v>0</v>
      </c>
      <c r="B3" s="118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65248</v>
      </c>
      <c r="AI5" s="10" t="s">
        <v>38</v>
      </c>
      <c r="AJ5" s="10">
        <v>4010101001</v>
      </c>
      <c r="AK5" s="34">
        <f>AH5</f>
        <v>65248</v>
      </c>
      <c r="AL5" s="34">
        <f>AK5+G5</f>
        <v>65263</v>
      </c>
      <c r="AM5" s="59"/>
    </row>
    <row r="6" spans="1:39" ht="14.25" customHeight="1">
      <c r="A6" s="10">
        <v>2</v>
      </c>
      <c r="B6" s="97" t="s">
        <v>117</v>
      </c>
      <c r="C6" s="10">
        <v>0</v>
      </c>
      <c r="D6" s="97" t="s">
        <v>117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134</v>
      </c>
      <c r="AH6" s="34">
        <f>AG6-AF6</f>
        <v>99984</v>
      </c>
      <c r="AI6" s="10" t="s">
        <v>38</v>
      </c>
      <c r="AJ6" s="10">
        <v>4010101001</v>
      </c>
      <c r="AK6" s="34">
        <f>AH6</f>
        <v>99984</v>
      </c>
      <c r="AL6" s="34">
        <f>AK6+G6</f>
        <v>100000</v>
      </c>
    </row>
    <row r="7" spans="1:39">
      <c r="A7" s="10">
        <v>3</v>
      </c>
      <c r="B7" s="97" t="s">
        <v>118</v>
      </c>
      <c r="C7" s="10">
        <v>0</v>
      </c>
      <c r="D7" s="97" t="s">
        <v>118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135</v>
      </c>
      <c r="AH7" s="34">
        <f t="shared" ref="AH7:AH14" si="20">AG7-AF7</f>
        <v>99983</v>
      </c>
      <c r="AI7" s="10" t="s">
        <v>38</v>
      </c>
      <c r="AJ7" s="10">
        <v>4010101001</v>
      </c>
      <c r="AK7" s="34">
        <f t="shared" ref="AK7:AK14" si="21">AH7</f>
        <v>99983</v>
      </c>
      <c r="AL7" s="34">
        <f t="shared" ref="AL7:AL14" si="22">AK7+G7</f>
        <v>100000</v>
      </c>
    </row>
    <row r="8" spans="1:39">
      <c r="A8" s="10">
        <v>4</v>
      </c>
      <c r="B8" s="97" t="s">
        <v>119</v>
      </c>
      <c r="C8" s="10">
        <v>0</v>
      </c>
      <c r="D8" s="97" t="s">
        <v>119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132</v>
      </c>
      <c r="AH8" s="34">
        <f t="shared" si="20"/>
        <v>99982</v>
      </c>
      <c r="AI8" s="10" t="s">
        <v>38</v>
      </c>
      <c r="AJ8" s="10">
        <v>4010101001</v>
      </c>
      <c r="AK8" s="34">
        <f t="shared" si="21"/>
        <v>99982</v>
      </c>
      <c r="AL8" s="34">
        <f t="shared" si="22"/>
        <v>100000</v>
      </c>
    </row>
    <row r="9" spans="1:39">
      <c r="A9" s="10">
        <v>5</v>
      </c>
      <c r="B9" s="97" t="s">
        <v>120</v>
      </c>
      <c r="C9" s="10">
        <v>0</v>
      </c>
      <c r="D9" s="97" t="s">
        <v>120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136</v>
      </c>
      <c r="AH9" s="34">
        <f t="shared" si="20"/>
        <v>99981</v>
      </c>
      <c r="AI9" s="10" t="s">
        <v>38</v>
      </c>
      <c r="AJ9" s="10">
        <v>4010101001</v>
      </c>
      <c r="AK9" s="34">
        <f t="shared" si="21"/>
        <v>99981</v>
      </c>
      <c r="AL9" s="34">
        <f t="shared" si="22"/>
        <v>100000</v>
      </c>
    </row>
    <row r="10" spans="1:39">
      <c r="A10" s="10">
        <v>6</v>
      </c>
      <c r="B10" s="97" t="s">
        <v>121</v>
      </c>
      <c r="C10" s="10">
        <v>0</v>
      </c>
      <c r="D10" s="97" t="s">
        <v>121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137</v>
      </c>
      <c r="AH10" s="34">
        <f t="shared" si="20"/>
        <v>99980</v>
      </c>
      <c r="AI10" s="10" t="s">
        <v>38</v>
      </c>
      <c r="AJ10" s="10">
        <v>4010101001</v>
      </c>
      <c r="AK10" s="34">
        <f t="shared" si="21"/>
        <v>99980</v>
      </c>
      <c r="AL10" s="34">
        <f t="shared" si="22"/>
        <v>100000</v>
      </c>
    </row>
    <row r="11" spans="1:39">
      <c r="A11" s="10">
        <v>7</v>
      </c>
      <c r="B11" s="97" t="s">
        <v>122</v>
      </c>
      <c r="C11" s="10">
        <v>0</v>
      </c>
      <c r="D11" s="97" t="s">
        <v>122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138</v>
      </c>
      <c r="AH11" s="34">
        <f t="shared" si="20"/>
        <v>99979</v>
      </c>
      <c r="AI11" s="10" t="s">
        <v>38</v>
      </c>
      <c r="AJ11" s="10">
        <v>4010101001</v>
      </c>
      <c r="AK11" s="34">
        <f t="shared" si="21"/>
        <v>99979</v>
      </c>
      <c r="AL11" s="34">
        <f t="shared" si="22"/>
        <v>100000</v>
      </c>
    </row>
    <row r="12" spans="1:39">
      <c r="A12" s="99">
        <v>8</v>
      </c>
      <c r="B12" s="100" t="s">
        <v>123</v>
      </c>
      <c r="C12" s="99">
        <v>0</v>
      </c>
      <c r="D12" s="100" t="s">
        <v>123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139</v>
      </c>
      <c r="AH12" s="102">
        <f t="shared" si="20"/>
        <v>99978</v>
      </c>
      <c r="AI12" s="99" t="s">
        <v>38</v>
      </c>
      <c r="AJ12" s="99">
        <v>4010101001</v>
      </c>
      <c r="AK12" s="102">
        <f t="shared" si="21"/>
        <v>99978</v>
      </c>
      <c r="AL12" s="102">
        <f t="shared" si="22"/>
        <v>100000</v>
      </c>
    </row>
    <row r="13" spans="1:39">
      <c r="A13" s="10">
        <v>9</v>
      </c>
      <c r="B13" s="97" t="s">
        <v>124</v>
      </c>
      <c r="C13" s="10">
        <v>0</v>
      </c>
      <c r="D13" s="97" t="s">
        <v>124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140</v>
      </c>
      <c r="AH13" s="34">
        <f t="shared" si="20"/>
        <v>99977</v>
      </c>
      <c r="AI13" s="10" t="s">
        <v>38</v>
      </c>
      <c r="AJ13" s="10">
        <v>4010101001</v>
      </c>
      <c r="AK13" s="34">
        <f t="shared" si="21"/>
        <v>99977</v>
      </c>
      <c r="AL13" s="34">
        <f t="shared" si="22"/>
        <v>100000</v>
      </c>
    </row>
    <row r="14" spans="1:39">
      <c r="A14" s="10">
        <v>10</v>
      </c>
      <c r="B14" s="97" t="s">
        <v>125</v>
      </c>
      <c r="C14" s="10">
        <v>0</v>
      </c>
      <c r="D14" s="97" t="s">
        <v>125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141</v>
      </c>
      <c r="AH14" s="34">
        <f t="shared" si="20"/>
        <v>99976</v>
      </c>
      <c r="AI14" s="10" t="s">
        <v>38</v>
      </c>
      <c r="AJ14" s="10">
        <v>4010101001</v>
      </c>
      <c r="AK14" s="34">
        <f t="shared" si="21"/>
        <v>99976</v>
      </c>
      <c r="AL14" s="34">
        <f t="shared" si="22"/>
        <v>100000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workbookViewId="0">
      <selection activeCell="G9" sqref="G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36" style="28" customWidth="1"/>
    <col min="40" max="40" width="15.42578125" style="29" customWidth="1"/>
    <col min="41" max="41" width="14.140625" style="29" customWidth="1"/>
    <col min="42" max="42" width="15" style="29" customWidth="1"/>
    <col min="43" max="43" width="16.5703125" style="29" customWidth="1"/>
    <col min="44" max="16384" width="9.140625" style="29"/>
  </cols>
  <sheetData>
    <row r="1" spans="1:43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4"/>
      <c r="AD1" s="54"/>
      <c r="AE1" s="54"/>
      <c r="AF1" s="54"/>
      <c r="AG1" s="27"/>
    </row>
    <row r="2" spans="1:43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18" t="s">
        <v>0</v>
      </c>
      <c r="B3" s="118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20" t="s">
        <v>128</v>
      </c>
      <c r="AN4" s="20" t="s">
        <v>126</v>
      </c>
      <c r="AO4" s="98" t="s">
        <v>129</v>
      </c>
      <c r="AP4" s="98" t="s">
        <v>130</v>
      </c>
      <c r="AQ4" s="98" t="s">
        <v>131</v>
      </c>
    </row>
    <row r="5" spans="1:43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180</v>
      </c>
      <c r="AH5" s="34">
        <f>AG5-AF5</f>
        <v>63093</v>
      </c>
      <c r="AI5" s="10" t="s">
        <v>38</v>
      </c>
      <c r="AJ5" s="10">
        <v>4010101001</v>
      </c>
      <c r="AK5" s="34">
        <f>AH5</f>
        <v>63093</v>
      </c>
      <c r="AL5" s="33">
        <f>AK5+G5</f>
        <v>63108</v>
      </c>
      <c r="AM5" s="28" t="s">
        <v>79</v>
      </c>
      <c r="AN5" s="67" t="s">
        <v>127</v>
      </c>
      <c r="AO5" s="29" t="s">
        <v>143</v>
      </c>
      <c r="AP5" s="34">
        <f>AO5+AF5</f>
        <v>100001600</v>
      </c>
      <c r="AQ5" s="28">
        <f>AO5+AF5</f>
        <v>100001600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18" t="s">
        <v>0</v>
      </c>
      <c r="B3" s="118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160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161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162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79</v>
      </c>
      <c r="C5" s="10">
        <v>0</v>
      </c>
      <c r="D5" s="60" t="s">
        <v>79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163</v>
      </c>
      <c r="AH5" s="9">
        <f>AG5-AF5</f>
        <v>80704</v>
      </c>
      <c r="AI5" s="63" t="s">
        <v>81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G5" sqref="AG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18" t="s">
        <v>0</v>
      </c>
      <c r="B3" s="118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80</v>
      </c>
      <c r="C5" s="10">
        <v>0</v>
      </c>
      <c r="D5" s="60" t="s">
        <v>80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91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18" t="s">
        <v>0</v>
      </c>
      <c r="B3" s="118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82</v>
      </c>
      <c r="AL4" s="20" t="s">
        <v>83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84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90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5.42578125" style="29" customWidth="1"/>
    <col min="38" max="16384" width="9.140625" style="29"/>
  </cols>
  <sheetData>
    <row r="1" spans="1:37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18" t="s">
        <v>0</v>
      </c>
      <c r="B3" s="118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158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14.28515625" style="29" customWidth="1"/>
    <col min="38" max="38" width="15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18" t="s">
        <v>0</v>
      </c>
      <c r="B3" s="118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85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166</v>
      </c>
      <c r="AH5" s="9">
        <f>AG5-AF5</f>
        <v>9630</v>
      </c>
      <c r="AI5" s="10" t="s">
        <v>38</v>
      </c>
      <c r="AJ5" s="10">
        <v>4010101001</v>
      </c>
      <c r="AK5" s="66" t="s">
        <v>87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164</v>
      </c>
      <c r="AH6" s="9">
        <f>AG6-AF6</f>
        <v>78219</v>
      </c>
      <c r="AI6" s="10" t="s">
        <v>38</v>
      </c>
      <c r="AJ6" s="10">
        <v>4010101001</v>
      </c>
      <c r="AK6" s="66" t="s">
        <v>86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R1" workbookViewId="0">
      <selection activeCell="AH5" sqref="AH5:A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18" t="s">
        <v>0</v>
      </c>
      <c r="B3" s="118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H5" sqref="AH5:AH6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18" t="s">
        <v>0</v>
      </c>
      <c r="B3" s="118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94</v>
      </c>
      <c r="AL4" s="19" t="s">
        <v>96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89</v>
      </c>
      <c r="AH5" s="34">
        <f>AG5-AF5</f>
        <v>9612.5</v>
      </c>
      <c r="AI5" s="10" t="s">
        <v>38</v>
      </c>
      <c r="AJ5" s="10">
        <v>4010101001</v>
      </c>
      <c r="AK5" s="72" t="s">
        <v>92</v>
      </c>
      <c r="AL5" s="72" t="s">
        <v>95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88</v>
      </c>
      <c r="AH6" s="34">
        <f>AG6-AF6</f>
        <v>78104</v>
      </c>
      <c r="AI6" s="10" t="s">
        <v>38</v>
      </c>
      <c r="AJ6" s="10">
        <v>4010101001</v>
      </c>
      <c r="AK6" s="66" t="s">
        <v>93</v>
      </c>
      <c r="AL6" s="66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18" t="s">
        <v>0</v>
      </c>
      <c r="B3" s="118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A1" workbookViewId="0">
      <selection activeCell="AK9" sqref="AK9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9.140625" style="29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18" t="s">
        <v>0</v>
      </c>
      <c r="B3" s="118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1.7109375" style="29" customWidth="1"/>
    <col min="36" max="36" width="13.140625" style="29" bestFit="1" customWidth="1"/>
    <col min="37" max="37" width="54.5703125" style="29" customWidth="1"/>
    <col min="38" max="38" width="34.42578125" style="29" customWidth="1"/>
    <col min="39" max="16384" width="9.140625" style="29"/>
  </cols>
  <sheetData>
    <row r="1" spans="1:38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18" t="s">
        <v>0</v>
      </c>
      <c r="B3" s="118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97</v>
      </c>
      <c r="AL4" s="19" t="s">
        <v>96</v>
      </c>
    </row>
    <row r="5" spans="1:38" ht="15">
      <c r="A5" s="10">
        <v>1</v>
      </c>
      <c r="B5" s="42" t="s">
        <v>80</v>
      </c>
      <c r="C5" s="10">
        <v>0</v>
      </c>
      <c r="D5" s="42" t="s">
        <v>80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98</v>
      </c>
      <c r="AL5" s="72" t="s">
        <v>95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18" t="s">
        <v>0</v>
      </c>
      <c r="B3" s="118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159</v>
      </c>
      <c r="AH5" s="34">
        <f>AG5-AF5</f>
        <v>49586</v>
      </c>
      <c r="AI5" s="10" t="s">
        <v>99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4.5703125" style="29" bestFit="1" customWidth="1"/>
    <col min="4" max="4" width="29.85546875" style="29" customWidth="1"/>
    <col min="5" max="5" width="10" style="29" bestFit="1" customWidth="1"/>
    <col min="6" max="6" width="12.5703125" style="29" bestFit="1" customWidth="1"/>
    <col min="7" max="7" width="14.7109375" style="29" bestFit="1" customWidth="1"/>
    <col min="8" max="8" width="10.140625" style="29" bestFit="1" customWidth="1"/>
    <col min="9" max="9" width="13.5703125" style="29" customWidth="1"/>
    <col min="10" max="11" width="8.140625" style="29" bestFit="1" customWidth="1"/>
    <col min="12" max="12" width="8" style="29" bestFit="1" customWidth="1"/>
    <col min="13" max="13" width="13.85546875" style="29" bestFit="1" customWidth="1"/>
    <col min="14" max="14" width="9.7109375" style="29" bestFit="1" customWidth="1"/>
    <col min="15" max="15" width="12.5703125" style="29" customWidth="1"/>
    <col min="16" max="16" width="14.7109375" style="29" customWidth="1"/>
    <col min="17" max="17" width="9.7109375" style="29" bestFit="1" customWidth="1"/>
    <col min="18" max="18" width="9" style="29" customWidth="1"/>
    <col min="19" max="19" width="10.85546875" style="29" bestFit="1" customWidth="1"/>
    <col min="20" max="20" width="17.85546875" style="29" bestFit="1" customWidth="1"/>
    <col min="21" max="21" width="10.5703125" style="29" bestFit="1" customWidth="1"/>
    <col min="22" max="22" width="16.140625" style="29" customWidth="1"/>
    <col min="23" max="23" width="9.28515625" style="29" bestFit="1" customWidth="1"/>
    <col min="24" max="25" width="10.7109375" style="29" bestFit="1" customWidth="1"/>
    <col min="26" max="26" width="11.28515625" style="29" customWidth="1"/>
    <col min="27" max="27" width="10.7109375" style="29" bestFit="1" customWidth="1"/>
    <col min="28" max="28" width="11.7109375" style="29" customWidth="1"/>
    <col min="29" max="29" width="16" style="29" bestFit="1" customWidth="1"/>
    <col min="30" max="30" width="12" style="29" bestFit="1" customWidth="1"/>
    <col min="31" max="31" width="12.28515625" style="29" customWidth="1"/>
    <col min="32" max="32" width="14.7109375" style="29" bestFit="1" customWidth="1"/>
    <col min="33" max="33" width="14.140625" style="36" customWidth="1"/>
    <col min="34" max="34" width="10.28515625" style="28" customWidth="1"/>
    <col min="35" max="35" width="12.42578125" style="29" customWidth="1"/>
    <col min="36" max="36" width="13.140625" style="29" bestFit="1" customWidth="1"/>
    <col min="37" max="37" width="13.140625" style="29" customWidth="1"/>
    <col min="38" max="38" width="12.5703125" style="28" customWidth="1"/>
    <col min="39" max="39" width="15.42578125" style="29" customWidth="1"/>
    <col min="40" max="16384" width="9.140625" style="29"/>
  </cols>
  <sheetData>
    <row r="1" spans="1:39" ht="27.75" customHeight="1">
      <c r="A1" s="119" t="s">
        <v>39</v>
      </c>
      <c r="B1" s="119"/>
      <c r="C1" s="119"/>
      <c r="D1" s="119"/>
      <c r="E1" s="119"/>
      <c r="F1" s="119"/>
      <c r="G1" s="119"/>
      <c r="H1" s="119"/>
      <c r="I1" s="119"/>
      <c r="J1" s="119"/>
      <c r="K1" s="119"/>
      <c r="L1" s="119"/>
      <c r="M1" s="119"/>
      <c r="N1" s="119"/>
      <c r="O1" s="119"/>
      <c r="P1" s="119"/>
      <c r="Q1" s="119"/>
      <c r="R1" s="119"/>
      <c r="S1" s="119"/>
      <c r="T1" s="119"/>
      <c r="U1" s="119"/>
      <c r="V1" s="119"/>
      <c r="W1" s="119"/>
      <c r="X1" s="119"/>
      <c r="Y1" s="119"/>
      <c r="Z1" s="119"/>
      <c r="AA1" s="119"/>
      <c r="AB1" s="119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18" t="s">
        <v>0</v>
      </c>
      <c r="B3" s="118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101</v>
      </c>
      <c r="AL4" s="20" t="s">
        <v>100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179</v>
      </c>
      <c r="AH5" s="34">
        <f>AG5-AF5</f>
        <v>65983</v>
      </c>
      <c r="AI5" s="10" t="s">
        <v>99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19" t="s">
        <v>186</v>
      </c>
      <c r="B1" s="119"/>
      <c r="C1" s="119"/>
      <c r="D1" s="119"/>
    </row>
    <row r="2" spans="1:5" ht="18">
      <c r="D2" s="112"/>
    </row>
    <row r="3" spans="1:5" ht="19.899999999999999" customHeight="1">
      <c r="A3" s="118"/>
      <c r="B3" s="118"/>
      <c r="C3" s="111"/>
      <c r="D3" s="111"/>
    </row>
    <row r="4" spans="1:5" s="31" customFormat="1">
      <c r="A4" s="11" t="s">
        <v>5</v>
      </c>
      <c r="B4" s="11" t="s">
        <v>144</v>
      </c>
      <c r="C4" s="11" t="s">
        <v>182</v>
      </c>
      <c r="D4" s="11" t="s">
        <v>183</v>
      </c>
      <c r="E4" s="58"/>
    </row>
    <row r="5" spans="1:5" ht="15">
      <c r="A5" s="10">
        <v>1</v>
      </c>
      <c r="B5" s="42" t="s">
        <v>146</v>
      </c>
      <c r="C5" s="42" t="s">
        <v>185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C10" sqref="C10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5.42578125" style="29" customWidth="1"/>
    <col min="6" max="16384" width="9.140625" style="29"/>
  </cols>
  <sheetData>
    <row r="1" spans="1:5" ht="27.75" customHeight="1">
      <c r="A1" s="119" t="s">
        <v>187</v>
      </c>
      <c r="B1" s="119"/>
      <c r="C1" s="119"/>
      <c r="D1" s="119"/>
    </row>
    <row r="2" spans="1:5" ht="18">
      <c r="D2" s="112"/>
    </row>
    <row r="3" spans="1:5" ht="19.899999999999999" customHeight="1">
      <c r="A3" s="118"/>
      <c r="B3" s="118"/>
      <c r="C3" s="111"/>
      <c r="D3" s="111"/>
    </row>
    <row r="4" spans="1:5" s="31" customFormat="1">
      <c r="A4" s="11" t="s">
        <v>5</v>
      </c>
      <c r="B4" s="11" t="s">
        <v>144</v>
      </c>
      <c r="C4" s="11" t="s">
        <v>182</v>
      </c>
      <c r="D4" s="11" t="s">
        <v>183</v>
      </c>
      <c r="E4" s="58"/>
    </row>
    <row r="5" spans="1:5" ht="15">
      <c r="A5" s="10">
        <v>1</v>
      </c>
      <c r="B5" s="42" t="s">
        <v>146</v>
      </c>
      <c r="C5" s="42" t="s">
        <v>184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8" sqref="F8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9" t="s">
        <v>192</v>
      </c>
      <c r="B1" s="119"/>
      <c r="C1" s="119"/>
      <c r="D1" s="119"/>
    </row>
    <row r="2" spans="1:6" ht="18">
      <c r="D2" s="112"/>
    </row>
    <row r="3" spans="1:6" ht="19.899999999999999" customHeight="1">
      <c r="A3" s="118"/>
      <c r="B3" s="118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193</v>
      </c>
      <c r="C5" s="42" t="s">
        <v>62</v>
      </c>
      <c r="D5" s="10" t="s">
        <v>181</v>
      </c>
      <c r="E5" s="67" t="s">
        <v>191</v>
      </c>
      <c r="F5" s="10" t="s">
        <v>195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B5" sqref="B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9" t="s">
        <v>192</v>
      </c>
      <c r="B1" s="119"/>
      <c r="C1" s="119"/>
      <c r="D1" s="119"/>
    </row>
    <row r="2" spans="1:6" ht="18">
      <c r="D2" s="112"/>
    </row>
    <row r="3" spans="1:6" ht="19.899999999999999" customHeight="1">
      <c r="A3" s="118"/>
      <c r="B3" s="118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193</v>
      </c>
      <c r="C5" s="114" t="s">
        <v>197</v>
      </c>
      <c r="D5" s="10" t="s">
        <v>181</v>
      </c>
      <c r="E5" s="67" t="s">
        <v>191</v>
      </c>
      <c r="F5" s="10" t="s">
        <v>199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5" sqref="F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6" width="20.140625" style="29" bestFit="1" customWidth="1"/>
    <col min="7" max="16384" width="9.140625" style="29"/>
  </cols>
  <sheetData>
    <row r="1" spans="1:6" ht="27.75" customHeight="1">
      <c r="A1" s="119" t="s">
        <v>192</v>
      </c>
      <c r="B1" s="119"/>
      <c r="C1" s="119"/>
      <c r="D1" s="119"/>
    </row>
    <row r="2" spans="1:6" ht="18">
      <c r="D2" s="112"/>
    </row>
    <row r="3" spans="1:6" ht="19.899999999999999" customHeight="1">
      <c r="A3" s="118"/>
      <c r="B3" s="118"/>
      <c r="C3" s="111"/>
      <c r="D3" s="111"/>
    </row>
    <row r="4" spans="1:6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  <c r="F4" s="115" t="s">
        <v>194</v>
      </c>
    </row>
    <row r="5" spans="1:6" ht="15">
      <c r="A5" s="10">
        <v>1</v>
      </c>
      <c r="B5" s="114" t="s">
        <v>196</v>
      </c>
      <c r="C5" s="114" t="s">
        <v>197</v>
      </c>
      <c r="D5" s="10" t="s">
        <v>189</v>
      </c>
      <c r="E5" s="67" t="s">
        <v>191</v>
      </c>
      <c r="F5" s="10" t="s">
        <v>198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9" t="s">
        <v>192</v>
      </c>
      <c r="B1" s="119"/>
      <c r="C1" s="119"/>
      <c r="D1" s="119"/>
    </row>
    <row r="2" spans="1:5" ht="18">
      <c r="D2" s="112"/>
    </row>
    <row r="3" spans="1:5" ht="19.899999999999999" customHeight="1">
      <c r="A3" s="118"/>
      <c r="B3" s="118"/>
      <c r="C3" s="111"/>
      <c r="D3" s="111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188</v>
      </c>
      <c r="C5" s="42" t="s">
        <v>62</v>
      </c>
      <c r="D5" s="10" t="s">
        <v>189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E5"/>
  <sheetViews>
    <sheetView tabSelected="1" workbookViewId="0">
      <selection activeCell="E12" sqref="E12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9" t="s">
        <v>202</v>
      </c>
      <c r="B1" s="119"/>
      <c r="C1" s="119"/>
      <c r="D1" s="119"/>
    </row>
    <row r="2" spans="1:5" ht="18">
      <c r="D2" s="117"/>
    </row>
    <row r="3" spans="1:5" ht="19.899999999999999" customHeight="1">
      <c r="A3" s="118"/>
      <c r="B3" s="118"/>
      <c r="C3" s="116"/>
      <c r="D3" s="116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201</v>
      </c>
      <c r="C5" s="42" t="s">
        <v>62</v>
      </c>
      <c r="D5" s="10" t="s">
        <v>200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width="5.7109375" style="29" bestFit="1" customWidth="1"/>
    <col min="2" max="2" width="30.42578125" style="29" bestFit="1" customWidth="1"/>
    <col min="3" max="3" width="21.7109375" style="29" customWidth="1"/>
    <col min="4" max="4" width="24.28515625" style="29" customWidth="1"/>
    <col min="5" max="5" width="19.5703125" style="29" bestFit="1" customWidth="1"/>
    <col min="6" max="16384" width="9.140625" style="29"/>
  </cols>
  <sheetData>
    <row r="1" spans="1:5" ht="27.75" customHeight="1">
      <c r="A1" s="119" t="s">
        <v>145</v>
      </c>
      <c r="B1" s="119"/>
      <c r="C1" s="119"/>
      <c r="D1" s="119"/>
    </row>
    <row r="2" spans="1:5" ht="18">
      <c r="D2" s="109"/>
    </row>
    <row r="3" spans="1:5" ht="19.899999999999999" customHeight="1">
      <c r="A3" s="118"/>
      <c r="B3" s="118"/>
      <c r="C3" s="110"/>
      <c r="D3" s="108"/>
    </row>
    <row r="4" spans="1:5" s="31" customFormat="1">
      <c r="A4" s="11" t="s">
        <v>5</v>
      </c>
      <c r="B4" s="11" t="s">
        <v>6</v>
      </c>
      <c r="C4" s="11" t="s">
        <v>147</v>
      </c>
      <c r="D4" s="11" t="s">
        <v>144</v>
      </c>
      <c r="E4" s="113" t="s">
        <v>190</v>
      </c>
    </row>
    <row r="5" spans="1:5" ht="15">
      <c r="A5" s="10">
        <v>1</v>
      </c>
      <c r="B5" s="42" t="s">
        <v>146</v>
      </c>
      <c r="C5" s="42" t="s">
        <v>148</v>
      </c>
      <c r="D5" s="10" t="s">
        <v>181</v>
      </c>
      <c r="E5" s="67" t="s">
        <v>191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</vt:lpstr>
      <vt:lpstr>DirectSCOWithProject</vt:lpstr>
      <vt:lpstr>DirectSCOWithSOandConv</vt:lpstr>
      <vt:lpstr>DirectSCOWithConv</vt:lpstr>
      <vt:lpstr>DirectSCOSerial</vt:lpstr>
      <vt:lpstr>DirectSCO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Premkumar.K</dc:creator>
  <cp:lastModifiedBy>Vimal Raj.P</cp:lastModifiedBy>
  <dcterms:created xsi:type="dcterms:W3CDTF">2024-08-28T12:59:00Z</dcterms:created>
  <dcterms:modified xsi:type="dcterms:W3CDTF">2025-10-29T10:41:54Z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