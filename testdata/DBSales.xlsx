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30" windowHeight="6540" firstSheet="21" activeTab="2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" sheetId="43" r:id="rId34"/>
    <sheet name="DirectSCOWithProject" sheetId="45" r:id="rId35"/>
    <sheet name="DirectSCOSerialWithSO" sheetId="47" r:id="rId36"/>
    <sheet name="DirectSCOWithSOandConv" sheetId="44" r:id="rId37"/>
    <sheet name="DirectSCOWithConv" sheetId="42" r:id="rId38"/>
    <sheet name="DirectSCOSerialWithPrj" sheetId="48" r:id="rId39"/>
    <sheet name="DirectSCOSerial" sheetId="46" r:id="rId40"/>
    <sheet name="ProcCalculationLocalUnreg" sheetId="52" r:id="rId41"/>
    <sheet name="ProcCalculationInterstateReg" sheetId="53" r:id="rId42"/>
    <sheet name="ProcCalculationUTGSTreg" sheetId="56" r:id="rId43"/>
    <sheet name="ProcCalculationUTGSTUnreg" sheetId="55" r:id="rId44"/>
    <sheet name="ProcCalculationInterstateUnreg" sheetId="54" r:id="rId45"/>
    <sheet name="ProcCalculationLocalReg" sheetId="51" r:id="rId46"/>
    <sheet name="DirectSCO" sheetId="39" r:id="rId47"/>
    <sheet name="SCOCharges" sheetId="57" r:id="rId4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O5"/>
  <c r="I5"/>
  <c r="J5" s="1"/>
  <c r="Q5" i="51"/>
  <c r="P5"/>
  <c r="O5"/>
  <c r="I5"/>
  <c r="K5" s="1"/>
  <c r="Q5" i="54"/>
  <c r="P5"/>
  <c r="O5"/>
  <c r="I5"/>
  <c r="J5" s="1"/>
  <c r="Q5" i="53"/>
  <c r="P5"/>
  <c r="O5"/>
  <c r="I5"/>
  <c r="K5" s="1"/>
  <c r="Q5" i="52"/>
  <c r="P5"/>
  <c r="O5"/>
  <c r="I5"/>
  <c r="K5" s="1"/>
  <c r="R5" i="55"/>
  <c r="P5"/>
  <c r="O5"/>
  <c r="I5"/>
  <c r="J5" s="1"/>
  <c r="O5" i="58" l="1"/>
  <c r="K5" i="57"/>
  <c r="K5" i="56"/>
  <c r="R5" i="51"/>
  <c r="S5" s="1"/>
  <c r="T5"/>
  <c r="J5"/>
  <c r="K5" i="54"/>
  <c r="R5" i="53"/>
  <c r="S5" s="1"/>
  <c r="T5"/>
  <c r="J5"/>
  <c r="R5" i="52"/>
  <c r="S5" s="1"/>
  <c r="T5"/>
  <c r="J5"/>
  <c r="K5" i="55"/>
  <c r="P5" i="58" l="1"/>
  <c r="Q5" s="1"/>
  <c r="R5" s="1"/>
  <c r="Q5" i="57"/>
  <c r="S5" s="1"/>
  <c r="T5"/>
  <c r="R5" i="56"/>
  <c r="S5" s="1"/>
  <c r="T5"/>
  <c r="R5" i="54"/>
  <c r="S5" s="1"/>
  <c r="T5"/>
  <c r="T5" i="55"/>
  <c r="Q5"/>
  <c r="S5" s="1"/>
  <c r="I5" i="43"/>
  <c r="J5" s="1"/>
  <c r="I5" i="45"/>
  <c r="J5" s="1"/>
  <c r="I5" i="47"/>
  <c r="J5" s="1"/>
  <c r="I5" i="44"/>
  <c r="J5" s="1"/>
  <c r="I5" i="42"/>
  <c r="J5" s="1"/>
  <c r="I5" i="48"/>
  <c r="J5" s="1"/>
  <c r="S5" i="58" l="1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U5" i="58" l="1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Z5" i="58" l="1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<sst xmlns="http://schemas.openxmlformats.org/spreadsheetml/2006/main" count="2285" uniqueCount="215">
  <si>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</si>
  <si>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</si>
  <si>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</si>
  <si>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</si>
  <si>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</si>
  <si>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</si>
  <si>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</si>
  <si>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</si>
  <si>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</si>
  <si>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</si>
  <si>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</si>
  <si>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</si>
  <si>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</si>
  <si>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</si>
  <si>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</si>
  <si>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</si>
  <si>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</si>
  <si>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</si>
  <si>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</si>
  <si>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</si>
  <si>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</si>
  <si>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</si>
  <si>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</si>
  <si>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</si>
  <si>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</si>
  <si>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</si>
  <si>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</si>
  <si>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</si>
  <si>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</si>
  <si>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</si>
  <si>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</si>
  <si>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</si>
  <si>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</si>
  <si>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</si>
  <si>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</si>
  <si>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</si>
  <si>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</si>
  <si>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</si>
  <si>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</si>
  <si>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</si>
  <si>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</si>
  <si>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</si>
  <si>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</si>
  <si>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</si>
  <si>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</si>
  <si>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</si>
  <si>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</si>
  <si>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</si>
  <si>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</si>
  <si>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</si>
  <si>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</si>
  <si>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</si>
  <si>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</si>
  <si>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</si>
  <si>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</si>
  <si>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</si>
  <si>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</si>
  <si>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</si>
  <si>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</si>
  <si>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</si>
  <si>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</si>
  <si>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</si>
  <si>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</si>
  <si>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</si>
  <si>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</si>
  <si>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</si>
  <si>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</si>
  <si>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</si>
  <si>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130</t>
  </si>
  <si>
    <t>HK-TVS-SCRAP-10001</t>
  </si>
  <si>
    <t>Service0001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</si>
  <si>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</si>
  <si>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</si>
  <si>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</si>
  <si>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</si>
  <si>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</si>
  <si>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</si>
  <si>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</si>
  <si>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</si>
  <si>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</si>
  <si>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</si>
  <si>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SO/Reference Domestic</t>
  </si>
  <si>
    <t>SO100/00895/25-26</t>
  </si>
  <si>
    <t>SO/Reference Export</t>
  </si>
  <si>
    <t>CPC Code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</si>
  <si>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</si>
  <si>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</si>
  <si>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</si>
  <si>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</si>
  <si>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</si>
  <si>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</si>
  <si>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</si>
  <si>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</si>
  <si>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</si>
  <si>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</si>
  <si>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</si>
  <si>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</si>
  <si>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</si>
  <si>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</si>
  <si>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</si>
  <si>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</si>
  <si>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</si>
  <si>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</si>
  <si>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</si>
  <si>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</si>
  <si>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</si>
  <si>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</si>
  <si>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</si>
  <si>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</si>
  <si>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</si>
  <si>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</si>
  <si>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</si>
  <si>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</si>
  <si>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</si>
  <si>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</si>
  <si>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</si>
  <si>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</si>
  <si>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</si>
  <si>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</si>
  <si>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</si>
  <si>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</si>
  <si>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</si>
  <si>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</si>
  <si>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</si>
  <si>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</si>
  <si>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</si>
  <si>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</si>
  <si>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</si>
  <si>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</si>
  <si>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</si>
  <si>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</si>
  <si>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9755</t>
  </si>
  <si>
    <t>49091</t>
  </si>
  <si>
    <t>49031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</si>
  <si>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</si>
  <si>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</si>
  <si>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</si>
  <si>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</si>
  <si>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</si>
  <si>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</si>
  <si>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</si>
  <si>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</si>
  <si>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</si>
  <si>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</si>
  <si>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</si>
  <si>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</si>
  <si>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</si>
  <si>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</si>
  <si>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</si>
  <si>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</si>
  <si>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</si>
  <si>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</si>
  <si>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</si>
  <si>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</si>
  <si>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</si>
  <si>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</si>
  <si>
    <t>FG50011</t>
  </si>
  <si>
    <t>SO100/05832/25-26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</si>
  <si>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</si>
  <si>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</si>
  <si>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</si>
  <si>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</si>
  <si>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</si>
  <si>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</si>
  <si>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</si>
  <si>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</si>
  <si>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</si>
  <si>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</si>
  <si>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</si>
  <si>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</si>
  <si>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</si>
  <si>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</si>
  <si>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</si>
  <si>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</si>
  <si>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</si>
  <si>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</si>
  <si>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</si>
  <si>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</si>
  <si>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</si>
  <si>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</si>
  <si>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</si>
  <si>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</si>
  <si>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</si>
  <si>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</si>
  <si>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</si>
  <si>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</si>
  <si>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</si>
  <si>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</si>
  <si>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</si>
  <si>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</si>
  <si>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</si>
  <si>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</si>
  <si>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</si>
  <si>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</si>
  <si>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</si>
  <si>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</si>
  <si>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</si>
  <si>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</si>
  <si>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</si>
  <si>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</si>
  <si>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</si>
  <si>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</si>
  <si>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</si>
  <si>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</si>
  <si>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</si>
  <si>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</si>
  <si>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</si>
  <si>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</si>
  <si>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</si>
  <si>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</si>
  <si>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</si>
  <si>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</si>
  <si>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99566</t>
  </si>
  <si>
    <t>SORD-2526-00077</t>
  </si>
  <si>
    <t>SORD-2526-00266</t>
  </si>
</sst>
</file>

<file path=xl/styles.xml><?xml version="1.0" encoding="utf-8"?>
<styleSheet xmlns="http://schemas.openxmlformats.org/spreadsheetml/2006/main">
  <numFmts count="1">
    <numFmt numFmtId="164" formatCode="0.000"/>
  </numFmts>
  <fonts count="11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Z1" workbookViewId="0">
      <selection activeCell="AJ5" sqref="AJ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8.81640625" style="29" bestFit="1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26.81640625" style="29" bestFit="1" customWidth="1"/>
    <col min="36" max="36" width="13.1796875" style="29" bestFit="1" customWidth="1"/>
    <col min="37" max="37" width="14" style="29" bestFit="1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"/>
      <c r="AD1" s="1"/>
      <c r="AE1" s="1"/>
      <c r="AF1" s="1"/>
      <c r="AG1" s="27"/>
    </row>
    <row r="2" spans="1:38" ht="17.5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34" t="s">
        <v>0</v>
      </c>
      <c r="B3" s="134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32" t="s">
        <v>156</v>
      </c>
      <c r="C5" s="10">
        <v>0</v>
      </c>
      <c r="D5" s="37" t="s">
        <v>156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197</v>
      </c>
      <c r="AH5" s="9">
        <f>AG5-AF5</f>
        <v>-15</v>
      </c>
      <c r="AI5" s="10" t="s">
        <v>185</v>
      </c>
      <c r="AJ5" s="10" t="s">
        <v>186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198</v>
      </c>
      <c r="AH6" s="9">
        <f>AG6-AF6</f>
        <v>9490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8.81640625" style="29" bestFit="1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39" width="12.54296875" style="28" customWidth="1"/>
    <col min="40" max="16384" width="9.1796875" style="29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39"/>
      <c r="AD1" s="39"/>
      <c r="AE1" s="39"/>
      <c r="AF1" s="39"/>
      <c r="AG1" s="27"/>
    </row>
    <row r="2" spans="1:39" ht="17.5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34" t="s">
        <v>0</v>
      </c>
      <c r="B3" s="134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86</v>
      </c>
    </row>
    <row r="5" spans="1:39" ht="14.5">
      <c r="A5" s="10">
        <v>1</v>
      </c>
      <c r="B5" s="32" t="s">
        <v>156</v>
      </c>
      <c r="C5" s="10">
        <v>0</v>
      </c>
      <c r="D5" s="37" t="s">
        <v>156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197</v>
      </c>
      <c r="AH5" s="9">
        <f>AG5-AF5</f>
        <v>82574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198</v>
      </c>
      <c r="AH6" s="9">
        <f>AG6-AF6</f>
        <v>9657.5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1"/>
      <c r="AD1" s="41"/>
      <c r="AE1" s="41"/>
      <c r="AF1" s="41"/>
      <c r="AG1" s="27"/>
    </row>
    <row r="2" spans="1:38" ht="17.5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34" t="s">
        <v>0</v>
      </c>
      <c r="B3" s="134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191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9645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</row>
    <row r="6" spans="1:38" ht="14.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192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190</v>
      </c>
      <c r="AH6" s="9">
        <f>AG6-AF6</f>
        <v>9950.6589999999997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4"/>
      <c r="AD1" s="44"/>
      <c r="AE1" s="44"/>
      <c r="AF1" s="44"/>
      <c r="AG1" s="27"/>
    </row>
    <row r="2" spans="1:38" ht="17.5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34" t="s">
        <v>0</v>
      </c>
      <c r="B3" s="134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199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9745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</row>
    <row r="6" spans="1:38" ht="14.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189</v>
      </c>
      <c r="AH6" s="9">
        <f>AG6-AF6</f>
        <v>9880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6"/>
      <c r="AD1" s="46"/>
      <c r="AE1" s="46"/>
      <c r="AF1" s="46"/>
      <c r="AG1" s="27"/>
    </row>
    <row r="2" spans="1:38" ht="17.5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34" t="s">
        <v>0</v>
      </c>
      <c r="B3" s="134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9717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</row>
    <row r="6" spans="1:38" ht="14.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191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190</v>
      </c>
      <c r="AH6" s="9">
        <f>AG6-AF6</f>
        <v>9865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8"/>
      <c r="AD1" s="48"/>
      <c r="AE1" s="48"/>
      <c r="AF1" s="48"/>
      <c r="AG1" s="27"/>
    </row>
    <row r="2" spans="1:38" ht="17.5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34" t="s">
        <v>0</v>
      </c>
      <c r="B3" s="134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192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9795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</row>
    <row r="6" spans="1:38" ht="14.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193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201</v>
      </c>
      <c r="AH6" s="9">
        <f>AG6-AF6</f>
        <v>9900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0"/>
      <c r="AD1" s="50"/>
      <c r="AE1" s="50"/>
      <c r="AF1" s="50"/>
      <c r="AG1" s="27"/>
    </row>
    <row r="2" spans="1:38" ht="17.5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34" t="s">
        <v>0</v>
      </c>
      <c r="B3" s="134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194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9703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</row>
    <row r="6" spans="1:38" ht="14.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195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190</v>
      </c>
      <c r="AH6" s="9">
        <f>AG6-AF6</f>
        <v>9852.5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0"/>
      <c r="AD1" s="50"/>
      <c r="AE1" s="50"/>
      <c r="AF1" s="50"/>
      <c r="AG1" s="27"/>
    </row>
    <row r="2" spans="1:38" ht="17.5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34" t="s">
        <v>0</v>
      </c>
      <c r="B3" s="134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9805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</row>
    <row r="6" spans="1:38" ht="14.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63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131</v>
      </c>
      <c r="AH6" s="9">
        <f>AG6-AF6</f>
        <v>9905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2"/>
      <c r="AD1" s="52"/>
      <c r="AE1" s="52"/>
      <c r="AF1" s="52"/>
      <c r="AG1" s="27"/>
    </row>
    <row r="2" spans="1:38" ht="17.5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34" t="s">
        <v>0</v>
      </c>
      <c r="B3" s="13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4.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196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9805</v>
      </c>
      <c r="AI5" s="10" t="s">
        <v>185</v>
      </c>
      <c r="AJ5" s="10" t="s">
        <v>186</v>
      </c>
      <c r="AK5" s="29" t="s">
        <v>46</v>
      </c>
      <c r="AL5" s="33">
        <f>AK5+G5</f>
        <v>87865</v>
      </c>
    </row>
    <row r="6" spans="1:38" ht="14.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185</v>
      </c>
      <c r="AJ6" s="10" t="s">
        <v>186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2"/>
      <c r="AD1" s="52"/>
      <c r="AE1" s="52"/>
      <c r="AF1" s="52"/>
      <c r="AG1" s="27"/>
    </row>
    <row r="2" spans="1:38" ht="17.5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34" t="s">
        <v>0</v>
      </c>
      <c r="B3" s="13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4.5">
      <c r="A5" s="10">
        <v>1</v>
      </c>
      <c r="B5" s="42" t="s">
        <v>66</v>
      </c>
      <c r="C5" s="10">
        <v>0</v>
      </c>
      <c r="D5" s="42" t="s">
        <v>66</v>
      </c>
      <c r="E5" s="10" t="s">
        <v>32</v>
      </c>
      <c r="F5" s="10" t="s">
        <v>32</v>
      </c>
      <c r="G5" s="33">
        <v>15</v>
      </c>
      <c r="H5" s="29" t="s">
        <v>191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9775</v>
      </c>
      <c r="AI5" s="10" t="s">
        <v>185</v>
      </c>
      <c r="AJ5" s="10" t="s">
        <v>186</v>
      </c>
      <c r="AK5" s="7"/>
      <c r="AL5" s="59"/>
    </row>
    <row r="6" spans="1:38" ht="14.5">
      <c r="A6" s="10">
        <v>2</v>
      </c>
      <c r="B6" s="42" t="s">
        <v>67</v>
      </c>
      <c r="C6" s="10">
        <v>0</v>
      </c>
      <c r="D6" s="42" t="s">
        <v>67</v>
      </c>
      <c r="E6" s="10" t="s">
        <v>32</v>
      </c>
      <c r="F6" s="10" t="s">
        <v>32</v>
      </c>
      <c r="G6" s="33">
        <v>10</v>
      </c>
      <c r="H6" s="29" t="s">
        <v>192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9890</v>
      </c>
      <c r="AI6" s="10" t="s">
        <v>185</v>
      </c>
      <c r="AJ6" s="10" t="s">
        <v>186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2.453125" style="29" customWidth="1"/>
    <col min="36" max="36" width="13.1796875" style="29" bestFit="1" customWidth="1"/>
    <col min="37" max="37" width="13.1796875" style="29" customWidth="1"/>
    <col min="38" max="38" width="12.54296875" style="28" customWidth="1"/>
    <col min="39" max="39" width="15.453125" style="29" customWidth="1"/>
    <col min="40" max="16384" width="9.1796875" style="29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0"/>
      <c r="AD1" s="80"/>
      <c r="AE1" s="80"/>
      <c r="AF1" s="80"/>
      <c r="AG1" s="27"/>
    </row>
    <row r="2" spans="1:39" ht="17.5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34" t="s">
        <v>0</v>
      </c>
      <c r="B3" s="134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87</v>
      </c>
      <c r="AL4" s="20" t="s">
        <v>86</v>
      </c>
      <c r="AM4" s="58"/>
    </row>
    <row r="5" spans="1:39" ht="14.5">
      <c r="A5" s="10">
        <v>1</v>
      </c>
      <c r="B5" s="42" t="s">
        <v>88</v>
      </c>
      <c r="C5" s="10">
        <v>0</v>
      </c>
      <c r="D5" s="42" t="s">
        <v>88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125</v>
      </c>
      <c r="AH5" s="34">
        <f>AG5-AF5</f>
        <v>782</v>
      </c>
      <c r="AI5" s="10" t="s">
        <v>185</v>
      </c>
      <c r="AJ5" s="10" t="s">
        <v>186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" style="29" bestFit="1" customWidth="1"/>
    <col min="4" max="4" width="29.81640625" style="29" customWidth="1"/>
    <col min="5" max="5" width="10" style="29" bestFit="1" customWidth="1"/>
    <col min="6" max="6" width="18.8164062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2.453125" style="29" customWidth="1"/>
    <col min="36" max="36" width="13.1796875" style="29" bestFit="1" customWidth="1"/>
    <col min="37" max="37" width="13.1796875" style="29" customWidth="1"/>
    <col min="38" max="38" width="12.54296875" style="28" customWidth="1"/>
    <col min="39" max="39" width="15.453125" style="29" customWidth="1"/>
    <col min="40" max="16384" width="9.1796875" style="29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6"/>
      <c r="AD1" s="86"/>
      <c r="AE1" s="86"/>
      <c r="AF1" s="86"/>
      <c r="AG1" s="27"/>
    </row>
    <row r="2" spans="1:39" ht="17.5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34" t="s">
        <v>0</v>
      </c>
      <c r="B3" s="134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87</v>
      </c>
      <c r="AL4" s="20" t="s">
        <v>86</v>
      </c>
      <c r="AM4" s="58"/>
    </row>
    <row r="5" spans="1:39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211</v>
      </c>
      <c r="AH5" s="34">
        <f>AG5-AF5</f>
        <v>65983</v>
      </c>
      <c r="AI5" s="10" t="s">
        <v>185</v>
      </c>
      <c r="AJ5" s="10" t="s">
        <v>186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89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90</v>
      </c>
      <c r="D10" s="90" t="s">
        <v>6</v>
      </c>
      <c r="E10" s="90" t="s">
        <v>7</v>
      </c>
      <c r="F10" s="90" t="s">
        <v>91</v>
      </c>
      <c r="G10" s="90" t="s">
        <v>92</v>
      </c>
      <c r="H10" s="90" t="s">
        <v>93</v>
      </c>
      <c r="I10" s="90" t="s">
        <v>94</v>
      </c>
      <c r="J10" s="90" t="s">
        <v>95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209</v>
      </c>
      <c r="E11" s="10">
        <v>0</v>
      </c>
      <c r="F11" s="10" t="s">
        <v>96</v>
      </c>
      <c r="G11" s="10" t="s">
        <v>97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210</v>
      </c>
      <c r="E12" s="10">
        <v>0</v>
      </c>
      <c r="F12" s="10" t="s">
        <v>98</v>
      </c>
      <c r="G12" s="10" t="s">
        <v>94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99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2.453125" style="29" customWidth="1"/>
    <col min="36" max="36" width="13.1796875" style="29" bestFit="1" customWidth="1"/>
    <col min="37" max="37" width="13.1796875" style="29" customWidth="1"/>
    <col min="38" max="38" width="12.54296875" style="28" customWidth="1"/>
    <col min="39" max="39" width="15.453125" style="29" customWidth="1"/>
    <col min="40" max="16384" width="9.1796875" style="29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8"/>
      <c r="AD1" s="88"/>
      <c r="AE1" s="88"/>
      <c r="AF1" s="88"/>
      <c r="AG1" s="27"/>
    </row>
    <row r="2" spans="1:39" ht="17.5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34" t="s">
        <v>0</v>
      </c>
      <c r="B3" s="134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87</v>
      </c>
      <c r="AL4" s="20" t="s">
        <v>86</v>
      </c>
      <c r="AM4" s="58"/>
    </row>
    <row r="5" spans="1:39" ht="14.5">
      <c r="A5" s="10">
        <v>1</v>
      </c>
      <c r="B5" s="42" t="s">
        <v>100</v>
      </c>
      <c r="C5" s="10">
        <v>0</v>
      </c>
      <c r="D5" s="42" t="s">
        <v>100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187</v>
      </c>
      <c r="AH5" s="34">
        <f>AG5-AF5</f>
        <v>65983</v>
      </c>
      <c r="AI5" s="10" t="s">
        <v>185</v>
      </c>
      <c r="AJ5" s="10" t="s">
        <v>186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2.453125" style="29" customWidth="1"/>
    <col min="36" max="36" width="13.1796875" style="29" bestFit="1" customWidth="1"/>
    <col min="37" max="37" width="13.1796875" style="29" customWidth="1"/>
    <col min="38" max="38" width="12.54296875" style="28" customWidth="1"/>
    <col min="39" max="39" width="15.453125" style="29" customWidth="1"/>
    <col min="40" max="16384" width="9.1796875" style="29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93"/>
      <c r="AD1" s="93"/>
      <c r="AE1" s="93"/>
      <c r="AF1" s="93"/>
      <c r="AG1" s="27"/>
    </row>
    <row r="2" spans="1:39" ht="17.5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34" t="s">
        <v>0</v>
      </c>
      <c r="B3" s="134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87</v>
      </c>
      <c r="AL4" s="20" t="s">
        <v>86</v>
      </c>
      <c r="AM4" s="58"/>
    </row>
    <row r="5" spans="1:39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116</v>
      </c>
      <c r="AH5" s="34">
        <f>AG5-AF5</f>
        <v>65248</v>
      </c>
      <c r="AI5" s="10" t="s">
        <v>185</v>
      </c>
      <c r="AJ5" s="10" t="s">
        <v>186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101</v>
      </c>
      <c r="C6" s="10">
        <v>0</v>
      </c>
      <c r="D6" s="97" t="s">
        <v>101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117</v>
      </c>
      <c r="AH6" s="34">
        <f>AG6-AF6</f>
        <v>99984</v>
      </c>
      <c r="AI6" s="10" t="s">
        <v>185</v>
      </c>
      <c r="AJ6" s="10" t="s">
        <v>186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102</v>
      </c>
      <c r="C7" s="10">
        <v>0</v>
      </c>
      <c r="D7" s="97" t="s">
        <v>102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118</v>
      </c>
      <c r="AH7" s="34">
        <f t="shared" ref="AH7:AH14" si="20">AG7-AF7</f>
        <v>99983</v>
      </c>
      <c r="AI7" s="10" t="s">
        <v>185</v>
      </c>
      <c r="AJ7" s="10" t="s">
        <v>186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103</v>
      </c>
      <c r="C8" s="10">
        <v>0</v>
      </c>
      <c r="D8" s="97" t="s">
        <v>103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115</v>
      </c>
      <c r="AH8" s="34">
        <f t="shared" si="20"/>
        <v>99982</v>
      </c>
      <c r="AI8" s="10" t="s">
        <v>185</v>
      </c>
      <c r="AJ8" s="10" t="s">
        <v>186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104</v>
      </c>
      <c r="C9" s="10">
        <v>0</v>
      </c>
      <c r="D9" s="97" t="s">
        <v>104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119</v>
      </c>
      <c r="AH9" s="34">
        <f t="shared" si="20"/>
        <v>99981</v>
      </c>
      <c r="AI9" s="10" t="s">
        <v>185</v>
      </c>
      <c r="AJ9" s="10" t="s">
        <v>186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105</v>
      </c>
      <c r="C10" s="10">
        <v>0</v>
      </c>
      <c r="D10" s="97" t="s">
        <v>105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120</v>
      </c>
      <c r="AH10" s="34">
        <f t="shared" si="20"/>
        <v>99980</v>
      </c>
      <c r="AI10" s="10" t="s">
        <v>185</v>
      </c>
      <c r="AJ10" s="10" t="s">
        <v>186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106</v>
      </c>
      <c r="C11" s="10">
        <v>0</v>
      </c>
      <c r="D11" s="97" t="s">
        <v>106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121</v>
      </c>
      <c r="AH11" s="34">
        <f t="shared" si="20"/>
        <v>99979</v>
      </c>
      <c r="AI11" s="10" t="s">
        <v>185</v>
      </c>
      <c r="AJ11" s="10" t="s">
        <v>186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107</v>
      </c>
      <c r="C12" s="99">
        <v>0</v>
      </c>
      <c r="D12" s="100" t="s">
        <v>107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122</v>
      </c>
      <c r="AH12" s="102">
        <f t="shared" si="20"/>
        <v>99978</v>
      </c>
      <c r="AI12" s="10" t="s">
        <v>185</v>
      </c>
      <c r="AJ12" s="10" t="s">
        <v>186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108</v>
      </c>
      <c r="C13" s="10">
        <v>0</v>
      </c>
      <c r="D13" s="97" t="s">
        <v>108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123</v>
      </c>
      <c r="AH13" s="34">
        <f t="shared" si="20"/>
        <v>99977</v>
      </c>
      <c r="AI13" s="10" t="s">
        <v>185</v>
      </c>
      <c r="AJ13" s="10" t="s">
        <v>186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109</v>
      </c>
      <c r="C14" s="10">
        <v>0</v>
      </c>
      <c r="D14" s="97" t="s">
        <v>109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124</v>
      </c>
      <c r="AH14" s="34">
        <f t="shared" si="20"/>
        <v>99976</v>
      </c>
      <c r="AI14" s="10" t="s">
        <v>185</v>
      </c>
      <c r="AJ14" s="10" t="s">
        <v>186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2.453125" style="29" customWidth="1"/>
    <col min="36" max="36" width="13.1796875" style="29" bestFit="1" customWidth="1"/>
    <col min="37" max="37" width="13.1796875" style="29" customWidth="1"/>
    <col min="38" max="38" width="12.54296875" style="28" customWidth="1"/>
    <col min="39" max="39" width="36" style="28" customWidth="1"/>
    <col min="40" max="40" width="15.453125" style="29" customWidth="1"/>
    <col min="41" max="41" width="14.1796875" style="29" customWidth="1"/>
    <col min="42" max="42" width="15" style="29" customWidth="1"/>
    <col min="43" max="43" width="16.54296875" style="29" customWidth="1"/>
    <col min="44" max="16384" width="9.1796875" style="29"/>
  </cols>
  <sheetData>
    <row r="1" spans="1:43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4"/>
      <c r="AD1" s="54"/>
      <c r="AE1" s="54"/>
      <c r="AF1" s="54"/>
      <c r="AG1" s="27"/>
    </row>
    <row r="2" spans="1:43" ht="17.5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34" t="s">
        <v>0</v>
      </c>
      <c r="B3" s="134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87</v>
      </c>
      <c r="AL4" s="20" t="s">
        <v>86</v>
      </c>
      <c r="AM4" s="20" t="s">
        <v>111</v>
      </c>
      <c r="AN4" s="20" t="s">
        <v>110</v>
      </c>
      <c r="AO4" s="98" t="s">
        <v>112</v>
      </c>
      <c r="AP4" s="98" t="s">
        <v>113</v>
      </c>
      <c r="AQ4" s="98" t="s">
        <v>114</v>
      </c>
    </row>
    <row r="5" spans="1:43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212</v>
      </c>
      <c r="AH5" s="33">
        <f>AG5-AF5</f>
        <v>99656</v>
      </c>
      <c r="AI5" s="10" t="s">
        <v>185</v>
      </c>
      <c r="AJ5" s="10" t="s">
        <v>186</v>
      </c>
      <c r="AK5" s="33">
        <f>AH5</f>
        <v>99656</v>
      </c>
      <c r="AL5" s="33">
        <f>AK5+G5</f>
        <v>99671</v>
      </c>
      <c r="AM5" s="28" t="s">
        <v>69</v>
      </c>
      <c r="AN5" s="67" t="s">
        <v>188</v>
      </c>
      <c r="AO5" s="29" t="s">
        <v>126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34.54296875" style="29" customWidth="1"/>
    <col min="8" max="8" width="21.26953125" style="29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3"/>
      <c r="AD1" s="133"/>
      <c r="AE1" s="133"/>
      <c r="AF1" s="133"/>
      <c r="AG1" s="27"/>
    </row>
    <row r="2" spans="1:38" ht="17.5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34" t="s">
        <v>0</v>
      </c>
      <c r="B3" s="134"/>
      <c r="C3" s="132"/>
      <c r="D3" s="3">
        <v>4</v>
      </c>
      <c r="E3" s="4" t="s">
        <v>181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182</v>
      </c>
      <c r="AL4" s="58"/>
    </row>
    <row r="5" spans="1:38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99861</v>
      </c>
      <c r="AI5" s="10" t="s">
        <v>185</v>
      </c>
      <c r="AJ5" s="10" t="s">
        <v>186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4"/>
      <c r="AD1" s="54"/>
      <c r="AE1" s="54"/>
      <c r="AF1" s="54"/>
      <c r="AG1" s="27"/>
    </row>
    <row r="2" spans="1:38" ht="17.5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34" t="s">
        <v>0</v>
      </c>
      <c r="B3" s="134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80699</v>
      </c>
      <c r="AI5" s="10" t="s">
        <v>185</v>
      </c>
      <c r="AJ5" s="10" t="s">
        <v>186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7.5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204</v>
      </c>
      <c r="AH5" s="9">
        <f>AG5-AF5</f>
        <v>80699</v>
      </c>
      <c r="AI5" s="10" t="s">
        <v>185</v>
      </c>
      <c r="AJ5" s="10" t="s">
        <v>186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7.5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205</v>
      </c>
      <c r="AH5" s="9">
        <f>AG5-AF5</f>
        <v>80704</v>
      </c>
      <c r="AI5" s="10" t="s">
        <v>185</v>
      </c>
      <c r="AJ5" s="10" t="s">
        <v>186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V1" workbookViewId="0">
      <selection activeCell="AJ5" sqref="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7.5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4.5">
      <c r="A5" s="10">
        <v>1</v>
      </c>
      <c r="B5" s="60" t="s">
        <v>69</v>
      </c>
      <c r="C5" s="10">
        <v>0</v>
      </c>
      <c r="D5" s="60" t="s">
        <v>69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188</v>
      </c>
      <c r="AJ5" s="10" t="s">
        <v>186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6"/>
      <c r="AD1" s="56"/>
      <c r="AE1" s="56"/>
      <c r="AF1" s="56"/>
      <c r="AG1" s="27"/>
    </row>
    <row r="2" spans="1:38" ht="17.5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4" t="s">
        <v>0</v>
      </c>
      <c r="B3" s="13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4.5">
      <c r="A5" s="10">
        <v>1</v>
      </c>
      <c r="B5" s="60" t="s">
        <v>70</v>
      </c>
      <c r="C5" s="10">
        <v>0</v>
      </c>
      <c r="D5" s="60" t="s">
        <v>70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80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2"/>
      <c r="AD1" s="62"/>
      <c r="AE1" s="62"/>
      <c r="AF1" s="62"/>
      <c r="AG1" s="27"/>
    </row>
    <row r="2" spans="1:38" ht="17.5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34" t="s">
        <v>0</v>
      </c>
      <c r="B3" s="134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71</v>
      </c>
      <c r="AL4" s="20" t="s">
        <v>72</v>
      </c>
    </row>
    <row r="5" spans="1:38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73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79</v>
      </c>
      <c r="AH5" s="9">
        <f>AG5-AF5</f>
        <v>80699</v>
      </c>
      <c r="AI5" s="10" t="s">
        <v>185</v>
      </c>
      <c r="AJ5" s="10" t="s">
        <v>186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5.453125" style="29" customWidth="1"/>
    <col min="38" max="16384" width="9.1796875" style="29"/>
  </cols>
  <sheetData>
    <row r="1" spans="1:37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2"/>
      <c r="AD1" s="62"/>
      <c r="AE1" s="62"/>
      <c r="AF1" s="62"/>
      <c r="AG1" s="27"/>
    </row>
    <row r="2" spans="1:37" ht="17.5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34" t="s">
        <v>0</v>
      </c>
      <c r="B3" s="134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63733</v>
      </c>
      <c r="AI5" s="10" t="s">
        <v>185</v>
      </c>
      <c r="AJ5" s="10" t="s">
        <v>186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14.26953125" style="29" customWidth="1"/>
    <col min="38" max="38" width="15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5"/>
      <c r="AD1" s="65"/>
      <c r="AE1" s="65"/>
      <c r="AF1" s="65"/>
      <c r="AG1" s="27"/>
    </row>
    <row r="2" spans="1:38" ht="17.5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34" t="s">
        <v>0</v>
      </c>
      <c r="B3" s="134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74</v>
      </c>
      <c r="AL4" s="58"/>
    </row>
    <row r="5" spans="1:38" ht="14.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206</v>
      </c>
      <c r="AH5" s="9">
        <f>AG5-AF5</f>
        <v>9630</v>
      </c>
      <c r="AI5" s="10" t="s">
        <v>185</v>
      </c>
      <c r="AJ5" s="10" t="s">
        <v>186</v>
      </c>
      <c r="AK5" s="66" t="s">
        <v>76</v>
      </c>
      <c r="AL5" s="59"/>
    </row>
    <row r="6" spans="1:38" ht="14.5">
      <c r="A6" s="10">
        <v>2</v>
      </c>
      <c r="B6" s="42" t="s">
        <v>156</v>
      </c>
      <c r="C6" s="10">
        <v>0</v>
      </c>
      <c r="D6" s="42" t="s">
        <v>156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207</v>
      </c>
      <c r="AH6" s="9">
        <f>AG6-AF6</f>
        <v>78219</v>
      </c>
      <c r="AI6" s="10" t="s">
        <v>185</v>
      </c>
      <c r="AJ6" s="10" t="s">
        <v>186</v>
      </c>
      <c r="AK6" s="66" t="s">
        <v>75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E1" workbookViewId="0">
      <selection activeCell="AL6" sqref="AL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54.54296875" style="29" customWidth="1"/>
    <col min="38" max="38" width="34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9"/>
      <c r="AD1" s="69"/>
      <c r="AE1" s="69"/>
      <c r="AF1" s="69"/>
      <c r="AG1" s="27"/>
    </row>
    <row r="2" spans="1:38" ht="17.5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34" t="s">
        <v>0</v>
      </c>
      <c r="B3" s="134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81</v>
      </c>
      <c r="AL4" s="19" t="s">
        <v>83</v>
      </c>
    </row>
    <row r="5" spans="1:38" ht="14.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78</v>
      </c>
      <c r="AH5" s="34">
        <f>AG5-AF5</f>
        <v>9612.5</v>
      </c>
      <c r="AI5" s="10" t="s">
        <v>38</v>
      </c>
      <c r="AJ5" s="10">
        <v>4010101001</v>
      </c>
      <c r="AK5" s="72" t="s">
        <v>213</v>
      </c>
      <c r="AL5" s="72" t="s">
        <v>214</v>
      </c>
    </row>
    <row r="6" spans="1:38" ht="14.5">
      <c r="A6" s="10">
        <v>2</v>
      </c>
      <c r="B6" s="42" t="s">
        <v>156</v>
      </c>
      <c r="C6" s="10">
        <v>0</v>
      </c>
      <c r="D6" s="42" t="s">
        <v>156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77</v>
      </c>
      <c r="AH6" s="34">
        <f>AG6-AF6</f>
        <v>78104</v>
      </c>
      <c r="AI6" s="10" t="s">
        <v>38</v>
      </c>
      <c r="AJ6" s="10">
        <v>4010101001</v>
      </c>
      <c r="AK6" s="66" t="s">
        <v>213</v>
      </c>
      <c r="AL6" s="66" t="s">
        <v>214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abSelected="1" topLeftCell="AE1" workbookViewId="0">
      <selection activeCell="AL6" sqref="AL6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54.54296875" style="29" customWidth="1"/>
    <col min="38" max="38" width="34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1"/>
      <c r="AD1" s="71"/>
      <c r="AE1" s="71"/>
      <c r="AF1" s="71"/>
      <c r="AG1" s="27"/>
    </row>
    <row r="2" spans="1:38" ht="17.5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34" t="s">
        <v>0</v>
      </c>
      <c r="B3" s="134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81</v>
      </c>
      <c r="AL4" s="19" t="s">
        <v>83</v>
      </c>
    </row>
    <row r="5" spans="1:38" ht="14.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78</v>
      </c>
      <c r="AH5" s="34">
        <f>AG5-AF5</f>
        <v>9612.5</v>
      </c>
      <c r="AI5" s="10" t="s">
        <v>38</v>
      </c>
      <c r="AJ5" s="10">
        <v>4010101001</v>
      </c>
      <c r="AK5" s="72" t="s">
        <v>213</v>
      </c>
      <c r="AL5" s="72" t="s">
        <v>214</v>
      </c>
    </row>
    <row r="6" spans="1:38" ht="14.5">
      <c r="A6" s="10">
        <v>2</v>
      </c>
      <c r="B6" s="42" t="s">
        <v>156</v>
      </c>
      <c r="C6" s="10">
        <v>0</v>
      </c>
      <c r="D6" s="42" t="s">
        <v>156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77</v>
      </c>
      <c r="AH6" s="34">
        <f>AG6-AF6</f>
        <v>78104</v>
      </c>
      <c r="AI6" s="10" t="s">
        <v>38</v>
      </c>
      <c r="AJ6" s="10">
        <v>4010101001</v>
      </c>
      <c r="AK6" s="66" t="s">
        <v>213</v>
      </c>
      <c r="AL6" s="66" t="s">
        <v>214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K5" sqref="AK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54.54296875" style="29" customWidth="1"/>
    <col min="38" max="38" width="34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4"/>
      <c r="AD1" s="74"/>
      <c r="AE1" s="74"/>
      <c r="AF1" s="74"/>
      <c r="AG1" s="27"/>
    </row>
    <row r="2" spans="1:38" ht="17.5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34" t="s">
        <v>0</v>
      </c>
      <c r="B3" s="134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84</v>
      </c>
      <c r="AL4" s="19" t="s">
        <v>83</v>
      </c>
    </row>
    <row r="5" spans="1:38" ht="14.5">
      <c r="A5" s="10">
        <v>1</v>
      </c>
      <c r="B5" s="42" t="s">
        <v>70</v>
      </c>
      <c r="C5" s="10">
        <v>0</v>
      </c>
      <c r="D5" s="42" t="s">
        <v>70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 t="s">
        <v>186</v>
      </c>
      <c r="AK5" s="72" t="s">
        <v>208</v>
      </c>
      <c r="AL5" s="72" t="s">
        <v>82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K5" sqref="AK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9.1796875" style="29"/>
    <col min="36" max="36" width="13.1796875" style="29" bestFit="1" customWidth="1"/>
    <col min="37" max="37" width="54.54296875" style="29" customWidth="1"/>
    <col min="38" max="38" width="34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6"/>
      <c r="AD1" s="76"/>
      <c r="AE1" s="76"/>
      <c r="AF1" s="76"/>
      <c r="AG1" s="27"/>
    </row>
    <row r="2" spans="1:38" ht="17.5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34" t="s">
        <v>0</v>
      </c>
      <c r="B3" s="134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84</v>
      </c>
      <c r="AL4" s="19" t="s">
        <v>83</v>
      </c>
    </row>
    <row r="5" spans="1:38" ht="14.5">
      <c r="A5" s="10">
        <v>1</v>
      </c>
      <c r="B5" s="42" t="s">
        <v>70</v>
      </c>
      <c r="C5" s="10">
        <v>0</v>
      </c>
      <c r="D5" s="42" t="s">
        <v>70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 t="s">
        <v>186</v>
      </c>
      <c r="AK5" s="72" t="s">
        <v>208</v>
      </c>
      <c r="AL5" s="72" t="s">
        <v>82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K5" sqref="AK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1.7265625" style="29" customWidth="1"/>
    <col min="36" max="36" width="13.1796875" style="29" bestFit="1" customWidth="1"/>
    <col min="37" max="37" width="54.54296875" style="29" customWidth="1"/>
    <col min="38" max="38" width="34.453125" style="29" customWidth="1"/>
    <col min="39" max="16384" width="9.1796875" style="29"/>
  </cols>
  <sheetData>
    <row r="1" spans="1:38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8"/>
      <c r="AD1" s="78"/>
      <c r="AE1" s="78"/>
      <c r="AF1" s="78"/>
      <c r="AG1" s="27"/>
    </row>
    <row r="2" spans="1:38" ht="17.5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34" t="s">
        <v>0</v>
      </c>
      <c r="B3" s="134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84</v>
      </c>
      <c r="AL4" s="19" t="s">
        <v>83</v>
      </c>
    </row>
    <row r="5" spans="1:38" ht="14.5">
      <c r="A5" s="10">
        <v>1</v>
      </c>
      <c r="B5" s="42" t="s">
        <v>70</v>
      </c>
      <c r="C5" s="10">
        <v>0</v>
      </c>
      <c r="D5" s="42" t="s">
        <v>70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 t="s">
        <v>186</v>
      </c>
      <c r="AK5" s="72" t="s">
        <v>208</v>
      </c>
      <c r="AL5" s="72" t="s">
        <v>82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K1" workbookViewId="0">
      <selection activeCell="AK5" sqref="AK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2.453125" style="29" customWidth="1"/>
    <col min="36" max="36" width="13.1796875" style="29" bestFit="1" customWidth="1"/>
    <col min="37" max="37" width="13.1796875" style="29" customWidth="1"/>
    <col min="38" max="38" width="12.54296875" style="28" customWidth="1"/>
    <col min="39" max="39" width="15.453125" style="29" customWidth="1"/>
    <col min="40" max="16384" width="9.1796875" style="29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4"/>
      <c r="AD1" s="84"/>
      <c r="AE1" s="84"/>
      <c r="AF1" s="84"/>
      <c r="AG1" s="27"/>
    </row>
    <row r="2" spans="1:39" ht="17.5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34" t="s">
        <v>0</v>
      </c>
      <c r="B3" s="134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87</v>
      </c>
      <c r="AL4" s="20" t="s">
        <v>86</v>
      </c>
      <c r="AM4" s="58"/>
    </row>
    <row r="5" spans="1:39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132</v>
      </c>
      <c r="AH5" s="34">
        <f>AG5-AF5</f>
        <v>49586</v>
      </c>
      <c r="AI5" s="10" t="s">
        <v>85</v>
      </c>
      <c r="AJ5" s="10" t="s">
        <v>186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AJ5" sqref="AJ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4.54296875" style="29" bestFit="1" customWidth="1"/>
    <col min="4" max="4" width="29.81640625" style="29" customWidth="1"/>
    <col min="5" max="5" width="10" style="29" bestFit="1" customWidth="1"/>
    <col min="6" max="6" width="12.54296875" style="29" bestFit="1" customWidth="1"/>
    <col min="7" max="7" width="14.7265625" style="29" bestFit="1" customWidth="1"/>
    <col min="8" max="8" width="10.1796875" style="29" bestFit="1" customWidth="1"/>
    <col min="9" max="9" width="13.54296875" style="29" customWidth="1"/>
    <col min="10" max="11" width="8.1796875" style="29" bestFit="1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" style="29" customWidth="1"/>
    <col min="19" max="19" width="10.81640625" style="29" bestFit="1" customWidth="1"/>
    <col min="20" max="20" width="17.81640625" style="29" bestFit="1" customWidth="1"/>
    <col min="21" max="21" width="10.54296875" style="29" bestFit="1" customWidth="1"/>
    <col min="22" max="22" width="16.1796875" style="29" customWidth="1"/>
    <col min="23" max="23" width="9.26953125" style="29" bestFit="1" customWidth="1"/>
    <col min="24" max="25" width="10.7265625" style="29" bestFit="1" customWidth="1"/>
    <col min="26" max="26" width="11.26953125" style="29" customWidth="1"/>
    <col min="27" max="27" width="10.7265625" style="29" bestFit="1" customWidth="1"/>
    <col min="28" max="28" width="11.7265625" style="29" customWidth="1"/>
    <col min="29" max="29" width="16" style="29" bestFit="1" customWidth="1"/>
    <col min="30" max="30" width="12" style="29" bestFit="1" customWidth="1"/>
    <col min="31" max="31" width="12.26953125" style="29" customWidth="1"/>
    <col min="32" max="32" width="14.7265625" style="29" bestFit="1" customWidth="1"/>
    <col min="33" max="33" width="14.1796875" style="36" customWidth="1"/>
    <col min="34" max="34" width="10.26953125" style="28" customWidth="1"/>
    <col min="35" max="35" width="12.453125" style="29" customWidth="1"/>
    <col min="36" max="36" width="13.1796875" style="29" bestFit="1" customWidth="1"/>
    <col min="37" max="37" width="13.1796875" style="29" customWidth="1"/>
    <col min="38" max="38" width="12.54296875" style="28" customWidth="1"/>
    <col min="39" max="39" width="15.453125" style="29" customWidth="1"/>
    <col min="40" max="16384" width="9.1796875" style="29"/>
  </cols>
  <sheetData>
    <row r="1" spans="1:39" ht="27.75" customHeight="1">
      <c r="A1" s="135" t="s">
        <v>39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2"/>
      <c r="AD1" s="82"/>
      <c r="AE1" s="82"/>
      <c r="AF1" s="82"/>
      <c r="AG1" s="27"/>
    </row>
    <row r="2" spans="1:39" ht="17.5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34" t="s">
        <v>0</v>
      </c>
      <c r="B3" s="134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28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87</v>
      </c>
      <c r="AL4" s="20" t="s">
        <v>86</v>
      </c>
      <c r="AM4" s="58"/>
    </row>
    <row r="5" spans="1:39" ht="14.5">
      <c r="A5" s="10">
        <v>1</v>
      </c>
      <c r="B5" s="42" t="s">
        <v>156</v>
      </c>
      <c r="C5" s="10">
        <v>0</v>
      </c>
      <c r="D5" s="42" t="s">
        <v>156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65983</v>
      </c>
      <c r="AI5" s="10" t="s">
        <v>85</v>
      </c>
      <c r="AJ5" s="10" t="s">
        <v>186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5.453125" style="29" customWidth="1"/>
    <col min="6" max="16384" width="9.1796875" style="29"/>
  </cols>
  <sheetData>
    <row r="1" spans="1:5" ht="27.75" customHeight="1">
      <c r="A1" s="135" t="s">
        <v>139</v>
      </c>
      <c r="B1" s="135"/>
      <c r="C1" s="135"/>
      <c r="D1" s="135"/>
    </row>
    <row r="2" spans="1:5" ht="17.5">
      <c r="D2" s="112"/>
    </row>
    <row r="3" spans="1:5" ht="19.899999999999999" customHeight="1">
      <c r="A3" s="134"/>
      <c r="B3" s="134"/>
      <c r="C3" s="111"/>
      <c r="D3" s="111"/>
    </row>
    <row r="4" spans="1:5" s="31" customFormat="1">
      <c r="A4" s="11" t="s">
        <v>5</v>
      </c>
      <c r="B4" s="11" t="s">
        <v>127</v>
      </c>
      <c r="C4" s="11" t="s">
        <v>135</v>
      </c>
      <c r="D4" s="11" t="s">
        <v>136</v>
      </c>
      <c r="E4" s="58"/>
    </row>
    <row r="5" spans="1:5" ht="14.5">
      <c r="A5" s="10">
        <v>1</v>
      </c>
      <c r="B5" s="42" t="s">
        <v>129</v>
      </c>
      <c r="C5" s="42" t="s">
        <v>138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5.453125" style="29" customWidth="1"/>
    <col min="6" max="16384" width="9.1796875" style="29"/>
  </cols>
  <sheetData>
    <row r="1" spans="1:5" ht="27.75" customHeight="1">
      <c r="A1" s="135" t="s">
        <v>140</v>
      </c>
      <c r="B1" s="135"/>
      <c r="C1" s="135"/>
      <c r="D1" s="135"/>
    </row>
    <row r="2" spans="1:5" ht="17.5">
      <c r="D2" s="112"/>
    </row>
    <row r="3" spans="1:5" ht="19.899999999999999" customHeight="1">
      <c r="A3" s="134"/>
      <c r="B3" s="134"/>
      <c r="C3" s="111"/>
      <c r="D3" s="111"/>
    </row>
    <row r="4" spans="1:5" s="31" customFormat="1">
      <c r="A4" s="11" t="s">
        <v>5</v>
      </c>
      <c r="B4" s="11" t="s">
        <v>127</v>
      </c>
      <c r="C4" s="11" t="s">
        <v>135</v>
      </c>
      <c r="D4" s="11" t="s">
        <v>136</v>
      </c>
      <c r="E4" s="58"/>
    </row>
    <row r="5" spans="1:5" ht="14.5">
      <c r="A5" s="10">
        <v>1</v>
      </c>
      <c r="B5" s="42" t="s">
        <v>129</v>
      </c>
      <c r="C5" s="42" t="s">
        <v>137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5" sqref="H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9.54296875" style="29" bestFit="1" customWidth="1"/>
    <col min="6" max="6" width="20.1796875" style="29" bestFit="1" customWidth="1"/>
    <col min="7" max="9" width="9.1796875" style="29"/>
    <col min="10" max="10" width="12" style="29" bestFit="1" customWidth="1"/>
    <col min="11" max="15" width="9.1796875" style="29"/>
    <col min="16" max="16" width="20.1796875" style="29" bestFit="1" customWidth="1"/>
    <col min="17" max="16384" width="9.1796875" style="29"/>
  </cols>
  <sheetData>
    <row r="1" spans="1:16" ht="27.75" customHeight="1">
      <c r="A1" s="135" t="s">
        <v>145</v>
      </c>
      <c r="B1" s="135"/>
      <c r="C1" s="135"/>
      <c r="D1" s="135"/>
    </row>
    <row r="2" spans="1:16" ht="17.5">
      <c r="D2" s="112"/>
    </row>
    <row r="3" spans="1:16" ht="19.899999999999999" customHeight="1">
      <c r="A3" s="134"/>
      <c r="B3" s="134"/>
      <c r="C3" s="111"/>
      <c r="D3" s="111"/>
    </row>
    <row r="4" spans="1:16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  <c r="P4" s="115" t="s">
        <v>147</v>
      </c>
    </row>
    <row r="5" spans="1:16" ht="14.5">
      <c r="A5" s="10">
        <v>1</v>
      </c>
      <c r="B5" s="114" t="s">
        <v>146</v>
      </c>
      <c r="C5" s="42" t="s">
        <v>57</v>
      </c>
      <c r="D5" s="10" t="s">
        <v>134</v>
      </c>
      <c r="E5" s="67" t="s">
        <v>144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148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5" sqref="B2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9.54296875" style="29" bestFit="1" customWidth="1"/>
    <col min="6" max="6" width="12" style="29" customWidth="1"/>
    <col min="7" max="15" width="9.1796875" style="29"/>
    <col min="16" max="16" width="12.1796875" style="29" bestFit="1" customWidth="1"/>
    <col min="17" max="16384" width="9.1796875" style="29"/>
  </cols>
  <sheetData>
    <row r="1" spans="1:16" ht="27.75" customHeight="1">
      <c r="A1" s="135" t="s">
        <v>145</v>
      </c>
      <c r="B1" s="135"/>
      <c r="C1" s="135"/>
      <c r="D1" s="135"/>
    </row>
    <row r="2" spans="1:16" ht="17.5">
      <c r="D2" s="112"/>
    </row>
    <row r="3" spans="1:16" ht="19.899999999999999" customHeight="1">
      <c r="A3" s="134"/>
      <c r="B3" s="134"/>
      <c r="C3" s="111"/>
      <c r="D3" s="111"/>
    </row>
    <row r="4" spans="1:16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  <c r="P4" s="115" t="s">
        <v>147</v>
      </c>
    </row>
    <row r="5" spans="1:16" ht="14.5">
      <c r="A5" s="10">
        <v>1</v>
      </c>
      <c r="B5" s="114" t="s">
        <v>146</v>
      </c>
      <c r="C5" s="114" t="s">
        <v>150</v>
      </c>
      <c r="D5" s="10" t="s">
        <v>134</v>
      </c>
      <c r="E5" s="67" t="s">
        <v>144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152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O5" sqref="O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9.54296875" style="29" bestFit="1" customWidth="1"/>
    <col min="6" max="6" width="11.54296875" style="29" customWidth="1"/>
    <col min="7" max="9" width="9.1796875" style="29"/>
    <col min="10" max="10" width="12" style="29" bestFit="1" customWidth="1"/>
    <col min="11" max="15" width="9.1796875" style="29"/>
    <col min="16" max="16" width="20.1796875" style="29" bestFit="1" customWidth="1"/>
    <col min="17" max="16384" width="9.1796875" style="29"/>
  </cols>
  <sheetData>
    <row r="1" spans="1:16" ht="27.75" customHeight="1">
      <c r="A1" s="135" t="s">
        <v>145</v>
      </c>
      <c r="B1" s="135"/>
      <c r="C1" s="135"/>
      <c r="D1" s="135"/>
    </row>
    <row r="2" spans="1:16" ht="17.5">
      <c r="D2" s="119"/>
    </row>
    <row r="3" spans="1:16" ht="19.899999999999999" customHeight="1">
      <c r="A3" s="134"/>
      <c r="B3" s="134"/>
      <c r="C3" s="118"/>
      <c r="D3" s="118"/>
    </row>
    <row r="4" spans="1:16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  <c r="P4" s="115" t="s">
        <v>147</v>
      </c>
    </row>
    <row r="5" spans="1:16" ht="14.5">
      <c r="A5" s="10">
        <v>1</v>
      </c>
      <c r="B5" s="114" t="s">
        <v>158</v>
      </c>
      <c r="C5" s="114" t="s">
        <v>150</v>
      </c>
      <c r="D5" s="10" t="s">
        <v>160</v>
      </c>
      <c r="E5" s="67" t="s">
        <v>144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157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B1" workbookViewId="0">
      <selection activeCell="F25" sqref="F2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9.54296875" style="29" bestFit="1" customWidth="1"/>
    <col min="6" max="6" width="13.1796875" style="29" customWidth="1"/>
    <col min="7" max="9" width="9.1796875" style="29"/>
    <col min="10" max="10" width="11.1796875" style="29" customWidth="1"/>
    <col min="11" max="15" width="9.1796875" style="29"/>
    <col min="16" max="16" width="20.1796875" style="29" bestFit="1" customWidth="1"/>
    <col min="17" max="16384" width="9.1796875" style="29"/>
  </cols>
  <sheetData>
    <row r="1" spans="1:16" ht="27.75" customHeight="1">
      <c r="A1" s="135" t="s">
        <v>145</v>
      </c>
      <c r="B1" s="135"/>
      <c r="C1" s="135"/>
      <c r="D1" s="135"/>
    </row>
    <row r="2" spans="1:16" ht="17.5">
      <c r="D2" s="112"/>
    </row>
    <row r="3" spans="1:16" ht="19.899999999999999" customHeight="1">
      <c r="A3" s="134"/>
      <c r="B3" s="134"/>
      <c r="C3" s="111"/>
      <c r="D3" s="111"/>
    </row>
    <row r="4" spans="1:16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  <c r="P4" s="115" t="s">
        <v>147</v>
      </c>
    </row>
    <row r="5" spans="1:16" ht="14.5">
      <c r="A5" s="10">
        <v>1</v>
      </c>
      <c r="B5" s="114" t="s">
        <v>149</v>
      </c>
      <c r="C5" s="114" t="s">
        <v>150</v>
      </c>
      <c r="D5" s="10" t="s">
        <v>142</v>
      </c>
      <c r="E5" s="67" t="s">
        <v>144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172</v>
      </c>
      <c r="O5" s="123">
        <v>88363222</v>
      </c>
      <c r="P5" s="10" t="s">
        <v>151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K8" sqref="K8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9.54296875" style="29" bestFit="1" customWidth="1"/>
    <col min="6" max="16384" width="9.1796875" style="29"/>
  </cols>
  <sheetData>
    <row r="1" spans="1:15" ht="27.75" customHeight="1">
      <c r="A1" s="135" t="s">
        <v>145</v>
      </c>
      <c r="B1" s="135"/>
      <c r="C1" s="135"/>
      <c r="D1" s="135"/>
    </row>
    <row r="2" spans="1:15" ht="17.5">
      <c r="D2" s="112"/>
    </row>
    <row r="3" spans="1:15" ht="19.899999999999999" customHeight="1">
      <c r="A3" s="134"/>
      <c r="B3" s="134"/>
      <c r="C3" s="111"/>
      <c r="D3" s="111"/>
    </row>
    <row r="4" spans="1:15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</row>
    <row r="5" spans="1:15" ht="14.5">
      <c r="A5" s="10">
        <v>1</v>
      </c>
      <c r="B5" s="42" t="s">
        <v>141</v>
      </c>
      <c r="C5" s="42" t="s">
        <v>57</v>
      </c>
      <c r="D5" s="10" t="s">
        <v>142</v>
      </c>
      <c r="E5" s="67" t="s">
        <v>144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172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E22" sqref="E22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7.453125" style="29" customWidth="1"/>
    <col min="5" max="5" width="19.54296875" style="29" bestFit="1" customWidth="1"/>
    <col min="6" max="6" width="12.1796875" style="29" bestFit="1" customWidth="1"/>
    <col min="7" max="9" width="9.1796875" style="29"/>
    <col min="10" max="10" width="11.7265625" style="29" customWidth="1"/>
    <col min="11" max="15" width="9.1796875" style="29"/>
    <col min="16" max="16" width="12.1796875" style="29" bestFit="1" customWidth="1"/>
    <col min="17" max="16384" width="9.1796875" style="29"/>
  </cols>
  <sheetData>
    <row r="1" spans="1:16" ht="27.75" customHeight="1">
      <c r="A1" s="135" t="s">
        <v>159</v>
      </c>
      <c r="B1" s="135"/>
      <c r="C1" s="135"/>
      <c r="D1" s="135"/>
    </row>
    <row r="2" spans="1:16" ht="17.5">
      <c r="D2" s="121"/>
    </row>
    <row r="3" spans="1:16" ht="19.899999999999999" customHeight="1">
      <c r="A3" s="134"/>
      <c r="B3" s="134"/>
      <c r="C3" s="120"/>
      <c r="D3" s="120"/>
    </row>
    <row r="4" spans="1:16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  <c r="P4" s="115" t="s">
        <v>147</v>
      </c>
    </row>
    <row r="5" spans="1:16" ht="14.5">
      <c r="A5" s="10">
        <v>1</v>
      </c>
      <c r="B5" s="42" t="s">
        <v>154</v>
      </c>
      <c r="C5" s="42" t="s">
        <v>57</v>
      </c>
      <c r="D5" s="10" t="s">
        <v>153</v>
      </c>
      <c r="E5" s="67" t="s">
        <v>144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152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G5" sqref="G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9.54296875" style="29" bestFit="1" customWidth="1"/>
    <col min="6" max="9" width="9.1796875" style="29"/>
    <col min="10" max="10" width="11" style="29" customWidth="1"/>
    <col min="11" max="16384" width="9.1796875" style="29"/>
  </cols>
  <sheetData>
    <row r="1" spans="1:15" ht="27.75" customHeight="1">
      <c r="A1" s="135" t="s">
        <v>155</v>
      </c>
      <c r="B1" s="135"/>
      <c r="C1" s="135"/>
      <c r="D1" s="135"/>
    </row>
    <row r="2" spans="1:15" ht="17.5">
      <c r="D2" s="117"/>
    </row>
    <row r="3" spans="1:15" ht="19.899999999999999" customHeight="1">
      <c r="A3" s="134"/>
      <c r="B3" s="134"/>
      <c r="C3" s="116"/>
      <c r="D3" s="116"/>
    </row>
    <row r="4" spans="1:15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</row>
    <row r="5" spans="1:15" ht="14.5">
      <c r="A5" s="10">
        <v>1</v>
      </c>
      <c r="B5" s="42" t="s">
        <v>154</v>
      </c>
      <c r="C5" s="42" t="s">
        <v>57</v>
      </c>
      <c r="D5" s="10" t="s">
        <v>153</v>
      </c>
      <c r="E5" s="67" t="s">
        <v>144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3" sqref="D23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.54296875" style="29" customWidth="1"/>
    <col min="4" max="4" width="18.26953125" style="29" customWidth="1"/>
    <col min="5" max="5" width="15.26953125" style="29" customWidth="1"/>
    <col min="6" max="6" width="12.54296875" style="29" bestFit="1" customWidth="1"/>
    <col min="7" max="7" width="14.453125" style="29" customWidth="1"/>
    <col min="8" max="8" width="10.1796875" style="29" bestFit="1" customWidth="1"/>
    <col min="9" max="10" width="13.54296875" style="29" customWidth="1"/>
    <col min="11" max="11" width="12.26953125" style="29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.7265625" style="29" customWidth="1"/>
    <col min="19" max="19" width="9" style="29" customWidth="1"/>
    <col min="20" max="20" width="10.81640625" style="29" bestFit="1" customWidth="1"/>
    <col min="21" max="21" width="17.81640625" style="29" bestFit="1" customWidth="1"/>
    <col min="22" max="22" width="10.54296875" style="29" bestFit="1" customWidth="1"/>
    <col min="23" max="23" width="16.1796875" style="29" customWidth="1"/>
    <col min="24" max="24" width="9.26953125" style="29" bestFit="1" customWidth="1"/>
    <col min="25" max="26" width="10.7265625" style="29" bestFit="1" customWidth="1"/>
    <col min="27" max="27" width="11.26953125" style="29" customWidth="1"/>
    <col min="28" max="28" width="10.7265625" style="29" bestFit="1" customWidth="1"/>
    <col min="29" max="29" width="11.7265625" style="29" customWidth="1"/>
    <col min="30" max="30" width="16" style="29" bestFit="1" customWidth="1"/>
    <col min="31" max="31" width="12" style="29" bestFit="1" customWidth="1"/>
    <col min="32" max="32" width="12.26953125" style="29" customWidth="1"/>
    <col min="33" max="33" width="14.7265625" style="29" bestFit="1" customWidth="1"/>
    <col min="34" max="34" width="14.1796875" style="36" customWidth="1"/>
    <col min="35" max="35" width="10.26953125" style="28" customWidth="1"/>
    <col min="36" max="36" width="12.453125" style="29" customWidth="1"/>
    <col min="37" max="37" width="13.1796875" style="29" bestFit="1" customWidth="1"/>
    <col min="38" max="38" width="13.1796875" style="29" customWidth="1"/>
    <col min="39" max="39" width="12.54296875" style="28" customWidth="1"/>
    <col min="40" max="40" width="15.453125" style="29" customWidth="1"/>
    <col min="41" max="16384" width="9.1796875" style="29"/>
  </cols>
  <sheetData>
    <row r="1" spans="1:39" ht="27.75" customHeight="1">
      <c r="A1" s="135" t="s">
        <v>179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7.5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1</v>
      </c>
      <c r="E3" s="4" t="s">
        <v>181</v>
      </c>
      <c r="F3" s="5"/>
      <c r="G3" s="5"/>
      <c r="H3" s="5"/>
      <c r="I3" s="6"/>
      <c r="J3" s="6">
        <v>2</v>
      </c>
      <c r="K3" s="7" t="s">
        <v>174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26" t="s">
        <v>135</v>
      </c>
      <c r="G4" s="126" t="s">
        <v>136</v>
      </c>
      <c r="H4" s="126" t="s">
        <v>161</v>
      </c>
      <c r="I4" s="115" t="s">
        <v>162</v>
      </c>
      <c r="J4" s="115" t="s">
        <v>163</v>
      </c>
      <c r="K4" s="115" t="s">
        <v>164</v>
      </c>
      <c r="L4" s="127" t="s">
        <v>171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182</v>
      </c>
      <c r="S4" s="17" t="s">
        <v>30</v>
      </c>
      <c r="T4" s="18" t="s">
        <v>31</v>
      </c>
      <c r="U4" s="58"/>
    </row>
    <row r="5" spans="1:39" ht="14.5">
      <c r="A5" s="10">
        <v>1</v>
      </c>
      <c r="B5" s="42" t="s">
        <v>129</v>
      </c>
      <c r="C5" s="29" t="s">
        <v>176</v>
      </c>
      <c r="D5" s="10" t="s">
        <v>134</v>
      </c>
      <c r="E5" s="67" t="s">
        <v>144</v>
      </c>
      <c r="F5" s="29" t="s">
        <v>137</v>
      </c>
      <c r="G5" s="29" t="s">
        <v>180</v>
      </c>
      <c r="H5" s="29" t="s">
        <v>173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.54296875" style="29" customWidth="1"/>
    <col min="4" max="4" width="18.26953125" style="29" customWidth="1"/>
    <col min="5" max="5" width="15.26953125" style="29" customWidth="1"/>
    <col min="6" max="6" width="12.54296875" style="29" bestFit="1" customWidth="1"/>
    <col min="7" max="7" width="14.453125" style="29" customWidth="1"/>
    <col min="8" max="8" width="10.1796875" style="29" bestFit="1" customWidth="1"/>
    <col min="9" max="10" width="13.54296875" style="29" customWidth="1"/>
    <col min="11" max="11" width="12.26953125" style="29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.7265625" style="29" customWidth="1"/>
    <col min="19" max="19" width="9" style="29" customWidth="1"/>
    <col min="20" max="20" width="10.81640625" style="29" bestFit="1" customWidth="1"/>
    <col min="21" max="21" width="17.81640625" style="29" bestFit="1" customWidth="1"/>
    <col min="22" max="22" width="10.54296875" style="29" bestFit="1" customWidth="1"/>
    <col min="23" max="23" width="16.1796875" style="29" customWidth="1"/>
    <col min="24" max="24" width="9.26953125" style="29" bestFit="1" customWidth="1"/>
    <col min="25" max="26" width="10.7265625" style="29" bestFit="1" customWidth="1"/>
    <col min="27" max="27" width="11.26953125" style="29" customWidth="1"/>
    <col min="28" max="28" width="10.7265625" style="29" bestFit="1" customWidth="1"/>
    <col min="29" max="29" width="11.7265625" style="29" customWidth="1"/>
    <col min="30" max="30" width="16" style="29" bestFit="1" customWidth="1"/>
    <col min="31" max="31" width="12" style="29" bestFit="1" customWidth="1"/>
    <col min="32" max="32" width="12.26953125" style="29" customWidth="1"/>
    <col min="33" max="33" width="14.7265625" style="29" bestFit="1" customWidth="1"/>
    <col min="34" max="34" width="14.1796875" style="36" customWidth="1"/>
    <col min="35" max="35" width="10.26953125" style="28" customWidth="1"/>
    <col min="36" max="36" width="12.453125" style="29" customWidth="1"/>
    <col min="37" max="37" width="13.1796875" style="29" bestFit="1" customWidth="1"/>
    <col min="38" max="38" width="13.1796875" style="29" customWidth="1"/>
    <col min="39" max="39" width="12.54296875" style="28" customWidth="1"/>
    <col min="40" max="40" width="15.453125" style="29" customWidth="1"/>
    <col min="41" max="16384" width="9.1796875" style="29"/>
  </cols>
  <sheetData>
    <row r="1" spans="1:39" ht="27.75" customHeight="1">
      <c r="A1" s="135" t="s">
        <v>178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7.5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2</v>
      </c>
      <c r="E3" s="4" t="s">
        <v>181</v>
      </c>
      <c r="F3" s="5"/>
      <c r="G3" s="5"/>
      <c r="H3" s="5"/>
      <c r="I3" s="6"/>
      <c r="J3" s="6">
        <v>1</v>
      </c>
      <c r="K3" s="7" t="s">
        <v>174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26" t="s">
        <v>135</v>
      </c>
      <c r="G4" s="126" t="s">
        <v>136</v>
      </c>
      <c r="H4" s="126" t="s">
        <v>161</v>
      </c>
      <c r="I4" s="115" t="s">
        <v>162</v>
      </c>
      <c r="J4" s="115" t="s">
        <v>163</v>
      </c>
      <c r="K4" s="115" t="s">
        <v>164</v>
      </c>
      <c r="L4" s="127" t="s">
        <v>171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182</v>
      </c>
      <c r="S4" s="17" t="s">
        <v>30</v>
      </c>
      <c r="T4" s="18" t="s">
        <v>31</v>
      </c>
      <c r="U4" s="58"/>
    </row>
    <row r="5" spans="1:39" ht="14.5">
      <c r="A5" s="10">
        <v>1</v>
      </c>
      <c r="B5" s="42" t="s">
        <v>129</v>
      </c>
      <c r="C5" s="29" t="s">
        <v>176</v>
      </c>
      <c r="D5" s="10" t="s">
        <v>134</v>
      </c>
      <c r="E5" s="67" t="s">
        <v>144</v>
      </c>
      <c r="F5" s="29" t="s">
        <v>137</v>
      </c>
      <c r="G5" s="29" t="s">
        <v>180</v>
      </c>
      <c r="H5" s="29" t="s">
        <v>173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.54296875" style="29" customWidth="1"/>
    <col min="4" max="4" width="18.26953125" style="29" customWidth="1"/>
    <col min="5" max="5" width="15.26953125" style="29" customWidth="1"/>
    <col min="6" max="6" width="12.54296875" style="29" bestFit="1" customWidth="1"/>
    <col min="7" max="7" width="14.453125" style="29" customWidth="1"/>
    <col min="8" max="8" width="10.1796875" style="29" bestFit="1" customWidth="1"/>
    <col min="9" max="10" width="13.54296875" style="29" customWidth="1"/>
    <col min="11" max="11" width="12.26953125" style="29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.7265625" style="29" customWidth="1"/>
    <col min="19" max="19" width="9" style="29" customWidth="1"/>
    <col min="20" max="20" width="10.81640625" style="29" bestFit="1" customWidth="1"/>
    <col min="21" max="21" width="17.81640625" style="29" bestFit="1" customWidth="1"/>
    <col min="22" max="22" width="10.54296875" style="29" bestFit="1" customWidth="1"/>
    <col min="23" max="23" width="16.1796875" style="29" customWidth="1"/>
    <col min="24" max="24" width="9.26953125" style="29" bestFit="1" customWidth="1"/>
    <col min="25" max="26" width="10.7265625" style="29" bestFit="1" customWidth="1"/>
    <col min="27" max="27" width="11.26953125" style="29" customWidth="1"/>
    <col min="28" max="28" width="10.7265625" style="29" bestFit="1" customWidth="1"/>
    <col min="29" max="29" width="11.7265625" style="29" customWidth="1"/>
    <col min="30" max="30" width="16" style="29" bestFit="1" customWidth="1"/>
    <col min="31" max="31" width="12" style="29" bestFit="1" customWidth="1"/>
    <col min="32" max="32" width="12.26953125" style="29" customWidth="1"/>
    <col min="33" max="33" width="14.7265625" style="29" bestFit="1" customWidth="1"/>
    <col min="34" max="34" width="14.1796875" style="36" customWidth="1"/>
    <col min="35" max="35" width="10.26953125" style="28" customWidth="1"/>
    <col min="36" max="36" width="12.453125" style="29" customWidth="1"/>
    <col min="37" max="37" width="13.1796875" style="29" bestFit="1" customWidth="1"/>
    <col min="38" max="38" width="13.1796875" style="29" customWidth="1"/>
    <col min="39" max="39" width="12.54296875" style="28" customWidth="1"/>
    <col min="40" max="40" width="15.453125" style="29" customWidth="1"/>
    <col min="41" max="16384" width="9.1796875" style="29"/>
  </cols>
  <sheetData>
    <row r="1" spans="1:39" ht="27.75" customHeight="1">
      <c r="A1" s="135" t="s">
        <v>184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7.5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4</v>
      </c>
      <c r="E3" s="4" t="s">
        <v>181</v>
      </c>
      <c r="F3" s="5"/>
      <c r="G3" s="5"/>
      <c r="H3" s="5"/>
      <c r="I3" s="6"/>
      <c r="J3" s="6">
        <v>1</v>
      </c>
      <c r="K3" s="7" t="s">
        <v>174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26" t="s">
        <v>135</v>
      </c>
      <c r="G4" s="126" t="s">
        <v>136</v>
      </c>
      <c r="H4" s="126" t="s">
        <v>161</v>
      </c>
      <c r="I4" s="115" t="s">
        <v>162</v>
      </c>
      <c r="J4" s="115" t="s">
        <v>163</v>
      </c>
      <c r="K4" s="115" t="s">
        <v>164</v>
      </c>
      <c r="L4" s="127" t="s">
        <v>171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182</v>
      </c>
      <c r="S4" s="17" t="s">
        <v>30</v>
      </c>
      <c r="T4" s="18" t="s">
        <v>31</v>
      </c>
      <c r="U4" s="58"/>
    </row>
    <row r="5" spans="1:39" ht="14.5">
      <c r="A5" s="10">
        <v>1</v>
      </c>
      <c r="B5" s="42" t="s">
        <v>129</v>
      </c>
      <c r="C5" s="29" t="s">
        <v>176</v>
      </c>
      <c r="D5" s="10" t="s">
        <v>134</v>
      </c>
      <c r="E5" s="67" t="s">
        <v>144</v>
      </c>
      <c r="F5" s="29" t="s">
        <v>137</v>
      </c>
      <c r="G5" s="29" t="s">
        <v>180</v>
      </c>
      <c r="H5" s="29" t="s">
        <v>173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.54296875" style="29" customWidth="1"/>
    <col min="4" max="4" width="18.26953125" style="29" customWidth="1"/>
    <col min="5" max="5" width="15.26953125" style="29" customWidth="1"/>
    <col min="6" max="6" width="12.54296875" style="29" bestFit="1" customWidth="1"/>
    <col min="7" max="7" width="14.453125" style="29" customWidth="1"/>
    <col min="8" max="8" width="10.1796875" style="29" bestFit="1" customWidth="1"/>
    <col min="9" max="10" width="13.54296875" style="29" customWidth="1"/>
    <col min="11" max="11" width="12.26953125" style="29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.7265625" style="29" customWidth="1"/>
    <col min="19" max="19" width="9" style="29" customWidth="1"/>
    <col min="20" max="20" width="10.81640625" style="29" bestFit="1" customWidth="1"/>
    <col min="21" max="21" width="17.81640625" style="29" bestFit="1" customWidth="1"/>
    <col min="22" max="22" width="10.54296875" style="29" bestFit="1" customWidth="1"/>
    <col min="23" max="23" width="16.1796875" style="29" customWidth="1"/>
    <col min="24" max="24" width="9.26953125" style="29" bestFit="1" customWidth="1"/>
    <col min="25" max="26" width="10.7265625" style="29" bestFit="1" customWidth="1"/>
    <col min="27" max="27" width="11.26953125" style="29" customWidth="1"/>
    <col min="28" max="28" width="10.7265625" style="29" bestFit="1" customWidth="1"/>
    <col min="29" max="29" width="11.7265625" style="29" customWidth="1"/>
    <col min="30" max="30" width="16" style="29" bestFit="1" customWidth="1"/>
    <col min="31" max="31" width="12" style="29" bestFit="1" customWidth="1"/>
    <col min="32" max="32" width="12.26953125" style="29" customWidth="1"/>
    <col min="33" max="33" width="14.7265625" style="29" bestFit="1" customWidth="1"/>
    <col min="34" max="34" width="14.1796875" style="36" customWidth="1"/>
    <col min="35" max="35" width="10.26953125" style="28" customWidth="1"/>
    <col min="36" max="36" width="12.453125" style="29" customWidth="1"/>
    <col min="37" max="37" width="13.1796875" style="29" bestFit="1" customWidth="1"/>
    <col min="38" max="38" width="13.1796875" style="29" customWidth="1"/>
    <col min="39" max="39" width="12.54296875" style="28" customWidth="1"/>
    <col min="40" max="40" width="15.453125" style="29" customWidth="1"/>
    <col min="41" max="16384" width="9.1796875" style="29"/>
  </cols>
  <sheetData>
    <row r="1" spans="1:39" ht="27.75" customHeight="1">
      <c r="A1" s="135" t="s">
        <v>183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7.5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4</v>
      </c>
      <c r="E3" s="4" t="s">
        <v>181</v>
      </c>
      <c r="F3" s="5"/>
      <c r="G3" s="5"/>
      <c r="H3" s="5"/>
      <c r="I3" s="6"/>
      <c r="J3" s="6">
        <v>2</v>
      </c>
      <c r="K3" s="7" t="s">
        <v>174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26" t="s">
        <v>135</v>
      </c>
      <c r="G4" s="126" t="s">
        <v>136</v>
      </c>
      <c r="H4" s="126" t="s">
        <v>161</v>
      </c>
      <c r="I4" s="115" t="s">
        <v>162</v>
      </c>
      <c r="J4" s="115" t="s">
        <v>163</v>
      </c>
      <c r="K4" s="115" t="s">
        <v>164</v>
      </c>
      <c r="L4" s="127" t="s">
        <v>171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182</v>
      </c>
      <c r="S4" s="17" t="s">
        <v>30</v>
      </c>
      <c r="T4" s="18" t="s">
        <v>31</v>
      </c>
      <c r="U4" s="58"/>
    </row>
    <row r="5" spans="1:39" ht="14.5">
      <c r="A5" s="10">
        <v>1</v>
      </c>
      <c r="B5" s="42" t="s">
        <v>129</v>
      </c>
      <c r="C5" s="29" t="s">
        <v>176</v>
      </c>
      <c r="D5" s="10" t="s">
        <v>134</v>
      </c>
      <c r="E5" s="67" t="s">
        <v>144</v>
      </c>
      <c r="F5" s="29" t="s">
        <v>137</v>
      </c>
      <c r="G5" s="29" t="s">
        <v>180</v>
      </c>
      <c r="H5" s="29" t="s">
        <v>173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3" sqref="T3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.54296875" style="29" customWidth="1"/>
    <col min="4" max="4" width="18.26953125" style="29" customWidth="1"/>
    <col min="5" max="5" width="15.26953125" style="29" customWidth="1"/>
    <col min="6" max="6" width="12.54296875" style="29" bestFit="1" customWidth="1"/>
    <col min="7" max="7" width="14.453125" style="29" customWidth="1"/>
    <col min="8" max="8" width="10.1796875" style="29" bestFit="1" customWidth="1"/>
    <col min="9" max="10" width="13.54296875" style="29" customWidth="1"/>
    <col min="11" max="11" width="12.26953125" style="29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.7265625" style="29" customWidth="1"/>
    <col min="19" max="19" width="9" style="29" customWidth="1"/>
    <col min="20" max="20" width="10.81640625" style="29" bestFit="1" customWidth="1"/>
    <col min="21" max="21" width="17.81640625" style="29" bestFit="1" customWidth="1"/>
    <col min="22" max="22" width="10.54296875" style="29" bestFit="1" customWidth="1"/>
    <col min="23" max="23" width="16.1796875" style="29" customWidth="1"/>
    <col min="24" max="24" width="9.26953125" style="29" bestFit="1" customWidth="1"/>
    <col min="25" max="26" width="10.7265625" style="29" bestFit="1" customWidth="1"/>
    <col min="27" max="27" width="11.26953125" style="29" customWidth="1"/>
    <col min="28" max="28" width="10.7265625" style="29" bestFit="1" customWidth="1"/>
    <col min="29" max="29" width="11.7265625" style="29" customWidth="1"/>
    <col min="30" max="30" width="16" style="29" bestFit="1" customWidth="1"/>
    <col min="31" max="31" width="12" style="29" bestFit="1" customWidth="1"/>
    <col min="32" max="32" width="12.26953125" style="29" customWidth="1"/>
    <col min="33" max="33" width="14.7265625" style="29" bestFit="1" customWidth="1"/>
    <col min="34" max="34" width="14.1796875" style="36" customWidth="1"/>
    <col min="35" max="35" width="10.26953125" style="28" customWidth="1"/>
    <col min="36" max="36" width="12.453125" style="29" customWidth="1"/>
    <col min="37" max="37" width="13.1796875" style="29" bestFit="1" customWidth="1"/>
    <col min="38" max="38" width="13.1796875" style="29" customWidth="1"/>
    <col min="39" max="39" width="12.54296875" style="28" customWidth="1"/>
    <col min="40" max="40" width="15.453125" style="29" customWidth="1"/>
    <col min="41" max="16384" width="9.1796875" style="29"/>
  </cols>
  <sheetData>
    <row r="1" spans="1:39" ht="27.75" customHeight="1">
      <c r="A1" s="135" t="s">
        <v>177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7.5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2</v>
      </c>
      <c r="E3" s="4" t="s">
        <v>181</v>
      </c>
      <c r="F3" s="5"/>
      <c r="G3" s="5"/>
      <c r="H3" s="5"/>
      <c r="I3" s="6"/>
      <c r="J3" s="6">
        <v>2</v>
      </c>
      <c r="K3" s="7" t="s">
        <v>174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26" t="s">
        <v>135</v>
      </c>
      <c r="G4" s="126" t="s">
        <v>136</v>
      </c>
      <c r="H4" s="126" t="s">
        <v>161</v>
      </c>
      <c r="I4" s="115" t="s">
        <v>162</v>
      </c>
      <c r="J4" s="115" t="s">
        <v>163</v>
      </c>
      <c r="K4" s="115" t="s">
        <v>164</v>
      </c>
      <c r="L4" s="127" t="s">
        <v>171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182</v>
      </c>
      <c r="S4" s="17" t="s">
        <v>30</v>
      </c>
      <c r="T4" s="18" t="s">
        <v>31</v>
      </c>
      <c r="U4" s="58"/>
    </row>
    <row r="5" spans="1:39" ht="14.5">
      <c r="A5" s="10">
        <v>1</v>
      </c>
      <c r="B5" s="42" t="s">
        <v>129</v>
      </c>
      <c r="C5" s="29" t="s">
        <v>176</v>
      </c>
      <c r="D5" s="10" t="s">
        <v>134</v>
      </c>
      <c r="E5" s="67" t="s">
        <v>144</v>
      </c>
      <c r="F5" s="29" t="s">
        <v>137</v>
      </c>
      <c r="G5" s="29" t="s">
        <v>180</v>
      </c>
      <c r="H5" s="29" t="s">
        <v>173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.54296875" style="29" customWidth="1"/>
    <col min="4" max="4" width="18.26953125" style="29" customWidth="1"/>
    <col min="5" max="5" width="15.26953125" style="29" customWidth="1"/>
    <col min="6" max="6" width="12.54296875" style="29" bestFit="1" customWidth="1"/>
    <col min="7" max="7" width="14.453125" style="29" customWidth="1"/>
    <col min="8" max="8" width="10.1796875" style="29" bestFit="1" customWidth="1"/>
    <col min="9" max="10" width="13.54296875" style="29" customWidth="1"/>
    <col min="11" max="11" width="12.26953125" style="29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.7265625" style="29" customWidth="1"/>
    <col min="19" max="19" width="9" style="29" customWidth="1"/>
    <col min="20" max="20" width="10.81640625" style="29" bestFit="1" customWidth="1"/>
    <col min="21" max="21" width="17.81640625" style="29" bestFit="1" customWidth="1"/>
    <col min="22" max="22" width="10.54296875" style="29" bestFit="1" customWidth="1"/>
    <col min="23" max="23" width="16.1796875" style="29" customWidth="1"/>
    <col min="24" max="24" width="9.26953125" style="29" bestFit="1" customWidth="1"/>
    <col min="25" max="26" width="10.7265625" style="29" bestFit="1" customWidth="1"/>
    <col min="27" max="27" width="11.26953125" style="29" customWidth="1"/>
    <col min="28" max="28" width="10.7265625" style="29" bestFit="1" customWidth="1"/>
    <col min="29" max="29" width="11.7265625" style="29" customWidth="1"/>
    <col min="30" max="30" width="16" style="29" bestFit="1" customWidth="1"/>
    <col min="31" max="31" width="12" style="29" bestFit="1" customWidth="1"/>
    <col min="32" max="32" width="12.26953125" style="29" customWidth="1"/>
    <col min="33" max="33" width="14.7265625" style="29" bestFit="1" customWidth="1"/>
    <col min="34" max="34" width="14.1796875" style="36" customWidth="1"/>
    <col min="35" max="35" width="10.26953125" style="28" customWidth="1"/>
    <col min="36" max="36" width="12.453125" style="29" customWidth="1"/>
    <col min="37" max="37" width="13.1796875" style="29" bestFit="1" customWidth="1"/>
    <col min="38" max="38" width="13.1796875" style="29" customWidth="1"/>
    <col min="39" max="39" width="12.54296875" style="28" customWidth="1"/>
    <col min="40" max="40" width="15.453125" style="29" customWidth="1"/>
    <col min="41" max="16384" width="9.1796875" style="29"/>
  </cols>
  <sheetData>
    <row r="1" spans="1:39" ht="27.75" customHeight="1">
      <c r="A1" s="135" t="s">
        <v>175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29"/>
      <c r="AE1" s="129"/>
      <c r="AF1" s="129"/>
      <c r="AG1" s="129"/>
      <c r="AH1" s="27"/>
    </row>
    <row r="2" spans="1:39" ht="17.5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34" t="s">
        <v>0</v>
      </c>
      <c r="B3" s="134"/>
      <c r="C3" s="128"/>
      <c r="D3" s="3">
        <v>1</v>
      </c>
      <c r="E3" s="4" t="s">
        <v>181</v>
      </c>
      <c r="F3" s="5"/>
      <c r="G3" s="5"/>
      <c r="H3" s="5"/>
      <c r="I3" s="6"/>
      <c r="J3" s="6">
        <v>1</v>
      </c>
      <c r="K3" s="7" t="s">
        <v>174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26" t="s">
        <v>135</v>
      </c>
      <c r="G4" s="126" t="s">
        <v>136</v>
      </c>
      <c r="H4" s="126" t="s">
        <v>161</v>
      </c>
      <c r="I4" s="115" t="s">
        <v>162</v>
      </c>
      <c r="J4" s="115" t="s">
        <v>163</v>
      </c>
      <c r="K4" s="115" t="s">
        <v>164</v>
      </c>
      <c r="L4" s="127" t="s">
        <v>171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182</v>
      </c>
      <c r="S4" s="17" t="s">
        <v>30</v>
      </c>
      <c r="T4" s="18" t="s">
        <v>31</v>
      </c>
      <c r="U4" s="58"/>
    </row>
    <row r="5" spans="1:39" ht="14.5">
      <c r="A5" s="10">
        <v>1</v>
      </c>
      <c r="B5" s="42" t="s">
        <v>129</v>
      </c>
      <c r="C5" s="29" t="s">
        <v>176</v>
      </c>
      <c r="D5" s="10" t="s">
        <v>134</v>
      </c>
      <c r="E5" s="67" t="s">
        <v>144</v>
      </c>
      <c r="F5" s="29" t="s">
        <v>137</v>
      </c>
      <c r="G5" s="29" t="s">
        <v>180</v>
      </c>
      <c r="H5" s="29" t="s">
        <v>173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21.7265625" style="29" customWidth="1"/>
    <col min="4" max="4" width="24.26953125" style="29" customWidth="1"/>
    <col min="5" max="5" width="19.54296875" style="29" bestFit="1" customWidth="1"/>
    <col min="6" max="9" width="9.1796875" style="29"/>
    <col min="10" max="10" width="13" style="29" customWidth="1"/>
    <col min="11" max="14" width="9.1796875" style="29"/>
    <col min="15" max="15" width="10.453125" style="29" customWidth="1"/>
    <col min="16" max="16" width="9.1796875" style="29"/>
    <col min="17" max="17" width="20.453125" style="29" bestFit="1" customWidth="1"/>
    <col min="18" max="16384" width="9.1796875" style="29"/>
  </cols>
  <sheetData>
    <row r="1" spans="1:17" ht="27.75" customHeight="1">
      <c r="A1" s="135" t="s">
        <v>128</v>
      </c>
      <c r="B1" s="135"/>
      <c r="C1" s="135"/>
      <c r="D1" s="135"/>
    </row>
    <row r="2" spans="1:17" ht="17.5">
      <c r="D2" s="109"/>
    </row>
    <row r="3" spans="1:17" ht="19.899999999999999" customHeight="1">
      <c r="A3" s="134"/>
      <c r="B3" s="134"/>
      <c r="C3" s="110"/>
      <c r="D3" s="108"/>
    </row>
    <row r="4" spans="1:17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15" t="s">
        <v>135</v>
      </c>
      <c r="G4" s="115" t="s">
        <v>136</v>
      </c>
      <c r="H4" s="115" t="s">
        <v>161</v>
      </c>
      <c r="I4" s="115" t="s">
        <v>162</v>
      </c>
      <c r="J4" s="115" t="s">
        <v>163</v>
      </c>
      <c r="K4" s="115" t="s">
        <v>164</v>
      </c>
      <c r="L4" s="115" t="s">
        <v>165</v>
      </c>
      <c r="M4" s="115" t="s">
        <v>166</v>
      </c>
      <c r="N4" s="115" t="s">
        <v>171</v>
      </c>
      <c r="O4" s="115" t="s">
        <v>95</v>
      </c>
      <c r="P4" s="115" t="s">
        <v>167</v>
      </c>
      <c r="Q4" s="115" t="s">
        <v>168</v>
      </c>
    </row>
    <row r="5" spans="1:17" ht="14.5">
      <c r="A5" s="10">
        <v>1</v>
      </c>
      <c r="B5" s="42" t="s">
        <v>129</v>
      </c>
      <c r="C5" s="42" t="s">
        <v>176</v>
      </c>
      <c r="D5" s="10" t="s">
        <v>134</v>
      </c>
      <c r="E5" s="67" t="s">
        <v>144</v>
      </c>
      <c r="F5" s="10">
        <v>1</v>
      </c>
      <c r="G5" s="10">
        <v>20</v>
      </c>
      <c r="H5" s="10">
        <v>1</v>
      </c>
      <c r="I5" s="10">
        <f>ROUND(C5*H5/F5,3)</f>
        <v>20</v>
      </c>
      <c r="J5" s="122">
        <f>I5*(G5/C5)</f>
        <v>20</v>
      </c>
      <c r="K5" s="10">
        <f>I5*G5</f>
        <v>400</v>
      </c>
      <c r="L5" s="124">
        <v>0.18</v>
      </c>
      <c r="M5" s="10">
        <f>K5*L5</f>
        <v>72</v>
      </c>
      <c r="N5" s="10" t="s">
        <v>32</v>
      </c>
      <c r="O5" s="123">
        <v>88363222</v>
      </c>
      <c r="P5" s="10" t="s">
        <v>169</v>
      </c>
      <c r="Q5" s="10" t="s">
        <v>170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796875" defaultRowHeight="14"/>
  <cols>
    <col min="1" max="1" width="5.7265625" style="29" bestFit="1" customWidth="1"/>
    <col min="2" max="2" width="30.453125" style="29" bestFit="1" customWidth="1"/>
    <col min="3" max="3" width="8.54296875" style="29" customWidth="1"/>
    <col min="4" max="4" width="18.26953125" style="29" customWidth="1"/>
    <col min="5" max="5" width="15.26953125" style="29" customWidth="1"/>
    <col min="6" max="6" width="12.54296875" style="29" bestFit="1" customWidth="1"/>
    <col min="7" max="7" width="14.453125" style="29" customWidth="1"/>
    <col min="8" max="8" width="10.1796875" style="29" bestFit="1" customWidth="1"/>
    <col min="9" max="10" width="13.54296875" style="29" customWidth="1"/>
    <col min="11" max="11" width="12.26953125" style="29" customWidth="1"/>
    <col min="12" max="12" width="8" style="29" bestFit="1" customWidth="1"/>
    <col min="13" max="13" width="13.81640625" style="29" bestFit="1" customWidth="1"/>
    <col min="14" max="14" width="9.7265625" style="29" bestFit="1" customWidth="1"/>
    <col min="15" max="15" width="12.54296875" style="29" customWidth="1"/>
    <col min="16" max="16" width="14.7265625" style="29" customWidth="1"/>
    <col min="17" max="17" width="9.7265625" style="29" bestFit="1" customWidth="1"/>
    <col min="18" max="18" width="9.7265625" style="29" customWidth="1"/>
    <col min="19" max="19" width="9" style="29" customWidth="1"/>
    <col min="20" max="20" width="10.81640625" style="29" bestFit="1" customWidth="1"/>
    <col min="21" max="21" width="17.81640625" style="29" bestFit="1" customWidth="1"/>
    <col min="22" max="22" width="10.54296875" style="29" bestFit="1" customWidth="1"/>
    <col min="23" max="23" width="16.1796875" style="29" customWidth="1"/>
    <col min="24" max="24" width="9.26953125" style="29" bestFit="1" customWidth="1"/>
    <col min="25" max="26" width="10.7265625" style="29" bestFit="1" customWidth="1"/>
    <col min="27" max="27" width="11.26953125" style="29" customWidth="1"/>
    <col min="28" max="28" width="10.7265625" style="29" bestFit="1" customWidth="1"/>
    <col min="29" max="29" width="11.7265625" style="29" customWidth="1"/>
    <col min="30" max="30" width="16" style="29" bestFit="1" customWidth="1"/>
    <col min="31" max="31" width="12" style="29" bestFit="1" customWidth="1"/>
    <col min="32" max="32" width="12.26953125" style="29" customWidth="1"/>
    <col min="33" max="33" width="14.7265625" style="29" bestFit="1" customWidth="1"/>
    <col min="34" max="34" width="14.1796875" style="36" customWidth="1"/>
    <col min="35" max="35" width="10.26953125" style="28" customWidth="1"/>
    <col min="36" max="36" width="12.453125" style="29" customWidth="1"/>
    <col min="37" max="37" width="13.1796875" style="29" bestFit="1" customWidth="1"/>
    <col min="38" max="38" width="13.1796875" style="29" customWidth="1"/>
    <col min="39" max="39" width="12.54296875" style="28" customWidth="1"/>
    <col min="40" max="40" width="15.453125" style="29" customWidth="1"/>
    <col min="41" max="16384" width="9.1796875" style="29"/>
  </cols>
  <sheetData>
    <row r="1" spans="1:39" ht="27.75" customHeight="1">
      <c r="A1" s="135" t="s">
        <v>177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1"/>
      <c r="AE1" s="131"/>
      <c r="AF1" s="131"/>
      <c r="AG1" s="131"/>
      <c r="AH1" s="27"/>
    </row>
    <row r="2" spans="1:39" ht="17.5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34" t="s">
        <v>0</v>
      </c>
      <c r="B3" s="134"/>
      <c r="C3" s="130"/>
      <c r="D3" s="3">
        <v>2</v>
      </c>
      <c r="E3" s="4" t="s">
        <v>181</v>
      </c>
      <c r="F3" s="5"/>
      <c r="G3" s="5"/>
      <c r="H3" s="5"/>
      <c r="I3" s="6"/>
      <c r="J3" s="6">
        <v>2</v>
      </c>
      <c r="K3" s="7" t="s">
        <v>174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130</v>
      </c>
      <c r="D4" s="11" t="s">
        <v>127</v>
      </c>
      <c r="E4" s="113" t="s">
        <v>143</v>
      </c>
      <c r="F4" s="126" t="s">
        <v>135</v>
      </c>
      <c r="G4" s="126" t="s">
        <v>136</v>
      </c>
      <c r="H4" s="126" t="s">
        <v>161</v>
      </c>
      <c r="I4" s="115" t="s">
        <v>162</v>
      </c>
      <c r="J4" s="115" t="s">
        <v>163</v>
      </c>
      <c r="K4" s="115" t="s">
        <v>164</v>
      </c>
      <c r="L4" s="127" t="s">
        <v>171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182</v>
      </c>
      <c r="S4" s="17" t="s">
        <v>30</v>
      </c>
      <c r="T4" s="18" t="s">
        <v>31</v>
      </c>
      <c r="U4" s="58"/>
    </row>
    <row r="5" spans="1:39" ht="14.5">
      <c r="A5" s="10">
        <v>1</v>
      </c>
      <c r="B5" s="42" t="s">
        <v>129</v>
      </c>
      <c r="C5" s="29" t="s">
        <v>176</v>
      </c>
      <c r="D5" s="10" t="s">
        <v>134</v>
      </c>
      <c r="E5" s="67" t="s">
        <v>144</v>
      </c>
      <c r="F5" s="29" t="s">
        <v>137</v>
      </c>
      <c r="G5" s="29" t="s">
        <v>180</v>
      </c>
      <c r="H5" s="29" t="s">
        <v>173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DirectSCOSerialWithSO</vt:lpstr>
      <vt:lpstr>DirectSCOWithSOandConv</vt:lpstr>
      <vt:lpstr>DirectSCOWithConv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SCOCharges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Kishore.R</cp:lastModifiedBy>
  <dcterms:created xsi:type="dcterms:W3CDTF">2024-08-28T12:59:00Z</dcterms:created>
  <dcterms:modified xsi:type="dcterms:W3CDTF">2025-11-21T06:26:38Z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