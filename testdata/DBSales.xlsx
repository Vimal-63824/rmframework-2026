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2520" windowWidth="15525" windowHeight="6540" firstSheet="23" activeTab="24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ourceSFCode" sheetId="67" r:id="rId53"/>
    <sheet name="SCOCharges" sheetId="57" r:id="rId54"/>
    <sheet name="SOtoSIDomestic" sheetId="61" r:id="rId5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H5"/>
  <c r="AF5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Q5" i="53"/>
  <c r="P5"/>
  <c r="O5"/>
  <c r="I5"/>
  <c r="K5" s="1"/>
  <c r="Q5" i="52"/>
  <c r="I5"/>
  <c r="K5" s="1"/>
  <c r="O5" s="1"/>
  <c r="P5" i="55"/>
  <c r="I5"/>
  <c r="J5" s="1"/>
  <c r="S5" i="53" l="1"/>
  <c r="T5" s="1"/>
  <c r="S5" i="52"/>
  <c r="T5"/>
  <c r="P5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S5" i="51" l="1"/>
  <c r="T5" s="1"/>
  <c r="O5" i="55"/>
  <c r="R5"/>
  <c r="O5" i="56"/>
  <c r="S5" s="1"/>
  <c r="T5" s="1"/>
  <c r="R5"/>
  <c r="T5" i="54"/>
  <c r="Q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4" l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P5" i="13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H5" i="32"/>
  <c r="AK5" s="1"/>
  <c r="AL5" s="1"/>
  <c r="AF5"/>
  <c r="Z5"/>
  <c r="M5"/>
  <c r="N5" s="1"/>
  <c r="I5"/>
  <c r="AH5" i="31"/>
  <c r="AK5" s="1"/>
  <c r="AL5" s="1"/>
  <c r="AF5"/>
  <c r="Z5"/>
  <c r="I5"/>
  <c r="M5" s="1"/>
  <c r="N5" s="1"/>
  <c r="AK5" i="30"/>
  <c r="AL5" s="1"/>
  <c r="AH5"/>
  <c r="AF5"/>
  <c r="Z5"/>
  <c r="I5"/>
  <c r="M5" s="1"/>
  <c r="N5" s="1"/>
  <c r="AK5" i="29"/>
  <c r="AL5" s="1"/>
  <c r="AH5"/>
  <c r="AF5"/>
  <c r="Z5"/>
  <c r="I5"/>
  <c r="M5" s="1"/>
  <c r="N5" s="1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M5"/>
  <c r="N5" s="1"/>
  <c r="I5"/>
  <c r="AF6" i="23"/>
  <c r="AH6" s="1"/>
  <c r="Y6"/>
  <c r="X6"/>
  <c r="N6"/>
  <c r="M6"/>
  <c r="I6"/>
  <c r="AF5"/>
  <c r="AH5" s="1"/>
  <c r="Y5"/>
  <c r="X5"/>
  <c r="M5"/>
  <c r="N5" s="1"/>
  <c r="I5"/>
  <c r="AF6" i="22"/>
  <c r="AH6" s="1"/>
  <c r="I6"/>
  <c r="AF5"/>
  <c r="AH5" s="1"/>
  <c r="I5"/>
  <c r="AH5" i="21"/>
  <c r="AH6"/>
  <c r="AF6"/>
  <c r="Z6"/>
  <c r="I6"/>
  <c r="M6" s="1"/>
  <c r="N6" s="1"/>
  <c r="AF5"/>
  <c r="Z5"/>
  <c r="I5"/>
  <c r="M5" s="1"/>
  <c r="N5" s="1"/>
  <c r="AH5" i="20"/>
  <c r="AF5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M5"/>
  <c r="N5" s="1"/>
  <c r="I5"/>
  <c r="AF5" i="16"/>
  <c r="AH5" s="1"/>
  <c r="Z5"/>
  <c r="I5"/>
  <c r="M5" s="1"/>
  <c r="N5" s="1"/>
  <c r="AH5" i="15"/>
  <c r="AF5"/>
  <c r="M5"/>
  <c r="N5" s="1"/>
  <c r="I5"/>
  <c r="AF5" i="14"/>
  <c r="AH5" s="1"/>
  <c r="M5"/>
  <c r="N5" s="1"/>
  <c r="I5"/>
  <c r="I5" i="13"/>
  <c r="AF6" i="12"/>
  <c r="AH6" s="1"/>
  <c r="Y6"/>
  <c r="X6"/>
  <c r="M6"/>
  <c r="N6" s="1"/>
  <c r="I6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L6"/>
  <c r="AF6"/>
  <c r="Y6"/>
  <c r="X6"/>
  <c r="M6"/>
  <c r="N6" s="1"/>
  <c r="I6"/>
  <c r="AL5"/>
  <c r="AF5"/>
  <c r="AH5" s="1"/>
  <c r="Y5"/>
  <c r="X5"/>
  <c r="I5"/>
  <c r="M5" s="1"/>
  <c r="N5" s="1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H6" i="5"/>
  <c r="AL6"/>
  <c r="AF6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A5" i="28" l="1"/>
  <c r="O5" i="4"/>
  <c r="P5" s="1"/>
  <c r="X5" i="58"/>
  <c r="AK5"/>
  <c r="AQ5" i="13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B5" i="58" l="1"/>
  <c r="AA5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P6" i="1"/>
  <c r="Q6" s="1"/>
  <c r="R6" s="1"/>
  <c r="P5"/>
  <c r="S6" i="4" l="1"/>
  <c r="T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AD5" i="4"/>
  <c r="Z5"/>
  <c r="AA5" s="1"/>
  <c r="AB5" s="1"/>
  <c r="S6" i="1"/>
  <c r="Q5"/>
  <c r="R5" s="1"/>
  <c r="S5" s="1"/>
  <c r="U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D6"/>
  <c r="T6" i="1"/>
  <c r="U6"/>
  <c r="U5"/>
  <c r="T5"/>
  <c r="X5" i="21" l="1"/>
  <c r="AA5" s="1"/>
  <c r="AB5" s="1"/>
  <c r="Y5"/>
  <c r="AL5" i="20"/>
  <c r="Z5"/>
  <c r="AA5" s="1"/>
  <c r="X6" i="21"/>
  <c r="AA6" s="1"/>
  <c r="Y6"/>
  <c r="AD5" i="7"/>
  <c r="Z5"/>
  <c r="AA5" s="1"/>
  <c r="X5" i="24"/>
  <c r="AA5" s="1"/>
  <c r="AB5" s="1"/>
  <c r="Y5"/>
  <c r="AB6" i="4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D5" i="30"/>
  <c r="X5"/>
  <c r="Y5"/>
  <c r="AB5" i="29"/>
  <c r="AD5"/>
  <c r="X5"/>
  <c r="AA5" s="1"/>
  <c r="Y5"/>
  <c r="AB5" i="28"/>
  <c r="AD5"/>
  <c r="AD5" i="25"/>
  <c r="X5"/>
  <c r="AA5" s="1"/>
  <c r="AB5" s="1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B6" i="21"/>
  <c r="AD6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30" l="1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<sst xmlns="http://schemas.openxmlformats.org/spreadsheetml/2006/main" count="2479" uniqueCount="244">
  <si>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</si>
  <si>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</si>
  <si>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</si>
  <si>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</si>
  <si>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</si>
  <si>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</si>
  <si>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</si>
  <si>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</si>
  <si>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</si>
  <si>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</si>
  <si>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</si>
  <si>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</si>
  <si>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</si>
  <si>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</si>
  <si>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</si>
  <si>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</si>
  <si>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</si>
  <si>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</si>
  <si>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</si>
  <si>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</si>
  <si>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</si>
  <si>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</si>
  <si>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</si>
  <si>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</si>
  <si>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</si>
  <si>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</si>
  <si>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</si>
  <si>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</si>
  <si>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</si>
  <si>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</si>
  <si>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</si>
  <si>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</si>
  <si>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</si>
  <si>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</si>
  <si>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</si>
  <si>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</si>
  <si>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</si>
  <si>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</si>
  <si>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</si>
  <si>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</si>
  <si>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</si>
  <si>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</si>
  <si>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</si>
  <si>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</si>
  <si>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</si>
  <si>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</si>
  <si>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</si>
  <si>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</si>
  <si>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</si>
  <si>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</si>
  <si>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</si>
  <si>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</si>
  <si>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</si>
  <si>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</si>
  <si>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</si>
  <si>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</si>
  <si>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</si>
  <si>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</si>
  <si>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</si>
  <si>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</si>
  <si>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</si>
  <si>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</si>
  <si>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</si>
  <si>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</si>
  <si>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</si>
  <si>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</si>
  <si>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</si>
  <si>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</si>
  <si>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</si>
  <si>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</si>
  <si>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</si>
  <si>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</si>
  <si>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</si>
  <si>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</si>
  <si>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</si>
  <si>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</si>
  <si>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</si>
  <si>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</si>
  <si>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</si>
  <si>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</si>
  <si>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</si>
  <si>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</si>
  <si>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</si>
  <si>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</si>
  <si>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</si>
  <si>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</si>
  <si>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</si>
  <si>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</si>
  <si>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</si>
  <si>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</si>
  <si>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</si>
  <si>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</si>
  <si>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</si>
  <si>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</si>
  <si>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</si>
  <si>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</si>
  <si>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</si>
  <si>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</si>
  <si>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</si>
  <si>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</si>
  <si>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</si>
  <si>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</si>
  <si>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</si>
  <si>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</si>
  <si>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</si>
  <si>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</si>
  <si>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</si>
  <si>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</si>
  <si>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</si>
  <si>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</si>
  <si>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</si>
  <si>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</si>
  <si>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</si>
  <si>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</si>
  <si>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</si>
  <si>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</si>
  <si>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</si>
  <si>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</si>
  <si>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</si>
  <si>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</si>
  <si>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</si>
  <si>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</si>
  <si>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</si>
  <si>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</si>
  <si>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</si>
  <si>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</si>
  <si>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</si>
  <si>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</si>
  <si>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</si>
  <si>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</si>
  <si>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</si>
  <si>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</si>
  <si>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</si>
  <si>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</si>
  <si>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</si>
  <si>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</si>
  <si>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</si>
  <si>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</si>
  <si>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</si>
  <si>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</si>
  <si>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</si>
  <si>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</si>
  <si>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</si>
  <si>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</si>
  <si>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</si>
  <si>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</si>
  <si>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</si>
  <si>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</si>
  <si>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</si>
  <si>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</si>
  <si>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</si>
  <si>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</si>
  <si>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</si>
  <si>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</si>
  <si>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</si>
  <si>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</si>
  <si>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</si>
  <si>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</si>
  <si>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</si>
  <si>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</si>
  <si>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</si>
  <si>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</si>
  <si>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</si>
  <si>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</si>
  <si>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</si>
  <si>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</si>
  <si>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</si>
  <si>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</si>
  <si>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</si>
  <si>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</si>
  <si>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</si>
  <si>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</si>
  <si>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</si>
  <si>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</si>
  <si>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</si>
  <si>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</si>
  <si>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</si>
  <si>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</si>
  <si>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</si>
  <si>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</si>
  <si>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</si>
  <si>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</si>
  <si>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</si>
  <si>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</si>
  <si>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</si>
  <si>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</si>
  <si>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</si>
  <si>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</si>
  <si>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</si>
  <si>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</si>
  <si>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</si>
  <si>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</si>
  <si>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</si>
  <si>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</si>
  <si>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</si>
  <si>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</si>
  <si>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</si>
  <si>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</si>
  <si>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</si>
  <si>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</si>
  <si>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</si>
  <si>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</si>
  <si>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</si>
  <si>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</si>
  <si>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</si>
  <si>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</si>
  <si>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</si>
  <si>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</si>
  <si>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</si>
  <si>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</si>
  <si>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</si>
  <si>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</si>
  <si>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</si>
  <si>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</si>
  <si>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</si>
  <si>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</si>
  <si>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</si>
  <si>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</si>
  <si>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</si>
  <si>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</si>
  <si>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</si>
  <si>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</si>
  <si>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</si>
  <si>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</si>
  <si>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</si>
  <si>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</si>
  <si>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</si>
  <si>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</si>
  <si>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</si>
  <si>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</si>
  <si>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</si>
  <si>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</si>
  <si>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</si>
  <si>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</si>
  <si>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</si>
  <si>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</si>
  <si>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</si>
  <si>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</si>
  <si>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99725</t>
  </si>
  <si>
    <t>99710</t>
  </si>
  <si>
    <t>90856</t>
  </si>
  <si>
    <t>99830</t>
  </si>
  <si>
    <t>PROC- 0744</t>
  </si>
  <si>
    <t>SORD-2526-01270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</si>
</sst>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6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0" t="s">
        <v>0</v>
      </c>
      <c r="B3" s="170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215</v>
      </c>
      <c r="AH5" s="9">
        <f>AG5-AF5</f>
        <v>93996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216</v>
      </c>
      <c r="AH6" s="9">
        <f>AG6-AF6</f>
        <v>99587.5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0" t="s">
        <v>0</v>
      </c>
      <c r="B3" s="170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99891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99965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0" t="s">
        <v>0</v>
      </c>
      <c r="B3" s="170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99760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201</v>
      </c>
      <c r="AH6" s="9">
        <f>AG6-AF6</f>
        <v>99920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0" t="s">
        <v>0</v>
      </c>
      <c r="B3" s="170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99970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176</v>
      </c>
      <c r="AH6" s="9">
        <f>AG6-AF6</f>
        <v>99990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0" t="s">
        <v>0</v>
      </c>
      <c r="B3" s="170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0" t="s">
        <v>0</v>
      </c>
      <c r="B3" s="170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188</v>
      </c>
      <c r="AH6" s="9">
        <f>AG6-AF6</f>
        <v>99983.334000000003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203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99850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187</v>
      </c>
      <c r="AH6" s="9">
        <f>AG6-AF6</f>
        <v>99950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204</v>
      </c>
      <c r="AH5" s="9">
        <f>AG5-AF5</f>
        <v>99879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500</v>
      </c>
      <c r="J6" s="34"/>
      <c r="K6" s="34"/>
      <c r="L6" s="34"/>
      <c r="M6" s="9">
        <f>I6</f>
        <v>500</v>
      </c>
      <c r="N6" s="9">
        <f>ROUND((M6*J6)/100,2)</f>
        <v>0</v>
      </c>
      <c r="O6" s="9">
        <f>I6-N6</f>
        <v>500</v>
      </c>
      <c r="P6" s="9">
        <f>ROUND((O6*K6)/100,2)</f>
        <v>0</v>
      </c>
      <c r="Q6" s="9">
        <f>ROUND(O6-P6,2)</f>
        <v>500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500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60</v>
      </c>
      <c r="AA6" s="9">
        <f>X6+Y6+Z6</f>
        <v>60</v>
      </c>
      <c r="AB6" s="9">
        <f t="shared" si="0"/>
        <v>560</v>
      </c>
      <c r="AC6" s="9">
        <v>120</v>
      </c>
      <c r="AD6" s="9">
        <f t="shared" si="1"/>
        <v>500</v>
      </c>
      <c r="AE6" s="8">
        <v>2</v>
      </c>
      <c r="AF6" s="9">
        <f>ROUND(G6/AE6,3)</f>
        <v>5</v>
      </c>
      <c r="AG6" s="36" t="s">
        <v>193</v>
      </c>
      <c r="AH6" s="9">
        <f>AG6-AF6</f>
        <v>99960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99985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174</v>
      </c>
      <c r="AH6" s="9">
        <f>AG6-AF6</f>
        <v>99995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0" t="s">
        <v>0</v>
      </c>
      <c r="B3" s="170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172</v>
      </c>
      <c r="AJ5" s="10" t="s">
        <v>173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0" t="s">
        <v>0</v>
      </c>
      <c r="B3" s="170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99641</v>
      </c>
      <c r="AI5" s="10" t="s">
        <v>172</v>
      </c>
      <c r="AJ5" s="10" t="s">
        <v>173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0" t="s">
        <v>0</v>
      </c>
      <c r="B3" s="170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99985</v>
      </c>
      <c r="AI5" s="10" t="s">
        <v>172</v>
      </c>
      <c r="AJ5" s="10" t="s">
        <v>173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0" t="s">
        <v>0</v>
      </c>
      <c r="B3" s="170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172</v>
      </c>
      <c r="AJ5" s="10" t="s">
        <v>173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172</v>
      </c>
      <c r="AJ6" s="10" t="s">
        <v>173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172</v>
      </c>
      <c r="AJ7" s="10" t="s">
        <v>173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172</v>
      </c>
      <c r="AJ8" s="10" t="s">
        <v>173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172</v>
      </c>
      <c r="AJ9" s="10" t="s">
        <v>173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172</v>
      </c>
      <c r="AJ10" s="10" t="s">
        <v>173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172</v>
      </c>
      <c r="AJ11" s="10" t="s">
        <v>173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172</v>
      </c>
      <c r="AJ12" s="10" t="s">
        <v>173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172</v>
      </c>
      <c r="AJ13" s="10" t="s">
        <v>173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172</v>
      </c>
      <c r="AJ14" s="10" t="s">
        <v>173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0" t="s">
        <v>0</v>
      </c>
      <c r="B3" s="170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240</v>
      </c>
      <c r="AH5" s="33">
        <f>AG5-AF5</f>
        <v>90841</v>
      </c>
      <c r="AI5" s="10" t="s">
        <v>172</v>
      </c>
      <c r="AJ5" s="10" t="s">
        <v>173</v>
      </c>
      <c r="AK5" s="33">
        <f>AH5</f>
        <v>90841</v>
      </c>
      <c r="AL5" s="33">
        <f>AK5+G5</f>
        <v>90856</v>
      </c>
      <c r="AM5" s="28" t="s">
        <v>66</v>
      </c>
      <c r="AN5" s="67" t="s">
        <v>175</v>
      </c>
      <c r="AO5" s="29" t="s">
        <v>241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0" t="s">
        <v>0</v>
      </c>
      <c r="B3" s="170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0" t="s">
        <v>0</v>
      </c>
      <c r="B3" s="170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99816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99806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0" t="s">
        <v>0</v>
      </c>
      <c r="B3" s="170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212</v>
      </c>
      <c r="AH5" s="9">
        <f>AG5-AF5</f>
        <v>95771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0" t="s">
        <v>0</v>
      </c>
      <c r="B3" s="170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99831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0" t="s">
        <v>0</v>
      </c>
      <c r="B3" s="170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99957.5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99791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AD1" workbookViewId="0">
      <selection activeCell="AL13" sqref="AL1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0" t="s">
        <v>0</v>
      </c>
      <c r="B3" s="170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208</v>
      </c>
      <c r="C5" s="10">
        <v>0</v>
      </c>
      <c r="D5" s="42" t="s">
        <v>208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243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5" sqref="AL5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0" t="s">
        <v>0</v>
      </c>
      <c r="B3" s="170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208</v>
      </c>
      <c r="C5" s="10">
        <v>0</v>
      </c>
      <c r="D5" s="42" t="s">
        <v>208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243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0" t="s">
        <v>0</v>
      </c>
      <c r="B3" s="170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0" t="s">
        <v>0</v>
      </c>
      <c r="B3" s="170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0" t="s">
        <v>0</v>
      </c>
      <c r="B3" s="170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0" t="s">
        <v>0</v>
      </c>
      <c r="B3" s="170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239</v>
      </c>
      <c r="AH5" s="34">
        <f>AG5-AF5</f>
        <v>99695</v>
      </c>
      <c r="AI5" s="10" t="s">
        <v>218</v>
      </c>
      <c r="AJ5" s="10" t="s">
        <v>173</v>
      </c>
      <c r="AK5" s="34">
        <f>AH5</f>
        <v>99695</v>
      </c>
      <c r="AL5" s="34">
        <f>AK5+G5</f>
        <v>99710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0" t="s">
        <v>0</v>
      </c>
      <c r="B3" s="170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238</v>
      </c>
      <c r="AH5" s="34">
        <f>AG5-AF5</f>
        <v>99710</v>
      </c>
      <c r="AI5" s="10" t="s">
        <v>218</v>
      </c>
      <c r="AJ5" s="10" t="s">
        <v>173</v>
      </c>
      <c r="AK5" s="34">
        <f>AH5</f>
        <v>99710</v>
      </c>
      <c r="AL5" s="34">
        <f>AK5+G5</f>
        <v>99725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1" t="s">
        <v>129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242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1" t="s">
        <v>130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237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9"/>
    </row>
    <row r="3" spans="1:16" ht="19.899999999999999" customHeight="1">
      <c r="A3" s="170"/>
      <c r="B3" s="170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217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1" t="s">
        <v>135</v>
      </c>
      <c r="B1" s="171"/>
      <c r="C1" s="171"/>
      <c r="D1" s="171"/>
    </row>
    <row r="2" spans="1:15" ht="18">
      <c r="D2" s="112"/>
    </row>
    <row r="3" spans="1:15" ht="19.899999999999999" customHeight="1">
      <c r="A3" s="170"/>
      <c r="B3" s="170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1" t="s">
        <v>146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1" t="s">
        <v>146</v>
      </c>
      <c r="B1" s="171"/>
      <c r="C1" s="171"/>
      <c r="D1" s="171"/>
    </row>
    <row r="2" spans="1:16" ht="18">
      <c r="D2" s="121"/>
    </row>
    <row r="3" spans="1:16" ht="19.899999999999999" customHeight="1">
      <c r="A3" s="170"/>
      <c r="B3" s="170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1" t="s">
        <v>143</v>
      </c>
      <c r="B1" s="171"/>
      <c r="C1" s="171"/>
      <c r="D1" s="171"/>
    </row>
    <row r="2" spans="1:15" ht="18">
      <c r="D2" s="117"/>
    </row>
    <row r="3" spans="1:15" ht="19.899999999999999" customHeight="1">
      <c r="A3" s="170"/>
      <c r="B3" s="170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219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219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40.5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265.5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171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54</v>
      </c>
      <c r="H5" s="29" t="s">
        <v>160</v>
      </c>
      <c r="I5" s="10">
        <f>ROUND(C5*H5/F5,3)</f>
        <v>10</v>
      </c>
      <c r="J5" s="10">
        <f>I5*(G5/C5)</f>
        <v>30</v>
      </c>
      <c r="K5" s="10">
        <f>I5*G5</f>
        <v>600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54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54</v>
      </c>
      <c r="S5" s="34">
        <f>ROUND(O5+P5+Q5+R5,2)</f>
        <v>108</v>
      </c>
      <c r="T5" s="34">
        <f>ROUND(IF($J$3=1, K5+S5, K5),2)</f>
        <v>708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170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78.75</v>
      </c>
      <c r="R5" s="34">
        <f>IF($D$3=4,ROUND((K5*N5),2),0)</f>
        <v>0</v>
      </c>
      <c r="S5" s="34">
        <f>ROUND(O5+P5+Q5+R5,2)</f>
        <v>78.75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IF($D$3=1,ROUND(((K5*N5)/2),2),0)</f>
        <v>31.5</v>
      </c>
      <c r="P5" s="34">
        <f>IF($D$3=1,ROUND(((K5*N5)/2),2),0)</f>
        <v>31.5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1" t="s">
        <v>121</v>
      </c>
      <c r="B1" s="171"/>
      <c r="C1" s="171"/>
      <c r="D1" s="171"/>
    </row>
    <row r="2" spans="1:17" ht="18">
      <c r="D2" s="109"/>
    </row>
    <row r="3" spans="1:17" ht="19.899999999999999" customHeight="1">
      <c r="A3" s="170"/>
      <c r="B3" s="170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1" t="s">
        <v>225</v>
      </c>
      <c r="B1" s="171"/>
      <c r="C1" s="171"/>
      <c r="D1" s="171"/>
    </row>
    <row r="2" spans="1:8" ht="18">
      <c r="D2" s="169"/>
    </row>
    <row r="3" spans="1:8" ht="19.899999999999999" customHeight="1">
      <c r="A3" s="172" t="s">
        <v>234</v>
      </c>
      <c r="B3" s="172"/>
      <c r="C3" s="172"/>
      <c r="D3" s="172"/>
      <c r="E3" s="173" t="s">
        <v>236</v>
      </c>
      <c r="F3" s="173"/>
    </row>
    <row r="4" spans="1:8" s="31" customFormat="1">
      <c r="A4" s="11" t="s">
        <v>228</v>
      </c>
      <c r="B4" s="11" t="s">
        <v>229</v>
      </c>
      <c r="C4" s="11" t="s">
        <v>230</v>
      </c>
      <c r="D4" s="11" t="s">
        <v>232</v>
      </c>
      <c r="E4" s="11" t="s">
        <v>226</v>
      </c>
      <c r="F4" s="11" t="s">
        <v>227</v>
      </c>
    </row>
    <row r="5" spans="1:8" ht="15">
      <c r="A5" s="122" t="s">
        <v>233</v>
      </c>
      <c r="B5" s="42" t="s">
        <v>231</v>
      </c>
      <c r="C5" s="42" t="s">
        <v>231</v>
      </c>
      <c r="D5" s="10">
        <v>11</v>
      </c>
      <c r="E5" s="122" t="s">
        <v>235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0" t="s">
        <v>0</v>
      </c>
      <c r="B3" s="170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74" t="s">
        <v>39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34"/>
      <c r="AB1" s="134"/>
      <c r="AC1" s="134"/>
      <c r="AD1" s="135"/>
      <c r="AE1" s="135"/>
      <c r="AF1" s="135"/>
    </row>
    <row r="2" spans="1:38" ht="18">
      <c r="A2" s="134" t="s">
        <v>205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5" t="s">
        <v>0</v>
      </c>
      <c r="B3" s="175"/>
      <c r="C3" s="138"/>
      <c r="D3" s="139">
        <v>2</v>
      </c>
      <c r="E3" s="140" t="s">
        <v>206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207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208</v>
      </c>
      <c r="C6" s="155">
        <v>0</v>
      </c>
      <c r="D6" s="32" t="s">
        <v>208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207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209</v>
      </c>
      <c r="R7" s="161"/>
      <c r="S7" s="161"/>
      <c r="T7" s="161"/>
      <c r="U7" s="159"/>
      <c r="V7" s="159"/>
      <c r="W7" s="160"/>
      <c r="X7" s="159"/>
      <c r="Y7" s="159"/>
      <c r="Z7" s="161" t="s">
        <v>210</v>
      </c>
      <c r="AA7" s="161"/>
      <c r="AB7" s="162">
        <f>SUM(AB5:AB6)</f>
        <v>45016.36</v>
      </c>
      <c r="AC7" s="161" t="s">
        <v>211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SourceSFCode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KOWSHIKAN</cp:lastModifiedBy>
  <dcterms:created xsi:type="dcterms:W3CDTF">2024-08-28T12:59:00Z</dcterms:created>
  <dcterms:modified xsi:type="dcterms:W3CDTF">2025-12-17T11:50:02Z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