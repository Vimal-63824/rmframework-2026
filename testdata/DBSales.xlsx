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1" activeTab="34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enSCORevise" sheetId="41" r:id="rId31"/>
    <sheet name="OpenSCO" sheetId="40" r:id="rId32"/>
    <sheet name="DirectSCOWithSO" sheetId="43" r:id="rId33"/>
    <sheet name="DirectSCOWithProject" sheetId="45" r:id="rId34"/>
    <sheet name="DirectSCOSerialWithSO" sheetId="47" r:id="rId35"/>
    <sheet name="DirectSCOWithSOandConv" sheetId="44" r:id="rId36"/>
    <sheet name="DirectSCOWithConv" sheetId="42" r:id="rId37"/>
    <sheet name="DirectSCOSerial" sheetId="46" r:id="rId38"/>
    <sheet name="DirectSCO" sheetId="39" r:id="rId39"/>
    <sheet name="Sheet3" sheetId="3" r:id="rId40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<sst xmlns="http://schemas.openxmlformats.org/spreadsheetml/2006/main" count="1845" uniqueCount="204">
  <si>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</si>
  <si>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</si>
  <si>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</si>
  <si>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</si>
  <si>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</si>
  <si>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</si>
  <si>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</si>
  <si>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</si>
  <si>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</si>
  <si>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</si>
  <si>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</si>
  <si>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</si>
  <si>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</si>
  <si>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</si>
  <si>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</si>
  <si>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</si>
  <si>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</si>
  <si>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</si>
  <si>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</si>
  <si>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</si>
  <si>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</si>
  <si>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</si>
  <si>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</si>
  <si>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</si>
  <si>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</si>
  <si>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</si>
  <si>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</si>
  <si>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</si>
  <si>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</si>
  <si>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</si>
  <si>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</si>
  <si>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</si>
  <si>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</si>
  <si>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</si>
  <si>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</si>
  <si>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</si>
  <si>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</si>
  <si>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</si>
  <si>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</si>
  <si>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</si>
  <si>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</si>
  <si>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</si>
  <si>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</si>
  <si>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</si>
  <si>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</si>
  <si>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</si>
  <si>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</si>
  <si>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</si>
  <si>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</si>
  <si>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</si>
  <si>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</si>
  <si>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</si>
  <si>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</si>
  <si>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</si>
  <si>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</si>
  <si>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</si>
  <si>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</si>
  <si>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</si>
  <si>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</si>
  <si>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</si>
  <si>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</si>
  <si>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</si>
  <si>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</si>
  <si>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</si>
  <si>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</si>
  <si>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</si>
  <si>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</si>
  <si>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</si>
  <si>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</si>
  <si>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</si>
  <si>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</si>
  <si>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</si>
  <si>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</si>
  <si>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</si>
  <si>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</si>
  <si>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</si>
  <si>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</si>
  <si>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</si>
  <si>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</si>
  <si>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</si>
  <si>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</si>
  <si>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</si>
  <si>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</si>
  <si>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</si>
  <si>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</si>
  <si>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</si>
  <si>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</si>
  <si>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</si>
  <si>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</si>
  <si>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</si>
  <si>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</si>
  <si>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</si>
  <si>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</si>
  <si>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</si>
  <si>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</si>
  <si>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</si>
  <si>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</si>
  <si>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</si>
  <si>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</si>
  <si>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</si>
  <si>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</si>
  <si>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</si>
  <si>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</si>
  <si>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</si>
  <si>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</si>
  <si>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</si>
  <si>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</si>
  <si>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</si>
  <si>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</si>
  <si>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</si>
  <si>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</si>
  <si>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</si>
  <si>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</si>
  <si>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</si>
  <si>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</si>
  <si>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</si>
  <si>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</si>
  <si>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</si>
  <si>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</si>
  <si>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</si>
  <si>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</si>
  <si>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</si>
  <si>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</si>
  <si>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</si>
  <si>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</si>
  <si>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</si>
  <si>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</si>
  <si>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</si>
  <si>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</si>
  <si>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</si>
  <si>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</si>
  <si>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</si>
  <si>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</si>
  <si>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</si>
  <si>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</si>
  <si>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</si>
  <si>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</si>
  <si>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</si>
  <si>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</si>
  <si>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</si>
  <si>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</si>
  <si>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</si>
  <si>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</si>
  <si>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</si>
  <si>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</si>
  <si>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</si>
  <si>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7</t>
  </si>
  <si>
    <t>19252.5</t>
  </si>
  <si>
    <t>109385</t>
  </si>
  <si>
    <t>109745</t>
  </si>
  <si>
    <t>9755</t>
  </si>
  <si>
    <t>9385</t>
  </si>
  <si>
    <t>9750</t>
  </si>
  <si>
    <t>9395</t>
  </si>
  <si>
    <t>109470</t>
  </si>
  <si>
    <t>109775</t>
  </si>
  <si>
    <t>63748</t>
  </si>
  <si>
    <t>49091</t>
  </si>
  <si>
    <t>63528</t>
  </si>
  <si>
    <t>63513</t>
  </si>
  <si>
    <t>63498</t>
  </si>
  <si>
    <t>488806</t>
  </si>
  <si>
    <t>63488</t>
  </si>
  <si>
    <t>18850</t>
  </si>
  <si>
    <t>19225</t>
  </si>
  <si>
    <t>63113</t>
  </si>
  <si>
    <t>62963</t>
  </si>
  <si>
    <t>19212.5</t>
  </si>
  <si>
    <t>9165</t>
  </si>
  <si>
    <t>19778.992</t>
  </si>
  <si>
    <t>9202</t>
  </si>
  <si>
    <t>9680</t>
  </si>
  <si>
    <t>9203</t>
  </si>
  <si>
    <t>9672.5</t>
  </si>
  <si>
    <t>109321</t>
  </si>
  <si>
    <t>109720</t>
  </si>
  <si>
    <t>62948</t>
  </si>
  <si>
    <t>49031</t>
  </si>
  <si>
    <t>62933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</si>
  <si>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</si>
  <si>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</si>
  <si>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</si>
  <si>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</si>
  <si>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</si>
  <si>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</si>
  <si>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</si>
  <si>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</si>
  <si>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</si>
  <si>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</si>
  <si>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</si>
  <si>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</si>
  <si>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</si>
  <si>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</si>
  <si>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</si>
  <si>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</si>
  <si>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</si>
  <si>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</si>
  <si>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</si>
  <si>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</si>
  <si>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</si>
  <si>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</si>
  <si>
    <t>FG50011</t>
  </si>
  <si>
    <t>SO100/05832/25-26</t>
  </si>
  <si>
    <t>FG40001-SERIAL-SO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</si>
</sst>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20" t="s">
        <v>0</v>
      </c>
      <c r="B3" s="120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201</v>
      </c>
      <c r="C5" s="10">
        <v>0</v>
      </c>
      <c r="D5" s="37" t="s">
        <v>201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166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167</v>
      </c>
      <c r="AH6" s="9">
        <f>AG6-AF6</f>
        <v>9490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20" t="s">
        <v>0</v>
      </c>
      <c r="B3" s="120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98</v>
      </c>
    </row>
    <row r="5" spans="1:39" ht="15">
      <c r="A5" s="10">
        <v>1</v>
      </c>
      <c r="B5" s="32" t="s">
        <v>201</v>
      </c>
      <c r="C5" s="10">
        <v>0</v>
      </c>
      <c r="D5" s="37" t="s">
        <v>201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82574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147</v>
      </c>
      <c r="AH6" s="9">
        <f>AG6-AF6</f>
        <v>9657.5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20" t="s">
        <v>0</v>
      </c>
      <c r="B3" s="120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56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168</v>
      </c>
      <c r="AH5" s="9">
        <f>AG5-AF5</f>
        <v>9645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66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169</v>
      </c>
      <c r="AH6" s="9">
        <f>AG6-AF6</f>
        <v>9950.6589999999997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20" t="s">
        <v>0</v>
      </c>
      <c r="B3" s="120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60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148</v>
      </c>
      <c r="AH5" s="9">
        <f>AG5-AF5</f>
        <v>9745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149</v>
      </c>
      <c r="AH6" s="9">
        <f>AG6-AF6</f>
        <v>9880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20" t="s">
        <v>0</v>
      </c>
      <c r="B3" s="120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53</v>
      </c>
      <c r="C5" s="10">
        <v>0</v>
      </c>
      <c r="D5" s="42" t="s">
        <v>53</v>
      </c>
      <c r="E5" s="10" t="s">
        <v>32</v>
      </c>
      <c r="F5" s="10" t="s">
        <v>32</v>
      </c>
      <c r="G5" s="33">
        <v>15</v>
      </c>
      <c r="H5" s="29" t="s">
        <v>55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170</v>
      </c>
      <c r="AH5" s="9">
        <f>AG5-AF5</f>
        <v>9717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54</v>
      </c>
      <c r="C6" s="10">
        <v>0</v>
      </c>
      <c r="D6" s="42" t="s">
        <v>54</v>
      </c>
      <c r="E6" s="10" t="s">
        <v>32</v>
      </c>
      <c r="F6" s="10" t="s">
        <v>32</v>
      </c>
      <c r="G6" s="33">
        <v>10</v>
      </c>
      <c r="H6" s="29" t="s">
        <v>56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171</v>
      </c>
      <c r="AH6" s="9">
        <f>AG6-AF6</f>
        <v>9865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20" t="s">
        <v>0</v>
      </c>
      <c r="B3" s="120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57</v>
      </c>
      <c r="C5" s="10">
        <v>0</v>
      </c>
      <c r="D5" s="42" t="s">
        <v>57</v>
      </c>
      <c r="E5" s="10" t="s">
        <v>32</v>
      </c>
      <c r="F5" s="10" t="s">
        <v>32</v>
      </c>
      <c r="G5" s="33">
        <v>15</v>
      </c>
      <c r="H5" s="29" t="s">
        <v>59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151</v>
      </c>
      <c r="AH5" s="9">
        <f>AG5-AF5</f>
        <v>9795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58</v>
      </c>
      <c r="C6" s="10">
        <v>0</v>
      </c>
      <c r="D6" s="42" t="s">
        <v>58</v>
      </c>
      <c r="E6" s="10" t="s">
        <v>32</v>
      </c>
      <c r="F6" s="10" t="s">
        <v>32</v>
      </c>
      <c r="G6" s="33">
        <v>10</v>
      </c>
      <c r="H6" s="29" t="s">
        <v>60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152</v>
      </c>
      <c r="AH6" s="9">
        <f>AG6-AF6</f>
        <v>9900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0" t="s">
        <v>0</v>
      </c>
      <c r="B3" s="120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61</v>
      </c>
      <c r="C5" s="10">
        <v>0</v>
      </c>
      <c r="D5" s="42" t="s">
        <v>61</v>
      </c>
      <c r="E5" s="10" t="s">
        <v>32</v>
      </c>
      <c r="F5" s="10" t="s">
        <v>32</v>
      </c>
      <c r="G5" s="33">
        <v>15</v>
      </c>
      <c r="H5" s="29" t="s">
        <v>65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9703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62</v>
      </c>
      <c r="C6" s="10">
        <v>0</v>
      </c>
      <c r="D6" s="42" t="s">
        <v>62</v>
      </c>
      <c r="E6" s="10" t="s">
        <v>32</v>
      </c>
      <c r="F6" s="10" t="s">
        <v>32</v>
      </c>
      <c r="G6" s="33">
        <v>10</v>
      </c>
      <c r="H6" s="29" t="s">
        <v>66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173</v>
      </c>
      <c r="AH6" s="9">
        <f>AG6-AF6</f>
        <v>9852.5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20" t="s">
        <v>0</v>
      </c>
      <c r="B3" s="120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153</v>
      </c>
      <c r="AH5" s="9">
        <f>AG5-AF5</f>
        <v>9805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150</v>
      </c>
      <c r="AH6" s="9">
        <f>AG6-AF6</f>
        <v>9905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0" t="s">
        <v>0</v>
      </c>
      <c r="B3" s="12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69</v>
      </c>
      <c r="C5" s="10">
        <v>0</v>
      </c>
      <c r="D5" s="42" t="s">
        <v>69</v>
      </c>
      <c r="E5" s="10" t="s">
        <v>32</v>
      </c>
      <c r="F5" s="10" t="s">
        <v>32</v>
      </c>
      <c r="G5" s="33">
        <v>15</v>
      </c>
      <c r="H5" s="29" t="s">
        <v>73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9805</v>
      </c>
      <c r="AI5" s="10" t="s">
        <v>38</v>
      </c>
      <c r="AJ5" s="10">
        <v>4010101001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70</v>
      </c>
      <c r="C6" s="10">
        <v>0</v>
      </c>
      <c r="D6" s="42" t="s">
        <v>70</v>
      </c>
      <c r="E6" s="10" t="s">
        <v>32</v>
      </c>
      <c r="F6" s="10" t="s">
        <v>32</v>
      </c>
      <c r="G6" s="33">
        <v>10</v>
      </c>
      <c r="H6" s="29" t="s">
        <v>74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9905</v>
      </c>
      <c r="AI6" s="10" t="s">
        <v>38</v>
      </c>
      <c r="AJ6" s="10">
        <v>4010101001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20" t="s">
        <v>0</v>
      </c>
      <c r="B3" s="12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154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155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20" t="s">
        <v>0</v>
      </c>
      <c r="B3" s="120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100</v>
      </c>
      <c r="C5" s="10">
        <v>0</v>
      </c>
      <c r="D5" s="42" t="s">
        <v>100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140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20" t="s">
        <v>0</v>
      </c>
      <c r="B3" s="120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101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102</v>
      </c>
      <c r="D10" s="90" t="s">
        <v>6</v>
      </c>
      <c r="E10" s="90" t="s">
        <v>7</v>
      </c>
      <c r="F10" s="90" t="s">
        <v>103</v>
      </c>
      <c r="G10" s="90" t="s">
        <v>104</v>
      </c>
      <c r="H10" s="90" t="s">
        <v>105</v>
      </c>
      <c r="I10" s="90" t="s">
        <v>106</v>
      </c>
      <c r="J10" s="90" t="s">
        <v>107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108</v>
      </c>
      <c r="E11" s="10">
        <v>0</v>
      </c>
      <c r="F11" s="10" t="s">
        <v>109</v>
      </c>
      <c r="G11" s="10" t="s">
        <v>110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111</v>
      </c>
      <c r="E12" s="10">
        <v>0</v>
      </c>
      <c r="F12" s="10" t="s">
        <v>112</v>
      </c>
      <c r="G12" s="10" t="s">
        <v>106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20" t="s">
        <v>0</v>
      </c>
      <c r="B3" s="120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114</v>
      </c>
      <c r="C5" s="10">
        <v>0</v>
      </c>
      <c r="D5" s="42" t="s">
        <v>114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163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20" t="s">
        <v>0</v>
      </c>
      <c r="B3" s="120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131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115</v>
      </c>
      <c r="C6" s="10">
        <v>0</v>
      </c>
      <c r="D6" s="97" t="s">
        <v>115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132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116</v>
      </c>
      <c r="C7" s="10">
        <v>0</v>
      </c>
      <c r="D7" s="97" t="s">
        <v>116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133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117</v>
      </c>
      <c r="C8" s="10">
        <v>0</v>
      </c>
      <c r="D8" s="97" t="s">
        <v>117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130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118</v>
      </c>
      <c r="C9" s="10">
        <v>0</v>
      </c>
      <c r="D9" s="97" t="s">
        <v>118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134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119</v>
      </c>
      <c r="C10" s="10">
        <v>0</v>
      </c>
      <c r="D10" s="97" t="s">
        <v>119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135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120</v>
      </c>
      <c r="C11" s="10">
        <v>0</v>
      </c>
      <c r="D11" s="97" t="s">
        <v>120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136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121</v>
      </c>
      <c r="C12" s="99">
        <v>0</v>
      </c>
      <c r="D12" s="100" t="s">
        <v>121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137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122</v>
      </c>
      <c r="C13" s="10">
        <v>0</v>
      </c>
      <c r="D13" s="97" t="s">
        <v>122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138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123</v>
      </c>
      <c r="C14" s="10">
        <v>0</v>
      </c>
      <c r="D14" s="97" t="s">
        <v>123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139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20" t="s">
        <v>0</v>
      </c>
      <c r="B3" s="120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20" t="s">
        <v>126</v>
      </c>
      <c r="AN4" s="20" t="s">
        <v>124</v>
      </c>
      <c r="AO4" s="98" t="s">
        <v>127</v>
      </c>
      <c r="AP4" s="98" t="s">
        <v>128</v>
      </c>
      <c r="AQ4" s="98" t="s">
        <v>129</v>
      </c>
    </row>
    <row r="5" spans="1:43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178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77</v>
      </c>
      <c r="AN5" s="67" t="s">
        <v>125</v>
      </c>
      <c r="AO5" s="29" t="s">
        <v>141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20" t="s">
        <v>0</v>
      </c>
      <c r="B3" s="120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158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0" t="s">
        <v>0</v>
      </c>
      <c r="B3" s="12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159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0" t="s">
        <v>0</v>
      </c>
      <c r="B3" s="12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160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0" t="s">
        <v>0</v>
      </c>
      <c r="B3" s="12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77</v>
      </c>
      <c r="C5" s="10">
        <v>0</v>
      </c>
      <c r="D5" s="60" t="s">
        <v>77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161</v>
      </c>
      <c r="AH5" s="9">
        <f>AG5-AF5</f>
        <v>80704</v>
      </c>
      <c r="AI5" s="63" t="s">
        <v>79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20" t="s">
        <v>0</v>
      </c>
      <c r="B3" s="12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78</v>
      </c>
      <c r="C5" s="10">
        <v>0</v>
      </c>
      <c r="D5" s="60" t="s">
        <v>78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89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20" t="s">
        <v>0</v>
      </c>
      <c r="B3" s="120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80</v>
      </c>
      <c r="AL4" s="20" t="s">
        <v>81</v>
      </c>
    </row>
    <row r="5" spans="1:38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88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20" t="s">
        <v>0</v>
      </c>
      <c r="B3" s="120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156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20" t="s">
        <v>0</v>
      </c>
      <c r="B3" s="120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83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164</v>
      </c>
      <c r="AH5" s="9">
        <f>AG5-AF5</f>
        <v>9630</v>
      </c>
      <c r="AI5" s="10" t="s">
        <v>38</v>
      </c>
      <c r="AJ5" s="10">
        <v>4010101001</v>
      </c>
      <c r="AK5" s="66" t="s">
        <v>85</v>
      </c>
      <c r="AL5" s="59"/>
    </row>
    <row r="6" spans="1:38" ht="15">
      <c r="A6" s="10">
        <v>2</v>
      </c>
      <c r="B6" s="42" t="s">
        <v>201</v>
      </c>
      <c r="C6" s="10">
        <v>0</v>
      </c>
      <c r="D6" s="42" t="s">
        <v>201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162</v>
      </c>
      <c r="AH6" s="9">
        <f>AG6-AF6</f>
        <v>78219</v>
      </c>
      <c r="AI6" s="10" t="s">
        <v>38</v>
      </c>
      <c r="AJ6" s="10">
        <v>4010101001</v>
      </c>
      <c r="AK6" s="66" t="s">
        <v>84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20" t="s">
        <v>0</v>
      </c>
      <c r="B3" s="120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92</v>
      </c>
      <c r="AL4" s="19" t="s">
        <v>94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87</v>
      </c>
      <c r="AH5" s="34">
        <f>AG5-AF5</f>
        <v>9612.5</v>
      </c>
      <c r="AI5" s="10" t="s">
        <v>38</v>
      </c>
      <c r="AJ5" s="10">
        <v>4010101001</v>
      </c>
      <c r="AK5" s="72" t="s">
        <v>90</v>
      </c>
      <c r="AL5" s="72" t="s">
        <v>93</v>
      </c>
    </row>
    <row r="6" spans="1:38" ht="15">
      <c r="A6" s="10">
        <v>2</v>
      </c>
      <c r="B6" s="42" t="s">
        <v>201</v>
      </c>
      <c r="C6" s="10">
        <v>0</v>
      </c>
      <c r="D6" s="42" t="s">
        <v>201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86</v>
      </c>
      <c r="AH6" s="34">
        <f>AG6-AF6</f>
        <v>78104</v>
      </c>
      <c r="AI6" s="10" t="s">
        <v>38</v>
      </c>
      <c r="AJ6" s="10">
        <v>4010101001</v>
      </c>
      <c r="AK6" s="66" t="s">
        <v>91</v>
      </c>
      <c r="AL6" s="66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6" sqref="D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20" t="s">
        <v>0</v>
      </c>
      <c r="B3" s="120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92</v>
      </c>
      <c r="AL4" s="19" t="s">
        <v>94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87</v>
      </c>
      <c r="AH5" s="34">
        <f>AG5-AF5</f>
        <v>9612.5</v>
      </c>
      <c r="AI5" s="10" t="s">
        <v>38</v>
      </c>
      <c r="AJ5" s="10">
        <v>4010101001</v>
      </c>
      <c r="AK5" s="72" t="s">
        <v>90</v>
      </c>
      <c r="AL5" s="72" t="s">
        <v>93</v>
      </c>
    </row>
    <row r="6" spans="1:38" ht="15">
      <c r="A6" s="10">
        <v>2</v>
      </c>
      <c r="B6" s="42" t="s">
        <v>201</v>
      </c>
      <c r="C6" s="10">
        <v>0</v>
      </c>
      <c r="D6" s="42" t="s">
        <v>201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86</v>
      </c>
      <c r="AH6" s="34">
        <f>AG6-AF6</f>
        <v>78104</v>
      </c>
      <c r="AI6" s="10" t="s">
        <v>38</v>
      </c>
      <c r="AJ6" s="10">
        <v>4010101001</v>
      </c>
      <c r="AK6" s="66" t="s">
        <v>91</v>
      </c>
      <c r="AL6" s="66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20" t="s">
        <v>0</v>
      </c>
      <c r="B3" s="120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AK9" sqref="AK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20" t="s">
        <v>0</v>
      </c>
      <c r="B3" s="120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20" t="s">
        <v>0</v>
      </c>
      <c r="B3" s="120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95</v>
      </c>
      <c r="AL4" s="19" t="s">
        <v>94</v>
      </c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96</v>
      </c>
      <c r="AL5" s="72" t="s">
        <v>93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20" t="s">
        <v>0</v>
      </c>
      <c r="B3" s="120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157</v>
      </c>
      <c r="AH5" s="34">
        <f>AG5-AF5</f>
        <v>49586</v>
      </c>
      <c r="AI5" s="10" t="s">
        <v>97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20" t="s">
        <v>0</v>
      </c>
      <c r="B3" s="120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99</v>
      </c>
      <c r="AL4" s="20" t="s">
        <v>98</v>
      </c>
      <c r="AM4" s="58"/>
    </row>
    <row r="5" spans="1:39" ht="15">
      <c r="A5" s="10">
        <v>1</v>
      </c>
      <c r="B5" s="42" t="s">
        <v>201</v>
      </c>
      <c r="C5" s="10">
        <v>0</v>
      </c>
      <c r="D5" s="42" t="s">
        <v>201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177</v>
      </c>
      <c r="AH5" s="34">
        <f>AG5-AF5</f>
        <v>65983</v>
      </c>
      <c r="AI5" s="10" t="s">
        <v>97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21" t="s">
        <v>184</v>
      </c>
      <c r="B1" s="121"/>
      <c r="C1" s="121"/>
      <c r="D1" s="121"/>
    </row>
    <row r="2" spans="1:5" ht="18">
      <c r="D2" s="112"/>
    </row>
    <row r="3" spans="1:5" ht="19.899999999999999" customHeight="1">
      <c r="A3" s="120"/>
      <c r="B3" s="120"/>
      <c r="C3" s="111"/>
      <c r="D3" s="111"/>
    </row>
    <row r="4" spans="1:5" s="31" customFormat="1">
      <c r="A4" s="11" t="s">
        <v>5</v>
      </c>
      <c r="B4" s="11" t="s">
        <v>142</v>
      </c>
      <c r="C4" s="11" t="s">
        <v>180</v>
      </c>
      <c r="D4" s="11" t="s">
        <v>181</v>
      </c>
      <c r="E4" s="58"/>
    </row>
    <row r="5" spans="1:5" ht="15">
      <c r="A5" s="10">
        <v>1</v>
      </c>
      <c r="B5" s="42" t="s">
        <v>144</v>
      </c>
      <c r="C5" s="42" t="s">
        <v>183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21" t="s">
        <v>185</v>
      </c>
      <c r="B1" s="121"/>
      <c r="C1" s="121"/>
      <c r="D1" s="121"/>
    </row>
    <row r="2" spans="1:5" ht="18">
      <c r="D2" s="112"/>
    </row>
    <row r="3" spans="1:5" ht="19.899999999999999" customHeight="1">
      <c r="A3" s="120"/>
      <c r="B3" s="120"/>
      <c r="C3" s="111"/>
      <c r="D3" s="111"/>
    </row>
    <row r="4" spans="1:5" s="31" customFormat="1">
      <c r="A4" s="11" t="s">
        <v>5</v>
      </c>
      <c r="B4" s="11" t="s">
        <v>142</v>
      </c>
      <c r="C4" s="11" t="s">
        <v>180</v>
      </c>
      <c r="D4" s="11" t="s">
        <v>181</v>
      </c>
      <c r="E4" s="58"/>
    </row>
    <row r="5" spans="1:5" ht="15">
      <c r="A5" s="10">
        <v>1</v>
      </c>
      <c r="B5" s="42" t="s">
        <v>144</v>
      </c>
      <c r="C5" s="42" t="s">
        <v>182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8" sqref="F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21" t="s">
        <v>190</v>
      </c>
      <c r="B1" s="121"/>
      <c r="C1" s="121"/>
      <c r="D1" s="121"/>
    </row>
    <row r="2" spans="1:6" ht="18">
      <c r="D2" s="112"/>
    </row>
    <row r="3" spans="1:6" ht="19.899999999999999" customHeight="1">
      <c r="A3" s="120"/>
      <c r="B3" s="120"/>
      <c r="C3" s="111"/>
      <c r="D3" s="111"/>
    </row>
    <row r="4" spans="1: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  <c r="F4" s="115" t="s">
        <v>192</v>
      </c>
    </row>
    <row r="5" spans="1:6" ht="15">
      <c r="A5" s="10">
        <v>1</v>
      </c>
      <c r="B5" s="114" t="s">
        <v>191</v>
      </c>
      <c r="C5" s="42" t="s">
        <v>60</v>
      </c>
      <c r="D5" s="10" t="s">
        <v>179</v>
      </c>
      <c r="E5" s="67" t="s">
        <v>189</v>
      </c>
      <c r="F5" s="10" t="s">
        <v>193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21" t="s">
        <v>190</v>
      </c>
      <c r="B1" s="121"/>
      <c r="C1" s="121"/>
      <c r="D1" s="121"/>
    </row>
    <row r="2" spans="1:6" ht="18">
      <c r="D2" s="112"/>
    </row>
    <row r="3" spans="1:6" ht="19.899999999999999" customHeight="1">
      <c r="A3" s="120"/>
      <c r="B3" s="120"/>
      <c r="C3" s="111"/>
      <c r="D3" s="111"/>
    </row>
    <row r="4" spans="1: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  <c r="F4" s="115" t="s">
        <v>192</v>
      </c>
    </row>
    <row r="5" spans="1:6" ht="15">
      <c r="A5" s="10">
        <v>1</v>
      </c>
      <c r="B5" s="114" t="s">
        <v>191</v>
      </c>
      <c r="C5" s="114" t="s">
        <v>195</v>
      </c>
      <c r="D5" s="10" t="s">
        <v>179</v>
      </c>
      <c r="E5" s="67" t="s">
        <v>189</v>
      </c>
      <c r="F5" s="10" t="s">
        <v>197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F5"/>
  <sheetViews>
    <sheetView tabSelected="1" workbookViewId="0">
      <selection activeCell="E9" sqref="E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21" t="s">
        <v>190</v>
      </c>
      <c r="B1" s="121"/>
      <c r="C1" s="121"/>
      <c r="D1" s="121"/>
    </row>
    <row r="2" spans="1:6" ht="18">
      <c r="D2" s="119"/>
    </row>
    <row r="3" spans="1:6" ht="19.899999999999999" customHeight="1">
      <c r="A3" s="120"/>
      <c r="B3" s="120"/>
      <c r="C3" s="118"/>
      <c r="D3" s="118"/>
    </row>
    <row r="4" spans="1: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  <c r="F4" s="115" t="s">
        <v>192</v>
      </c>
    </row>
    <row r="5" spans="1:6" ht="15">
      <c r="A5" s="10">
        <v>1</v>
      </c>
      <c r="B5" s="114" t="s">
        <v>203</v>
      </c>
      <c r="C5" s="114" t="s">
        <v>195</v>
      </c>
      <c r="D5" s="10" t="s">
        <v>187</v>
      </c>
      <c r="E5" s="67" t="s">
        <v>189</v>
      </c>
      <c r="F5" s="10" t="s">
        <v>202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5" sqref="F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21" t="s">
        <v>190</v>
      </c>
      <c r="B1" s="121"/>
      <c r="C1" s="121"/>
      <c r="D1" s="121"/>
    </row>
    <row r="2" spans="1:6" ht="18">
      <c r="D2" s="112"/>
    </row>
    <row r="3" spans="1:6" ht="19.899999999999999" customHeight="1">
      <c r="A3" s="120"/>
      <c r="B3" s="120"/>
      <c r="C3" s="111"/>
      <c r="D3" s="111"/>
    </row>
    <row r="4" spans="1:6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  <c r="F4" s="115" t="s">
        <v>192</v>
      </c>
    </row>
    <row r="5" spans="1:6" ht="15">
      <c r="A5" s="10">
        <v>1</v>
      </c>
      <c r="B5" s="114" t="s">
        <v>194</v>
      </c>
      <c r="C5" s="114" t="s">
        <v>195</v>
      </c>
      <c r="D5" s="10" t="s">
        <v>187</v>
      </c>
      <c r="E5" s="67" t="s">
        <v>189</v>
      </c>
      <c r="F5" s="10" t="s">
        <v>196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21" t="s">
        <v>190</v>
      </c>
      <c r="B1" s="121"/>
      <c r="C1" s="121"/>
      <c r="D1" s="121"/>
    </row>
    <row r="2" spans="1:5" ht="18">
      <c r="D2" s="112"/>
    </row>
    <row r="3" spans="1:5" ht="19.899999999999999" customHeight="1">
      <c r="A3" s="120"/>
      <c r="B3" s="120"/>
      <c r="C3" s="111"/>
      <c r="D3" s="111"/>
    </row>
    <row r="4" spans="1:5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</row>
    <row r="5" spans="1:5" ht="15">
      <c r="A5" s="10">
        <v>1</v>
      </c>
      <c r="B5" s="42" t="s">
        <v>186</v>
      </c>
      <c r="C5" s="42" t="s">
        <v>60</v>
      </c>
      <c r="D5" s="10" t="s">
        <v>187</v>
      </c>
      <c r="E5" s="67" t="s">
        <v>189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21" t="s">
        <v>200</v>
      </c>
      <c r="B1" s="121"/>
      <c r="C1" s="121"/>
      <c r="D1" s="121"/>
    </row>
    <row r="2" spans="1:5" ht="18">
      <c r="D2" s="117"/>
    </row>
    <row r="3" spans="1:5" ht="19.899999999999999" customHeight="1">
      <c r="A3" s="120"/>
      <c r="B3" s="120"/>
      <c r="C3" s="116"/>
      <c r="D3" s="116"/>
    </row>
    <row r="4" spans="1:5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</row>
    <row r="5" spans="1:5" ht="15">
      <c r="A5" s="10">
        <v>1</v>
      </c>
      <c r="B5" s="42" t="s">
        <v>199</v>
      </c>
      <c r="C5" s="42" t="s">
        <v>60</v>
      </c>
      <c r="D5" s="10" t="s">
        <v>198</v>
      </c>
      <c r="E5" s="67" t="s">
        <v>189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21" t="s">
        <v>143</v>
      </c>
      <c r="B1" s="121"/>
      <c r="C1" s="121"/>
      <c r="D1" s="121"/>
    </row>
    <row r="2" spans="1:5" ht="18">
      <c r="D2" s="109"/>
    </row>
    <row r="3" spans="1:5" ht="19.899999999999999" customHeight="1">
      <c r="A3" s="120"/>
      <c r="B3" s="120"/>
      <c r="C3" s="110"/>
      <c r="D3" s="108"/>
    </row>
    <row r="4" spans="1:5" s="31" customFormat="1">
      <c r="A4" s="11" t="s">
        <v>5</v>
      </c>
      <c r="B4" s="11" t="s">
        <v>6</v>
      </c>
      <c r="C4" s="11" t="s">
        <v>145</v>
      </c>
      <c r="D4" s="11" t="s">
        <v>142</v>
      </c>
      <c r="E4" s="113" t="s">
        <v>188</v>
      </c>
    </row>
    <row r="5" spans="1:5" ht="15">
      <c r="A5" s="10">
        <v>1</v>
      </c>
      <c r="B5" s="42" t="s">
        <v>144</v>
      </c>
      <c r="C5" s="42" t="s">
        <v>146</v>
      </c>
      <c r="D5" s="10" t="s">
        <v>179</v>
      </c>
      <c r="E5" s="67" t="s">
        <v>189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DirectSCOSerialWithSO</vt:lpstr>
      <vt:lpstr>DirectSCOWithSOandConv</vt:lpstr>
      <vt:lpstr>DirectSCOWithConv</vt:lpstr>
      <vt:lpstr>DirectSCOSerial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2025-10-30T06:43:28Z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