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9" activeTab="49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UnregCalculation" sheetId="84" r:id="rId7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84"/>
  <c r="I6"/>
  <c r="H6"/>
  <c r="E6"/>
  <c r="J6" s="1"/>
  <c r="K5"/>
  <c r="I5"/>
  <c r="H5"/>
  <c r="E5"/>
  <c r="J5" s="1"/>
  <c r="K5" i="83"/>
  <c r="I5"/>
  <c r="H5"/>
  <c r="E5"/>
  <c r="J5" s="1"/>
  <c r="K6" i="82"/>
  <c r="J6"/>
  <c r="L6" s="1"/>
  <c r="I6"/>
  <c r="H6"/>
  <c r="E6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84" l="1"/>
  <c r="L5"/>
  <c r="E7"/>
  <c r="L5" i="83"/>
  <c r="M5" s="1"/>
  <c r="L5" i="82"/>
  <c r="L7" s="1"/>
  <c r="E7"/>
  <c r="M5" i="81"/>
  <c r="F5" s="1"/>
  <c r="J5"/>
  <c r="L6" i="80"/>
  <c r="H5" i="81"/>
  <c r="L5" i="80"/>
  <c r="E7"/>
  <c r="I5" i="79"/>
  <c r="L5" s="1"/>
  <c r="M5"/>
  <c r="L7" i="84" l="1"/>
  <c r="N5" s="1"/>
  <c r="N5" i="83"/>
  <c r="F5"/>
  <c r="M5" i="82"/>
  <c r="N5" i="81"/>
  <c r="O5" s="1"/>
  <c r="P5" s="1"/>
  <c r="L7" i="80"/>
  <c r="M5" s="1"/>
  <c r="L5" i="81"/>
  <c r="N5" i="79"/>
  <c r="F5"/>
  <c r="M5" i="84" l="1"/>
  <c r="F5" s="1"/>
  <c r="O5"/>
  <c r="P5" s="1"/>
  <c r="O5" i="83"/>
  <c r="P5" s="1"/>
  <c r="N5" i="82"/>
  <c r="F5"/>
  <c r="F5" i="80"/>
  <c r="N5"/>
  <c r="O5" s="1"/>
  <c r="P5" s="1"/>
  <c r="O5" i="79"/>
  <c r="P5" s="1"/>
  <c r="O5" i="82" l="1"/>
  <c r="P5" s="1"/>
  <c r="K6" i="77"/>
  <c r="I6"/>
  <c r="H6"/>
  <c r="E5" i="78"/>
  <c r="K5"/>
  <c r="H5" l="1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31" l="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P5" s="1"/>
</calcChain>
</file>

<file path=xl/sharedStrings.xml><?xml version="1.0" encoding="utf-8"?>
<sst xmlns="http://schemas.openxmlformats.org/spreadsheetml/2006/main" count="2934" uniqueCount="270">
  <si>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</si>
  <si>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</si>
  <si>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</si>
  <si>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</si>
  <si>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</si>
  <si>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</si>
  <si>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</si>
  <si>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</si>
  <si>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</si>
  <si>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</si>
  <si>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</si>
  <si>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</si>
  <si>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</si>
  <si>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</si>
  <si>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</si>
  <si>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</si>
  <si>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</si>
  <si>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</si>
  <si>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</si>
  <si>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</si>
  <si>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</si>
  <si>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</si>
  <si>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</si>
  <si>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</si>
  <si>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</si>
  <si>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</si>
  <si>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</si>
  <si>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</si>
  <si>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</si>
  <si>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</si>
  <si>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</si>
  <si>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</si>
  <si>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</si>
  <si>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</si>
  <si>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</si>
  <si>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</si>
  <si>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</si>
  <si>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</si>
  <si>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</si>
  <si>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</si>
  <si>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</si>
  <si>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</si>
  <si>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</si>
  <si>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</si>
  <si>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</si>
  <si>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</si>
  <si>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</si>
  <si>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</si>
  <si>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</si>
  <si>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</si>
  <si>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</si>
  <si>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</si>
  <si>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</si>
  <si>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</si>
  <si>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</si>
  <si>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</si>
  <si>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</si>
  <si>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</si>
  <si>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</si>
  <si>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</si>
  <si>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</si>
  <si>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</si>
  <si>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</si>
  <si>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</si>
  <si>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</si>
  <si>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</si>
  <si>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</si>
  <si>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</si>
  <si>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</si>
  <si>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</si>
  <si>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</si>
  <si>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</si>
  <si>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</si>
  <si>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</si>
  <si>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</si>
  <si>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</si>
  <si>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</si>
  <si>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</si>
  <si>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</si>
  <si>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</si>
  <si>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</si>
  <si>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</si>
  <si>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</si>
  <si>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</si>
  <si>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</si>
  <si>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</si>
  <si>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</si>
  <si>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</si>
  <si>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</si>
  <si>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</si>
  <si>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</si>
  <si>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</si>
  <si>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</si>
  <si>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</si>
  <si>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</si>
  <si>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</si>
  <si>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</si>
  <si>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</si>
  <si>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</si>
  <si>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</si>
  <si>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</si>
  <si>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</si>
  <si>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</si>
  <si>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</si>
  <si>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</si>
  <si>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</si>
  <si>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</si>
  <si>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</si>
  <si>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</si>
  <si>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</si>
  <si>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</si>
  <si>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</si>
  <si>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</si>
  <si>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</si>
  <si>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</si>
  <si>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</si>
  <si>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</si>
  <si>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</si>
  <si>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</si>
  <si>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</si>
  <si>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</si>
  <si>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</si>
  <si>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</si>
  <si>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</si>
  <si>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</si>
  <si>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</si>
  <si>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</si>
  <si>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</si>
  <si>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</si>
  <si>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</si>
  <si>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</si>
  <si>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</si>
  <si>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</si>
  <si>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</si>
  <si>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</si>
  <si>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</si>
  <si>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</si>
  <si>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</si>
  <si>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</si>
  <si>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</si>
  <si>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</si>
  <si>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</si>
  <si>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</si>
  <si>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</si>
  <si>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</si>
  <si>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</si>
  <si>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</si>
  <si>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</si>
  <si>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</si>
  <si>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</si>
  <si>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</si>
  <si>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</si>
  <si>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</si>
  <si>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</si>
  <si>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</si>
  <si>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</si>
  <si>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</si>
  <si>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</si>
  <si>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</si>
  <si>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</si>
  <si>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</si>
  <si>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</si>
  <si>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</si>
  <si>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</si>
  <si>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</si>
  <si>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</si>
  <si>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</si>
  <si>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</si>
  <si>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</si>
  <si>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</si>
  <si>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</si>
  <si>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</si>
  <si>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</si>
  <si>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</si>
  <si>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</si>
  <si>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</si>
  <si>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</si>
  <si>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</si>
  <si>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</si>
  <si>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</si>
  <si>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</si>
  <si>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</si>
  <si>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</si>
  <si>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</si>
  <si>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</si>
  <si>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</si>
  <si>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</si>
  <si>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</si>
  <si>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</si>
  <si>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</si>
  <si>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</si>
  <si>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</si>
  <si>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</si>
  <si>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</si>
  <si>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</si>
  <si>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</si>
  <si>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</si>
  <si>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</si>
  <si>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</si>
  <si>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</si>
  <si>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</si>
  <si>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</si>
  <si>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</si>
  <si>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</si>
  <si>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</si>
  <si>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</si>
  <si>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</si>
  <si>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</si>
  <si>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</si>
  <si>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</si>
  <si>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</si>
  <si>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</si>
  <si>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</si>
  <si>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</si>
  <si>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</si>
  <si>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</si>
  <si>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</si>
  <si>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</si>
  <si>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</si>
  <si>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</si>
  <si>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</si>
  <si>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</si>
  <si>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</si>
  <si>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</si>
  <si>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</si>
  <si>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</si>
  <si>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</si>
  <si>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</si>
  <si>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</si>
  <si>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</si>
  <si>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</si>
  <si>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</si>
  <si>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</si>
  <si>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</si>
  <si>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</si>
  <si>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</si>
  <si>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</si>
  <si>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</si>
  <si>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40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</si>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</sst>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94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tyles.xml" Type="http://schemas.openxmlformats.org/officeDocument/2006/relationships/styles"/><Relationship Id="rId74" Target="sharedStrings.xml" Type="http://schemas.openxmlformats.org/officeDocument/2006/relationships/sharedStrings"/><Relationship Id="rId75" Target="calcChain.xml" Type="http://schemas.openxmlformats.org/officeDocument/2006/relationships/calcChain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87" t="s">
        <v>0</v>
      </c>
      <c r="B3" s="187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215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87" t="s">
        <v>0</v>
      </c>
      <c r="B3" s="187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87" t="s">
        <v>0</v>
      </c>
      <c r="B3" s="187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87" t="s">
        <v>0</v>
      </c>
      <c r="B3" s="187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87" t="s">
        <v>0</v>
      </c>
      <c r="B3" s="187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87" t="s">
        <v>0</v>
      </c>
      <c r="B3" s="187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87" t="s">
        <v>0</v>
      </c>
      <c r="B3" s="187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87" t="s">
        <v>0</v>
      </c>
      <c r="B3" s="187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87" t="s">
        <v>0</v>
      </c>
      <c r="B3" s="187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9">
        <f>AG5-AF5</f>
        <v>97764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260</v>
      </c>
      <c r="AH6" s="9">
        <f>AG6-AF6</f>
        <v>99255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87" t="s">
        <v>0</v>
      </c>
      <c r="B3" s="187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258</v>
      </c>
      <c r="AH5" s="9">
        <f>AG5-AF5</f>
        <v>97780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257</v>
      </c>
      <c r="AH6" s="9">
        <f>AG6-AF6</f>
        <v>99260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87" t="s">
        <v>0</v>
      </c>
      <c r="B3" s="187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87" t="s">
        <v>0</v>
      </c>
      <c r="B3" s="187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195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196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87" t="s">
        <v>0</v>
      </c>
      <c r="B3" s="187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87" t="s">
        <v>0</v>
      </c>
      <c r="B3" s="187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87" t="s">
        <v>0</v>
      </c>
      <c r="B3" s="187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245</v>
      </c>
      <c r="AH5" s="33">
        <f>AG5-AF5</f>
        <v>56056</v>
      </c>
      <c r="AI5" s="10" t="s">
        <v>172</v>
      </c>
      <c r="AJ5" s="10" t="s">
        <v>173</v>
      </c>
      <c r="AK5" s="33">
        <f>AH5</f>
        <v>56056</v>
      </c>
      <c r="AL5" s="33">
        <f>AK5+G5</f>
        <v>56071</v>
      </c>
      <c r="AM5" s="28" t="s">
        <v>66</v>
      </c>
      <c r="AN5" s="67" t="s">
        <v>175</v>
      </c>
      <c r="AO5" s="29" t="s">
        <v>237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87" t="s">
        <v>0</v>
      </c>
      <c r="B3" s="187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87" t="s">
        <v>0</v>
      </c>
      <c r="B3" s="187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7" t="s">
        <v>0</v>
      </c>
      <c r="B3" s="18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7" t="s">
        <v>0</v>
      </c>
      <c r="B3" s="18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191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7" t="s">
        <v>0</v>
      </c>
      <c r="B3" s="18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7" t="s">
        <v>0</v>
      </c>
      <c r="B3" s="18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87" t="s">
        <v>0</v>
      </c>
      <c r="B3" s="187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211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87" t="s">
        <v>0</v>
      </c>
      <c r="B3" s="187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261</v>
      </c>
      <c r="AH5" s="9">
        <f>AG5-AF5</f>
        <v>45571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87" t="s">
        <v>0</v>
      </c>
      <c r="B3" s="187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192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193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87" t="s">
        <v>0</v>
      </c>
      <c r="B3" s="187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199</v>
      </c>
    </row>
    <row r="6" spans="1:38" ht="15">
      <c r="A6" s="10">
        <v>2</v>
      </c>
      <c r="B6" s="42" t="s">
        <v>207</v>
      </c>
      <c r="C6" s="10">
        <v>0</v>
      </c>
      <c r="D6" s="42" t="s">
        <v>207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199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87" t="s">
        <v>0</v>
      </c>
      <c r="B3" s="187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207</v>
      </c>
      <c r="C5" s="10">
        <v>0</v>
      </c>
      <c r="D5" s="42" t="s">
        <v>207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240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240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87" t="s">
        <v>0</v>
      </c>
      <c r="B3" s="187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87" t="s">
        <v>0</v>
      </c>
      <c r="B3" s="187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87" t="s">
        <v>0</v>
      </c>
      <c r="B3" s="187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87" t="s">
        <v>0</v>
      </c>
      <c r="B3" s="187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241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87" t="s">
        <v>0</v>
      </c>
      <c r="B3" s="187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241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88" t="s">
        <v>129</v>
      </c>
      <c r="B1" s="188"/>
      <c r="C1" s="188"/>
      <c r="D1" s="188"/>
    </row>
    <row r="2" spans="1:5" ht="18">
      <c r="D2" s="112"/>
    </row>
    <row r="3" spans="1:5" ht="19.899999999999999" customHeight="1">
      <c r="A3" s="187"/>
      <c r="B3" s="187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269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88" t="s">
        <v>130</v>
      </c>
      <c r="B1" s="188"/>
      <c r="C1" s="188"/>
      <c r="D1" s="188"/>
    </row>
    <row r="2" spans="1:5" ht="18">
      <c r="D2" s="112"/>
    </row>
    <row r="3" spans="1:5" ht="19.899999999999999" customHeight="1">
      <c r="A3" s="187"/>
      <c r="B3" s="187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236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65"/>
    </row>
    <row r="3" spans="1:16" ht="19.899999999999999" customHeight="1">
      <c r="A3" s="187"/>
      <c r="B3" s="18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12"/>
    </row>
    <row r="3" spans="1:16" ht="19.899999999999999" customHeight="1">
      <c r="A3" s="187"/>
      <c r="B3" s="18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68"/>
    </row>
    <row r="3" spans="1:16" ht="19.899999999999999" customHeight="1">
      <c r="A3" s="187"/>
      <c r="B3" s="187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12"/>
    </row>
    <row r="3" spans="1:16" ht="19.899999999999999" customHeight="1">
      <c r="A3" s="187"/>
      <c r="B3" s="18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65"/>
    </row>
    <row r="3" spans="1:16" ht="19.899999999999999" customHeight="1">
      <c r="A3" s="187"/>
      <c r="B3" s="18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19"/>
    </row>
    <row r="3" spans="1:16" ht="19.899999999999999" customHeight="1">
      <c r="A3" s="187"/>
      <c r="B3" s="187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65"/>
    </row>
    <row r="3" spans="1:16" ht="19.899999999999999" customHeight="1">
      <c r="A3" s="187"/>
      <c r="B3" s="18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88" t="s">
        <v>135</v>
      </c>
      <c r="B1" s="188"/>
      <c r="C1" s="188"/>
      <c r="D1" s="188"/>
    </row>
    <row r="2" spans="1:16" ht="18">
      <c r="D2" s="112"/>
    </row>
    <row r="3" spans="1:16" ht="19.899999999999999" customHeight="1">
      <c r="A3" s="187"/>
      <c r="B3" s="18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88" t="s">
        <v>135</v>
      </c>
      <c r="B1" s="188"/>
      <c r="C1" s="188"/>
      <c r="D1" s="188"/>
    </row>
    <row r="2" spans="1:15" ht="18">
      <c r="D2" s="112"/>
    </row>
    <row r="3" spans="1:15" ht="19.899999999999999" customHeight="1">
      <c r="A3" s="187"/>
      <c r="B3" s="187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88" t="s">
        <v>146</v>
      </c>
      <c r="B1" s="188"/>
      <c r="C1" s="188"/>
      <c r="D1" s="188"/>
    </row>
    <row r="2" spans="1:16" ht="18">
      <c r="D2" s="168"/>
    </row>
    <row r="3" spans="1:16" ht="19.899999999999999" customHeight="1">
      <c r="A3" s="187"/>
      <c r="B3" s="187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88" t="s">
        <v>146</v>
      </c>
      <c r="B1" s="188"/>
      <c r="C1" s="188"/>
      <c r="D1" s="188"/>
    </row>
    <row r="2" spans="1:16" ht="18">
      <c r="D2" s="121"/>
    </row>
    <row r="3" spans="1:16" ht="19.899999999999999" customHeight="1">
      <c r="A3" s="187"/>
      <c r="B3" s="187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88" t="s">
        <v>143</v>
      </c>
      <c r="B1" s="188"/>
      <c r="C1" s="188"/>
      <c r="D1" s="188"/>
    </row>
    <row r="2" spans="1:15" ht="18">
      <c r="D2" s="117"/>
    </row>
    <row r="3" spans="1:15" ht="19.899999999999999" customHeight="1">
      <c r="A3" s="187"/>
      <c r="B3" s="187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166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K21" sqref="K2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165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171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238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170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222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abSelected="1"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164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139</v>
      </c>
      <c r="D5" s="10" t="s">
        <v>124</v>
      </c>
      <c r="E5" s="67" t="s">
        <v>134</v>
      </c>
      <c r="F5" t="s" s="29">
        <v>127</v>
      </c>
      <c r="G5" t="s" s="29">
        <v>218</v>
      </c>
      <c r="H5" t="s" s="29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162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7" t="s">
        <v>0</v>
      </c>
      <c r="B3" s="187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88" t="s">
        <v>121</v>
      </c>
      <c r="B1" s="188"/>
      <c r="C1" s="188"/>
      <c r="D1" s="188"/>
    </row>
    <row r="2" spans="1:17" ht="18">
      <c r="D2" s="175"/>
    </row>
    <row r="3" spans="1:17" ht="19.899999999999999" customHeight="1">
      <c r="A3" s="187"/>
      <c r="B3" s="187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244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88" t="s">
        <v>121</v>
      </c>
      <c r="B1" s="188"/>
      <c r="C1" s="188"/>
      <c r="D1" s="188"/>
    </row>
    <row r="2" spans="1:17" ht="18">
      <c r="D2" s="171"/>
    </row>
    <row r="3" spans="1:17" ht="19.899999999999999" customHeight="1">
      <c r="A3" s="187"/>
      <c r="B3" s="187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239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88" t="s">
        <v>121</v>
      </c>
      <c r="B1" s="188"/>
      <c r="C1" s="188"/>
      <c r="D1" s="188"/>
    </row>
    <row r="2" spans="1:17" ht="18">
      <c r="D2" s="109"/>
    </row>
    <row r="3" spans="1:17" ht="19.899999999999999" customHeight="1">
      <c r="A3" s="187"/>
      <c r="B3" s="187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88" t="s">
        <v>224</v>
      </c>
      <c r="B1" s="188"/>
    </row>
    <row r="3" spans="1:4" ht="19.899999999999999" customHeight="1">
      <c r="A3" s="189" t="s">
        <v>233</v>
      </c>
      <c r="B3" s="189"/>
    </row>
    <row r="4" spans="1:4" s="31" customFormat="1">
      <c r="A4" s="11" t="s">
        <v>225</v>
      </c>
      <c r="B4" s="11" t="s">
        <v>226</v>
      </c>
    </row>
    <row r="5" spans="1:4">
      <c r="A5" t="s" s="29">
        <v>232</v>
      </c>
      <c r="B5" t="s" s="29">
        <v>230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88" t="s">
        <v>224</v>
      </c>
      <c r="B1" s="188"/>
      <c r="C1" s="188"/>
      <c r="D1" s="188"/>
    </row>
    <row r="2" spans="1:8" ht="18">
      <c r="D2" s="169"/>
    </row>
    <row r="3" spans="1:8" ht="19.899999999999999" customHeight="1">
      <c r="A3" s="189" t="s">
        <v>233</v>
      </c>
      <c r="B3" s="189"/>
      <c r="C3" s="189"/>
      <c r="D3" s="189"/>
      <c r="E3" s="190" t="s">
        <v>235</v>
      </c>
      <c r="F3" s="190"/>
      <c r="G3" s="190" t="s">
        <v>246</v>
      </c>
      <c r="H3" s="190"/>
    </row>
    <row r="4" spans="1:8" s="31" customFormat="1">
      <c r="A4" s="11" t="s">
        <v>227</v>
      </c>
      <c r="B4" s="11" t="s">
        <v>228</v>
      </c>
      <c r="C4" s="11" t="s">
        <v>229</v>
      </c>
      <c r="D4" s="11" t="s">
        <v>231</v>
      </c>
      <c r="E4" s="11" t="s">
        <v>225</v>
      </c>
      <c r="F4" s="11" t="s">
        <v>226</v>
      </c>
      <c r="G4" s="11" t="s">
        <v>225</v>
      </c>
      <c r="H4" s="11" t="s">
        <v>226</v>
      </c>
    </row>
    <row r="5" spans="1:8" ht="15">
      <c r="A5" s="122" t="s">
        <v>232</v>
      </c>
      <c r="B5" s="42" t="s">
        <v>230</v>
      </c>
      <c r="C5" s="42" t="s">
        <v>230</v>
      </c>
      <c r="D5" s="10">
        <v>11</v>
      </c>
      <c r="E5" s="122" t="s">
        <v>234</v>
      </c>
      <c r="F5" s="114" t="s">
        <v>160</v>
      </c>
      <c r="G5" s="122" t="s">
        <v>230</v>
      </c>
      <c r="H5" s="42" t="s">
        <v>230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88" t="s">
        <v>164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87" t="s">
        <v>0</v>
      </c>
      <c r="B3" s="187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91" t="s">
        <v>39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34"/>
      <c r="AB1" s="134"/>
      <c r="AC1" s="134"/>
      <c r="AD1" s="135"/>
      <c r="AE1" s="135"/>
      <c r="AF1" s="135"/>
    </row>
    <row r="2" spans="1:38" ht="18">
      <c r="A2" s="134" t="s">
        <v>204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92" t="s">
        <v>0</v>
      </c>
      <c r="B3" s="192"/>
      <c r="C3" s="138"/>
      <c r="D3" s="139">
        <v>2</v>
      </c>
      <c r="E3" s="140" t="s">
        <v>205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206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207</v>
      </c>
      <c r="C6" s="155">
        <v>0</v>
      </c>
      <c r="D6" s="32" t="s">
        <v>207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206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208</v>
      </c>
      <c r="R7" s="161"/>
      <c r="S7" s="161"/>
      <c r="T7" s="161"/>
      <c r="U7" s="159"/>
      <c r="V7" s="159"/>
      <c r="W7" s="160"/>
      <c r="X7" s="159"/>
      <c r="Y7" s="159"/>
      <c r="Z7" s="161" t="s">
        <v>209</v>
      </c>
      <c r="AA7" s="161"/>
      <c r="AB7" s="162">
        <f>SUM(AB5:AB6)</f>
        <v>45016.36</v>
      </c>
      <c r="AC7" s="161" t="s">
        <v>210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7" t="s">
        <v>0</v>
      </c>
      <c r="B3" s="187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54751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7" t="s">
        <v>0</v>
      </c>
      <c r="B3" s="187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242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88" t="s">
        <v>39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7" t="s">
        <v>0</v>
      </c>
      <c r="B3" s="187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243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88" t="s">
        <v>248</v>
      </c>
      <c r="B1" s="188"/>
      <c r="C1" s="188"/>
      <c r="D1" s="188"/>
      <c r="E1" s="176"/>
    </row>
    <row r="3" spans="1:6" ht="19.899999999999999" customHeight="1">
      <c r="A3" s="189" t="s">
        <v>249</v>
      </c>
      <c r="B3" s="189"/>
      <c r="C3" s="189"/>
      <c r="D3" s="189"/>
      <c r="E3" s="189"/>
      <c r="F3" s="189"/>
    </row>
    <row r="4" spans="1:6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</row>
    <row r="5" spans="1:6">
      <c r="A5" s="29" t="s">
        <v>264</v>
      </c>
      <c r="B5" s="29" t="s">
        <v>264</v>
      </c>
      <c r="C5" s="29" t="s">
        <v>218</v>
      </c>
      <c r="D5" s="29" t="s">
        <v>163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selection activeCell="G3" sqref="G3:L3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88" t="s">
        <v>263</v>
      </c>
      <c r="B1" s="188"/>
      <c r="C1" s="188"/>
      <c r="D1" s="188"/>
      <c r="E1" s="177"/>
    </row>
    <row r="3" spans="1:6" ht="19.899999999999999" customHeight="1">
      <c r="A3" s="189" t="s">
        <v>249</v>
      </c>
      <c r="B3" s="189"/>
      <c r="C3" s="189"/>
      <c r="D3" s="189"/>
      <c r="E3" s="189"/>
      <c r="F3" s="189"/>
    </row>
    <row r="4" spans="1:6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</row>
    <row r="5" spans="1:6">
      <c r="A5" s="29" t="s">
        <v>256</v>
      </c>
      <c r="B5" s="29" t="s">
        <v>256</v>
      </c>
      <c r="C5" s="29" t="s">
        <v>218</v>
      </c>
      <c r="D5" s="29" t="s">
        <v>163</v>
      </c>
      <c r="E5" s="10">
        <f>C5*D5</f>
        <v>600</v>
      </c>
      <c r="F5" s="33"/>
    </row>
    <row r="6" spans="1:6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6">
      <c r="A7" s="10"/>
      <c r="B7" s="10"/>
      <c r="C7" s="10"/>
      <c r="D7" s="178" t="s">
        <v>262</v>
      </c>
      <c r="E7" s="10">
        <f>SUM(E5:E6)</f>
        <v>655</v>
      </c>
      <c r="F7" s="10">
        <f>E7-B5</f>
        <v>280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topLeftCell="C1" workbookViewId="0">
      <selection activeCell="N6" sqref="N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79"/>
    </row>
    <row r="2" spans="1:39" ht="19.899999999999999" customHeight="1">
      <c r="A2" s="187" t="s">
        <v>0</v>
      </c>
      <c r="B2" s="187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9" t="s">
        <v>249</v>
      </c>
      <c r="B3" s="189"/>
      <c r="C3" s="189"/>
      <c r="D3" s="189"/>
      <c r="E3" s="189"/>
      <c r="F3" s="189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230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262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J7" sqref="J7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79"/>
    </row>
    <row r="2" spans="1:39" ht="19.899999999999999" customHeight="1">
      <c r="A2" s="187" t="s">
        <v>0</v>
      </c>
      <c r="B2" s="187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3" t="s">
        <v>249</v>
      </c>
      <c r="B3" s="193"/>
      <c r="C3" s="193"/>
      <c r="D3" s="193"/>
      <c r="E3" s="193"/>
      <c r="F3" s="193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230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J1" sqref="J1:J104857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1"/>
    </row>
    <row r="2" spans="1:39" ht="19.899999999999999" customHeight="1">
      <c r="A2" s="187" t="s">
        <v>0</v>
      </c>
      <c r="B2" s="187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3" t="s">
        <v>249</v>
      </c>
      <c r="B3" s="193"/>
      <c r="C3" s="193"/>
      <c r="D3" s="193"/>
      <c r="E3" s="193"/>
      <c r="F3" s="193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139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I6" sqref="I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2"/>
    </row>
    <row r="2" spans="1:39" ht="19.899999999999999" customHeight="1">
      <c r="A2" s="187" t="s">
        <v>0</v>
      </c>
      <c r="B2" s="187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9" t="s">
        <v>249</v>
      </c>
      <c r="B3" s="189"/>
      <c r="C3" s="189"/>
      <c r="D3" s="189"/>
      <c r="E3" s="189"/>
      <c r="F3" s="189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230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M5</f>
        <v>419</v>
      </c>
      <c r="O5" s="29">
        <f>IF(N5-INT(N5) &gt;= 0.5, INT(N5)+1, INT(N5))</f>
        <v>419</v>
      </c>
      <c r="P5" s="36">
        <f>N5-O5</f>
        <v>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262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3"/>
    </row>
    <row r="2" spans="1:39" ht="19.899999999999999" customHeight="1">
      <c r="A2" s="187" t="s">
        <v>0</v>
      </c>
      <c r="B2" s="187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3" t="s">
        <v>249</v>
      </c>
      <c r="B3" s="193"/>
      <c r="C3" s="193"/>
      <c r="D3" s="193"/>
      <c r="E3" s="193"/>
      <c r="F3" s="193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268</v>
      </c>
      <c r="B5" s="29" t="s">
        <v>268</v>
      </c>
      <c r="C5" s="29" t="s">
        <v>218</v>
      </c>
      <c r="D5" s="29" t="s">
        <v>139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B1"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4"/>
    </row>
    <row r="2" spans="1:39" ht="19.899999999999999" customHeight="1">
      <c r="A2" s="187" t="s">
        <v>0</v>
      </c>
      <c r="B2" s="187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9" t="s">
        <v>249</v>
      </c>
      <c r="B3" s="189"/>
      <c r="C3" s="189"/>
      <c r="D3" s="189"/>
      <c r="E3" s="189"/>
      <c r="F3" s="189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268</v>
      </c>
      <c r="B5" s="29" t="s">
        <v>268</v>
      </c>
      <c r="C5" s="29" t="s">
        <v>218</v>
      </c>
      <c r="D5" s="29" t="s">
        <v>139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262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I16" sqref="I1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5"/>
    </row>
    <row r="2" spans="1:39" ht="19.899999999999999" customHeight="1">
      <c r="A2" s="187" t="s">
        <v>0</v>
      </c>
      <c r="B2" s="187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3" t="s">
        <v>249</v>
      </c>
      <c r="B3" s="193"/>
      <c r="C3" s="193"/>
      <c r="D3" s="193"/>
      <c r="E3" s="193"/>
      <c r="F3" s="193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230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C1" workbookViewId="0">
      <selection activeCell="I10" sqref="I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6384" style="29" width="9.140625"/>
  </cols>
  <sheetData>
    <row r="1" spans="1:39" ht="27.75" customHeight="1">
      <c r="A1" s="188" t="s">
        <v>263</v>
      </c>
      <c r="B1" s="188"/>
      <c r="C1" s="188"/>
      <c r="D1" s="188"/>
      <c r="E1" s="186"/>
    </row>
    <row r="2" spans="1:39" ht="19.899999999999999" customHeight="1">
      <c r="A2" s="187" t="s">
        <v>0</v>
      </c>
      <c r="B2" s="187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9" t="s">
        <v>249</v>
      </c>
      <c r="B3" s="189"/>
      <c r="C3" s="189"/>
      <c r="D3" s="189"/>
      <c r="E3" s="189"/>
      <c r="F3" s="189"/>
    </row>
    <row r="4" spans="1:39" s="31" customFormat="1">
      <c r="A4" s="11" t="s">
        <v>250</v>
      </c>
      <c r="B4" s="11" t="s">
        <v>251</v>
      </c>
      <c r="C4" s="11" t="s">
        <v>252</v>
      </c>
      <c r="D4" s="11" t="s">
        <v>253</v>
      </c>
      <c r="E4" s="11" t="s">
        <v>254</v>
      </c>
      <c r="F4" s="115" t="s">
        <v>255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265</v>
      </c>
      <c r="O4" s="180" t="s">
        <v>267</v>
      </c>
      <c r="P4" s="180" t="s">
        <v>266</v>
      </c>
    </row>
    <row r="5" spans="1:39">
      <c r="A5" s="29" t="s">
        <v>264</v>
      </c>
      <c r="B5" s="29" t="s">
        <v>264</v>
      </c>
      <c r="C5" s="29" t="s">
        <v>218</v>
      </c>
      <c r="D5" s="29" t="s">
        <v>230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262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DevandExpTaxLocUnregCalculation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2026-03-23T06:25:43Z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