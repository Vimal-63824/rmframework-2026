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68" activeTab="68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7" l="1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<sst xmlns="http://schemas.openxmlformats.org/spreadsheetml/2006/main" count="3263" uniqueCount="276">
  <si>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</si>
  <si>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</si>
  <si>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</si>
  <si>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</si>
  <si>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</si>
  <si>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</si>
  <si>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</si>
  <si>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</si>
  <si>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</si>
  <si>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</si>
  <si>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</si>
  <si>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</si>
  <si>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</si>
  <si>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</si>
  <si>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</si>
  <si>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</si>
  <si>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</si>
  <si>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</si>
  <si>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</si>
  <si>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</si>
  <si>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</si>
  <si>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</si>
  <si>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</si>
  <si>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</si>
  <si>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</si>
  <si>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</si>
  <si>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</si>
  <si>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</si>
  <si>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</si>
  <si>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</si>
  <si>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</si>
  <si>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</si>
  <si>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</si>
  <si>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</si>
  <si>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</si>
  <si>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</si>
  <si>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</si>
  <si>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</si>
  <si>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</si>
  <si>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</si>
  <si>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</si>
  <si>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</si>
  <si>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</si>
  <si>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</si>
  <si>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</si>
  <si>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</si>
  <si>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</si>
  <si>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</si>
  <si>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</si>
  <si>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</si>
  <si>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</si>
  <si>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</si>
  <si>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</si>
  <si>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</si>
  <si>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</si>
  <si>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</si>
  <si>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</si>
  <si>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</si>
  <si>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</si>
  <si>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</si>
  <si>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</si>
  <si>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</si>
  <si>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</si>
  <si>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</si>
  <si>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</si>
  <si>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</si>
  <si>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</si>
  <si>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</si>
  <si>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</si>
  <si>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</si>
  <si>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</si>
  <si>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</si>
  <si>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</si>
  <si>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</si>
  <si>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</si>
  <si>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</si>
  <si>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</si>
  <si>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</si>
  <si>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</si>
  <si>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</si>
  <si>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</si>
  <si>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</si>
  <si>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</si>
  <si>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</si>
  <si>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</si>
  <si>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</si>
  <si>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</si>
  <si>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</si>
  <si>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</si>
  <si>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</si>
  <si>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</si>
  <si>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</si>
  <si>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</si>
  <si>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</si>
  <si>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</si>
  <si>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</si>
  <si>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</si>
  <si>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</si>
  <si>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</si>
  <si>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</si>
  <si>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</si>
  <si>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</si>
  <si>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</si>
  <si>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</si>
  <si>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</si>
  <si>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</si>
  <si>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</si>
  <si>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</si>
  <si>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</si>
  <si>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</si>
  <si>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</si>
  <si>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</si>
  <si>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</si>
  <si>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</si>
  <si>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</si>
  <si>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</si>
  <si>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</si>
  <si>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</si>
  <si>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</si>
  <si>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</si>
  <si>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</si>
  <si>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</si>
  <si>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</si>
  <si>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</si>
  <si>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</si>
  <si>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</si>
  <si>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</si>
  <si>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</si>
  <si>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</si>
  <si>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</si>
  <si>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</si>
  <si>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</si>
  <si>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</si>
  <si>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</si>
  <si>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</si>
  <si>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</si>
  <si>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</si>
  <si>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</si>
  <si>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</si>
  <si>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</si>
  <si>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</si>
  <si>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</si>
  <si>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</si>
  <si>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</si>
  <si>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</si>
  <si>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</si>
  <si>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</si>
  <si>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</si>
  <si>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</si>
  <si>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</si>
  <si>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</si>
  <si>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</si>
  <si>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</si>
  <si>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</si>
  <si>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</si>
  <si>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</si>
  <si>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</si>
  <si>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</si>
  <si>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</si>
  <si>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</si>
  <si>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</si>
  <si>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</si>
  <si>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</si>
  <si>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</si>
  <si>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</si>
  <si>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</si>
  <si>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</si>
  <si>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</si>
  <si>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</si>
  <si>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</si>
  <si>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</si>
  <si>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</si>
  <si>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</si>
  <si>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</si>
  <si>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</si>
  <si>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</si>
  <si>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</si>
  <si>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</si>
  <si>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</si>
  <si>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</si>
  <si>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</si>
  <si>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</si>
  <si>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</si>
  <si>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</si>
  <si>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</si>
  <si>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</si>
  <si>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</si>
  <si>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CPC-10001</t>
  </si>
  <si>
    <t>HK-CH-00002</t>
  </si>
  <si>
    <t>HK-CH-00003</t>
  </si>
  <si>
    <t>99656</t>
  </si>
  <si>
    <t>SORD-2526-00077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</si>
  <si>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</si>
  <si>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</si>
  <si>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</si>
  <si>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</si>
  <si>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</si>
  <si>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</si>
  <si>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</si>
  <si>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</si>
  <si>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</si>
  <si>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</si>
  <si>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</si>
  <si>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</si>
  <si>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</si>
  <si>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</si>
  <si>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</si>
  <si>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</si>
  <si>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</si>
  <si>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</si>
  <si>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</si>
  <si>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</si>
  <si>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</si>
  <si>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</si>
  <si>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</si>
  <si>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</si>
  <si>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</si>
  <si>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</si>
  <si>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</si>
  <si>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</si>
  <si>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</si>
  <si>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</si>
  <si>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</si>
  <si>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</si>
  <si>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</si>
  <si>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</si>
  <si>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</si>
  <si>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</si>
  <si>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</si>
  <si>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</si>
  <si>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</si>
  <si>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</si>
  <si>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</si>
  <si>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</si>
  <si>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</si>
  <si>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</si>
  <si>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</si>
  <si>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</si>
  <si>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</si>
  <si>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</si>
  <si>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</si>
  <si>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</si>
  <si>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</si>
  <si>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</si>
  <si>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</si>
  <si>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</si>
  <si>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</si>
  <si>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</si>
  <si>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</si>
  <si>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</si>
  <si>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</si>
  <si>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</si>
  <si>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</si>
  <si>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</si>
  <si>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</si>
  <si>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</si>
  <si>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</si>
  <si>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</si>
  <si>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</si>
  <si>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</si>
  <si>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</si>
  <si>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</si>
  <si>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</si>
  <si>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94450</t>
  </si>
  <si>
    <t>98150</t>
  </si>
  <si>
    <t>105991</t>
  </si>
  <si>
    <t>93962.5</t>
  </si>
  <si>
    <t>105976</t>
  </si>
  <si>
    <t>105961</t>
  </si>
  <si>
    <t>98250</t>
  </si>
  <si>
    <t>105951</t>
  </si>
  <si>
    <t>97060</t>
  </si>
  <si>
    <t>93957.5</t>
  </si>
  <si>
    <t>105921</t>
  </si>
  <si>
    <t>104516</t>
  </si>
  <si>
    <t>12.5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</si>
</sst>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265</v>
      </c>
      <c r="AH5" s="9">
        <f>AG5-AF5</f>
        <v>105976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266</v>
      </c>
      <c r="AH6" s="9">
        <f>AG6-AF6</f>
        <v>93957.5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181</v>
      </c>
      <c r="AH5" s="9">
        <f>AG5-AF5</f>
        <v>99891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182</v>
      </c>
      <c r="AH6" s="9">
        <f>AG6-AF6</f>
        <v>99965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225</v>
      </c>
      <c r="J5" s="34"/>
      <c r="K5" s="34"/>
      <c r="L5" s="34"/>
      <c r="M5" s="9">
        <f>I5</f>
        <v>225</v>
      </c>
      <c r="N5" s="9">
        <f>ROUND((M5*J5)/100,2)</f>
        <v>0</v>
      </c>
      <c r="O5" s="9">
        <f>I5-N5</f>
        <v>225</v>
      </c>
      <c r="P5" s="9">
        <f>ROUND((O5*K5)/100,2)</f>
        <v>0</v>
      </c>
      <c r="Q5" s="9">
        <f>ROUND(O5-P5,2)</f>
        <v>225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</v>
      </c>
      <c r="AA5" s="9">
        <f>X5+Y5+Z5</f>
        <v>27</v>
      </c>
      <c r="AB5" s="9">
        <f t="shared" ref="AB5:AB6" si="0">U5+AA5</f>
        <v>252</v>
      </c>
      <c r="AC5" s="9">
        <v>120</v>
      </c>
      <c r="AD5" s="9">
        <f t="shared" ref="AD5:AD6" si="1">U5*$N$3</f>
        <v>225</v>
      </c>
      <c r="AE5" s="8">
        <v>1</v>
      </c>
      <c r="AF5" s="9">
        <f t="shared" ref="AF5" si="2">G5/AE5</f>
        <v>15</v>
      </c>
      <c r="AG5" s="36" t="s">
        <v>263</v>
      </c>
      <c r="AH5" s="9">
        <f>AG5-AF5</f>
        <v>94435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217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264</v>
      </c>
      <c r="AH6" s="9">
        <f>AG6-AF6</f>
        <v>98145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99970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173</v>
      </c>
      <c r="AH6" s="9">
        <f>AG6-AF6</f>
        <v>99990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175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176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177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185</v>
      </c>
      <c r="AH6" s="9">
        <f>AG6-AF6</f>
        <v>99983.334000000003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193</v>
      </c>
      <c r="AH5" s="9">
        <f>AG5-AF5</f>
        <v>99850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184</v>
      </c>
      <c r="AH6" s="9">
        <f>AG6-AF6</f>
        <v>99950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97764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245</v>
      </c>
      <c r="AH6" s="9">
        <f>AG6-AF6</f>
        <v>99255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175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243</v>
      </c>
      <c r="AH5" s="9">
        <f>AG5-AF5</f>
        <v>97780</v>
      </c>
      <c r="AI5" s="10" t="s">
        <v>170</v>
      </c>
      <c r="AJ5" s="10" t="s">
        <v>171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176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242</v>
      </c>
      <c r="AH6" s="9">
        <f>AG6-AF6</f>
        <v>99260</v>
      </c>
      <c r="AI6" s="10" t="s">
        <v>170</v>
      </c>
      <c r="AJ6" s="10" t="s">
        <v>171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118</v>
      </c>
      <c r="AH5" s="34">
        <f>AG5-AF5</f>
        <v>105581</v>
      </c>
      <c r="AI5" s="10" t="s">
        <v>170</v>
      </c>
      <c r="AJ5" s="10" t="s">
        <v>171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34">
        <f>AG5-AF5</f>
        <v>99641</v>
      </c>
      <c r="AI5" s="10" t="s">
        <v>170</v>
      </c>
      <c r="AJ5" s="10" t="s">
        <v>171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188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189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271</v>
      </c>
      <c r="AH5" s="34">
        <f>AG5-AF5</f>
        <v>97045</v>
      </c>
      <c r="AI5" s="10" t="s">
        <v>170</v>
      </c>
      <c r="AJ5" s="10" t="s">
        <v>171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N1" workbookViewId="0">
      <selection activeCell="X13" sqref="X1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274</v>
      </c>
      <c r="AH5" s="34">
        <f>AG5-AF5</f>
        <v>104501</v>
      </c>
      <c r="AI5" s="10" t="s">
        <v>170</v>
      </c>
      <c r="AJ5" s="10" t="s">
        <v>171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110</v>
      </c>
      <c r="AH6" s="34">
        <f>AG6-AF6</f>
        <v>99920</v>
      </c>
      <c r="AI6" s="10" t="s">
        <v>170</v>
      </c>
      <c r="AJ6" s="10" t="s">
        <v>171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111</v>
      </c>
      <c r="AH7" s="34">
        <f t="shared" ref="AH7:AH14" si="20">AG7-AF7</f>
        <v>99915</v>
      </c>
      <c r="AI7" s="10" t="s">
        <v>170</v>
      </c>
      <c r="AJ7" s="10" t="s">
        <v>171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170</v>
      </c>
      <c r="AJ8" s="10" t="s">
        <v>171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112</v>
      </c>
      <c r="AH9" s="34">
        <f t="shared" si="20"/>
        <v>99905</v>
      </c>
      <c r="AI9" s="10" t="s">
        <v>170</v>
      </c>
      <c r="AJ9" s="10" t="s">
        <v>171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113</v>
      </c>
      <c r="AH10" s="34">
        <f t="shared" si="20"/>
        <v>99900</v>
      </c>
      <c r="AI10" s="10" t="s">
        <v>170</v>
      </c>
      <c r="AJ10" s="10" t="s">
        <v>171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114</v>
      </c>
      <c r="AH11" s="34">
        <f t="shared" si="20"/>
        <v>99895</v>
      </c>
      <c r="AI11" s="10" t="s">
        <v>170</v>
      </c>
      <c r="AJ11" s="10" t="s">
        <v>171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115</v>
      </c>
      <c r="AH12" s="102">
        <f t="shared" si="20"/>
        <v>99890</v>
      </c>
      <c r="AI12" s="10" t="s">
        <v>170</v>
      </c>
      <c r="AJ12" s="10" t="s">
        <v>171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116</v>
      </c>
      <c r="AH13" s="34">
        <f t="shared" si="20"/>
        <v>99885</v>
      </c>
      <c r="AI13" s="10" t="s">
        <v>170</v>
      </c>
      <c r="AJ13" s="10" t="s">
        <v>171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117</v>
      </c>
      <c r="AH14" s="34">
        <f t="shared" si="20"/>
        <v>99880</v>
      </c>
      <c r="AI14" s="10" t="s">
        <v>170</v>
      </c>
      <c r="AJ14" s="10" t="s">
        <v>171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273</v>
      </c>
      <c r="AH5" s="33">
        <f>AG5-AF5</f>
        <v>105906</v>
      </c>
      <c r="AI5" s="10" t="s">
        <v>170</v>
      </c>
      <c r="AJ5" s="10" t="s">
        <v>171</v>
      </c>
      <c r="AK5" s="33">
        <f>AH5</f>
        <v>105906</v>
      </c>
      <c r="AL5" s="33">
        <f>AK5+G5</f>
        <v>105921</v>
      </c>
      <c r="AM5" s="28" t="s">
        <v>66</v>
      </c>
      <c r="AN5" s="67" t="s">
        <v>172</v>
      </c>
      <c r="AO5" s="29" t="s">
        <v>224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166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167</v>
      </c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99861</v>
      </c>
      <c r="AI5" s="10" t="s">
        <v>170</v>
      </c>
      <c r="AJ5" s="10" t="s">
        <v>171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99861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267</v>
      </c>
      <c r="AH5" s="9">
        <f>AG5-AF5</f>
        <v>105961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268</v>
      </c>
      <c r="AH5" s="9">
        <f>AG5-AF5</f>
        <v>105951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269</v>
      </c>
      <c r="AH5" s="9">
        <f>AG5-AF5</f>
        <v>98240</v>
      </c>
      <c r="AI5" s="63" t="s">
        <v>172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95771</v>
      </c>
      <c r="AI5" s="10" t="s">
        <v>170</v>
      </c>
      <c r="AJ5" s="10" t="s">
        <v>171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246</v>
      </c>
      <c r="AH5" s="9">
        <f>AG5-AF5</f>
        <v>45571</v>
      </c>
      <c r="AI5" s="10" t="s">
        <v>170</v>
      </c>
      <c r="AJ5" s="10" t="s">
        <v>171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272</v>
      </c>
      <c r="AH5" s="9">
        <f>AG5-AF5</f>
        <v>93950</v>
      </c>
      <c r="AI5" s="10" t="s">
        <v>170</v>
      </c>
      <c r="AJ5" s="10" t="s">
        <v>171</v>
      </c>
      <c r="AK5" s="66" t="s">
        <v>72</v>
      </c>
      <c r="AL5" s="59"/>
    </row>
    <row r="6" spans="1:38" ht="15">
      <c r="A6" s="10">
        <v>2</v>
      </c>
      <c r="B6" s="42" t="s">
        <v>142</v>
      </c>
      <c r="C6" s="10">
        <v>0</v>
      </c>
      <c r="D6" s="42" t="s">
        <v>142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270</v>
      </c>
      <c r="AH6" s="9">
        <f>AG6-AF6</f>
        <v>105936</v>
      </c>
      <c r="AI6" s="10" t="s">
        <v>170</v>
      </c>
      <c r="AJ6" s="10" t="s">
        <v>171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191</v>
      </c>
      <c r="AL5" s="72" t="s">
        <v>192</v>
      </c>
    </row>
    <row r="6" spans="1:38" ht="15">
      <c r="A6" s="10">
        <v>2</v>
      </c>
      <c r="B6" s="42" t="s">
        <v>198</v>
      </c>
      <c r="C6" s="10">
        <v>0</v>
      </c>
      <c r="D6" s="42" t="s">
        <v>198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191</v>
      </c>
      <c r="AL6" s="66" t="s">
        <v>192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198</v>
      </c>
      <c r="C5" s="10">
        <v>0</v>
      </c>
      <c r="D5" s="42" t="s">
        <v>198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191</v>
      </c>
      <c r="AL5" s="72" t="s">
        <v>226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191</v>
      </c>
      <c r="AL6" s="66" t="s">
        <v>226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34">
        <f>AG5-AF5</f>
        <v>99160</v>
      </c>
      <c r="AI5" s="10" t="s">
        <v>206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34">
        <f>AG5-AF5</f>
        <v>99160</v>
      </c>
      <c r="AI5" s="10" t="s">
        <v>206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254</v>
      </c>
      <c r="C5" s="42" t="s">
        <v>127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223</v>
      </c>
      <c r="C5" s="42" t="s">
        <v>126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262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138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210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205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260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209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260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133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260</v>
      </c>
      <c r="E5" s="67" t="s">
        <v>132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262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138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141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140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t="s" s="29">
        <v>137</v>
      </c>
      <c r="D5" s="10" t="s">
        <v>123</v>
      </c>
      <c r="E5" s="67" t="s">
        <v>132</v>
      </c>
      <c r="F5" t="s" s="29">
        <v>126</v>
      </c>
      <c r="G5" t="s" s="29">
        <v>207</v>
      </c>
      <c r="H5" t="s" s="29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207</v>
      </c>
      <c r="H5" s="29" t="s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207</v>
      </c>
      <c r="H5" s="29" t="s">
        <v>158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230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225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121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211</v>
      </c>
      <c r="B1" s="197"/>
    </row>
    <row r="3" spans="1:4" ht="19.899999999999999" customHeight="1">
      <c r="A3" s="198" t="s">
        <v>220</v>
      </c>
      <c r="B3" s="198"/>
    </row>
    <row r="4" spans="1:4" s="31" customFormat="1">
      <c r="A4" s="11" t="s">
        <v>212</v>
      </c>
      <c r="B4" s="11" t="s">
        <v>213</v>
      </c>
    </row>
    <row r="5" spans="1:4">
      <c r="A5" t="s" s="29">
        <v>219</v>
      </c>
      <c r="B5" t="s" s="29">
        <v>217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211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220</v>
      </c>
      <c r="B3" s="198"/>
      <c r="C3" s="198"/>
      <c r="D3" s="198"/>
      <c r="E3" s="199" t="s">
        <v>222</v>
      </c>
      <c r="F3" s="199"/>
      <c r="G3" s="199" t="s">
        <v>231</v>
      </c>
      <c r="H3" s="199"/>
    </row>
    <row r="4" spans="1:8" s="31" customFormat="1">
      <c r="A4" s="11" t="s">
        <v>214</v>
      </c>
      <c r="B4" s="11" t="s">
        <v>215</v>
      </c>
      <c r="C4" s="11" t="s">
        <v>216</v>
      </c>
      <c r="D4" s="11" t="s">
        <v>218</v>
      </c>
      <c r="E4" s="11" t="s">
        <v>212</v>
      </c>
      <c r="F4" s="11" t="s">
        <v>213</v>
      </c>
      <c r="G4" s="11" t="s">
        <v>212</v>
      </c>
      <c r="H4" s="11" t="s">
        <v>213</v>
      </c>
    </row>
    <row r="5" spans="1:8" ht="15">
      <c r="A5" s="122" t="s">
        <v>219</v>
      </c>
      <c r="B5" s="42" t="s">
        <v>217</v>
      </c>
      <c r="C5" s="42" t="s">
        <v>217</v>
      </c>
      <c r="D5" s="10">
        <v>11</v>
      </c>
      <c r="E5" s="122" t="s">
        <v>221</v>
      </c>
      <c r="F5" s="114" t="s">
        <v>158</v>
      </c>
      <c r="G5" s="122" t="s">
        <v>217</v>
      </c>
      <c r="H5" s="42" t="s">
        <v>217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165</v>
      </c>
      <c r="H5" s="29" t="s">
        <v>158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195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196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197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181</v>
      </c>
      <c r="AH5" s="9">
        <f>AG5-AF5</f>
        <v>99896</v>
      </c>
      <c r="AI5" s="10" t="s">
        <v>170</v>
      </c>
      <c r="AJ5" s="10" t="s">
        <v>171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198</v>
      </c>
      <c r="C6" s="155">
        <v>0</v>
      </c>
      <c r="D6" s="32" t="s">
        <v>198</v>
      </c>
      <c r="E6" s="155" t="s">
        <v>157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197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182</v>
      </c>
      <c r="AH6" s="9">
        <f>AG6-AF6</f>
        <v>99966.667000000001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199</v>
      </c>
      <c r="R7" s="161"/>
      <c r="S7" s="161"/>
      <c r="T7" s="161"/>
      <c r="U7" s="159"/>
      <c r="V7" s="159"/>
      <c r="W7" s="160"/>
      <c r="X7" s="159"/>
      <c r="Y7" s="159"/>
      <c r="Z7" s="161" t="s">
        <v>200</v>
      </c>
      <c r="AA7" s="161"/>
      <c r="AB7" s="162">
        <f>SUM(AB5:AB6)</f>
        <v>45016.36</v>
      </c>
      <c r="AC7" s="161" t="s">
        <v>201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232</v>
      </c>
      <c r="AH5" s="9">
        <f>AG5-AF5</f>
        <v>54751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228</v>
      </c>
      <c r="AH5" s="9">
        <f>AG5-AF5</f>
        <v>93801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229</v>
      </c>
      <c r="AH5" s="9">
        <f>AG5-AF5</f>
        <v>90991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233</v>
      </c>
      <c r="B1" s="197"/>
      <c r="C1" s="197"/>
      <c r="D1" s="197"/>
      <c r="E1" s="176"/>
    </row>
    <row r="3" spans="1:6" ht="19.899999999999999" customHeight="1">
      <c r="A3" s="198" t="s">
        <v>234</v>
      </c>
      <c r="B3" s="198"/>
      <c r="C3" s="198"/>
      <c r="D3" s="198"/>
      <c r="E3" s="198"/>
      <c r="F3" s="198"/>
    </row>
    <row r="4" spans="1:6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</row>
    <row r="5" spans="1:6">
      <c r="A5" s="29" t="s">
        <v>241</v>
      </c>
      <c r="B5" s="29" t="s">
        <v>241</v>
      </c>
      <c r="C5" s="29" t="s">
        <v>207</v>
      </c>
      <c r="D5" s="29" t="s">
        <v>137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248</v>
      </c>
      <c r="B1" s="197"/>
      <c r="C1" s="197"/>
      <c r="D1" s="197"/>
      <c r="E1" s="177"/>
    </row>
    <row r="3" spans="1:18" ht="19.899999999999999" customHeight="1">
      <c r="A3" s="198" t="s">
        <v>234</v>
      </c>
      <c r="B3" s="198"/>
      <c r="C3" s="198"/>
      <c r="D3" s="198"/>
      <c r="E3" s="198"/>
      <c r="F3" s="198"/>
    </row>
    <row r="4" spans="1:18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87" t="s">
        <v>255</v>
      </c>
      <c r="H4" s="187" t="s">
        <v>256</v>
      </c>
      <c r="Q4" s="187" t="s">
        <v>255</v>
      </c>
      <c r="R4" s="187" t="s">
        <v>256</v>
      </c>
    </row>
    <row r="5" spans="1:18">
      <c r="A5" s="29" t="s">
        <v>241</v>
      </c>
      <c r="B5" s="29" t="s">
        <v>241</v>
      </c>
      <c r="C5" s="29" t="s">
        <v>207</v>
      </c>
      <c r="D5" s="29" t="s">
        <v>137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257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247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257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137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>
        <v>354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 t="n">
        <v>2.0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t="s" s="29">
        <v>253</v>
      </c>
      <c r="B5" t="s" s="29">
        <v>253</v>
      </c>
      <c r="C5" t="s" s="29">
        <v>207</v>
      </c>
      <c r="D5" t="s" s="29">
        <v>275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abSelected="1"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 t="n">
        <v>2.0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t="s" s="29">
        <v>253</v>
      </c>
      <c r="B5" t="s" s="29">
        <v>253</v>
      </c>
      <c r="C5" t="s" s="29">
        <v>207</v>
      </c>
      <c r="D5" t="s" s="29">
        <v>275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/>
      <c r="R5" s="29">
        <f>O5-Q5</f>
        <v>805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  <c r="S4" s="187" t="s">
        <v>258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259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253</v>
      </c>
      <c r="B5" s="29" t="s">
        <v>253</v>
      </c>
      <c r="C5" s="29" t="s">
        <v>207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253</v>
      </c>
      <c r="B5" s="29" t="s">
        <v>253</v>
      </c>
      <c r="C5" s="29" t="s">
        <v>207</v>
      </c>
      <c r="D5" s="29" t="s">
        <v>137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2026-09-04T07:07:34Z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