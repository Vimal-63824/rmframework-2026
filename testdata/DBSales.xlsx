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4" activeTab="39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COCharges" sheetId="57" r:id="rId53"/>
    <sheet name="SOtoSIDomestic" sheetId="61" r:id="rId5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R5" i="56"/>
  <c r="R5" i="55"/>
  <c r="O5" i="56"/>
  <c r="O5" i="5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66" l="1"/>
  <c r="K5" i="65"/>
  <c r="M5" s="1"/>
  <c r="S5" i="56"/>
  <c r="T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T5" l="1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<sst xmlns="http://schemas.openxmlformats.org/spreadsheetml/2006/main" count="2712" uniqueCount="235">
  <si>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</si>
  <si>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</si>
  <si>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</si>
  <si>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</si>
  <si>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</si>
  <si>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</si>
  <si>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</si>
  <si>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</si>
  <si>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</si>
  <si>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</si>
  <si>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</si>
  <si>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</si>
  <si>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</si>
  <si>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</si>
  <si>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</si>
  <si>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</si>
  <si>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</si>
  <si>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</si>
  <si>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</si>
  <si>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</si>
  <si>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</si>
  <si>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</si>
  <si>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</si>
  <si>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</si>
  <si>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</si>
  <si>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</si>
  <si>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</si>
  <si>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</si>
  <si>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</si>
  <si>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</si>
  <si>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</si>
  <si>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</si>
  <si>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</si>
  <si>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</si>
  <si>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</si>
  <si>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</si>
  <si>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</si>
  <si>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</si>
  <si>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</si>
  <si>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</si>
  <si>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</si>
  <si>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</si>
  <si>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</si>
  <si>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</si>
  <si>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</si>
  <si>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</si>
  <si>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</si>
  <si>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</si>
  <si>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</si>
  <si>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</si>
  <si>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</si>
  <si>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</si>
  <si>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</si>
  <si>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</si>
  <si>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</si>
  <si>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</si>
  <si>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</si>
  <si>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</si>
  <si>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</si>
  <si>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</si>
  <si>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</si>
  <si>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</si>
  <si>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</si>
  <si>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</si>
  <si>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</si>
  <si>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</si>
  <si>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</si>
  <si>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</si>
  <si>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</si>
  <si>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</si>
  <si>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</si>
  <si>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</si>
  <si>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</si>
  <si>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</si>
  <si>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</si>
  <si>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</si>
  <si>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</si>
  <si>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</si>
  <si>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</si>
  <si>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</si>
  <si>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</si>
  <si>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</si>
  <si>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</si>
  <si>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</si>
  <si>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</si>
  <si>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</si>
  <si>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</si>
  <si>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</si>
  <si>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</si>
  <si>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</si>
  <si>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</si>
  <si>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</si>
  <si>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</si>
  <si>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</si>
  <si>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</si>
  <si>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</si>
  <si>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</si>
  <si>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</si>
  <si>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</si>
  <si>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</si>
  <si>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</si>
  <si>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</si>
  <si>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</si>
  <si>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</si>
  <si>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</si>
  <si>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</si>
  <si>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</si>
  <si>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</si>
  <si>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</si>
  <si>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</si>
  <si>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</si>
  <si>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</si>
  <si>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</si>
  <si>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</si>
  <si>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</si>
  <si>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</si>
  <si>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</si>
  <si>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</si>
  <si>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</si>
  <si>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</si>
  <si>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</si>
  <si>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</si>
  <si>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</si>
  <si>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</si>
  <si>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</si>
  <si>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49091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</si>
  <si>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</si>
  <si>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</si>
  <si>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</si>
  <si>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</si>
  <si>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</si>
  <si>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</si>
  <si>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</si>
  <si>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</si>
  <si>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</si>
  <si>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</si>
  <si>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</si>
  <si>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</si>
  <si>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</si>
  <si>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</si>
  <si>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</si>
  <si>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</si>
  <si>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</si>
  <si>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</si>
  <si>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</si>
  <si>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</si>
  <si>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</si>
  <si>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</si>
  <si>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</si>
  <si>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</si>
  <si>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</si>
  <si>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</si>
  <si>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</si>
  <si>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</si>
  <si>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</si>
  <si>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</si>
  <si>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</si>
  <si>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</si>
  <si>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</si>
  <si>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</si>
  <si>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</si>
  <si>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</si>
  <si>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</si>
  <si>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</si>
  <si>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</si>
  <si>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</si>
  <si>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</si>
  <si>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</si>
  <si>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</si>
  <si>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</si>
  <si>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</si>
  <si>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</si>
  <si>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</si>
  <si>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</si>
  <si>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</si>
  <si>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</si>
  <si>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</si>
  <si>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</si>
  <si>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</si>
  <si>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</si>
  <si>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</si>
  <si>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</si>
  <si>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</si>
  <si>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</si>
  <si>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</si>
  <si>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</si>
  <si>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</si>
  <si>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</si>
  <si>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</si>
  <si>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</si>
  <si>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</si>
  <si>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</si>
  <si>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</si>
  <si>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</si>
  <si>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</si>
  <si>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</si>
  <si>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</si>
  <si>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</si>
  <si>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</si>
  <si>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</si>
  <si>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</si>
  <si>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</si>
  <si>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</si>
  <si>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</si>
  <si>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</si>
  <si>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</si>
  <si>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</si>
  <si>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</si>
  <si>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</si>
  <si>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</si>
  <si>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</si>
  <si>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</si>
  <si>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</si>
  <si>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</si>
  <si>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</si>
  <si>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</si>
  <si>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95641</t>
  </si>
  <si>
    <t>SORD-2526-00764</t>
  </si>
  <si>
    <t>SORD-2526-00765</t>
  </si>
  <si>
    <t>94011</t>
  </si>
  <si>
    <t>99592.5</t>
  </si>
  <si>
    <t>PROC- 7558</t>
  </si>
  <si>
    <t>PROC- 8781</t>
  </si>
  <si>
    <t>SORD-2526-00808</t>
  </si>
  <si>
    <t>FG WH49</t>
  </si>
  <si>
    <t>99820</t>
  </si>
  <si>
    <t>30</t>
  </si>
  <si>
    <t>SO3-2526-00090</t>
  </si>
  <si>
    <t>SO3-2526-00091</t>
  </si>
  <si>
    <t>SO3-2526-00097</t>
  </si>
  <si>
    <t>35</t>
  </si>
  <si>
    <t>VJ-PROJECTU3</t>
  </si>
  <si>
    <t>40</t>
  </si>
  <si>
    <t>93041</t>
  </si>
  <si>
    <t>93026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</si>
</sst>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69" t="s">
        <v>0</v>
      </c>
      <c r="B3" s="169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146</v>
      </c>
      <c r="C5" s="10">
        <v>0</v>
      </c>
      <c r="D5" s="37" t="s">
        <v>146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219</v>
      </c>
      <c r="AH5" s="9">
        <f>AG5-AF5</f>
        <v>-15</v>
      </c>
      <c r="AI5" s="10" t="s">
        <v>174</v>
      </c>
      <c r="AJ5" s="10" t="s">
        <v>175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220</v>
      </c>
      <c r="AH6" s="9">
        <f>AG6-AF6</f>
        <v>9490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69" t="s">
        <v>0</v>
      </c>
      <c r="B3" s="169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146</v>
      </c>
      <c r="C5" s="10">
        <v>0</v>
      </c>
      <c r="D5" s="37" t="s">
        <v>146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82574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187</v>
      </c>
      <c r="AH6" s="9">
        <f>AG6-AF6</f>
        <v>9657.5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69" t="s">
        <v>0</v>
      </c>
      <c r="B3" s="169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9645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204</v>
      </c>
      <c r="AH6" s="9">
        <f>AG6-AF6</f>
        <v>9950.6589999999997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69" t="s">
        <v>0</v>
      </c>
      <c r="B3" s="169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9745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9880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69" t="s">
        <v>0</v>
      </c>
      <c r="B3" s="169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9717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179</v>
      </c>
      <c r="AH6" s="9">
        <f>AG6-AF6</f>
        <v>9865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69" t="s">
        <v>0</v>
      </c>
      <c r="B3" s="169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9795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9900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9" t="s">
        <v>0</v>
      </c>
      <c r="B3" s="169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9703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179</v>
      </c>
      <c r="AH6" s="9">
        <f>AG6-AF6</f>
        <v>9852.5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9" t="s">
        <v>0</v>
      </c>
      <c r="B3" s="169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189</v>
      </c>
      <c r="AH6" s="9">
        <f>AG6-AF6</f>
        <v>9905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9" t="s">
        <v>0</v>
      </c>
      <c r="B3" s="169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207</v>
      </c>
      <c r="AH5" s="9">
        <f>AG5-AF5</f>
        <v>9805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195</v>
      </c>
      <c r="AH6" s="9">
        <f>AG6-AF6</f>
        <v>9905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9" t="s">
        <v>0</v>
      </c>
      <c r="B3" s="169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9775</v>
      </c>
      <c r="AI5" s="10" t="s">
        <v>174</v>
      </c>
      <c r="AJ5" s="10" t="s">
        <v>175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9890</v>
      </c>
      <c r="AI6" s="10" t="s">
        <v>174</v>
      </c>
      <c r="AJ6" s="10" t="s">
        <v>175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69" t="s">
        <v>0</v>
      </c>
      <c r="B3" s="169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174</v>
      </c>
      <c r="AJ5" s="10" t="s">
        <v>175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69" t="s">
        <v>0</v>
      </c>
      <c r="B3" s="169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200</v>
      </c>
      <c r="AH5" s="34">
        <f>AG5-AF5</f>
        <v>65983</v>
      </c>
      <c r="AI5" s="10" t="s">
        <v>174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198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199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69" t="s">
        <v>0</v>
      </c>
      <c r="B3" s="169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176</v>
      </c>
      <c r="AH5" s="34">
        <f>AG5-AF5</f>
        <v>65983</v>
      </c>
      <c r="AI5" s="10" t="s">
        <v>174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69" t="s">
        <v>0</v>
      </c>
      <c r="B3" s="169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174</v>
      </c>
      <c r="AJ5" s="10" t="s">
        <v>175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174</v>
      </c>
      <c r="AJ6" s="10" t="s">
        <v>175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174</v>
      </c>
      <c r="AJ7" s="10" t="s">
        <v>175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174</v>
      </c>
      <c r="AJ8" s="10" t="s">
        <v>175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174</v>
      </c>
      <c r="AJ9" s="10" t="s">
        <v>175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174</v>
      </c>
      <c r="AJ10" s="10" t="s">
        <v>175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174</v>
      </c>
      <c r="AJ11" s="10" t="s">
        <v>175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174</v>
      </c>
      <c r="AJ12" s="10" t="s">
        <v>175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174</v>
      </c>
      <c r="AJ13" s="10" t="s">
        <v>175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174</v>
      </c>
      <c r="AJ14" s="10" t="s">
        <v>175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69" t="s">
        <v>0</v>
      </c>
      <c r="B3" s="169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234</v>
      </c>
      <c r="AH5" s="33">
        <f>AG5-AF5</f>
        <v>99656</v>
      </c>
      <c r="AI5" s="10" t="s">
        <v>174</v>
      </c>
      <c r="AJ5" s="10" t="s">
        <v>175</v>
      </c>
      <c r="AK5" s="33">
        <f>AH5</f>
        <v>99656</v>
      </c>
      <c r="AL5" s="33">
        <f>AK5+G5</f>
        <v>99671</v>
      </c>
      <c r="AM5" s="28" t="s">
        <v>66</v>
      </c>
      <c r="AN5" s="67" t="s">
        <v>177</v>
      </c>
      <c r="AO5" s="29" t="s">
        <v>120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69" t="s">
        <v>0</v>
      </c>
      <c r="B3" s="169"/>
      <c r="C3" s="132"/>
      <c r="D3" s="3">
        <v>4</v>
      </c>
      <c r="E3" s="4" t="s">
        <v>170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171</v>
      </c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99861</v>
      </c>
      <c r="AI5" s="10" t="s">
        <v>174</v>
      </c>
      <c r="AJ5" s="10" t="s">
        <v>175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69" t="s">
        <v>0</v>
      </c>
      <c r="B3" s="169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193</v>
      </c>
      <c r="AH5" s="9">
        <f>AG5-AF5</f>
        <v>80699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194</v>
      </c>
      <c r="AH5" s="9">
        <f>AG5-AF5</f>
        <v>80704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177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69" t="s">
        <v>0</v>
      </c>
      <c r="B3" s="169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80699</v>
      </c>
      <c r="AI5" s="10" t="s">
        <v>174</v>
      </c>
      <c r="AJ5" s="10" t="s">
        <v>175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69" t="s">
        <v>0</v>
      </c>
      <c r="B3" s="169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192</v>
      </c>
      <c r="AH5" s="9">
        <f>AG5-AF5</f>
        <v>63733</v>
      </c>
      <c r="AI5" s="10" t="s">
        <v>174</v>
      </c>
      <c r="AJ5" s="10" t="s">
        <v>175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69" t="s">
        <v>0</v>
      </c>
      <c r="B3" s="169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195</v>
      </c>
      <c r="AH5" s="9">
        <f>AG5-AF5</f>
        <v>9630</v>
      </c>
      <c r="AI5" s="10" t="s">
        <v>174</v>
      </c>
      <c r="AJ5" s="10" t="s">
        <v>175</v>
      </c>
      <c r="AK5" s="66" t="s">
        <v>72</v>
      </c>
      <c r="AL5" s="59"/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196</v>
      </c>
      <c r="AH6" s="9">
        <f>AG6-AF6</f>
        <v>78219</v>
      </c>
      <c r="AI6" s="10" t="s">
        <v>174</v>
      </c>
      <c r="AJ6" s="10" t="s">
        <v>175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69" t="s">
        <v>0</v>
      </c>
      <c r="B3" s="169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201</v>
      </c>
      <c r="AL5" s="72" t="s">
        <v>202</v>
      </c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201</v>
      </c>
      <c r="AL6" s="66" t="s">
        <v>202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69" t="s">
        <v>0</v>
      </c>
      <c r="B3" s="169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201</v>
      </c>
      <c r="AL5" s="72" t="s">
        <v>202</v>
      </c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201</v>
      </c>
      <c r="AL6" s="66" t="s">
        <v>202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69" t="s">
        <v>0</v>
      </c>
      <c r="B3" s="169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69" t="s">
        <v>0</v>
      </c>
      <c r="B3" s="169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69" t="s">
        <v>0</v>
      </c>
      <c r="B3" s="169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69" t="s">
        <v>0</v>
      </c>
      <c r="B3" s="169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125</v>
      </c>
      <c r="AH5" s="34">
        <f>AG5-AF5</f>
        <v>49586</v>
      </c>
      <c r="AI5" s="10" t="s">
        <v>224</v>
      </c>
      <c r="AJ5" s="10" t="s">
        <v>175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69" t="s">
        <v>0</v>
      </c>
      <c r="B3" s="169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225</v>
      </c>
      <c r="AH5" s="34">
        <f>AG5-AF5</f>
        <v>65983</v>
      </c>
      <c r="AI5" s="10" t="s">
        <v>224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0" t="s">
        <v>131</v>
      </c>
      <c r="B1" s="170"/>
      <c r="C1" s="170"/>
      <c r="D1" s="170"/>
    </row>
    <row r="2" spans="1:5" ht="18">
      <c r="D2" s="112"/>
    </row>
    <row r="3" spans="1:5" ht="19.899999999999999" customHeight="1">
      <c r="A3" s="169"/>
      <c r="B3" s="169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127</v>
      </c>
      <c r="D4" s="11" t="s">
        <v>128</v>
      </c>
      <c r="E4" s="58"/>
    </row>
    <row r="5" spans="1:5" ht="15">
      <c r="A5" s="10">
        <v>1</v>
      </c>
      <c r="B5" s="29" t="s">
        <v>222</v>
      </c>
      <c r="C5" s="42" t="s">
        <v>130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0" t="s">
        <v>132</v>
      </c>
      <c r="B1" s="170"/>
      <c r="C1" s="170"/>
      <c r="D1" s="170"/>
    </row>
    <row r="2" spans="1:5" ht="18">
      <c r="D2" s="112"/>
    </row>
    <row r="3" spans="1:5" ht="19.899999999999999" customHeight="1">
      <c r="A3" s="169"/>
      <c r="B3" s="169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127</v>
      </c>
      <c r="D4" s="11" t="s">
        <v>128</v>
      </c>
      <c r="E4" s="58"/>
    </row>
    <row r="5" spans="1:5" ht="15">
      <c r="A5" s="10">
        <v>1</v>
      </c>
      <c r="B5" s="29" t="s">
        <v>221</v>
      </c>
      <c r="C5" s="42" t="s">
        <v>129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42" t="s">
        <v>57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7" sqref="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42" t="s">
        <v>57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8"/>
    </row>
    <row r="3" spans="1:16" ht="19.899999999999999" customHeight="1">
      <c r="A3" s="169"/>
      <c r="B3" s="169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114" t="s">
        <v>141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231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114" t="s">
        <v>141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147</v>
      </c>
      <c r="C5" s="114" t="s">
        <v>141</v>
      </c>
      <c r="D5" s="10" t="s">
        <v>149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9"/>
    </row>
    <row r="3" spans="1:16" ht="19.899999999999999" customHeight="1">
      <c r="A3" s="169"/>
      <c r="B3" s="169"/>
      <c r="C3" s="118"/>
      <c r="D3" s="118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147</v>
      </c>
      <c r="C5" s="114" t="s">
        <v>141</v>
      </c>
      <c r="D5" s="10" t="s">
        <v>149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tabSelected="1"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140</v>
      </c>
      <c r="C5" s="114" t="s">
        <v>141</v>
      </c>
      <c r="D5" s="10" t="s">
        <v>134</v>
      </c>
      <c r="E5" s="67" t="s">
        <v>136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161</v>
      </c>
      <c r="O5" s="123">
        <v>88363221</v>
      </c>
      <c r="P5" s="10" t="s">
        <v>228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140</v>
      </c>
      <c r="C5" s="114" t="s">
        <v>141</v>
      </c>
      <c r="D5" s="10" t="s">
        <v>134</v>
      </c>
      <c r="E5" s="67" t="s">
        <v>136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161</v>
      </c>
      <c r="O5" s="123">
        <v>88363221</v>
      </c>
      <c r="P5" s="10" t="s">
        <v>218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0" t="s">
        <v>137</v>
      </c>
      <c r="B1" s="170"/>
      <c r="C1" s="170"/>
      <c r="D1" s="170"/>
    </row>
    <row r="2" spans="1:15" ht="18">
      <c r="D2" s="112"/>
    </row>
    <row r="3" spans="1:15" ht="19.899999999999999" customHeight="1">
      <c r="A3" s="169"/>
      <c r="B3" s="169"/>
      <c r="C3" s="111"/>
      <c r="D3" s="111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</row>
    <row r="5" spans="1:15" ht="15">
      <c r="A5" s="10">
        <v>1</v>
      </c>
      <c r="B5" s="42" t="s">
        <v>133</v>
      </c>
      <c r="C5" s="42" t="s">
        <v>57</v>
      </c>
      <c r="D5" s="10" t="s">
        <v>134</v>
      </c>
      <c r="E5" s="67" t="s">
        <v>136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161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148</v>
      </c>
      <c r="B1" s="170"/>
      <c r="C1" s="170"/>
      <c r="D1" s="170"/>
    </row>
    <row r="2" spans="1:16" ht="18">
      <c r="D2" s="168"/>
    </row>
    <row r="3" spans="1:16" ht="19.899999999999999" customHeight="1">
      <c r="A3" s="169"/>
      <c r="B3" s="169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42" t="s">
        <v>147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148</v>
      </c>
      <c r="B1" s="170"/>
      <c r="C1" s="170"/>
      <c r="D1" s="170"/>
    </row>
    <row r="2" spans="1:16" ht="18">
      <c r="D2" s="121"/>
    </row>
    <row r="3" spans="1:16" ht="19.899999999999999" customHeight="1">
      <c r="A3" s="169"/>
      <c r="B3" s="169"/>
      <c r="C3" s="120"/>
      <c r="D3" s="120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42" t="s">
        <v>147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0" t="s">
        <v>145</v>
      </c>
      <c r="B1" s="170"/>
      <c r="C1" s="170"/>
      <c r="D1" s="170"/>
    </row>
    <row r="2" spans="1:15" ht="18">
      <c r="D2" s="117"/>
    </row>
    <row r="3" spans="1:15" ht="19.899999999999999" customHeight="1">
      <c r="A3" s="169"/>
      <c r="B3" s="169"/>
      <c r="C3" s="116"/>
      <c r="D3" s="116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</row>
    <row r="5" spans="1:15" ht="15">
      <c r="A5" s="10">
        <v>1</v>
      </c>
      <c r="B5" s="42" t="s">
        <v>144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T6" sqref="T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168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1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126</v>
      </c>
      <c r="E5" s="67" t="s">
        <v>136</v>
      </c>
      <c r="F5" s="29" t="s">
        <v>129</v>
      </c>
      <c r="G5" s="29" t="s">
        <v>226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2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126</v>
      </c>
      <c r="E5" s="67" t="s">
        <v>136</v>
      </c>
      <c r="F5" s="29" t="s">
        <v>129</v>
      </c>
      <c r="G5" s="29" t="s">
        <v>226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173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4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141</v>
      </c>
      <c r="D5" s="10" t="s">
        <v>126</v>
      </c>
      <c r="E5" s="67" t="s">
        <v>136</v>
      </c>
      <c r="F5" s="29" t="s">
        <v>129</v>
      </c>
      <c r="G5" s="29" t="s">
        <v>230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40.5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40.5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172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4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141</v>
      </c>
      <c r="D5" s="10" t="s">
        <v>126</v>
      </c>
      <c r="E5" s="67" t="s">
        <v>136</v>
      </c>
      <c r="F5" s="29" t="s">
        <v>129</v>
      </c>
      <c r="G5" s="29" t="s">
        <v>230</v>
      </c>
      <c r="H5" s="29" t="s">
        <v>162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2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t="s" s="29">
        <v>57</v>
      </c>
      <c r="D5" s="10" t="s">
        <v>126</v>
      </c>
      <c r="E5" s="67" t="s">
        <v>136</v>
      </c>
      <c r="F5" t="s" s="29">
        <v>129</v>
      </c>
      <c r="G5" t="s" s="29">
        <v>226</v>
      </c>
      <c r="H5" t="s" s="29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164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1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t="s" s="29">
        <v>141</v>
      </c>
      <c r="D5" s="10" t="s">
        <v>126</v>
      </c>
      <c r="E5" s="67" t="s">
        <v>136</v>
      </c>
      <c r="F5" t="s" s="29">
        <v>129</v>
      </c>
      <c r="G5" t="s" s="29">
        <v>232</v>
      </c>
      <c r="H5" t="s" s="29">
        <v>162</v>
      </c>
      <c r="I5" s="10">
        <f>ROUND(C5*H5/F5,3)</f>
        <v>25</v>
      </c>
      <c r="J5" s="10">
        <f>I5*(G5/C5)</f>
        <v>25</v>
      </c>
      <c r="K5" s="10">
        <f>I5*G5</f>
        <v>625</v>
      </c>
      <c r="L5" t="s" s="29">
        <v>32</v>
      </c>
      <c r="M5" s="33">
        <v>88363221</v>
      </c>
      <c r="N5" s="22">
        <v>0.18</v>
      </c>
      <c r="O5" s="34">
        <f>IF($D$3=1,ROUND(((K5*N5)/2),2),0)</f>
        <v>56.25</v>
      </c>
      <c r="P5" s="34">
        <f>IF($D$3=1,ROUND(((K5*N5)/2),2),0)</f>
        <v>56.25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112.5</v>
      </c>
      <c r="T5" s="34">
        <f>ROUND(IF($J$3=1, K5+S5, K5),2)</f>
        <v>737.5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0" t="s">
        <v>122</v>
      </c>
      <c r="B1" s="170"/>
      <c r="C1" s="170"/>
      <c r="D1" s="170"/>
    </row>
    <row r="2" spans="1:17" ht="18">
      <c r="D2" s="109"/>
    </row>
    <row r="3" spans="1:17" ht="19.899999999999999" customHeight="1">
      <c r="A3" s="169"/>
      <c r="B3" s="169"/>
      <c r="C3" s="110"/>
      <c r="D3" s="108"/>
    </row>
    <row r="4" spans="1:17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156</v>
      </c>
      <c r="Q4" s="115" t="s">
        <v>157</v>
      </c>
    </row>
    <row r="5" spans="1:17" ht="15">
      <c r="A5" s="10">
        <v>1</v>
      </c>
      <c r="B5" s="42" t="s">
        <v>123</v>
      </c>
      <c r="C5" s="42" t="s">
        <v>141</v>
      </c>
      <c r="D5" s="10" t="s">
        <v>126</v>
      </c>
      <c r="E5" s="67" t="s">
        <v>136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158</v>
      </c>
      <c r="Q5" s="10" t="s">
        <v>159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69" t="s">
        <v>0</v>
      </c>
      <c r="B3" s="169"/>
      <c r="C3" s="130"/>
      <c r="D3" s="3">
        <v>2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165</v>
      </c>
      <c r="D5" s="10" t="s">
        <v>126</v>
      </c>
      <c r="E5" s="67" t="s">
        <v>136</v>
      </c>
      <c r="F5" s="29" t="s">
        <v>129</v>
      </c>
      <c r="G5" s="29" t="s">
        <v>169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34"/>
      <c r="AB1" s="134"/>
      <c r="AC1" s="134"/>
      <c r="AD1" s="135"/>
      <c r="AE1" s="135"/>
      <c r="AF1" s="135"/>
    </row>
    <row r="2" spans="1:38" ht="18">
      <c r="A2" s="134" t="s">
        <v>208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2" t="s">
        <v>0</v>
      </c>
      <c r="B3" s="172"/>
      <c r="C3" s="138"/>
      <c r="D3" s="139">
        <v>2</v>
      </c>
      <c r="E3" s="140" t="s">
        <v>209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210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186</v>
      </c>
      <c r="AH5" s="9">
        <f>AG5-AF5</f>
        <v>99896</v>
      </c>
      <c r="AI5" s="10" t="s">
        <v>174</v>
      </c>
      <c r="AJ5" s="10" t="s">
        <v>175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211</v>
      </c>
      <c r="C6" s="155">
        <v>0</v>
      </c>
      <c r="D6" s="32" t="s">
        <v>211</v>
      </c>
      <c r="E6" s="155" t="s">
        <v>161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210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187</v>
      </c>
      <c r="AH6" s="9">
        <f>AG6-AF6</f>
        <v>99966.667000000001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212</v>
      </c>
      <c r="R7" s="161"/>
      <c r="S7" s="161"/>
      <c r="T7" s="161"/>
      <c r="U7" s="159"/>
      <c r="V7" s="159"/>
      <c r="W7" s="160"/>
      <c r="X7" s="159"/>
      <c r="Y7" s="159"/>
      <c r="Z7" s="161" t="s">
        <v>213</v>
      </c>
      <c r="AA7" s="161"/>
      <c r="AB7" s="162">
        <f>SUM(AB5:AB6)</f>
        <v>45016.36</v>
      </c>
      <c r="AC7" s="161" t="s">
        <v>214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2025-12-04T12:28:50Z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