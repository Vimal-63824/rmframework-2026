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3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Sheet2" sheetId="2" r:id="rId31"/>
    <sheet name="Sheet3" sheetId="3" r:id="rId32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4" i="34"/>
  <c r="AK34" s="1"/>
  <c r="AL34" s="1"/>
  <c r="AF34"/>
  <c r="Z34"/>
  <c r="M34"/>
  <c r="N34" s="1"/>
  <c r="I34"/>
  <c r="AF33"/>
  <c r="AH33" s="1"/>
  <c r="AK33" s="1"/>
  <c r="AL33" s="1"/>
  <c r="Z33"/>
  <c r="I33"/>
  <c r="AH32"/>
  <c r="AK32" s="1"/>
  <c r="AL32" s="1"/>
  <c r="AF32"/>
  <c r="Z32"/>
  <c r="M32"/>
  <c r="N32" s="1"/>
  <c r="I32"/>
  <c r="AF31"/>
  <c r="AH31" s="1"/>
  <c r="AK31" s="1"/>
  <c r="AL31" s="1"/>
  <c r="Z31"/>
  <c r="I31"/>
  <c r="AH30"/>
  <c r="AK30" s="1"/>
  <c r="AL30" s="1"/>
  <c r="AF30"/>
  <c r="Z30"/>
  <c r="M30"/>
  <c r="N30" s="1"/>
  <c r="I30"/>
  <c r="AF29"/>
  <c r="AH29" s="1"/>
  <c r="AK29" s="1"/>
  <c r="AL29" s="1"/>
  <c r="Z29"/>
  <c r="I29"/>
  <c r="AH28"/>
  <c r="AK28" s="1"/>
  <c r="AL28" s="1"/>
  <c r="AF28"/>
  <c r="Z28"/>
  <c r="M28"/>
  <c r="N28" s="1"/>
  <c r="I28"/>
  <c r="AF27"/>
  <c r="AH27" s="1"/>
  <c r="AK27" s="1"/>
  <c r="AL27" s="1"/>
  <c r="Z27"/>
  <c r="I27"/>
  <c r="AH26"/>
  <c r="AK26" s="1"/>
  <c r="AL26" s="1"/>
  <c r="AF26"/>
  <c r="Z26"/>
  <c r="M26"/>
  <c r="N26" s="1"/>
  <c r="I26"/>
  <c r="AF25"/>
  <c r="AH25" s="1"/>
  <c r="AK25" s="1"/>
  <c r="AL25" s="1"/>
  <c r="Z25"/>
  <c r="I25"/>
  <c r="AH24"/>
  <c r="AK24" s="1"/>
  <c r="AL24" s="1"/>
  <c r="AF24"/>
  <c r="Z24"/>
  <c r="M24"/>
  <c r="N24" s="1"/>
  <c r="I24"/>
  <c r="AF23"/>
  <c r="AH23" s="1"/>
  <c r="AK23" s="1"/>
  <c r="AL23" s="1"/>
  <c r="Z23"/>
  <c r="I23"/>
  <c r="AH22"/>
  <c r="AK22" s="1"/>
  <c r="AL22" s="1"/>
  <c r="AF22"/>
  <c r="Z22"/>
  <c r="I22"/>
  <c r="M22" s="1"/>
  <c r="N22" s="1"/>
  <c r="AF21"/>
  <c r="AH21" s="1"/>
  <c r="AK21" s="1"/>
  <c r="AL21" s="1"/>
  <c r="Z21"/>
  <c r="I21"/>
  <c r="AF20"/>
  <c r="AH20" s="1"/>
  <c r="AK20" s="1"/>
  <c r="AL20" s="1"/>
  <c r="Z20"/>
  <c r="I20"/>
  <c r="M20" s="1"/>
  <c r="N20" s="1"/>
  <c r="AF19"/>
  <c r="AH19" s="1"/>
  <c r="AK19" s="1"/>
  <c r="AL19" s="1"/>
  <c r="Z19"/>
  <c r="I19"/>
  <c r="AH18"/>
  <c r="AK18" s="1"/>
  <c r="AL18" s="1"/>
  <c r="AF18"/>
  <c r="Z18"/>
  <c r="I18"/>
  <c r="M18" s="1"/>
  <c r="N18" s="1"/>
  <c r="AF17"/>
  <c r="AH17" s="1"/>
  <c r="AK17" s="1"/>
  <c r="AL17" s="1"/>
  <c r="Z17"/>
  <c r="I17"/>
  <c r="AF16"/>
  <c r="AH16" s="1"/>
  <c r="AK16" s="1"/>
  <c r="AL16" s="1"/>
  <c r="Z16"/>
  <c r="I16"/>
  <c r="M16" s="1"/>
  <c r="N16" s="1"/>
  <c r="AF15"/>
  <c r="AH15" s="1"/>
  <c r="AK15" s="1"/>
  <c r="AL15" s="1"/>
  <c r="Z15"/>
  <c r="I15"/>
  <c r="AF1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5" i="1"/>
  <c r="AH6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H5" i="13"/>
  <c r="AL5"/>
  <c r="AK5"/>
  <c r="AF5" i="29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AF5" i="13"/>
  <c r="I5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O16"/>
  <c r="O18"/>
  <c r="O20"/>
  <c r="O22"/>
  <c r="O24"/>
  <c r="O26"/>
  <c r="O28"/>
  <c r="O30"/>
  <c r="O32"/>
  <c r="O34"/>
  <c r="M7"/>
  <c r="N7" s="1"/>
  <c r="O7" s="1"/>
  <c r="M9"/>
  <c r="N9" s="1"/>
  <c r="O9" s="1"/>
  <c r="M11"/>
  <c r="N11" s="1"/>
  <c r="O11" s="1"/>
  <c r="M13"/>
  <c r="N13" s="1"/>
  <c r="O13" s="1"/>
  <c r="M15"/>
  <c r="N15" s="1"/>
  <c r="M17"/>
  <c r="N17" s="1"/>
  <c r="O17" s="1"/>
  <c r="M19"/>
  <c r="N19" s="1"/>
  <c r="O19" s="1"/>
  <c r="M21"/>
  <c r="N21" s="1"/>
  <c r="O21" s="1"/>
  <c r="M23"/>
  <c r="N23" s="1"/>
  <c r="O23" s="1"/>
  <c r="M25"/>
  <c r="N25" s="1"/>
  <c r="O25" s="1"/>
  <c r="M27"/>
  <c r="N27" s="1"/>
  <c r="O27" s="1"/>
  <c r="M29"/>
  <c r="N29" s="1"/>
  <c r="O29" s="1"/>
  <c r="M31"/>
  <c r="N31" s="1"/>
  <c r="M33"/>
  <c r="N33" s="1"/>
  <c r="O3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25" i="34" l="1"/>
  <c r="Q25" s="1"/>
  <c r="R25" s="1"/>
  <c r="S25" s="1"/>
  <c r="P27"/>
  <c r="Q27" s="1"/>
  <c r="R27" s="1"/>
  <c r="P9"/>
  <c r="Q9" s="1"/>
  <c r="R9" s="1"/>
  <c r="S9" s="1"/>
  <c r="P11"/>
  <c r="Q11" s="1"/>
  <c r="R11" s="1"/>
  <c r="S11" s="1"/>
  <c r="P34"/>
  <c r="Q34" s="1"/>
  <c r="R34" s="1"/>
  <c r="P10"/>
  <c r="P8"/>
  <c r="Q8" s="1"/>
  <c r="R8" s="1"/>
  <c r="P19"/>
  <c r="Q19" s="1"/>
  <c r="R19" s="1"/>
  <c r="P32"/>
  <c r="Q32" s="1"/>
  <c r="R32" s="1"/>
  <c r="P23"/>
  <c r="Q23" s="1"/>
  <c r="R23" s="1"/>
  <c r="S23" s="1"/>
  <c r="P7"/>
  <c r="Q7" s="1"/>
  <c r="R7" s="1"/>
  <c r="P26"/>
  <c r="Q26" s="1"/>
  <c r="R26" s="1"/>
  <c r="P18"/>
  <c r="Q18" s="1"/>
  <c r="R18" s="1"/>
  <c r="P17"/>
  <c r="Q17" s="1"/>
  <c r="R17" s="1"/>
  <c r="S17" s="1"/>
  <c r="P33"/>
  <c r="Q33" s="1"/>
  <c r="R33" s="1"/>
  <c r="S33" s="1"/>
  <c r="P28"/>
  <c r="Q28" s="1"/>
  <c r="R28" s="1"/>
  <c r="P20"/>
  <c r="P12"/>
  <c r="P16"/>
  <c r="Q16" s="1"/>
  <c r="R16" s="1"/>
  <c r="P21"/>
  <c r="Q21" s="1"/>
  <c r="R21" s="1"/>
  <c r="S21" s="1"/>
  <c r="P29"/>
  <c r="P13"/>
  <c r="P30"/>
  <c r="P24"/>
  <c r="P22"/>
  <c r="P14"/>
  <c r="O31"/>
  <c r="O15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33" i="34" l="1"/>
  <c r="U33"/>
  <c r="T25"/>
  <c r="U25"/>
  <c r="T21"/>
  <c r="U21"/>
  <c r="T23"/>
  <c r="U23"/>
  <c r="T17"/>
  <c r="U17"/>
  <c r="T9"/>
  <c r="U9"/>
  <c r="P31"/>
  <c r="P15"/>
  <c r="S27"/>
  <c r="S16"/>
  <c r="Q12"/>
  <c r="R12" s="1"/>
  <c r="S12" s="1"/>
  <c r="S7"/>
  <c r="S19"/>
  <c r="S34"/>
  <c r="Q14"/>
  <c r="R14" s="1"/>
  <c r="S14" s="1"/>
  <c r="S8"/>
  <c r="S18"/>
  <c r="Q29"/>
  <c r="R29" s="1"/>
  <c r="S29" s="1"/>
  <c r="Q24"/>
  <c r="R24" s="1"/>
  <c r="S24" s="1"/>
  <c r="Q13"/>
  <c r="R13" s="1"/>
  <c r="S13" s="1"/>
  <c r="T11"/>
  <c r="U11"/>
  <c r="Q20"/>
  <c r="R20" s="1"/>
  <c r="S20" s="1"/>
  <c r="Q22"/>
  <c r="R22" s="1"/>
  <c r="S22" s="1"/>
  <c r="Q30"/>
  <c r="R30" s="1"/>
  <c r="S30" s="1"/>
  <c r="S28"/>
  <c r="S26"/>
  <c r="S32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20"/>
  <c r="U20"/>
  <c r="T22"/>
  <c r="U22"/>
  <c r="T30"/>
  <c r="U30"/>
  <c r="T24"/>
  <c r="U24"/>
  <c r="T13"/>
  <c r="U13"/>
  <c r="T14"/>
  <c r="U14"/>
  <c r="T7"/>
  <c r="U7"/>
  <c r="T18"/>
  <c r="U18"/>
  <c r="T29"/>
  <c r="U29"/>
  <c r="X23"/>
  <c r="Y23"/>
  <c r="AD23"/>
  <c r="T27"/>
  <c r="U27"/>
  <c r="T26"/>
  <c r="U26"/>
  <c r="X9"/>
  <c r="Y9"/>
  <c r="AD9"/>
  <c r="T34"/>
  <c r="U34"/>
  <c r="T32"/>
  <c r="U32"/>
  <c r="Q31"/>
  <c r="R31" s="1"/>
  <c r="S31" s="1"/>
  <c r="T28"/>
  <c r="U28"/>
  <c r="T19"/>
  <c r="U19"/>
  <c r="T16"/>
  <c r="U16"/>
  <c r="X25"/>
  <c r="Y25"/>
  <c r="AD25"/>
  <c r="T8"/>
  <c r="U8"/>
  <c r="Q15"/>
  <c r="R15" s="1"/>
  <c r="S15" s="1"/>
  <c r="X11"/>
  <c r="Y11"/>
  <c r="AD11"/>
  <c r="X33"/>
  <c r="Y33"/>
  <c r="AD33"/>
  <c r="X17"/>
  <c r="Y17"/>
  <c r="AD17"/>
  <c r="AD21"/>
  <c r="X21"/>
  <c r="Y2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17" i="34" l="1"/>
  <c r="AB17" s="1"/>
  <c r="AA25"/>
  <c r="AB25" s="1"/>
  <c r="AA9"/>
  <c r="AB9" s="1"/>
  <c r="AA33"/>
  <c r="AB33" s="1"/>
  <c r="AA21"/>
  <c r="AB21" s="1"/>
  <c r="AA23"/>
  <c r="AB23" s="1"/>
  <c r="AD32"/>
  <c r="X32"/>
  <c r="Y32"/>
  <c r="AD34"/>
  <c r="X34"/>
  <c r="Y34"/>
  <c r="Y26"/>
  <c r="AD26"/>
  <c r="X26"/>
  <c r="Y16"/>
  <c r="AD16"/>
  <c r="X16"/>
  <c r="AD7"/>
  <c r="X7"/>
  <c r="Y7"/>
  <c r="AD30"/>
  <c r="X30"/>
  <c r="Y30"/>
  <c r="AD20"/>
  <c r="Y20"/>
  <c r="X20"/>
  <c r="Y12"/>
  <c r="AD12"/>
  <c r="X12"/>
  <c r="AD8"/>
  <c r="Y8"/>
  <c r="X8"/>
  <c r="T15"/>
  <c r="U15"/>
  <c r="T31"/>
  <c r="U31"/>
  <c r="Y10"/>
  <c r="AD10"/>
  <c r="X10"/>
  <c r="X29"/>
  <c r="Y29"/>
  <c r="AD29"/>
  <c r="Y18"/>
  <c r="AD18"/>
  <c r="X18"/>
  <c r="X13"/>
  <c r="Y13"/>
  <c r="AD13"/>
  <c r="AD22"/>
  <c r="Y22"/>
  <c r="X22"/>
  <c r="AA11"/>
  <c r="AB11" s="1"/>
  <c r="AD19"/>
  <c r="X19"/>
  <c r="Y19"/>
  <c r="AD24"/>
  <c r="Y24"/>
  <c r="X24"/>
  <c r="Y28"/>
  <c r="AD28"/>
  <c r="X28"/>
  <c r="X27"/>
  <c r="Y27"/>
  <c r="AD27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16" i="34" l="1"/>
  <c r="AB16" s="1"/>
  <c r="AA5"/>
  <c r="AB5" s="1"/>
  <c r="AA8"/>
  <c r="AB8" s="1"/>
  <c r="AA13"/>
  <c r="AB13" s="1"/>
  <c r="AA32"/>
  <c r="AB32" s="1"/>
  <c r="AA27"/>
  <c r="AB27" s="1"/>
  <c r="AA19"/>
  <c r="AB19" s="1"/>
  <c r="AA34"/>
  <c r="AB34" s="1"/>
  <c r="AA30"/>
  <c r="AB30" s="1"/>
  <c r="AA7"/>
  <c r="AB7" s="1"/>
  <c r="AA22"/>
  <c r="AB22" s="1"/>
  <c r="AA29"/>
  <c r="AB29" s="1"/>
  <c r="AA20"/>
  <c r="AB20" s="1"/>
  <c r="AA18"/>
  <c r="AB18" s="1"/>
  <c r="AA12"/>
  <c r="AB12" s="1"/>
  <c r="AA26"/>
  <c r="AB26" s="1"/>
  <c r="X15"/>
  <c r="Y15"/>
  <c r="AD15"/>
  <c r="AA14"/>
  <c r="AB14" s="1"/>
  <c r="X31"/>
  <c r="AD31"/>
  <c r="Y31"/>
  <c r="AA24"/>
  <c r="AB24" s="1"/>
  <c r="AA28"/>
  <c r="AB28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31" i="34" l="1"/>
  <c r="AB31" s="1"/>
  <c r="AA15"/>
  <c r="AB15" s="1"/>
  <c r="AA5" i="22"/>
  <c r="AB5" s="1"/>
  <c r="AA6"/>
  <c r="AB6" s="1"/>
</calcChain>
</file>

<file path=xl/sharedStrings.xml><?xml version="1.0" encoding="utf-8"?>
<sst xmlns="http://schemas.openxmlformats.org/spreadsheetml/2006/main" count="1997" uniqueCount="211">
  <si>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</si>
  <si>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</si>
  <si>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</si>
  <si>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</si>
  <si>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</si>
  <si>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</si>
  <si>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</si>
  <si>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</si>
  <si>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</si>
  <si>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</si>
  <si>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</si>
  <si>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</si>
  <si>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</si>
  <si>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</si>
  <si>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</si>
  <si>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</si>
  <si>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</si>
  <si>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</si>
  <si>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</si>
  <si>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</si>
  <si>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</si>
  <si>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</si>
  <si>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</si>
  <si>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</si>
  <si>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</si>
  <si>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</si>
  <si>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</si>
  <si>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</si>
  <si>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</si>
  <si>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</si>
  <si>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</si>
  <si>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</si>
  <si>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</si>
  <si>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</si>
  <si>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</si>
  <si>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</si>
  <si>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</si>
  <si>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</si>
  <si>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</si>
  <si>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</si>
  <si>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</si>
  <si>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</si>
  <si>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</si>
  <si>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</si>
  <si>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</si>
  <si>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</si>
  <si>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</si>
  <si>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</si>
  <si>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</si>
  <si>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</si>
  <si>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</si>
  <si>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</si>
  <si>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65</t>
  </si>
  <si>
    <t>30</t>
  </si>
  <si>
    <t>RC_Export_001</t>
  </si>
  <si>
    <t>Export_RC_Item_ID_Disimilar</t>
  </si>
  <si>
    <t>45</t>
  </si>
  <si>
    <t>9885</t>
  </si>
  <si>
    <t>299</t>
  </si>
  <si>
    <t>Domestic_PL_Item_ID</t>
  </si>
  <si>
    <t>Domestic_PL_Item_ID_Disimilar</t>
  </si>
  <si>
    <t>60</t>
  </si>
  <si>
    <t>9870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</si>
  <si>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</si>
  <si>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</si>
  <si>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</si>
  <si>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</si>
  <si>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</si>
  <si>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</si>
  <si>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</si>
  <si>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</si>
  <si>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</si>
  <si>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</si>
  <si>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</si>
  <si>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</si>
  <si>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</si>
  <si>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</si>
  <si>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</si>
  <si>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</si>
  <si>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</si>
  <si>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</si>
  <si>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</si>
  <si>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</si>
  <si>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9895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</si>
  <si>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</si>
  <si>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</si>
  <si>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</si>
  <si>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</si>
  <si>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</si>
  <si>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</si>
  <si>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</si>
  <si>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</si>
  <si>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</si>
  <si>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</si>
  <si>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9595</t>
  </si>
  <si>
    <t>9933.992</t>
  </si>
  <si>
    <t>9725</t>
  </si>
  <si>
    <t>9707</t>
  </si>
  <si>
    <t>9860</t>
  </si>
  <si>
    <t>9785</t>
  </si>
  <si>
    <t>9693</t>
  </si>
  <si>
    <t>9847.5</t>
  </si>
  <si>
    <t>9795</t>
  </si>
  <si>
    <t>9900</t>
  </si>
  <si>
    <t>9706</t>
  </si>
  <si>
    <t>9765</t>
  </si>
  <si>
    <t>78174</t>
  </si>
  <si>
    <t>78144</t>
  </si>
  <si>
    <t>78129</t>
  </si>
  <si>
    <t>491512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</si>
  <si>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</si>
  <si>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</si>
  <si>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</si>
  <si>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</si>
  <si>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</si>
  <si>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</si>
  <si>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</si>
  <si>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</si>
  <si>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</si>
  <si>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</si>
  <si>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</si>
  <si>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</si>
  <si>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</si>
  <si>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66208</t>
  </si>
  <si>
    <t>After Stk Qty</t>
  </si>
  <si>
    <t>66103</t>
  </si>
  <si>
    <t>9515</t>
  </si>
  <si>
    <t>HK-FIFO-LOT-BATCH-10001(FG)</t>
  </si>
  <si>
    <t>797</t>
  </si>
  <si>
    <t>49601</t>
  </si>
  <si>
    <t>49526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</si>
  <si>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</si>
  <si>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</si>
  <si>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</si>
  <si>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</si>
  <si>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</si>
  <si>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</si>
  <si>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</si>
  <si>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</si>
  <si>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</si>
  <si>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</si>
  <si>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</si>
  <si>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</si>
  <si>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</si>
  <si>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</si>
  <si>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19060</t>
  </si>
  <si>
    <t>65788</t>
  </si>
  <si>
    <t>9490</t>
  </si>
  <si>
    <t>65398</t>
  </si>
  <si>
    <t>65368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</si>
  <si>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</si>
  <si>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</si>
  <si>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</si>
  <si>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</si>
  <si>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</si>
  <si>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</si>
  <si>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</si>
  <si>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</si>
  <si>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</si>
  <si>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FG3109</t>
  </si>
  <si>
    <t>FG3110</t>
  </si>
  <si>
    <t>FG3111</t>
  </si>
  <si>
    <t>FG3112</t>
  </si>
  <si>
    <t>FG3113</t>
  </si>
  <si>
    <t>FG3114</t>
  </si>
  <si>
    <t>FG3115</t>
  </si>
  <si>
    <t>FG3116</t>
  </si>
  <si>
    <t>FG3117</t>
  </si>
  <si>
    <t>FG3118</t>
  </si>
  <si>
    <t>FG3119</t>
  </si>
  <si>
    <t>FG3120</t>
  </si>
  <si>
    <t>FG3121</t>
  </si>
  <si>
    <t>FG3122</t>
  </si>
  <si>
    <t>FG3123</t>
  </si>
  <si>
    <t>FG3124</t>
  </si>
  <si>
    <t>FG3125</t>
  </si>
  <si>
    <t>FG3126</t>
  </si>
  <si>
    <t>FG3127</t>
  </si>
  <si>
    <t>FG3128</t>
  </si>
  <si>
    <t>100000</t>
  </si>
  <si>
    <t>65178</t>
  </si>
  <si>
    <t>65163</t>
  </si>
  <si>
    <t>99984</t>
  </si>
  <si>
    <t>99983</t>
  </si>
  <si>
    <t>99982</t>
  </si>
  <si>
    <t>99981</t>
  </si>
  <si>
    <t>99980</t>
  </si>
  <si>
    <t>99979</t>
  </si>
  <si>
    <t>99978</t>
  </si>
  <si>
    <t>99977</t>
  </si>
  <si>
    <t>99976</t>
  </si>
  <si>
    <t>99975</t>
  </si>
  <si>
    <t>99974</t>
  </si>
  <si>
    <t>99973</t>
  </si>
  <si>
    <t>99972</t>
  </si>
  <si>
    <t>99971</t>
  </si>
  <si>
    <t>99970</t>
  </si>
  <si>
    <t>99969</t>
  </si>
  <si>
    <t>99968</t>
  </si>
  <si>
    <t>99967</t>
  </si>
  <si>
    <t>99966</t>
  </si>
  <si>
    <t>99965</t>
  </si>
  <si>
    <t>99964</t>
  </si>
  <si>
    <t>99963</t>
  </si>
  <si>
    <t>99962</t>
  </si>
  <si>
    <t>99961</t>
  </si>
  <si>
    <t>99960</t>
  </si>
  <si>
    <t>99959</t>
  </si>
  <si>
    <t>99958</t>
  </si>
  <si>
    <t>99957</t>
  </si>
  <si>
    <t>99956</t>
  </si>
</sst>
</file>

<file path=xl/styles.xml><?xml version="1.0" encoding="utf-8"?>
<styleSheet xmlns="http://schemas.openxmlformats.org/spreadsheetml/2006/main">
  <numFmts count="1">
    <numFmt numFmtId="164" formatCode="0.000"/>
  </numFmts>
  <fonts count="10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theme/theme1.xml" Type="http://schemas.openxmlformats.org/officeDocument/2006/relationships/theme"/><Relationship Id="rId34" Target="styles.xml" Type="http://schemas.openxmlformats.org/officeDocument/2006/relationships/styles"/><Relationship Id="rId35" Target="sharedStrings.xml" Type="http://schemas.openxmlformats.org/officeDocument/2006/relationships/sharedStrings"/><Relationship Id="rId36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6" sqref="A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98" t="s">
        <v>0</v>
      </c>
      <c r="B3" s="98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146</v>
      </c>
      <c r="AH5" s="9">
        <f>AG5-AF5</f>
        <v>65788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147</v>
      </c>
      <c r="AH6" s="9">
        <f>AG6-AF6</f>
        <v>9490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U1"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98" t="s">
        <v>0</v>
      </c>
      <c r="B3" s="98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122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125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126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98" t="s">
        <v>0</v>
      </c>
      <c r="B3" s="98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94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95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98" t="s">
        <v>0</v>
      </c>
      <c r="B3" s="98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54</v>
      </c>
      <c r="C5" s="10">
        <v>0</v>
      </c>
      <c r="D5" s="42" t="s">
        <v>54</v>
      </c>
      <c r="E5" s="10" t="s">
        <v>32</v>
      </c>
      <c r="F5" s="10" t="s">
        <v>32</v>
      </c>
      <c r="G5" s="33">
        <v>15</v>
      </c>
      <c r="H5" s="29" t="s">
        <v>56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96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55</v>
      </c>
      <c r="C6" s="10">
        <v>0</v>
      </c>
      <c r="D6" s="42" t="s">
        <v>55</v>
      </c>
      <c r="E6" s="10" t="s">
        <v>32</v>
      </c>
      <c r="F6" s="10" t="s">
        <v>32</v>
      </c>
      <c r="G6" s="33">
        <v>10</v>
      </c>
      <c r="H6" s="29" t="s">
        <v>58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62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98" t="s">
        <v>0</v>
      </c>
      <c r="B3" s="98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59</v>
      </c>
      <c r="C5" s="10">
        <v>0</v>
      </c>
      <c r="D5" s="42" t="s">
        <v>59</v>
      </c>
      <c r="E5" s="10" t="s">
        <v>32</v>
      </c>
      <c r="F5" s="10" t="s">
        <v>32</v>
      </c>
      <c r="G5" s="33">
        <v>15</v>
      </c>
      <c r="H5" s="29" t="s">
        <v>61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97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60</v>
      </c>
      <c r="C6" s="10">
        <v>0</v>
      </c>
      <c r="D6" s="42" t="s">
        <v>60</v>
      </c>
      <c r="E6" s="10" t="s">
        <v>32</v>
      </c>
      <c r="F6" s="10" t="s">
        <v>32</v>
      </c>
      <c r="G6" s="33">
        <v>10</v>
      </c>
      <c r="H6" s="29" t="s">
        <v>63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98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98" t="s">
        <v>0</v>
      </c>
      <c r="B3" s="98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66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99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67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83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8" t="s">
        <v>0</v>
      </c>
      <c r="B3" s="98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68</v>
      </c>
      <c r="C5" s="10">
        <v>0</v>
      </c>
      <c r="D5" s="42" t="s">
        <v>68</v>
      </c>
      <c r="E5" s="10" t="s">
        <v>32</v>
      </c>
      <c r="F5" s="10" t="s">
        <v>32</v>
      </c>
      <c r="G5" s="33">
        <v>15</v>
      </c>
      <c r="H5" s="29" t="s">
        <v>72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100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69</v>
      </c>
      <c r="C6" s="10">
        <v>0</v>
      </c>
      <c r="D6" s="42" t="s">
        <v>69</v>
      </c>
      <c r="E6" s="10" t="s">
        <v>32</v>
      </c>
      <c r="F6" s="10" t="s">
        <v>32</v>
      </c>
      <c r="G6" s="33">
        <v>10</v>
      </c>
      <c r="H6" s="29" t="s">
        <v>73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101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8" t="s">
        <v>0</v>
      </c>
      <c r="B3" s="98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70</v>
      </c>
      <c r="C5" s="10">
        <v>0</v>
      </c>
      <c r="D5" s="42" t="s">
        <v>70</v>
      </c>
      <c r="E5" s="10" t="s">
        <v>32</v>
      </c>
      <c r="F5" s="10" t="s">
        <v>32</v>
      </c>
      <c r="G5" s="33">
        <v>15</v>
      </c>
      <c r="H5" s="29" t="s">
        <v>74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102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71</v>
      </c>
      <c r="C6" s="10">
        <v>0</v>
      </c>
      <c r="D6" s="42" t="s">
        <v>71</v>
      </c>
      <c r="E6" s="10" t="s">
        <v>32</v>
      </c>
      <c r="F6" s="10" t="s">
        <v>32</v>
      </c>
      <c r="G6" s="33">
        <v>10</v>
      </c>
      <c r="H6" s="29" t="s">
        <v>75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103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8" t="s">
        <v>0</v>
      </c>
      <c r="B3" s="98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76</v>
      </c>
      <c r="C5" s="10">
        <v>0</v>
      </c>
      <c r="D5" s="42" t="s">
        <v>76</v>
      </c>
      <c r="E5" s="10" t="s">
        <v>32</v>
      </c>
      <c r="F5" s="10" t="s">
        <v>32</v>
      </c>
      <c r="G5" s="33">
        <v>15</v>
      </c>
      <c r="H5" s="29" t="s">
        <v>80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104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77</v>
      </c>
      <c r="C6" s="10">
        <v>0</v>
      </c>
      <c r="D6" s="42" t="s">
        <v>77</v>
      </c>
      <c r="E6" s="10" t="s">
        <v>32</v>
      </c>
      <c r="F6" s="10" t="s">
        <v>32</v>
      </c>
      <c r="G6" s="33">
        <v>10</v>
      </c>
      <c r="H6" s="29" t="s">
        <v>81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98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8" t="s">
        <v>0</v>
      </c>
      <c r="B3" s="98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78</v>
      </c>
      <c r="C5" s="10">
        <v>0</v>
      </c>
      <c r="D5" s="42" t="s">
        <v>78</v>
      </c>
      <c r="E5" s="10" t="s">
        <v>32</v>
      </c>
      <c r="F5" s="10" t="s">
        <v>32</v>
      </c>
      <c r="G5" s="33">
        <v>15</v>
      </c>
      <c r="H5" s="29" t="s">
        <v>82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105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79</v>
      </c>
      <c r="C6" s="10">
        <v>0</v>
      </c>
      <c r="D6" s="42" t="s">
        <v>79</v>
      </c>
      <c r="E6" s="10" t="s">
        <v>32</v>
      </c>
      <c r="F6" s="10" t="s">
        <v>32</v>
      </c>
      <c r="G6" s="33">
        <v>10</v>
      </c>
      <c r="H6" s="29" t="s">
        <v>84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57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98" t="s">
        <v>0</v>
      </c>
      <c r="B3" s="98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127</v>
      </c>
      <c r="C5" s="10">
        <v>0</v>
      </c>
      <c r="D5" s="42" t="s">
        <v>127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128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J12" sqref="J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98" t="s">
        <v>0</v>
      </c>
      <c r="B3" s="98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148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131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132</v>
      </c>
      <c r="D10" s="90" t="s">
        <v>6</v>
      </c>
      <c r="E10" s="90" t="s">
        <v>7</v>
      </c>
      <c r="F10" s="90" t="s">
        <v>133</v>
      </c>
      <c r="G10" s="90" t="s">
        <v>134</v>
      </c>
      <c r="H10" s="90" t="s">
        <v>135</v>
      </c>
      <c r="I10" s="90" t="s">
        <v>136</v>
      </c>
      <c r="J10" s="90" t="s">
        <v>137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138</v>
      </c>
      <c r="E11" s="10">
        <v>0</v>
      </c>
      <c r="F11" s="10" t="s">
        <v>139</v>
      </c>
      <c r="G11" s="10" t="s">
        <v>140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141</v>
      </c>
      <c r="E12" s="10">
        <v>0</v>
      </c>
      <c r="F12" s="10" t="s">
        <v>142</v>
      </c>
      <c r="G12" s="10" t="s">
        <v>136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143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98" t="s">
        <v>0</v>
      </c>
      <c r="B3" s="98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144</v>
      </c>
      <c r="C5" s="10">
        <v>0</v>
      </c>
      <c r="D5" s="42" t="s">
        <v>144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145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abSelected="1" topLeftCell="N10" workbookViewId="0">
      <selection activeCell="AA20" sqref="AA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93"/>
      <c r="AD1" s="93"/>
      <c r="AE1" s="93"/>
      <c r="AF1" s="93"/>
      <c r="AG1" s="27"/>
    </row>
    <row r="2" spans="1:39" ht="18">
      <c r="A2" s="29" t="s">
        <v>47</v>
      </c>
      <c r="B2" s="29" t="s">
        <v>46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98" t="s">
        <v>0</v>
      </c>
      <c r="B3" s="98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181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150</v>
      </c>
      <c r="C6" s="10">
        <v>0</v>
      </c>
      <c r="D6" s="97" t="s">
        <v>150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34" si="3">U6+AA6</f>
        <v>944</v>
      </c>
      <c r="AC6" s="9">
        <v>120</v>
      </c>
      <c r="AD6" s="9">
        <f t="shared" ref="AD6:AD34" si="4">U6*$N$3</f>
        <v>800</v>
      </c>
      <c r="AE6" s="8">
        <v>1</v>
      </c>
      <c r="AF6" s="9">
        <f t="shared" ref="AF6:AF34" si="5">G6/AE6</f>
        <v>16</v>
      </c>
      <c r="AG6" t="s" s="36">
        <v>182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151</v>
      </c>
      <c r="C7" s="10">
        <v>0</v>
      </c>
      <c r="D7" s="97" t="s">
        <v>151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34" si="6">G7*H7</f>
        <v>850</v>
      </c>
      <c r="J7" s="34"/>
      <c r="K7" s="34"/>
      <c r="L7" s="34"/>
      <c r="M7" s="9">
        <f t="shared" ref="M7:M34" si="7">I7</f>
        <v>850</v>
      </c>
      <c r="N7" s="9">
        <f t="shared" ref="N7:N34" si="8">ROUND((M7*J7)/100,2)</f>
        <v>0</v>
      </c>
      <c r="O7" s="9">
        <f t="shared" ref="O7:O34" si="9">I7-N7</f>
        <v>850</v>
      </c>
      <c r="P7" s="9">
        <f t="shared" ref="P7:P34" si="10">ROUND((O7*K7)/100,2)</f>
        <v>0</v>
      </c>
      <c r="Q7" s="9">
        <f t="shared" ref="Q7:Q34" si="11">ROUND(O7-P7,2)</f>
        <v>850</v>
      </c>
      <c r="R7" s="9">
        <f t="shared" ref="R7:R34" si="12">ROUND((Q7*L7)/100,2)</f>
        <v>0</v>
      </c>
      <c r="S7" s="35">
        <f t="shared" ref="S7:S34" si="13">N7+P7+R7</f>
        <v>0</v>
      </c>
      <c r="T7" s="35">
        <f t="shared" ref="T7:T34" si="14">S7/G7</f>
        <v>0</v>
      </c>
      <c r="U7" s="9">
        <f t="shared" ref="U7:U34" si="15">(I7-S7)</f>
        <v>850</v>
      </c>
      <c r="V7" s="33">
        <v>88363222</v>
      </c>
      <c r="W7" s="22">
        <v>0.18</v>
      </c>
      <c r="X7" s="34">
        <f t="shared" ref="X7:X34" si="16">IF($D$3=1,ROUND(((U7*W7)/2),2),0)</f>
        <v>76.5</v>
      </c>
      <c r="Y7" s="34">
        <f t="shared" ref="Y7:Y34" si="17">IF($D$3=1,ROUND(((U7*W7)/2),2),0)</f>
        <v>76.5</v>
      </c>
      <c r="Z7" s="34">
        <f t="shared" ref="Z7:Z34" si="18">IF($D$3=2,ROUND(((U7*W7)),2),0)</f>
        <v>0</v>
      </c>
      <c r="AA7" s="34">
        <f t="shared" ref="AA7:AA3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t="s" s="36">
        <v>183</v>
      </c>
      <c r="AH7" s="34">
        <f t="shared" ref="AH7:AH34" si="20">AG7-AF7</f>
        <v>99983</v>
      </c>
      <c r="AI7" s="10" t="s">
        <v>38</v>
      </c>
      <c r="AJ7" s="10">
        <v>4010101001</v>
      </c>
      <c r="AK7" s="34">
        <f t="shared" ref="AK7:AK34" si="21">AH7</f>
        <v>99983</v>
      </c>
      <c r="AL7" s="34">
        <f t="shared" ref="AL7:AL34" si="22">AK7+G7</f>
        <v>100000</v>
      </c>
    </row>
    <row r="8" spans="1:39">
      <c r="A8" s="10">
        <v>4</v>
      </c>
      <c r="B8" s="97" t="s">
        <v>152</v>
      </c>
      <c r="C8" s="10">
        <v>0</v>
      </c>
      <c r="D8" s="97" t="s">
        <v>152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t="s" s="36">
        <v>184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153</v>
      </c>
      <c r="C9" s="10">
        <v>0</v>
      </c>
      <c r="D9" s="97" t="s">
        <v>153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t="s" s="36">
        <v>185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154</v>
      </c>
      <c r="C10" s="10">
        <v>0</v>
      </c>
      <c r="D10" s="97" t="s">
        <v>154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t="s" s="36">
        <v>186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155</v>
      </c>
      <c r="C11" s="10">
        <v>0</v>
      </c>
      <c r="D11" s="97" t="s">
        <v>155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t="s" s="36">
        <v>187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10">
        <v>8</v>
      </c>
      <c r="B12" s="97" t="s">
        <v>156</v>
      </c>
      <c r="C12" s="10">
        <v>0</v>
      </c>
      <c r="D12" s="97" t="s">
        <v>156</v>
      </c>
      <c r="E12" s="10" t="s">
        <v>32</v>
      </c>
      <c r="F12" s="10" t="s">
        <v>32</v>
      </c>
      <c r="G12" s="33">
        <v>22</v>
      </c>
      <c r="H12" s="10">
        <v>50</v>
      </c>
      <c r="I12" s="34">
        <f t="shared" si="6"/>
        <v>1100</v>
      </c>
      <c r="J12" s="34"/>
      <c r="K12" s="34"/>
      <c r="L12" s="34"/>
      <c r="M12" s="9">
        <f t="shared" si="7"/>
        <v>1100</v>
      </c>
      <c r="N12" s="9">
        <f t="shared" si="8"/>
        <v>0</v>
      </c>
      <c r="O12" s="9">
        <f t="shared" si="9"/>
        <v>1100</v>
      </c>
      <c r="P12" s="9">
        <f t="shared" si="10"/>
        <v>0</v>
      </c>
      <c r="Q12" s="9">
        <f t="shared" si="11"/>
        <v>1100</v>
      </c>
      <c r="R12" s="9">
        <f t="shared" si="12"/>
        <v>0</v>
      </c>
      <c r="S12" s="35">
        <f t="shared" si="13"/>
        <v>0</v>
      </c>
      <c r="T12" s="35">
        <f t="shared" si="14"/>
        <v>0</v>
      </c>
      <c r="U12" s="9">
        <f t="shared" si="15"/>
        <v>1100</v>
      </c>
      <c r="V12" s="33">
        <v>88363222</v>
      </c>
      <c r="W12" s="22">
        <v>0.18</v>
      </c>
      <c r="X12" s="34">
        <f t="shared" si="16"/>
        <v>99</v>
      </c>
      <c r="Y12" s="34">
        <f t="shared" si="17"/>
        <v>99</v>
      </c>
      <c r="Z12" s="34">
        <f t="shared" si="18"/>
        <v>0</v>
      </c>
      <c r="AA12" s="34">
        <f t="shared" si="19"/>
        <v>198</v>
      </c>
      <c r="AB12" s="34">
        <f t="shared" si="3"/>
        <v>1298</v>
      </c>
      <c r="AC12" s="9">
        <v>120</v>
      </c>
      <c r="AD12" s="9">
        <f t="shared" si="4"/>
        <v>1100</v>
      </c>
      <c r="AE12" s="8">
        <v>1</v>
      </c>
      <c r="AF12" s="9">
        <f t="shared" si="5"/>
        <v>22</v>
      </c>
      <c r="AG12" t="s" s="36">
        <v>188</v>
      </c>
      <c r="AH12" s="34">
        <f t="shared" si="20"/>
        <v>99978</v>
      </c>
      <c r="AI12" s="10" t="s">
        <v>38</v>
      </c>
      <c r="AJ12" s="10">
        <v>4010101001</v>
      </c>
      <c r="AK12" s="34">
        <f t="shared" si="21"/>
        <v>99978</v>
      </c>
      <c r="AL12" s="34">
        <f t="shared" si="22"/>
        <v>100000</v>
      </c>
    </row>
    <row r="13" spans="1:39">
      <c r="A13" s="10">
        <v>9</v>
      </c>
      <c r="B13" s="97" t="s">
        <v>157</v>
      </c>
      <c r="C13" s="10">
        <v>0</v>
      </c>
      <c r="D13" s="97" t="s">
        <v>157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t="s" s="36">
        <v>189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158</v>
      </c>
      <c r="C14" s="10">
        <v>0</v>
      </c>
      <c r="D14" s="97" t="s">
        <v>158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t="s" s="36">
        <v>190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>
      <c r="A15" s="10">
        <v>11</v>
      </c>
      <c r="B15" s="97" t="s">
        <v>159</v>
      </c>
      <c r="C15" s="10">
        <v>0</v>
      </c>
      <c r="D15" s="97" t="s">
        <v>159</v>
      </c>
      <c r="E15" s="10" t="s">
        <v>32</v>
      </c>
      <c r="F15" s="10" t="s">
        <v>32</v>
      </c>
      <c r="G15" s="33">
        <v>25</v>
      </c>
      <c r="H15" s="10">
        <v>50</v>
      </c>
      <c r="I15" s="34">
        <f t="shared" si="6"/>
        <v>1250</v>
      </c>
      <c r="J15" s="34"/>
      <c r="K15" s="34"/>
      <c r="L15" s="34"/>
      <c r="M15" s="9">
        <f t="shared" si="7"/>
        <v>1250</v>
      </c>
      <c r="N15" s="9">
        <f t="shared" si="8"/>
        <v>0</v>
      </c>
      <c r="O15" s="9">
        <f t="shared" si="9"/>
        <v>1250</v>
      </c>
      <c r="P15" s="9">
        <f t="shared" si="10"/>
        <v>0</v>
      </c>
      <c r="Q15" s="9">
        <f t="shared" si="11"/>
        <v>1250</v>
      </c>
      <c r="R15" s="9">
        <f t="shared" si="12"/>
        <v>0</v>
      </c>
      <c r="S15" s="35">
        <f t="shared" si="13"/>
        <v>0</v>
      </c>
      <c r="T15" s="35">
        <f t="shared" si="14"/>
        <v>0</v>
      </c>
      <c r="U15" s="9">
        <f t="shared" si="15"/>
        <v>1250</v>
      </c>
      <c r="V15" s="33">
        <v>88363222</v>
      </c>
      <c r="W15" s="22">
        <v>0.18</v>
      </c>
      <c r="X15" s="34">
        <f t="shared" si="16"/>
        <v>112.5</v>
      </c>
      <c r="Y15" s="34">
        <f t="shared" si="17"/>
        <v>112.5</v>
      </c>
      <c r="Z15" s="34">
        <f t="shared" si="18"/>
        <v>0</v>
      </c>
      <c r="AA15" s="34">
        <f t="shared" si="19"/>
        <v>225</v>
      </c>
      <c r="AB15" s="34">
        <f t="shared" si="3"/>
        <v>1475</v>
      </c>
      <c r="AC15" s="9">
        <v>120</v>
      </c>
      <c r="AD15" s="9">
        <f t="shared" si="4"/>
        <v>1250</v>
      </c>
      <c r="AE15" s="8">
        <v>1</v>
      </c>
      <c r="AF15" s="9">
        <f t="shared" si="5"/>
        <v>25</v>
      </c>
      <c r="AG15" t="s" s="36">
        <v>191</v>
      </c>
      <c r="AH15" s="34">
        <f t="shared" si="20"/>
        <v>99975</v>
      </c>
      <c r="AI15" s="10" t="s">
        <v>38</v>
      </c>
      <c r="AJ15" s="10">
        <v>4010101001</v>
      </c>
      <c r="AK15" s="34">
        <f t="shared" si="21"/>
        <v>99975</v>
      </c>
      <c r="AL15" s="34">
        <f t="shared" si="22"/>
        <v>100000</v>
      </c>
    </row>
    <row r="16" spans="1:39">
      <c r="A16" s="10">
        <v>12</v>
      </c>
      <c r="B16" s="97" t="s">
        <v>160</v>
      </c>
      <c r="C16" s="10">
        <v>0</v>
      </c>
      <c r="D16" s="97" t="s">
        <v>160</v>
      </c>
      <c r="E16" s="10" t="s">
        <v>32</v>
      </c>
      <c r="F16" s="10" t="s">
        <v>32</v>
      </c>
      <c r="G16" s="33">
        <v>26</v>
      </c>
      <c r="H16" s="10">
        <v>50</v>
      </c>
      <c r="I16" s="34">
        <f t="shared" si="6"/>
        <v>1300</v>
      </c>
      <c r="J16" s="34"/>
      <c r="K16" s="34"/>
      <c r="L16" s="34"/>
      <c r="M16" s="9">
        <f t="shared" si="7"/>
        <v>1300</v>
      </c>
      <c r="N16" s="9">
        <f t="shared" si="8"/>
        <v>0</v>
      </c>
      <c r="O16" s="9">
        <f t="shared" si="9"/>
        <v>1300</v>
      </c>
      <c r="P16" s="9">
        <f t="shared" si="10"/>
        <v>0</v>
      </c>
      <c r="Q16" s="9">
        <f t="shared" si="11"/>
        <v>1300</v>
      </c>
      <c r="R16" s="9">
        <f t="shared" si="12"/>
        <v>0</v>
      </c>
      <c r="S16" s="35">
        <f t="shared" si="13"/>
        <v>0</v>
      </c>
      <c r="T16" s="35">
        <f t="shared" si="14"/>
        <v>0</v>
      </c>
      <c r="U16" s="9">
        <f t="shared" si="15"/>
        <v>1300</v>
      </c>
      <c r="V16" s="33">
        <v>88363222</v>
      </c>
      <c r="W16" s="22">
        <v>0.18</v>
      </c>
      <c r="X16" s="34">
        <f t="shared" si="16"/>
        <v>117</v>
      </c>
      <c r="Y16" s="34">
        <f t="shared" si="17"/>
        <v>117</v>
      </c>
      <c r="Z16" s="34">
        <f t="shared" si="18"/>
        <v>0</v>
      </c>
      <c r="AA16" s="34">
        <f>X16+Y16+Z16</f>
        <v>234</v>
      </c>
      <c r="AB16" s="34">
        <f t="shared" si="3"/>
        <v>1534</v>
      </c>
      <c r="AC16" s="9">
        <v>120</v>
      </c>
      <c r="AD16" s="9">
        <f t="shared" si="4"/>
        <v>1300</v>
      </c>
      <c r="AE16" s="8">
        <v>1</v>
      </c>
      <c r="AF16" s="9">
        <f t="shared" si="5"/>
        <v>26</v>
      </c>
      <c r="AG16" t="s" s="36">
        <v>192</v>
      </c>
      <c r="AH16" s="34">
        <f t="shared" si="20"/>
        <v>99974</v>
      </c>
      <c r="AI16" s="10" t="s">
        <v>38</v>
      </c>
      <c r="AJ16" s="10">
        <v>4010101001</v>
      </c>
      <c r="AK16" s="34">
        <f t="shared" si="21"/>
        <v>99974</v>
      </c>
      <c r="AL16" s="34">
        <f t="shared" si="22"/>
        <v>100000</v>
      </c>
    </row>
    <row r="17" spans="1:38">
      <c r="A17" s="10">
        <v>13</v>
      </c>
      <c r="B17" s="97" t="s">
        <v>161</v>
      </c>
      <c r="C17" s="10">
        <v>0</v>
      </c>
      <c r="D17" s="97" t="s">
        <v>161</v>
      </c>
      <c r="E17" s="10" t="s">
        <v>32</v>
      </c>
      <c r="F17" s="10" t="s">
        <v>32</v>
      </c>
      <c r="G17" s="33">
        <v>27</v>
      </c>
      <c r="H17" s="10">
        <v>50</v>
      </c>
      <c r="I17" s="34">
        <f t="shared" si="6"/>
        <v>1350</v>
      </c>
      <c r="J17" s="34"/>
      <c r="K17" s="34"/>
      <c r="L17" s="34"/>
      <c r="M17" s="9">
        <f t="shared" si="7"/>
        <v>1350</v>
      </c>
      <c r="N17" s="9">
        <f t="shared" si="8"/>
        <v>0</v>
      </c>
      <c r="O17" s="9">
        <f t="shared" si="9"/>
        <v>1350</v>
      </c>
      <c r="P17" s="9">
        <f t="shared" si="10"/>
        <v>0</v>
      </c>
      <c r="Q17" s="9">
        <f t="shared" si="11"/>
        <v>1350</v>
      </c>
      <c r="R17" s="9">
        <f t="shared" si="12"/>
        <v>0</v>
      </c>
      <c r="S17" s="35">
        <f t="shared" si="13"/>
        <v>0</v>
      </c>
      <c r="T17" s="35">
        <f t="shared" si="14"/>
        <v>0</v>
      </c>
      <c r="U17" s="9">
        <f t="shared" si="15"/>
        <v>1350</v>
      </c>
      <c r="V17" s="33">
        <v>88363222</v>
      </c>
      <c r="W17" s="22">
        <v>0.18</v>
      </c>
      <c r="X17" s="34">
        <f t="shared" si="16"/>
        <v>121.5</v>
      </c>
      <c r="Y17" s="34">
        <f t="shared" si="17"/>
        <v>121.5</v>
      </c>
      <c r="Z17" s="34">
        <f t="shared" si="18"/>
        <v>0</v>
      </c>
      <c r="AA17" s="34">
        <f t="shared" si="19"/>
        <v>243</v>
      </c>
      <c r="AB17" s="34">
        <f t="shared" si="3"/>
        <v>1593</v>
      </c>
      <c r="AC17" s="9">
        <v>120</v>
      </c>
      <c r="AD17" s="9">
        <f t="shared" si="4"/>
        <v>1350</v>
      </c>
      <c r="AE17" s="8">
        <v>1</v>
      </c>
      <c r="AF17" s="9">
        <f t="shared" si="5"/>
        <v>27</v>
      </c>
      <c r="AG17" t="s" s="36">
        <v>193</v>
      </c>
      <c r="AH17" s="34">
        <f t="shared" si="20"/>
        <v>99973</v>
      </c>
      <c r="AI17" s="10" t="s">
        <v>38</v>
      </c>
      <c r="AJ17" s="10">
        <v>4010101001</v>
      </c>
      <c r="AK17" s="34">
        <f t="shared" si="21"/>
        <v>99973</v>
      </c>
      <c r="AL17" s="34">
        <f t="shared" si="22"/>
        <v>100000</v>
      </c>
    </row>
    <row r="18" spans="1:38">
      <c r="A18" s="10">
        <v>14</v>
      </c>
      <c r="B18" s="97" t="s">
        <v>162</v>
      </c>
      <c r="C18" s="10">
        <v>0</v>
      </c>
      <c r="D18" s="97" t="s">
        <v>162</v>
      </c>
      <c r="E18" s="10" t="s">
        <v>32</v>
      </c>
      <c r="F18" s="10" t="s">
        <v>32</v>
      </c>
      <c r="G18" s="33">
        <v>28</v>
      </c>
      <c r="H18" s="10">
        <v>50</v>
      </c>
      <c r="I18" s="34">
        <f t="shared" si="6"/>
        <v>1400</v>
      </c>
      <c r="J18" s="34"/>
      <c r="K18" s="34"/>
      <c r="L18" s="34"/>
      <c r="M18" s="9">
        <f t="shared" si="7"/>
        <v>1400</v>
      </c>
      <c r="N18" s="9">
        <f t="shared" si="8"/>
        <v>0</v>
      </c>
      <c r="O18" s="9">
        <f t="shared" si="9"/>
        <v>1400</v>
      </c>
      <c r="P18" s="9">
        <f t="shared" si="10"/>
        <v>0</v>
      </c>
      <c r="Q18" s="9">
        <f t="shared" si="11"/>
        <v>1400</v>
      </c>
      <c r="R18" s="9">
        <f t="shared" si="12"/>
        <v>0</v>
      </c>
      <c r="S18" s="35">
        <f t="shared" si="13"/>
        <v>0</v>
      </c>
      <c r="T18" s="35">
        <f t="shared" si="14"/>
        <v>0</v>
      </c>
      <c r="U18" s="9">
        <f t="shared" si="15"/>
        <v>1400</v>
      </c>
      <c r="V18" s="33">
        <v>88363222</v>
      </c>
      <c r="W18" s="22">
        <v>0.18</v>
      </c>
      <c r="X18" s="34">
        <f t="shared" si="16"/>
        <v>126</v>
      </c>
      <c r="Y18" s="34">
        <f t="shared" si="17"/>
        <v>126</v>
      </c>
      <c r="Z18" s="34">
        <f t="shared" si="18"/>
        <v>0</v>
      </c>
      <c r="AA18" s="34">
        <f t="shared" si="19"/>
        <v>252</v>
      </c>
      <c r="AB18" s="34">
        <f t="shared" si="3"/>
        <v>1652</v>
      </c>
      <c r="AC18" s="9">
        <v>120</v>
      </c>
      <c r="AD18" s="9">
        <f t="shared" si="4"/>
        <v>1400</v>
      </c>
      <c r="AE18" s="8">
        <v>1</v>
      </c>
      <c r="AF18" s="9">
        <f t="shared" si="5"/>
        <v>28</v>
      </c>
      <c r="AG18" t="s" s="36">
        <v>194</v>
      </c>
      <c r="AH18" s="34">
        <f t="shared" si="20"/>
        <v>99972</v>
      </c>
      <c r="AI18" s="10" t="s">
        <v>38</v>
      </c>
      <c r="AJ18" s="10">
        <v>4010101001</v>
      </c>
      <c r="AK18" s="34">
        <f t="shared" si="21"/>
        <v>99972</v>
      </c>
      <c r="AL18" s="34">
        <f t="shared" si="22"/>
        <v>100000</v>
      </c>
    </row>
    <row r="19" spans="1:38">
      <c r="A19" s="10">
        <v>15</v>
      </c>
      <c r="B19" s="97" t="s">
        <v>163</v>
      </c>
      <c r="C19" s="10">
        <v>0</v>
      </c>
      <c r="D19" s="97" t="s">
        <v>163</v>
      </c>
      <c r="E19" s="10" t="s">
        <v>32</v>
      </c>
      <c r="F19" s="10" t="s">
        <v>32</v>
      </c>
      <c r="G19" s="33">
        <v>29</v>
      </c>
      <c r="H19" s="10">
        <v>50</v>
      </c>
      <c r="I19" s="34">
        <f t="shared" si="6"/>
        <v>1450</v>
      </c>
      <c r="J19" s="34"/>
      <c r="K19" s="34"/>
      <c r="L19" s="34"/>
      <c r="M19" s="9">
        <f t="shared" si="7"/>
        <v>1450</v>
      </c>
      <c r="N19" s="9">
        <f t="shared" si="8"/>
        <v>0</v>
      </c>
      <c r="O19" s="9">
        <f t="shared" si="9"/>
        <v>1450</v>
      </c>
      <c r="P19" s="9">
        <f t="shared" si="10"/>
        <v>0</v>
      </c>
      <c r="Q19" s="9">
        <f t="shared" si="11"/>
        <v>1450</v>
      </c>
      <c r="R19" s="9">
        <f t="shared" si="12"/>
        <v>0</v>
      </c>
      <c r="S19" s="35">
        <f t="shared" si="13"/>
        <v>0</v>
      </c>
      <c r="T19" s="35">
        <f t="shared" si="14"/>
        <v>0</v>
      </c>
      <c r="U19" s="9">
        <f t="shared" si="15"/>
        <v>1450</v>
      </c>
      <c r="V19" s="33">
        <v>88363222</v>
      </c>
      <c r="W19" s="22">
        <v>0.18</v>
      </c>
      <c r="X19" s="34">
        <f t="shared" si="16"/>
        <v>130.5</v>
      </c>
      <c r="Y19" s="34">
        <f t="shared" si="17"/>
        <v>130.5</v>
      </c>
      <c r="Z19" s="34">
        <f t="shared" si="18"/>
        <v>0</v>
      </c>
      <c r="AA19" s="34">
        <f t="shared" si="19"/>
        <v>261</v>
      </c>
      <c r="AB19" s="34">
        <f t="shared" si="3"/>
        <v>1711</v>
      </c>
      <c r="AC19" s="9">
        <v>120</v>
      </c>
      <c r="AD19" s="9">
        <f t="shared" si="4"/>
        <v>1450</v>
      </c>
      <c r="AE19" s="8">
        <v>1</v>
      </c>
      <c r="AF19" s="9">
        <f t="shared" si="5"/>
        <v>29</v>
      </c>
      <c r="AG19" t="s" s="36">
        <v>195</v>
      </c>
      <c r="AH19" s="34">
        <f t="shared" si="20"/>
        <v>99971</v>
      </c>
      <c r="AI19" s="10" t="s">
        <v>38</v>
      </c>
      <c r="AJ19" s="10">
        <v>4010101001</v>
      </c>
      <c r="AK19" s="34">
        <f t="shared" si="21"/>
        <v>99971</v>
      </c>
      <c r="AL19" s="34">
        <f t="shared" si="22"/>
        <v>100000</v>
      </c>
    </row>
    <row r="20" spans="1:38">
      <c r="A20" s="10">
        <v>16</v>
      </c>
      <c r="B20" s="97" t="s">
        <v>164</v>
      </c>
      <c r="C20" s="10">
        <v>0</v>
      </c>
      <c r="D20" s="97" t="s">
        <v>164</v>
      </c>
      <c r="E20" s="10" t="s">
        <v>32</v>
      </c>
      <c r="F20" s="10" t="s">
        <v>32</v>
      </c>
      <c r="G20" s="33">
        <v>30</v>
      </c>
      <c r="H20" s="10">
        <v>50</v>
      </c>
      <c r="I20" s="34">
        <f t="shared" si="6"/>
        <v>1500</v>
      </c>
      <c r="J20" s="34"/>
      <c r="K20" s="34"/>
      <c r="L20" s="34"/>
      <c r="M20" s="9">
        <f t="shared" si="7"/>
        <v>1500</v>
      </c>
      <c r="N20" s="9">
        <f t="shared" si="8"/>
        <v>0</v>
      </c>
      <c r="O20" s="9">
        <f t="shared" si="9"/>
        <v>1500</v>
      </c>
      <c r="P20" s="9">
        <f t="shared" si="10"/>
        <v>0</v>
      </c>
      <c r="Q20" s="9">
        <f t="shared" si="11"/>
        <v>1500</v>
      </c>
      <c r="R20" s="9">
        <f t="shared" si="12"/>
        <v>0</v>
      </c>
      <c r="S20" s="35">
        <f t="shared" si="13"/>
        <v>0</v>
      </c>
      <c r="T20" s="35">
        <f t="shared" si="14"/>
        <v>0</v>
      </c>
      <c r="U20" s="9">
        <f t="shared" si="15"/>
        <v>1500</v>
      </c>
      <c r="V20" s="33">
        <v>88363222</v>
      </c>
      <c r="W20" s="22">
        <v>0.18</v>
      </c>
      <c r="X20" s="34">
        <f t="shared" si="16"/>
        <v>135</v>
      </c>
      <c r="Y20" s="34">
        <f t="shared" si="17"/>
        <v>135</v>
      </c>
      <c r="Z20" s="34">
        <f t="shared" si="18"/>
        <v>0</v>
      </c>
      <c r="AA20" s="34">
        <f t="shared" si="19"/>
        <v>270</v>
      </c>
      <c r="AB20" s="34">
        <f t="shared" si="3"/>
        <v>1770</v>
      </c>
      <c r="AC20" s="9">
        <v>120</v>
      </c>
      <c r="AD20" s="9">
        <f t="shared" si="4"/>
        <v>1500</v>
      </c>
      <c r="AE20" s="8">
        <v>1</v>
      </c>
      <c r="AF20" s="9">
        <f t="shared" si="5"/>
        <v>30</v>
      </c>
      <c r="AG20" t="s" s="36">
        <v>196</v>
      </c>
      <c r="AH20" s="34">
        <f t="shared" si="20"/>
        <v>99970</v>
      </c>
      <c r="AI20" s="10" t="s">
        <v>38</v>
      </c>
      <c r="AJ20" s="10">
        <v>4010101001</v>
      </c>
      <c r="AK20" s="34">
        <f t="shared" si="21"/>
        <v>99970</v>
      </c>
      <c r="AL20" s="34">
        <f t="shared" si="22"/>
        <v>100000</v>
      </c>
    </row>
    <row r="21" spans="1:38">
      <c r="A21" s="10">
        <v>17</v>
      </c>
      <c r="B21" s="97" t="s">
        <v>165</v>
      </c>
      <c r="C21" s="10">
        <v>0</v>
      </c>
      <c r="D21" s="97" t="s">
        <v>165</v>
      </c>
      <c r="E21" s="10" t="s">
        <v>32</v>
      </c>
      <c r="F21" s="10" t="s">
        <v>32</v>
      </c>
      <c r="G21" s="33">
        <v>31</v>
      </c>
      <c r="H21" s="10">
        <v>50</v>
      </c>
      <c r="I21" s="34">
        <f t="shared" si="6"/>
        <v>1550</v>
      </c>
      <c r="J21" s="34"/>
      <c r="K21" s="34"/>
      <c r="L21" s="34"/>
      <c r="M21" s="9">
        <f t="shared" si="7"/>
        <v>1550</v>
      </c>
      <c r="N21" s="9">
        <f t="shared" si="8"/>
        <v>0</v>
      </c>
      <c r="O21" s="9">
        <f t="shared" si="9"/>
        <v>1550</v>
      </c>
      <c r="P21" s="9">
        <f t="shared" si="10"/>
        <v>0</v>
      </c>
      <c r="Q21" s="9">
        <f t="shared" si="11"/>
        <v>1550</v>
      </c>
      <c r="R21" s="9">
        <f t="shared" si="12"/>
        <v>0</v>
      </c>
      <c r="S21" s="35">
        <f t="shared" si="13"/>
        <v>0</v>
      </c>
      <c r="T21" s="35">
        <f t="shared" si="14"/>
        <v>0</v>
      </c>
      <c r="U21" s="9">
        <f t="shared" si="15"/>
        <v>1550</v>
      </c>
      <c r="V21" s="33">
        <v>88363222</v>
      </c>
      <c r="W21" s="22">
        <v>0.18</v>
      </c>
      <c r="X21" s="34">
        <f t="shared" si="16"/>
        <v>139.5</v>
      </c>
      <c r="Y21" s="34">
        <f t="shared" si="17"/>
        <v>139.5</v>
      </c>
      <c r="Z21" s="34">
        <f t="shared" si="18"/>
        <v>0</v>
      </c>
      <c r="AA21" s="34">
        <f t="shared" si="19"/>
        <v>279</v>
      </c>
      <c r="AB21" s="34">
        <f t="shared" si="3"/>
        <v>1829</v>
      </c>
      <c r="AC21" s="9">
        <v>120</v>
      </c>
      <c r="AD21" s="9">
        <f t="shared" si="4"/>
        <v>1550</v>
      </c>
      <c r="AE21" s="8">
        <v>1</v>
      </c>
      <c r="AF21" s="9">
        <f t="shared" si="5"/>
        <v>31</v>
      </c>
      <c r="AG21" t="s" s="36">
        <v>197</v>
      </c>
      <c r="AH21" s="34">
        <f t="shared" si="20"/>
        <v>99969</v>
      </c>
      <c r="AI21" s="10" t="s">
        <v>38</v>
      </c>
      <c r="AJ21" s="10">
        <v>4010101001</v>
      </c>
      <c r="AK21" s="34">
        <f t="shared" si="21"/>
        <v>99969</v>
      </c>
      <c r="AL21" s="34">
        <f t="shared" si="22"/>
        <v>100000</v>
      </c>
    </row>
    <row r="22" spans="1:38">
      <c r="A22" s="10">
        <v>18</v>
      </c>
      <c r="B22" s="97" t="s">
        <v>166</v>
      </c>
      <c r="C22" s="10">
        <v>0</v>
      </c>
      <c r="D22" s="97" t="s">
        <v>166</v>
      </c>
      <c r="E22" s="10" t="s">
        <v>32</v>
      </c>
      <c r="F22" s="10" t="s">
        <v>32</v>
      </c>
      <c r="G22" s="33">
        <v>32</v>
      </c>
      <c r="H22" s="10">
        <v>50</v>
      </c>
      <c r="I22" s="34">
        <f t="shared" si="6"/>
        <v>1600</v>
      </c>
      <c r="J22" s="34"/>
      <c r="K22" s="34"/>
      <c r="L22" s="34"/>
      <c r="M22" s="9">
        <f t="shared" si="7"/>
        <v>1600</v>
      </c>
      <c r="N22" s="9">
        <f t="shared" si="8"/>
        <v>0</v>
      </c>
      <c r="O22" s="9">
        <f t="shared" si="9"/>
        <v>1600</v>
      </c>
      <c r="P22" s="9">
        <f t="shared" si="10"/>
        <v>0</v>
      </c>
      <c r="Q22" s="9">
        <f t="shared" si="11"/>
        <v>1600</v>
      </c>
      <c r="R22" s="9">
        <f t="shared" si="12"/>
        <v>0</v>
      </c>
      <c r="S22" s="35">
        <f t="shared" si="13"/>
        <v>0</v>
      </c>
      <c r="T22" s="35">
        <f t="shared" si="14"/>
        <v>0</v>
      </c>
      <c r="U22" s="9">
        <f t="shared" si="15"/>
        <v>1600</v>
      </c>
      <c r="V22" s="33">
        <v>88363222</v>
      </c>
      <c r="W22" s="22">
        <v>0.18</v>
      </c>
      <c r="X22" s="34">
        <f t="shared" si="16"/>
        <v>144</v>
      </c>
      <c r="Y22" s="34">
        <f t="shared" si="17"/>
        <v>144</v>
      </c>
      <c r="Z22" s="34">
        <f t="shared" si="18"/>
        <v>0</v>
      </c>
      <c r="AA22" s="34">
        <f t="shared" si="19"/>
        <v>288</v>
      </c>
      <c r="AB22" s="34">
        <f t="shared" si="3"/>
        <v>1888</v>
      </c>
      <c r="AC22" s="9">
        <v>120</v>
      </c>
      <c r="AD22" s="9">
        <f t="shared" si="4"/>
        <v>1600</v>
      </c>
      <c r="AE22" s="8">
        <v>1</v>
      </c>
      <c r="AF22" s="9">
        <f t="shared" si="5"/>
        <v>32</v>
      </c>
      <c r="AG22" t="s" s="36">
        <v>198</v>
      </c>
      <c r="AH22" s="34">
        <f t="shared" si="20"/>
        <v>99968</v>
      </c>
      <c r="AI22" s="10" t="s">
        <v>38</v>
      </c>
      <c r="AJ22" s="10">
        <v>4010101001</v>
      </c>
      <c r="AK22" s="34">
        <f t="shared" si="21"/>
        <v>99968</v>
      </c>
      <c r="AL22" s="34">
        <f t="shared" si="22"/>
        <v>100000</v>
      </c>
    </row>
    <row r="23" spans="1:38">
      <c r="A23" s="10">
        <v>19</v>
      </c>
      <c r="B23" s="97" t="s">
        <v>167</v>
      </c>
      <c r="C23" s="10">
        <v>0</v>
      </c>
      <c r="D23" s="97" t="s">
        <v>167</v>
      </c>
      <c r="E23" s="10" t="s">
        <v>32</v>
      </c>
      <c r="F23" s="10" t="s">
        <v>32</v>
      </c>
      <c r="G23" s="33">
        <v>33</v>
      </c>
      <c r="H23" s="10">
        <v>50</v>
      </c>
      <c r="I23" s="34">
        <f t="shared" si="6"/>
        <v>1650</v>
      </c>
      <c r="J23" s="34"/>
      <c r="K23" s="34"/>
      <c r="L23" s="34"/>
      <c r="M23" s="9">
        <f t="shared" si="7"/>
        <v>1650</v>
      </c>
      <c r="N23" s="9">
        <f t="shared" si="8"/>
        <v>0</v>
      </c>
      <c r="O23" s="9">
        <f t="shared" si="9"/>
        <v>1650</v>
      </c>
      <c r="P23" s="9">
        <f t="shared" si="10"/>
        <v>0</v>
      </c>
      <c r="Q23" s="9">
        <f t="shared" si="11"/>
        <v>1650</v>
      </c>
      <c r="R23" s="9">
        <f t="shared" si="12"/>
        <v>0</v>
      </c>
      <c r="S23" s="35">
        <f t="shared" si="13"/>
        <v>0</v>
      </c>
      <c r="T23" s="35">
        <f t="shared" si="14"/>
        <v>0</v>
      </c>
      <c r="U23" s="9">
        <f t="shared" si="15"/>
        <v>1650</v>
      </c>
      <c r="V23" s="33">
        <v>88363222</v>
      </c>
      <c r="W23" s="22">
        <v>0.18</v>
      </c>
      <c r="X23" s="34">
        <f t="shared" si="16"/>
        <v>148.5</v>
      </c>
      <c r="Y23" s="34">
        <f t="shared" si="17"/>
        <v>148.5</v>
      </c>
      <c r="Z23" s="34">
        <f t="shared" si="18"/>
        <v>0</v>
      </c>
      <c r="AA23" s="34">
        <f t="shared" si="19"/>
        <v>297</v>
      </c>
      <c r="AB23" s="34">
        <f t="shared" si="3"/>
        <v>1947</v>
      </c>
      <c r="AC23" s="9">
        <v>120</v>
      </c>
      <c r="AD23" s="9">
        <f t="shared" si="4"/>
        <v>1650</v>
      </c>
      <c r="AE23" s="8">
        <v>1</v>
      </c>
      <c r="AF23" s="9">
        <f t="shared" si="5"/>
        <v>33</v>
      </c>
      <c r="AG23" t="s" s="36">
        <v>199</v>
      </c>
      <c r="AH23" s="34">
        <f t="shared" si="20"/>
        <v>99967</v>
      </c>
      <c r="AI23" s="10" t="s">
        <v>38</v>
      </c>
      <c r="AJ23" s="10">
        <v>4010101001</v>
      </c>
      <c r="AK23" s="34">
        <f t="shared" si="21"/>
        <v>99967</v>
      </c>
      <c r="AL23" s="34">
        <f t="shared" si="22"/>
        <v>100000</v>
      </c>
    </row>
    <row r="24" spans="1:38">
      <c r="A24" s="10">
        <v>20</v>
      </c>
      <c r="B24" s="97" t="s">
        <v>168</v>
      </c>
      <c r="C24" s="10">
        <v>0</v>
      </c>
      <c r="D24" s="97" t="s">
        <v>168</v>
      </c>
      <c r="E24" s="10" t="s">
        <v>32</v>
      </c>
      <c r="F24" s="10" t="s">
        <v>32</v>
      </c>
      <c r="G24" s="33">
        <v>34</v>
      </c>
      <c r="H24" s="10">
        <v>50</v>
      </c>
      <c r="I24" s="34">
        <f t="shared" si="6"/>
        <v>1700</v>
      </c>
      <c r="J24" s="34"/>
      <c r="K24" s="34"/>
      <c r="L24" s="34"/>
      <c r="M24" s="9">
        <f t="shared" si="7"/>
        <v>1700</v>
      </c>
      <c r="N24" s="9">
        <f t="shared" si="8"/>
        <v>0</v>
      </c>
      <c r="O24" s="9">
        <f t="shared" si="9"/>
        <v>1700</v>
      </c>
      <c r="P24" s="9">
        <f t="shared" si="10"/>
        <v>0</v>
      </c>
      <c r="Q24" s="9">
        <f t="shared" si="11"/>
        <v>1700</v>
      </c>
      <c r="R24" s="9">
        <f t="shared" si="12"/>
        <v>0</v>
      </c>
      <c r="S24" s="35">
        <f t="shared" si="13"/>
        <v>0</v>
      </c>
      <c r="T24" s="35">
        <f t="shared" si="14"/>
        <v>0</v>
      </c>
      <c r="U24" s="9">
        <f t="shared" si="15"/>
        <v>1700</v>
      </c>
      <c r="V24" s="33">
        <v>88363222</v>
      </c>
      <c r="W24" s="22">
        <v>0.18</v>
      </c>
      <c r="X24" s="34">
        <f t="shared" si="16"/>
        <v>153</v>
      </c>
      <c r="Y24" s="34">
        <f t="shared" si="17"/>
        <v>153</v>
      </c>
      <c r="Z24" s="34">
        <f t="shared" si="18"/>
        <v>0</v>
      </c>
      <c r="AA24" s="34">
        <f t="shared" si="19"/>
        <v>306</v>
      </c>
      <c r="AB24" s="34">
        <f t="shared" si="3"/>
        <v>2006</v>
      </c>
      <c r="AC24" s="9">
        <v>120</v>
      </c>
      <c r="AD24" s="9">
        <f t="shared" si="4"/>
        <v>1700</v>
      </c>
      <c r="AE24" s="8">
        <v>1</v>
      </c>
      <c r="AF24" s="9">
        <f t="shared" si="5"/>
        <v>34</v>
      </c>
      <c r="AG24" t="s" s="36">
        <v>200</v>
      </c>
      <c r="AH24" s="34">
        <f t="shared" si="20"/>
        <v>99966</v>
      </c>
      <c r="AI24" s="10" t="s">
        <v>38</v>
      </c>
      <c r="AJ24" s="10">
        <v>4010101001</v>
      </c>
      <c r="AK24" s="34">
        <f t="shared" si="21"/>
        <v>99966</v>
      </c>
      <c r="AL24" s="34">
        <f t="shared" si="22"/>
        <v>100000</v>
      </c>
    </row>
    <row r="25" spans="1:38">
      <c r="A25" s="10">
        <v>21</v>
      </c>
      <c r="B25" s="97" t="s">
        <v>169</v>
      </c>
      <c r="C25" s="10">
        <v>0</v>
      </c>
      <c r="D25" s="97" t="s">
        <v>169</v>
      </c>
      <c r="E25" s="10" t="s">
        <v>32</v>
      </c>
      <c r="F25" s="10" t="s">
        <v>32</v>
      </c>
      <c r="G25" s="33">
        <v>35</v>
      </c>
      <c r="H25" s="10">
        <v>50</v>
      </c>
      <c r="I25" s="34">
        <f t="shared" si="6"/>
        <v>1750</v>
      </c>
      <c r="J25" s="34"/>
      <c r="K25" s="34"/>
      <c r="L25" s="34"/>
      <c r="M25" s="9">
        <f t="shared" si="7"/>
        <v>1750</v>
      </c>
      <c r="N25" s="9">
        <f t="shared" si="8"/>
        <v>0</v>
      </c>
      <c r="O25" s="9">
        <f t="shared" si="9"/>
        <v>1750</v>
      </c>
      <c r="P25" s="9">
        <f t="shared" si="10"/>
        <v>0</v>
      </c>
      <c r="Q25" s="9">
        <f t="shared" si="11"/>
        <v>1750</v>
      </c>
      <c r="R25" s="9">
        <f t="shared" si="12"/>
        <v>0</v>
      </c>
      <c r="S25" s="35">
        <f t="shared" si="13"/>
        <v>0</v>
      </c>
      <c r="T25" s="35">
        <f t="shared" si="14"/>
        <v>0</v>
      </c>
      <c r="U25" s="9">
        <f t="shared" si="15"/>
        <v>1750</v>
      </c>
      <c r="V25" s="33">
        <v>88363222</v>
      </c>
      <c r="W25" s="22">
        <v>0.18</v>
      </c>
      <c r="X25" s="34">
        <f t="shared" si="16"/>
        <v>157.5</v>
      </c>
      <c r="Y25" s="34">
        <f t="shared" si="17"/>
        <v>157.5</v>
      </c>
      <c r="Z25" s="34">
        <f t="shared" si="18"/>
        <v>0</v>
      </c>
      <c r="AA25" s="34">
        <f t="shared" si="19"/>
        <v>315</v>
      </c>
      <c r="AB25" s="34">
        <f t="shared" si="3"/>
        <v>2065</v>
      </c>
      <c r="AC25" s="9">
        <v>120</v>
      </c>
      <c r="AD25" s="9">
        <f t="shared" si="4"/>
        <v>1750</v>
      </c>
      <c r="AE25" s="8">
        <v>1</v>
      </c>
      <c r="AF25" s="9">
        <f t="shared" si="5"/>
        <v>35</v>
      </c>
      <c r="AG25" t="s" s="36">
        <v>201</v>
      </c>
      <c r="AH25" s="34">
        <f t="shared" si="20"/>
        <v>99965</v>
      </c>
      <c r="AI25" s="10" t="s">
        <v>38</v>
      </c>
      <c r="AJ25" s="10">
        <v>4010101001</v>
      </c>
      <c r="AK25" s="34">
        <f t="shared" si="21"/>
        <v>99965</v>
      </c>
      <c r="AL25" s="34">
        <f t="shared" si="22"/>
        <v>100000</v>
      </c>
    </row>
    <row r="26" spans="1:38">
      <c r="A26" s="10">
        <v>22</v>
      </c>
      <c r="B26" s="97" t="s">
        <v>170</v>
      </c>
      <c r="C26" s="10">
        <v>0</v>
      </c>
      <c r="D26" s="97" t="s">
        <v>170</v>
      </c>
      <c r="E26" s="10" t="s">
        <v>32</v>
      </c>
      <c r="F26" s="10" t="s">
        <v>32</v>
      </c>
      <c r="G26" s="33">
        <v>36</v>
      </c>
      <c r="H26" s="10">
        <v>50</v>
      </c>
      <c r="I26" s="34">
        <f t="shared" si="6"/>
        <v>1800</v>
      </c>
      <c r="J26" s="34"/>
      <c r="K26" s="34"/>
      <c r="L26" s="34"/>
      <c r="M26" s="9">
        <f t="shared" si="7"/>
        <v>1800</v>
      </c>
      <c r="N26" s="9">
        <f t="shared" si="8"/>
        <v>0</v>
      </c>
      <c r="O26" s="9">
        <f t="shared" si="9"/>
        <v>1800</v>
      </c>
      <c r="P26" s="9">
        <f t="shared" si="10"/>
        <v>0</v>
      </c>
      <c r="Q26" s="9">
        <f t="shared" si="11"/>
        <v>1800</v>
      </c>
      <c r="R26" s="9">
        <f t="shared" si="12"/>
        <v>0</v>
      </c>
      <c r="S26" s="35">
        <f t="shared" si="13"/>
        <v>0</v>
      </c>
      <c r="T26" s="35">
        <f t="shared" si="14"/>
        <v>0</v>
      </c>
      <c r="U26" s="9">
        <f t="shared" si="15"/>
        <v>1800</v>
      </c>
      <c r="V26" s="33">
        <v>88363222</v>
      </c>
      <c r="W26" s="22">
        <v>0.18</v>
      </c>
      <c r="X26" s="34">
        <f t="shared" si="16"/>
        <v>162</v>
      </c>
      <c r="Y26" s="34">
        <f t="shared" si="17"/>
        <v>162</v>
      </c>
      <c r="Z26" s="34">
        <f t="shared" si="18"/>
        <v>0</v>
      </c>
      <c r="AA26" s="34">
        <f t="shared" si="19"/>
        <v>324</v>
      </c>
      <c r="AB26" s="34">
        <f t="shared" si="3"/>
        <v>2124</v>
      </c>
      <c r="AC26" s="9">
        <v>120</v>
      </c>
      <c r="AD26" s="9">
        <f t="shared" si="4"/>
        <v>1800</v>
      </c>
      <c r="AE26" s="8">
        <v>1</v>
      </c>
      <c r="AF26" s="9">
        <f t="shared" si="5"/>
        <v>36</v>
      </c>
      <c r="AG26" t="s" s="36">
        <v>202</v>
      </c>
      <c r="AH26" s="34">
        <f t="shared" si="20"/>
        <v>99964</v>
      </c>
      <c r="AI26" s="10" t="s">
        <v>38</v>
      </c>
      <c r="AJ26" s="10">
        <v>4010101001</v>
      </c>
      <c r="AK26" s="34">
        <f t="shared" si="21"/>
        <v>99964</v>
      </c>
      <c r="AL26" s="34">
        <f t="shared" si="22"/>
        <v>100000</v>
      </c>
    </row>
    <row r="27" spans="1:38">
      <c r="A27" s="10">
        <v>23</v>
      </c>
      <c r="B27" s="97" t="s">
        <v>171</v>
      </c>
      <c r="C27" s="10">
        <v>0</v>
      </c>
      <c r="D27" s="97" t="s">
        <v>171</v>
      </c>
      <c r="E27" s="10" t="s">
        <v>32</v>
      </c>
      <c r="F27" s="10" t="s">
        <v>32</v>
      </c>
      <c r="G27" s="33">
        <v>37</v>
      </c>
      <c r="H27" s="10">
        <v>50</v>
      </c>
      <c r="I27" s="34">
        <f t="shared" si="6"/>
        <v>1850</v>
      </c>
      <c r="J27" s="34"/>
      <c r="K27" s="34"/>
      <c r="L27" s="34"/>
      <c r="M27" s="9">
        <f t="shared" si="7"/>
        <v>1850</v>
      </c>
      <c r="N27" s="9">
        <f t="shared" si="8"/>
        <v>0</v>
      </c>
      <c r="O27" s="9">
        <f t="shared" si="9"/>
        <v>1850</v>
      </c>
      <c r="P27" s="9">
        <f t="shared" si="10"/>
        <v>0</v>
      </c>
      <c r="Q27" s="9">
        <f t="shared" si="11"/>
        <v>1850</v>
      </c>
      <c r="R27" s="9">
        <f t="shared" si="12"/>
        <v>0</v>
      </c>
      <c r="S27" s="35">
        <f t="shared" si="13"/>
        <v>0</v>
      </c>
      <c r="T27" s="35">
        <f t="shared" si="14"/>
        <v>0</v>
      </c>
      <c r="U27" s="9">
        <f t="shared" si="15"/>
        <v>1850</v>
      </c>
      <c r="V27" s="33">
        <v>88363222</v>
      </c>
      <c r="W27" s="22">
        <v>0.18</v>
      </c>
      <c r="X27" s="34">
        <f t="shared" si="16"/>
        <v>166.5</v>
      </c>
      <c r="Y27" s="34">
        <f t="shared" si="17"/>
        <v>166.5</v>
      </c>
      <c r="Z27" s="34">
        <f t="shared" si="18"/>
        <v>0</v>
      </c>
      <c r="AA27" s="34">
        <f t="shared" si="19"/>
        <v>333</v>
      </c>
      <c r="AB27" s="34">
        <f t="shared" si="3"/>
        <v>2183</v>
      </c>
      <c r="AC27" s="9">
        <v>120</v>
      </c>
      <c r="AD27" s="9">
        <f t="shared" si="4"/>
        <v>1850</v>
      </c>
      <c r="AE27" s="8">
        <v>1</v>
      </c>
      <c r="AF27" s="9">
        <f t="shared" si="5"/>
        <v>37</v>
      </c>
      <c r="AG27" t="s" s="36">
        <v>203</v>
      </c>
      <c r="AH27" s="34">
        <f t="shared" si="20"/>
        <v>99963</v>
      </c>
      <c r="AI27" s="10" t="s">
        <v>38</v>
      </c>
      <c r="AJ27" s="10">
        <v>4010101001</v>
      </c>
      <c r="AK27" s="34">
        <f t="shared" si="21"/>
        <v>99963</v>
      </c>
      <c r="AL27" s="34">
        <f t="shared" si="22"/>
        <v>100000</v>
      </c>
    </row>
    <row r="28" spans="1:38">
      <c r="A28" s="10">
        <v>24</v>
      </c>
      <c r="B28" s="97" t="s">
        <v>172</v>
      </c>
      <c r="C28" s="10">
        <v>0</v>
      </c>
      <c r="D28" s="97" t="s">
        <v>172</v>
      </c>
      <c r="E28" s="10" t="s">
        <v>32</v>
      </c>
      <c r="F28" s="10" t="s">
        <v>32</v>
      </c>
      <c r="G28" s="33">
        <v>38</v>
      </c>
      <c r="H28" s="10">
        <v>50</v>
      </c>
      <c r="I28" s="34">
        <f t="shared" si="6"/>
        <v>1900</v>
      </c>
      <c r="J28" s="34"/>
      <c r="K28" s="34"/>
      <c r="L28" s="34"/>
      <c r="M28" s="9">
        <f t="shared" si="7"/>
        <v>1900</v>
      </c>
      <c r="N28" s="9">
        <f t="shared" si="8"/>
        <v>0</v>
      </c>
      <c r="O28" s="9">
        <f t="shared" si="9"/>
        <v>1900</v>
      </c>
      <c r="P28" s="9">
        <f t="shared" si="10"/>
        <v>0</v>
      </c>
      <c r="Q28" s="9">
        <f t="shared" si="11"/>
        <v>1900</v>
      </c>
      <c r="R28" s="9">
        <f t="shared" si="12"/>
        <v>0</v>
      </c>
      <c r="S28" s="35">
        <f t="shared" si="13"/>
        <v>0</v>
      </c>
      <c r="T28" s="35">
        <f t="shared" si="14"/>
        <v>0</v>
      </c>
      <c r="U28" s="9">
        <f t="shared" si="15"/>
        <v>1900</v>
      </c>
      <c r="V28" s="33">
        <v>88363222</v>
      </c>
      <c r="W28" s="22">
        <v>0.18</v>
      </c>
      <c r="X28" s="34">
        <f t="shared" si="16"/>
        <v>171</v>
      </c>
      <c r="Y28" s="34">
        <f t="shared" si="17"/>
        <v>171</v>
      </c>
      <c r="Z28" s="34">
        <f t="shared" si="18"/>
        <v>0</v>
      </c>
      <c r="AA28" s="34">
        <f t="shared" si="19"/>
        <v>342</v>
      </c>
      <c r="AB28" s="34">
        <f t="shared" si="3"/>
        <v>2242</v>
      </c>
      <c r="AC28" s="9">
        <v>120</v>
      </c>
      <c r="AD28" s="9">
        <f t="shared" si="4"/>
        <v>1900</v>
      </c>
      <c r="AE28" s="8">
        <v>1</v>
      </c>
      <c r="AF28" s="9">
        <f t="shared" si="5"/>
        <v>38</v>
      </c>
      <c r="AG28" t="s" s="36">
        <v>204</v>
      </c>
      <c r="AH28" s="34">
        <f t="shared" si="20"/>
        <v>99962</v>
      </c>
      <c r="AI28" s="10" t="s">
        <v>38</v>
      </c>
      <c r="AJ28" s="10">
        <v>4010101001</v>
      </c>
      <c r="AK28" s="34">
        <f t="shared" si="21"/>
        <v>99962</v>
      </c>
      <c r="AL28" s="34">
        <f t="shared" si="22"/>
        <v>100000</v>
      </c>
    </row>
    <row r="29" spans="1:38">
      <c r="A29" s="10">
        <v>25</v>
      </c>
      <c r="B29" s="97" t="s">
        <v>173</v>
      </c>
      <c r="C29" s="10">
        <v>0</v>
      </c>
      <c r="D29" s="97" t="s">
        <v>173</v>
      </c>
      <c r="E29" s="10" t="s">
        <v>32</v>
      </c>
      <c r="F29" s="10" t="s">
        <v>32</v>
      </c>
      <c r="G29" s="33">
        <v>39</v>
      </c>
      <c r="H29" s="10">
        <v>50</v>
      </c>
      <c r="I29" s="34">
        <f t="shared" si="6"/>
        <v>1950</v>
      </c>
      <c r="J29" s="34"/>
      <c r="K29" s="34"/>
      <c r="L29" s="34"/>
      <c r="M29" s="9">
        <f t="shared" si="7"/>
        <v>1950</v>
      </c>
      <c r="N29" s="9">
        <f t="shared" si="8"/>
        <v>0</v>
      </c>
      <c r="O29" s="9">
        <f t="shared" si="9"/>
        <v>1950</v>
      </c>
      <c r="P29" s="9">
        <f t="shared" si="10"/>
        <v>0</v>
      </c>
      <c r="Q29" s="9">
        <f t="shared" si="11"/>
        <v>1950</v>
      </c>
      <c r="R29" s="9">
        <f t="shared" si="12"/>
        <v>0</v>
      </c>
      <c r="S29" s="35">
        <f t="shared" si="13"/>
        <v>0</v>
      </c>
      <c r="T29" s="35">
        <f t="shared" si="14"/>
        <v>0</v>
      </c>
      <c r="U29" s="9">
        <f t="shared" si="15"/>
        <v>1950</v>
      </c>
      <c r="V29" s="33">
        <v>88363222</v>
      </c>
      <c r="W29" s="22">
        <v>0.18</v>
      </c>
      <c r="X29" s="34">
        <f t="shared" si="16"/>
        <v>175.5</v>
      </c>
      <c r="Y29" s="34">
        <f t="shared" si="17"/>
        <v>175.5</v>
      </c>
      <c r="Z29" s="34">
        <f t="shared" si="18"/>
        <v>0</v>
      </c>
      <c r="AA29" s="34">
        <f t="shared" si="19"/>
        <v>351</v>
      </c>
      <c r="AB29" s="34">
        <f t="shared" si="3"/>
        <v>2301</v>
      </c>
      <c r="AC29" s="9">
        <v>120</v>
      </c>
      <c r="AD29" s="9">
        <f t="shared" si="4"/>
        <v>1950</v>
      </c>
      <c r="AE29" s="8">
        <v>1</v>
      </c>
      <c r="AF29" s="9">
        <f t="shared" si="5"/>
        <v>39</v>
      </c>
      <c r="AG29" t="s" s="36">
        <v>205</v>
      </c>
      <c r="AH29" s="34">
        <f t="shared" si="20"/>
        <v>99961</v>
      </c>
      <c r="AI29" s="10" t="s">
        <v>38</v>
      </c>
      <c r="AJ29" s="10">
        <v>4010101001</v>
      </c>
      <c r="AK29" s="34">
        <f t="shared" si="21"/>
        <v>99961</v>
      </c>
      <c r="AL29" s="34">
        <f t="shared" si="22"/>
        <v>100000</v>
      </c>
    </row>
    <row r="30" spans="1:38">
      <c r="A30" s="10">
        <v>26</v>
      </c>
      <c r="B30" s="97" t="s">
        <v>174</v>
      </c>
      <c r="C30" s="10">
        <v>0</v>
      </c>
      <c r="D30" s="97" t="s">
        <v>174</v>
      </c>
      <c r="E30" s="10" t="s">
        <v>32</v>
      </c>
      <c r="F30" s="10" t="s">
        <v>32</v>
      </c>
      <c r="G30" s="33">
        <v>40</v>
      </c>
      <c r="H30" s="10">
        <v>50</v>
      </c>
      <c r="I30" s="34">
        <f t="shared" si="6"/>
        <v>2000</v>
      </c>
      <c r="J30" s="34"/>
      <c r="K30" s="34"/>
      <c r="L30" s="34"/>
      <c r="M30" s="9">
        <f t="shared" si="7"/>
        <v>2000</v>
      </c>
      <c r="N30" s="9">
        <f t="shared" si="8"/>
        <v>0</v>
      </c>
      <c r="O30" s="9">
        <f t="shared" si="9"/>
        <v>2000</v>
      </c>
      <c r="P30" s="9">
        <f t="shared" si="10"/>
        <v>0</v>
      </c>
      <c r="Q30" s="9">
        <f t="shared" si="11"/>
        <v>2000</v>
      </c>
      <c r="R30" s="9">
        <f t="shared" si="12"/>
        <v>0</v>
      </c>
      <c r="S30" s="35">
        <f t="shared" si="13"/>
        <v>0</v>
      </c>
      <c r="T30" s="35">
        <f t="shared" si="14"/>
        <v>0</v>
      </c>
      <c r="U30" s="9">
        <f t="shared" si="15"/>
        <v>2000</v>
      </c>
      <c r="V30" s="33">
        <v>88363222</v>
      </c>
      <c r="W30" s="22">
        <v>0.18</v>
      </c>
      <c r="X30" s="34">
        <f t="shared" si="16"/>
        <v>180</v>
      </c>
      <c r="Y30" s="34">
        <f t="shared" si="17"/>
        <v>180</v>
      </c>
      <c r="Z30" s="34">
        <f t="shared" si="18"/>
        <v>0</v>
      </c>
      <c r="AA30" s="34">
        <f t="shared" si="19"/>
        <v>360</v>
      </c>
      <c r="AB30" s="34">
        <f t="shared" si="3"/>
        <v>2360</v>
      </c>
      <c r="AC30" s="9">
        <v>120</v>
      </c>
      <c r="AD30" s="9">
        <f t="shared" si="4"/>
        <v>2000</v>
      </c>
      <c r="AE30" s="8">
        <v>1</v>
      </c>
      <c r="AF30" s="9">
        <f t="shared" si="5"/>
        <v>40</v>
      </c>
      <c r="AG30" t="s" s="36">
        <v>206</v>
      </c>
      <c r="AH30" s="34">
        <f t="shared" si="20"/>
        <v>99960</v>
      </c>
      <c r="AI30" s="10" t="s">
        <v>38</v>
      </c>
      <c r="AJ30" s="10">
        <v>4010101001</v>
      </c>
      <c r="AK30" s="34">
        <f t="shared" si="21"/>
        <v>99960</v>
      </c>
      <c r="AL30" s="34">
        <f t="shared" si="22"/>
        <v>100000</v>
      </c>
    </row>
    <row r="31" spans="1:38">
      <c r="A31" s="10">
        <v>27</v>
      </c>
      <c r="B31" s="97" t="s">
        <v>175</v>
      </c>
      <c r="C31" s="10">
        <v>0</v>
      </c>
      <c r="D31" s="97" t="s">
        <v>175</v>
      </c>
      <c r="E31" s="10" t="s">
        <v>32</v>
      </c>
      <c r="F31" s="10" t="s">
        <v>32</v>
      </c>
      <c r="G31" s="33">
        <v>41</v>
      </c>
      <c r="H31" s="10">
        <v>50</v>
      </c>
      <c r="I31" s="34">
        <f t="shared" si="6"/>
        <v>2050</v>
      </c>
      <c r="J31" s="34"/>
      <c r="K31" s="34"/>
      <c r="L31" s="34"/>
      <c r="M31" s="9">
        <f t="shared" si="7"/>
        <v>2050</v>
      </c>
      <c r="N31" s="9">
        <f t="shared" si="8"/>
        <v>0</v>
      </c>
      <c r="O31" s="9">
        <f t="shared" si="9"/>
        <v>2050</v>
      </c>
      <c r="P31" s="9">
        <f t="shared" si="10"/>
        <v>0</v>
      </c>
      <c r="Q31" s="9">
        <f t="shared" si="11"/>
        <v>2050</v>
      </c>
      <c r="R31" s="9">
        <f t="shared" si="12"/>
        <v>0</v>
      </c>
      <c r="S31" s="35">
        <f t="shared" si="13"/>
        <v>0</v>
      </c>
      <c r="T31" s="35">
        <f t="shared" si="14"/>
        <v>0</v>
      </c>
      <c r="U31" s="9">
        <f t="shared" si="15"/>
        <v>2050</v>
      </c>
      <c r="V31" s="33">
        <v>88363222</v>
      </c>
      <c r="W31" s="22">
        <v>0.18</v>
      </c>
      <c r="X31" s="34">
        <f t="shared" si="16"/>
        <v>184.5</v>
      </c>
      <c r="Y31" s="34">
        <f t="shared" si="17"/>
        <v>184.5</v>
      </c>
      <c r="Z31" s="34">
        <f t="shared" si="18"/>
        <v>0</v>
      </c>
      <c r="AA31" s="34">
        <f t="shared" si="19"/>
        <v>369</v>
      </c>
      <c r="AB31" s="34">
        <f t="shared" si="3"/>
        <v>2419</v>
      </c>
      <c r="AC31" s="9">
        <v>120</v>
      </c>
      <c r="AD31" s="9">
        <f t="shared" si="4"/>
        <v>2050</v>
      </c>
      <c r="AE31" s="8">
        <v>1</v>
      </c>
      <c r="AF31" s="9">
        <f t="shared" si="5"/>
        <v>41</v>
      </c>
      <c r="AG31" t="s" s="36">
        <v>207</v>
      </c>
      <c r="AH31" s="34">
        <f t="shared" si="20"/>
        <v>99959</v>
      </c>
      <c r="AI31" s="10" t="s">
        <v>38</v>
      </c>
      <c r="AJ31" s="10">
        <v>4010101001</v>
      </c>
      <c r="AK31" s="34">
        <f t="shared" si="21"/>
        <v>99959</v>
      </c>
      <c r="AL31" s="34">
        <f t="shared" si="22"/>
        <v>100000</v>
      </c>
    </row>
    <row r="32" spans="1:38">
      <c r="A32" s="10">
        <v>28</v>
      </c>
      <c r="B32" s="97" t="s">
        <v>176</v>
      </c>
      <c r="C32" s="10">
        <v>0</v>
      </c>
      <c r="D32" s="97" t="s">
        <v>176</v>
      </c>
      <c r="E32" s="10" t="s">
        <v>32</v>
      </c>
      <c r="F32" s="10" t="s">
        <v>32</v>
      </c>
      <c r="G32" s="33">
        <v>42</v>
      </c>
      <c r="H32" s="10">
        <v>50</v>
      </c>
      <c r="I32" s="34">
        <f t="shared" si="6"/>
        <v>2100</v>
      </c>
      <c r="J32" s="34"/>
      <c r="K32" s="34"/>
      <c r="L32" s="34"/>
      <c r="M32" s="9">
        <f t="shared" si="7"/>
        <v>2100</v>
      </c>
      <c r="N32" s="9">
        <f t="shared" si="8"/>
        <v>0</v>
      </c>
      <c r="O32" s="9">
        <f t="shared" si="9"/>
        <v>2100</v>
      </c>
      <c r="P32" s="9">
        <f t="shared" si="10"/>
        <v>0</v>
      </c>
      <c r="Q32" s="9">
        <f t="shared" si="11"/>
        <v>2100</v>
      </c>
      <c r="R32" s="9">
        <f t="shared" si="12"/>
        <v>0</v>
      </c>
      <c r="S32" s="35">
        <f t="shared" si="13"/>
        <v>0</v>
      </c>
      <c r="T32" s="35">
        <f t="shared" si="14"/>
        <v>0</v>
      </c>
      <c r="U32" s="9">
        <f t="shared" si="15"/>
        <v>2100</v>
      </c>
      <c r="V32" s="33">
        <v>88363222</v>
      </c>
      <c r="W32" s="22">
        <v>0.18</v>
      </c>
      <c r="X32" s="34">
        <f t="shared" si="16"/>
        <v>189</v>
      </c>
      <c r="Y32" s="34">
        <f t="shared" si="17"/>
        <v>189</v>
      </c>
      <c r="Z32" s="34">
        <f t="shared" si="18"/>
        <v>0</v>
      </c>
      <c r="AA32" s="34">
        <f t="shared" si="19"/>
        <v>378</v>
      </c>
      <c r="AB32" s="34">
        <f t="shared" si="3"/>
        <v>2478</v>
      </c>
      <c r="AC32" s="9">
        <v>120</v>
      </c>
      <c r="AD32" s="9">
        <f t="shared" si="4"/>
        <v>2100</v>
      </c>
      <c r="AE32" s="8">
        <v>1</v>
      </c>
      <c r="AF32" s="9">
        <f t="shared" si="5"/>
        <v>42</v>
      </c>
      <c r="AG32" t="s" s="36">
        <v>208</v>
      </c>
      <c r="AH32" s="34">
        <f t="shared" si="20"/>
        <v>99958</v>
      </c>
      <c r="AI32" s="10" t="s">
        <v>38</v>
      </c>
      <c r="AJ32" s="10">
        <v>4010101001</v>
      </c>
      <c r="AK32" s="34">
        <f t="shared" si="21"/>
        <v>99958</v>
      </c>
      <c r="AL32" s="34">
        <f t="shared" si="22"/>
        <v>100000</v>
      </c>
    </row>
    <row r="33" spans="1:38">
      <c r="A33" s="10">
        <v>29</v>
      </c>
      <c r="B33" s="97" t="s">
        <v>177</v>
      </c>
      <c r="C33" s="10">
        <v>0</v>
      </c>
      <c r="D33" s="97" t="s">
        <v>177</v>
      </c>
      <c r="E33" s="10" t="s">
        <v>32</v>
      </c>
      <c r="F33" s="10" t="s">
        <v>32</v>
      </c>
      <c r="G33" s="33">
        <v>43</v>
      </c>
      <c r="H33" s="10">
        <v>50</v>
      </c>
      <c r="I33" s="34">
        <f t="shared" si="6"/>
        <v>2150</v>
      </c>
      <c r="J33" s="34"/>
      <c r="K33" s="34"/>
      <c r="L33" s="34"/>
      <c r="M33" s="9">
        <f t="shared" si="7"/>
        <v>2150</v>
      </c>
      <c r="N33" s="9">
        <f t="shared" si="8"/>
        <v>0</v>
      </c>
      <c r="O33" s="9">
        <f t="shared" si="9"/>
        <v>2150</v>
      </c>
      <c r="P33" s="9">
        <f t="shared" si="10"/>
        <v>0</v>
      </c>
      <c r="Q33" s="9">
        <f t="shared" si="11"/>
        <v>2150</v>
      </c>
      <c r="R33" s="9">
        <f t="shared" si="12"/>
        <v>0</v>
      </c>
      <c r="S33" s="35">
        <f t="shared" si="13"/>
        <v>0</v>
      </c>
      <c r="T33" s="35">
        <f t="shared" si="14"/>
        <v>0</v>
      </c>
      <c r="U33" s="9">
        <f t="shared" si="15"/>
        <v>2150</v>
      </c>
      <c r="V33" s="33">
        <v>88363222</v>
      </c>
      <c r="W33" s="22">
        <v>0.18</v>
      </c>
      <c r="X33" s="34">
        <f t="shared" si="16"/>
        <v>193.5</v>
      </c>
      <c r="Y33" s="34">
        <f t="shared" si="17"/>
        <v>193.5</v>
      </c>
      <c r="Z33" s="34">
        <f t="shared" si="18"/>
        <v>0</v>
      </c>
      <c r="AA33" s="34">
        <f t="shared" si="19"/>
        <v>387</v>
      </c>
      <c r="AB33" s="34">
        <f t="shared" si="3"/>
        <v>2537</v>
      </c>
      <c r="AC33" s="9">
        <v>120</v>
      </c>
      <c r="AD33" s="9">
        <f t="shared" si="4"/>
        <v>2150</v>
      </c>
      <c r="AE33" s="8">
        <v>1</v>
      </c>
      <c r="AF33" s="9">
        <f t="shared" si="5"/>
        <v>43</v>
      </c>
      <c r="AG33" t="s" s="36">
        <v>209</v>
      </c>
      <c r="AH33" s="34">
        <f t="shared" si="20"/>
        <v>99957</v>
      </c>
      <c r="AI33" s="10" t="s">
        <v>38</v>
      </c>
      <c r="AJ33" s="10">
        <v>4010101001</v>
      </c>
      <c r="AK33" s="34">
        <f t="shared" si="21"/>
        <v>99957</v>
      </c>
      <c r="AL33" s="34">
        <f t="shared" si="22"/>
        <v>100000</v>
      </c>
    </row>
    <row r="34" spans="1:38">
      <c r="A34" s="10">
        <v>30</v>
      </c>
      <c r="B34" s="97" t="s">
        <v>178</v>
      </c>
      <c r="C34" s="10">
        <v>0</v>
      </c>
      <c r="D34" s="97" t="s">
        <v>178</v>
      </c>
      <c r="E34" s="10" t="s">
        <v>32</v>
      </c>
      <c r="F34" s="10" t="s">
        <v>32</v>
      </c>
      <c r="G34" s="33">
        <v>44</v>
      </c>
      <c r="H34" s="10">
        <v>50</v>
      </c>
      <c r="I34" s="34">
        <f t="shared" si="6"/>
        <v>2200</v>
      </c>
      <c r="J34" s="34"/>
      <c r="K34" s="34"/>
      <c r="L34" s="34"/>
      <c r="M34" s="9">
        <f t="shared" si="7"/>
        <v>2200</v>
      </c>
      <c r="N34" s="9">
        <f t="shared" si="8"/>
        <v>0</v>
      </c>
      <c r="O34" s="9">
        <f t="shared" si="9"/>
        <v>2200</v>
      </c>
      <c r="P34" s="9">
        <f t="shared" si="10"/>
        <v>0</v>
      </c>
      <c r="Q34" s="9">
        <f t="shared" si="11"/>
        <v>2200</v>
      </c>
      <c r="R34" s="9">
        <f t="shared" si="12"/>
        <v>0</v>
      </c>
      <c r="S34" s="35">
        <f t="shared" si="13"/>
        <v>0</v>
      </c>
      <c r="T34" s="35">
        <f t="shared" si="14"/>
        <v>0</v>
      </c>
      <c r="U34" s="9">
        <f t="shared" si="15"/>
        <v>2200</v>
      </c>
      <c r="V34" s="33">
        <v>88363222</v>
      </c>
      <c r="W34" s="22">
        <v>0.18</v>
      </c>
      <c r="X34" s="34">
        <f t="shared" si="16"/>
        <v>198</v>
      </c>
      <c r="Y34" s="34">
        <f t="shared" si="17"/>
        <v>198</v>
      </c>
      <c r="Z34" s="34">
        <f t="shared" si="18"/>
        <v>0</v>
      </c>
      <c r="AA34" s="34">
        <f t="shared" si="19"/>
        <v>396</v>
      </c>
      <c r="AB34" s="34">
        <f t="shared" si="3"/>
        <v>2596</v>
      </c>
      <c r="AC34" s="9">
        <v>120</v>
      </c>
      <c r="AD34" s="9">
        <f t="shared" si="4"/>
        <v>2200</v>
      </c>
      <c r="AE34" s="8">
        <v>1</v>
      </c>
      <c r="AF34" s="9">
        <f t="shared" si="5"/>
        <v>44</v>
      </c>
      <c r="AG34" t="s" s="36">
        <v>210</v>
      </c>
      <c r="AH34" s="34">
        <f t="shared" si="20"/>
        <v>99956</v>
      </c>
      <c r="AI34" s="10" t="s">
        <v>38</v>
      </c>
      <c r="AJ34" s="10">
        <v>4010101001</v>
      </c>
      <c r="AK34" s="34">
        <f t="shared" si="21"/>
        <v>99956</v>
      </c>
      <c r="AL34" s="34">
        <f t="shared" si="22"/>
        <v>100000</v>
      </c>
    </row>
    <row r="35" spans="1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1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4"/>
      <c r="AD1" s="54"/>
      <c r="AE1" s="54"/>
      <c r="AF1" s="54"/>
      <c r="AG1" s="27"/>
    </row>
    <row r="2" spans="1:39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9" ht="19.899999999999999" customHeight="1">
      <c r="A3" s="98" t="s">
        <v>0</v>
      </c>
      <c r="B3" s="98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149</v>
      </c>
      <c r="AH5" s="34">
        <f>AG5-AF5</f>
        <v>66013</v>
      </c>
      <c r="AI5" s="10" t="s">
        <v>38</v>
      </c>
      <c r="AJ5" s="10">
        <v>4010101001</v>
      </c>
      <c r="AK5" s="34">
        <f>AH5</f>
        <v>66013</v>
      </c>
      <c r="AL5" s="34">
        <f>AK5+G5</f>
        <v>66028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98" t="s">
        <v>0</v>
      </c>
      <c r="B3" s="98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106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8" t="s">
        <v>0</v>
      </c>
      <c r="B3" s="9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107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8" t="s">
        <v>0</v>
      </c>
      <c r="B3" s="9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108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8" t="s">
        <v>0</v>
      </c>
      <c r="B3" s="9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85</v>
      </c>
      <c r="C5" s="10">
        <v>0</v>
      </c>
      <c r="D5" s="60" t="s">
        <v>85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109</v>
      </c>
      <c r="AH5" s="9">
        <f>AG5-AF5</f>
        <v>80704</v>
      </c>
      <c r="AI5" s="63" t="s">
        <v>87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8" t="s">
        <v>0</v>
      </c>
      <c r="B3" s="9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86</v>
      </c>
      <c r="C5" s="10">
        <v>0</v>
      </c>
      <c r="D5" s="60" t="s">
        <v>86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113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98" t="s">
        <v>0</v>
      </c>
      <c r="B3" s="98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88</v>
      </c>
      <c r="AL4" s="20" t="s">
        <v>89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90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112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98" t="s">
        <v>0</v>
      </c>
      <c r="B3" s="98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123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98" t="s">
        <v>0</v>
      </c>
      <c r="B3" s="98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91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111</v>
      </c>
      <c r="AH5" s="9">
        <f>AG5-AF5</f>
        <v>9630</v>
      </c>
      <c r="AI5" s="10" t="s">
        <v>38</v>
      </c>
      <c r="AJ5" s="10">
        <v>4010101001</v>
      </c>
      <c r="AK5" s="66" t="s">
        <v>93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110</v>
      </c>
      <c r="AH6" s="9">
        <f>AG6-AF6</f>
        <v>78219</v>
      </c>
      <c r="AI6" s="10" t="s">
        <v>38</v>
      </c>
      <c r="AJ6" s="10">
        <v>4010101001</v>
      </c>
      <c r="AK6" s="66" t="s">
        <v>92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S1" workbookViewId="0">
      <selection activeCell="X5" sqref="X5:Z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98" t="s">
        <v>0</v>
      </c>
      <c r="B3" s="98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116</v>
      </c>
      <c r="AL4" s="19" t="s">
        <v>118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111</v>
      </c>
      <c r="AH5" s="9">
        <f>AG5-AF5</f>
        <v>9612.5</v>
      </c>
      <c r="AI5" s="10" t="s">
        <v>38</v>
      </c>
      <c r="AJ5" s="10">
        <v>4010101001</v>
      </c>
      <c r="AK5" s="72" t="s">
        <v>114</v>
      </c>
      <c r="AL5" s="72" t="s">
        <v>117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110</v>
      </c>
      <c r="AH6" s="9">
        <f>AG6-AF6</f>
        <v>78104</v>
      </c>
      <c r="AI6" s="10" t="s">
        <v>38</v>
      </c>
      <c r="AJ6" s="10">
        <v>4010101001</v>
      </c>
      <c r="AK6" s="66" t="s">
        <v>115</v>
      </c>
      <c r="AL6" s="66" t="s">
        <v>117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X5" sqref="X5:Z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98" t="s">
        <v>0</v>
      </c>
      <c r="B3" s="98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116</v>
      </c>
      <c r="AL4" s="19" t="s">
        <v>118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111</v>
      </c>
      <c r="AH5" s="9">
        <f>AG5-AF5</f>
        <v>9612.5</v>
      </c>
      <c r="AI5" s="10" t="s">
        <v>38</v>
      </c>
      <c r="AJ5" s="10">
        <v>4010101001</v>
      </c>
      <c r="AK5" s="72" t="s">
        <v>114</v>
      </c>
      <c r="AL5" s="72" t="s">
        <v>117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110</v>
      </c>
      <c r="AH6" s="9">
        <f>AG6-AF6</f>
        <v>78104</v>
      </c>
      <c r="AI6" s="10" t="s">
        <v>38</v>
      </c>
      <c r="AJ6" s="10">
        <v>4010101001</v>
      </c>
      <c r="AK6" s="66" t="s">
        <v>115</v>
      </c>
      <c r="AL6" s="66" t="s">
        <v>117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98" t="s">
        <v>0</v>
      </c>
      <c r="B3" s="98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119</v>
      </c>
      <c r="AL4" s="19" t="s">
        <v>118</v>
      </c>
    </row>
    <row r="5" spans="1:38" ht="15">
      <c r="A5" s="10">
        <v>1</v>
      </c>
      <c r="B5" s="42" t="s">
        <v>86</v>
      </c>
      <c r="C5" s="10">
        <v>0</v>
      </c>
      <c r="D5" s="42" t="s">
        <v>86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120</v>
      </c>
      <c r="AL5" s="72" t="s">
        <v>117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Y5" sqref="Y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98" t="s">
        <v>0</v>
      </c>
      <c r="B3" s="98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119</v>
      </c>
      <c r="AL4" s="19" t="s">
        <v>118</v>
      </c>
    </row>
    <row r="5" spans="1:38" ht="15">
      <c r="A5" s="10">
        <v>1</v>
      </c>
      <c r="B5" s="42" t="s">
        <v>86</v>
      </c>
      <c r="C5" s="10">
        <v>0</v>
      </c>
      <c r="D5" s="42" t="s">
        <v>86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120</v>
      </c>
      <c r="AL5" s="72" t="s">
        <v>117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98" t="s">
        <v>0</v>
      </c>
      <c r="B3" s="98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119</v>
      </c>
      <c r="AL4" s="19" t="s">
        <v>118</v>
      </c>
    </row>
    <row r="5" spans="1:38" ht="15">
      <c r="A5" s="10">
        <v>1</v>
      </c>
      <c r="B5" s="42" t="s">
        <v>86</v>
      </c>
      <c r="C5" s="10">
        <v>0</v>
      </c>
      <c r="D5" s="42" t="s">
        <v>86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120</v>
      </c>
      <c r="AL5" s="72" t="s">
        <v>117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98" t="s">
        <v>0</v>
      </c>
      <c r="B3" s="98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130</v>
      </c>
      <c r="AH5" s="34">
        <f>AG5-AF5</f>
        <v>49586</v>
      </c>
      <c r="AI5" s="10" t="s">
        <v>121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9" t="s">
        <v>39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98" t="s">
        <v>0</v>
      </c>
      <c r="B3" s="98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124</v>
      </c>
      <c r="AL4" s="20" t="s">
        <v>122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129</v>
      </c>
      <c r="AH5" s="34">
        <f>AG5-AF5</f>
        <v>65983</v>
      </c>
      <c r="AI5" s="10" t="s">
        <v>121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24" sqref="F24"/>
    </sheetView>
  </sheetViews>
  <sheetFormatPr defaultColWidth="9" defaultRowHeight="1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2025-05-07T10:05:42Z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