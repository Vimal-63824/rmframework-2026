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11" activeTab="11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" sheetId="43" r:id="rId34"/>
    <sheet name="DirectSCOWithProject" sheetId="45" r:id="rId35"/>
    <sheet name="DirectSCOSerialWithSO" sheetId="47" r:id="rId36"/>
    <sheet name="DirectSCOWithSOandConv" sheetId="44" r:id="rId37"/>
    <sheet name="DirectSCOWithConv" sheetId="42" r:id="rId38"/>
    <sheet name="DirectSCOSerialWithPrj" sheetId="48" r:id="rId39"/>
    <sheet name="DirectSCOSerial" sheetId="46" r:id="rId40"/>
    <sheet name="ProcCalculationLocalUnreg" sheetId="52" r:id="rId41"/>
    <sheet name="ProcCalculationInterstateReg" sheetId="53" r:id="rId42"/>
    <sheet name="ProcCalculationUTGSTreg" sheetId="56" r:id="rId43"/>
    <sheet name="ProcCalculationUTGSTUnreg" sheetId="55" r:id="rId44"/>
    <sheet name="ProcCalculationInterstateUnreg" sheetId="54" r:id="rId45"/>
    <sheet name="ProcCalculationLocalReg" sheetId="51" r:id="rId46"/>
    <sheet name="DirectSCO" sheetId="39" r:id="rId47"/>
    <sheet name="SCOCharges" sheetId="57" r:id="rId48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5" i="13"/>
  <c r="AK5"/>
  <c r="AH5"/>
  <c r="AH5" i="19"/>
  <c r="AA5" i="58"/>
  <c r="AK5"/>
  <c r="X5"/>
  <c r="AH5"/>
  <c r="AF5"/>
  <c r="Y5"/>
  <c r="N5"/>
  <c r="M5"/>
  <c r="I5"/>
  <c r="AF6" i="8"/>
  <c r="R5" i="57"/>
  <c r="P5"/>
  <c r="O5"/>
  <c r="I5"/>
  <c r="J5" s="1"/>
  <c r="Q5" i="56"/>
  <c r="P5"/>
  <c r="O5"/>
  <c r="I5"/>
  <c r="J5" s="1"/>
  <c r="Q5" i="51"/>
  <c r="P5"/>
  <c r="O5"/>
  <c r="I5"/>
  <c r="K5" s="1"/>
  <c r="Q5" i="54"/>
  <c r="P5"/>
  <c r="O5"/>
  <c r="I5"/>
  <c r="J5" s="1"/>
  <c r="Q5" i="53"/>
  <c r="P5"/>
  <c r="O5"/>
  <c r="I5"/>
  <c r="K5" s="1"/>
  <c r="Q5" i="52"/>
  <c r="P5"/>
  <c r="O5"/>
  <c r="I5"/>
  <c r="K5" s="1"/>
  <c r="R5" i="55"/>
  <c r="P5"/>
  <c r="O5"/>
  <c r="I5"/>
  <c r="J5" s="1"/>
  <c r="O5" i="58" l="1"/>
  <c r="K5" i="57"/>
  <c r="K5" i="56"/>
  <c r="R5" i="51"/>
  <c r="S5" s="1"/>
  <c r="T5"/>
  <c r="J5"/>
  <c r="K5" i="54"/>
  <c r="R5" i="53"/>
  <c r="S5" s="1"/>
  <c r="T5"/>
  <c r="J5"/>
  <c r="R5" i="52"/>
  <c r="S5" s="1"/>
  <c r="T5"/>
  <c r="J5"/>
  <c r="K5" i="55"/>
  <c r="P5" i="58" l="1"/>
  <c r="Q5" s="1"/>
  <c r="R5" s="1"/>
  <c r="Q5" i="57"/>
  <c r="S5" s="1"/>
  <c r="T5"/>
  <c r="R5" i="56"/>
  <c r="S5" s="1"/>
  <c r="T5"/>
  <c r="R5" i="54"/>
  <c r="S5" s="1"/>
  <c r="T5"/>
  <c r="T5" i="55"/>
  <c r="Q5"/>
  <c r="S5" s="1"/>
  <c r="I5" i="43"/>
  <c r="J5" s="1"/>
  <c r="I5" i="45"/>
  <c r="J5" s="1"/>
  <c r="I5" i="47"/>
  <c r="J5" s="1"/>
  <c r="I5" i="44"/>
  <c r="J5" s="1"/>
  <c r="I5" i="42"/>
  <c r="J5" s="1"/>
  <c r="I5" i="48"/>
  <c r="J5" s="1"/>
  <c r="S5" i="58" l="1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U5" i="58" l="1"/>
  <c r="T5"/>
  <c r="K5" i="39"/>
  <c r="M5" s="1"/>
  <c r="J5" i="46"/>
  <c r="AH5" i="1"/>
  <c r="AQ5" i="13"/>
  <c r="AP5"/>
  <c r="AF5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H6" i="1"/>
  <c r="AF5" i="33"/>
  <c r="AH5" s="1"/>
  <c r="AK5" s="1"/>
  <c r="AL5" s="1"/>
  <c r="Z5"/>
  <c r="I5"/>
  <c r="AH5" i="32"/>
  <c r="AK5" s="1"/>
  <c r="AL5" s="1"/>
  <c r="AF5"/>
  <c r="Z5"/>
  <c r="N5"/>
  <c r="M5"/>
  <c r="I5"/>
  <c r="AH5" i="31"/>
  <c r="AK5" s="1"/>
  <c r="AL5" s="1"/>
  <c r="AF5"/>
  <c r="Z5"/>
  <c r="M5"/>
  <c r="N5" s="1"/>
  <c r="I5"/>
  <c r="AL5" i="30"/>
  <c r="AK5"/>
  <c r="AH5"/>
  <c r="AF5"/>
  <c r="Z5"/>
  <c r="N5"/>
  <c r="M5"/>
  <c r="I5"/>
  <c r="AL5" i="29"/>
  <c r="AK5"/>
  <c r="AH5"/>
  <c r="AF5"/>
  <c r="Z5"/>
  <c r="M5"/>
  <c r="N5" s="1"/>
  <c r="I5"/>
  <c r="AF5" i="28"/>
  <c r="AH5" s="1"/>
  <c r="Z5"/>
  <c r="Y5"/>
  <c r="X5"/>
  <c r="AA5" s="1"/>
  <c r="N5"/>
  <c r="M5"/>
  <c r="I5"/>
  <c r="AM6" i="4"/>
  <c r="AM5"/>
  <c r="AL6"/>
  <c r="AL5"/>
  <c r="AF5" i="25"/>
  <c r="AH5" s="1"/>
  <c r="Z5"/>
  <c r="N5"/>
  <c r="M5"/>
  <c r="I5"/>
  <c r="AF5" i="24"/>
  <c r="AH5" s="1"/>
  <c r="Z5"/>
  <c r="Y5"/>
  <c r="X5"/>
  <c r="M5"/>
  <c r="N5" s="1"/>
  <c r="I5"/>
  <c r="AH6" i="23"/>
  <c r="AF6"/>
  <c r="Y6"/>
  <c r="X6"/>
  <c r="N6"/>
  <c r="M6"/>
  <c r="I6"/>
  <c r="AH5"/>
  <c r="AF5"/>
  <c r="Y5"/>
  <c r="X5"/>
  <c r="N5"/>
  <c r="M5"/>
  <c r="I5"/>
  <c r="AF6" i="22"/>
  <c r="AH6" s="1"/>
  <c r="Z6"/>
  <c r="I6"/>
  <c r="AF5"/>
  <c r="AH5" s="1"/>
  <c r="Z5"/>
  <c r="I5"/>
  <c r="AH5" i="21"/>
  <c r="AH6"/>
  <c r="AF6"/>
  <c r="Z6"/>
  <c r="Y6"/>
  <c r="X6"/>
  <c r="AA6" s="1"/>
  <c r="N6"/>
  <c r="M6"/>
  <c r="I6"/>
  <c r="AF5"/>
  <c r="Z5"/>
  <c r="Y5"/>
  <c r="X5"/>
  <c r="N5"/>
  <c r="M5"/>
  <c r="I5"/>
  <c r="AL5" i="20"/>
  <c r="AH5"/>
  <c r="AF5"/>
  <c r="Z5"/>
  <c r="Y5"/>
  <c r="X5"/>
  <c r="N5"/>
  <c r="M5"/>
  <c r="I5"/>
  <c r="AF5" i="19"/>
  <c r="Z5"/>
  <c r="I5"/>
  <c r="M5" s="1"/>
  <c r="N5" s="1"/>
  <c r="AF5" i="18"/>
  <c r="AH5" s="1"/>
  <c r="Z5"/>
  <c r="I5"/>
  <c r="AH5" i="17"/>
  <c r="AF5"/>
  <c r="Z5"/>
  <c r="M5"/>
  <c r="N5" s="1"/>
  <c r="I5"/>
  <c r="AH5" i="16"/>
  <c r="AF5"/>
  <c r="Z5"/>
  <c r="I5"/>
  <c r="M5" s="1"/>
  <c r="N5" s="1"/>
  <c r="AH5" i="15"/>
  <c r="AF5"/>
  <c r="M5"/>
  <c r="N5" s="1"/>
  <c r="I5"/>
  <c r="AH5" i="14"/>
  <c r="AF5"/>
  <c r="Z5"/>
  <c r="N5"/>
  <c r="M5"/>
  <c r="I5"/>
  <c r="I5" i="13"/>
  <c r="AH6" i="12"/>
  <c r="AH5"/>
  <c r="AF6"/>
  <c r="Y6"/>
  <c r="X6"/>
  <c r="M6"/>
  <c r="N6" s="1"/>
  <c r="I6"/>
  <c r="AF5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H5"/>
  <c r="AL6"/>
  <c r="AF6"/>
  <c r="Y6"/>
  <c r="X6"/>
  <c r="M6"/>
  <c r="N6" s="1"/>
  <c r="I6"/>
  <c r="AL5"/>
  <c r="AF5"/>
  <c r="Y5"/>
  <c r="X5"/>
  <c r="M5"/>
  <c r="N5" s="1"/>
  <c r="I5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H5"/>
  <c r="AL6"/>
  <c r="Y6"/>
  <c r="X6"/>
  <c r="I6"/>
  <c r="M6" s="1"/>
  <c r="N6" s="1"/>
  <c r="AL5"/>
  <c r="AF5"/>
  <c r="Y5"/>
  <c r="X5"/>
  <c r="I5"/>
  <c r="AH6" i="7"/>
  <c r="AH5"/>
  <c r="AL6"/>
  <c r="AF6"/>
  <c r="Z6"/>
  <c r="Y6"/>
  <c r="X6"/>
  <c r="I6"/>
  <c r="AL5"/>
  <c r="AF5"/>
  <c r="Z5"/>
  <c r="AA5" s="1"/>
  <c r="Y5"/>
  <c r="X5"/>
  <c r="I5"/>
  <c r="AH6" i="6"/>
  <c r="AH5"/>
  <c r="AL6"/>
  <c r="AF6"/>
  <c r="Y6"/>
  <c r="X6"/>
  <c r="I6"/>
  <c r="M6" s="1"/>
  <c r="N6" s="1"/>
  <c r="O6" s="1"/>
  <c r="AL5"/>
  <c r="AF5"/>
  <c r="Y5"/>
  <c r="X5"/>
  <c r="I5"/>
  <c r="AH5" i="5"/>
  <c r="AH6"/>
  <c r="AL6"/>
  <c r="AF6"/>
  <c r="Y6"/>
  <c r="X6"/>
  <c r="I6"/>
  <c r="M6" s="1"/>
  <c r="N6" s="1"/>
  <c r="AL5"/>
  <c r="AF5"/>
  <c r="Y5"/>
  <c r="X5"/>
  <c r="I5"/>
  <c r="AH6" i="4"/>
  <c r="AH5"/>
  <c r="AF6"/>
  <c r="Y6"/>
  <c r="X6"/>
  <c r="I6"/>
  <c r="AF5"/>
  <c r="Y5"/>
  <c r="X5"/>
  <c r="O5"/>
  <c r="P5" s="1"/>
  <c r="N5"/>
  <c r="M5"/>
  <c r="I5"/>
  <c r="AF6" i="1"/>
  <c r="AL6"/>
  <c r="Y6"/>
  <c r="X6"/>
  <c r="I6"/>
  <c r="M6" s="1"/>
  <c r="N6" s="1"/>
  <c r="AL5"/>
  <c r="AF5"/>
  <c r="Y5"/>
  <c r="X5"/>
  <c r="I5"/>
  <c r="M5" s="1"/>
  <c r="N5" s="1"/>
  <c r="Z5" i="58" l="1"/>
  <c r="AB5" s="1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AA5" i="24"/>
  <c r="O5"/>
  <c r="O6" i="23"/>
  <c r="O5"/>
  <c r="M6" i="22"/>
  <c r="N6" s="1"/>
  <c r="M5"/>
  <c r="N5" s="1"/>
  <c r="AA5" i="21"/>
  <c r="O6"/>
  <c r="O5"/>
  <c r="AA5" i="20"/>
  <c r="O5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AA6" i="7"/>
  <c r="M6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P9" i="34" l="1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S6" s="1"/>
  <c r="P6" i="1"/>
  <c r="Q6" s="1"/>
  <c r="R6" s="1"/>
  <c r="P5"/>
  <c r="T9" i="34" l="1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S5"/>
  <c r="Q5"/>
  <c r="R5" s="1"/>
  <c r="P5" i="33"/>
  <c r="Q5" i="32"/>
  <c r="R5" s="1"/>
  <c r="S5" s="1"/>
  <c r="S5" i="31"/>
  <c r="Q5"/>
  <c r="R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T6" i="4"/>
  <c r="U6"/>
  <c r="AD5"/>
  <c r="Z5"/>
  <c r="AA5" s="1"/>
  <c r="AB5" s="1"/>
  <c r="S6" i="1"/>
  <c r="Q5"/>
  <c r="R5" s="1"/>
  <c r="S5" s="1"/>
  <c r="T12" i="34" l="1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Y5" i="13"/>
  <c r="X5"/>
  <c r="AD5"/>
  <c r="Z5"/>
  <c r="U6" i="12"/>
  <c r="T6"/>
  <c r="S5"/>
  <c r="Q5"/>
  <c r="R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AD5" s="1"/>
  <c r="T6"/>
  <c r="U6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AA9" i="34" l="1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AA6" s="1"/>
  <c r="AB6" s="1"/>
  <c r="Y6"/>
  <c r="AD5"/>
  <c r="X5"/>
  <c r="Y5"/>
  <c r="T5" i="33"/>
  <c r="U5"/>
  <c r="AD5" i="32"/>
  <c r="X5"/>
  <c r="AA5" s="1"/>
  <c r="AB5" s="1"/>
  <c r="Y5"/>
  <c r="AD5" i="31"/>
  <c r="X5"/>
  <c r="AA5" s="1"/>
  <c r="AB5" s="1"/>
  <c r="Y5"/>
  <c r="AB5" i="30"/>
  <c r="AD5"/>
  <c r="X5"/>
  <c r="AA5" s="1"/>
  <c r="Y5"/>
  <c r="AB5" i="29"/>
  <c r="AD5"/>
  <c r="X5"/>
  <c r="AA5" s="1"/>
  <c r="Y5"/>
  <c r="AB5" i="28"/>
  <c r="AD5"/>
  <c r="AD5" i="25"/>
  <c r="X5"/>
  <c r="AA5" s="1"/>
  <c r="AB5" s="1"/>
  <c r="Y5"/>
  <c r="AB5" i="24"/>
  <c r="AD5"/>
  <c r="AD5" i="23"/>
  <c r="Z5"/>
  <c r="AA5" s="1"/>
  <c r="AB5" s="1"/>
  <c r="Z6"/>
  <c r="AA6" s="1"/>
  <c r="AB6" s="1"/>
  <c r="AD6"/>
  <c r="T5" i="22"/>
  <c r="U5"/>
  <c r="T6"/>
  <c r="U6"/>
  <c r="AB6" i="21"/>
  <c r="AD6"/>
  <c r="AB5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B6" i="8"/>
  <c r="AD6"/>
  <c r="Z6"/>
  <c r="AA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B5"/>
  <c r="AD5"/>
  <c r="Z5"/>
  <c r="AA5" s="1"/>
  <c r="AA5" i="34" l="1"/>
  <c r="AB5" s="1"/>
  <c r="AA8"/>
  <c r="AB8" s="1"/>
  <c r="AA13"/>
  <c r="AB13" s="1"/>
  <c r="AA7"/>
  <c r="AB7" s="1"/>
  <c r="AA12"/>
  <c r="AB12" s="1"/>
  <c r="AA14"/>
  <c r="AB14" s="1"/>
  <c r="AA10"/>
  <c r="AB10" s="1"/>
  <c r="AB5" i="33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<sst xmlns="http://schemas.openxmlformats.org/spreadsheetml/2006/main" count="2294" uniqueCount="222">
  <si>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</si>
  <si>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</si>
  <si>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</si>
  <si>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</si>
  <si>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</si>
  <si>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</si>
  <si>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</si>
  <si>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</si>
  <si>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</si>
  <si>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</si>
  <si>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</si>
  <si>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</si>
  <si>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</si>
  <si>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</si>
  <si>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</si>
  <si>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</si>
  <si>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</si>
  <si>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</si>
  <si>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</si>
  <si>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</si>
  <si>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</si>
  <si>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</si>
  <si>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</si>
  <si>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</si>
  <si>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</si>
  <si>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</si>
  <si>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</si>
  <si>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</si>
  <si>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</si>
  <si>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</si>
  <si>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</si>
  <si>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</si>
  <si>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</si>
  <si>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</si>
  <si>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</si>
  <si>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</si>
  <si>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</si>
  <si>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</si>
  <si>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</si>
  <si>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</si>
  <si>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</si>
  <si>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</si>
  <si>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</si>
  <si>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</si>
  <si>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</si>
  <si>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</si>
  <si>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</si>
  <si>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</si>
  <si>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</si>
  <si>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</si>
  <si>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</si>
  <si>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</si>
  <si>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</si>
  <si>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</si>
  <si>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</si>
  <si>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</si>
  <si>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</si>
  <si>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</si>
  <si>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</si>
  <si>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</si>
  <si>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</si>
  <si>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</si>
  <si>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250</t>
  </si>
  <si>
    <t>150</t>
  </si>
  <si>
    <t>Domestic_CG_Item_ID</t>
  </si>
  <si>
    <t>Domestic_CG_Item_ID_Disimalar</t>
  </si>
  <si>
    <t>Export_CG_Item_ID</t>
  </si>
  <si>
    <t>Export_CG_Item_ID_Disimalar</t>
  </si>
  <si>
    <t>130</t>
  </si>
  <si>
    <t>HK-TVS-SCRAP-10001</t>
  </si>
  <si>
    <t>Service0001</t>
  </si>
  <si>
    <t>CESS%</t>
  </si>
  <si>
    <t>CESS Amt</t>
  </si>
  <si>
    <t>(765)12%</t>
  </si>
  <si>
    <t>Promotional Type</t>
  </si>
  <si>
    <t>Promotional</t>
  </si>
  <si>
    <t>Sales Regular</t>
  </si>
  <si>
    <t>78119</t>
  </si>
  <si>
    <t>9620</t>
  </si>
  <si>
    <t>78104</t>
  </si>
  <si>
    <t>PROD 100</t>
  </si>
  <si>
    <t>UD_Disimilar_Domestic_002-so100-SO100/00391/24-25-1</t>
  </si>
  <si>
    <t>TVSFG004-so100-SO100/00670/24-25-1</t>
  </si>
  <si>
    <t>SO/Reference Domestic</t>
  </si>
  <si>
    <t>SO100/00895/25-26</t>
  </si>
  <si>
    <t>SO/Reference Export</t>
  </si>
  <si>
    <t>CPC Code</t>
  </si>
  <si>
    <t>FG WH-49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</si>
  <si>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</si>
  <si>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</si>
  <si>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</si>
  <si>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</si>
  <si>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</si>
  <si>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</si>
  <si>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</si>
  <si>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</si>
  <si>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</si>
  <si>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</si>
  <si>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</si>
  <si>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</si>
  <si>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</si>
  <si>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</si>
  <si>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</si>
  <si>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</si>
  <si>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</si>
  <si>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</si>
  <si>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</si>
  <si>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</si>
  <si>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</si>
  <si>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</si>
  <si>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</si>
  <si>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</si>
  <si>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</si>
  <si>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</si>
  <si>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</si>
  <si>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</si>
  <si>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</si>
  <si>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</si>
  <si>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</si>
  <si>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</si>
  <si>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</si>
  <si>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</si>
  <si>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</si>
  <si>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</si>
  <si>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</si>
  <si>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</si>
  <si>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</si>
  <si>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</si>
  <si>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100001867</t>
  </si>
  <si>
    <t>Process</t>
  </si>
  <si>
    <t>Scenario  : Direct SCO With BOM Standard Type</t>
  </si>
  <si>
    <t>Vj-FIFO-LOT-BATCH-50001(FG)</t>
  </si>
  <si>
    <t>Qty</t>
  </si>
  <si>
    <t>9755</t>
  </si>
  <si>
    <t>49091</t>
  </si>
  <si>
    <t>63113</t>
  </si>
  <si>
    <t>49031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</si>
  <si>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</si>
  <si>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</si>
  <si>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</si>
  <si>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</si>
  <si>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</si>
  <si>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</si>
  <si>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</si>
  <si>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</si>
  <si>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MOULDING</t>
  </si>
  <si>
    <t>GLACCT</t>
  </si>
  <si>
    <t>CHARGES ACCOUNT</t>
  </si>
  <si>
    <t>Scenario  : Direct SCO With Conv. Factor</t>
  </si>
  <si>
    <t>FG20001</t>
  </si>
  <si>
    <t>SO Ref</t>
  </si>
  <si>
    <t>SO100/05696/25-26</t>
  </si>
  <si>
    <t>FG30001</t>
  </si>
  <si>
    <t>25</t>
  </si>
  <si>
    <t>SO100/05697/25-26</t>
  </si>
  <si>
    <t>VJ-PROJECT</t>
  </si>
  <si>
    <t>PROC-004</t>
  </si>
  <si>
    <t>VR-SERIAL-FIFO-BATCH-90001</t>
  </si>
  <si>
    <t>Scenario  : Direct SCO Serial With BOM Standard Type</t>
  </si>
  <si>
    <t>FG50011</t>
  </si>
  <si>
    <t>SO100/05832/25-26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</si>
  <si>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</si>
  <si>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</si>
  <si>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</si>
  <si>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</si>
  <si>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</si>
  <si>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</si>
  <si>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</si>
  <si>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</si>
  <si>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</si>
  <si>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</si>
  <si>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</si>
  <si>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</si>
  <si>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</si>
  <si>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</si>
  <si>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</si>
  <si>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</si>
  <si>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</si>
  <si>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</si>
  <si>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</si>
  <si>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</si>
  <si>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</si>
  <si>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</si>
  <si>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</si>
  <si>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</si>
  <si>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</si>
  <si>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</si>
  <si>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</si>
  <si>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</si>
  <si>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</si>
  <si>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100000</t>
  </si>
  <si>
    <t>SCR WH</t>
  </si>
  <si>
    <t>99995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</si>
  <si>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</si>
  <si>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</si>
  <si>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</si>
  <si>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</si>
  <si>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</si>
  <si>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</si>
  <si>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</si>
  <si>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</si>
  <si>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</si>
  <si>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55</t>
  </si>
  <si>
    <t>99955</t>
  </si>
  <si>
    <t>99988.334</t>
  </si>
  <si>
    <t>99876</t>
  </si>
  <si>
    <t>99846</t>
  </si>
  <si>
    <t>99831</t>
  </si>
  <si>
    <t>99816</t>
  </si>
  <si>
    <t>99965</t>
  </si>
  <si>
    <t>99806</t>
  </si>
  <si>
    <t>CPC-10001</t>
  </si>
  <si>
    <t>99671</t>
  </si>
  <si>
    <t>HK-CH-00002</t>
  </si>
  <si>
    <t>HK-CH-00003</t>
  </si>
  <si>
    <t>99656</t>
  </si>
  <si>
    <t>99641</t>
  </si>
  <si>
    <t>99626</t>
  </si>
  <si>
    <t>99611</t>
  </si>
  <si>
    <t>99596</t>
  </si>
  <si>
    <t>99581</t>
  </si>
  <si>
    <t>99566</t>
  </si>
</sst>
</file>

<file path=xl/styles.xml><?xml version="1.0" encoding="utf-8"?>
<styleSheet xmlns="http://schemas.openxmlformats.org/spreadsheetml/2006/main">
  <numFmts count="1">
    <numFmt numFmtId="164" formatCode="0.000"/>
  </numFmts>
  <fonts count="11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charset val="134"/>
    </font>
    <font>
      <sz val="9"/>
      <color rgb="FF000000"/>
      <name val="Arial"/>
      <family val="2"/>
    </font>
    <font>
      <sz val="11"/>
      <color theme="1"/>
      <name val="Calibri"/>
      <charset val="134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theme/theme1.xml" Type="http://schemas.openxmlformats.org/officeDocument/2006/relationships/theme"/><Relationship Id="rId5" Target="worksheets/sheet5.xml" Type="http://schemas.openxmlformats.org/officeDocument/2006/relationships/worksheet"/><Relationship Id="rId50" Target="styles.xml" Type="http://schemas.openxmlformats.org/officeDocument/2006/relationships/styles"/><Relationship Id="rId51" Target="sharedStrings.xml" Type="http://schemas.openxmlformats.org/officeDocument/2006/relationships/sharedStrings"/><Relationship Id="rId52" Target="calcChain.xml" Type="http://schemas.openxmlformats.org/officeDocument/2006/relationships/calcChain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Z1" workbookViewId="0">
      <selection activeCell="AJ5" sqref="AJ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bestFit="true" customWidth="true" style="29" width="26.85546875"/>
    <col min="36" max="36" bestFit="true" customWidth="true" style="29" width="13.140625"/>
    <col min="37" max="37" bestFit="true" customWidth="true" style="29" width="14.0"/>
    <col min="38" max="38" customWidth="true" style="29" width="15.42578125"/>
    <col min="39" max="16384" style="29" width="9.140625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34" t="s">
        <v>0</v>
      </c>
      <c r="B3" s="134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159</v>
      </c>
      <c r="C5" s="10">
        <v>0</v>
      </c>
      <c r="D5" s="37" t="s">
        <v>159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200</v>
      </c>
      <c r="AH5" s="9">
        <f>AG5-AF5</f>
        <v>-15</v>
      </c>
      <c r="AI5" s="10" t="s">
        <v>188</v>
      </c>
      <c r="AJ5" s="10" t="s">
        <v>189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201</v>
      </c>
      <c r="AH6" s="9">
        <f>AG6-AF6</f>
        <v>9490</v>
      </c>
      <c r="AI6" s="10" t="s">
        <v>188</v>
      </c>
      <c r="AJ6" s="10" t="s">
        <v>189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39" customWidth="true" style="28" width="12.5703125"/>
    <col min="40" max="16384" style="29" width="9.140625"/>
  </cols>
  <sheetData>
    <row r="1" spans="1:39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34" t="s">
        <v>0</v>
      </c>
      <c r="B3" s="134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88</v>
      </c>
    </row>
    <row r="5" spans="1:39" ht="15">
      <c r="A5" s="10">
        <v>1</v>
      </c>
      <c r="B5" s="32" t="s">
        <v>159</v>
      </c>
      <c r="C5" s="10">
        <v>0</v>
      </c>
      <c r="D5" s="37" t="s">
        <v>159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200</v>
      </c>
      <c r="AH5" s="9">
        <f>AG5-AF5</f>
        <v>82574</v>
      </c>
      <c r="AI5" s="10" t="s">
        <v>188</v>
      </c>
      <c r="AJ5" s="10" t="s">
        <v>189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201</v>
      </c>
      <c r="AH6" s="9">
        <f>AG6-AF6</f>
        <v>9657.5</v>
      </c>
      <c r="AI6" s="10" t="s">
        <v>188</v>
      </c>
      <c r="AJ6" s="10" t="s">
        <v>189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34" t="s">
        <v>0</v>
      </c>
      <c r="B3" s="134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194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203</v>
      </c>
      <c r="AH5" s="9">
        <f>AG5-AF5</f>
        <v>9645</v>
      </c>
      <c r="AI5" s="10" t="s">
        <v>188</v>
      </c>
      <c r="AJ5" s="10" t="s">
        <v>189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195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193</v>
      </c>
      <c r="AH6" s="9">
        <f>AG6-AF6</f>
        <v>9950.6589999999997</v>
      </c>
      <c r="AI6" s="10" t="s">
        <v>188</v>
      </c>
      <c r="AJ6" s="10" t="s">
        <v>189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34" t="s">
        <v>0</v>
      </c>
      <c r="B3" s="134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202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193</v>
      </c>
      <c r="AH5" s="9">
        <f>AG5-AF5</f>
        <v>9745</v>
      </c>
      <c r="AI5" s="10" t="s">
        <v>188</v>
      </c>
      <c r="AJ5" s="10" t="s">
        <v>189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192</v>
      </c>
      <c r="AH6" s="9">
        <f>AG6-AF6</f>
        <v>9880</v>
      </c>
      <c r="AI6" s="10" t="s">
        <v>188</v>
      </c>
      <c r="AJ6" s="10" t="s">
        <v>189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34" t="s">
        <v>0</v>
      </c>
      <c r="B3" s="134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203</v>
      </c>
      <c r="AH5" s="9">
        <f>AG5-AF5</f>
        <v>9717</v>
      </c>
      <c r="AI5" s="10" t="s">
        <v>188</v>
      </c>
      <c r="AJ5" s="10" t="s">
        <v>189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194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193</v>
      </c>
      <c r="AH6" s="9">
        <f>AG6-AF6</f>
        <v>9865</v>
      </c>
      <c r="AI6" s="10" t="s">
        <v>188</v>
      </c>
      <c r="AJ6" s="10" t="s">
        <v>189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34" t="s">
        <v>0</v>
      </c>
      <c r="B3" s="134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195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203</v>
      </c>
      <c r="AH5" s="9">
        <f>AG5-AF5</f>
        <v>9795</v>
      </c>
      <c r="AI5" s="10" t="s">
        <v>188</v>
      </c>
      <c r="AJ5" s="10" t="s">
        <v>189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196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204</v>
      </c>
      <c r="AH6" s="9">
        <f>AG6-AF6</f>
        <v>9900</v>
      </c>
      <c r="AI6" s="10" t="s">
        <v>188</v>
      </c>
      <c r="AJ6" s="10" t="s">
        <v>189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34" t="s">
        <v>0</v>
      </c>
      <c r="B3" s="134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197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203</v>
      </c>
      <c r="AH5" s="9">
        <f>AG5-AF5</f>
        <v>9703</v>
      </c>
      <c r="AI5" s="10" t="s">
        <v>188</v>
      </c>
      <c r="AJ5" s="10" t="s">
        <v>189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198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193</v>
      </c>
      <c r="AH6" s="9">
        <f>AG6-AF6</f>
        <v>9852.5</v>
      </c>
      <c r="AI6" s="10" t="s">
        <v>188</v>
      </c>
      <c r="AJ6" s="10" t="s">
        <v>189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34" t="s">
        <v>0</v>
      </c>
      <c r="B3" s="134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62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190</v>
      </c>
      <c r="AH5" s="9">
        <f>AG5-AF5</f>
        <v>9805</v>
      </c>
      <c r="AI5" s="10" t="s">
        <v>188</v>
      </c>
      <c r="AJ5" s="10" t="s">
        <v>189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63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133</v>
      </c>
      <c r="AH6" s="9">
        <f>AG6-AF6</f>
        <v>9905</v>
      </c>
      <c r="AI6" s="10" t="s">
        <v>188</v>
      </c>
      <c r="AJ6" s="10" t="s">
        <v>189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34" t="s">
        <v>0</v>
      </c>
      <c r="B3" s="134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199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190</v>
      </c>
      <c r="AH5" s="9">
        <f>AG5-AF5</f>
        <v>9805</v>
      </c>
      <c r="AI5" s="10" t="s">
        <v>188</v>
      </c>
      <c r="AJ5" s="10" t="s">
        <v>189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68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190</v>
      </c>
      <c r="AH6" s="9">
        <f>AG6-AF6</f>
        <v>9905</v>
      </c>
      <c r="AI6" s="10" t="s">
        <v>188</v>
      </c>
      <c r="AJ6" s="10" t="s">
        <v>189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34" t="s">
        <v>0</v>
      </c>
      <c r="B3" s="134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66</v>
      </c>
      <c r="C5" s="10">
        <v>0</v>
      </c>
      <c r="D5" s="42" t="s">
        <v>66</v>
      </c>
      <c r="E5" s="10" t="s">
        <v>32</v>
      </c>
      <c r="F5" s="10" t="s">
        <v>32</v>
      </c>
      <c r="G5" s="33">
        <v>15</v>
      </c>
      <c r="H5" s="29" t="s">
        <v>194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190</v>
      </c>
      <c r="AH5" s="9">
        <f>AG5-AF5</f>
        <v>9775</v>
      </c>
      <c r="AI5" s="10" t="s">
        <v>188</v>
      </c>
      <c r="AJ5" s="10" t="s">
        <v>189</v>
      </c>
      <c r="AK5" s="7"/>
      <c r="AL5" s="59"/>
    </row>
    <row r="6" spans="1:38" ht="15">
      <c r="A6" s="10">
        <v>2</v>
      </c>
      <c r="B6" s="42" t="s">
        <v>67</v>
      </c>
      <c r="C6" s="10">
        <v>0</v>
      </c>
      <c r="D6" s="42" t="s">
        <v>67</v>
      </c>
      <c r="E6" s="10" t="s">
        <v>32</v>
      </c>
      <c r="F6" s="10" t="s">
        <v>32</v>
      </c>
      <c r="G6" s="33">
        <v>10</v>
      </c>
      <c r="H6" s="29" t="s">
        <v>195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190</v>
      </c>
      <c r="AH6" s="9">
        <f>AG6-AF6</f>
        <v>9890</v>
      </c>
      <c r="AI6" s="10" t="s">
        <v>188</v>
      </c>
      <c r="AJ6" s="10" t="s">
        <v>189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34" t="s">
        <v>0</v>
      </c>
      <c r="B3" s="134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89</v>
      </c>
      <c r="AL4" s="20" t="s">
        <v>88</v>
      </c>
      <c r="AM4" s="58"/>
    </row>
    <row r="5" spans="1:39" ht="15">
      <c r="A5" s="10">
        <v>1</v>
      </c>
      <c r="B5" s="42" t="s">
        <v>90</v>
      </c>
      <c r="C5" s="10">
        <v>0</v>
      </c>
      <c r="D5" s="42" t="s">
        <v>90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127</v>
      </c>
      <c r="AH5" s="34">
        <f>AG5-AF5</f>
        <v>782</v>
      </c>
      <c r="AI5" s="10" t="s">
        <v>188</v>
      </c>
      <c r="AJ5" s="10" t="s">
        <v>189</v>
      </c>
      <c r="AK5" s="34">
        <f>AH5</f>
        <v>782</v>
      </c>
      <c r="AL5" s="34">
        <f>AK5+G5</f>
        <v>797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tabSelected="1" workbookViewId="0">
      <selection activeCell="D12" sqref="D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8.0"/>
    <col min="4" max="4" customWidth="true" style="29" width="29.85546875"/>
    <col min="5" max="5" bestFit="true" customWidth="true" style="29" width="10.0"/>
    <col min="6" max="6" bestFit="true" customWidth="true" style="29" width="18.8554687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34" t="s">
        <v>0</v>
      </c>
      <c r="B3" s="134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89</v>
      </c>
      <c r="AL4" s="20" t="s">
        <v>88</v>
      </c>
      <c r="AM4" s="58"/>
    </row>
    <row r="5" spans="1:39" ht="15">
      <c r="A5" s="10">
        <v>1</v>
      </c>
      <c r="B5" s="42" t="s">
        <v>159</v>
      </c>
      <c r="C5" s="10">
        <v>0</v>
      </c>
      <c r="D5" s="42" t="s">
        <v>159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t="s" s="36">
        <v>215</v>
      </c>
      <c r="AH5" s="34">
        <f>AG5-AF5</f>
        <v>65983</v>
      </c>
      <c r="AI5" s="10" t="s">
        <v>188</v>
      </c>
      <c r="AJ5" s="10" t="s">
        <v>189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91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92</v>
      </c>
      <c r="D10" s="90" t="s">
        <v>6</v>
      </c>
      <c r="E10" s="90" t="s">
        <v>7</v>
      </c>
      <c r="F10" s="90" t="s">
        <v>93</v>
      </c>
      <c r="G10" s="90" t="s">
        <v>94</v>
      </c>
      <c r="H10" s="90" t="s">
        <v>95</v>
      </c>
      <c r="I10" s="90" t="s">
        <v>96</v>
      </c>
      <c r="J10" s="90" t="s">
        <v>97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213</v>
      </c>
      <c r="E11" s="10">
        <v>0</v>
      </c>
      <c r="F11" s="10" t="s">
        <v>98</v>
      </c>
      <c r="G11" s="10" t="s">
        <v>99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214</v>
      </c>
      <c r="E12" s="10">
        <v>0</v>
      </c>
      <c r="F12" s="10" t="s">
        <v>100</v>
      </c>
      <c r="G12" s="10" t="s">
        <v>96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101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34" t="s">
        <v>0</v>
      </c>
      <c r="B3" s="134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89</v>
      </c>
      <c r="AL4" s="20" t="s">
        <v>88</v>
      </c>
      <c r="AM4" s="58"/>
    </row>
    <row r="5" spans="1:39" ht="15">
      <c r="A5" s="10">
        <v>1</v>
      </c>
      <c r="B5" s="42" t="s">
        <v>102</v>
      </c>
      <c r="C5" s="10">
        <v>0</v>
      </c>
      <c r="D5" s="42" t="s">
        <v>102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190</v>
      </c>
      <c r="AH5" s="34">
        <f>AG5-AF5</f>
        <v>65983</v>
      </c>
      <c r="AI5" s="10" t="s">
        <v>188</v>
      </c>
      <c r="AJ5" s="10" t="s">
        <v>189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34" t="s">
        <v>0</v>
      </c>
      <c r="B3" s="134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89</v>
      </c>
      <c r="AL4" s="20" t="s">
        <v>88</v>
      </c>
      <c r="AM4" s="58"/>
    </row>
    <row r="5" spans="1:39" ht="15">
      <c r="A5" s="10">
        <v>1</v>
      </c>
      <c r="B5" s="42" t="s">
        <v>159</v>
      </c>
      <c r="C5" s="10">
        <v>0</v>
      </c>
      <c r="D5" s="42" t="s">
        <v>159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118</v>
      </c>
      <c r="AH5" s="34">
        <f>AG5-AF5</f>
        <v>65248</v>
      </c>
      <c r="AI5" s="10" t="s">
        <v>188</v>
      </c>
      <c r="AJ5" s="10" t="s">
        <v>189</v>
      </c>
      <c r="AK5" s="34">
        <f>AH5</f>
        <v>65248</v>
      </c>
      <c r="AL5" s="34">
        <f>AK5+G5</f>
        <v>65263</v>
      </c>
      <c r="AM5" s="59"/>
    </row>
    <row r="6" spans="1:39" ht="14.25" customHeight="1">
      <c r="A6" s="10">
        <v>2</v>
      </c>
      <c r="B6" s="97" t="s">
        <v>103</v>
      </c>
      <c r="C6" s="10">
        <v>0</v>
      </c>
      <c r="D6" s="97" t="s">
        <v>103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119</v>
      </c>
      <c r="AH6" s="34">
        <f>AG6-AF6</f>
        <v>99984</v>
      </c>
      <c r="AI6" s="10" t="s">
        <v>188</v>
      </c>
      <c r="AJ6" s="10" t="s">
        <v>189</v>
      </c>
      <c r="AK6" s="34">
        <f>AH6</f>
        <v>99984</v>
      </c>
      <c r="AL6" s="34">
        <f>AK6+G6</f>
        <v>100000</v>
      </c>
    </row>
    <row r="7" spans="1:39">
      <c r="A7" s="10">
        <v>3</v>
      </c>
      <c r="B7" s="97" t="s">
        <v>104</v>
      </c>
      <c r="C7" s="10">
        <v>0</v>
      </c>
      <c r="D7" s="97" t="s">
        <v>104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120</v>
      </c>
      <c r="AH7" s="34">
        <f t="shared" ref="AH7:AH14" si="20">AG7-AF7</f>
        <v>99983</v>
      </c>
      <c r="AI7" s="10" t="s">
        <v>188</v>
      </c>
      <c r="AJ7" s="10" t="s">
        <v>189</v>
      </c>
      <c r="AK7" s="34">
        <f t="shared" ref="AK7:AK14" si="21">AH7</f>
        <v>99983</v>
      </c>
      <c r="AL7" s="34">
        <f t="shared" ref="AL7:AL14" si="22">AK7+G7</f>
        <v>100000</v>
      </c>
    </row>
    <row r="8" spans="1:39">
      <c r="A8" s="10">
        <v>4</v>
      </c>
      <c r="B8" s="97" t="s">
        <v>105</v>
      </c>
      <c r="C8" s="10">
        <v>0</v>
      </c>
      <c r="D8" s="97" t="s">
        <v>105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117</v>
      </c>
      <c r="AH8" s="34">
        <f t="shared" si="20"/>
        <v>99982</v>
      </c>
      <c r="AI8" s="10" t="s">
        <v>188</v>
      </c>
      <c r="AJ8" s="10" t="s">
        <v>189</v>
      </c>
      <c r="AK8" s="34">
        <f t="shared" si="21"/>
        <v>99982</v>
      </c>
      <c r="AL8" s="34">
        <f t="shared" si="22"/>
        <v>100000</v>
      </c>
    </row>
    <row r="9" spans="1:39">
      <c r="A9" s="10">
        <v>5</v>
      </c>
      <c r="B9" s="97" t="s">
        <v>106</v>
      </c>
      <c r="C9" s="10">
        <v>0</v>
      </c>
      <c r="D9" s="97" t="s">
        <v>106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121</v>
      </c>
      <c r="AH9" s="34">
        <f t="shared" si="20"/>
        <v>99981</v>
      </c>
      <c r="AI9" s="10" t="s">
        <v>188</v>
      </c>
      <c r="AJ9" s="10" t="s">
        <v>189</v>
      </c>
      <c r="AK9" s="34">
        <f t="shared" si="21"/>
        <v>99981</v>
      </c>
      <c r="AL9" s="34">
        <f t="shared" si="22"/>
        <v>100000</v>
      </c>
    </row>
    <row r="10" spans="1:39">
      <c r="A10" s="10">
        <v>6</v>
      </c>
      <c r="B10" s="97" t="s">
        <v>107</v>
      </c>
      <c r="C10" s="10">
        <v>0</v>
      </c>
      <c r="D10" s="97" t="s">
        <v>107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122</v>
      </c>
      <c r="AH10" s="34">
        <f t="shared" si="20"/>
        <v>99980</v>
      </c>
      <c r="AI10" s="10" t="s">
        <v>188</v>
      </c>
      <c r="AJ10" s="10" t="s">
        <v>189</v>
      </c>
      <c r="AK10" s="34">
        <f t="shared" si="21"/>
        <v>99980</v>
      </c>
      <c r="AL10" s="34">
        <f t="shared" si="22"/>
        <v>100000</v>
      </c>
    </row>
    <row r="11" spans="1:39">
      <c r="A11" s="10">
        <v>7</v>
      </c>
      <c r="B11" s="97" t="s">
        <v>108</v>
      </c>
      <c r="C11" s="10">
        <v>0</v>
      </c>
      <c r="D11" s="97" t="s">
        <v>108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123</v>
      </c>
      <c r="AH11" s="34">
        <f t="shared" si="20"/>
        <v>99979</v>
      </c>
      <c r="AI11" s="10" t="s">
        <v>188</v>
      </c>
      <c r="AJ11" s="10" t="s">
        <v>189</v>
      </c>
      <c r="AK11" s="34">
        <f t="shared" si="21"/>
        <v>99979</v>
      </c>
      <c r="AL11" s="34">
        <f t="shared" si="22"/>
        <v>100000</v>
      </c>
    </row>
    <row r="12" spans="1:39">
      <c r="A12" s="99">
        <v>8</v>
      </c>
      <c r="B12" s="100" t="s">
        <v>109</v>
      </c>
      <c r="C12" s="99">
        <v>0</v>
      </c>
      <c r="D12" s="100" t="s">
        <v>109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124</v>
      </c>
      <c r="AH12" s="102">
        <f t="shared" si="20"/>
        <v>99978</v>
      </c>
      <c r="AI12" s="10" t="s">
        <v>188</v>
      </c>
      <c r="AJ12" s="10" t="s">
        <v>189</v>
      </c>
      <c r="AK12" s="102">
        <f t="shared" si="21"/>
        <v>99978</v>
      </c>
      <c r="AL12" s="102">
        <f t="shared" si="22"/>
        <v>100000</v>
      </c>
    </row>
    <row r="13" spans="1:39">
      <c r="A13" s="10">
        <v>9</v>
      </c>
      <c r="B13" s="97" t="s">
        <v>110</v>
      </c>
      <c r="C13" s="10">
        <v>0</v>
      </c>
      <c r="D13" s="97" t="s">
        <v>110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125</v>
      </c>
      <c r="AH13" s="34">
        <f t="shared" si="20"/>
        <v>99977</v>
      </c>
      <c r="AI13" s="10" t="s">
        <v>188</v>
      </c>
      <c r="AJ13" s="10" t="s">
        <v>189</v>
      </c>
      <c r="AK13" s="34">
        <f t="shared" si="21"/>
        <v>99977</v>
      </c>
      <c r="AL13" s="34">
        <f t="shared" si="22"/>
        <v>100000</v>
      </c>
    </row>
    <row r="14" spans="1:39">
      <c r="A14" s="10">
        <v>10</v>
      </c>
      <c r="B14" s="97" t="s">
        <v>111</v>
      </c>
      <c r="C14" s="10">
        <v>0</v>
      </c>
      <c r="D14" s="97" t="s">
        <v>111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126</v>
      </c>
      <c r="AH14" s="34">
        <f t="shared" si="20"/>
        <v>99976</v>
      </c>
      <c r="AI14" s="10" t="s">
        <v>188</v>
      </c>
      <c r="AJ14" s="10" t="s">
        <v>189</v>
      </c>
      <c r="AK14" s="34">
        <f t="shared" si="21"/>
        <v>99976</v>
      </c>
      <c r="AL14" s="34">
        <f t="shared" si="22"/>
        <v>100000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8" width="36.0"/>
    <col min="40" max="40" customWidth="true" style="29" width="15.42578125"/>
    <col min="41" max="41" customWidth="true" style="29" width="14.140625"/>
    <col min="42" max="42" customWidth="true" style="29" width="15.0"/>
    <col min="43" max="43" customWidth="true" style="29" width="16.5703125"/>
    <col min="44" max="16384" style="29" width="9.140625"/>
  </cols>
  <sheetData>
    <row r="1" spans="1:43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34" t="s">
        <v>0</v>
      </c>
      <c r="B3" s="134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89</v>
      </c>
      <c r="AL4" s="20" t="s">
        <v>88</v>
      </c>
      <c r="AM4" s="20" t="s">
        <v>113</v>
      </c>
      <c r="AN4" s="20" t="s">
        <v>112</v>
      </c>
      <c r="AO4" s="98" t="s">
        <v>114</v>
      </c>
      <c r="AP4" s="98" t="s">
        <v>115</v>
      </c>
      <c r="AQ4" s="98" t="s">
        <v>116</v>
      </c>
    </row>
    <row r="5" spans="1:43" ht="15">
      <c r="A5" s="10">
        <v>1</v>
      </c>
      <c r="B5" s="42" t="s">
        <v>159</v>
      </c>
      <c r="C5" s="10">
        <v>0</v>
      </c>
      <c r="D5" s="42" t="s">
        <v>159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t="s" s="36">
        <v>221</v>
      </c>
      <c r="AH5" s="33">
        <f>AG5-AF5</f>
        <v>99656</v>
      </c>
      <c r="AI5" s="10" t="s">
        <v>188</v>
      </c>
      <c r="AJ5" s="10" t="s">
        <v>189</v>
      </c>
      <c r="AK5" s="33">
        <f>AH5</f>
        <v>99656</v>
      </c>
      <c r="AL5" s="33">
        <f>AK5+G5</f>
        <v>99671</v>
      </c>
      <c r="AM5" s="28" t="s">
        <v>69</v>
      </c>
      <c r="AN5" s="67" t="s">
        <v>191</v>
      </c>
      <c r="AO5" s="29" t="s">
        <v>128</v>
      </c>
      <c r="AP5" s="34">
        <f>AO5+AF5</f>
        <v>100001600</v>
      </c>
      <c r="AQ5" s="28">
        <f>AO5+AF5</f>
        <v>100001600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customWidth="true" style="29" width="34.5703125"/>
    <col min="8" max="8" customWidth="true" style="29" width="21.28515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34" t="s">
        <v>0</v>
      </c>
      <c r="B3" s="134"/>
      <c r="C3" s="132"/>
      <c r="D3" s="3">
        <v>4</v>
      </c>
      <c r="E3" s="4" t="s">
        <v>184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185</v>
      </c>
      <c r="AL4" s="58"/>
    </row>
    <row r="5" spans="1:38" ht="15">
      <c r="A5" s="10">
        <v>1</v>
      </c>
      <c r="B5" s="42" t="s">
        <v>159</v>
      </c>
      <c r="C5" s="10">
        <v>0</v>
      </c>
      <c r="D5" s="42" t="s">
        <v>159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205</v>
      </c>
      <c r="AH5" s="9">
        <f>AG5-AF5</f>
        <v>99861</v>
      </c>
      <c r="AI5" s="10" t="s">
        <v>188</v>
      </c>
      <c r="AJ5" s="10" t="s">
        <v>189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34" t="s">
        <v>0</v>
      </c>
      <c r="B3" s="134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159</v>
      </c>
      <c r="C5" s="10">
        <v>0</v>
      </c>
      <c r="D5" s="42" t="s">
        <v>159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205</v>
      </c>
      <c r="AH5" s="9">
        <f>AG5-AF5</f>
        <v>80699</v>
      </c>
      <c r="AI5" s="10" t="s">
        <v>188</v>
      </c>
      <c r="AJ5" s="10" t="s">
        <v>189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34" t="s">
        <v>0</v>
      </c>
      <c r="B3" s="134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159</v>
      </c>
      <c r="C5" s="10">
        <v>0</v>
      </c>
      <c r="D5" s="42" t="s">
        <v>159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207</v>
      </c>
      <c r="AH5" s="9">
        <f>AG5-AF5</f>
        <v>80699</v>
      </c>
      <c r="AI5" s="10" t="s">
        <v>188</v>
      </c>
      <c r="AJ5" s="10" t="s">
        <v>189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34" t="s">
        <v>0</v>
      </c>
      <c r="B3" s="134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159</v>
      </c>
      <c r="C5" s="10">
        <v>0</v>
      </c>
      <c r="D5" s="42" t="s">
        <v>159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208</v>
      </c>
      <c r="AH5" s="9">
        <f>AG5-AF5</f>
        <v>80704</v>
      </c>
      <c r="AI5" s="10" t="s">
        <v>188</v>
      </c>
      <c r="AJ5" s="10" t="s">
        <v>189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V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34" t="s">
        <v>0</v>
      </c>
      <c r="B3" s="134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69</v>
      </c>
      <c r="C5" s="10">
        <v>0</v>
      </c>
      <c r="D5" s="60" t="s">
        <v>69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191</v>
      </c>
      <c r="AJ5" s="10" t="s">
        <v>189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34" t="s">
        <v>0</v>
      </c>
      <c r="B3" s="134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70</v>
      </c>
      <c r="C5" s="10">
        <v>0</v>
      </c>
      <c r="D5" s="60" t="s">
        <v>70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80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34" t="s">
        <v>0</v>
      </c>
      <c r="B3" s="134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71</v>
      </c>
      <c r="AL4" s="20" t="s">
        <v>72</v>
      </c>
    </row>
    <row r="5" spans="1:38" ht="15">
      <c r="A5" s="10">
        <v>1</v>
      </c>
      <c r="B5" s="42" t="s">
        <v>159</v>
      </c>
      <c r="C5" s="10">
        <v>0</v>
      </c>
      <c r="D5" s="42" t="s">
        <v>159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 t="s">
        <v>73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79</v>
      </c>
      <c r="AH5" s="9">
        <f>AG5-AF5</f>
        <v>80699</v>
      </c>
      <c r="AI5" s="10" t="s">
        <v>188</v>
      </c>
      <c r="AJ5" s="10" t="s">
        <v>189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5.42578125"/>
    <col min="38" max="16384" style="29" width="9.140625"/>
  </cols>
  <sheetData>
    <row r="1" spans="1:37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34" t="s">
        <v>0</v>
      </c>
      <c r="B3" s="134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159</v>
      </c>
      <c r="C5" s="10">
        <v>0</v>
      </c>
      <c r="D5" s="42" t="s">
        <v>159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206</v>
      </c>
      <c r="AH5" s="9">
        <f>AG5-AF5</f>
        <v>63733</v>
      </c>
      <c r="AI5" s="10" t="s">
        <v>188</v>
      </c>
      <c r="AJ5" s="10" t="s">
        <v>189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34" t="s">
        <v>0</v>
      </c>
      <c r="B3" s="134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74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209</v>
      </c>
      <c r="AH5" s="9">
        <f>AG5-AF5</f>
        <v>9630</v>
      </c>
      <c r="AI5" s="10" t="s">
        <v>188</v>
      </c>
      <c r="AJ5" s="10" t="s">
        <v>189</v>
      </c>
      <c r="AK5" s="66" t="s">
        <v>76</v>
      </c>
      <c r="AL5" s="59"/>
    </row>
    <row r="6" spans="1:38" ht="15">
      <c r="A6" s="10">
        <v>2</v>
      </c>
      <c r="B6" s="42" t="s">
        <v>159</v>
      </c>
      <c r="C6" s="10">
        <v>0</v>
      </c>
      <c r="D6" s="42" t="s">
        <v>159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210</v>
      </c>
      <c r="AH6" s="9">
        <f>AG6-AF6</f>
        <v>78219</v>
      </c>
      <c r="AI6" s="10" t="s">
        <v>188</v>
      </c>
      <c r="AJ6" s="10" t="s">
        <v>189</v>
      </c>
      <c r="AK6" s="66" t="s">
        <v>75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G5" sqref="G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34" t="s">
        <v>0</v>
      </c>
      <c r="B3" s="134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83</v>
      </c>
      <c r="AL4" s="19" t="s">
        <v>85</v>
      </c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78</v>
      </c>
      <c r="AH5" s="34">
        <f>AG5-AF5</f>
        <v>9612.5</v>
      </c>
      <c r="AI5" s="10" t="s">
        <v>38</v>
      </c>
      <c r="AJ5" s="10">
        <v>4010101001</v>
      </c>
      <c r="AK5" s="72" t="s">
        <v>81</v>
      </c>
      <c r="AL5" s="72" t="s">
        <v>84</v>
      </c>
    </row>
    <row r="6" spans="1:38" ht="15">
      <c r="A6" s="10">
        <v>2</v>
      </c>
      <c r="B6" s="42" t="s">
        <v>159</v>
      </c>
      <c r="C6" s="10">
        <v>0</v>
      </c>
      <c r="D6" s="42" t="s">
        <v>159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77</v>
      </c>
      <c r="AH6" s="34">
        <f>AG6-AF6</f>
        <v>78104</v>
      </c>
      <c r="AI6" s="10" t="s">
        <v>38</v>
      </c>
      <c r="AJ6" s="10">
        <v>4010101001</v>
      </c>
      <c r="AK6" s="66" t="s">
        <v>82</v>
      </c>
      <c r="AL6" s="66" t="s">
        <v>84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6" sqref="D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34" t="s">
        <v>0</v>
      </c>
      <c r="B3" s="134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83</v>
      </c>
      <c r="AL4" s="19" t="s">
        <v>85</v>
      </c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78</v>
      </c>
      <c r="AH5" s="34">
        <f>AG5-AF5</f>
        <v>9612.5</v>
      </c>
      <c r="AI5" s="10" t="s">
        <v>38</v>
      </c>
      <c r="AJ5" s="10">
        <v>4010101001</v>
      </c>
      <c r="AK5" s="72" t="s">
        <v>81</v>
      </c>
      <c r="AL5" s="72" t="s">
        <v>84</v>
      </c>
    </row>
    <row r="6" spans="1:38" ht="15">
      <c r="A6" s="10">
        <v>2</v>
      </c>
      <c r="B6" s="42" t="s">
        <v>159</v>
      </c>
      <c r="C6" s="10">
        <v>0</v>
      </c>
      <c r="D6" s="42" t="s">
        <v>159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77</v>
      </c>
      <c r="AH6" s="34">
        <f>AG6-AF6</f>
        <v>78104</v>
      </c>
      <c r="AI6" s="10" t="s">
        <v>38</v>
      </c>
      <c r="AJ6" s="10">
        <v>4010101001</v>
      </c>
      <c r="AK6" s="66" t="s">
        <v>82</v>
      </c>
      <c r="AL6" s="66" t="s">
        <v>84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K5" sqref="AK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34" t="s">
        <v>0</v>
      </c>
      <c r="B3" s="134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86</v>
      </c>
      <c r="AL4" s="19" t="s">
        <v>85</v>
      </c>
    </row>
    <row r="5" spans="1:38" ht="15">
      <c r="A5" s="10">
        <v>1</v>
      </c>
      <c r="B5" s="42" t="s">
        <v>70</v>
      </c>
      <c r="C5" s="10">
        <v>0</v>
      </c>
      <c r="D5" s="42" t="s">
        <v>70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9612.5</v>
      </c>
      <c r="AI5" s="10" t="s">
        <v>38</v>
      </c>
      <c r="AJ5" s="10" t="s">
        <v>189</v>
      </c>
      <c r="AK5" s="72" t="s">
        <v>211</v>
      </c>
      <c r="AL5" s="72" t="s">
        <v>84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K5" sqref="AK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34" t="s">
        <v>0</v>
      </c>
      <c r="B3" s="134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86</v>
      </c>
      <c r="AL4" s="19" t="s">
        <v>85</v>
      </c>
    </row>
    <row r="5" spans="1:38" ht="15">
      <c r="A5" s="10">
        <v>1</v>
      </c>
      <c r="B5" s="42" t="s">
        <v>70</v>
      </c>
      <c r="C5" s="10">
        <v>0</v>
      </c>
      <c r="D5" s="42" t="s">
        <v>70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38</v>
      </c>
      <c r="AJ5" s="10" t="s">
        <v>189</v>
      </c>
      <c r="AK5" s="72" t="s">
        <v>211</v>
      </c>
      <c r="AL5" s="72" t="s">
        <v>84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K5" sqref="AK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1.710937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34" t="s">
        <v>0</v>
      </c>
      <c r="B3" s="134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86</v>
      </c>
      <c r="AL4" s="19" t="s">
        <v>85</v>
      </c>
    </row>
    <row r="5" spans="1:38" ht="15">
      <c r="A5" s="10">
        <v>1</v>
      </c>
      <c r="B5" s="42" t="s">
        <v>70</v>
      </c>
      <c r="C5" s="10">
        <v>0</v>
      </c>
      <c r="D5" s="42" t="s">
        <v>70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38</v>
      </c>
      <c r="AJ5" s="10" t="s">
        <v>189</v>
      </c>
      <c r="AK5" s="72" t="s">
        <v>211</v>
      </c>
      <c r="AL5" s="72" t="s">
        <v>84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K1" workbookViewId="0">
      <selection activeCell="AK5" sqref="AK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34" t="s">
        <v>0</v>
      </c>
      <c r="B3" s="134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89</v>
      </c>
      <c r="AL4" s="20" t="s">
        <v>88</v>
      </c>
      <c r="AM4" s="58"/>
    </row>
    <row r="5" spans="1:39" ht="15">
      <c r="A5" s="10">
        <v>1</v>
      </c>
      <c r="B5" s="42" t="s">
        <v>159</v>
      </c>
      <c r="C5" s="10">
        <v>0</v>
      </c>
      <c r="D5" s="42" t="s">
        <v>159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134</v>
      </c>
      <c r="AH5" s="34">
        <f>AG5-AF5</f>
        <v>49586</v>
      </c>
      <c r="AI5" s="10" t="s">
        <v>87</v>
      </c>
      <c r="AJ5" s="10" t="s">
        <v>189</v>
      </c>
      <c r="AK5" s="34">
        <f>AH5</f>
        <v>49586</v>
      </c>
      <c r="AL5" s="34">
        <f>AK5+G5</f>
        <v>49601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34" t="s">
        <v>0</v>
      </c>
      <c r="B3" s="134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89</v>
      </c>
      <c r="AL4" s="20" t="s">
        <v>88</v>
      </c>
      <c r="AM4" s="58"/>
    </row>
    <row r="5" spans="1:39" ht="15">
      <c r="A5" s="10">
        <v>1</v>
      </c>
      <c r="B5" s="42" t="s">
        <v>159</v>
      </c>
      <c r="C5" s="10">
        <v>0</v>
      </c>
      <c r="D5" s="42" t="s">
        <v>159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136</v>
      </c>
      <c r="AH5" s="34">
        <f>AG5-AF5</f>
        <v>65983</v>
      </c>
      <c r="AI5" s="10" t="s">
        <v>87</v>
      </c>
      <c r="AJ5" s="10" t="s">
        <v>189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C10" sqref="C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35" t="s">
        <v>142</v>
      </c>
      <c r="B1" s="135"/>
      <c r="C1" s="135"/>
      <c r="D1" s="135"/>
    </row>
    <row r="2" spans="1:5" ht="18">
      <c r="D2" s="112"/>
    </row>
    <row r="3" spans="1:5" ht="19.899999999999999" customHeight="1">
      <c r="A3" s="134"/>
      <c r="B3" s="134"/>
      <c r="C3" s="111"/>
      <c r="D3" s="111"/>
    </row>
    <row r="4" spans="1:5" s="31" customFormat="1">
      <c r="A4" s="11" t="s">
        <v>5</v>
      </c>
      <c r="B4" s="11" t="s">
        <v>129</v>
      </c>
      <c r="C4" s="11" t="s">
        <v>138</v>
      </c>
      <c r="D4" s="11" t="s">
        <v>139</v>
      </c>
      <c r="E4" s="58"/>
    </row>
    <row r="5" spans="1:5" ht="15">
      <c r="A5" s="10">
        <v>1</v>
      </c>
      <c r="B5" s="42" t="s">
        <v>131</v>
      </c>
      <c r="C5" s="42" t="s">
        <v>141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C10" sqref="C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35" t="s">
        <v>143</v>
      </c>
      <c r="B1" s="135"/>
      <c r="C1" s="135"/>
      <c r="D1" s="135"/>
    </row>
    <row r="2" spans="1:5" ht="18">
      <c r="D2" s="112"/>
    </row>
    <row r="3" spans="1:5" ht="19.899999999999999" customHeight="1">
      <c r="A3" s="134"/>
      <c r="B3" s="134"/>
      <c r="C3" s="111"/>
      <c r="D3" s="111"/>
    </row>
    <row r="4" spans="1:5" s="31" customFormat="1">
      <c r="A4" s="11" t="s">
        <v>5</v>
      </c>
      <c r="B4" s="11" t="s">
        <v>129</v>
      </c>
      <c r="C4" s="11" t="s">
        <v>138</v>
      </c>
      <c r="D4" s="11" t="s">
        <v>139</v>
      </c>
      <c r="E4" s="58"/>
    </row>
    <row r="5" spans="1:5" ht="15">
      <c r="A5" s="10">
        <v>1</v>
      </c>
      <c r="B5" s="42" t="s">
        <v>131</v>
      </c>
      <c r="C5" s="42" t="s">
        <v>140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H5" sqref="H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35" t="s">
        <v>148</v>
      </c>
      <c r="B1" s="135"/>
      <c r="C1" s="135"/>
      <c r="D1" s="135"/>
    </row>
    <row r="2" spans="1:16" ht="18">
      <c r="D2" s="112"/>
    </row>
    <row r="3" spans="1:16" ht="19.899999999999999" customHeight="1">
      <c r="A3" s="134"/>
      <c r="B3" s="134"/>
      <c r="C3" s="111"/>
      <c r="D3" s="111"/>
    </row>
    <row r="4" spans="1:16" s="31" customFormat="1">
      <c r="A4" s="11" t="s">
        <v>5</v>
      </c>
      <c r="B4" s="11" t="s">
        <v>6</v>
      </c>
      <c r="C4" s="11" t="s">
        <v>132</v>
      </c>
      <c r="D4" s="11" t="s">
        <v>129</v>
      </c>
      <c r="E4" s="113" t="s">
        <v>146</v>
      </c>
      <c r="F4" s="115" t="s">
        <v>138</v>
      </c>
      <c r="G4" s="115" t="s">
        <v>139</v>
      </c>
      <c r="H4" s="115" t="s">
        <v>164</v>
      </c>
      <c r="I4" s="115" t="s">
        <v>165</v>
      </c>
      <c r="J4" s="115" t="s">
        <v>166</v>
      </c>
      <c r="K4" s="115" t="s">
        <v>167</v>
      </c>
      <c r="L4" s="115" t="s">
        <v>168</v>
      </c>
      <c r="M4" s="115" t="s">
        <v>169</v>
      </c>
      <c r="N4" s="115" t="s">
        <v>174</v>
      </c>
      <c r="O4" s="115" t="s">
        <v>97</v>
      </c>
      <c r="P4" s="115" t="s">
        <v>150</v>
      </c>
    </row>
    <row r="5" spans="1:16" ht="15">
      <c r="A5" s="10">
        <v>1</v>
      </c>
      <c r="B5" s="114" t="s">
        <v>149</v>
      </c>
      <c r="C5" s="42" t="s">
        <v>57</v>
      </c>
      <c r="D5" s="10" t="s">
        <v>137</v>
      </c>
      <c r="E5" s="67" t="s">
        <v>147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88363222</v>
      </c>
      <c r="P5" s="10" t="s">
        <v>151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25" sqref="B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35" t="s">
        <v>148</v>
      </c>
      <c r="B1" s="135"/>
      <c r="C1" s="135"/>
      <c r="D1" s="135"/>
    </row>
    <row r="2" spans="1:16" ht="18">
      <c r="D2" s="112"/>
    </row>
    <row r="3" spans="1:16" ht="19.899999999999999" customHeight="1">
      <c r="A3" s="134"/>
      <c r="B3" s="134"/>
      <c r="C3" s="111"/>
      <c r="D3" s="111"/>
    </row>
    <row r="4" spans="1:16" s="31" customFormat="1">
      <c r="A4" s="11" t="s">
        <v>5</v>
      </c>
      <c r="B4" s="11" t="s">
        <v>6</v>
      </c>
      <c r="C4" s="11" t="s">
        <v>132</v>
      </c>
      <c r="D4" s="11" t="s">
        <v>129</v>
      </c>
      <c r="E4" s="113" t="s">
        <v>146</v>
      </c>
      <c r="F4" s="115" t="s">
        <v>138</v>
      </c>
      <c r="G4" s="115" t="s">
        <v>139</v>
      </c>
      <c r="H4" s="115" t="s">
        <v>164</v>
      </c>
      <c r="I4" s="115" t="s">
        <v>165</v>
      </c>
      <c r="J4" s="115" t="s">
        <v>166</v>
      </c>
      <c r="K4" s="115" t="s">
        <v>167</v>
      </c>
      <c r="L4" s="115" t="s">
        <v>168</v>
      </c>
      <c r="M4" s="115" t="s">
        <v>169</v>
      </c>
      <c r="N4" s="115" t="s">
        <v>174</v>
      </c>
      <c r="O4" s="115" t="s">
        <v>97</v>
      </c>
      <c r="P4" s="115" t="s">
        <v>150</v>
      </c>
    </row>
    <row r="5" spans="1:16" ht="15">
      <c r="A5" s="10">
        <v>1</v>
      </c>
      <c r="B5" s="114" t="s">
        <v>149</v>
      </c>
      <c r="C5" s="114" t="s">
        <v>153</v>
      </c>
      <c r="D5" s="10" t="s">
        <v>137</v>
      </c>
      <c r="E5" s="67" t="s">
        <v>147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88363222</v>
      </c>
      <c r="P5" s="10" t="s">
        <v>155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3"/>
  <sheetViews>
    <sheetView topLeftCell="C1"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35" t="s">
        <v>148</v>
      </c>
      <c r="B1" s="135"/>
      <c r="C1" s="135"/>
      <c r="D1" s="135"/>
    </row>
    <row r="2" spans="1:16" ht="18">
      <c r="D2" s="119"/>
    </row>
    <row r="3" spans="1:16" ht="19.899999999999999" customHeight="1">
      <c r="A3" s="134"/>
      <c r="B3" s="134"/>
      <c r="C3" s="118"/>
      <c r="D3" s="118"/>
    </row>
    <row r="4" spans="1:16" s="31" customFormat="1">
      <c r="A4" s="11" t="s">
        <v>5</v>
      </c>
      <c r="B4" s="11" t="s">
        <v>6</v>
      </c>
      <c r="C4" s="11" t="s">
        <v>132</v>
      </c>
      <c r="D4" s="11" t="s">
        <v>129</v>
      </c>
      <c r="E4" s="113" t="s">
        <v>146</v>
      </c>
      <c r="F4" s="115" t="s">
        <v>138</v>
      </c>
      <c r="G4" s="115" t="s">
        <v>139</v>
      </c>
      <c r="H4" s="115" t="s">
        <v>164</v>
      </c>
      <c r="I4" s="115" t="s">
        <v>165</v>
      </c>
      <c r="J4" s="115" t="s">
        <v>166</v>
      </c>
      <c r="K4" s="115" t="s">
        <v>167</v>
      </c>
      <c r="L4" s="115" t="s">
        <v>168</v>
      </c>
      <c r="M4" s="115" t="s">
        <v>169</v>
      </c>
      <c r="N4" s="115" t="s">
        <v>174</v>
      </c>
      <c r="O4" s="115" t="s">
        <v>97</v>
      </c>
      <c r="P4" s="115" t="s">
        <v>150</v>
      </c>
    </row>
    <row r="5" spans="1:16" ht="15">
      <c r="A5" s="10">
        <v>1</v>
      </c>
      <c r="B5" s="114" t="s">
        <v>161</v>
      </c>
      <c r="C5" s="114" t="s">
        <v>153</v>
      </c>
      <c r="D5" s="10" t="s">
        <v>163</v>
      </c>
      <c r="E5" s="67" t="s">
        <v>147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88363222</v>
      </c>
      <c r="P5" s="10" t="s">
        <v>160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topLeftCell="B1" workbookViewId="0">
      <selection activeCell="F25" sqref="F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35" t="s">
        <v>148</v>
      </c>
      <c r="B1" s="135"/>
      <c r="C1" s="135"/>
      <c r="D1" s="135"/>
    </row>
    <row r="2" spans="1:16" ht="18">
      <c r="D2" s="112"/>
    </row>
    <row r="3" spans="1:16" ht="19.899999999999999" customHeight="1">
      <c r="A3" s="134"/>
      <c r="B3" s="134"/>
      <c r="C3" s="111"/>
      <c r="D3" s="111"/>
    </row>
    <row r="4" spans="1:16" s="31" customFormat="1">
      <c r="A4" s="11" t="s">
        <v>5</v>
      </c>
      <c r="B4" s="11" t="s">
        <v>6</v>
      </c>
      <c r="C4" s="11" t="s">
        <v>132</v>
      </c>
      <c r="D4" s="11" t="s">
        <v>129</v>
      </c>
      <c r="E4" s="113" t="s">
        <v>146</v>
      </c>
      <c r="F4" s="115" t="s">
        <v>138</v>
      </c>
      <c r="G4" s="115" t="s">
        <v>139</v>
      </c>
      <c r="H4" s="115" t="s">
        <v>164</v>
      </c>
      <c r="I4" s="115" t="s">
        <v>165</v>
      </c>
      <c r="J4" s="115" t="s">
        <v>166</v>
      </c>
      <c r="K4" s="115" t="s">
        <v>167</v>
      </c>
      <c r="L4" s="115" t="s">
        <v>168</v>
      </c>
      <c r="M4" s="115" t="s">
        <v>169</v>
      </c>
      <c r="N4" s="115" t="s">
        <v>174</v>
      </c>
      <c r="O4" s="115" t="s">
        <v>97</v>
      </c>
      <c r="P4" s="115" t="s">
        <v>150</v>
      </c>
    </row>
    <row r="5" spans="1:16" ht="15">
      <c r="A5" s="10">
        <v>1</v>
      </c>
      <c r="B5" s="114" t="s">
        <v>152</v>
      </c>
      <c r="C5" s="114" t="s">
        <v>153</v>
      </c>
      <c r="D5" s="10" t="s">
        <v>145</v>
      </c>
      <c r="E5" s="67" t="s">
        <v>147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175</v>
      </c>
      <c r="O5" s="123">
        <v>88363222</v>
      </c>
      <c r="P5" s="10" t="s">
        <v>154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K8" sqref="K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16384" style="29" width="9.140625"/>
  </cols>
  <sheetData>
    <row r="1" spans="1:15" ht="27.75" customHeight="1">
      <c r="A1" s="135" t="s">
        <v>148</v>
      </c>
      <c r="B1" s="135"/>
      <c r="C1" s="135"/>
      <c r="D1" s="135"/>
    </row>
    <row r="2" spans="1:15" ht="18">
      <c r="D2" s="112"/>
    </row>
    <row r="3" spans="1:15" ht="19.899999999999999" customHeight="1">
      <c r="A3" s="134"/>
      <c r="B3" s="134"/>
      <c r="C3" s="111"/>
      <c r="D3" s="111"/>
    </row>
    <row r="4" spans="1:15" s="31" customFormat="1">
      <c r="A4" s="11" t="s">
        <v>5</v>
      </c>
      <c r="B4" s="11" t="s">
        <v>6</v>
      </c>
      <c r="C4" s="11" t="s">
        <v>132</v>
      </c>
      <c r="D4" s="11" t="s">
        <v>129</v>
      </c>
      <c r="E4" s="113" t="s">
        <v>146</v>
      </c>
      <c r="F4" s="115" t="s">
        <v>138</v>
      </c>
      <c r="G4" s="115" t="s">
        <v>139</v>
      </c>
      <c r="H4" s="115" t="s">
        <v>164</v>
      </c>
      <c r="I4" s="115" t="s">
        <v>165</v>
      </c>
      <c r="J4" s="115" t="s">
        <v>166</v>
      </c>
      <c r="K4" s="115" t="s">
        <v>167</v>
      </c>
      <c r="L4" s="115" t="s">
        <v>168</v>
      </c>
      <c r="M4" s="115" t="s">
        <v>169</v>
      </c>
      <c r="N4" s="115" t="s">
        <v>174</v>
      </c>
      <c r="O4" s="115" t="s">
        <v>97</v>
      </c>
    </row>
    <row r="5" spans="1:15" ht="15">
      <c r="A5" s="10">
        <v>1</v>
      </c>
      <c r="B5" s="42" t="s">
        <v>144</v>
      </c>
      <c r="C5" s="42" t="s">
        <v>57</v>
      </c>
      <c r="D5" s="10" t="s">
        <v>145</v>
      </c>
      <c r="E5" s="67" t="s">
        <v>147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175</v>
      </c>
      <c r="O5" s="123">
        <v>88363222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E22" sqref="E2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35" t="s">
        <v>162</v>
      </c>
      <c r="B1" s="135"/>
      <c r="C1" s="135"/>
      <c r="D1" s="135"/>
    </row>
    <row r="2" spans="1:16" ht="18">
      <c r="D2" s="121"/>
    </row>
    <row r="3" spans="1:16" ht="19.899999999999999" customHeight="1">
      <c r="A3" s="134"/>
      <c r="B3" s="134"/>
      <c r="C3" s="120"/>
      <c r="D3" s="120"/>
    </row>
    <row r="4" spans="1:16" s="31" customFormat="1">
      <c r="A4" s="11" t="s">
        <v>5</v>
      </c>
      <c r="B4" s="11" t="s">
        <v>6</v>
      </c>
      <c r="C4" s="11" t="s">
        <v>132</v>
      </c>
      <c r="D4" s="11" t="s">
        <v>129</v>
      </c>
      <c r="E4" s="113" t="s">
        <v>146</v>
      </c>
      <c r="F4" s="115" t="s">
        <v>138</v>
      </c>
      <c r="G4" s="115" t="s">
        <v>139</v>
      </c>
      <c r="H4" s="115" t="s">
        <v>164</v>
      </c>
      <c r="I4" s="115" t="s">
        <v>165</v>
      </c>
      <c r="J4" s="115" t="s">
        <v>166</v>
      </c>
      <c r="K4" s="115" t="s">
        <v>167</v>
      </c>
      <c r="L4" s="115" t="s">
        <v>168</v>
      </c>
      <c r="M4" s="115" t="s">
        <v>169</v>
      </c>
      <c r="N4" s="115" t="s">
        <v>174</v>
      </c>
      <c r="O4" s="115" t="s">
        <v>97</v>
      </c>
      <c r="P4" s="115" t="s">
        <v>150</v>
      </c>
    </row>
    <row r="5" spans="1:16" ht="15">
      <c r="A5" s="10">
        <v>1</v>
      </c>
      <c r="B5" s="42" t="s">
        <v>157</v>
      </c>
      <c r="C5" s="42" t="s">
        <v>57</v>
      </c>
      <c r="D5" s="10" t="s">
        <v>156</v>
      </c>
      <c r="E5" s="67" t="s">
        <v>147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88363222</v>
      </c>
      <c r="P5" s="10" t="s">
        <v>155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G5" sqref="G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1.0"/>
    <col min="11" max="16384" style="29" width="9.140625"/>
  </cols>
  <sheetData>
    <row r="1" spans="1:15" ht="27.75" customHeight="1">
      <c r="A1" s="135" t="s">
        <v>158</v>
      </c>
      <c r="B1" s="135"/>
      <c r="C1" s="135"/>
      <c r="D1" s="135"/>
    </row>
    <row r="2" spans="1:15" ht="18">
      <c r="D2" s="117"/>
    </row>
    <row r="3" spans="1:15" ht="19.899999999999999" customHeight="1">
      <c r="A3" s="134"/>
      <c r="B3" s="134"/>
      <c r="C3" s="116"/>
      <c r="D3" s="116"/>
    </row>
    <row r="4" spans="1:15" s="31" customFormat="1">
      <c r="A4" s="11" t="s">
        <v>5</v>
      </c>
      <c r="B4" s="11" t="s">
        <v>6</v>
      </c>
      <c r="C4" s="11" t="s">
        <v>132</v>
      </c>
      <c r="D4" s="11" t="s">
        <v>129</v>
      </c>
      <c r="E4" s="113" t="s">
        <v>146</v>
      </c>
      <c r="F4" s="115" t="s">
        <v>138</v>
      </c>
      <c r="G4" s="115" t="s">
        <v>139</v>
      </c>
      <c r="H4" s="115" t="s">
        <v>164</v>
      </c>
      <c r="I4" s="115" t="s">
        <v>165</v>
      </c>
      <c r="J4" s="115" t="s">
        <v>166</v>
      </c>
      <c r="K4" s="115" t="s">
        <v>167</v>
      </c>
      <c r="L4" s="115" t="s">
        <v>168</v>
      </c>
      <c r="M4" s="115" t="s">
        <v>169</v>
      </c>
      <c r="N4" s="115" t="s">
        <v>174</v>
      </c>
      <c r="O4" s="115" t="s">
        <v>97</v>
      </c>
    </row>
    <row r="5" spans="1:15" ht="15">
      <c r="A5" s="10">
        <v>1</v>
      </c>
      <c r="B5" s="42" t="s">
        <v>157</v>
      </c>
      <c r="C5" s="42" t="s">
        <v>57</v>
      </c>
      <c r="D5" s="10" t="s">
        <v>156</v>
      </c>
      <c r="E5" s="67" t="s">
        <v>147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88363222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D23" sqref="D2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35" t="s">
        <v>182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34" t="s">
        <v>0</v>
      </c>
      <c r="B3" s="134"/>
      <c r="C3" s="128"/>
      <c r="D3" s="3">
        <v>1</v>
      </c>
      <c r="E3" s="4" t="s">
        <v>184</v>
      </c>
      <c r="F3" s="5"/>
      <c r="G3" s="5"/>
      <c r="H3" s="5"/>
      <c r="I3" s="6"/>
      <c r="J3" s="6">
        <v>2</v>
      </c>
      <c r="K3" s="7" t="s">
        <v>177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132</v>
      </c>
      <c r="D4" s="11" t="s">
        <v>129</v>
      </c>
      <c r="E4" s="113" t="s">
        <v>146</v>
      </c>
      <c r="F4" s="126" t="s">
        <v>138</v>
      </c>
      <c r="G4" s="126" t="s">
        <v>139</v>
      </c>
      <c r="H4" s="126" t="s">
        <v>164</v>
      </c>
      <c r="I4" s="115" t="s">
        <v>165</v>
      </c>
      <c r="J4" s="115" t="s">
        <v>166</v>
      </c>
      <c r="K4" s="115" t="s">
        <v>167</v>
      </c>
      <c r="L4" s="127" t="s">
        <v>174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185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131</v>
      </c>
      <c r="C5" s="29" t="s">
        <v>179</v>
      </c>
      <c r="D5" s="10" t="s">
        <v>137</v>
      </c>
      <c r="E5" s="67" t="s">
        <v>147</v>
      </c>
      <c r="F5" s="29" t="s">
        <v>140</v>
      </c>
      <c r="G5" s="29" t="s">
        <v>183</v>
      </c>
      <c r="H5" s="29" t="s">
        <v>176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40.5</v>
      </c>
      <c r="P5" s="33">
        <f>IF($D$3=1,ROUND(((K5*N5)/2),2),0)</f>
        <v>40.5</v>
      </c>
      <c r="Q5" s="33">
        <f>IF($D$3=2,ROUND((K5*N5),2),0)</f>
        <v>0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sqref="A1:AC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35" t="s">
        <v>181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34" t="s">
        <v>0</v>
      </c>
      <c r="B3" s="134"/>
      <c r="C3" s="128"/>
      <c r="D3" s="3">
        <v>2</v>
      </c>
      <c r="E3" s="4" t="s">
        <v>184</v>
      </c>
      <c r="F3" s="5"/>
      <c r="G3" s="5"/>
      <c r="H3" s="5"/>
      <c r="I3" s="6"/>
      <c r="J3" s="6">
        <v>1</v>
      </c>
      <c r="K3" s="7" t="s">
        <v>177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132</v>
      </c>
      <c r="D4" s="11" t="s">
        <v>129</v>
      </c>
      <c r="E4" s="113" t="s">
        <v>146</v>
      </c>
      <c r="F4" s="126" t="s">
        <v>138</v>
      </c>
      <c r="G4" s="126" t="s">
        <v>139</v>
      </c>
      <c r="H4" s="126" t="s">
        <v>164</v>
      </c>
      <c r="I4" s="115" t="s">
        <v>165</v>
      </c>
      <c r="J4" s="115" t="s">
        <v>166</v>
      </c>
      <c r="K4" s="115" t="s">
        <v>167</v>
      </c>
      <c r="L4" s="127" t="s">
        <v>174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185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131</v>
      </c>
      <c r="C5" s="29" t="s">
        <v>179</v>
      </c>
      <c r="D5" s="10" t="s">
        <v>137</v>
      </c>
      <c r="E5" s="67" t="s">
        <v>147</v>
      </c>
      <c r="F5" s="29" t="s">
        <v>140</v>
      </c>
      <c r="G5" s="29" t="s">
        <v>183</v>
      </c>
      <c r="H5" s="29" t="s">
        <v>176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sqref="A1:AC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35" t="s">
        <v>187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34" t="s">
        <v>0</v>
      </c>
      <c r="B3" s="134"/>
      <c r="C3" s="128"/>
      <c r="D3" s="3">
        <v>4</v>
      </c>
      <c r="E3" s="4" t="s">
        <v>184</v>
      </c>
      <c r="F3" s="5"/>
      <c r="G3" s="5"/>
      <c r="H3" s="5"/>
      <c r="I3" s="6"/>
      <c r="J3" s="6">
        <v>1</v>
      </c>
      <c r="K3" s="7" t="s">
        <v>177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132</v>
      </c>
      <c r="D4" s="11" t="s">
        <v>129</v>
      </c>
      <c r="E4" s="113" t="s">
        <v>146</v>
      </c>
      <c r="F4" s="126" t="s">
        <v>138</v>
      </c>
      <c r="G4" s="126" t="s">
        <v>139</v>
      </c>
      <c r="H4" s="126" t="s">
        <v>164</v>
      </c>
      <c r="I4" s="115" t="s">
        <v>165</v>
      </c>
      <c r="J4" s="115" t="s">
        <v>166</v>
      </c>
      <c r="K4" s="115" t="s">
        <v>167</v>
      </c>
      <c r="L4" s="127" t="s">
        <v>174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185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131</v>
      </c>
      <c r="C5" s="29" t="s">
        <v>179</v>
      </c>
      <c r="D5" s="10" t="s">
        <v>137</v>
      </c>
      <c r="E5" s="67" t="s">
        <v>147</v>
      </c>
      <c r="F5" s="29" t="s">
        <v>140</v>
      </c>
      <c r="G5" s="29" t="s">
        <v>183</v>
      </c>
      <c r="H5" s="29" t="s">
        <v>176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0</v>
      </c>
      <c r="R5" s="33">
        <f>IF($D$3=4,ROUND((K5*N5),2),0)</f>
        <v>81</v>
      </c>
      <c r="S5" s="33">
        <f>O5+P5+Q5+R5</f>
        <v>81</v>
      </c>
      <c r="T5" s="33">
        <f>IF($J$3=1, K5+S5, K5)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sqref="A1:AC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35" t="s">
        <v>186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34" t="s">
        <v>0</v>
      </c>
      <c r="B3" s="134"/>
      <c r="C3" s="128"/>
      <c r="D3" s="3">
        <v>4</v>
      </c>
      <c r="E3" s="4" t="s">
        <v>184</v>
      </c>
      <c r="F3" s="5"/>
      <c r="G3" s="5"/>
      <c r="H3" s="5"/>
      <c r="I3" s="6"/>
      <c r="J3" s="6">
        <v>2</v>
      </c>
      <c r="K3" s="7" t="s">
        <v>177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132</v>
      </c>
      <c r="D4" s="11" t="s">
        <v>129</v>
      </c>
      <c r="E4" s="113" t="s">
        <v>146</v>
      </c>
      <c r="F4" s="126" t="s">
        <v>138</v>
      </c>
      <c r="G4" s="126" t="s">
        <v>139</v>
      </c>
      <c r="H4" s="126" t="s">
        <v>164</v>
      </c>
      <c r="I4" s="115" t="s">
        <v>165</v>
      </c>
      <c r="J4" s="115" t="s">
        <v>166</v>
      </c>
      <c r="K4" s="115" t="s">
        <v>167</v>
      </c>
      <c r="L4" s="127" t="s">
        <v>174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185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131</v>
      </c>
      <c r="C5" s="29" t="s">
        <v>179</v>
      </c>
      <c r="D5" s="10" t="s">
        <v>137</v>
      </c>
      <c r="E5" s="67" t="s">
        <v>147</v>
      </c>
      <c r="F5" s="29" t="s">
        <v>140</v>
      </c>
      <c r="G5" s="29" t="s">
        <v>183</v>
      </c>
      <c r="H5" s="29" t="s">
        <v>176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0</v>
      </c>
      <c r="R5" s="33">
        <f>IF($D$3=4,ROUND((K5*N5),2),0)</f>
        <v>81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T3" sqref="T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35" t="s">
        <v>180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34" t="s">
        <v>0</v>
      </c>
      <c r="B3" s="134"/>
      <c r="C3" s="128"/>
      <c r="D3" s="3">
        <v>2</v>
      </c>
      <c r="E3" s="4" t="s">
        <v>184</v>
      </c>
      <c r="F3" s="5"/>
      <c r="G3" s="5"/>
      <c r="H3" s="5"/>
      <c r="I3" s="6"/>
      <c r="J3" s="6">
        <v>2</v>
      </c>
      <c r="K3" s="7" t="s">
        <v>177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132</v>
      </c>
      <c r="D4" s="11" t="s">
        <v>129</v>
      </c>
      <c r="E4" s="113" t="s">
        <v>146</v>
      </c>
      <c r="F4" s="126" t="s">
        <v>138</v>
      </c>
      <c r="G4" s="126" t="s">
        <v>139</v>
      </c>
      <c r="H4" s="126" t="s">
        <v>164</v>
      </c>
      <c r="I4" s="115" t="s">
        <v>165</v>
      </c>
      <c r="J4" s="115" t="s">
        <v>166</v>
      </c>
      <c r="K4" s="115" t="s">
        <v>167</v>
      </c>
      <c r="L4" s="127" t="s">
        <v>174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185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131</v>
      </c>
      <c r="C5" s="29" t="s">
        <v>179</v>
      </c>
      <c r="D5" s="10" t="s">
        <v>137</v>
      </c>
      <c r="E5" s="67" t="s">
        <v>147</v>
      </c>
      <c r="F5" s="29" t="s">
        <v>140</v>
      </c>
      <c r="G5" s="29" t="s">
        <v>183</v>
      </c>
      <c r="H5" s="29" t="s">
        <v>176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sqref="A1:AC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35" t="s">
        <v>178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34" t="s">
        <v>0</v>
      </c>
      <c r="B3" s="134"/>
      <c r="C3" s="128"/>
      <c r="D3" s="3">
        <v>1</v>
      </c>
      <c r="E3" s="4" t="s">
        <v>184</v>
      </c>
      <c r="F3" s="5"/>
      <c r="G3" s="5"/>
      <c r="H3" s="5"/>
      <c r="I3" s="6"/>
      <c r="J3" s="6">
        <v>1</v>
      </c>
      <c r="K3" s="7" t="s">
        <v>177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132</v>
      </c>
      <c r="D4" s="11" t="s">
        <v>129</v>
      </c>
      <c r="E4" s="113" t="s">
        <v>146</v>
      </c>
      <c r="F4" s="126" t="s">
        <v>138</v>
      </c>
      <c r="G4" s="126" t="s">
        <v>139</v>
      </c>
      <c r="H4" s="126" t="s">
        <v>164</v>
      </c>
      <c r="I4" s="115" t="s">
        <v>165</v>
      </c>
      <c r="J4" s="115" t="s">
        <v>166</v>
      </c>
      <c r="K4" s="115" t="s">
        <v>167</v>
      </c>
      <c r="L4" s="127" t="s">
        <v>174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185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131</v>
      </c>
      <c r="C5" s="29" t="s">
        <v>179</v>
      </c>
      <c r="D5" s="10" t="s">
        <v>137</v>
      </c>
      <c r="E5" s="67" t="s">
        <v>147</v>
      </c>
      <c r="F5" s="29" t="s">
        <v>140</v>
      </c>
      <c r="G5" s="29" t="s">
        <v>183</v>
      </c>
      <c r="H5" s="29" t="s">
        <v>176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40.5</v>
      </c>
      <c r="P5" s="33">
        <f>IF($D$3=1,ROUND(((K5*N5)/2),2),0)</f>
        <v>40.5</v>
      </c>
      <c r="Q5" s="33">
        <f>IF($D$3=2,ROUND((K5*N5),2),0)</f>
        <v>0</v>
      </c>
      <c r="R5" s="33">
        <f>IF($D$3=4,ROUND((K5*N5),2),0)</f>
        <v>0</v>
      </c>
      <c r="S5" s="33">
        <f>O5+P5+Q5+R5</f>
        <v>81</v>
      </c>
      <c r="T5" s="33">
        <f>IF($J$3=1, K5+S5, K5)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35" t="s">
        <v>130</v>
      </c>
      <c r="B1" s="135"/>
      <c r="C1" s="135"/>
      <c r="D1" s="135"/>
    </row>
    <row r="2" spans="1:17" ht="18">
      <c r="D2" s="109"/>
    </row>
    <row r="3" spans="1:17" ht="19.899999999999999" customHeight="1">
      <c r="A3" s="134"/>
      <c r="B3" s="134"/>
      <c r="C3" s="110"/>
      <c r="D3" s="108"/>
    </row>
    <row r="4" spans="1:17" s="31" customFormat="1">
      <c r="A4" s="11" t="s">
        <v>5</v>
      </c>
      <c r="B4" s="11" t="s">
        <v>6</v>
      </c>
      <c r="C4" s="11" t="s">
        <v>132</v>
      </c>
      <c r="D4" s="11" t="s">
        <v>129</v>
      </c>
      <c r="E4" s="113" t="s">
        <v>146</v>
      </c>
      <c r="F4" s="115" t="s">
        <v>138</v>
      </c>
      <c r="G4" s="115" t="s">
        <v>139</v>
      </c>
      <c r="H4" s="115" t="s">
        <v>164</v>
      </c>
      <c r="I4" s="115" t="s">
        <v>165</v>
      </c>
      <c r="J4" s="115" t="s">
        <v>166</v>
      </c>
      <c r="K4" s="115" t="s">
        <v>167</v>
      </c>
      <c r="L4" s="115" t="s">
        <v>168</v>
      </c>
      <c r="M4" s="115" t="s">
        <v>169</v>
      </c>
      <c r="N4" s="115" t="s">
        <v>174</v>
      </c>
      <c r="O4" s="115" t="s">
        <v>97</v>
      </c>
      <c r="P4" s="115" t="s">
        <v>170</v>
      </c>
      <c r="Q4" s="115" t="s">
        <v>171</v>
      </c>
    </row>
    <row r="5" spans="1:17" ht="15">
      <c r="A5" s="10">
        <v>1</v>
      </c>
      <c r="B5" s="42" t="s">
        <v>131</v>
      </c>
      <c r="C5" s="42" t="s">
        <v>179</v>
      </c>
      <c r="D5" s="10" t="s">
        <v>137</v>
      </c>
      <c r="E5" s="67" t="s">
        <v>147</v>
      </c>
      <c r="F5" s="10">
        <v>1</v>
      </c>
      <c r="G5" s="10">
        <v>20</v>
      </c>
      <c r="H5" s="10">
        <v>1</v>
      </c>
      <c r="I5" s="10">
        <f>ROUND(C5*H5/F5,3)</f>
        <v>20</v>
      </c>
      <c r="J5" s="122">
        <f>I5*(G5/C5)</f>
        <v>20</v>
      </c>
      <c r="K5" s="10">
        <f>I5*G5</f>
        <v>400</v>
      </c>
      <c r="L5" s="124">
        <v>0.18</v>
      </c>
      <c r="M5" s="10">
        <f>K5*L5</f>
        <v>72</v>
      </c>
      <c r="N5" s="10" t="s">
        <v>32</v>
      </c>
      <c r="O5" s="123">
        <v>88363222</v>
      </c>
      <c r="P5" s="10" t="s">
        <v>172</v>
      </c>
      <c r="Q5" s="10" t="s">
        <v>173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35" t="s">
        <v>180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34" t="s">
        <v>0</v>
      </c>
      <c r="B3" s="134"/>
      <c r="C3" s="130"/>
      <c r="D3" s="3">
        <v>2</v>
      </c>
      <c r="E3" s="4" t="s">
        <v>184</v>
      </c>
      <c r="F3" s="5"/>
      <c r="G3" s="5"/>
      <c r="H3" s="5"/>
      <c r="I3" s="6"/>
      <c r="J3" s="6">
        <v>2</v>
      </c>
      <c r="K3" s="7" t="s">
        <v>177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132</v>
      </c>
      <c r="D4" s="11" t="s">
        <v>129</v>
      </c>
      <c r="E4" s="113" t="s">
        <v>146</v>
      </c>
      <c r="F4" s="126" t="s">
        <v>138</v>
      </c>
      <c r="G4" s="126" t="s">
        <v>139</v>
      </c>
      <c r="H4" s="126" t="s">
        <v>164</v>
      </c>
      <c r="I4" s="115" t="s">
        <v>165</v>
      </c>
      <c r="J4" s="115" t="s">
        <v>166</v>
      </c>
      <c r="K4" s="115" t="s">
        <v>167</v>
      </c>
      <c r="L4" s="127" t="s">
        <v>174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185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131</v>
      </c>
      <c r="C5" s="29" t="s">
        <v>179</v>
      </c>
      <c r="D5" s="10" t="s">
        <v>137</v>
      </c>
      <c r="E5" s="67" t="s">
        <v>147</v>
      </c>
      <c r="F5" s="29" t="s">
        <v>140</v>
      </c>
      <c r="G5" s="29" t="s">
        <v>183</v>
      </c>
      <c r="H5" s="29" t="s">
        <v>176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48</vt:i4>
      </vt:variant>
    </vt:vector>
  </HeadingPairs>
  <TitlesOfParts>
    <vt:vector size="48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</vt:lpstr>
      <vt:lpstr>DirectSCOWithProject</vt:lpstr>
      <vt:lpstr>DirectSCOSerialWithSO</vt:lpstr>
      <vt:lpstr>DirectSCOWithSOandConv</vt:lpstr>
      <vt:lpstr>DirectSCOWithConv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</vt:lpstr>
      <vt:lpstr>SCOCharges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Vimal Raj.P</cp:lastModifiedBy>
  <dcterms:modified xsi:type="dcterms:W3CDTF">2025-11-17T10:07:44Z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