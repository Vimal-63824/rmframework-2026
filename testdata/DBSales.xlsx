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1" activeTab="2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" sheetId="43" r:id="rId34"/>
    <sheet name="DirectSCOWithProject" sheetId="45" r:id="rId35"/>
    <sheet name="DirectSCOSerialWithSO" sheetId="47" r:id="rId36"/>
    <sheet name="DirectSCOWithSOandConv" sheetId="44" r:id="rId37"/>
    <sheet name="DirectSCOWithConv" sheetId="42" r:id="rId38"/>
    <sheet name="DirectSCOSerialWithPrj" sheetId="48" r:id="rId39"/>
    <sheet name="DirectSCOSerial" sheetId="46" r:id="rId40"/>
    <sheet name="ProcCalculationLocalUnreg" sheetId="52" r:id="rId41"/>
    <sheet name="ProcCalculationInterstateReg" sheetId="53" r:id="rId42"/>
    <sheet name="ProcCalculationUTGSTreg" sheetId="56" r:id="rId43"/>
    <sheet name="ProcCalculationUTGSTUnreg" sheetId="55" r:id="rId44"/>
    <sheet name="ProcCalculationInterstateUnreg" sheetId="54" r:id="rId45"/>
    <sheet name="ProcCalculationLocalReg" sheetId="51" r:id="rId46"/>
    <sheet name="DirectSCO" sheetId="39" r:id="rId47"/>
    <sheet name="SCOCharges" sheetId="57" r:id="rId48"/>
    <sheet name="SOtoSIDomestic" sheetId="61" r:id="rId4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O5"/>
  <c r="I5"/>
  <c r="J5" s="1"/>
  <c r="Q5" i="51"/>
  <c r="P5"/>
  <c r="O5"/>
  <c r="I5"/>
  <c r="K5" s="1"/>
  <c r="Q5" i="54"/>
  <c r="P5"/>
  <c r="O5"/>
  <c r="I5"/>
  <c r="J5" s="1"/>
  <c r="Q5" i="53"/>
  <c r="P5"/>
  <c r="O5"/>
  <c r="I5"/>
  <c r="K5" s="1"/>
  <c r="Q5" i="52"/>
  <c r="P5"/>
  <c r="O5"/>
  <c r="I5"/>
  <c r="K5" s="1"/>
  <c r="R5" i="55"/>
  <c r="P5"/>
  <c r="O5"/>
  <c r="I5"/>
  <c r="J5" s="1"/>
  <c r="M5" i="61" l="1"/>
  <c r="N5" s="1"/>
  <c r="M6"/>
  <c r="N6" s="1"/>
  <c r="O5" i="58"/>
  <c r="K5" i="57"/>
  <c r="K5" i="56"/>
  <c r="R5" i="51"/>
  <c r="S5" s="1"/>
  <c r="T5"/>
  <c r="J5"/>
  <c r="K5" i="54"/>
  <c r="R5" i="53"/>
  <c r="S5" s="1"/>
  <c r="T5"/>
  <c r="J5"/>
  <c r="R5" i="52"/>
  <c r="S5" s="1"/>
  <c r="T5"/>
  <c r="J5"/>
  <c r="K5" i="55"/>
  <c r="O5" i="61" l="1"/>
  <c r="O6"/>
  <c r="P5" i="58"/>
  <c r="Q5" s="1"/>
  <c r="R5" s="1"/>
  <c r="Q5" i="57"/>
  <c r="S5" s="1"/>
  <c r="T5"/>
  <c r="R5" i="56"/>
  <c r="S5" s="1"/>
  <c r="T5"/>
  <c r="R5" i="54"/>
  <c r="S5" s="1"/>
  <c r="T5"/>
  <c r="T5" i="55"/>
  <c r="Q5"/>
  <c r="S5" s="1"/>
  <c r="I5" i="43"/>
  <c r="J5" s="1"/>
  <c r="I5" i="45"/>
  <c r="J5" s="1"/>
  <c r="I5" i="47"/>
  <c r="J5" s="1"/>
  <c r="I5" i="44"/>
  <c r="J5" s="1"/>
  <c r="I5" i="42"/>
  <c r="J5" s="1"/>
  <c r="I5" i="48"/>
  <c r="J5" s="1"/>
  <c r="P5" i="61" l="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<sst xmlns="http://schemas.openxmlformats.org/spreadsheetml/2006/main" count="2360" uniqueCount="232">
  <si>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</si>
  <si>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</si>
  <si>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</si>
  <si>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</si>
  <si>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</si>
  <si>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</si>
  <si>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</si>
  <si>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</si>
  <si>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</si>
  <si>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</si>
  <si>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</si>
  <si>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</si>
  <si>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</si>
  <si>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</si>
  <si>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</si>
  <si>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</si>
  <si>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</si>
  <si>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</si>
  <si>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</si>
  <si>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</si>
  <si>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</si>
  <si>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</si>
  <si>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</si>
  <si>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</si>
  <si>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</si>
  <si>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</si>
  <si>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</si>
  <si>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</si>
  <si>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</si>
  <si>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</si>
  <si>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</si>
  <si>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</si>
  <si>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</si>
  <si>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</si>
  <si>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</si>
  <si>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</si>
  <si>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</si>
  <si>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</si>
  <si>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</si>
  <si>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</si>
  <si>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</si>
  <si>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</si>
  <si>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</si>
  <si>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</si>
  <si>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</si>
  <si>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</si>
  <si>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</si>
  <si>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</si>
  <si>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</si>
  <si>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</si>
  <si>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</si>
  <si>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</si>
  <si>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</si>
  <si>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</si>
  <si>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</si>
  <si>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</si>
  <si>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</si>
  <si>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</si>
  <si>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</si>
  <si>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</si>
  <si>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</si>
  <si>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</si>
  <si>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</si>
  <si>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</si>
  <si>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</si>
  <si>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</si>
  <si>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</si>
  <si>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</si>
  <si>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</si>
  <si>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</si>
  <si>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</si>
  <si>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</si>
  <si>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</si>
  <si>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</si>
  <si>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</si>
  <si>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78104</t>
  </si>
  <si>
    <t>PROD 100</t>
  </si>
  <si>
    <t>SO/Reference Domestic</t>
  </si>
  <si>
    <t>SO100/00895/25-26</t>
  </si>
  <si>
    <t>SO/Reference Export</t>
  </si>
  <si>
    <t>CPC Code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</si>
  <si>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</si>
  <si>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</si>
  <si>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</si>
  <si>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</si>
  <si>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</si>
  <si>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</si>
  <si>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</si>
  <si>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</si>
  <si>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</si>
  <si>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</si>
  <si>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</si>
  <si>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</si>
  <si>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</si>
  <si>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</si>
  <si>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</si>
  <si>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</si>
  <si>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</si>
  <si>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</si>
  <si>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</si>
  <si>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</si>
  <si>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</si>
  <si>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</si>
  <si>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</si>
  <si>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</si>
  <si>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</si>
  <si>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</si>
  <si>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</si>
  <si>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</si>
  <si>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</si>
  <si>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</si>
  <si>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</si>
  <si>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</si>
  <si>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</si>
  <si>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</si>
  <si>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</si>
  <si>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</si>
  <si>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</si>
  <si>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</si>
  <si>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</si>
  <si>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</si>
  <si>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</si>
  <si>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</si>
  <si>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</si>
  <si>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</si>
  <si>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</si>
  <si>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</si>
  <si>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49091</t>
  </si>
  <si>
    <t>49031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</si>
  <si>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</si>
  <si>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</si>
  <si>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</si>
  <si>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</si>
  <si>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</si>
  <si>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</si>
  <si>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</si>
  <si>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</si>
  <si>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</si>
  <si>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</si>
  <si>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</si>
  <si>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</si>
  <si>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</si>
  <si>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</si>
  <si>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</si>
  <si>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</si>
  <si>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</si>
  <si>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</si>
  <si>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</si>
  <si>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</si>
  <si>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</si>
  <si>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</si>
  <si>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</si>
  <si>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</si>
  <si>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</si>
  <si>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</si>
  <si>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</si>
  <si>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</si>
  <si>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</si>
  <si>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</si>
  <si>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</si>
  <si>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</si>
  <si>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</si>
  <si>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</si>
  <si>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</si>
  <si>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</si>
  <si>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</si>
  <si>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</si>
  <si>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</si>
  <si>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</si>
  <si>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</si>
  <si>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</si>
  <si>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</si>
  <si>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</si>
  <si>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</si>
  <si>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</si>
  <si>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</si>
  <si>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</si>
  <si>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</si>
  <si>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</si>
  <si>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</si>
  <si>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</si>
  <si>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</si>
  <si>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</si>
  <si>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</si>
  <si>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</si>
  <si>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</si>
  <si>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</si>
  <si>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</si>
  <si>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</si>
  <si>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</si>
  <si>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</si>
  <si>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</si>
  <si>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</si>
  <si>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</si>
  <si>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</si>
  <si>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</si>
  <si>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</si>
  <si>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</si>
  <si>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</si>
  <si>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</si>
  <si>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</si>
  <si>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</si>
  <si>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</si>
  <si>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</si>
  <si>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</si>
  <si>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</si>
  <si>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</si>
  <si>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</si>
  <si>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</si>
  <si>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PROC- 5140</t>
  </si>
  <si>
    <t>PROC- 7766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</si>
  <si>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</si>
  <si>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</si>
  <si>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</si>
  <si>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</si>
  <si>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</si>
  <si>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</si>
  <si>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</si>
  <si>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</si>
  <si>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</si>
  <si>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</si>
  <si>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</si>
  <si>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</si>
  <si>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95906</t>
  </si>
  <si>
    <t>99767.5</t>
  </si>
  <si>
    <t>95801</t>
  </si>
  <si>
    <t>95786</t>
  </si>
  <si>
    <t>95731</t>
  </si>
  <si>
    <t>95716</t>
  </si>
  <si>
    <t>95686</t>
  </si>
  <si>
    <t>95671</t>
  </si>
  <si>
    <t>95641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</si>
</sst>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6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theme/theme1.xml" Type="http://schemas.openxmlformats.org/officeDocument/2006/relationships/theme"/><Relationship Id="rId51" Target="styles.xml" Type="http://schemas.openxmlformats.org/officeDocument/2006/relationships/styles"/><Relationship Id="rId52" Target="sharedStrings.xml" Type="http://schemas.openxmlformats.org/officeDocument/2006/relationships/sharedStrings"/><Relationship Id="rId53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64" t="s">
        <v>0</v>
      </c>
      <c r="B3" s="164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151</v>
      </c>
      <c r="C5" s="10">
        <v>0</v>
      </c>
      <c r="D5" s="37" t="s">
        <v>151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223</v>
      </c>
      <c r="AH5" s="9">
        <f>AG5-AF5</f>
        <v>-15</v>
      </c>
      <c r="AI5" s="10" t="s">
        <v>180</v>
      </c>
      <c r="AJ5" s="10" t="s">
        <v>181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224</v>
      </c>
      <c r="AH6" s="9">
        <f>AG6-AF6</f>
        <v>9490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64" t="s">
        <v>0</v>
      </c>
      <c r="B3" s="164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82</v>
      </c>
    </row>
    <row r="5" spans="1:39" ht="15">
      <c r="A5" s="10">
        <v>1</v>
      </c>
      <c r="B5" s="32" t="s">
        <v>151</v>
      </c>
      <c r="C5" s="10">
        <v>0</v>
      </c>
      <c r="D5" s="37" t="s">
        <v>151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192</v>
      </c>
      <c r="AH5" s="9">
        <f>AG5-AF5</f>
        <v>82574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193</v>
      </c>
      <c r="AH6" s="9">
        <f>AG6-AF6</f>
        <v>9657.5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64" t="s">
        <v>0</v>
      </c>
      <c r="B3" s="164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211</v>
      </c>
      <c r="AH5" s="9">
        <f>AG5-AF5</f>
        <v>9645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187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212</v>
      </c>
      <c r="AH6" s="9">
        <f>AG6-AF6</f>
        <v>9950.6589999999997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64" t="s">
        <v>0</v>
      </c>
      <c r="B3" s="164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185</v>
      </c>
      <c r="AH5" s="9">
        <f>AG5-AF5</f>
        <v>9745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184</v>
      </c>
      <c r="AH6" s="9">
        <f>AG6-AF6</f>
        <v>9880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64" t="s">
        <v>0</v>
      </c>
      <c r="B3" s="164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195</v>
      </c>
      <c r="AH5" s="9">
        <f>AG5-AF5</f>
        <v>9717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186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185</v>
      </c>
      <c r="AH6" s="9">
        <f>AG6-AF6</f>
        <v>9865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64" t="s">
        <v>0</v>
      </c>
      <c r="B3" s="164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195</v>
      </c>
      <c r="AH5" s="9">
        <f>AG5-AF5</f>
        <v>9795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196</v>
      </c>
      <c r="AH6" s="9">
        <f>AG6-AF6</f>
        <v>9900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4" t="s">
        <v>0</v>
      </c>
      <c r="B3" s="164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195</v>
      </c>
      <c r="AH5" s="9">
        <f>AG5-AF5</f>
        <v>9703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190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185</v>
      </c>
      <c r="AH6" s="9">
        <f>AG6-AF6</f>
        <v>9852.5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4" t="s">
        <v>0</v>
      </c>
      <c r="B3" s="164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214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9805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190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195</v>
      </c>
      <c r="AH6" s="9">
        <f>AG6-AF6</f>
        <v>9905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4" t="s">
        <v>0</v>
      </c>
      <c r="B3" s="16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191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9805</v>
      </c>
      <c r="AI5" s="10" t="s">
        <v>180</v>
      </c>
      <c r="AJ5" s="10" t="s">
        <v>181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191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201</v>
      </c>
      <c r="AH6" s="9">
        <f>AG6-AF6</f>
        <v>9905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4" t="s">
        <v>0</v>
      </c>
      <c r="B3" s="16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182</v>
      </c>
      <c r="AH5" s="9">
        <f>AG5-AF5</f>
        <v>9775</v>
      </c>
      <c r="AI5" s="10" t="s">
        <v>180</v>
      </c>
      <c r="AJ5" s="10" t="s">
        <v>181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187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182</v>
      </c>
      <c r="AH6" s="9">
        <f>AG6-AF6</f>
        <v>9890</v>
      </c>
      <c r="AI6" s="10" t="s">
        <v>180</v>
      </c>
      <c r="AJ6" s="10" t="s">
        <v>181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64" t="s">
        <v>0</v>
      </c>
      <c r="B3" s="164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84</v>
      </c>
      <c r="C5" s="10">
        <v>0</v>
      </c>
      <c r="D5" s="42" t="s">
        <v>84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121</v>
      </c>
      <c r="AH5" s="34">
        <f>AG5-AF5</f>
        <v>782</v>
      </c>
      <c r="AI5" s="10" t="s">
        <v>180</v>
      </c>
      <c r="AJ5" s="10" t="s">
        <v>181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64" t="s">
        <v>0</v>
      </c>
      <c r="B3" s="164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206</v>
      </c>
      <c r="AH5" s="34">
        <f>AG5-AF5</f>
        <v>65983</v>
      </c>
      <c r="AI5" s="10" t="s">
        <v>180</v>
      </c>
      <c r="AJ5" s="10" t="s">
        <v>181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85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86</v>
      </c>
      <c r="D10" s="90" t="s">
        <v>6</v>
      </c>
      <c r="E10" s="90" t="s">
        <v>7</v>
      </c>
      <c r="F10" s="90" t="s">
        <v>87</v>
      </c>
      <c r="G10" s="90" t="s">
        <v>88</v>
      </c>
      <c r="H10" s="90" t="s">
        <v>89</v>
      </c>
      <c r="I10" s="90" t="s">
        <v>90</v>
      </c>
      <c r="J10" s="90" t="s">
        <v>91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204</v>
      </c>
      <c r="E11" s="10">
        <v>0</v>
      </c>
      <c r="F11" s="10" t="s">
        <v>92</v>
      </c>
      <c r="G11" s="10" t="s">
        <v>93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205</v>
      </c>
      <c r="E12" s="10">
        <v>0</v>
      </c>
      <c r="F12" s="10" t="s">
        <v>94</v>
      </c>
      <c r="G12" s="10" t="s">
        <v>90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95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64" t="s">
        <v>0</v>
      </c>
      <c r="B3" s="164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96</v>
      </c>
      <c r="C5" s="10">
        <v>0</v>
      </c>
      <c r="D5" s="42" t="s">
        <v>96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182</v>
      </c>
      <c r="AH5" s="34">
        <f>AG5-AF5</f>
        <v>65983</v>
      </c>
      <c r="AI5" s="10" t="s">
        <v>180</v>
      </c>
      <c r="AJ5" s="10" t="s">
        <v>181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64" t="s">
        <v>0</v>
      </c>
      <c r="B3" s="164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112</v>
      </c>
      <c r="AH5" s="34">
        <f>AG5-AF5</f>
        <v>65248</v>
      </c>
      <c r="AI5" s="10" t="s">
        <v>180</v>
      </c>
      <c r="AJ5" s="10" t="s">
        <v>181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97</v>
      </c>
      <c r="C6" s="10">
        <v>0</v>
      </c>
      <c r="D6" s="97" t="s">
        <v>97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113</v>
      </c>
      <c r="AH6" s="34">
        <f>AG6-AF6</f>
        <v>99984</v>
      </c>
      <c r="AI6" s="10" t="s">
        <v>180</v>
      </c>
      <c r="AJ6" s="10" t="s">
        <v>181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98</v>
      </c>
      <c r="C7" s="10">
        <v>0</v>
      </c>
      <c r="D7" s="97" t="s">
        <v>98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114</v>
      </c>
      <c r="AH7" s="34">
        <f t="shared" ref="AH7:AH14" si="20">AG7-AF7</f>
        <v>99983</v>
      </c>
      <c r="AI7" s="10" t="s">
        <v>180</v>
      </c>
      <c r="AJ7" s="10" t="s">
        <v>181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99</v>
      </c>
      <c r="C8" s="10">
        <v>0</v>
      </c>
      <c r="D8" s="97" t="s">
        <v>99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111</v>
      </c>
      <c r="AH8" s="34">
        <f t="shared" si="20"/>
        <v>99982</v>
      </c>
      <c r="AI8" s="10" t="s">
        <v>180</v>
      </c>
      <c r="AJ8" s="10" t="s">
        <v>181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100</v>
      </c>
      <c r="C9" s="10">
        <v>0</v>
      </c>
      <c r="D9" s="97" t="s">
        <v>100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115</v>
      </c>
      <c r="AH9" s="34">
        <f t="shared" si="20"/>
        <v>99981</v>
      </c>
      <c r="AI9" s="10" t="s">
        <v>180</v>
      </c>
      <c r="AJ9" s="10" t="s">
        <v>181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101</v>
      </c>
      <c r="C10" s="10">
        <v>0</v>
      </c>
      <c r="D10" s="97" t="s">
        <v>101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116</v>
      </c>
      <c r="AH10" s="34">
        <f t="shared" si="20"/>
        <v>99980</v>
      </c>
      <c r="AI10" s="10" t="s">
        <v>180</v>
      </c>
      <c r="AJ10" s="10" t="s">
        <v>181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102</v>
      </c>
      <c r="C11" s="10">
        <v>0</v>
      </c>
      <c r="D11" s="97" t="s">
        <v>102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117</v>
      </c>
      <c r="AH11" s="34">
        <f t="shared" si="20"/>
        <v>99979</v>
      </c>
      <c r="AI11" s="10" t="s">
        <v>180</v>
      </c>
      <c r="AJ11" s="10" t="s">
        <v>181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103</v>
      </c>
      <c r="C12" s="99">
        <v>0</v>
      </c>
      <c r="D12" s="100" t="s">
        <v>103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118</v>
      </c>
      <c r="AH12" s="102">
        <f t="shared" si="20"/>
        <v>99978</v>
      </c>
      <c r="AI12" s="10" t="s">
        <v>180</v>
      </c>
      <c r="AJ12" s="10" t="s">
        <v>181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104</v>
      </c>
      <c r="C13" s="10">
        <v>0</v>
      </c>
      <c r="D13" s="97" t="s">
        <v>104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119</v>
      </c>
      <c r="AH13" s="34">
        <f t="shared" si="20"/>
        <v>99977</v>
      </c>
      <c r="AI13" s="10" t="s">
        <v>180</v>
      </c>
      <c r="AJ13" s="10" t="s">
        <v>181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105</v>
      </c>
      <c r="C14" s="10">
        <v>0</v>
      </c>
      <c r="D14" s="97" t="s">
        <v>105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120</v>
      </c>
      <c r="AH14" s="34">
        <f t="shared" si="20"/>
        <v>99976</v>
      </c>
      <c r="AI14" s="10" t="s">
        <v>180</v>
      </c>
      <c r="AJ14" s="10" t="s">
        <v>181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64" t="s">
        <v>0</v>
      </c>
      <c r="B3" s="164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20" t="s">
        <v>107</v>
      </c>
      <c r="AN4" s="20" t="s">
        <v>106</v>
      </c>
      <c r="AO4" s="98" t="s">
        <v>108</v>
      </c>
      <c r="AP4" s="98" t="s">
        <v>109</v>
      </c>
      <c r="AQ4" s="98" t="s">
        <v>110</v>
      </c>
    </row>
    <row r="5" spans="1:43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231</v>
      </c>
      <c r="AH5" s="33">
        <f>AG5-AF5</f>
        <v>99656</v>
      </c>
      <c r="AI5" s="10" t="s">
        <v>180</v>
      </c>
      <c r="AJ5" s="10" t="s">
        <v>181</v>
      </c>
      <c r="AK5" s="33">
        <f>AH5</f>
        <v>99656</v>
      </c>
      <c r="AL5" s="33">
        <f>AK5+G5</f>
        <v>99671</v>
      </c>
      <c r="AM5" s="28" t="s">
        <v>66</v>
      </c>
      <c r="AN5" s="67" t="s">
        <v>183</v>
      </c>
      <c r="AO5" s="29" t="s">
        <v>122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64" t="s">
        <v>0</v>
      </c>
      <c r="B3" s="164"/>
      <c r="C3" s="132"/>
      <c r="D3" s="3">
        <v>4</v>
      </c>
      <c r="E3" s="4" t="s">
        <v>176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177</v>
      </c>
      <c r="AL4" s="58"/>
    </row>
    <row r="5" spans="1:38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9">
        <f>AG5-AF5</f>
        <v>99861</v>
      </c>
      <c r="AI5" s="10" t="s">
        <v>180</v>
      </c>
      <c r="AJ5" s="10" t="s">
        <v>181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64" t="s">
        <v>0</v>
      </c>
      <c r="B3" s="164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9">
        <f>AG5-AF5</f>
        <v>80699</v>
      </c>
      <c r="AI5" s="10" t="s">
        <v>180</v>
      </c>
      <c r="AJ5" s="10" t="s">
        <v>181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199</v>
      </c>
      <c r="AH5" s="9">
        <f>AG5-AF5</f>
        <v>80699</v>
      </c>
      <c r="AI5" s="10" t="s">
        <v>180</v>
      </c>
      <c r="AJ5" s="10" t="s">
        <v>181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200</v>
      </c>
      <c r="AH5" s="9">
        <f>AG5-AF5</f>
        <v>80704</v>
      </c>
      <c r="AI5" s="10" t="s">
        <v>180</v>
      </c>
      <c r="AJ5" s="10" t="s">
        <v>181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183</v>
      </c>
      <c r="AJ5" s="10" t="s">
        <v>181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76</v>
      </c>
      <c r="AJ5" s="10" t="s">
        <v>181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64" t="s">
        <v>0</v>
      </c>
      <c r="B3" s="164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t="s" s="36">
        <v>226</v>
      </c>
      <c r="AH5" s="9">
        <f>AG5-AF5</f>
        <v>80699</v>
      </c>
      <c r="AI5" s="10" t="s">
        <v>180</v>
      </c>
      <c r="AJ5" s="10" t="s">
        <v>181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64" t="s">
        <v>0</v>
      </c>
      <c r="B3" s="164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198</v>
      </c>
      <c r="AH5" s="9">
        <f>AG5-AF5</f>
        <v>63733</v>
      </c>
      <c r="AI5" s="10" t="s">
        <v>180</v>
      </c>
      <c r="AJ5" s="10" t="s">
        <v>181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64" t="s">
        <v>0</v>
      </c>
      <c r="B3" s="164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201</v>
      </c>
      <c r="AH5" s="9">
        <f>AG5-AF5</f>
        <v>9630</v>
      </c>
      <c r="AI5" s="10" t="s">
        <v>180</v>
      </c>
      <c r="AJ5" s="10" t="s">
        <v>181</v>
      </c>
      <c r="AK5" s="66" t="s">
        <v>72</v>
      </c>
      <c r="AL5" s="59"/>
    </row>
    <row r="6" spans="1:38" ht="15">
      <c r="A6" s="10">
        <v>2</v>
      </c>
      <c r="B6" s="42" t="s">
        <v>151</v>
      </c>
      <c r="C6" s="10">
        <v>0</v>
      </c>
      <c r="D6" s="42" t="s">
        <v>151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202</v>
      </c>
      <c r="AH6" s="9">
        <f>AG6-AF6</f>
        <v>78219</v>
      </c>
      <c r="AI6" s="10" t="s">
        <v>180</v>
      </c>
      <c r="AJ6" s="10" t="s">
        <v>181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64" t="s">
        <v>0</v>
      </c>
      <c r="B3" s="164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77</v>
      </c>
      <c r="AL4" s="19" t="s">
        <v>79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207</v>
      </c>
      <c r="AL5" s="72" t="s">
        <v>208</v>
      </c>
    </row>
    <row r="6" spans="1:38" ht="15">
      <c r="A6" s="10">
        <v>2</v>
      </c>
      <c r="B6" s="42" t="s">
        <v>151</v>
      </c>
      <c r="C6" s="10">
        <v>0</v>
      </c>
      <c r="D6" s="42" t="s">
        <v>151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207</v>
      </c>
      <c r="AL6" s="66" t="s">
        <v>208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64" t="s">
        <v>0</v>
      </c>
      <c r="B3" s="164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77</v>
      </c>
      <c r="AL4" s="19" t="s">
        <v>79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207</v>
      </c>
      <c r="AL5" s="72" t="s">
        <v>208</v>
      </c>
    </row>
    <row r="6" spans="1:38" ht="15">
      <c r="A6" s="10">
        <v>2</v>
      </c>
      <c r="B6" s="42" t="s">
        <v>151</v>
      </c>
      <c r="C6" s="10">
        <v>0</v>
      </c>
      <c r="D6" s="42" t="s">
        <v>151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207</v>
      </c>
      <c r="AL6" s="66" t="s">
        <v>208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64" t="s">
        <v>0</v>
      </c>
      <c r="B3" s="164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80</v>
      </c>
      <c r="AL4" s="19" t="s">
        <v>79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180</v>
      </c>
      <c r="AJ5" s="10" t="s">
        <v>181</v>
      </c>
      <c r="AK5" s="72" t="s">
        <v>203</v>
      </c>
      <c r="AL5" s="72" t="s">
        <v>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64" t="s">
        <v>0</v>
      </c>
      <c r="B3" s="164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80</v>
      </c>
      <c r="AL4" s="19" t="s">
        <v>79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180</v>
      </c>
      <c r="AJ5" s="10" t="s">
        <v>181</v>
      </c>
      <c r="AK5" s="72" t="s">
        <v>203</v>
      </c>
      <c r="AL5" s="72" t="s">
        <v>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64" t="s">
        <v>0</v>
      </c>
      <c r="B3" s="164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80</v>
      </c>
      <c r="AL4" s="19" t="s">
        <v>79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180</v>
      </c>
      <c r="AJ5" s="10" t="s">
        <v>181</v>
      </c>
      <c r="AK5" s="72" t="s">
        <v>203</v>
      </c>
      <c r="AL5" s="72" t="s">
        <v>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64" t="s">
        <v>0</v>
      </c>
      <c r="B3" s="164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127</v>
      </c>
      <c r="AH5" s="34">
        <f>AG5-AF5</f>
        <v>49586</v>
      </c>
      <c r="AI5" s="10" t="s">
        <v>81</v>
      </c>
      <c r="AJ5" s="10" t="s">
        <v>181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64" t="s">
        <v>0</v>
      </c>
      <c r="B3" s="164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83</v>
      </c>
      <c r="AL4" s="20" t="s">
        <v>82</v>
      </c>
      <c r="AM4" s="58"/>
    </row>
    <row r="5" spans="1:39" ht="15">
      <c r="A5" s="10">
        <v>1</v>
      </c>
      <c r="B5" s="42" t="s">
        <v>151</v>
      </c>
      <c r="C5" s="10">
        <v>0</v>
      </c>
      <c r="D5" s="42" t="s">
        <v>151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128</v>
      </c>
      <c r="AH5" s="34">
        <f>AG5-AF5</f>
        <v>65983</v>
      </c>
      <c r="AI5" s="10" t="s">
        <v>81</v>
      </c>
      <c r="AJ5" s="10" t="s">
        <v>181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65" t="s">
        <v>134</v>
      </c>
      <c r="B1" s="165"/>
      <c r="C1" s="165"/>
      <c r="D1" s="165"/>
    </row>
    <row r="2" spans="1:5" ht="18">
      <c r="D2" s="112"/>
    </row>
    <row r="3" spans="1:5" ht="19.899999999999999" customHeight="1">
      <c r="A3" s="164"/>
      <c r="B3" s="164"/>
      <c r="C3" s="111"/>
      <c r="D3" s="111"/>
    </row>
    <row r="4" spans="1:5" s="31" customFormat="1">
      <c r="A4" s="11" t="s">
        <v>5</v>
      </c>
      <c r="B4" s="11" t="s">
        <v>123</v>
      </c>
      <c r="C4" s="11" t="s">
        <v>130</v>
      </c>
      <c r="D4" s="11" t="s">
        <v>131</v>
      </c>
      <c r="E4" s="58"/>
    </row>
    <row r="5" spans="1:5" ht="15">
      <c r="A5" s="10">
        <v>1</v>
      </c>
      <c r="B5" s="29" t="s">
        <v>209</v>
      </c>
      <c r="C5" s="42" t="s">
        <v>133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65" t="s">
        <v>135</v>
      </c>
      <c r="B1" s="165"/>
      <c r="C1" s="165"/>
      <c r="D1" s="165"/>
    </row>
    <row r="2" spans="1:5" ht="18">
      <c r="D2" s="112"/>
    </row>
    <row r="3" spans="1:5" ht="19.899999999999999" customHeight="1">
      <c r="A3" s="164"/>
      <c r="B3" s="164"/>
      <c r="C3" s="111"/>
      <c r="D3" s="111"/>
    </row>
    <row r="4" spans="1:5" s="31" customFormat="1">
      <c r="A4" s="11" t="s">
        <v>5</v>
      </c>
      <c r="B4" s="11" t="s">
        <v>123</v>
      </c>
      <c r="C4" s="11" t="s">
        <v>130</v>
      </c>
      <c r="D4" s="11" t="s">
        <v>131</v>
      </c>
      <c r="E4" s="58"/>
    </row>
    <row r="5" spans="1:5" ht="15">
      <c r="A5" s="10">
        <v>1</v>
      </c>
      <c r="B5" s="29" t="s">
        <v>210</v>
      </c>
      <c r="C5" s="42" t="s">
        <v>132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5" sqref="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140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142</v>
      </c>
    </row>
    <row r="5" spans="1:16" ht="15">
      <c r="A5" s="10">
        <v>1</v>
      </c>
      <c r="B5" s="114" t="s">
        <v>141</v>
      </c>
      <c r="C5" s="42" t="s">
        <v>57</v>
      </c>
      <c r="D5" s="10" t="s">
        <v>129</v>
      </c>
      <c r="E5" s="67" t="s">
        <v>139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143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65" t="s">
        <v>140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142</v>
      </c>
    </row>
    <row r="5" spans="1:16" ht="15">
      <c r="A5" s="10">
        <v>1</v>
      </c>
      <c r="B5" s="114" t="s">
        <v>141</v>
      </c>
      <c r="C5" s="114" t="s">
        <v>145</v>
      </c>
      <c r="D5" s="10" t="s">
        <v>129</v>
      </c>
      <c r="E5" s="67" t="s">
        <v>139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147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140</v>
      </c>
      <c r="B1" s="165"/>
      <c r="C1" s="165"/>
      <c r="D1" s="165"/>
    </row>
    <row r="2" spans="1:16" ht="18">
      <c r="D2" s="119"/>
    </row>
    <row r="3" spans="1:16" ht="19.899999999999999" customHeight="1">
      <c r="A3" s="164"/>
      <c r="B3" s="164"/>
      <c r="C3" s="118"/>
      <c r="D3" s="118"/>
    </row>
    <row r="4" spans="1:16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142</v>
      </c>
    </row>
    <row r="5" spans="1:16" ht="15">
      <c r="A5" s="10">
        <v>1</v>
      </c>
      <c r="B5" s="114" t="s">
        <v>153</v>
      </c>
      <c r="C5" s="114" t="s">
        <v>145</v>
      </c>
      <c r="D5" s="10" t="s">
        <v>155</v>
      </c>
      <c r="E5" s="67" t="s">
        <v>139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152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B1" workbookViewId="0">
      <selection activeCell="F25" sqref="F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140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142</v>
      </c>
    </row>
    <row r="5" spans="1:16" ht="15">
      <c r="A5" s="10">
        <v>1</v>
      </c>
      <c r="B5" s="114" t="s">
        <v>144</v>
      </c>
      <c r="C5" s="114" t="s">
        <v>145</v>
      </c>
      <c r="D5" s="10" t="s">
        <v>137</v>
      </c>
      <c r="E5" s="67" t="s">
        <v>139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167</v>
      </c>
      <c r="O5" s="123">
        <v>88363222</v>
      </c>
      <c r="P5" s="10" t="s">
        <v>146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K8" sqref="K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65" t="s">
        <v>140</v>
      </c>
      <c r="B1" s="165"/>
      <c r="C1" s="165"/>
      <c r="D1" s="165"/>
    </row>
    <row r="2" spans="1:15" ht="18">
      <c r="D2" s="112"/>
    </row>
    <row r="3" spans="1:15" ht="19.899999999999999" customHeight="1">
      <c r="A3" s="164"/>
      <c r="B3" s="164"/>
      <c r="C3" s="111"/>
      <c r="D3" s="111"/>
    </row>
    <row r="4" spans="1:15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</row>
    <row r="5" spans="1:15" ht="15">
      <c r="A5" s="10">
        <v>1</v>
      </c>
      <c r="B5" s="42" t="s">
        <v>136</v>
      </c>
      <c r="C5" s="42" t="s">
        <v>57</v>
      </c>
      <c r="D5" s="10" t="s">
        <v>137</v>
      </c>
      <c r="E5" s="67" t="s">
        <v>139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167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E22" sqref="E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65" t="s">
        <v>154</v>
      </c>
      <c r="B1" s="165"/>
      <c r="C1" s="165"/>
      <c r="D1" s="165"/>
    </row>
    <row r="2" spans="1:16" ht="18">
      <c r="D2" s="121"/>
    </row>
    <row r="3" spans="1:16" ht="19.899999999999999" customHeight="1">
      <c r="A3" s="164"/>
      <c r="B3" s="164"/>
      <c r="C3" s="120"/>
      <c r="D3" s="120"/>
    </row>
    <row r="4" spans="1:16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142</v>
      </c>
    </row>
    <row r="5" spans="1:16" ht="15">
      <c r="A5" s="10">
        <v>1</v>
      </c>
      <c r="B5" s="42" t="s">
        <v>149</v>
      </c>
      <c r="C5" s="42" t="s">
        <v>57</v>
      </c>
      <c r="D5" s="10" t="s">
        <v>148</v>
      </c>
      <c r="E5" s="67" t="s">
        <v>139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147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65" t="s">
        <v>150</v>
      </c>
      <c r="B1" s="165"/>
      <c r="C1" s="165"/>
      <c r="D1" s="165"/>
    </row>
    <row r="2" spans="1:15" ht="18">
      <c r="D2" s="117"/>
    </row>
    <row r="3" spans="1:15" ht="19.899999999999999" customHeight="1">
      <c r="A3" s="164"/>
      <c r="B3" s="164"/>
      <c r="C3" s="116"/>
      <c r="D3" s="116"/>
    </row>
    <row r="4" spans="1:15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</row>
    <row r="5" spans="1:15" ht="15">
      <c r="A5" s="10">
        <v>1</v>
      </c>
      <c r="B5" s="42" t="s">
        <v>149</v>
      </c>
      <c r="C5" s="42" t="s">
        <v>57</v>
      </c>
      <c r="D5" s="10" t="s">
        <v>148</v>
      </c>
      <c r="E5" s="67" t="s">
        <v>139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3" sqref="D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1</v>
      </c>
      <c r="E3" s="4" t="s">
        <v>176</v>
      </c>
      <c r="F3" s="5"/>
      <c r="G3" s="5"/>
      <c r="H3" s="5"/>
      <c r="I3" s="6"/>
      <c r="J3" s="6">
        <v>2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173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2</v>
      </c>
      <c r="E3" s="4" t="s">
        <v>176</v>
      </c>
      <c r="F3" s="5"/>
      <c r="G3" s="5"/>
      <c r="H3" s="5"/>
      <c r="I3" s="6"/>
      <c r="J3" s="6">
        <v>1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4</v>
      </c>
      <c r="E3" s="4" t="s">
        <v>176</v>
      </c>
      <c r="F3" s="5"/>
      <c r="G3" s="5"/>
      <c r="H3" s="5"/>
      <c r="I3" s="6"/>
      <c r="J3" s="6">
        <v>1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4</v>
      </c>
      <c r="E3" s="4" t="s">
        <v>176</v>
      </c>
      <c r="F3" s="5"/>
      <c r="G3" s="5"/>
      <c r="H3" s="5"/>
      <c r="I3" s="6"/>
      <c r="J3" s="6">
        <v>2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3" sqref="T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2</v>
      </c>
      <c r="E3" s="4" t="s">
        <v>176</v>
      </c>
      <c r="F3" s="5"/>
      <c r="G3" s="5"/>
      <c r="H3" s="5"/>
      <c r="I3" s="6"/>
      <c r="J3" s="6">
        <v>2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sqref="A1:AC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1</v>
      </c>
      <c r="E3" s="4" t="s">
        <v>176</v>
      </c>
      <c r="F3" s="5"/>
      <c r="G3" s="5"/>
      <c r="H3" s="5"/>
      <c r="I3" s="6"/>
      <c r="J3" s="6">
        <v>1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65" t="s">
        <v>124</v>
      </c>
      <c r="B1" s="165"/>
      <c r="C1" s="165"/>
      <c r="D1" s="165"/>
    </row>
    <row r="2" spans="1:17" ht="18">
      <c r="D2" s="109"/>
    </row>
    <row r="3" spans="1:17" ht="19.899999999999999" customHeight="1">
      <c r="A3" s="164"/>
      <c r="B3" s="164"/>
      <c r="C3" s="110"/>
      <c r="D3" s="108"/>
    </row>
    <row r="4" spans="1:17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15" t="s">
        <v>130</v>
      </c>
      <c r="G4" s="115" t="s">
        <v>131</v>
      </c>
      <c r="H4" s="115" t="s">
        <v>156</v>
      </c>
      <c r="I4" s="115" t="s">
        <v>157</v>
      </c>
      <c r="J4" s="115" t="s">
        <v>158</v>
      </c>
      <c r="K4" s="115" t="s">
        <v>159</v>
      </c>
      <c r="L4" s="115" t="s">
        <v>160</v>
      </c>
      <c r="M4" s="115" t="s">
        <v>161</v>
      </c>
      <c r="N4" s="115" t="s">
        <v>166</v>
      </c>
      <c r="O4" s="115" t="s">
        <v>91</v>
      </c>
      <c r="P4" s="115" t="s">
        <v>162</v>
      </c>
      <c r="Q4" s="115" t="s">
        <v>163</v>
      </c>
    </row>
    <row r="5" spans="1:17" ht="15">
      <c r="A5" s="10">
        <v>1</v>
      </c>
      <c r="B5" s="42" t="s">
        <v>125</v>
      </c>
      <c r="C5" s="42" t="s">
        <v>171</v>
      </c>
      <c r="D5" s="10" t="s">
        <v>129</v>
      </c>
      <c r="E5" s="67" t="s">
        <v>139</v>
      </c>
      <c r="F5" s="10">
        <v>1</v>
      </c>
      <c r="G5" s="10">
        <v>20</v>
      </c>
      <c r="H5" s="10">
        <v>1</v>
      </c>
      <c r="I5" s="10">
        <f>ROUND(C5*H5/F5,3)</f>
        <v>20</v>
      </c>
      <c r="J5" s="122">
        <f>I5*(G5/C5)</f>
        <v>20</v>
      </c>
      <c r="K5" s="10">
        <f>I5*G5</f>
        <v>400</v>
      </c>
      <c r="L5" s="124">
        <v>0.18</v>
      </c>
      <c r="M5" s="10">
        <f>K5*L5</f>
        <v>72</v>
      </c>
      <c r="N5" s="10" t="s">
        <v>32</v>
      </c>
      <c r="O5" s="123">
        <v>88363222</v>
      </c>
      <c r="P5" s="10" t="s">
        <v>164</v>
      </c>
      <c r="Q5" s="10" t="s">
        <v>165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64" t="s">
        <v>0</v>
      </c>
      <c r="B3" s="164"/>
      <c r="C3" s="130"/>
      <c r="D3" s="3">
        <v>2</v>
      </c>
      <c r="E3" s="4" t="s">
        <v>176</v>
      </c>
      <c r="F3" s="5"/>
      <c r="G3" s="5"/>
      <c r="H3" s="5"/>
      <c r="I3" s="6"/>
      <c r="J3" s="6">
        <v>2</v>
      </c>
      <c r="K3" s="7" t="s">
        <v>169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126</v>
      </c>
      <c r="D4" s="11" t="s">
        <v>123</v>
      </c>
      <c r="E4" s="113" t="s">
        <v>138</v>
      </c>
      <c r="F4" s="126" t="s">
        <v>130</v>
      </c>
      <c r="G4" s="126" t="s">
        <v>131</v>
      </c>
      <c r="H4" s="126" t="s">
        <v>156</v>
      </c>
      <c r="I4" s="115" t="s">
        <v>157</v>
      </c>
      <c r="J4" s="115" t="s">
        <v>158</v>
      </c>
      <c r="K4" s="115" t="s">
        <v>159</v>
      </c>
      <c r="L4" s="127" t="s">
        <v>166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125</v>
      </c>
      <c r="C5" s="29" t="s">
        <v>171</v>
      </c>
      <c r="D5" s="10" t="s">
        <v>129</v>
      </c>
      <c r="E5" s="67" t="s">
        <v>139</v>
      </c>
      <c r="F5" s="29" t="s">
        <v>132</v>
      </c>
      <c r="G5" s="29" t="s">
        <v>175</v>
      </c>
      <c r="H5" s="29" t="s">
        <v>168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66" t="s">
        <v>39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34"/>
      <c r="AB1" s="134"/>
      <c r="AC1" s="134"/>
      <c r="AD1" s="135"/>
      <c r="AE1" s="135"/>
      <c r="AF1" s="135"/>
    </row>
    <row r="2" spans="1:38" ht="18">
      <c r="A2" s="134" t="s">
        <v>216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67" t="s">
        <v>0</v>
      </c>
      <c r="B3" s="167"/>
      <c r="C3" s="138"/>
      <c r="D3" s="139">
        <v>2</v>
      </c>
      <c r="E3" s="140" t="s">
        <v>217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84</v>
      </c>
      <c r="C5" s="155">
        <v>0</v>
      </c>
      <c r="D5" s="32" t="s">
        <v>84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218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192</v>
      </c>
      <c r="AH5" s="9">
        <f>AG5-AF5</f>
        <v>99896</v>
      </c>
      <c r="AI5" s="10" t="s">
        <v>180</v>
      </c>
      <c r="AJ5" s="10" t="s">
        <v>181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219</v>
      </c>
      <c r="C6" s="155">
        <v>0</v>
      </c>
      <c r="D6" s="32" t="s">
        <v>219</v>
      </c>
      <c r="E6" s="155" t="s">
        <v>167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218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193</v>
      </c>
      <c r="AH6" s="9">
        <f>AG6-AF6</f>
        <v>99966.667000000001</v>
      </c>
      <c r="AI6" s="10" t="s">
        <v>180</v>
      </c>
      <c r="AJ6" s="10" t="s">
        <v>181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220</v>
      </c>
      <c r="R7" s="161"/>
      <c r="S7" s="161"/>
      <c r="T7" s="161"/>
      <c r="U7" s="159"/>
      <c r="V7" s="159"/>
      <c r="W7" s="160"/>
      <c r="X7" s="159"/>
      <c r="Y7" s="159"/>
      <c r="Z7" s="161" t="s">
        <v>221</v>
      </c>
      <c r="AA7" s="161"/>
      <c r="AB7" s="162">
        <f>SUM(AB5:AB6)</f>
        <v>45016.36</v>
      </c>
      <c r="AC7" s="161" t="s">
        <v>222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2025-11-26T08:27:20Z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