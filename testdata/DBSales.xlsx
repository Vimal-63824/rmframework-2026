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28" activeTab="3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OP_S+I+P" sheetId="35" r:id="rId31"/>
    <sheet name="OP_I+P" sheetId="36" r:id="rId32"/>
    <sheet name="OP_S+P" sheetId="37" r:id="rId33"/>
    <sheet name="OP_P" sheetId="38" r:id="rId34"/>
    <sheet name="DirectSCO" sheetId="39" r:id="rId35"/>
    <sheet name="Sheet3" sheetId="3" r:id="rId36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/>
  <c r="AQ5" i="13"/>
  <c r="AP5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<sst xmlns="http://schemas.openxmlformats.org/spreadsheetml/2006/main" count="1929" uniqueCount="279">
  <si>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</si>
  <si>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</si>
  <si>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</si>
  <si>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</si>
  <si>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</si>
  <si>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</si>
  <si>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</si>
  <si>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</si>
  <si>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</si>
  <si>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</si>
  <si>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</si>
  <si>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</si>
  <si>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</si>
  <si>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</si>
  <si>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</si>
  <si>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</si>
  <si>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</si>
  <si>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</si>
  <si>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</si>
  <si>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</si>
  <si>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</si>
  <si>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</si>
  <si>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</si>
  <si>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</si>
  <si>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</si>
  <si>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</si>
  <si>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</si>
  <si>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</si>
  <si>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</si>
  <si>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</si>
  <si>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</si>
  <si>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</si>
  <si>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</si>
  <si>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</si>
  <si>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</si>
  <si>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</si>
  <si>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</si>
  <si>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</si>
  <si>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</si>
  <si>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</si>
  <si>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</si>
  <si>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</si>
  <si>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</si>
  <si>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</si>
  <si>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</si>
  <si>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</si>
  <si>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</si>
  <si>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</si>
  <si>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</si>
  <si>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</si>
  <si>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</si>
  <si>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</si>
  <si>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</si>
  <si>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</si>
  <si>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299</t>
  </si>
  <si>
    <t>Domestic_PL_Item_ID</t>
  </si>
  <si>
    <t>Domestic_PL_Item_ID_Disimilar</t>
  </si>
  <si>
    <t>60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</si>
  <si>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</si>
  <si>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</si>
  <si>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</si>
  <si>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</si>
  <si>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</si>
  <si>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</si>
  <si>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</si>
  <si>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</si>
  <si>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</si>
  <si>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</si>
  <si>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</si>
  <si>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</si>
  <si>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</si>
  <si>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</si>
  <si>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</si>
  <si>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</si>
  <si>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</si>
  <si>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</si>
  <si>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</si>
  <si>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</si>
  <si>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</si>
  <si>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</si>
  <si>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</si>
  <si>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</si>
  <si>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</si>
  <si>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</si>
  <si>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</si>
  <si>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</si>
  <si>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</si>
  <si>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</si>
  <si>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</si>
  <si>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</si>
  <si>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</si>
  <si>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</si>
  <si>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</si>
  <si>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</si>
  <si>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</si>
  <si>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</si>
  <si>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</si>
  <si>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</si>
  <si>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</si>
  <si>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</si>
  <si>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</si>
  <si>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</si>
  <si>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</si>
  <si>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</si>
  <si>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</si>
  <si>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</si>
  <si>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</si>
  <si>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</si>
  <si>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</si>
  <si>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</si>
  <si>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</si>
  <si>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</si>
  <si>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</si>
  <si>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</si>
  <si>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</si>
  <si>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</si>
  <si>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</si>
  <si>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</si>
  <si>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</si>
  <si>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</si>
  <si>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</si>
  <si>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</si>
  <si>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</si>
  <si>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</si>
  <si>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</si>
  <si>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</si>
  <si>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</si>
  <si>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R100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</si>
  <si>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</si>
  <si>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</si>
  <si>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</si>
  <si>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</si>
  <si>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</si>
  <si>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</si>
  <si>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</si>
  <si>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</si>
  <si>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</si>
  <si>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</si>
  <si>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</si>
  <si>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</si>
  <si>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</si>
  <si>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</si>
  <si>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</si>
  <si>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64383</t>
  </si>
  <si>
    <t>100001867</t>
  </si>
  <si>
    <t>Scenario  : Open SCO Price Level Type - Supplier + Item + Process</t>
  </si>
  <si>
    <t>Process</t>
  </si>
  <si>
    <t>Batch Qty</t>
  </si>
  <si>
    <t>Batch Cost</t>
  </si>
  <si>
    <t>25</t>
  </si>
  <si>
    <t>PROCESS-20</t>
  </si>
  <si>
    <t>METAL FORMING PROCES</t>
  </si>
  <si>
    <t>PACKINGS</t>
  </si>
  <si>
    <t>POST CURING</t>
  </si>
  <si>
    <t>Scenario  : Open SCO Price Level Type - Item + Process</t>
  </si>
  <si>
    <t>Scenario  : Open SCO Price Level Type - Supplier + Process</t>
  </si>
  <si>
    <t>Scenario  : Open SCO Price Level Type - Process</t>
  </si>
  <si>
    <t>Scenario  : Direct SCO With BOM Standard Type</t>
  </si>
  <si>
    <t>Vj-FIFO-LOT-BATCH-50001(FG)</t>
  </si>
  <si>
    <t>SLICING</t>
  </si>
  <si>
    <t>Qty</t>
  </si>
  <si>
    <t>7</t>
  </si>
  <si>
    <t>63808</t>
  </si>
  <si>
    <t>19252.5</t>
  </si>
  <si>
    <t>63793</t>
  </si>
  <si>
    <t>19247.5</t>
  </si>
  <si>
    <t>9225</t>
  </si>
  <si>
    <t>19798.992</t>
  </si>
  <si>
    <t>109385</t>
  </si>
  <si>
    <t>109745</t>
  </si>
  <si>
    <t>9755</t>
  </si>
  <si>
    <t>9385</t>
  </si>
  <si>
    <t>9750</t>
  </si>
  <si>
    <t>9263</t>
  </si>
  <si>
    <t>9692.5</t>
  </si>
  <si>
    <t>9395</t>
  </si>
  <si>
    <t>109381</t>
  </si>
  <si>
    <t>109740</t>
  </si>
  <si>
    <t>109470</t>
  </si>
  <si>
    <t>109775</t>
  </si>
  <si>
    <t>63763</t>
  </si>
  <si>
    <t>63748</t>
  </si>
  <si>
    <t>63733</t>
  </si>
  <si>
    <t>63718</t>
  </si>
  <si>
    <t>488816</t>
  </si>
  <si>
    <t>63708</t>
  </si>
  <si>
    <t>18865</t>
  </si>
  <si>
    <t>19242.5</t>
  </si>
  <si>
    <t>9262</t>
  </si>
  <si>
    <t>9700</t>
  </si>
  <si>
    <t>49121</t>
  </si>
  <si>
    <t>49091</t>
  </si>
  <si>
    <t>63588</t>
  </si>
  <si>
    <t>63573</t>
  </si>
  <si>
    <t>19235</t>
  </si>
  <si>
    <t>9210</t>
  </si>
  <si>
    <t>19793.992</t>
  </si>
  <si>
    <t>63558</t>
  </si>
  <si>
    <t>19230</t>
  </si>
  <si>
    <t>9195</t>
  </si>
  <si>
    <t>19788.992</t>
  </si>
  <si>
    <t>9247</t>
  </si>
  <si>
    <t>9695</t>
  </si>
  <si>
    <t>9232</t>
  </si>
  <si>
    <t>9690</t>
  </si>
  <si>
    <t>9248</t>
  </si>
  <si>
    <t>9687.5</t>
  </si>
  <si>
    <t>9233</t>
  </si>
  <si>
    <t>9682.5</t>
  </si>
  <si>
    <t>109366</t>
  </si>
  <si>
    <t>109735</t>
  </si>
  <si>
    <t>109351</t>
  </si>
  <si>
    <t>109730</t>
  </si>
  <si>
    <t>63543</t>
  </si>
  <si>
    <t>63528</t>
  </si>
  <si>
    <t>63513</t>
  </si>
  <si>
    <t>63498</t>
  </si>
  <si>
    <t>488806</t>
  </si>
  <si>
    <t>63488</t>
  </si>
  <si>
    <t>18850</t>
  </si>
  <si>
    <t>19225</t>
  </si>
  <si>
    <t>63473</t>
  </si>
  <si>
    <t>63458</t>
  </si>
  <si>
    <t>63443</t>
  </si>
  <si>
    <t>49076</t>
  </si>
  <si>
    <t>63428</t>
  </si>
  <si>
    <t>63413</t>
  </si>
  <si>
    <t>63398</t>
  </si>
  <si>
    <t>63383</t>
  </si>
  <si>
    <t>63368</t>
  </si>
  <si>
    <t>63338</t>
  </si>
  <si>
    <t>63323</t>
  </si>
  <si>
    <t>63308</t>
  </si>
  <si>
    <t>63293</t>
  </si>
  <si>
    <t>63278</t>
  </si>
  <si>
    <t>63263</t>
  </si>
  <si>
    <t>49061</t>
  </si>
  <si>
    <t>63248</t>
  </si>
  <si>
    <t>63233</t>
  </si>
  <si>
    <t>63218</t>
  </si>
  <si>
    <t>63203</t>
  </si>
  <si>
    <t>63188</t>
  </si>
  <si>
    <t>63173</t>
  </si>
  <si>
    <t>63158</t>
  </si>
  <si>
    <t>63143</t>
  </si>
  <si>
    <t>63128</t>
  </si>
  <si>
    <t>63113</t>
  </si>
  <si>
    <t>63098</t>
  </si>
  <si>
    <t>63083</t>
  </si>
  <si>
    <t>63068</t>
  </si>
  <si>
    <t>63053</t>
  </si>
  <si>
    <t>63038</t>
  </si>
  <si>
    <t>63023</t>
  </si>
  <si>
    <t>63008</t>
  </si>
  <si>
    <t>62993</t>
  </si>
  <si>
    <t>62978</t>
  </si>
  <si>
    <t>19217.5</t>
  </si>
  <si>
    <t>9180</t>
  </si>
  <si>
    <t>19783.992</t>
  </si>
  <si>
    <t>62963</t>
  </si>
  <si>
    <t>19212.5</t>
  </si>
  <si>
    <t>9165</t>
  </si>
  <si>
    <t>19778.992</t>
  </si>
  <si>
    <t>9217</t>
  </si>
  <si>
    <t>9685</t>
  </si>
  <si>
    <t>9202</t>
  </si>
  <si>
    <t>9680</t>
  </si>
  <si>
    <t>9218</t>
  </si>
  <si>
    <t>9677.5</t>
  </si>
  <si>
    <t>9203</t>
  </si>
  <si>
    <t>9672.5</t>
  </si>
  <si>
    <t>109336</t>
  </si>
  <si>
    <t>109725</t>
  </si>
  <si>
    <t>109321</t>
  </si>
  <si>
    <t>109720</t>
  </si>
  <si>
    <t>62948</t>
  </si>
  <si>
    <t>49046</t>
  </si>
  <si>
    <t>49031</t>
  </si>
  <si>
    <t>62933</t>
  </si>
</sst>
</file>

<file path=xl/styles.xml><?xml version="1.0" encoding="utf-8"?>
<styleSheet xmlns="http://schemas.openxmlformats.org/spreadsheetml/2006/main">
  <numFmts count="1">
    <numFmt numFmtId="164" formatCode="0.000"/>
  </numFmts>
  <fonts count="10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theme/theme1.xml" Type="http://schemas.openxmlformats.org/officeDocument/2006/relationships/theme"/><Relationship Id="rId38" Target="styles.xml" Type="http://schemas.openxmlformats.org/officeDocument/2006/relationships/styles"/><Relationship Id="rId39" Target="sharedStrings.xml" Type="http://schemas.openxmlformats.org/officeDocument/2006/relationships/sharedStrings"/><Relationship Id="rId4" Target="worksheets/sheet4.xml" Type="http://schemas.openxmlformats.org/officeDocument/2006/relationships/worksheet"/><Relationship Id="rId40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21" t="s">
        <v>0</v>
      </c>
      <c r="B3" s="121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t="s" s="36">
        <v>259</v>
      </c>
      <c r="AH5" s="9">
        <f>AG5-AF5</f>
        <v>-15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t="s" s="36">
        <v>260</v>
      </c>
      <c r="AH6" s="9">
        <f>AG6-AF6</f>
        <v>9490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21" t="s">
        <v>0</v>
      </c>
      <c r="B3" s="121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100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t="s" s="36">
        <v>275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163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21" t="s">
        <v>0</v>
      </c>
      <c r="B3" s="121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t="s" s="29">
        <v>58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261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t="s" s="29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262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21" t="s">
        <v>0</v>
      </c>
      <c r="B3" s="121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168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169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21" t="s">
        <v>0</v>
      </c>
      <c r="B3" s="121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t="s" s="29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265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t="s" s="29">
        <v>58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266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21" t="s">
        <v>0</v>
      </c>
      <c r="B3" s="121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59</v>
      </c>
      <c r="C5" s="10">
        <v>0</v>
      </c>
      <c r="D5" s="42" t="s">
        <v>59</v>
      </c>
      <c r="E5" s="10" t="s">
        <v>32</v>
      </c>
      <c r="F5" s="10" t="s">
        <v>32</v>
      </c>
      <c r="G5" s="33">
        <v>15</v>
      </c>
      <c r="H5" s="29" t="s">
        <v>61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171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60</v>
      </c>
      <c r="C6" s="10">
        <v>0</v>
      </c>
      <c r="D6" s="42" t="s">
        <v>60</v>
      </c>
      <c r="E6" s="10" t="s">
        <v>32</v>
      </c>
      <c r="F6" s="10" t="s">
        <v>32</v>
      </c>
      <c r="G6" s="33">
        <v>10</v>
      </c>
      <c r="H6" s="29" t="s">
        <v>62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172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21" t="s">
        <v>0</v>
      </c>
      <c r="B3" s="121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63</v>
      </c>
      <c r="C5" s="10">
        <v>0</v>
      </c>
      <c r="D5" s="42" t="s">
        <v>63</v>
      </c>
      <c r="E5" s="10" t="s">
        <v>32</v>
      </c>
      <c r="F5" s="10" t="s">
        <v>32</v>
      </c>
      <c r="G5" s="33">
        <v>15</v>
      </c>
      <c r="H5" t="s" s="29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269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64</v>
      </c>
      <c r="C6" s="10">
        <v>0</v>
      </c>
      <c r="D6" s="42" t="s">
        <v>64</v>
      </c>
      <c r="E6" s="10" t="s">
        <v>32</v>
      </c>
      <c r="F6" s="10" t="s">
        <v>32</v>
      </c>
      <c r="G6" s="33">
        <v>10</v>
      </c>
      <c r="H6" t="s" s="29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270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21" t="s">
        <v>0</v>
      </c>
      <c r="B3" s="121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s="29" t="s">
        <v>69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175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s="29" t="s">
        <v>70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170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21" t="s">
        <v>0</v>
      </c>
      <c r="B3" s="12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t="s" s="29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273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t="s" s="29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274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21" t="s">
        <v>0</v>
      </c>
      <c r="B3" s="12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73</v>
      </c>
      <c r="C5" s="10">
        <v>0</v>
      </c>
      <c r="D5" s="42" t="s">
        <v>73</v>
      </c>
      <c r="E5" s="10" t="s">
        <v>32</v>
      </c>
      <c r="F5" s="10" t="s">
        <v>32</v>
      </c>
      <c r="G5" s="33">
        <v>15</v>
      </c>
      <c r="H5" s="29" t="s">
        <v>77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178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74</v>
      </c>
      <c r="C6" s="10">
        <v>0</v>
      </c>
      <c r="D6" s="42" t="s">
        <v>74</v>
      </c>
      <c r="E6" s="10" t="s">
        <v>32</v>
      </c>
      <c r="F6" s="10" t="s">
        <v>32</v>
      </c>
      <c r="G6" s="33">
        <v>10</v>
      </c>
      <c r="H6" s="29" t="s">
        <v>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179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21" t="s">
        <v>0</v>
      </c>
      <c r="B3" s="121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102</v>
      </c>
      <c r="C5" s="10">
        <v>0</v>
      </c>
      <c r="D5" s="42" t="s">
        <v>102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142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J12" sqref="J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21" t="s">
        <v>0</v>
      </c>
      <c r="B3" s="121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246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103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104</v>
      </c>
      <c r="D10" s="90" t="s">
        <v>6</v>
      </c>
      <c r="E10" s="90" t="s">
        <v>7</v>
      </c>
      <c r="F10" s="90" t="s">
        <v>105</v>
      </c>
      <c r="G10" s="90" t="s">
        <v>106</v>
      </c>
      <c r="H10" s="90" t="s">
        <v>107</v>
      </c>
      <c r="I10" s="90" t="s">
        <v>108</v>
      </c>
      <c r="J10" s="90" t="s">
        <v>109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110</v>
      </c>
      <c r="E11" s="10">
        <v>0</v>
      </c>
      <c r="F11" s="10" t="s">
        <v>111</v>
      </c>
      <c r="G11" s="10" t="s">
        <v>112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113</v>
      </c>
      <c r="E12" s="10">
        <v>0</v>
      </c>
      <c r="F12" s="10" t="s">
        <v>114</v>
      </c>
      <c r="G12" s="10" t="s">
        <v>108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115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21" t="s">
        <v>0</v>
      </c>
      <c r="B3" s="121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116</v>
      </c>
      <c r="C5" s="10">
        <v>0</v>
      </c>
      <c r="D5" s="42" t="s">
        <v>116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219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workbookViewId="0">
      <selection activeCell="D15" sqref="D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93"/>
      <c r="AD1" s="93"/>
      <c r="AE1" s="93"/>
      <c r="AF1" s="93"/>
      <c r="AG1" s="27"/>
    </row>
    <row r="2" spans="1:39" ht="18">
      <c r="A2" s="29" t="s">
        <v>47</v>
      </c>
      <c r="B2" s="29" t="s">
        <v>46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21" t="s">
        <v>0</v>
      </c>
      <c r="B3" s="121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117</v>
      </c>
      <c r="C6" s="10">
        <v>0</v>
      </c>
      <c r="D6" s="97" t="s">
        <v>117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134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118</v>
      </c>
      <c r="C7" s="10">
        <v>0</v>
      </c>
      <c r="D7" s="97" t="s">
        <v>118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135</v>
      </c>
      <c r="AH7" s="34">
        <f t="shared" ref="AH7:AH14" si="20">AG7-AF7</f>
        <v>99983</v>
      </c>
      <c r="AI7" s="10" t="s">
        <v>38</v>
      </c>
      <c r="AJ7" s="10">
        <v>4010101001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119</v>
      </c>
      <c r="C8" s="10">
        <v>0</v>
      </c>
      <c r="D8" s="97" t="s">
        <v>119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132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120</v>
      </c>
      <c r="C9" s="10">
        <v>0</v>
      </c>
      <c r="D9" s="97" t="s">
        <v>120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136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121</v>
      </c>
      <c r="C10" s="10">
        <v>0</v>
      </c>
      <c r="D10" s="97" t="s">
        <v>121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137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122</v>
      </c>
      <c r="C11" s="10">
        <v>0</v>
      </c>
      <c r="D11" s="97" t="s">
        <v>122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138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123</v>
      </c>
      <c r="C12" s="99">
        <v>0</v>
      </c>
      <c r="D12" s="100" t="s">
        <v>123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139</v>
      </c>
      <c r="AH12" s="102">
        <f t="shared" si="20"/>
        <v>99978</v>
      </c>
      <c r="AI12" s="99" t="s">
        <v>38</v>
      </c>
      <c r="AJ12" s="99">
        <v>4010101001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124</v>
      </c>
      <c r="C13" s="10">
        <v>0</v>
      </c>
      <c r="D13" s="97" t="s">
        <v>124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140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125</v>
      </c>
      <c r="C14" s="10">
        <v>0</v>
      </c>
      <c r="D14" s="97" t="s">
        <v>125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141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workbookViewId="0">
      <selection activeCell="G9" sqref="G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4"/>
      <c r="AD1" s="54"/>
      <c r="AE1" s="54"/>
      <c r="AF1" s="54"/>
      <c r="AG1" s="27"/>
    </row>
    <row r="2" spans="1:43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21" t="s">
        <v>0</v>
      </c>
      <c r="B3" s="121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20" t="s">
        <v>128</v>
      </c>
      <c r="AN4" s="20" t="s">
        <v>126</v>
      </c>
      <c r="AO4" s="98" t="s">
        <v>129</v>
      </c>
      <c r="AP4" s="98" t="s">
        <v>130</v>
      </c>
      <c r="AQ4" s="98" t="s">
        <v>131</v>
      </c>
    </row>
    <row r="5" spans="1:43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278</v>
      </c>
      <c r="AH5" s="34">
        <f>AG5-AF5</f>
        <v>63093</v>
      </c>
      <c r="AI5" s="10" t="s">
        <v>38</v>
      </c>
      <c r="AJ5" s="10">
        <v>4010101001</v>
      </c>
      <c r="AK5" s="34">
        <f>AH5</f>
        <v>63093</v>
      </c>
      <c r="AL5" s="33">
        <f>AK5+G5</f>
        <v>63108</v>
      </c>
      <c r="AM5" s="28" t="s">
        <v>79</v>
      </c>
      <c r="AN5" s="67" t="s">
        <v>127</v>
      </c>
      <c r="AO5" s="29" t="s">
        <v>144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21" t="s">
        <v>0</v>
      </c>
      <c r="B3" s="121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214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t="s" s="36">
        <v>215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t="s" s="36">
        <v>216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79</v>
      </c>
      <c r="C5" s="10">
        <v>0</v>
      </c>
      <c r="D5" s="60" t="s">
        <v>79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t="s" s="36">
        <v>217</v>
      </c>
      <c r="AH5" s="9">
        <f>AG5-AF5</f>
        <v>80704</v>
      </c>
      <c r="AI5" s="63" t="s">
        <v>81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80</v>
      </c>
      <c r="C5" s="10">
        <v>0</v>
      </c>
      <c r="D5" s="60" t="s">
        <v>80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91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21" t="s">
        <v>0</v>
      </c>
      <c r="B3" s="121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82</v>
      </c>
      <c r="AL4" s="20" t="s">
        <v>83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84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90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21" t="s">
        <v>0</v>
      </c>
      <c r="B3" s="121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181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21" t="s">
        <v>0</v>
      </c>
      <c r="B3" s="121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85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t="s" s="36">
        <v>220</v>
      </c>
      <c r="AH5" s="9">
        <f>AG5-AF5</f>
        <v>9630</v>
      </c>
      <c r="AI5" s="10" t="s">
        <v>38</v>
      </c>
      <c r="AJ5" s="10">
        <v>4010101001</v>
      </c>
      <c r="AK5" s="66" t="s">
        <v>87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t="s" s="36">
        <v>218</v>
      </c>
      <c r="AH6" s="9">
        <f>AG6-AF6</f>
        <v>78219</v>
      </c>
      <c r="AI6" s="10" t="s">
        <v>38</v>
      </c>
      <c r="AJ6" s="10">
        <v>4010101001</v>
      </c>
      <c r="AK6" s="66" t="s">
        <v>86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R1" workbookViewId="0">
      <selection activeCell="AH5" sqref="AH5:A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21" t="s">
        <v>0</v>
      </c>
      <c r="B3" s="121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H5" sqref="AH5:A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21" t="s">
        <v>0</v>
      </c>
      <c r="B3" s="121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21" t="s">
        <v>0</v>
      </c>
      <c r="B3" s="121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A1" workbookViewId="0">
      <selection activeCell="AK9" sqref="AK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21" t="s">
        <v>0</v>
      </c>
      <c r="B3" s="121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21" t="s">
        <v>0</v>
      </c>
      <c r="B3" s="121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21" t="s">
        <v>0</v>
      </c>
      <c r="B3" s="121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191</v>
      </c>
      <c r="AH5" s="34">
        <f>AG5-AF5</f>
        <v>49586</v>
      </c>
      <c r="AI5" s="10" t="s">
        <v>99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21" t="s">
        <v>0</v>
      </c>
      <c r="B3" s="121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277</v>
      </c>
      <c r="AH5" s="34">
        <f>AG5-AF5</f>
        <v>65983</v>
      </c>
      <c r="AI5" s="10" t="s">
        <v>99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selection activeCell="D10" sqref="D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145</v>
      </c>
      <c r="B1" s="122"/>
      <c r="C1" s="122"/>
      <c r="D1" s="122"/>
    </row>
    <row r="2" spans="1:5" ht="18">
      <c r="C2" s="109"/>
      <c r="D2" s="109"/>
    </row>
    <row r="3" spans="1:5" ht="19.899999999999999" customHeight="1">
      <c r="A3" s="121"/>
      <c r="B3" s="121"/>
      <c r="C3" s="108"/>
      <c r="D3" s="3"/>
    </row>
    <row r="4" spans="1:5" s="31" customFormat="1">
      <c r="A4" s="11" t="s">
        <v>5</v>
      </c>
      <c r="B4" s="11" t="s">
        <v>146</v>
      </c>
      <c r="C4" s="11" t="s">
        <v>147</v>
      </c>
      <c r="D4" s="11" t="s">
        <v>148</v>
      </c>
      <c r="E4" s="58"/>
    </row>
    <row r="5" spans="1:5" ht="15">
      <c r="A5" s="10">
        <v>1</v>
      </c>
      <c r="B5" s="42" t="s">
        <v>150</v>
      </c>
      <c r="C5" s="10">
        <v>2</v>
      </c>
      <c r="D5" s="112" t="s">
        <v>149</v>
      </c>
      <c r="E5" s="59"/>
    </row>
    <row r="6" spans="1:5" ht="14.25" customHeight="1">
      <c r="A6" s="10">
        <v>2</v>
      </c>
      <c r="B6" s="10" t="s">
        <v>151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6"/>
  <sheetViews>
    <sheetView tabSelected="1" workbookViewId="0">
      <selection sqref="A1:D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154</v>
      </c>
      <c r="B1" s="122"/>
      <c r="C1" s="122"/>
      <c r="D1" s="122"/>
    </row>
    <row r="2" spans="1:5" ht="18">
      <c r="C2" s="111"/>
      <c r="D2" s="111"/>
    </row>
    <row r="3" spans="1:5" ht="19.899999999999999" customHeight="1">
      <c r="A3" s="121"/>
      <c r="B3" s="121"/>
      <c r="C3" s="110"/>
      <c r="D3" s="3"/>
    </row>
    <row r="4" spans="1:5" s="31" customFormat="1">
      <c r="A4" s="11" t="s">
        <v>5</v>
      </c>
      <c r="B4" s="11" t="s">
        <v>146</v>
      </c>
      <c r="C4" s="11" t="s">
        <v>147</v>
      </c>
      <c r="D4" s="11" t="s">
        <v>148</v>
      </c>
      <c r="E4" s="58"/>
    </row>
    <row r="5" spans="1:5" ht="15">
      <c r="A5" s="10">
        <v>1</v>
      </c>
      <c r="B5" s="42" t="s">
        <v>152</v>
      </c>
      <c r="C5" s="10">
        <v>2</v>
      </c>
      <c r="D5" s="112" t="s">
        <v>149</v>
      </c>
      <c r="E5" s="59"/>
    </row>
    <row r="6" spans="1:5" ht="14.25" customHeight="1">
      <c r="A6" s="10">
        <v>2</v>
      </c>
      <c r="B6" s="10" t="s">
        <v>153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selection activeCell="D8" sqref="D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155</v>
      </c>
      <c r="B1" s="122"/>
      <c r="C1" s="122"/>
      <c r="D1" s="122"/>
    </row>
    <row r="2" spans="1:5" ht="18">
      <c r="C2" s="115"/>
      <c r="D2" s="115"/>
    </row>
    <row r="3" spans="1:5" ht="19.899999999999999" customHeight="1">
      <c r="A3" s="121"/>
      <c r="B3" s="121"/>
      <c r="C3" s="114"/>
      <c r="D3" s="3"/>
    </row>
    <row r="4" spans="1:5" s="31" customFormat="1">
      <c r="A4" s="11" t="s">
        <v>5</v>
      </c>
      <c r="B4" s="11" t="s">
        <v>146</v>
      </c>
      <c r="C4" s="11" t="s">
        <v>147</v>
      </c>
      <c r="D4" s="11" t="s">
        <v>148</v>
      </c>
      <c r="E4" s="58"/>
    </row>
    <row r="5" spans="1:5" ht="15">
      <c r="A5" s="10">
        <v>1</v>
      </c>
      <c r="B5" s="42" t="s">
        <v>152</v>
      </c>
      <c r="C5" s="10">
        <v>2</v>
      </c>
      <c r="D5" s="112" t="s">
        <v>149</v>
      </c>
      <c r="E5" s="59"/>
    </row>
    <row r="6" spans="1:5" ht="14.25" customHeight="1">
      <c r="A6" s="10">
        <v>2</v>
      </c>
      <c r="B6" s="10" t="s">
        <v>153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selection sqref="A1:D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156</v>
      </c>
      <c r="B1" s="122"/>
      <c r="C1" s="122"/>
      <c r="D1" s="122"/>
    </row>
    <row r="2" spans="1:5" ht="18">
      <c r="C2" s="117"/>
      <c r="D2" s="117"/>
    </row>
    <row r="3" spans="1:5" ht="19.899999999999999" customHeight="1">
      <c r="A3" s="121"/>
      <c r="B3" s="121"/>
      <c r="C3" s="116"/>
      <c r="D3" s="3"/>
    </row>
    <row r="4" spans="1:5" s="31" customFormat="1">
      <c r="A4" s="11" t="s">
        <v>5</v>
      </c>
      <c r="B4" s="11" t="s">
        <v>146</v>
      </c>
      <c r="C4" s="11" t="s">
        <v>147</v>
      </c>
      <c r="D4" s="11" t="s">
        <v>148</v>
      </c>
      <c r="E4" s="58"/>
    </row>
    <row r="5" spans="1:5" ht="15">
      <c r="A5" s="10">
        <v>1</v>
      </c>
      <c r="B5" s="42" t="s">
        <v>152</v>
      </c>
      <c r="C5" s="10">
        <v>2</v>
      </c>
      <c r="D5" s="112" t="s">
        <v>149</v>
      </c>
      <c r="E5" s="59"/>
    </row>
    <row r="6" spans="1:5" ht="14.25" customHeight="1">
      <c r="A6" s="10">
        <v>2</v>
      </c>
      <c r="B6" s="10" t="s">
        <v>153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22" t="s">
        <v>157</v>
      </c>
      <c r="B1" s="122"/>
      <c r="C1" s="122"/>
      <c r="D1" s="122"/>
    </row>
    <row r="2" spans="1:5" ht="18">
      <c r="D2" s="119"/>
    </row>
    <row r="3" spans="1:5" ht="19.899999999999999" customHeight="1">
      <c r="A3" s="121"/>
      <c r="B3" s="121"/>
      <c r="C3" s="120"/>
      <c r="D3" s="118"/>
    </row>
    <row r="4" spans="1:5" s="31" customFormat="1">
      <c r="A4" s="11" t="s">
        <v>5</v>
      </c>
      <c r="B4" s="11" t="s">
        <v>6</v>
      </c>
      <c r="C4" s="11" t="s">
        <v>160</v>
      </c>
      <c r="D4" s="11" t="s">
        <v>146</v>
      </c>
      <c r="E4" s="58"/>
    </row>
    <row r="5" spans="1:5" ht="15">
      <c r="A5" s="10">
        <v>1</v>
      </c>
      <c r="B5" s="42" t="s">
        <v>158</v>
      </c>
      <c r="C5" s="42" t="s">
        <v>161</v>
      </c>
      <c r="D5" s="10" t="s">
        <v>159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OP_S+I+P</vt:lpstr>
      <vt:lpstr>OP_I+P</vt:lpstr>
      <vt:lpstr>OP_S+P</vt:lpstr>
      <vt:lpstr>OP_P</vt:lpstr>
      <vt:lpstr>DirectSCO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2025-10-14T09:20:12Z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