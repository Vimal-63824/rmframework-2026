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61" activeTab="63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77"/>
  <c r="I6"/>
  <c r="H6"/>
  <c r="E5" i="78"/>
  <c r="H5" s="1"/>
  <c r="K5"/>
  <c r="J5" l="1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L5" i="77" l="1"/>
  <c r="L7" s="1"/>
  <c r="O5" i="78"/>
  <c r="P5" s="1"/>
  <c r="O5" i="55"/>
  <c r="R5"/>
  <c r="S5" i="51"/>
  <c r="T5" s="1"/>
  <c r="T5" i="54"/>
  <c r="Q5"/>
  <c r="S5" i="52"/>
  <c r="P5" i="71"/>
  <c r="P5" i="70"/>
  <c r="O5" i="69"/>
  <c r="O5" i="56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N5" i="77" l="1"/>
  <c r="M5"/>
  <c r="F5" s="1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S6" i="4" l="1"/>
  <c r="U6" s="1"/>
  <c r="Q6"/>
  <c r="R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31" l="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M5" i="78" l="1"/>
  <c r="F5" s="1"/>
  <c r="O5" i="77"/>
  <c r="P5" s="1"/>
</calcChain>
</file>

<file path=xl/sharedStrings.xml><?xml version="1.0" encoding="utf-8"?>
<sst xmlns="http://schemas.openxmlformats.org/spreadsheetml/2006/main" count="2774" uniqueCount="269">
  <si>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</si>
  <si>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</si>
  <si>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</si>
  <si>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</si>
  <si>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</si>
  <si>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</si>
  <si>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</si>
  <si>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</si>
  <si>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</si>
  <si>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</si>
  <si>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</si>
  <si>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</si>
  <si>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</si>
  <si>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</si>
  <si>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</si>
  <si>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</si>
  <si>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</si>
  <si>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</si>
  <si>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</si>
  <si>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</si>
  <si>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</si>
  <si>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</si>
  <si>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</si>
  <si>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</si>
  <si>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</si>
  <si>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</si>
  <si>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</si>
  <si>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</si>
  <si>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</si>
  <si>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</si>
  <si>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</si>
  <si>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</si>
  <si>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</si>
  <si>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</si>
  <si>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</si>
  <si>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</si>
  <si>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</si>
  <si>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</si>
  <si>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</si>
  <si>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</si>
  <si>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</si>
  <si>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</si>
  <si>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</si>
  <si>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</si>
  <si>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</si>
  <si>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</si>
  <si>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</si>
  <si>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</si>
  <si>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</si>
  <si>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</si>
  <si>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</si>
  <si>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</si>
  <si>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</si>
  <si>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</si>
  <si>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</si>
  <si>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</si>
  <si>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</si>
  <si>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</si>
  <si>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</si>
  <si>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</si>
  <si>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</si>
  <si>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</si>
  <si>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</si>
  <si>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</si>
  <si>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</si>
  <si>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</si>
  <si>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</si>
  <si>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</si>
  <si>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</si>
  <si>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</si>
  <si>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</si>
  <si>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</si>
  <si>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</si>
  <si>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</si>
  <si>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</si>
  <si>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</si>
  <si>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</si>
  <si>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</si>
  <si>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</si>
  <si>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</si>
  <si>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</si>
  <si>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</si>
  <si>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</si>
  <si>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</si>
  <si>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</si>
  <si>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</si>
  <si>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</si>
  <si>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</si>
  <si>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</si>
  <si>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</si>
  <si>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</si>
  <si>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</si>
  <si>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</si>
  <si>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</si>
  <si>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</si>
  <si>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</si>
  <si>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</si>
  <si>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</si>
  <si>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</si>
  <si>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</si>
  <si>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</si>
  <si>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</si>
  <si>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</si>
  <si>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</si>
  <si>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</si>
  <si>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</si>
  <si>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</si>
  <si>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</si>
  <si>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</si>
  <si>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</si>
  <si>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</si>
  <si>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</si>
  <si>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</si>
  <si>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</si>
  <si>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</si>
  <si>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</si>
  <si>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</si>
  <si>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</si>
  <si>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</si>
  <si>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</si>
  <si>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</si>
  <si>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</si>
  <si>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</si>
  <si>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</si>
  <si>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</si>
  <si>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</si>
  <si>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</si>
  <si>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</si>
  <si>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</si>
  <si>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</si>
  <si>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</si>
  <si>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</si>
  <si>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</si>
  <si>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</si>
  <si>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</si>
  <si>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</si>
  <si>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</si>
  <si>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</si>
  <si>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</si>
  <si>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</si>
  <si>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</si>
  <si>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</si>
  <si>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</si>
  <si>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</si>
  <si>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</si>
  <si>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</si>
  <si>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</si>
  <si>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</si>
  <si>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</si>
  <si>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</si>
  <si>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</si>
  <si>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</si>
  <si>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</si>
  <si>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</si>
  <si>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</si>
  <si>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</si>
  <si>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</si>
  <si>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</si>
  <si>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</si>
  <si>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</si>
  <si>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</si>
  <si>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</si>
  <si>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</si>
  <si>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</si>
  <si>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</si>
  <si>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</si>
  <si>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</si>
  <si>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</si>
  <si>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</si>
  <si>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</si>
  <si>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</si>
  <si>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</si>
  <si>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</si>
  <si>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</si>
  <si>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</si>
  <si>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</si>
  <si>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</si>
  <si>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</si>
  <si>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</si>
  <si>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</si>
  <si>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</si>
  <si>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</si>
  <si>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</si>
  <si>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</si>
  <si>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</si>
  <si>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</si>
  <si>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</si>
  <si>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</si>
  <si>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</si>
  <si>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</si>
  <si>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</si>
  <si>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</si>
  <si>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</si>
  <si>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</si>
  <si>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</si>
  <si>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</si>
  <si>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</si>
  <si>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</si>
  <si>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</si>
  <si>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</si>
  <si>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</si>
  <si>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</si>
  <si>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</si>
  <si>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</si>
  <si>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</si>
  <si>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</si>
  <si>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</si>
  <si>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</si>
  <si>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</si>
  <si>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</si>
  <si>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</si>
  <si>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</si>
  <si>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</si>
  <si>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</si>
  <si>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</si>
  <si>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</si>
  <si>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</si>
  <si>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</si>
  <si>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</si>
  <si>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</si>
  <si>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</si>
  <si>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</si>
  <si>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</si>
  <si>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</si>
  <si>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</si>
  <si>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</si>
  <si>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</si>
  <si>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</si>
  <si>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</si>
  <si>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</si>
  <si>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</si>
  <si>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</si>
  <si>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</si>
  <si>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</si>
  <si>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</si>
  <si>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</si>
  <si>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</si>
  <si>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</si>
  <si>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PROC- 0744</t>
  </si>
  <si>
    <t>40</t>
  </si>
  <si>
    <t>FG70001-QC-LOT</t>
  </si>
  <si>
    <t>SORD-2526-01270</t>
  </si>
  <si>
    <t>99175</t>
  </si>
  <si>
    <t>93816</t>
  </si>
  <si>
    <t>91006</t>
  </si>
  <si>
    <t>VR-SERIAL-FIFO-BATCH-80001QC</t>
  </si>
  <si>
    <t>56071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</si>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</sst>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88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81" t="s">
        <v>0</v>
      </c>
      <c r="B3" s="181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214</v>
      </c>
      <c r="AH5" s="9">
        <f>AG5-AF5</f>
        <v>93996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215</v>
      </c>
      <c r="AH6" s="9">
        <f>AG6-AF6</f>
        <v>99587.5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81" t="s">
        <v>0</v>
      </c>
      <c r="B3" s="181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99891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99965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81" t="s">
        <v>0</v>
      </c>
      <c r="B3" s="181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99760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201</v>
      </c>
      <c r="AH6" s="9">
        <f>AG6-AF6</f>
        <v>99920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81" t="s">
        <v>0</v>
      </c>
      <c r="B3" s="181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825</v>
      </c>
      <c r="J5" s="34"/>
      <c r="K5" s="34"/>
      <c r="L5" s="34"/>
      <c r="M5" s="9">
        <f>I5</f>
        <v>825</v>
      </c>
      <c r="N5" s="9">
        <f>ROUND((M5*J5)/100,2)</f>
        <v>0</v>
      </c>
      <c r="O5" s="9">
        <f>I5-N5</f>
        <v>825</v>
      </c>
      <c r="P5" s="9">
        <f>ROUND((O5*K5)/100,2)</f>
        <v>0</v>
      </c>
      <c r="Q5" s="9">
        <f>ROUND(O5-P5,2)</f>
        <v>825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825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825</v>
      </c>
      <c r="AC5" s="9">
        <v>120</v>
      </c>
      <c r="AD5" s="9">
        <f t="shared" ref="AD5:AD6" si="1">U5*$N$3</f>
        <v>825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99970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176</v>
      </c>
      <c r="AH6" s="9">
        <f>AG6-AF6</f>
        <v>99990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81" t="s">
        <v>0</v>
      </c>
      <c r="B3" s="181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81" t="s">
        <v>0</v>
      </c>
      <c r="B3" s="181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188</v>
      </c>
      <c r="AH6" s="9">
        <f>AG6-AF6</f>
        <v>99983.334000000003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81" t="s">
        <v>0</v>
      </c>
      <c r="B3" s="181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81" t="s">
        <v>0</v>
      </c>
      <c r="B3" s="181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203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99850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187</v>
      </c>
      <c r="AH6" s="9">
        <f>AG6-AF6</f>
        <v>99950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81" t="s">
        <v>0</v>
      </c>
      <c r="B3" s="18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260</v>
      </c>
      <c r="AH5" s="9">
        <f>AG5-AF5</f>
        <v>97764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261</v>
      </c>
      <c r="AH6" s="9">
        <f>AG6-AF6</f>
        <v>99255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81" t="s">
        <v>0</v>
      </c>
      <c r="B3" s="18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259</v>
      </c>
      <c r="AH5" s="9">
        <f>AG5-AF5</f>
        <v>97780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258</v>
      </c>
      <c r="AH6" s="9">
        <f>AG6-AF6</f>
        <v>99260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81" t="s">
        <v>0</v>
      </c>
      <c r="B3" s="181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105581</v>
      </c>
      <c r="AI5" s="10" t="s">
        <v>172</v>
      </c>
      <c r="AJ5" s="10" t="s">
        <v>173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81" t="s">
        <v>0</v>
      </c>
      <c r="B3" s="181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197</v>
      </c>
      <c r="AH5" s="34">
        <f>AG5-AF5</f>
        <v>99641</v>
      </c>
      <c r="AI5" s="10" t="s">
        <v>172</v>
      </c>
      <c r="AJ5" s="10" t="s">
        <v>173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195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196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81" t="s">
        <v>0</v>
      </c>
      <c r="B3" s="181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99985</v>
      </c>
      <c r="AI5" s="10" t="s">
        <v>172</v>
      </c>
      <c r="AJ5" s="10" t="s">
        <v>173</v>
      </c>
      <c r="AK5" s="34">
        <f>AH5</f>
        <v>99985</v>
      </c>
      <c r="AL5" s="34">
        <f>AK5+G5</f>
        <v>100000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81" t="s">
        <v>0</v>
      </c>
      <c r="B3" s="181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62703</v>
      </c>
      <c r="AI5" s="10" t="s">
        <v>172</v>
      </c>
      <c r="AJ5" s="10" t="s">
        <v>173</v>
      </c>
      <c r="AK5" s="34">
        <f>AH5</f>
        <v>62703</v>
      </c>
      <c r="AL5" s="34">
        <f>AK5+G5</f>
        <v>62718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99920</v>
      </c>
      <c r="AI6" s="10" t="s">
        <v>172</v>
      </c>
      <c r="AJ6" s="10" t="s">
        <v>173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99915</v>
      </c>
      <c r="AI7" s="10" t="s">
        <v>172</v>
      </c>
      <c r="AJ7" s="10" t="s">
        <v>173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172</v>
      </c>
      <c r="AJ8" s="10" t="s">
        <v>173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99905</v>
      </c>
      <c r="AI9" s="10" t="s">
        <v>172</v>
      </c>
      <c r="AJ9" s="10" t="s">
        <v>173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99900</v>
      </c>
      <c r="AI10" s="10" t="s">
        <v>172</v>
      </c>
      <c r="AJ10" s="10" t="s">
        <v>173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99895</v>
      </c>
      <c r="AI11" s="10" t="s">
        <v>172</v>
      </c>
      <c r="AJ11" s="10" t="s">
        <v>173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99890</v>
      </c>
      <c r="AI12" s="10" t="s">
        <v>172</v>
      </c>
      <c r="AJ12" s="10" t="s">
        <v>173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99885</v>
      </c>
      <c r="AI13" s="10" t="s">
        <v>172</v>
      </c>
      <c r="AJ13" s="10" t="s">
        <v>173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99880</v>
      </c>
      <c r="AI14" s="10" t="s">
        <v>172</v>
      </c>
      <c r="AJ14" s="10" t="s">
        <v>173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81" t="s">
        <v>0</v>
      </c>
      <c r="B3" s="181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246</v>
      </c>
      <c r="AH5" s="33">
        <f>AG5-AF5</f>
        <v>56056</v>
      </c>
      <c r="AI5" s="10" t="s">
        <v>172</v>
      </c>
      <c r="AJ5" s="10" t="s">
        <v>173</v>
      </c>
      <c r="AK5" s="33">
        <f>AH5</f>
        <v>56056</v>
      </c>
      <c r="AL5" s="33">
        <f>AK5+G5</f>
        <v>56071</v>
      </c>
      <c r="AM5" s="28" t="s">
        <v>66</v>
      </c>
      <c r="AN5" s="67" t="s">
        <v>175</v>
      </c>
      <c r="AO5" s="29" t="s">
        <v>237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81" t="s">
        <v>0</v>
      </c>
      <c r="B3" s="181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81" t="s">
        <v>0</v>
      </c>
      <c r="B3" s="181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81" t="s">
        <v>0</v>
      </c>
      <c r="B3" s="18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99816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81" t="s">
        <v>0</v>
      </c>
      <c r="B3" s="18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191</v>
      </c>
      <c r="AH5" s="9">
        <f>AG5-AF5</f>
        <v>99806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81" t="s">
        <v>0</v>
      </c>
      <c r="B3" s="18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81" t="s">
        <v>0</v>
      </c>
      <c r="B3" s="18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81" t="s">
        <v>0</v>
      </c>
      <c r="B3" s="181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211</v>
      </c>
      <c r="AH5" s="9">
        <f>AG5-AF5</f>
        <v>95771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81" t="s">
        <v>0</v>
      </c>
      <c r="B3" s="181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262</v>
      </c>
      <c r="AH5" s="9">
        <f>AG5-AF5</f>
        <v>45571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81" t="s">
        <v>0</v>
      </c>
      <c r="B3" s="181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192</v>
      </c>
      <c r="AH5" s="9">
        <f>AG5-AF5</f>
        <v>99957.5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193</v>
      </c>
      <c r="AH6" s="9">
        <f>AG6-AF6</f>
        <v>99791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81" t="s">
        <v>0</v>
      </c>
      <c r="B3" s="181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198</v>
      </c>
      <c r="AL5" s="72" t="s">
        <v>199</v>
      </c>
    </row>
    <row r="6" spans="1:38" ht="15">
      <c r="A6" s="10">
        <v>2</v>
      </c>
      <c r="B6" s="42" t="s">
        <v>207</v>
      </c>
      <c r="C6" s="10">
        <v>0</v>
      </c>
      <c r="D6" s="42" t="s">
        <v>207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198</v>
      </c>
      <c r="AL6" s="66" t="s">
        <v>199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81" t="s">
        <v>0</v>
      </c>
      <c r="B3" s="181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207</v>
      </c>
      <c r="C5" s="10">
        <v>0</v>
      </c>
      <c r="D5" s="42" t="s">
        <v>207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198</v>
      </c>
      <c r="AL5" s="72" t="s">
        <v>241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198</v>
      </c>
      <c r="AL6" s="66" t="s">
        <v>241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81" t="s">
        <v>0</v>
      </c>
      <c r="B3" s="181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81" t="s">
        <v>0</v>
      </c>
      <c r="B3" s="181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81" t="s">
        <v>0</v>
      </c>
      <c r="B3" s="181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194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81" t="s">
        <v>0</v>
      </c>
      <c r="B3" s="181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242</v>
      </c>
      <c r="AH5" s="34">
        <f>AG5-AF5</f>
        <v>99160</v>
      </c>
      <c r="AI5" s="10" t="s">
        <v>217</v>
      </c>
      <c r="AJ5" s="10" t="s">
        <v>173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81" t="s">
        <v>0</v>
      </c>
      <c r="B3" s="181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242</v>
      </c>
      <c r="AH5" s="34">
        <f>AG5-AF5</f>
        <v>99160</v>
      </c>
      <c r="AI5" s="10" t="s">
        <v>217</v>
      </c>
      <c r="AJ5" s="10" t="s">
        <v>173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82" t="s">
        <v>129</v>
      </c>
      <c r="B1" s="182"/>
      <c r="C1" s="182"/>
      <c r="D1" s="182"/>
    </row>
    <row r="2" spans="1:5" ht="18">
      <c r="D2" s="112"/>
    </row>
    <row r="3" spans="1:5" ht="19.899999999999999" customHeight="1">
      <c r="A3" s="181"/>
      <c r="B3" s="181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238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82" t="s">
        <v>130</v>
      </c>
      <c r="B1" s="182"/>
      <c r="C1" s="182"/>
      <c r="D1" s="182"/>
    </row>
    <row r="2" spans="1:5" ht="18">
      <c r="D2" s="112"/>
    </row>
    <row r="3" spans="1:5" ht="19.899999999999999" customHeight="1">
      <c r="A3" s="181"/>
      <c r="B3" s="181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236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82" t="s">
        <v>135</v>
      </c>
      <c r="B1" s="182"/>
      <c r="C1" s="182"/>
      <c r="D1" s="182"/>
    </row>
    <row r="2" spans="1:16" ht="18">
      <c r="D2" s="165"/>
    </row>
    <row r="3" spans="1:16" ht="19.899999999999999" customHeight="1">
      <c r="A3" s="181"/>
      <c r="B3" s="181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82" t="s">
        <v>135</v>
      </c>
      <c r="B1" s="182"/>
      <c r="C1" s="182"/>
      <c r="D1" s="182"/>
    </row>
    <row r="2" spans="1:16" ht="18">
      <c r="D2" s="112"/>
    </row>
    <row r="3" spans="1:16" ht="19.899999999999999" customHeight="1">
      <c r="A3" s="181"/>
      <c r="B3" s="181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82" t="s">
        <v>135</v>
      </c>
      <c r="B1" s="182"/>
      <c r="C1" s="182"/>
      <c r="D1" s="182"/>
    </row>
    <row r="2" spans="1:16" ht="18">
      <c r="D2" s="168"/>
    </row>
    <row r="3" spans="1:16" ht="19.899999999999999" customHeight="1">
      <c r="A3" s="181"/>
      <c r="B3" s="181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82" t="s">
        <v>135</v>
      </c>
      <c r="B1" s="182"/>
      <c r="C1" s="182"/>
      <c r="D1" s="182"/>
    </row>
    <row r="2" spans="1:16" ht="18">
      <c r="D2" s="112"/>
    </row>
    <row r="3" spans="1:16" ht="19.899999999999999" customHeight="1">
      <c r="A3" s="181"/>
      <c r="B3" s="181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82" t="s">
        <v>135</v>
      </c>
      <c r="B1" s="182"/>
      <c r="C1" s="182"/>
      <c r="D1" s="182"/>
    </row>
    <row r="2" spans="1:16" ht="18">
      <c r="D2" s="165"/>
    </row>
    <row r="3" spans="1:16" ht="19.899999999999999" customHeight="1">
      <c r="A3" s="181"/>
      <c r="B3" s="181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82" t="s">
        <v>135</v>
      </c>
      <c r="B1" s="182"/>
      <c r="C1" s="182"/>
      <c r="D1" s="182"/>
    </row>
    <row r="2" spans="1:16" ht="18">
      <c r="D2" s="119"/>
    </row>
    <row r="3" spans="1:16" ht="19.899999999999999" customHeight="1">
      <c r="A3" s="181"/>
      <c r="B3" s="181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82" t="s">
        <v>135</v>
      </c>
      <c r="B1" s="182"/>
      <c r="C1" s="182"/>
      <c r="D1" s="182"/>
    </row>
    <row r="2" spans="1:16" ht="18">
      <c r="D2" s="165"/>
    </row>
    <row r="3" spans="1:16" ht="19.899999999999999" customHeight="1">
      <c r="A3" s="181"/>
      <c r="B3" s="181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82" t="s">
        <v>135</v>
      </c>
      <c r="B1" s="182"/>
      <c r="C1" s="182"/>
      <c r="D1" s="182"/>
    </row>
    <row r="2" spans="1:16" ht="18">
      <c r="D2" s="112"/>
    </row>
    <row r="3" spans="1:16" ht="19.899999999999999" customHeight="1">
      <c r="A3" s="181"/>
      <c r="B3" s="181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82" t="s">
        <v>135</v>
      </c>
      <c r="B1" s="182"/>
      <c r="C1" s="182"/>
      <c r="D1" s="182"/>
    </row>
    <row r="2" spans="1:15" ht="18">
      <c r="D2" s="112"/>
    </row>
    <row r="3" spans="1:15" ht="19.899999999999999" customHeight="1">
      <c r="A3" s="181"/>
      <c r="B3" s="181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82" t="s">
        <v>146</v>
      </c>
      <c r="B1" s="182"/>
      <c r="C1" s="182"/>
      <c r="D1" s="182"/>
    </row>
    <row r="2" spans="1:16" ht="18">
      <c r="D2" s="168"/>
    </row>
    <row r="3" spans="1:16" ht="19.899999999999999" customHeight="1">
      <c r="A3" s="181"/>
      <c r="B3" s="181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82" t="s">
        <v>146</v>
      </c>
      <c r="B1" s="182"/>
      <c r="C1" s="182"/>
      <c r="D1" s="182"/>
    </row>
    <row r="2" spans="1:16" ht="18">
      <c r="D2" s="121"/>
    </row>
    <row r="3" spans="1:16" ht="19.899999999999999" customHeight="1">
      <c r="A3" s="181"/>
      <c r="B3" s="181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82" t="s">
        <v>143</v>
      </c>
      <c r="B1" s="182"/>
      <c r="C1" s="182"/>
      <c r="D1" s="182"/>
    </row>
    <row r="2" spans="1:15" ht="18">
      <c r="D2" s="117"/>
    </row>
    <row r="3" spans="1:15" ht="19.899999999999999" customHeight="1">
      <c r="A3" s="181"/>
      <c r="B3" s="181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82" t="s">
        <v>166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1" t="s">
        <v>0</v>
      </c>
      <c r="B3" s="181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20.25</v>
      </c>
      <c r="P5" s="34">
        <f>IF($D$3=1,ROUND(((K5*N5)/2),2),0)</f>
        <v>20.25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225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82" t="s">
        <v>165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1" t="s">
        <v>0</v>
      </c>
      <c r="B3" s="181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139</v>
      </c>
      <c r="H5" s="29" t="s">
        <v>160</v>
      </c>
      <c r="I5" s="10">
        <f>ROUND(C5*H5/F5,3)</f>
        <v>10</v>
      </c>
      <c r="J5" s="10">
        <f>I5*(G5/C5)</f>
        <v>12.5</v>
      </c>
      <c r="K5" s="10">
        <f>I5*G5</f>
        <v>250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45</v>
      </c>
      <c r="R5" s="34">
        <f>IF($D$3=4,ROUND((K5*N5),2),0)</f>
        <v>0</v>
      </c>
      <c r="S5" s="34">
        <f>ROUND(O5+P5+Q5+R5,2)</f>
        <v>45</v>
      </c>
      <c r="T5" s="34">
        <f>ROUND(IF($J$3=1, K5+S5, K5),2)</f>
        <v>295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82" t="s">
        <v>171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1" t="s">
        <v>0</v>
      </c>
      <c r="B3" s="181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239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82" t="s">
        <v>170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1" t="s">
        <v>0</v>
      </c>
      <c r="B3" s="181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222</v>
      </c>
      <c r="H5" s="29" t="s">
        <v>160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3" sqref="D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82" t="s">
        <v>164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1" t="s">
        <v>0</v>
      </c>
      <c r="B3" s="181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82" t="s">
        <v>162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81" t="s">
        <v>0</v>
      </c>
      <c r="B3" s="181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218</v>
      </c>
      <c r="H5" s="29" t="s">
        <v>160</v>
      </c>
      <c r="I5" s="10">
        <f>ROUND(C5*H5/F5,3)</f>
        <v>10</v>
      </c>
      <c r="J5" s="10">
        <f>I5*(G5/C5)</f>
        <v>15</v>
      </c>
      <c r="K5" s="10">
        <f>I5*G5</f>
        <v>300</v>
      </c>
      <c r="L5" s="29" t="s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82" t="s">
        <v>121</v>
      </c>
      <c r="B1" s="182"/>
      <c r="C1" s="182"/>
      <c r="D1" s="182"/>
    </row>
    <row r="2" spans="1:17" ht="18">
      <c r="D2" s="175"/>
    </row>
    <row r="3" spans="1:17" ht="19.899999999999999" customHeight="1">
      <c r="A3" s="181"/>
      <c r="B3" s="181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245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82" t="s">
        <v>121</v>
      </c>
      <c r="B1" s="182"/>
      <c r="C1" s="182"/>
      <c r="D1" s="182"/>
    </row>
    <row r="2" spans="1:17" ht="18">
      <c r="D2" s="171"/>
    </row>
    <row r="3" spans="1:17" ht="19.899999999999999" customHeight="1">
      <c r="A3" s="181"/>
      <c r="B3" s="181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240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82" t="s">
        <v>121</v>
      </c>
      <c r="B1" s="182"/>
      <c r="C1" s="182"/>
      <c r="D1" s="182"/>
    </row>
    <row r="2" spans="1:17" ht="18">
      <c r="D2" s="109"/>
    </row>
    <row r="3" spans="1:17" ht="19.899999999999999" customHeight="1">
      <c r="A3" s="181"/>
      <c r="B3" s="181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16384" width="9.140625" style="29"/>
  </cols>
  <sheetData>
    <row r="1" spans="1:4" ht="27.75" customHeight="1">
      <c r="A1" s="182" t="s">
        <v>224</v>
      </c>
      <c r="B1" s="182"/>
    </row>
    <row r="3" spans="1:4" ht="19.899999999999999" customHeight="1">
      <c r="A3" s="183" t="s">
        <v>233</v>
      </c>
      <c r="B3" s="183"/>
    </row>
    <row r="4" spans="1:4" s="31" customFormat="1">
      <c r="A4" s="11" t="s">
        <v>225</v>
      </c>
      <c r="B4" s="11" t="s">
        <v>226</v>
      </c>
    </row>
    <row r="5" spans="1:4">
      <c r="A5" s="29" t="s">
        <v>232</v>
      </c>
      <c r="B5" s="29" t="s">
        <v>230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82" t="s">
        <v>224</v>
      </c>
      <c r="B1" s="182"/>
      <c r="C1" s="182"/>
      <c r="D1" s="182"/>
    </row>
    <row r="2" spans="1:8" ht="18">
      <c r="D2" s="169"/>
    </row>
    <row r="3" spans="1:8" ht="19.899999999999999" customHeight="1">
      <c r="A3" s="183" t="s">
        <v>233</v>
      </c>
      <c r="B3" s="183"/>
      <c r="C3" s="183"/>
      <c r="D3" s="183"/>
      <c r="E3" s="184" t="s">
        <v>235</v>
      </c>
      <c r="F3" s="184"/>
      <c r="G3" s="184" t="s">
        <v>247</v>
      </c>
      <c r="H3" s="184"/>
    </row>
    <row r="4" spans="1:8" s="31" customFormat="1">
      <c r="A4" s="11" t="s">
        <v>227</v>
      </c>
      <c r="B4" s="11" t="s">
        <v>228</v>
      </c>
      <c r="C4" s="11" t="s">
        <v>229</v>
      </c>
      <c r="D4" s="11" t="s">
        <v>231</v>
      </c>
      <c r="E4" s="11" t="s">
        <v>225</v>
      </c>
      <c r="F4" s="11" t="s">
        <v>226</v>
      </c>
      <c r="G4" s="11" t="s">
        <v>225</v>
      </c>
      <c r="H4" s="11" t="s">
        <v>226</v>
      </c>
    </row>
    <row r="5" spans="1:8" ht="15">
      <c r="A5" s="122" t="s">
        <v>232</v>
      </c>
      <c r="B5" s="42" t="s">
        <v>230</v>
      </c>
      <c r="C5" s="42" t="s">
        <v>230</v>
      </c>
      <c r="D5" s="10">
        <v>11</v>
      </c>
      <c r="E5" s="122" t="s">
        <v>234</v>
      </c>
      <c r="F5" s="114" t="s">
        <v>160</v>
      </c>
      <c r="G5" s="122" t="s">
        <v>230</v>
      </c>
      <c r="H5" s="42" t="s">
        <v>230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82" t="s">
        <v>164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81" t="s">
        <v>0</v>
      </c>
      <c r="B3" s="181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85" t="s">
        <v>39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34"/>
      <c r="AB1" s="134"/>
      <c r="AC1" s="134"/>
      <c r="AD1" s="135"/>
      <c r="AE1" s="135"/>
      <c r="AF1" s="135"/>
    </row>
    <row r="2" spans="1:38" ht="18">
      <c r="A2" s="134" t="s">
        <v>204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86" t="s">
        <v>0</v>
      </c>
      <c r="B3" s="186"/>
      <c r="C3" s="138"/>
      <c r="D3" s="139">
        <v>2</v>
      </c>
      <c r="E3" s="140" t="s">
        <v>205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206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207</v>
      </c>
      <c r="C6" s="155">
        <v>0</v>
      </c>
      <c r="D6" s="32" t="s">
        <v>207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206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208</v>
      </c>
      <c r="R7" s="161"/>
      <c r="S7" s="161"/>
      <c r="T7" s="161"/>
      <c r="U7" s="159"/>
      <c r="V7" s="159"/>
      <c r="W7" s="160"/>
      <c r="X7" s="159"/>
      <c r="Y7" s="159"/>
      <c r="Z7" s="161" t="s">
        <v>209</v>
      </c>
      <c r="AA7" s="161"/>
      <c r="AB7" s="162">
        <f>SUM(AB5:AB6)</f>
        <v>45016.36</v>
      </c>
      <c r="AC7" s="161" t="s">
        <v>210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81" t="s">
        <v>0</v>
      </c>
      <c r="B3" s="181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248</v>
      </c>
      <c r="AH5" s="9">
        <f>AG5-AF5</f>
        <v>54751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81" t="s">
        <v>0</v>
      </c>
      <c r="B3" s="181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243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82" t="s">
        <v>39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81" t="s">
        <v>0</v>
      </c>
      <c r="B3" s="181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244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14.5703125" style="29" customWidth="1"/>
    <col min="5" max="5" width="19.42578125" style="29" bestFit="1" customWidth="1"/>
    <col min="6" max="6" width="16.7109375" style="29" customWidth="1"/>
    <col min="7" max="16384" width="9.140625" style="29"/>
  </cols>
  <sheetData>
    <row r="1" spans="1:6" ht="27.75" customHeight="1">
      <c r="A1" s="182" t="s">
        <v>249</v>
      </c>
      <c r="B1" s="182"/>
      <c r="C1" s="182"/>
      <c r="D1" s="182"/>
      <c r="E1" s="176"/>
    </row>
    <row r="3" spans="1:6" ht="19.899999999999999" customHeight="1">
      <c r="A3" s="183" t="s">
        <v>250</v>
      </c>
      <c r="B3" s="183"/>
      <c r="C3" s="183"/>
      <c r="D3" s="183"/>
      <c r="E3" s="183"/>
      <c r="F3" s="183"/>
    </row>
    <row r="4" spans="1:6" s="31" customFormat="1">
      <c r="A4" s="11" t="s">
        <v>251</v>
      </c>
      <c r="B4" s="11" t="s">
        <v>252</v>
      </c>
      <c r="C4" s="11" t="s">
        <v>253</v>
      </c>
      <c r="D4" s="11" t="s">
        <v>254</v>
      </c>
      <c r="E4" s="11" t="s">
        <v>255</v>
      </c>
      <c r="F4" s="115" t="s">
        <v>256</v>
      </c>
    </row>
    <row r="5" spans="1:6">
      <c r="A5" s="29" t="s">
        <v>265</v>
      </c>
      <c r="B5" s="29" t="s">
        <v>265</v>
      </c>
      <c r="C5" s="29" t="s">
        <v>218</v>
      </c>
      <c r="D5" s="29" t="s">
        <v>163</v>
      </c>
      <c r="E5" s="10">
        <f>C5*D5</f>
        <v>600</v>
      </c>
      <c r="F5" s="33">
        <f>E5-B5</f>
        <v>246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F7"/>
  <sheetViews>
    <sheetView workbookViewId="0">
      <selection activeCell="G3" sqref="G3:L3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6384" width="9.140625" style="29"/>
  </cols>
  <sheetData>
    <row r="1" spans="1:6" ht="27.75" customHeight="1">
      <c r="A1" s="182" t="s">
        <v>264</v>
      </c>
      <c r="B1" s="182"/>
      <c r="C1" s="182"/>
      <c r="D1" s="182"/>
      <c r="E1" s="177"/>
    </row>
    <row r="3" spans="1:6" ht="19.899999999999999" customHeight="1">
      <c r="A3" s="183" t="s">
        <v>250</v>
      </c>
      <c r="B3" s="183"/>
      <c r="C3" s="183"/>
      <c r="D3" s="183"/>
      <c r="E3" s="183"/>
      <c r="F3" s="183"/>
    </row>
    <row r="4" spans="1:6" s="31" customFormat="1">
      <c r="A4" s="11" t="s">
        <v>251</v>
      </c>
      <c r="B4" s="11" t="s">
        <v>252</v>
      </c>
      <c r="C4" s="11" t="s">
        <v>253</v>
      </c>
      <c r="D4" s="11" t="s">
        <v>254</v>
      </c>
      <c r="E4" s="11" t="s">
        <v>255</v>
      </c>
      <c r="F4" s="115" t="s">
        <v>256</v>
      </c>
    </row>
    <row r="5" spans="1:6">
      <c r="A5" s="29" t="s">
        <v>257</v>
      </c>
      <c r="B5" s="29" t="s">
        <v>257</v>
      </c>
      <c r="C5" s="29" t="s">
        <v>218</v>
      </c>
      <c r="D5" s="29" t="s">
        <v>163</v>
      </c>
      <c r="E5" s="10">
        <f>C5*D5</f>
        <v>600</v>
      </c>
      <c r="F5" s="33"/>
    </row>
    <row r="6" spans="1:6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6">
      <c r="A7" s="10"/>
      <c r="B7" s="10"/>
      <c r="C7" s="10"/>
      <c r="D7" s="178" t="s">
        <v>263</v>
      </c>
      <c r="E7" s="10">
        <f>SUM(E5:E6)</f>
        <v>655</v>
      </c>
      <c r="F7" s="10">
        <f>E7-B5</f>
        <v>280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tabSelected="1" workbookViewId="0">
      <selection activeCell="A7" sqref="A7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9.140625" style="29"/>
    <col min="16" max="16" width="11.7109375" style="29" bestFit="1" customWidth="1"/>
    <col min="17" max="16384" width="9.140625" style="29"/>
  </cols>
  <sheetData>
    <row r="1" spans="1:39" ht="27.75" customHeight="1">
      <c r="A1" s="182" t="s">
        <v>264</v>
      </c>
      <c r="B1" s="182"/>
      <c r="C1" s="182"/>
      <c r="D1" s="182"/>
      <c r="E1" s="179"/>
    </row>
    <row r="2" spans="1:39" ht="19.899999999999999" customHeight="1">
      <c r="A2" s="181" t="s">
        <v>0</v>
      </c>
      <c r="B2" s="181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83" t="s">
        <v>250</v>
      </c>
      <c r="B3" s="183"/>
      <c r="C3" s="183"/>
      <c r="D3" s="183"/>
      <c r="E3" s="183"/>
      <c r="F3" s="183"/>
    </row>
    <row r="4" spans="1:39" s="31" customFormat="1">
      <c r="A4" s="11" t="s">
        <v>251</v>
      </c>
      <c r="B4" s="11" t="s">
        <v>252</v>
      </c>
      <c r="C4" s="11" t="s">
        <v>253</v>
      </c>
      <c r="D4" s="11" t="s">
        <v>254</v>
      </c>
      <c r="E4" s="11" t="s">
        <v>255</v>
      </c>
      <c r="F4" s="115" t="s">
        <v>256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266</v>
      </c>
      <c r="O4" s="180" t="s">
        <v>268</v>
      </c>
      <c r="P4" s="180" t="s">
        <v>267</v>
      </c>
    </row>
    <row r="5" spans="1:39">
      <c r="A5" s="29" t="s">
        <v>265</v>
      </c>
      <c r="B5" s="29" t="s">
        <v>265</v>
      </c>
      <c r="C5" s="29" t="s">
        <v>218</v>
      </c>
      <c r="D5" s="29" t="s">
        <v>230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263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topLeftCell="G1" workbookViewId="0">
      <selection activeCell="F5" sqref="F5"/>
    </sheetView>
  </sheetViews>
  <sheetFormatPr defaultColWidth="9.140625" defaultRowHeight="14.25"/>
  <cols>
    <col min="1" max="1" width="15.28515625" style="29" customWidth="1"/>
    <col min="2" max="3" width="15.140625" style="29" customWidth="1"/>
    <col min="4" max="4" width="27.28515625" style="29" customWidth="1"/>
    <col min="5" max="5" width="19.42578125" style="29" bestFit="1" customWidth="1"/>
    <col min="6" max="6" width="16.7109375" style="29" customWidth="1"/>
    <col min="7" max="13" width="9.140625" style="29"/>
    <col min="14" max="14" width="16.85546875" style="29" bestFit="1" customWidth="1"/>
    <col min="15" max="15" width="14.28515625" style="29" bestFit="1" customWidth="1"/>
    <col min="16" max="16" width="11.7109375" style="29" bestFit="1" customWidth="1"/>
    <col min="17" max="16384" width="9.140625" style="29"/>
  </cols>
  <sheetData>
    <row r="1" spans="1:39" ht="27.75" customHeight="1">
      <c r="A1" s="182" t="s">
        <v>264</v>
      </c>
      <c r="B1" s="182"/>
      <c r="C1" s="182"/>
      <c r="D1" s="182"/>
      <c r="E1" s="179"/>
    </row>
    <row r="2" spans="1:39" ht="19.899999999999999" customHeight="1">
      <c r="A2" s="181" t="s">
        <v>0</v>
      </c>
      <c r="B2" s="181"/>
      <c r="D2" s="29">
        <v>2</v>
      </c>
      <c r="E2" s="4" t="s">
        <v>168</v>
      </c>
      <c r="F2" s="5"/>
      <c r="G2" s="5"/>
      <c r="H2" s="5"/>
      <c r="I2" s="6"/>
      <c r="J2" s="6">
        <v>1</v>
      </c>
      <c r="K2" s="7" t="s">
        <v>161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87" t="s">
        <v>250</v>
      </c>
      <c r="B3" s="187"/>
      <c r="C3" s="187"/>
      <c r="D3" s="187"/>
      <c r="E3" s="187"/>
      <c r="F3" s="187"/>
    </row>
    <row r="4" spans="1:39" s="31" customFormat="1">
      <c r="A4" s="11" t="s">
        <v>251</v>
      </c>
      <c r="B4" s="11" t="s">
        <v>252</v>
      </c>
      <c r="C4" s="11" t="s">
        <v>253</v>
      </c>
      <c r="D4" s="11" t="s">
        <v>254</v>
      </c>
      <c r="E4" s="11" t="s">
        <v>255</v>
      </c>
      <c r="F4" s="115" t="s">
        <v>256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169</v>
      </c>
      <c r="L4" s="17" t="s">
        <v>30</v>
      </c>
      <c r="M4" s="18" t="s">
        <v>31</v>
      </c>
      <c r="N4" s="180" t="s">
        <v>266</v>
      </c>
      <c r="O4" s="180" t="s">
        <v>268</v>
      </c>
      <c r="P4" s="180" t="s">
        <v>267</v>
      </c>
    </row>
    <row r="5" spans="1:39">
      <c r="A5" s="29" t="s">
        <v>265</v>
      </c>
      <c r="B5" s="29" t="s">
        <v>265</v>
      </c>
      <c r="C5" s="29" t="s">
        <v>218</v>
      </c>
      <c r="D5" s="29" t="s">
        <v>230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E5+L5</f>
        <v>354</v>
      </c>
      <c r="N5" s="10">
        <f>E5+L5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2026-03-12T12:35:56Z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