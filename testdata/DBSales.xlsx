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6" activeTab="33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" sheetId="39" r:id="rId52"/>
    <sheet name="SourceSFCode" sheetId="67" r:id="rId53"/>
    <sheet name="SCOCharges" sheetId="57" r:id="rId54"/>
    <sheet name="SOtoSIDomestic" sheetId="61" r:id="rId55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66"/>
  <c r="K5" s="1"/>
  <c r="M5" s="1"/>
  <c r="I5" i="65"/>
  <c r="J5" s="1"/>
  <c r="R5" i="56"/>
  <c r="R5" i="55"/>
  <c r="O5" i="56"/>
  <c r="O5" i="55"/>
  <c r="I5" i="64"/>
  <c r="J5" s="1"/>
  <c r="I5" i="63"/>
  <c r="J5" s="1"/>
  <c r="I5" i="62"/>
  <c r="J5" s="1"/>
  <c r="T5" i="52"/>
  <c r="T5" i="53"/>
  <c r="T5" i="54"/>
  <c r="S5"/>
  <c r="S5" i="53"/>
  <c r="S5" i="52"/>
  <c r="I5" i="51"/>
  <c r="K5" s="1"/>
  <c r="P5" s="1"/>
  <c r="AL6" i="61"/>
  <c r="AF6"/>
  <c r="AH6" s="1"/>
  <c r="AL5"/>
  <c r="AH5"/>
  <c r="AF5"/>
  <c r="Y6"/>
  <c r="X6"/>
  <c r="I6"/>
  <c r="Y5"/>
  <c r="X5"/>
  <c r="I5"/>
  <c r="AL5" i="13"/>
  <c r="AK5"/>
  <c r="AH5"/>
  <c r="AH5" i="19"/>
  <c r="AA5" i="58"/>
  <c r="AK5"/>
  <c r="X5"/>
  <c r="AH5"/>
  <c r="AF5"/>
  <c r="Y5"/>
  <c r="N5"/>
  <c r="M5"/>
  <c r="I5"/>
  <c r="AF6" i="8"/>
  <c r="R5" i="57"/>
  <c r="P5"/>
  <c r="O5"/>
  <c r="I5"/>
  <c r="J5" s="1"/>
  <c r="Q5" i="56"/>
  <c r="P5"/>
  <c r="I5"/>
  <c r="J5" s="1"/>
  <c r="Q5" i="51"/>
  <c r="Q5" i="54"/>
  <c r="P5"/>
  <c r="O5"/>
  <c r="I5"/>
  <c r="J5" s="1"/>
  <c r="Q5" i="53"/>
  <c r="P5"/>
  <c r="O5"/>
  <c r="I5"/>
  <c r="K5" s="1"/>
  <c r="Q5" i="52"/>
  <c r="P5"/>
  <c r="O5"/>
  <c r="I5"/>
  <c r="K5" s="1"/>
  <c r="P5" i="55"/>
  <c r="I5"/>
  <c r="J5" s="1"/>
  <c r="J5" i="66" l="1"/>
  <c r="K5" i="65"/>
  <c r="M5" s="1"/>
  <c r="S5" i="56"/>
  <c r="T5" s="1"/>
  <c r="K5" i="64"/>
  <c r="M5" s="1"/>
  <c r="K5" i="63"/>
  <c r="M5" s="1"/>
  <c r="K5" i="62"/>
  <c r="M5" s="1"/>
  <c r="O5" i="51"/>
  <c r="S5" s="1"/>
  <c r="T5" s="1"/>
  <c r="M5" i="61"/>
  <c r="N5" s="1"/>
  <c r="M6"/>
  <c r="N6" s="1"/>
  <c r="O5" i="58"/>
  <c r="K5" i="57"/>
  <c r="K5" i="56"/>
  <c r="R5" i="51"/>
  <c r="J5"/>
  <c r="K5" i="54"/>
  <c r="R5" i="53"/>
  <c r="J5"/>
  <c r="R5" i="52"/>
  <c r="J5"/>
  <c r="K5" i="55"/>
  <c r="T5" l="1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5" l="1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Q5" i="61" l="1"/>
  <c r="R5" s="1"/>
  <c r="S5" s="1"/>
  <c r="Q6"/>
  <c r="R6" s="1"/>
  <c r="S6" s="1"/>
  <c r="U5" i="58"/>
  <c r="T5"/>
  <c r="K5" i="39"/>
  <c r="M5" s="1"/>
  <c r="J5" i="46"/>
  <c r="AH5" i="1"/>
  <c r="AQ5" i="13"/>
  <c r="AP5"/>
  <c r="AF5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T6" i="61" l="1"/>
  <c r="U6"/>
  <c r="T5"/>
  <c r="U5"/>
  <c r="Z5" i="58"/>
  <c r="AB5" s="1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AD6" i="61" l="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AB5" i="61" l="1"/>
  <c r="AA5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AB7" i="61" l="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<sst xmlns="http://schemas.openxmlformats.org/spreadsheetml/2006/main" count="2480" uniqueCount="245">
  <si>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</si>
  <si>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</si>
  <si>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</si>
  <si>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</si>
  <si>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</si>
  <si>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</si>
  <si>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</si>
  <si>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</si>
  <si>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</si>
  <si>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</si>
  <si>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</si>
  <si>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</si>
  <si>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</si>
  <si>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</si>
  <si>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</si>
  <si>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</si>
  <si>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</si>
  <si>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</si>
  <si>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</si>
  <si>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</si>
  <si>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</si>
  <si>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</si>
  <si>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</si>
  <si>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</si>
  <si>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</si>
  <si>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</si>
  <si>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</si>
  <si>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</si>
  <si>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</si>
  <si>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</si>
  <si>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</si>
  <si>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</si>
  <si>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</si>
  <si>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</si>
  <si>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</si>
  <si>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</si>
  <si>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</si>
  <si>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</si>
  <si>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</si>
  <si>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</si>
  <si>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</si>
  <si>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</si>
  <si>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</si>
  <si>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</si>
  <si>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</si>
  <si>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</si>
  <si>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</si>
  <si>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</si>
  <si>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</si>
  <si>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</si>
  <si>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</si>
  <si>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</si>
  <si>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</si>
  <si>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</si>
  <si>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</si>
  <si>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</si>
  <si>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</si>
  <si>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</si>
  <si>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</si>
  <si>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</si>
  <si>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</si>
  <si>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</si>
  <si>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</si>
  <si>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</si>
  <si>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</si>
  <si>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</si>
  <si>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</si>
  <si>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</si>
  <si>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</si>
  <si>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</si>
  <si>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</si>
  <si>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</si>
  <si>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</si>
  <si>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</si>
  <si>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</si>
  <si>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</si>
  <si>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</si>
  <si>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</si>
  <si>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</si>
  <si>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</si>
  <si>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</si>
  <si>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</si>
  <si>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</si>
  <si>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</si>
  <si>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</si>
  <si>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</si>
  <si>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</si>
  <si>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</si>
  <si>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</si>
  <si>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</si>
  <si>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</si>
  <si>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</si>
  <si>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</si>
  <si>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</si>
  <si>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</si>
  <si>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</si>
  <si>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</si>
  <si>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</si>
  <si>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</si>
  <si>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</si>
  <si>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</si>
  <si>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</si>
  <si>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</si>
  <si>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</si>
  <si>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</si>
  <si>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</si>
  <si>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</si>
  <si>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</si>
  <si>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</si>
  <si>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</si>
  <si>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</si>
  <si>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</si>
  <si>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</si>
  <si>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</si>
  <si>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</si>
  <si>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</si>
  <si>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</si>
  <si>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</si>
  <si>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</si>
  <si>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</si>
  <si>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</si>
  <si>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</si>
  <si>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</si>
  <si>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</si>
  <si>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</si>
  <si>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</si>
  <si>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</si>
  <si>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</si>
  <si>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</si>
  <si>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</si>
  <si>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</si>
  <si>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</si>
  <si>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</si>
  <si>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</si>
  <si>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</si>
  <si>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</si>
  <si>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</si>
  <si>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</si>
  <si>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</si>
  <si>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</si>
  <si>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</si>
  <si>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</si>
  <si>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</si>
  <si>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</si>
  <si>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</si>
  <si>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</si>
  <si>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</si>
  <si>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</si>
  <si>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</si>
  <si>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</si>
  <si>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</si>
  <si>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</si>
  <si>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</si>
  <si>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</si>
  <si>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</si>
  <si>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</si>
  <si>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</si>
  <si>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</si>
  <si>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</si>
  <si>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</si>
  <si>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</si>
  <si>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</si>
  <si>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</si>
  <si>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</si>
  <si>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</si>
  <si>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</si>
  <si>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</si>
  <si>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</si>
  <si>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</si>
  <si>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</si>
  <si>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</si>
  <si>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</si>
  <si>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</si>
  <si>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</si>
  <si>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</si>
  <si>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</si>
  <si>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</si>
  <si>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</si>
  <si>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</si>
  <si>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</si>
  <si>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</si>
  <si>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</si>
  <si>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</si>
  <si>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</si>
  <si>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</si>
  <si>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</si>
  <si>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</si>
  <si>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</si>
  <si>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</si>
  <si>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</si>
  <si>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99846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</si>
  <si>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</si>
  <si>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</si>
  <si>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</si>
  <si>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</si>
  <si>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</si>
  <si>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</si>
  <si>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</si>
  <si>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</si>
  <si>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</si>
  <si>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</si>
  <si>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</si>
  <si>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</si>
  <si>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</si>
  <si>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</si>
  <si>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99894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</si>
  <si>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</si>
  <si>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</si>
  <si>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</si>
  <si>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</si>
  <si>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</si>
  <si>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</si>
  <si>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</si>
  <si>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</si>
  <si>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</si>
  <si>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</si>
  <si>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</si>
  <si>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</si>
  <si>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PROC- 8781</t>
  </si>
  <si>
    <t>SORD-2526-00808</t>
  </si>
  <si>
    <t>FG WH49</t>
  </si>
  <si>
    <t>30</t>
  </si>
  <si>
    <t>SO3-2526-00090</t>
  </si>
  <si>
    <t>SO3-2526-00091</t>
  </si>
  <si>
    <t>SO3-2526-00097</t>
  </si>
  <si>
    <t>35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</si>
  <si>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</si>
  <si>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</si>
  <si>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</si>
  <si>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</si>
  <si>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</si>
  <si>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</si>
  <si>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</si>
  <si>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</si>
  <si>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</si>
  <si>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</si>
  <si>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</si>
  <si>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</si>
  <si>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</si>
  <si>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</si>
  <si>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99725</t>
  </si>
  <si>
    <t>99710</t>
  </si>
  <si>
    <t>90856</t>
  </si>
  <si>
    <t>99830</t>
  </si>
  <si>
    <t>PROC- 0744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</si>
</sst>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0"/>
      <color theme="1"/>
      <name val="Cambria"/>
      <charset val="134"/>
      <scheme val="major"/>
    </font>
    <font>
      <sz val="11"/>
      <color rgb="FF9C6500"/>
      <name val="Calibri"/>
      <charset val="134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176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theme/theme1.xml" Type="http://schemas.openxmlformats.org/officeDocument/2006/relationships/theme"/><Relationship Id="rId57" Target="styles.xml" Type="http://schemas.openxmlformats.org/officeDocument/2006/relationships/styles"/><Relationship Id="rId58" Target="sharedStrings.xml" Type="http://schemas.openxmlformats.org/officeDocument/2006/relationships/sharedStrings"/><Relationship Id="rId59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70" t="s">
        <v>0</v>
      </c>
      <c r="B3" s="170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216</v>
      </c>
      <c r="AH5" s="9">
        <f>AG5-AF5</f>
        <v>-15</v>
      </c>
      <c r="AI5" s="10" t="s">
        <v>172</v>
      </c>
      <c r="AJ5" s="10" t="s">
        <v>173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217</v>
      </c>
      <c r="AH6" s="9">
        <f>AG6-AF6</f>
        <v>9490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70" t="s">
        <v>0</v>
      </c>
      <c r="B3" s="170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144</v>
      </c>
      <c r="C5" s="10">
        <v>0</v>
      </c>
      <c r="D5" s="37" t="s">
        <v>144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184</v>
      </c>
      <c r="AH5" s="9">
        <f>AG5-AF5</f>
        <v>82574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185</v>
      </c>
      <c r="AH6" s="9">
        <f>AG6-AF6</f>
        <v>9657.5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70" t="s">
        <v>0</v>
      </c>
      <c r="B3" s="170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9645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202</v>
      </c>
      <c r="AH6" s="9">
        <f>AG6-AF6</f>
        <v>9950.6589999999997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70" t="s">
        <v>0</v>
      </c>
      <c r="B3" s="170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177</v>
      </c>
      <c r="AH5" s="9">
        <f>AG5-AF5</f>
        <v>9745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176</v>
      </c>
      <c r="AH6" s="9">
        <f>AG6-AF6</f>
        <v>9880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70" t="s">
        <v>0</v>
      </c>
      <c r="B3" s="170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9717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9865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70" t="s">
        <v>0</v>
      </c>
      <c r="B3" s="170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9795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180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188</v>
      </c>
      <c r="AH6" s="9">
        <f>AG6-AF6</f>
        <v>9900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187</v>
      </c>
      <c r="AH5" s="9">
        <f>AG5-AF5</f>
        <v>9703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9852.5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70" t="s">
        <v>0</v>
      </c>
      <c r="B3" s="170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203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187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205</v>
      </c>
      <c r="AH5" s="9">
        <f>AG5-AF5</f>
        <v>9805</v>
      </c>
      <c r="AI5" s="10" t="s">
        <v>172</v>
      </c>
      <c r="AJ5" s="10" t="s">
        <v>173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183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193</v>
      </c>
      <c r="AH6" s="9">
        <f>AG6-AF6</f>
        <v>9905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70" t="s">
        <v>0</v>
      </c>
      <c r="B3" s="170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9775</v>
      </c>
      <c r="AI5" s="10" t="s">
        <v>172</v>
      </c>
      <c r="AJ5" s="10" t="s">
        <v>173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174</v>
      </c>
      <c r="AH6" s="9">
        <f>AG6-AF6</f>
        <v>9890</v>
      </c>
      <c r="AI6" s="10" t="s">
        <v>172</v>
      </c>
      <c r="AJ6" s="10" t="s">
        <v>173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70" t="s">
        <v>0</v>
      </c>
      <c r="B3" s="170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782</v>
      </c>
      <c r="AI5" s="10" t="s">
        <v>172</v>
      </c>
      <c r="AJ5" s="10" t="s">
        <v>173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70" t="s">
        <v>0</v>
      </c>
      <c r="B3" s="170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198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70" t="s">
        <v>0</v>
      </c>
      <c r="B3" s="170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34">
        <f>AG5-AF5</f>
        <v>65983</v>
      </c>
      <c r="AI5" s="10" t="s">
        <v>172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70" t="s">
        <v>0</v>
      </c>
      <c r="B3" s="170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65248</v>
      </c>
      <c r="AI5" s="10" t="s">
        <v>172</v>
      </c>
      <c r="AJ5" s="10" t="s">
        <v>173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99984</v>
      </c>
      <c r="AI6" s="10" t="s">
        <v>172</v>
      </c>
      <c r="AJ6" s="10" t="s">
        <v>173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99983</v>
      </c>
      <c r="AI7" s="10" t="s">
        <v>172</v>
      </c>
      <c r="AJ7" s="10" t="s">
        <v>173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99982</v>
      </c>
      <c r="AI8" s="10" t="s">
        <v>172</v>
      </c>
      <c r="AJ8" s="10" t="s">
        <v>173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99981</v>
      </c>
      <c r="AI9" s="10" t="s">
        <v>172</v>
      </c>
      <c r="AJ9" s="10" t="s">
        <v>173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99980</v>
      </c>
      <c r="AI10" s="10" t="s">
        <v>172</v>
      </c>
      <c r="AJ10" s="10" t="s">
        <v>173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99979</v>
      </c>
      <c r="AI11" s="10" t="s">
        <v>172</v>
      </c>
      <c r="AJ11" s="10" t="s">
        <v>173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99978</v>
      </c>
      <c r="AI12" s="10" t="s">
        <v>172</v>
      </c>
      <c r="AJ12" s="10" t="s">
        <v>173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99977</v>
      </c>
      <c r="AI13" s="10" t="s">
        <v>172</v>
      </c>
      <c r="AJ13" s="10" t="s">
        <v>173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99976</v>
      </c>
      <c r="AI14" s="10" t="s">
        <v>172</v>
      </c>
      <c r="AJ14" s="10" t="s">
        <v>173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70" t="s">
        <v>0</v>
      </c>
      <c r="B3" s="170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242</v>
      </c>
      <c r="AH5" s="33">
        <f>AG5-AF5</f>
        <v>99656</v>
      </c>
      <c r="AI5" s="10" t="s">
        <v>172</v>
      </c>
      <c r="AJ5" s="10" t="s">
        <v>173</v>
      </c>
      <c r="AK5" s="33">
        <f>AH5</f>
        <v>99656</v>
      </c>
      <c r="AL5" s="33">
        <f>AK5+G5</f>
        <v>99671</v>
      </c>
      <c r="AM5" s="28" t="s">
        <v>66</v>
      </c>
      <c r="AN5" s="67" t="s">
        <v>175</v>
      </c>
      <c r="AO5" s="29" t="s">
        <v>243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70" t="s">
        <v>0</v>
      </c>
      <c r="B3" s="170"/>
      <c r="C3" s="132"/>
      <c r="D3" s="3">
        <v>4</v>
      </c>
      <c r="E3" s="4" t="s">
        <v>168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169</v>
      </c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99861</v>
      </c>
      <c r="AI5" s="10" t="s">
        <v>172</v>
      </c>
      <c r="AJ5" s="10" t="s">
        <v>173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70" t="s">
        <v>0</v>
      </c>
      <c r="B3" s="170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191</v>
      </c>
      <c r="AH5" s="9">
        <f>AG5-AF5</f>
        <v>80699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192</v>
      </c>
      <c r="AH5" s="9">
        <f>AG5-AF5</f>
        <v>80704</v>
      </c>
      <c r="AI5" s="10" t="s">
        <v>172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70" t="s">
        <v>0</v>
      </c>
      <c r="B3" s="170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75</v>
      </c>
      <c r="AJ5" s="10" t="s">
        <v>173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70" t="s">
        <v>0</v>
      </c>
      <c r="B3" s="170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80699</v>
      </c>
      <c r="AI5" s="10" t="s">
        <v>172</v>
      </c>
      <c r="AJ5" s="10" t="s">
        <v>173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70" t="s">
        <v>0</v>
      </c>
      <c r="B3" s="170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190</v>
      </c>
      <c r="AH5" s="9">
        <f>AG5-AF5</f>
        <v>63733</v>
      </c>
      <c r="AI5" s="10" t="s">
        <v>172</v>
      </c>
      <c r="AJ5" s="10" t="s">
        <v>173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70" t="s">
        <v>0</v>
      </c>
      <c r="B3" s="170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193</v>
      </c>
      <c r="AH5" s="9">
        <f>AG5-AF5</f>
        <v>9630</v>
      </c>
      <c r="AI5" s="10" t="s">
        <v>172</v>
      </c>
      <c r="AJ5" s="10" t="s">
        <v>173</v>
      </c>
      <c r="AK5" s="66" t="s">
        <v>72</v>
      </c>
      <c r="AL5" s="59"/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194</v>
      </c>
      <c r="AH6" s="9">
        <f>AG6-AF6</f>
        <v>78219</v>
      </c>
      <c r="AI6" s="10" t="s">
        <v>172</v>
      </c>
      <c r="AJ6" s="10" t="s">
        <v>173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topLeftCell="AE1" workbookViewId="0">
      <selection activeCell="AK23" sqref="AK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70" t="s">
        <v>0</v>
      </c>
      <c r="B3" s="170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L6" sqref="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70" t="s">
        <v>0</v>
      </c>
      <c r="B3" s="170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199</v>
      </c>
      <c r="AL5" s="72" t="s">
        <v>200</v>
      </c>
    </row>
    <row r="6" spans="1:38" ht="15">
      <c r="A6" s="10">
        <v>2</v>
      </c>
      <c r="B6" s="42" t="s">
        <v>144</v>
      </c>
      <c r="C6" s="10">
        <v>0</v>
      </c>
      <c r="D6" s="42" t="s">
        <v>144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199</v>
      </c>
      <c r="AL6" s="66" t="s">
        <v>200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70" t="s">
        <v>0</v>
      </c>
      <c r="B3" s="170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70" t="s">
        <v>0</v>
      </c>
      <c r="B3" s="170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70" t="s">
        <v>0</v>
      </c>
      <c r="B3" s="170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172</v>
      </c>
      <c r="AJ5" s="10" t="s">
        <v>173</v>
      </c>
      <c r="AK5" s="72" t="s">
        <v>195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70" t="s">
        <v>0</v>
      </c>
      <c r="B3" s="170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241</v>
      </c>
      <c r="AH5" s="34">
        <f>AG5-AF5</f>
        <v>49586</v>
      </c>
      <c r="AI5" s="10" t="s">
        <v>220</v>
      </c>
      <c r="AJ5" s="10" t="s">
        <v>173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71" t="s">
        <v>39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70" t="s">
        <v>0</v>
      </c>
      <c r="B3" s="170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240</v>
      </c>
      <c r="AH5" s="34">
        <f>AG5-AF5</f>
        <v>65983</v>
      </c>
      <c r="AI5" s="10" t="s">
        <v>220</v>
      </c>
      <c r="AJ5" s="10" t="s">
        <v>173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1" t="s">
        <v>129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t="s" s="29">
        <v>244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71" t="s">
        <v>130</v>
      </c>
      <c r="B1" s="171"/>
      <c r="C1" s="171"/>
      <c r="D1" s="171"/>
    </row>
    <row r="2" spans="1:5" ht="18">
      <c r="D2" s="112"/>
    </row>
    <row r="3" spans="1:5" ht="19.899999999999999" customHeight="1">
      <c r="A3" s="170"/>
      <c r="B3" s="170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239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tabSelected="1"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222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42" t="s">
        <v>57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226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136</v>
      </c>
      <c r="C5" s="114" t="s">
        <v>139</v>
      </c>
      <c r="D5" s="10" t="s">
        <v>124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140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9"/>
    </row>
    <row r="3" spans="1:16" ht="19.899999999999999" customHeight="1">
      <c r="A3" s="170"/>
      <c r="B3" s="170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145</v>
      </c>
      <c r="C5" s="114" t="s">
        <v>139</v>
      </c>
      <c r="D5" s="10" t="s">
        <v>147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65"/>
    </row>
    <row r="3" spans="1:16" ht="19.899999999999999" customHeight="1">
      <c r="A3" s="170"/>
      <c r="B3" s="170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223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71" t="s">
        <v>135</v>
      </c>
      <c r="B1" s="171"/>
      <c r="C1" s="171"/>
      <c r="D1" s="171"/>
    </row>
    <row r="2" spans="1:16" ht="18">
      <c r="D2" s="112"/>
    </row>
    <row r="3" spans="1:16" ht="19.899999999999999" customHeight="1">
      <c r="A3" s="170"/>
      <c r="B3" s="170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114" t="s">
        <v>138</v>
      </c>
      <c r="C5" s="114" t="s">
        <v>139</v>
      </c>
      <c r="D5" s="10" t="s">
        <v>132</v>
      </c>
      <c r="E5" s="67" t="s">
        <v>134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159</v>
      </c>
      <c r="O5" s="123">
        <v>88363221</v>
      </c>
      <c r="P5" s="10" t="s">
        <v>215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71" t="s">
        <v>135</v>
      </c>
      <c r="B1" s="171"/>
      <c r="C1" s="171"/>
      <c r="D1" s="171"/>
    </row>
    <row r="2" spans="1:15" ht="18">
      <c r="D2" s="112"/>
    </row>
    <row r="3" spans="1:15" ht="19.899999999999999" customHeight="1">
      <c r="A3" s="170"/>
      <c r="B3" s="170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132</v>
      </c>
      <c r="E5" s="67" t="s">
        <v>134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159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146</v>
      </c>
      <c r="B1" s="171"/>
      <c r="C1" s="171"/>
      <c r="D1" s="171"/>
    </row>
    <row r="2" spans="1:16" ht="18">
      <c r="D2" s="168"/>
    </row>
    <row r="3" spans="1:16" ht="19.899999999999999" customHeight="1">
      <c r="A3" s="170"/>
      <c r="B3" s="170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71" t="s">
        <v>146</v>
      </c>
      <c r="B1" s="171"/>
      <c r="C1" s="171"/>
      <c r="D1" s="171"/>
    </row>
    <row r="2" spans="1:16" ht="18">
      <c r="D2" s="121"/>
    </row>
    <row r="3" spans="1:16" ht="19.899999999999999" customHeight="1">
      <c r="A3" s="170"/>
      <c r="B3" s="170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137</v>
      </c>
    </row>
    <row r="5" spans="1:16" ht="15">
      <c r="A5" s="10">
        <v>1</v>
      </c>
      <c r="B5" s="42" t="s">
        <v>145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140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71" t="s">
        <v>143</v>
      </c>
      <c r="B1" s="171"/>
      <c r="C1" s="171"/>
      <c r="D1" s="171"/>
    </row>
    <row r="2" spans="1:15" ht="18">
      <c r="D2" s="117"/>
    </row>
    <row r="3" spans="1:15" ht="19.899999999999999" customHeight="1">
      <c r="A3" s="170"/>
      <c r="B3" s="170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</row>
    <row r="5" spans="1:15" ht="15">
      <c r="A5" s="10">
        <v>1</v>
      </c>
      <c r="B5" s="42" t="s">
        <v>142</v>
      </c>
      <c r="C5" s="42" t="s">
        <v>57</v>
      </c>
      <c r="D5" s="10" t="s">
        <v>141</v>
      </c>
      <c r="E5" s="67" t="s">
        <v>134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6" sqref="T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221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40.5</v>
      </c>
      <c r="P5" s="34">
        <f>IF($D$3=1,ROUND(((K5*N5)/2),2),0)</f>
        <v>40.5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P25" sqref="P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134</v>
      </c>
      <c r="F5" s="29" t="s">
        <v>127</v>
      </c>
      <c r="G5" s="29" t="s">
        <v>221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171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54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40.5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40.5</v>
      </c>
      <c r="S5" s="34">
        <f>ROUND(O5+P5+Q5+R5,2)</f>
        <v>81</v>
      </c>
      <c r="T5" s="34">
        <f>ROUND(IF($J$3=1, K5+S5, K5),2)</f>
        <v>531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topLeftCell="I1" workbookViewId="0">
      <selection activeCell="R6" sqref="R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170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4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225</v>
      </c>
      <c r="H5" s="29" t="s">
        <v>160</v>
      </c>
      <c r="I5" s="10">
        <f>ROUND(C5*H5/F5,3)</f>
        <v>12.5</v>
      </c>
      <c r="J5" s="10">
        <f>I5*(G5/C5)</f>
        <v>30</v>
      </c>
      <c r="K5" s="10">
        <f>I5*G5</f>
        <v>750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67.5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67.5</v>
      </c>
      <c r="S5" s="34">
        <f>ROUND(O5+P5+Q5+R5,2)</f>
        <v>135</v>
      </c>
      <c r="T5" s="34">
        <f>ROUND(IF($J$3=1, K5+S5, K5),2)</f>
        <v>750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topLeftCell="F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139</v>
      </c>
      <c r="D5" s="10" t="s">
        <v>124</v>
      </c>
      <c r="E5" s="67" t="s">
        <v>134</v>
      </c>
      <c r="F5" s="29" t="s">
        <v>127</v>
      </c>
      <c r="G5" s="29" t="s">
        <v>225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81</v>
      </c>
      <c r="R5" s="34">
        <f>IF($D$3=4,ROUND((K5*N5),2),0)</f>
        <v>0</v>
      </c>
      <c r="S5" s="34">
        <f>ROUND(O5+P5+Q5+R5,2)</f>
        <v>81</v>
      </c>
      <c r="T5" s="34">
        <f>ROUND(IF($J$3=1, K5+S5, K5),2)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topLeftCell="J1"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70" t="s">
        <v>0</v>
      </c>
      <c r="B3" s="170"/>
      <c r="C3" s="128"/>
      <c r="D3" s="3">
        <v>1</v>
      </c>
      <c r="E3" s="4" t="s">
        <v>168</v>
      </c>
      <c r="F3" s="5"/>
      <c r="G3" s="5"/>
      <c r="H3" s="5"/>
      <c r="I3" s="6"/>
      <c r="J3" s="6">
        <v>1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225</v>
      </c>
      <c r="H5" s="29" t="s">
        <v>160</v>
      </c>
      <c r="I5" s="10">
        <f>ROUND(C5*H5/F5,3)</f>
        <v>25</v>
      </c>
      <c r="J5" s="10">
        <f>I5*(G5/C5)</f>
        <v>25</v>
      </c>
      <c r="K5" s="10">
        <f>I5*G5</f>
        <v>625</v>
      </c>
      <c r="L5" s="29" t="s">
        <v>32</v>
      </c>
      <c r="M5" s="33">
        <v>88363221</v>
      </c>
      <c r="N5" s="22">
        <v>0.18</v>
      </c>
      <c r="O5" s="34">
        <f>IF($D$3=1,ROUND(((K5*N5)/2),2),0)</f>
        <v>56.25</v>
      </c>
      <c r="P5" s="34">
        <f>IF($D$3=1,ROUND(((K5*N5)/2),2),0)</f>
        <v>56.25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112.5</v>
      </c>
      <c r="T5" s="34">
        <f>ROUND(IF($J$3=1, K5+S5, K5),2)</f>
        <v>737.5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71" t="s">
        <v>121</v>
      </c>
      <c r="B1" s="171"/>
      <c r="C1" s="171"/>
      <c r="D1" s="171"/>
    </row>
    <row r="2" spans="1:17" ht="18">
      <c r="D2" s="109"/>
    </row>
    <row r="3" spans="1:17" ht="19.899999999999999" customHeight="1">
      <c r="A3" s="170"/>
      <c r="B3" s="170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15" t="s">
        <v>125</v>
      </c>
      <c r="G4" s="115" t="s">
        <v>126</v>
      </c>
      <c r="H4" s="115" t="s">
        <v>148</v>
      </c>
      <c r="I4" s="115" t="s">
        <v>149</v>
      </c>
      <c r="J4" s="115" t="s">
        <v>150</v>
      </c>
      <c r="K4" s="115" t="s">
        <v>151</v>
      </c>
      <c r="L4" s="115" t="s">
        <v>152</v>
      </c>
      <c r="M4" s="115" t="s">
        <v>153</v>
      </c>
      <c r="N4" s="115" t="s">
        <v>158</v>
      </c>
      <c r="O4" s="115" t="s">
        <v>89</v>
      </c>
      <c r="P4" s="115" t="s">
        <v>154</v>
      </c>
      <c r="Q4" s="115" t="s">
        <v>155</v>
      </c>
    </row>
    <row r="5" spans="1:17" ht="15">
      <c r="A5" s="10">
        <v>1</v>
      </c>
      <c r="B5" s="42" t="s">
        <v>122</v>
      </c>
      <c r="C5" s="42" t="s">
        <v>139</v>
      </c>
      <c r="D5" s="10" t="s">
        <v>124</v>
      </c>
      <c r="E5" s="67" t="s">
        <v>134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156</v>
      </c>
      <c r="Q5" s="10" t="s">
        <v>157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71" t="s">
        <v>227</v>
      </c>
      <c r="B1" s="171"/>
      <c r="C1" s="171"/>
      <c r="D1" s="171"/>
    </row>
    <row r="2" spans="1:8" ht="18">
      <c r="D2" s="169"/>
    </row>
    <row r="3" spans="1:8" ht="19.899999999999999" customHeight="1">
      <c r="A3" s="172" t="s">
        <v>236</v>
      </c>
      <c r="B3" s="172"/>
      <c r="C3" s="172"/>
      <c r="D3" s="172"/>
      <c r="E3" s="173" t="s">
        <v>238</v>
      </c>
      <c r="F3" s="173"/>
    </row>
    <row r="4" spans="1:8" s="31" customFormat="1">
      <c r="A4" s="11" t="s">
        <v>230</v>
      </c>
      <c r="B4" s="11" t="s">
        <v>231</v>
      </c>
      <c r="C4" s="11" t="s">
        <v>232</v>
      </c>
      <c r="D4" s="11" t="s">
        <v>234</v>
      </c>
      <c r="E4" s="11" t="s">
        <v>228</v>
      </c>
      <c r="F4" s="11" t="s">
        <v>229</v>
      </c>
    </row>
    <row r="5" spans="1:8" ht="15">
      <c r="A5" s="122" t="s">
        <v>235</v>
      </c>
      <c r="B5" s="42" t="s">
        <v>233</v>
      </c>
      <c r="C5" s="42" t="s">
        <v>233</v>
      </c>
      <c r="D5" s="10">
        <v>11</v>
      </c>
      <c r="E5" s="122" t="s">
        <v>237</v>
      </c>
      <c r="F5" s="114" t="s">
        <v>160</v>
      </c>
    </row>
    <row r="7" spans="1:8">
      <c r="H7" s="36"/>
    </row>
  </sheetData>
  <mergeCells count="3">
    <mergeCell ref="A1:D1"/>
    <mergeCell ref="A3:D3"/>
    <mergeCell ref="E3:F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71" t="s">
        <v>164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70" t="s">
        <v>0</v>
      </c>
      <c r="B3" s="170"/>
      <c r="C3" s="130"/>
      <c r="D3" s="3">
        <v>2</v>
      </c>
      <c r="E3" s="4" t="s">
        <v>168</v>
      </c>
      <c r="F3" s="5"/>
      <c r="G3" s="5"/>
      <c r="H3" s="5"/>
      <c r="I3" s="6"/>
      <c r="J3" s="6">
        <v>2</v>
      </c>
      <c r="K3" s="7" t="s">
        <v>161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133</v>
      </c>
      <c r="F4" s="126" t="s">
        <v>125</v>
      </c>
      <c r="G4" s="126" t="s">
        <v>126</v>
      </c>
      <c r="H4" s="126" t="s">
        <v>148</v>
      </c>
      <c r="I4" s="115" t="s">
        <v>149</v>
      </c>
      <c r="J4" s="115" t="s">
        <v>150</v>
      </c>
      <c r="K4" s="115" t="s">
        <v>151</v>
      </c>
      <c r="L4" s="127" t="s">
        <v>158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169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163</v>
      </c>
      <c r="D5" s="10" t="s">
        <v>124</v>
      </c>
      <c r="E5" s="67" t="s">
        <v>134</v>
      </c>
      <c r="F5" s="29" t="s">
        <v>127</v>
      </c>
      <c r="G5" s="29" t="s">
        <v>167</v>
      </c>
      <c r="H5" s="29" t="s">
        <v>160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74" t="s">
        <v>39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34"/>
      <c r="AB1" s="134"/>
      <c r="AC1" s="134"/>
      <c r="AD1" s="135"/>
      <c r="AE1" s="135"/>
      <c r="AF1" s="135"/>
    </row>
    <row r="2" spans="1:38" ht="18">
      <c r="A2" s="134" t="s">
        <v>206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175" t="s">
        <v>0</v>
      </c>
      <c r="B3" s="175"/>
      <c r="C3" s="138"/>
      <c r="D3" s="139">
        <v>2</v>
      </c>
      <c r="E3" s="140" t="s">
        <v>207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208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184</v>
      </c>
      <c r="AH5" s="9">
        <f>AG5-AF5</f>
        <v>99896</v>
      </c>
      <c r="AI5" s="10" t="s">
        <v>172</v>
      </c>
      <c r="AJ5" s="10" t="s">
        <v>173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209</v>
      </c>
      <c r="C6" s="155">
        <v>0</v>
      </c>
      <c r="D6" s="32" t="s">
        <v>209</v>
      </c>
      <c r="E6" s="155" t="s">
        <v>159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208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185</v>
      </c>
      <c r="AH6" s="9">
        <f>AG6-AF6</f>
        <v>99966.667000000001</v>
      </c>
      <c r="AI6" s="10" t="s">
        <v>172</v>
      </c>
      <c r="AJ6" s="10" t="s">
        <v>173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210</v>
      </c>
      <c r="R7" s="161"/>
      <c r="S7" s="161"/>
      <c r="T7" s="161"/>
      <c r="U7" s="159"/>
      <c r="V7" s="159"/>
      <c r="W7" s="160"/>
      <c r="X7" s="159"/>
      <c r="Y7" s="159"/>
      <c r="Z7" s="161" t="s">
        <v>211</v>
      </c>
      <c r="AA7" s="161"/>
      <c r="AB7" s="162">
        <f>SUM(AB5:AB6)</f>
        <v>45016.36</v>
      </c>
      <c r="AC7" s="161" t="s">
        <v>212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</vt:lpstr>
      <vt:lpstr>SourceSFCode</vt:lpstr>
      <vt:lpstr>SCOCharges</vt:lpstr>
      <vt:lpstr>SOtoSIDomestic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2025-12-12T04:45:42Z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