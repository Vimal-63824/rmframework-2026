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  <Override ContentType="application/vnd.openxmlformats-officedocument.spreadsheetml.worksheet+xml" PartName="/xl/worksheets/sheet82.xml"/>
  <Override ContentType="application/vnd.openxmlformats-officedocument.spreadsheetml.worksheet+xml" PartName="/xl/worksheets/sheet83.xml"/>
  <Override ContentType="application/vnd.openxmlformats-officedocument.spreadsheetml.worksheet+xml" PartName="/xl/worksheets/sheet84.xml"/>
  <Override ContentType="application/vnd.openxmlformats-officedocument.spreadsheetml.worksheet+xml" PartName="/xl/worksheets/sheet85.xml"/>
  <Override ContentType="application/vnd.openxmlformats-officedocument.spreadsheetml.worksheet+xml" PartName="/xl/worksheets/sheet86.xml"/>
  <Override ContentType="application/vnd.openxmlformats-officedocument.spreadsheetml.worksheet+xml" PartName="/xl/worksheets/sheet87.xml"/>
  <Override ContentType="application/vnd.openxmlformats-officedocument.spreadsheetml.worksheet+xml" PartName="/xl/worksheets/sheet88.xml"/>
  <Override ContentType="application/vnd.openxmlformats-officedocument.spreadsheetml.worksheet+xml" PartName="/xl/worksheets/sheet89.xml"/>
  <Override ContentType="application/vnd.openxmlformats-officedocument.spreadsheetml.worksheet+xml" PartName="/xl/worksheets/sheet90.xml"/>
  <Override ContentType="application/vnd.openxmlformats-officedocument.spreadsheetml.worksheet+xml" PartName="/xl/worksheets/sheet91.xml"/>
  <Override ContentType="application/vnd.openxmlformats-officedocument.spreadsheetml.worksheet+xml" PartName="/xl/worksheets/sheet92.xml"/>
  <Override ContentType="application/vnd.openxmlformats-officedocument.spreadsheetml.worksheet+xml" PartName="/xl/worksheets/sheet93.xml"/>
  <Override ContentType="application/vnd.openxmlformats-officedocument.spreadsheetml.worksheet+xml" PartName="/xl/worksheets/sheet94.xml"/>
  <Override ContentType="application/vnd.openxmlformats-officedocument.spreadsheetml.worksheet+xml" PartName="/xl/worksheets/sheet95.xml"/>
  <Override ContentType="application/vnd.openxmlformats-officedocument.spreadsheetml.worksheet+xml" PartName="/xl/worksheets/sheet96.xml"/>
  <Override ContentType="application/vnd.openxmlformats-officedocument.spreadsheetml.worksheet+xml" PartName="/xl/worksheets/sheet97.xml"/>
  <Override ContentType="application/vnd.openxmlformats-officedocument.spreadsheetml.worksheet+xml" PartName="/xl/worksheets/sheet98.xml"/>
  <Override ContentType="application/vnd.openxmlformats-officedocument.spreadsheetml.worksheet+xml" PartName="/xl/worksheets/sheet9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101.xml"/>
  <Override ContentType="application/vnd.openxmlformats-officedocument.spreadsheetml.worksheet+xml" PartName="/xl/worksheets/sheet102.xml"/>
  <Override ContentType="application/vnd.openxmlformats-officedocument.spreadsheetml.worksheet+xml" PartName="/xl/worksheets/sheet10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10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108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112.xml"/>
  <Override ContentType="application/vnd.openxmlformats-officedocument.spreadsheetml.worksheet+xml" PartName="/xl/worksheets/sheet113.xml"/>
  <Override ContentType="application/vnd.openxmlformats-officedocument.spreadsheetml.worksheet+xml" PartName="/xl/worksheets/sheet114.xml"/>
  <Override ContentType="application/vnd.openxmlformats-officedocument.spreadsheetml.worksheet+xml" PartName="/xl/worksheets/sheet115.xml"/>
  <Override ContentType="application/vnd.openxmlformats-officedocument.spreadsheetml.worksheet+xml" PartName="/xl/worksheets/sheet116.xml"/>
  <Override ContentType="application/vnd.openxmlformats-officedocument.spreadsheetml.worksheet+xml" PartName="/xl/worksheets/sheet117.xml"/>
  <Override ContentType="application/vnd.openxmlformats-officedocument.spreadsheetml.worksheet+xml" PartName="/xl/worksheets/sheet118.xml"/>
  <Override ContentType="application/vnd.openxmlformats-officedocument.spreadsheetml.worksheet+xml" PartName="/xl/worksheets/sheet119.xml"/>
  <Override ContentType="application/vnd.openxmlformats-officedocument.spreadsheetml.worksheet+xml" PartName="/xl/worksheets/sheet120.xml"/>
  <Override ContentType="application/vnd.openxmlformats-officedocument.spreadsheetml.worksheet+xml" PartName="/xl/worksheets/sheet121.xml"/>
  <Override ContentType="application/vnd.openxmlformats-officedocument.spreadsheetml.worksheet+xml" PartName="/xl/worksheets/sheet122.xml"/>
  <Override ContentType="application/vnd.openxmlformats-officedocument.spreadsheetml.worksheet+xml" PartName="/xl/worksheets/sheet123.xml"/>
  <Override ContentType="application/vnd.openxmlformats-officedocument.spreadsheetml.worksheet+xml" PartName="/xl/worksheets/sheet124.xml"/>
  <Override ContentType="application/vnd.openxmlformats-officedocument.spreadsheetml.worksheet+xml" PartName="/xl/worksheets/sheet125.xml"/>
  <Override ContentType="application/vnd.openxmlformats-officedocument.spreadsheetml.worksheet+xml" PartName="/xl/worksheets/sheet126.xml"/>
  <Override ContentType="application/vnd.openxmlformats-officedocument.spreadsheetml.worksheet+xml" PartName="/xl/worksheets/sheet127.xml"/>
  <Override ContentType="application/vnd.openxmlformats-officedocument.spreadsheetml.worksheet+xml" PartName="/xl/worksheets/sheet128.xml"/>
  <Override ContentType="application/vnd.openxmlformats-officedocument.spreadsheetml.worksheet+xml" PartName="/xl/worksheets/sheet129.xml"/>
  <Override ContentType="application/vnd.openxmlformats-officedocument.spreadsheetml.worksheet+xml" PartName="/xl/worksheets/sheet130.xml"/>
  <Override ContentType="application/vnd.openxmlformats-officedocument.spreadsheetml.worksheet+xml" PartName="/xl/worksheets/sheet131.xml"/>
  <Override ContentType="application/vnd.openxmlformats-officedocument.spreadsheetml.worksheet+xml" PartName="/xl/worksheets/sheet132.xml"/>
  <Override ContentType="application/vnd.openxmlformats-officedocument.spreadsheetml.worksheet+xml" PartName="/xl/worksheets/sheet133.xml"/>
  <Override ContentType="application/vnd.openxmlformats-officedocument.spreadsheetml.worksheet+xml" PartName="/xl/worksheets/sheet134.xml"/>
  <Override ContentType="application/vnd.openxmlformats-officedocument.spreadsheetml.worksheet+xml" PartName="/xl/worksheets/sheet135.xml"/>
  <Override ContentType="application/vnd.openxmlformats-officedocument.spreadsheetml.worksheet+xml" PartName="/xl/worksheets/sheet136.xml"/>
  <Override ContentType="application/vnd.openxmlformats-officedocument.spreadsheetml.worksheet+xml" PartName="/xl/worksheets/sheet137.xml"/>
  <Override ContentType="application/vnd.openxmlformats-officedocument.spreadsheetml.worksheet+xml" PartName="/xl/worksheets/sheet138.xml"/>
  <Override ContentType="application/vnd.openxmlformats-officedocument.spreadsheetml.worksheet+xml" PartName="/xl/worksheets/sheet139.xml"/>
  <Override ContentType="application/vnd.openxmlformats-officedocument.spreadsheetml.worksheet+xml" PartName="/xl/worksheets/sheet140.xml"/>
  <Override ContentType="application/vnd.openxmlformats-officedocument.spreadsheetml.worksheet+xml" PartName="/xl/worksheets/sheet141.xml"/>
  <Override ContentType="application/vnd.openxmlformats-officedocument.spreadsheetml.worksheet+xml" PartName="/xl/worksheets/sheet142.xml"/>
  <Override ContentType="application/vnd.openxmlformats-officedocument.spreadsheetml.worksheet+xml" PartName="/xl/worksheets/sheet143.xml"/>
  <Override ContentType="application/vnd.openxmlformats-officedocument.spreadsheetml.worksheet+xml" PartName="/xl/worksheets/sheet144.xml"/>
  <Override ContentType="application/vnd.openxmlformats-officedocument.spreadsheetml.worksheet+xml" PartName="/xl/worksheets/sheet145.xml"/>
  <Override ContentType="application/vnd.openxmlformats-officedocument.spreadsheetml.worksheet+xml" PartName="/xl/worksheets/sheet146.xml"/>
  <Override ContentType="application/vnd.openxmlformats-officedocument.spreadsheetml.worksheet+xml" PartName="/xl/worksheets/sheet147.xml"/>
  <Override ContentType="application/vnd.openxmlformats-officedocument.spreadsheetml.worksheet+xml" PartName="/xl/worksheets/sheet148.xml"/>
  <Override ContentType="application/vnd.openxmlformats-officedocument.spreadsheetml.worksheet+xml" PartName="/xl/worksheets/sheet149.xml"/>
  <Override ContentType="application/vnd.openxmlformats-officedocument.spreadsheetml.worksheet+xml" PartName="/xl/worksheets/sheet150.xml"/>
  <Override ContentType="application/vnd.openxmlformats-officedocument.spreadsheetml.worksheet+xml" PartName="/xl/worksheets/sheet151.xml"/>
  <Override ContentType="application/vnd.openxmlformats-officedocument.spreadsheetml.worksheet+xml" PartName="/xl/worksheets/sheet152.xml"/>
  <Override ContentType="application/vnd.openxmlformats-officedocument.spreadsheetml.worksheet+xml" PartName="/xl/worksheets/sheet153.xml"/>
  <Override ContentType="application/vnd.openxmlformats-officedocument.spreadsheetml.worksheet+xml" PartName="/xl/worksheets/sheet154.xml"/>
  <Override ContentType="application/vnd.openxmlformats-officedocument.spreadsheetml.worksheet+xml" PartName="/xl/worksheets/sheet15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0" yWindow="2520" windowWidth="15150" windowHeight="6540" firstSheet="136" activeTab="137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USDMulti" sheetId="52" r:id="rId27"/>
    <sheet name="BankPaymentUSDMPSB" sheetId="53" r:id="rId28"/>
    <sheet name="BankPaymentUSDMPMB" sheetId="54" r:id="rId29"/>
    <sheet name="BankPaymentUSDMPMBNR" sheetId="55" r:id="rId30"/>
    <sheet name="BPJournalMultiUSD" sheetId="164" r:id="rId31"/>
    <sheet name="BPJournalMPMIUSD" sheetId="165" r:id="rId32"/>
    <sheet name="BPJournalNRUSD" sheetId="166" r:id="rId33"/>
    <sheet name="BankPaymentChargesUSD" sheetId="68" r:id="rId34"/>
    <sheet name="BPJournalBankUSD" sheetId="167" r:id="rId35"/>
    <sheet name="BankPaymentAdv" sheetId="151" r:id="rId36"/>
    <sheet name="BPJournalINRAdvNR" sheetId="152" r:id="rId37"/>
    <sheet name="BankPaymentINR" sheetId="41" r:id="rId38"/>
    <sheet name="BankPaymentINRMulti" sheetId="46" r:id="rId39"/>
    <sheet name="BankPaymentINRMPMBNR" sheetId="50" r:id="rId40"/>
    <sheet name="BankPaymentINRMPMBMU" sheetId="120" r:id="rId41"/>
    <sheet name="BankPaymentINRMultiUnits" sheetId="121" r:id="rId42"/>
    <sheet name="BankPaymentINRMPMB" sheetId="49" r:id="rId43"/>
    <sheet name="BankPaymentINRMPSB" sheetId="48" r:id="rId44"/>
    <sheet name="BankPaymentUSD" sheetId="51" r:id="rId45"/>
    <sheet name="MultiGRN" sheetId="30" r:id="rId46"/>
    <sheet name="BankReceipt (2)" sheetId="42" r:id="rId47"/>
    <sheet name="BankReceiptAdv" sheetId="69" r:id="rId48"/>
    <sheet name="BankReceiptMultiNewRef" sheetId="38" r:id="rId49"/>
    <sheet name="JournalUSD" sheetId="74" r:id="rId50"/>
    <sheet name="JournalMultiUSD" sheetId="75" r:id="rId51"/>
    <sheet name="JournalMPMIUSD" sheetId="76" r:id="rId52"/>
    <sheet name="JournalNRUSD" sheetId="77" r:id="rId53"/>
    <sheet name="BankReceiptMultiNewRefUSD" sheetId="45" r:id="rId54"/>
    <sheet name="JournalINR" sheetId="78" r:id="rId55"/>
    <sheet name="JournalMultiINR" sheetId="79" r:id="rId56"/>
    <sheet name="JournalMPMIINR" sheetId="80" r:id="rId57"/>
    <sheet name="JournalNRINR" sheetId="81" r:id="rId58"/>
    <sheet name="BPJournalPDC" sheetId="100" r:id="rId59"/>
    <sheet name="JournalPDC" sheetId="82" r:id="rId60"/>
    <sheet name="BPJournalREVGSTTDS" sheetId="106" r:id="rId61"/>
    <sheet name="BPJournalREVGST" sheetId="102" r:id="rId62"/>
    <sheet name="JournalREVGST" sheetId="85" r:id="rId63"/>
    <sheet name="BankReceiptRevExpGST" sheetId="59" r:id="rId64"/>
    <sheet name="JournalREVUSD" sheetId="86" r:id="rId65"/>
    <sheet name="CRJournalREVGST" sheetId="93" r:id="rId66"/>
    <sheet name="CRJournalREV" sheetId="92" r:id="rId67"/>
    <sheet name="CPJournalREV" sheetId="117" r:id="rId68"/>
    <sheet name="CPJournalREVGST" sheetId="118" r:id="rId69"/>
    <sheet name="CPJournalREVGSTTDS" sheetId="119" r:id="rId70"/>
    <sheet name="BPJournalREV" sheetId="101" r:id="rId71"/>
    <sheet name="JournalREV" sheetId="84" r:id="rId72"/>
    <sheet name="JournalBankUSD" sheetId="87" r:id="rId73"/>
    <sheet name="BPJournalBankINR" sheetId="111" r:id="rId74"/>
    <sheet name="BPJournalBank" sheetId="105" r:id="rId75"/>
    <sheet name="JournalBank" sheetId="83" r:id="rId76"/>
    <sheet name="TDS CPJournalADV" sheetId="125" r:id="rId77"/>
    <sheet name="CPJournalADV" sheetId="123" r:id="rId78"/>
    <sheet name="TDS CPAdvance" sheetId="124" r:id="rId79"/>
    <sheet name="TDS CPAdvanceWithNewRef" sheetId="133" r:id="rId80"/>
    <sheet name="TDS CPJournalADVWithNewRef" sheetId="134" r:id="rId81"/>
    <sheet name="TDS CPAdvanceMultiNewRef" sheetId="135" r:id="rId82"/>
    <sheet name="TDS CPJournalADVMultiNewref" sheetId="136" r:id="rId83"/>
    <sheet name="TDS CPAdvanceMulti" sheetId="130" r:id="rId84"/>
    <sheet name="TDS CPJournalADVMulti" sheetId="129" r:id="rId85"/>
    <sheet name="CPAdvanceMulti" sheetId="127" r:id="rId86"/>
    <sheet name="CPAdvanceWithNewRef" sheetId="132" r:id="rId87"/>
    <sheet name="CPJournalADVWithNewRef" sheetId="131" r:id="rId88"/>
    <sheet name="CPAdvance" sheetId="122" r:id="rId89"/>
    <sheet name="BPJournalADVWithNewRef" sheetId="145" r:id="rId90"/>
    <sheet name="TDS BPJournalADVMultiNewref" sheetId="148" r:id="rId91"/>
    <sheet name="TDS BPJournalADVWithNewRef" sheetId="147" r:id="rId92"/>
    <sheet name="CPJournal" sheetId="113" r:id="rId93"/>
    <sheet name="CRJournal" sheetId="88" r:id="rId94"/>
    <sheet name="BPJournal" sheetId="94" r:id="rId95"/>
    <sheet name="BPJournalINR" sheetId="98" r:id="rId96"/>
    <sheet name="BPJournalUSD" sheetId="99" r:id="rId97"/>
    <sheet name="BPJournalREVUSD" sheetId="104" r:id="rId98"/>
    <sheet name="BRAdvJournalNR" sheetId="141" r:id="rId99"/>
    <sheet name="Journal" sheetId="70" r:id="rId100"/>
    <sheet name="CRJournalMulti" sheetId="89" r:id="rId101"/>
    <sheet name="CRJournalMultiRef" sheetId="139" r:id="rId102"/>
    <sheet name="CRJournalNewRef" sheetId="138" r:id="rId103"/>
    <sheet name="CPJournalMulti" sheetId="114" r:id="rId104"/>
    <sheet name="CPJournalNR" sheetId="116" r:id="rId105"/>
    <sheet name="BPJournalMultiINR" sheetId="107" r:id="rId106"/>
    <sheet name="BPJournalREVINR" sheetId="110" r:id="rId107"/>
    <sheet name="BPJournalMPMIINR" sheetId="108" r:id="rId108"/>
    <sheet name="BPJournalNRINR" sheetId="109" r:id="rId109"/>
    <sheet name="BPJournalMulti" sheetId="95" r:id="rId110"/>
    <sheet name="JournalMulti" sheetId="71" r:id="rId111"/>
    <sheet name="CRJournalMPMI" sheetId="90" r:id="rId112"/>
    <sheet name="CPJournalMPMI" sheetId="115" r:id="rId113"/>
    <sheet name="BPJournalMPMI" sheetId="96" r:id="rId114"/>
    <sheet name="BPJournalNR" sheetId="97" r:id="rId115"/>
    <sheet name="JournalMPMI" sheetId="72" r:id="rId116"/>
    <sheet name="CRJournalNR" sheetId="91" r:id="rId117"/>
    <sheet name="JournalNR" sheetId="73" r:id="rId118"/>
    <sheet name="BankReceiptAdvMultiNR" sheetId="140" r:id="rId119"/>
    <sheet name="BankReceiptNewRef" sheetId="137" r:id="rId120"/>
    <sheet name="BankPaymentAdvUSD" sheetId="149" r:id="rId121"/>
    <sheet name="BPAdvJournalUSDNR" sheetId="150" r:id="rId122"/>
    <sheet name="JournalINRAdvNR" sheetId="144" r:id="rId123"/>
    <sheet name="BankReceipt" sheetId="35" r:id="rId124"/>
    <sheet name="BankReceiptMulti" sheetId="37" r:id="rId125"/>
    <sheet name="BRAdvUSDNR" sheetId="142" r:id="rId126"/>
    <sheet name="BRAdvJournalUSDNR" sheetId="143" r:id="rId127"/>
    <sheet name="BankReceiptUSD" sheetId="39" r:id="rId128"/>
    <sheet name="BankReceiptMultiUSD" sheetId="40" r:id="rId129"/>
    <sheet name="BankReceiptMulti (2)" sheetId="43" r:id="rId130"/>
    <sheet name="BankReceiptMultiNewRef (2)" sheetId="44" r:id="rId131"/>
    <sheet name="BankReceiptPDC" sheetId="56" r:id="rId132"/>
    <sheet name="BankReceiptChargesUSD" sheetId="60" r:id="rId133"/>
    <sheet name="BankReceiptCharges" sheetId="57" r:id="rId134"/>
    <sheet name="BankPaymentChargesINR" sheetId="112" r:id="rId135"/>
    <sheet name="BankPaymentCharges" sheetId="65" r:id="rId136"/>
    <sheet name="BankPaymentExpGST" sheetId="63" r:id="rId137"/>
    <sheet name="BankPaymentExpGSTTDS" sheetId="67" r:id="rId138"/>
    <sheet name="BankPaymentExpUSD" sheetId="103" r:id="rId139"/>
    <sheet name="BankPaymentExp" sheetId="62" r:id="rId140"/>
    <sheet name="BankReceiptRevExp" sheetId="58" r:id="rId141"/>
    <sheet name="BankPaymentExpTDS" sheetId="66" r:id="rId142"/>
    <sheet name="BankPaymentPDC" sheetId="61" r:id="rId143"/>
    <sheet name="BPAdvanceUSD" sheetId="161" r:id="rId144"/>
    <sheet name="BPAdvance" sheetId="154" r:id="rId145"/>
    <sheet name="BPJournalADV" sheetId="153" r:id="rId146"/>
    <sheet name="TDS BPAdvance" sheetId="155" r:id="rId147"/>
    <sheet name="TDS BPJournalADV" sheetId="156" r:id="rId148"/>
    <sheet name="TDS BPAdvanceMulti" sheetId="157" r:id="rId149"/>
    <sheet name="TDS BPJournalADVMulti" sheetId="158" r:id="rId150"/>
    <sheet name="BPJournalADVINR" sheetId="159" r:id="rId151"/>
    <sheet name="BPJournalADVUSD" sheetId="160" r:id="rId152"/>
    <sheet name="BPMPMBADVNR" sheetId="162" r:id="rId153"/>
    <sheet name="BPMPMBADVNRUSD" sheetId="163" r:id="rId154"/>
    <sheet name="Sheet2" sheetId="146" r:id="rId15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" i="67"/>
  <c r="M2" i="132"/>
  <c r="AC3"/>
  <c r="AC2"/>
  <c r="Q2"/>
  <c r="AG2" i="124"/>
  <c r="AH2"/>
  <c r="Q2"/>
  <c r="N2"/>
  <c r="M4" i="68"/>
  <c r="J5" i="167"/>
  <c r="I2"/>
  <c r="G3"/>
  <c r="I3" s="1"/>
  <c r="K3" i="166"/>
  <c r="I3" s="1"/>
  <c r="J4" s="1"/>
  <c r="K2"/>
  <c r="I2" s="1"/>
  <c r="J4" i="165"/>
  <c r="I3"/>
  <c r="I2"/>
  <c r="H4"/>
  <c r="G4"/>
  <c r="J4" i="164"/>
  <c r="J4" i="75"/>
  <c r="I3" i="164"/>
  <c r="I2"/>
  <c r="J3" i="75"/>
  <c r="I2"/>
  <c r="N2" i="162"/>
  <c r="AF2" i="163"/>
  <c r="AG2"/>
  <c r="AG3"/>
  <c r="AH2"/>
  <c r="O2" s="1"/>
  <c r="R3"/>
  <c r="R2"/>
  <c r="N3"/>
  <c r="N2"/>
  <c r="AE4"/>
  <c r="AD4"/>
  <c r="AC4"/>
  <c r="AB4"/>
  <c r="J4"/>
  <c r="AI3"/>
  <c r="AH3"/>
  <c r="O3" s="1"/>
  <c r="AF3"/>
  <c r="AI2"/>
  <c r="AI4" i="162"/>
  <c r="AI3"/>
  <c r="AI2"/>
  <c r="AH2"/>
  <c r="AH3"/>
  <c r="O3" s="1"/>
  <c r="AG3"/>
  <c r="AF3"/>
  <c r="AG2"/>
  <c r="AF2"/>
  <c r="N3"/>
  <c r="R3" s="1"/>
  <c r="O2"/>
  <c r="AC4"/>
  <c r="AB4"/>
  <c r="AD4"/>
  <c r="AE4"/>
  <c r="G4" i="167" l="1"/>
  <c r="J4" s="1"/>
  <c r="AF4" i="163"/>
  <c r="AG4"/>
  <c r="O4"/>
  <c r="AI4"/>
  <c r="R4"/>
  <c r="AH4"/>
  <c r="N4"/>
  <c r="O4" i="162"/>
  <c r="N4"/>
  <c r="R2"/>
  <c r="R4" s="1"/>
  <c r="AG4"/>
  <c r="AF4"/>
  <c r="J4" l="1"/>
  <c r="J3" i="160"/>
  <c r="I2"/>
  <c r="AC2" i="161"/>
  <c r="N2" s="1"/>
  <c r="N3" s="1"/>
  <c r="M2"/>
  <c r="M3" s="1"/>
  <c r="J3" i="159"/>
  <c r="I2"/>
  <c r="Q6" i="157"/>
  <c r="N6"/>
  <c r="M6"/>
  <c r="AC6"/>
  <c r="I3" i="158"/>
  <c r="J5" s="1"/>
  <c r="I2"/>
  <c r="J4" s="1"/>
  <c r="I6" i="157"/>
  <c r="AC3"/>
  <c r="AG3" s="1"/>
  <c r="M3"/>
  <c r="Q3" s="1"/>
  <c r="AC2"/>
  <c r="AG2" s="1"/>
  <c r="M2"/>
  <c r="Q2" s="1"/>
  <c r="Q2" i="155"/>
  <c r="Q4" s="1"/>
  <c r="AC3"/>
  <c r="AC3" i="133"/>
  <c r="AC4" s="1"/>
  <c r="I2" i="156"/>
  <c r="J3" s="1"/>
  <c r="AC2" i="155"/>
  <c r="N2" s="1"/>
  <c r="M2"/>
  <c r="AC2" i="154"/>
  <c r="N2" s="1"/>
  <c r="N3" s="1"/>
  <c r="M2"/>
  <c r="M3" s="1"/>
  <c r="J3" i="153"/>
  <c r="I2"/>
  <c r="G3" i="152"/>
  <c r="J3" s="1"/>
  <c r="G2"/>
  <c r="I2" s="1"/>
  <c r="AC2" i="151"/>
  <c r="N2" s="1"/>
  <c r="N3" s="1"/>
  <c r="M2"/>
  <c r="M3" s="1"/>
  <c r="G3" i="150"/>
  <c r="J3" s="1"/>
  <c r="G2"/>
  <c r="I2" s="1"/>
  <c r="AC2" i="149"/>
  <c r="N2" s="1"/>
  <c r="N3" s="1"/>
  <c r="M2"/>
  <c r="Q2" s="1"/>
  <c r="Q3" s="1"/>
  <c r="AC6" i="135"/>
  <c r="N6"/>
  <c r="M6"/>
  <c r="I3" i="148"/>
  <c r="J5" s="1"/>
  <c r="I2"/>
  <c r="J4" s="1"/>
  <c r="Q4" i="133"/>
  <c r="I2" i="147"/>
  <c r="J3" s="1"/>
  <c r="I2" i="145"/>
  <c r="J3"/>
  <c r="G3" i="144"/>
  <c r="J3" s="1"/>
  <c r="G2"/>
  <c r="I2" s="1"/>
  <c r="G3" i="143"/>
  <c r="J3" s="1"/>
  <c r="G2"/>
  <c r="I2" s="1"/>
  <c r="AC2" i="142"/>
  <c r="N2" s="1"/>
  <c r="N3" s="1"/>
  <c r="M2"/>
  <c r="Q2" s="1"/>
  <c r="Q3" s="1"/>
  <c r="J3" i="141"/>
  <c r="I2"/>
  <c r="AC2" i="140"/>
  <c r="N2" s="1"/>
  <c r="N3" s="1"/>
  <c r="M2"/>
  <c r="Q2" s="1"/>
  <c r="Q3" s="1"/>
  <c r="M2" i="137"/>
  <c r="M3" s="1"/>
  <c r="AC2"/>
  <c r="N2" s="1"/>
  <c r="N3" s="1"/>
  <c r="J3" i="139"/>
  <c r="I2"/>
  <c r="J3" i="138"/>
  <c r="I2"/>
  <c r="I3" i="136"/>
  <c r="J5" s="1"/>
  <c r="I2"/>
  <c r="J4" s="1"/>
  <c r="I6" i="135"/>
  <c r="AC3"/>
  <c r="AH3" s="1"/>
  <c r="M3"/>
  <c r="Q3" s="1"/>
  <c r="AC2"/>
  <c r="AG2" s="1"/>
  <c r="M2"/>
  <c r="Q2" i="133"/>
  <c r="AH2"/>
  <c r="AG2"/>
  <c r="I2" i="134"/>
  <c r="J3" s="1"/>
  <c r="AC2" i="133"/>
  <c r="M2"/>
  <c r="N2" i="132"/>
  <c r="N3" s="1"/>
  <c r="M3"/>
  <c r="J3" i="131"/>
  <c r="I2"/>
  <c r="I6" i="130"/>
  <c r="AC3"/>
  <c r="N3" s="1"/>
  <c r="M3"/>
  <c r="Q3" s="1"/>
  <c r="AC2"/>
  <c r="N2" s="1"/>
  <c r="M2"/>
  <c r="I3" i="129"/>
  <c r="J5" s="1"/>
  <c r="I2"/>
  <c r="I4" i="127"/>
  <c r="AC3"/>
  <c r="N3" s="1"/>
  <c r="M3"/>
  <c r="Q3" s="1"/>
  <c r="AC2"/>
  <c r="N2" s="1"/>
  <c r="M2"/>
  <c r="I2" i="125"/>
  <c r="J3" s="1"/>
  <c r="J4" s="1"/>
  <c r="AC3" i="124"/>
  <c r="N3" s="1"/>
  <c r="J3" i="123"/>
  <c r="I2"/>
  <c r="M2" i="124"/>
  <c r="M4" s="1"/>
  <c r="AC2"/>
  <c r="N4" s="1"/>
  <c r="M2" i="122"/>
  <c r="M3" s="1"/>
  <c r="AC2"/>
  <c r="AC3" s="1"/>
  <c r="AC3" i="121"/>
  <c r="N3" s="1"/>
  <c r="M3"/>
  <c r="Q3" s="1"/>
  <c r="AC2"/>
  <c r="N2" s="1"/>
  <c r="N4" s="1"/>
  <c r="M2"/>
  <c r="Q2" s="1"/>
  <c r="Q4" s="1"/>
  <c r="I4" i="120"/>
  <c r="AC3"/>
  <c r="N3" s="1"/>
  <c r="M3"/>
  <c r="Q3" s="1"/>
  <c r="AC2"/>
  <c r="N2" s="1"/>
  <c r="M2"/>
  <c r="M4" s="1"/>
  <c r="G2" i="119"/>
  <c r="I2" s="1"/>
  <c r="G2" i="118"/>
  <c r="I2" s="1"/>
  <c r="I3" s="1"/>
  <c r="G3" i="117"/>
  <c r="J3" s="1"/>
  <c r="G2"/>
  <c r="I2" s="1"/>
  <c r="K3" i="116"/>
  <c r="I3" s="1"/>
  <c r="K2"/>
  <c r="I2" s="1"/>
  <c r="H4" i="115"/>
  <c r="G4"/>
  <c r="J4" s="1"/>
  <c r="I3"/>
  <c r="I2"/>
  <c r="J4" i="114"/>
  <c r="I3"/>
  <c r="I2"/>
  <c r="J3" i="113"/>
  <c r="I2"/>
  <c r="I4" i="112"/>
  <c r="AC3"/>
  <c r="N3" s="1"/>
  <c r="M3"/>
  <c r="Q3" s="1"/>
  <c r="AC2"/>
  <c r="N2" s="1"/>
  <c r="N4" s="1"/>
  <c r="M2"/>
  <c r="M4" s="1"/>
  <c r="G3" i="111"/>
  <c r="I3" s="1"/>
  <c r="I2"/>
  <c r="G3" i="110"/>
  <c r="J3" s="1"/>
  <c r="G2"/>
  <c r="I2" s="1"/>
  <c r="K3" i="109"/>
  <c r="I3" s="1"/>
  <c r="J4" s="1"/>
  <c r="K2"/>
  <c r="I2" s="1"/>
  <c r="J4" i="72"/>
  <c r="J3"/>
  <c r="I2"/>
  <c r="J4" i="76"/>
  <c r="J3"/>
  <c r="I2"/>
  <c r="I2" i="80"/>
  <c r="J3"/>
  <c r="J4"/>
  <c r="J4" i="96"/>
  <c r="J4" i="90"/>
  <c r="I3" i="108"/>
  <c r="I2"/>
  <c r="H4"/>
  <c r="J4" i="107"/>
  <c r="I3"/>
  <c r="I2"/>
  <c r="G2" i="106"/>
  <c r="I2" s="1"/>
  <c r="J3" s="1"/>
  <c r="G3" i="105"/>
  <c r="I3" s="1"/>
  <c r="J4" s="1"/>
  <c r="I2"/>
  <c r="AC4" i="65"/>
  <c r="N4"/>
  <c r="M4"/>
  <c r="Q4"/>
  <c r="Q3"/>
  <c r="Q2"/>
  <c r="N3"/>
  <c r="N2"/>
  <c r="M4" i="57"/>
  <c r="M2"/>
  <c r="M3"/>
  <c r="I4"/>
  <c r="M3" i="65"/>
  <c r="M2"/>
  <c r="AC2"/>
  <c r="J3" i="104"/>
  <c r="G3"/>
  <c r="G2"/>
  <c r="I2" s="1"/>
  <c r="I3" i="103"/>
  <c r="U2"/>
  <c r="U3" s="1"/>
  <c r="T2"/>
  <c r="T3" s="1"/>
  <c r="S2"/>
  <c r="S3" s="1"/>
  <c r="R2"/>
  <c r="AC2" s="1"/>
  <c r="M2"/>
  <c r="M3" s="1"/>
  <c r="G2" i="102"/>
  <c r="I2" s="1"/>
  <c r="G3" i="101"/>
  <c r="J3" s="1"/>
  <c r="G2"/>
  <c r="I2" s="1"/>
  <c r="G3" i="100"/>
  <c r="J3" s="1"/>
  <c r="G2"/>
  <c r="I2" s="1"/>
  <c r="J3" i="99"/>
  <c r="I2"/>
  <c r="J3" i="98"/>
  <c r="I2"/>
  <c r="I2" i="97"/>
  <c r="K3"/>
  <c r="I3" s="1"/>
  <c r="J4" s="1"/>
  <c r="K2"/>
  <c r="I3" i="96"/>
  <c r="I2"/>
  <c r="H4"/>
  <c r="G4"/>
  <c r="I3" i="95"/>
  <c r="I2"/>
  <c r="J4"/>
  <c r="J3" i="94"/>
  <c r="I2"/>
  <c r="I2" i="74"/>
  <c r="J3"/>
  <c r="AC2" i="39"/>
  <c r="AC2" i="35"/>
  <c r="G4" i="93"/>
  <c r="I4" s="1"/>
  <c r="J3"/>
  <c r="G3"/>
  <c r="G4" i="92"/>
  <c r="I4" s="1"/>
  <c r="G3"/>
  <c r="J3" s="1"/>
  <c r="I2" s="1"/>
  <c r="K4" i="91"/>
  <c r="J3" s="1"/>
  <c r="K3"/>
  <c r="J3" i="90"/>
  <c r="H2"/>
  <c r="G2"/>
  <c r="I2" s="1"/>
  <c r="J4" i="89"/>
  <c r="J3"/>
  <c r="I2"/>
  <c r="J3" i="88"/>
  <c r="I2"/>
  <c r="AC4" i="60"/>
  <c r="AC2"/>
  <c r="M2"/>
  <c r="M4" s="1"/>
  <c r="AC3"/>
  <c r="N3" s="1"/>
  <c r="Q3"/>
  <c r="M3"/>
  <c r="I4" i="87"/>
  <c r="J3"/>
  <c r="G4"/>
  <c r="I4" i="86"/>
  <c r="J3"/>
  <c r="I2" s="1"/>
  <c r="G4"/>
  <c r="G3"/>
  <c r="G4" i="85"/>
  <c r="I4" s="1"/>
  <c r="G3"/>
  <c r="J3" s="1"/>
  <c r="G3" i="84"/>
  <c r="J3" s="1"/>
  <c r="G4"/>
  <c r="I4" s="1"/>
  <c r="G4" i="83"/>
  <c r="J3"/>
  <c r="G3" i="82"/>
  <c r="J3" s="1"/>
  <c r="G2"/>
  <c r="I2" s="1"/>
  <c r="K4" i="81"/>
  <c r="J3" s="1"/>
  <c r="K3"/>
  <c r="H2" i="80"/>
  <c r="G2"/>
  <c r="J4" i="79"/>
  <c r="J3"/>
  <c r="I2"/>
  <c r="J3" i="78"/>
  <c r="I2"/>
  <c r="K4" i="77"/>
  <c r="J4" s="1"/>
  <c r="K3"/>
  <c r="AC4" i="45"/>
  <c r="AC3"/>
  <c r="N3" s="1"/>
  <c r="AC2"/>
  <c r="Q3"/>
  <c r="Q2"/>
  <c r="N2"/>
  <c r="M3"/>
  <c r="M2"/>
  <c r="H2" i="76"/>
  <c r="G2"/>
  <c r="J4" i="73"/>
  <c r="K4"/>
  <c r="J3" s="1"/>
  <c r="K3"/>
  <c r="M2" i="38"/>
  <c r="H2" i="72"/>
  <c r="G2"/>
  <c r="J4" i="71"/>
  <c r="J3"/>
  <c r="I2"/>
  <c r="M3" i="37"/>
  <c r="M2"/>
  <c r="J3" i="70"/>
  <c r="I2"/>
  <c r="AC2" i="69"/>
  <c r="N2" s="1"/>
  <c r="N3" s="1"/>
  <c r="M2"/>
  <c r="M3" s="1"/>
  <c r="AC2" i="46"/>
  <c r="AC3" i="68"/>
  <c r="N3" s="1"/>
  <c r="M2"/>
  <c r="Q2" s="1"/>
  <c r="AC2"/>
  <c r="N2" s="1"/>
  <c r="I4"/>
  <c r="M3"/>
  <c r="Q3" s="1"/>
  <c r="N4" i="66"/>
  <c r="M4"/>
  <c r="I3" i="67"/>
  <c r="U3"/>
  <c r="T3"/>
  <c r="S3"/>
  <c r="R3"/>
  <c r="I4"/>
  <c r="U2"/>
  <c r="U4" s="1"/>
  <c r="T2"/>
  <c r="T4" s="1"/>
  <c r="N2"/>
  <c r="M2"/>
  <c r="AL2" s="1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I4" i="65"/>
  <c r="AC3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I4" i="60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N3" i="67" l="1"/>
  <c r="M3"/>
  <c r="M3" i="124"/>
  <c r="AH4" i="162"/>
  <c r="AC3" i="161"/>
  <c r="Q2"/>
  <c r="Q3" s="1"/>
  <c r="N3" i="157"/>
  <c r="AH3"/>
  <c r="M5" s="1"/>
  <c r="J6" i="158"/>
  <c r="N2" i="157"/>
  <c r="AH2"/>
  <c r="AC5"/>
  <c r="N5"/>
  <c r="AC4" i="155"/>
  <c r="AH2"/>
  <c r="AG2"/>
  <c r="M3"/>
  <c r="M4" s="1"/>
  <c r="M3" i="133"/>
  <c r="M4" s="1"/>
  <c r="J4" i="156"/>
  <c r="N3" i="155"/>
  <c r="N4" s="1"/>
  <c r="AC3" i="154"/>
  <c r="Q2"/>
  <c r="Q3" s="1"/>
  <c r="AC3" i="151"/>
  <c r="Q2"/>
  <c r="Q3" s="1"/>
  <c r="AC3" i="149"/>
  <c r="M3"/>
  <c r="J6" i="148"/>
  <c r="J4" i="147"/>
  <c r="AC3" i="142"/>
  <c r="M3"/>
  <c r="M3" i="140"/>
  <c r="AC3"/>
  <c r="Q2" i="137"/>
  <c r="Q3" s="1"/>
  <c r="AC3"/>
  <c r="N2" i="135"/>
  <c r="AH2"/>
  <c r="M4" s="1"/>
  <c r="Q2"/>
  <c r="Q6" s="1"/>
  <c r="J6" i="136"/>
  <c r="M5" i="135"/>
  <c r="N5"/>
  <c r="AC5"/>
  <c r="AG3"/>
  <c r="N3"/>
  <c r="J4" i="134"/>
  <c r="N2" i="133"/>
  <c r="N3"/>
  <c r="N4" s="1"/>
  <c r="Q3" i="132"/>
  <c r="AG2" i="130"/>
  <c r="AG3"/>
  <c r="N6"/>
  <c r="M6"/>
  <c r="AH3"/>
  <c r="AH2"/>
  <c r="AC6"/>
  <c r="Q2"/>
  <c r="Q6" s="1"/>
  <c r="J4" i="129"/>
  <c r="J6" s="1"/>
  <c r="N4" i="127"/>
  <c r="M4"/>
  <c r="AC4"/>
  <c r="Q2"/>
  <c r="Q4" s="1"/>
  <c r="Q2" i="122"/>
  <c r="Q3" s="1"/>
  <c r="I3" i="102"/>
  <c r="I4"/>
  <c r="J4" i="91"/>
  <c r="I2" s="1"/>
  <c r="AC4" i="124"/>
  <c r="Q4"/>
  <c r="N2" i="122"/>
  <c r="N3" s="1"/>
  <c r="M4" i="121"/>
  <c r="AC4"/>
  <c r="N4" i="120"/>
  <c r="AC4"/>
  <c r="Q2"/>
  <c r="Q4" s="1"/>
  <c r="I4" i="119"/>
  <c r="I5"/>
  <c r="J3"/>
  <c r="I4" i="118"/>
  <c r="J5" s="1"/>
  <c r="J4" i="116"/>
  <c r="AC4" i="112"/>
  <c r="Q2"/>
  <c r="Q4" s="1"/>
  <c r="J4" i="111"/>
  <c r="J4" i="108"/>
  <c r="I4" i="106"/>
  <c r="I5"/>
  <c r="N2" i="103"/>
  <c r="N3" s="1"/>
  <c r="AC3"/>
  <c r="R3"/>
  <c r="Q2"/>
  <c r="Q3" s="1"/>
  <c r="J5" i="93"/>
  <c r="I2" s="1"/>
  <c r="J6"/>
  <c r="N2" i="60"/>
  <c r="N4" s="1"/>
  <c r="Q2"/>
  <c r="Q4" s="1"/>
  <c r="I2" i="87"/>
  <c r="J5" i="85"/>
  <c r="J6"/>
  <c r="I2" i="84"/>
  <c r="I4" i="83"/>
  <c r="I2" s="1"/>
  <c r="J4" i="81"/>
  <c r="I2" s="1"/>
  <c r="I2" i="73"/>
  <c r="J3" i="77"/>
  <c r="I2" s="1"/>
  <c r="AC3" i="69"/>
  <c r="Q2"/>
  <c r="Q3" s="1"/>
  <c r="Q4" i="68"/>
  <c r="N4"/>
  <c r="AC4"/>
  <c r="AC3" i="67"/>
  <c r="Q2"/>
  <c r="N2" i="66"/>
  <c r="M3" i="62"/>
  <c r="S2" i="63"/>
  <c r="R2"/>
  <c r="AC2" s="1"/>
  <c r="AC3" i="62"/>
  <c r="R3"/>
  <c r="Q3"/>
  <c r="AC3" i="61"/>
  <c r="Q2"/>
  <c r="Q3" s="1"/>
  <c r="R3" i="58"/>
  <c r="AC3" s="1"/>
  <c r="N3" s="1"/>
  <c r="S3"/>
  <c r="Q2"/>
  <c r="R4" i="59"/>
  <c r="I4"/>
  <c r="N3"/>
  <c r="M3"/>
  <c r="Q3" s="1"/>
  <c r="N2"/>
  <c r="M2"/>
  <c r="M4" s="1"/>
  <c r="Q2" i="57"/>
  <c r="AC2"/>
  <c r="N2" s="1"/>
  <c r="N4" s="1"/>
  <c r="AC3"/>
  <c r="N3" s="1"/>
  <c r="Q3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J5" i="102" l="1"/>
  <c r="M4" i="157"/>
  <c r="N4"/>
  <c r="AC4"/>
  <c r="AC4" i="135"/>
  <c r="N4"/>
  <c r="AC5" i="130"/>
  <c r="M5"/>
  <c r="N5"/>
  <c r="AC4"/>
  <c r="N4"/>
  <c r="M4"/>
  <c r="I2" i="85"/>
  <c r="J6" i="119"/>
  <c r="J6" i="106"/>
  <c r="Q4" i="57"/>
  <c r="N4" i="54"/>
  <c r="M4"/>
  <c r="M4" i="55"/>
  <c r="Q4" i="67"/>
  <c r="R2"/>
  <c r="S2"/>
  <c r="S4" s="1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M4" i="67" l="1"/>
  <c r="N4"/>
  <c r="AC2"/>
  <c r="AC4" s="1"/>
  <c r="R4"/>
  <c r="AC2" i="58"/>
  <c r="R4"/>
  <c r="I4" i="53"/>
  <c r="AC3"/>
  <c r="N3" s="1"/>
  <c r="M3"/>
  <c r="Q3" s="1"/>
  <c r="AC2"/>
  <c r="N2" s="1"/>
  <c r="N4" s="1"/>
  <c r="M2"/>
  <c r="M4" s="1"/>
  <c r="AC4" l="1"/>
  <c r="N2" i="58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M2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I4" i="45" l="1"/>
  <c r="M4"/>
  <c r="N4"/>
  <c r="Q4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Q2" i="37"/>
  <c r="AC3" i="44"/>
  <c r="AC2"/>
  <c r="N2"/>
  <c r="M2"/>
  <c r="Q2" s="1"/>
  <c r="I4" i="37"/>
  <c r="AC3"/>
  <c r="N3" s="1"/>
  <c r="AC2"/>
  <c r="N2" s="1"/>
  <c r="Q3"/>
  <c r="AC3" i="43"/>
  <c r="AC2"/>
  <c r="N2"/>
  <c r="M2"/>
  <c r="Q2" s="1"/>
  <c r="N2" i="35"/>
  <c r="N3" s="1"/>
  <c r="M2"/>
  <c r="AC2" i="42"/>
  <c r="AC3" s="1"/>
  <c r="N2"/>
  <c r="M2"/>
  <c r="Q2" s="1"/>
  <c r="M2" i="39"/>
  <c r="M2" i="41"/>
  <c r="M3" s="1"/>
  <c r="I4" i="40"/>
  <c r="AB4"/>
  <c r="AA4"/>
  <c r="N2" i="36"/>
  <c r="M2"/>
  <c r="Q2" s="1"/>
  <c r="N2" i="29"/>
  <c r="M2"/>
  <c r="Q2" s="1"/>
  <c r="O3" i="34"/>
  <c r="L3"/>
  <c r="K3"/>
  <c r="L2"/>
  <c r="K2"/>
  <c r="O2" s="1"/>
  <c r="N3" i="33"/>
  <c r="M3"/>
  <c r="Q3" s="1"/>
  <c r="M3" i="35" l="1"/>
  <c r="Q2"/>
  <c r="Q3" s="1"/>
  <c r="M3" i="39"/>
  <c r="Q2"/>
  <c r="Q3" s="1"/>
  <c r="AC3"/>
  <c r="N2"/>
  <c r="N3" s="1"/>
  <c r="AC4" i="38"/>
  <c r="AC4" i="43"/>
  <c r="AC4" i="44"/>
  <c r="N4" i="37"/>
  <c r="AC4"/>
  <c r="N2" i="41"/>
  <c r="N3" s="1"/>
  <c r="AC3"/>
  <c r="Q4" i="40"/>
  <c r="N4"/>
  <c r="M4"/>
  <c r="AC4"/>
  <c r="M4" i="38"/>
  <c r="N4"/>
  <c r="Q2"/>
  <c r="M4" i="37"/>
  <c r="AC3" i="35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<sst xmlns="http://schemas.openxmlformats.org/spreadsheetml/2006/main" count="5643" uniqueCount="429">
  <si>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</si>
  <si>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</si>
  <si>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</si>
  <si>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</si>
  <si>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</si>
  <si>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</si>
  <si>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</si>
  <si>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</si>
  <si>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</si>
  <si>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</si>
  <si>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</si>
  <si>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</si>
  <si>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</si>
  <si>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</si>
  <si>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</si>
  <si>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</si>
  <si>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</si>
  <si>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</si>
  <si>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</si>
  <si>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</si>
  <si>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</si>
  <si>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</si>
  <si>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</si>
  <si>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</si>
  <si>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</si>
  <si>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</si>
  <si>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</si>
  <si>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</si>
  <si>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</si>
  <si>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</si>
  <si>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</si>
  <si>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</si>
  <si>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</si>
  <si>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</si>
  <si>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</si>
  <si>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</si>
  <si>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</si>
  <si>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</si>
  <si>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</si>
  <si>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</si>
  <si>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</si>
  <si>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</si>
  <si>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</si>
  <si>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</si>
  <si>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</si>
  <si>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</si>
  <si>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</si>
  <si>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</si>
  <si>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</si>
  <si>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</si>
  <si>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</si>
  <si>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</si>
  <si>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</si>
  <si>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</si>
  <si>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</si>
  <si>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</si>
  <si>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</si>
  <si>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</si>
  <si>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</si>
  <si>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</si>
  <si>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</si>
  <si>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</si>
  <si>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</si>
  <si>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</si>
  <si>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</si>
  <si>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</si>
  <si>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</si>
  <si>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</si>
  <si>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</si>
  <si>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</si>
  <si>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</si>
  <si>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</si>
  <si>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</si>
  <si>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</si>
  <si>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</si>
  <si>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</si>
  <si>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</si>
  <si>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</si>
  <si>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</si>
  <si>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</si>
  <si>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</si>
  <si>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</si>
  <si>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</si>
  <si>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</si>
  <si>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</si>
  <si>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</si>
  <si>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</si>
  <si>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</si>
  <si>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</si>
  <si>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</si>
  <si>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</si>
  <si>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</si>
  <si>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</si>
  <si>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</si>
  <si>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</si>
  <si>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</si>
  <si>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</si>
  <si>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</si>
  <si>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</si>
  <si>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</si>
  <si>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</si>
  <si>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</si>
  <si>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</si>
  <si>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</si>
  <si>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</si>
  <si>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</si>
  <si>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</si>
  <si>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</si>
  <si>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</si>
  <si>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</si>
  <si>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</si>
  <si>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</si>
  <si>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</si>
  <si>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</si>
  <si>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</si>
  <si>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</si>
  <si>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</si>
  <si>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</si>
  <si>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</si>
  <si>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</si>
  <si>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</si>
  <si>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</si>
  <si>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</si>
  <si>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</si>
  <si>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</si>
  <si>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</si>
  <si>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</si>
  <si>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</si>
  <si>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</si>
  <si>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</si>
  <si>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</si>
  <si>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</si>
  <si>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</si>
  <si>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</si>
  <si>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</si>
  <si>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</si>
  <si>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</si>
  <si>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</si>
  <si>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</si>
  <si>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</si>
  <si>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</si>
  <si>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</si>
  <si>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</si>
  <si>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</si>
  <si>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</si>
  <si>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</si>
  <si>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</si>
  <si>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</si>
  <si>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</si>
  <si>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</si>
  <si>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</si>
  <si>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</si>
  <si>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</si>
  <si>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</si>
  <si>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</si>
  <si>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</si>
  <si>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</si>
  <si>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</si>
  <si>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</si>
  <si>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</si>
  <si>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</si>
  <si>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</si>
  <si>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</si>
  <si>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</si>
  <si>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</si>
  <si>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</si>
  <si>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</si>
  <si>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</si>
  <si>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</si>
  <si>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</si>
  <si>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</si>
  <si>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</si>
  <si>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</si>
  <si>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</si>
  <si>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</si>
  <si>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</si>
  <si>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</si>
  <si>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</si>
  <si>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</si>
  <si>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</si>
  <si>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</si>
  <si>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</si>
  <si>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</si>
  <si>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</si>
  <si>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</si>
  <si>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</si>
  <si>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</si>
  <si>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</si>
  <si>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</si>
  <si>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</si>
  <si>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</si>
  <si>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</si>
  <si>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</si>
  <si>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</si>
  <si>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</si>
  <si>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</si>
  <si>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</si>
  <si>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</si>
  <si>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</si>
  <si>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</si>
  <si>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</si>
  <si>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</si>
  <si>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</si>
  <si>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</si>
  <si>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</si>
  <si>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</si>
  <si>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</si>
  <si>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</si>
  <si>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</si>
  <si>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</si>
  <si>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</si>
  <si>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</si>
  <si>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</si>
  <si>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</si>
  <si>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</si>
  <si>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</si>
  <si>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</si>
  <si>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</si>
  <si>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</si>
  <si>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</si>
  <si>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</si>
  <si>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</si>
  <si>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</si>
  <si>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</si>
  <si>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</si>
  <si>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</si>
  <si>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</si>
  <si>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</si>
  <si>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</si>
  <si>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</si>
  <si>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</si>
  <si>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</si>
  <si>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</si>
  <si>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</si>
  <si>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</si>
  <si>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</si>
  <si>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</si>
  <si>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</si>
  <si>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</si>
  <si>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</si>
  <si>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</si>
  <si>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</si>
  <si>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</si>
  <si>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</si>
  <si>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</si>
  <si>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</si>
  <si>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</si>
  <si>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</si>
  <si>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</si>
  <si>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</si>
  <si>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</si>
  <si>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</si>
  <si>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</si>
  <si>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</si>
  <si>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</si>
  <si>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</si>
  <si>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</si>
  <si>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</si>
  <si>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</si>
  <si>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</si>
  <si>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</si>
  <si>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</si>
  <si>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</si>
  <si>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</si>
  <si>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</si>
  <si>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</si>
  <si>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</si>
  <si>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</si>
  <si>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</si>
  <si>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</si>
  <si>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</si>
  <si>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</si>
  <si>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</si>
  <si>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</si>
  <si>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</si>
  <si>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</si>
  <si>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</si>
  <si>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</si>
  <si>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</si>
  <si>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</si>
  <si>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</si>
  <si>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</si>
  <si>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</si>
  <si>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</si>
  <si>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</si>
  <si>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</si>
  <si>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</si>
  <si>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</si>
  <si>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</si>
  <si>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</si>
  <si>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</si>
  <si>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</si>
  <si>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</si>
  <si>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</si>
  <si>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</si>
  <si>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</si>
  <si>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</si>
  <si>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</si>
  <si>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</si>
  <si>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</si>
  <si>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</si>
  <si>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</si>
  <si>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</si>
  <si>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</si>
  <si>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</si>
  <si>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</si>
  <si>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</si>
  <si>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</si>
  <si>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</si>
  <si>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</si>
  <si>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</si>
  <si>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</si>
  <si>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</si>
  <si>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</si>
  <si>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</si>
  <si>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</si>
  <si>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</si>
  <si>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</si>
  <si>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</si>
  <si>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</si>
  <si>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</si>
  <si>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</si>
  <si>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</si>
  <si>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</si>
  <si>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</si>
  <si>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</si>
  <si>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</si>
  <si>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</si>
  <si>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</si>
  <si>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</si>
  <si>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</si>
  <si>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</si>
  <si>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</si>
  <si>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</si>
  <si>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</si>
  <si>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</si>
  <si>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</si>
  <si>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</si>
  <si>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</si>
  <si>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</si>
  <si>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</si>
  <si>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</si>
  <si>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</si>
  <si>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</si>
  <si>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</si>
  <si>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</si>
  <si>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</si>
  <si>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</si>
  <si>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</si>
  <si>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194C(TDS)</t>
  </si>
  <si>
    <t>TDS %</t>
  </si>
  <si>
    <t>TDS AMT</t>
  </si>
  <si>
    <t>GL ACCOUNT NUMBER</t>
  </si>
  <si>
    <t>CPC CODE</t>
  </si>
  <si>
    <t>DEBIT</t>
  </si>
  <si>
    <t>CREDIT</t>
  </si>
  <si>
    <t>STATE BANK OF INDIA - 30305325953</t>
  </si>
  <si>
    <t>Document 1</t>
  </si>
  <si>
    <t>Document 2</t>
  </si>
  <si>
    <t>NEW REF</t>
  </si>
  <si>
    <t>110</t>
  </si>
  <si>
    <t>JP MORGAN CHASE(BANK)</t>
  </si>
  <si>
    <t>INPUT CGST - 9%</t>
  </si>
  <si>
    <t>INPUT SGST - 9%</t>
  </si>
  <si>
    <t>1650</t>
  </si>
  <si>
    <t>CASHIER-10001(CASH)</t>
  </si>
  <si>
    <t>HARI ENTERPRISES(AP)</t>
  </si>
  <si>
    <t>HK1609</t>
  </si>
  <si>
    <t>HARI ENTERPRISES</t>
  </si>
  <si>
    <t>85</t>
  </si>
  <si>
    <t>666.3</t>
  </si>
  <si>
    <t>DirectGrnGenUD50</t>
  </si>
  <si>
    <t>L52</t>
  </si>
  <si>
    <t>U50</t>
  </si>
  <si>
    <t>HARI AUTOMOBILES(AP)</t>
  </si>
  <si>
    <t>HARI AUTOMOBILES</t>
  </si>
  <si>
    <t>HKSUP0001</t>
  </si>
  <si>
    <t>Purchase Order 1</t>
  </si>
  <si>
    <t>Purchase Order 2</t>
  </si>
  <si>
    <t>194C</t>
  </si>
  <si>
    <t>221.25</t>
  </si>
  <si>
    <t>PRAVEEN AUTOMOBILES(AP)</t>
  </si>
  <si>
    <t>PRVSUP0001</t>
  </si>
  <si>
    <t>PRAVEEN AUTOMOBILES</t>
  </si>
  <si>
    <t>DirectPOAdv</t>
  </si>
  <si>
    <t>TDS</t>
  </si>
  <si>
    <t>194Q</t>
  </si>
  <si>
    <t>194Q TDS</t>
  </si>
  <si>
    <t>TAX DEDUCTED AT SOURCE ON PURCHASE OF GOODS</t>
  </si>
  <si>
    <t>TDS SOURCE ACC</t>
  </si>
  <si>
    <t>TDS SOURCE %</t>
  </si>
  <si>
    <t>TDS SOURCE ASSL VALUE</t>
  </si>
  <si>
    <t>TDS SOURCE AMT</t>
  </si>
  <si>
    <t>00124</t>
  </si>
  <si>
    <t>00125</t>
  </si>
  <si>
    <t>00126</t>
  </si>
  <si>
    <t>Charges</t>
  </si>
  <si>
    <t>MAERSK SEALAND(AP)</t>
  </si>
  <si>
    <t>HKIMPSUP01</t>
  </si>
  <si>
    <t>MAERSK SEALAND</t>
  </si>
  <si>
    <t>HKSUP0003</t>
  </si>
  <si>
    <t>HKSUP0004</t>
  </si>
  <si>
    <t>KOWSHIKAN AUTOMOBILES</t>
  </si>
  <si>
    <t>VIMAL AUTOMOBILES</t>
  </si>
  <si>
    <t>KOWSHIKAN AUTOMOBILES(AP)</t>
  </si>
  <si>
    <t>VIMAL AUTOMOBILES(AP)</t>
  </si>
  <si>
    <t>PO ADV 1</t>
  </si>
  <si>
    <t>PO ADV 2</t>
  </si>
  <si>
    <t>PO AMT 1</t>
  </si>
  <si>
    <t>PO AMT 2</t>
  </si>
  <si>
    <t>Sum Of Both Advance Doc</t>
  </si>
  <si>
    <t>Sum Of Both Bills</t>
  </si>
  <si>
    <t>PEND AMT 1</t>
  </si>
  <si>
    <t>PEND AMT 2</t>
  </si>
  <si>
    <t>GRN SHEETNAME</t>
  </si>
  <si>
    <t>PO SHEETNAME</t>
  </si>
  <si>
    <t>885</t>
  </si>
  <si>
    <t>HKIMPSUP02</t>
  </si>
  <si>
    <t>EVERGREEN MARINE CORPORATION</t>
  </si>
  <si>
    <t>DirectPOIMPAdv</t>
  </si>
  <si>
    <t>EVERGREEN MARINE CORPORATION(AP)</t>
  </si>
  <si>
    <t>187.5</t>
  </si>
  <si>
    <t>750</t>
  </si>
  <si>
    <t>KCG PRIVATE LIMITED(AP)</t>
  </si>
  <si>
    <t>HKIMPSUP04</t>
  </si>
  <si>
    <t>KCG PRIVATE LIMITED</t>
  </si>
  <si>
    <t>56.46</t>
  </si>
  <si>
    <t>UNRELIZED GAIN/LOSS</t>
  </si>
  <si>
    <t>26550</t>
  </si>
</sst>
</file>

<file path=xl/styles.xml><?xml version="1.0" encoding="utf-8"?>
<styleSheet xmlns="http://schemas.openxmlformats.org/spreadsheetml/2006/main">
  <numFmts count="0"/>
  <fonts count="3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</cellStyleXfs>
  <cellXfs count="81">
    <xf numFmtId="0" fontId="0" fillId="0" borderId="0" xfId="0">
      <alignment vertical="center"/>
    </xf>
    <xf numFmtId="0" fontId="0" fillId="0" borderId="1" xfId="0" applyBorder="1">
      <alignment vertical="center"/>
    </xf>
    <xf numFmtId="0" fontId="2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23" fillId="0" borderId="1" xfId="2" applyFont="1" applyBorder="1" applyAlignment="1">
      <alignment vertical="center"/>
    </xf>
    <xf numFmtId="0" fontId="23" fillId="0" borderId="1" xfId="1" applyFont="1" applyFill="1" applyBorder="1" applyAlignment="1">
      <alignment vertical="center"/>
    </xf>
    <xf numFmtId="0" fontId="24" fillId="0" borderId="0" xfId="0" applyFont="1">
      <alignment vertical="center"/>
    </xf>
    <xf numFmtId="0" fontId="0" fillId="0" borderId="1" xfId="2" applyFont="1" applyBorder="1">
      <alignment vertical="center"/>
    </xf>
    <xf numFmtId="0" fontId="25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24" fillId="0" borderId="1" xfId="0" applyFont="1" applyFill="1" applyBorder="1">
      <alignment vertical="center"/>
    </xf>
    <xf numFmtId="0" fontId="24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25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26" fillId="0" borderId="1" xfId="0" applyFont="1" applyBorder="1">
      <alignment vertical="center"/>
    </xf>
    <xf numFmtId="0" fontId="0" fillId="0" borderId="0" xfId="0" applyBorder="1">
      <alignment vertical="center"/>
    </xf>
    <xf numFmtId="0" fontId="27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vertical="center"/>
    </xf>
    <xf numFmtId="0" fontId="26" fillId="0" borderId="0" xfId="0" applyFont="1">
      <alignment vertical="center"/>
    </xf>
    <xf numFmtId="0" fontId="23" fillId="0" borderId="1" xfId="1" applyFont="1" applyBorder="1" applyAlignment="1">
      <alignment vertical="center"/>
    </xf>
    <xf numFmtId="0" fontId="27" fillId="0" borderId="1" xfId="1" applyFont="1" applyBorder="1" applyAlignment="1">
      <alignment vertical="center"/>
    </xf>
    <xf numFmtId="0" fontId="28" fillId="0" borderId="0" xfId="0" applyFont="1" applyAlignment="1">
      <alignment horizontal="justify" vertical="center"/>
    </xf>
    <xf numFmtId="0" fontId="29" fillId="4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1" fillId="0" borderId="0" xfId="0" applyFont="1">
      <alignment vertical="center"/>
    </xf>
    <xf numFmtId="0" fontId="21" fillId="0" borderId="1" xfId="0" applyFont="1" applyBorder="1">
      <alignment vertical="center"/>
    </xf>
    <xf numFmtId="0" fontId="22" fillId="0" borderId="2" xfId="0" applyFont="1" applyFill="1" applyBorder="1" applyAlignment="1">
      <alignment horizontal="center" vertical="center"/>
    </xf>
    <xf numFmtId="0" fontId="32" fillId="5" borderId="1" xfId="0" applyFont="1" applyFill="1" applyBorder="1">
      <alignment vertical="center"/>
    </xf>
    <xf numFmtId="0" fontId="20" fillId="0" borderId="1" xfId="0" applyFont="1" applyBorder="1">
      <alignment vertical="center"/>
    </xf>
    <xf numFmtId="0" fontId="19" fillId="0" borderId="1" xfId="0" applyFont="1" applyBorder="1">
      <alignment vertical="center"/>
    </xf>
    <xf numFmtId="0" fontId="32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18" fillId="0" borderId="3" xfId="0" applyFont="1" applyBorder="1">
      <alignment vertical="center"/>
    </xf>
    <xf numFmtId="0" fontId="19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20" fillId="0" borderId="3" xfId="0" applyFont="1" applyBorder="1">
      <alignment vertical="center"/>
    </xf>
    <xf numFmtId="0" fontId="32" fillId="5" borderId="3" xfId="0" applyFont="1" applyFill="1" applyBorder="1">
      <alignment vertical="center"/>
    </xf>
    <xf numFmtId="0" fontId="17" fillId="0" borderId="1" xfId="0" applyFont="1" applyBorder="1">
      <alignment vertical="center"/>
    </xf>
    <xf numFmtId="0" fontId="16" fillId="0" borderId="1" xfId="0" applyFont="1" applyBorder="1">
      <alignment vertical="center"/>
    </xf>
    <xf numFmtId="0" fontId="15" fillId="0" borderId="1" xfId="0" applyFont="1" applyBorder="1">
      <alignment vertical="center"/>
    </xf>
    <xf numFmtId="0" fontId="15" fillId="0" borderId="3" xfId="0" applyFont="1" applyBorder="1">
      <alignment vertical="center"/>
    </xf>
    <xf numFmtId="0" fontId="14" fillId="0" borderId="1" xfId="0" applyFont="1" applyBorder="1">
      <alignment vertical="center"/>
    </xf>
    <xf numFmtId="0" fontId="13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32" fillId="5" borderId="0" xfId="0" applyFont="1" applyFill="1" applyBorder="1">
      <alignment vertical="center"/>
    </xf>
    <xf numFmtId="0" fontId="32" fillId="5" borderId="4" xfId="0" applyFont="1" applyFill="1" applyBorder="1">
      <alignment vertical="center"/>
    </xf>
    <xf numFmtId="0" fontId="22" fillId="5" borderId="1" xfId="0" applyFont="1" applyFill="1" applyBorder="1">
      <alignment vertical="center"/>
    </xf>
    <xf numFmtId="0" fontId="12" fillId="0" borderId="1" xfId="0" applyFont="1" applyBorder="1">
      <alignment vertical="center"/>
    </xf>
    <xf numFmtId="0" fontId="11" fillId="0" borderId="1" xfId="0" applyFont="1" applyBorder="1">
      <alignment vertical="center"/>
    </xf>
    <xf numFmtId="0" fontId="0" fillId="0" borderId="1" xfId="0" applyNumberFormat="1" applyBorder="1">
      <alignment vertical="center"/>
    </xf>
    <xf numFmtId="0" fontId="0" fillId="0" borderId="5" xfId="0" applyBorder="1">
      <alignment vertical="center"/>
    </xf>
    <xf numFmtId="0" fontId="32" fillId="5" borderId="5" xfId="0" applyFont="1" applyFill="1" applyBorder="1">
      <alignment vertical="center"/>
    </xf>
    <xf numFmtId="0" fontId="10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2" fillId="5" borderId="2" xfId="0" applyFont="1" applyFill="1" applyBorder="1">
      <alignment vertical="center"/>
    </xf>
    <xf numFmtId="49" fontId="0" fillId="0" borderId="0" xfId="0" applyNumberFormat="1" applyBorder="1">
      <alignment vertical="center"/>
    </xf>
    <xf numFmtId="0" fontId="20" fillId="0" borderId="0" xfId="0" applyFont="1" applyBorder="1">
      <alignment vertical="center"/>
    </xf>
    <xf numFmtId="0" fontId="8" fillId="0" borderId="0" xfId="0" applyFont="1" applyBorder="1">
      <alignment vertical="center"/>
    </xf>
    <xf numFmtId="0" fontId="0" fillId="0" borderId="0" xfId="0" applyFill="1" applyBorder="1">
      <alignment vertical="center"/>
    </xf>
    <xf numFmtId="0" fontId="8" fillId="0" borderId="1" xfId="0" applyFont="1" applyBorder="1">
      <alignment vertical="center"/>
    </xf>
    <xf numFmtId="0" fontId="9" fillId="0" borderId="3" xfId="0" applyFont="1" applyBorder="1">
      <alignment vertical="center"/>
    </xf>
    <xf numFmtId="0" fontId="17" fillId="0" borderId="3" xfId="0" applyFont="1" applyBorder="1">
      <alignment vertical="center"/>
    </xf>
    <xf numFmtId="0" fontId="7" fillId="0" borderId="1" xfId="0" applyFont="1" applyBorder="1">
      <alignment vertical="center"/>
    </xf>
    <xf numFmtId="0" fontId="0" fillId="0" borderId="1" xfId="0" applyFill="1" applyBorder="1" applyAlignment="1">
      <alignment vertical="center" wrapText="1"/>
    </xf>
    <xf numFmtId="0" fontId="6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7" fillId="0" borderId="0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00" Target="worksheets/sheet100.xml" Type="http://schemas.openxmlformats.org/officeDocument/2006/relationships/worksheet"/><Relationship Id="rId101" Target="worksheets/sheet101.xml" Type="http://schemas.openxmlformats.org/officeDocument/2006/relationships/worksheet"/><Relationship Id="rId102" Target="worksheets/sheet102.xml" Type="http://schemas.openxmlformats.org/officeDocument/2006/relationships/worksheet"/><Relationship Id="rId103" Target="worksheets/sheet103.xml" Type="http://schemas.openxmlformats.org/officeDocument/2006/relationships/worksheet"/><Relationship Id="rId104" Target="worksheets/sheet104.xml" Type="http://schemas.openxmlformats.org/officeDocument/2006/relationships/worksheet"/><Relationship Id="rId105" Target="worksheets/sheet105.xml" Type="http://schemas.openxmlformats.org/officeDocument/2006/relationships/worksheet"/><Relationship Id="rId106" Target="worksheets/sheet106.xml" Type="http://schemas.openxmlformats.org/officeDocument/2006/relationships/worksheet"/><Relationship Id="rId107" Target="worksheets/sheet107.xml" Type="http://schemas.openxmlformats.org/officeDocument/2006/relationships/worksheet"/><Relationship Id="rId108" Target="worksheets/sheet108.xml" Type="http://schemas.openxmlformats.org/officeDocument/2006/relationships/worksheet"/><Relationship Id="rId109" Target="worksheets/sheet109.xml" Type="http://schemas.openxmlformats.org/officeDocument/2006/relationships/worksheet"/><Relationship Id="rId11" Target="worksheets/sheet11.xml" Type="http://schemas.openxmlformats.org/officeDocument/2006/relationships/worksheet"/><Relationship Id="rId110" Target="worksheets/sheet110.xml" Type="http://schemas.openxmlformats.org/officeDocument/2006/relationships/worksheet"/><Relationship Id="rId111" Target="worksheets/sheet111.xml" Type="http://schemas.openxmlformats.org/officeDocument/2006/relationships/worksheet"/><Relationship Id="rId112" Target="worksheets/sheet112.xml" Type="http://schemas.openxmlformats.org/officeDocument/2006/relationships/worksheet"/><Relationship Id="rId113" Target="worksheets/sheet113.xml" Type="http://schemas.openxmlformats.org/officeDocument/2006/relationships/worksheet"/><Relationship Id="rId114" Target="worksheets/sheet114.xml" Type="http://schemas.openxmlformats.org/officeDocument/2006/relationships/worksheet"/><Relationship Id="rId115" Target="worksheets/sheet115.xml" Type="http://schemas.openxmlformats.org/officeDocument/2006/relationships/worksheet"/><Relationship Id="rId116" Target="worksheets/sheet116.xml" Type="http://schemas.openxmlformats.org/officeDocument/2006/relationships/worksheet"/><Relationship Id="rId117" Target="worksheets/sheet117.xml" Type="http://schemas.openxmlformats.org/officeDocument/2006/relationships/worksheet"/><Relationship Id="rId118" Target="worksheets/sheet118.xml" Type="http://schemas.openxmlformats.org/officeDocument/2006/relationships/worksheet"/><Relationship Id="rId119" Target="worksheets/sheet119.xml" Type="http://schemas.openxmlformats.org/officeDocument/2006/relationships/worksheet"/><Relationship Id="rId12" Target="worksheets/sheet12.xml" Type="http://schemas.openxmlformats.org/officeDocument/2006/relationships/worksheet"/><Relationship Id="rId120" Target="worksheets/sheet120.xml" Type="http://schemas.openxmlformats.org/officeDocument/2006/relationships/worksheet"/><Relationship Id="rId121" Target="worksheets/sheet121.xml" Type="http://schemas.openxmlformats.org/officeDocument/2006/relationships/worksheet"/><Relationship Id="rId122" Target="worksheets/sheet122.xml" Type="http://schemas.openxmlformats.org/officeDocument/2006/relationships/worksheet"/><Relationship Id="rId123" Target="worksheets/sheet123.xml" Type="http://schemas.openxmlformats.org/officeDocument/2006/relationships/worksheet"/><Relationship Id="rId124" Target="worksheets/sheet124.xml" Type="http://schemas.openxmlformats.org/officeDocument/2006/relationships/worksheet"/><Relationship Id="rId125" Target="worksheets/sheet125.xml" Type="http://schemas.openxmlformats.org/officeDocument/2006/relationships/worksheet"/><Relationship Id="rId126" Target="worksheets/sheet126.xml" Type="http://schemas.openxmlformats.org/officeDocument/2006/relationships/worksheet"/><Relationship Id="rId127" Target="worksheets/sheet127.xml" Type="http://schemas.openxmlformats.org/officeDocument/2006/relationships/worksheet"/><Relationship Id="rId128" Target="worksheets/sheet128.xml" Type="http://schemas.openxmlformats.org/officeDocument/2006/relationships/worksheet"/><Relationship Id="rId129" Target="worksheets/sheet129.xml" Type="http://schemas.openxmlformats.org/officeDocument/2006/relationships/worksheet"/><Relationship Id="rId13" Target="worksheets/sheet13.xml" Type="http://schemas.openxmlformats.org/officeDocument/2006/relationships/worksheet"/><Relationship Id="rId130" Target="worksheets/sheet130.xml" Type="http://schemas.openxmlformats.org/officeDocument/2006/relationships/worksheet"/><Relationship Id="rId131" Target="worksheets/sheet131.xml" Type="http://schemas.openxmlformats.org/officeDocument/2006/relationships/worksheet"/><Relationship Id="rId132" Target="worksheets/sheet132.xml" Type="http://schemas.openxmlformats.org/officeDocument/2006/relationships/worksheet"/><Relationship Id="rId133" Target="worksheets/sheet133.xml" Type="http://schemas.openxmlformats.org/officeDocument/2006/relationships/worksheet"/><Relationship Id="rId134" Target="worksheets/sheet134.xml" Type="http://schemas.openxmlformats.org/officeDocument/2006/relationships/worksheet"/><Relationship Id="rId135" Target="worksheets/sheet135.xml" Type="http://schemas.openxmlformats.org/officeDocument/2006/relationships/worksheet"/><Relationship Id="rId136" Target="worksheets/sheet136.xml" Type="http://schemas.openxmlformats.org/officeDocument/2006/relationships/worksheet"/><Relationship Id="rId137" Target="worksheets/sheet137.xml" Type="http://schemas.openxmlformats.org/officeDocument/2006/relationships/worksheet"/><Relationship Id="rId138" Target="worksheets/sheet138.xml" Type="http://schemas.openxmlformats.org/officeDocument/2006/relationships/worksheet"/><Relationship Id="rId139" Target="worksheets/sheet139.xml" Type="http://schemas.openxmlformats.org/officeDocument/2006/relationships/worksheet"/><Relationship Id="rId14" Target="worksheets/sheet14.xml" Type="http://schemas.openxmlformats.org/officeDocument/2006/relationships/worksheet"/><Relationship Id="rId140" Target="worksheets/sheet140.xml" Type="http://schemas.openxmlformats.org/officeDocument/2006/relationships/worksheet"/><Relationship Id="rId141" Target="worksheets/sheet141.xml" Type="http://schemas.openxmlformats.org/officeDocument/2006/relationships/worksheet"/><Relationship Id="rId142" Target="worksheets/sheet142.xml" Type="http://schemas.openxmlformats.org/officeDocument/2006/relationships/worksheet"/><Relationship Id="rId143" Target="worksheets/sheet143.xml" Type="http://schemas.openxmlformats.org/officeDocument/2006/relationships/worksheet"/><Relationship Id="rId144" Target="worksheets/sheet144.xml" Type="http://schemas.openxmlformats.org/officeDocument/2006/relationships/worksheet"/><Relationship Id="rId145" Target="worksheets/sheet145.xml" Type="http://schemas.openxmlformats.org/officeDocument/2006/relationships/worksheet"/><Relationship Id="rId146" Target="worksheets/sheet146.xml" Type="http://schemas.openxmlformats.org/officeDocument/2006/relationships/worksheet"/><Relationship Id="rId147" Target="worksheets/sheet147.xml" Type="http://schemas.openxmlformats.org/officeDocument/2006/relationships/worksheet"/><Relationship Id="rId148" Target="worksheets/sheet148.xml" Type="http://schemas.openxmlformats.org/officeDocument/2006/relationships/worksheet"/><Relationship Id="rId149" Target="worksheets/sheet149.xml" Type="http://schemas.openxmlformats.org/officeDocument/2006/relationships/worksheet"/><Relationship Id="rId15" Target="worksheets/sheet15.xml" Type="http://schemas.openxmlformats.org/officeDocument/2006/relationships/worksheet"/><Relationship Id="rId150" Target="worksheets/sheet150.xml" Type="http://schemas.openxmlformats.org/officeDocument/2006/relationships/worksheet"/><Relationship Id="rId151" Target="worksheets/sheet151.xml" Type="http://schemas.openxmlformats.org/officeDocument/2006/relationships/worksheet"/><Relationship Id="rId152" Target="worksheets/sheet152.xml" Type="http://schemas.openxmlformats.org/officeDocument/2006/relationships/worksheet"/><Relationship Id="rId153" Target="worksheets/sheet153.xml" Type="http://schemas.openxmlformats.org/officeDocument/2006/relationships/worksheet"/><Relationship Id="rId154" Target="worksheets/sheet154.xml" Type="http://schemas.openxmlformats.org/officeDocument/2006/relationships/worksheet"/><Relationship Id="rId155" Target="worksheets/sheet155.xml" Type="http://schemas.openxmlformats.org/officeDocument/2006/relationships/worksheet"/><Relationship Id="rId156" Target="theme/theme1.xml" Type="http://schemas.openxmlformats.org/officeDocument/2006/relationships/theme"/><Relationship Id="rId157" Target="styles.xml" Type="http://schemas.openxmlformats.org/officeDocument/2006/relationships/styles"/><Relationship Id="rId158" Target="sharedStrings.xml" Type="http://schemas.openxmlformats.org/officeDocument/2006/relationships/sharedStrings"/><Relationship Id="rId159" Target="calcChain.xml" Type="http://schemas.openxmlformats.org/officeDocument/2006/relationships/calcChain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worksheets/sheet82.xml" Type="http://schemas.openxmlformats.org/officeDocument/2006/relationships/worksheet"/><Relationship Id="rId83" Target="worksheets/sheet83.xml" Type="http://schemas.openxmlformats.org/officeDocument/2006/relationships/worksheet"/><Relationship Id="rId84" Target="worksheets/sheet84.xml" Type="http://schemas.openxmlformats.org/officeDocument/2006/relationships/worksheet"/><Relationship Id="rId85" Target="worksheets/sheet85.xml" Type="http://schemas.openxmlformats.org/officeDocument/2006/relationships/worksheet"/><Relationship Id="rId86" Target="worksheets/sheet86.xml" Type="http://schemas.openxmlformats.org/officeDocument/2006/relationships/worksheet"/><Relationship Id="rId87" Target="worksheets/sheet87.xml" Type="http://schemas.openxmlformats.org/officeDocument/2006/relationships/worksheet"/><Relationship Id="rId88" Target="worksheets/sheet88.xml" Type="http://schemas.openxmlformats.org/officeDocument/2006/relationships/worksheet"/><Relationship Id="rId89" Target="worksheets/sheet89.xml" Type="http://schemas.openxmlformats.org/officeDocument/2006/relationships/worksheet"/><Relationship Id="rId9" Target="worksheets/sheet9.xml" Type="http://schemas.openxmlformats.org/officeDocument/2006/relationships/worksheet"/><Relationship Id="rId90" Target="worksheets/sheet90.xml" Type="http://schemas.openxmlformats.org/officeDocument/2006/relationships/worksheet"/><Relationship Id="rId91" Target="worksheets/sheet91.xml" Type="http://schemas.openxmlformats.org/officeDocument/2006/relationships/worksheet"/><Relationship Id="rId92" Target="worksheets/sheet92.xml" Type="http://schemas.openxmlformats.org/officeDocument/2006/relationships/worksheet"/><Relationship Id="rId93" Target="worksheets/sheet93.xml" Type="http://schemas.openxmlformats.org/officeDocument/2006/relationships/worksheet"/><Relationship Id="rId94" Target="worksheets/sheet94.xml" Type="http://schemas.openxmlformats.org/officeDocument/2006/relationships/worksheet"/><Relationship Id="rId95" Target="worksheets/sheet95.xml" Type="http://schemas.openxmlformats.org/officeDocument/2006/relationships/worksheet"/><Relationship Id="rId96" Target="worksheets/sheet96.xml" Type="http://schemas.openxmlformats.org/officeDocument/2006/relationships/worksheet"/><Relationship Id="rId97" Target="worksheets/sheet97.xml" Type="http://schemas.openxmlformats.org/officeDocument/2006/relationships/worksheet"/><Relationship Id="rId98" Target="worksheets/sheet98.xml" Type="http://schemas.openxmlformats.org/officeDocument/2006/relationships/worksheet"/><Relationship Id="rId99" Target="worksheets/sheet9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5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5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6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6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81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82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83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84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85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86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87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88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89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90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91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92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93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94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95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96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_rels/sheet97.xml.rels><?xml version="1.0" encoding="UTF-8" standalone="yes"?><Relationships xmlns="http://schemas.openxmlformats.org/package/2006/relationships"><Relationship Id="rId1" Target="../printerSettings/printerSettings77.bin" Type="http://schemas.openxmlformats.org/officeDocument/2006/relationships/printerSettings"/></Relationships>
</file>

<file path=xl/worksheets/_rels/sheet98.xml.rels><?xml version="1.0" encoding="UTF-8" standalone="yes"?><Relationships xmlns="http://schemas.openxmlformats.org/package/2006/relationships"><Relationship Id="rId1" Target="../printerSettings/printerSettings78.bin" Type="http://schemas.openxmlformats.org/officeDocument/2006/relationships/printerSettings"/></Relationships>
</file>

<file path=xl/worksheets/_rels/sheet99.xml.rels><?xml version="1.0" encoding="UTF-8" standalone="yes"?><Relationships xmlns="http://schemas.openxmlformats.org/package/2006/relationships"><Relationship Id="rId1" Target="../printerSettings/printerSettings79.bin" Type="http://schemas.openxmlformats.org/officeDocument/2006/relationships/printerSettings"/></Relationships>
</file>

<file path=xl/worksheets/_rels/sheet100.xml.rels><?xml version="1.0" encoding="UTF-8" standalone="yes"?><Relationships xmlns="http://schemas.openxmlformats.org/package/2006/relationships"><Relationship Id="rId1" Target="../printerSettings/printerSettings80.bin" Type="http://schemas.openxmlformats.org/officeDocument/2006/relationships/printerSettings"/></Relationships>
</file>

<file path=xl/worksheets/_rels/sheet101.xml.rels><?xml version="1.0" encoding="UTF-8" standalone="yes"?><Relationships xmlns="http://schemas.openxmlformats.org/package/2006/relationships"><Relationship Id="rId1" Target="../printerSettings/printerSettings81.bin" Type="http://schemas.openxmlformats.org/officeDocument/2006/relationships/printerSettings"/></Relationships>
</file>

<file path=xl/worksheets/_rels/sheet102.xml.rels><?xml version="1.0" encoding="UTF-8" standalone="yes"?><Relationships xmlns="http://schemas.openxmlformats.org/package/2006/relationships"><Relationship Id="rId1" Target="../printerSettings/printerSettings82.bin" Type="http://schemas.openxmlformats.org/officeDocument/2006/relationships/printerSettings"/></Relationships>
</file>

<file path=xl/worksheets/_rels/sheet103.xml.rels><?xml version="1.0" encoding="UTF-8" standalone="yes"?><Relationships xmlns="http://schemas.openxmlformats.org/package/2006/relationships"><Relationship Id="rId1" Target="../printerSettings/printerSettings83.bin" Type="http://schemas.openxmlformats.org/officeDocument/2006/relationships/printerSettings"/></Relationships>
</file>

<file path=xl/worksheets/_rels/sheet104.xml.rels><?xml version="1.0" encoding="UTF-8" standalone="yes"?><Relationships xmlns="http://schemas.openxmlformats.org/package/2006/relationships"><Relationship Id="rId1" Target="../printerSettings/printerSettings84.bin" Type="http://schemas.openxmlformats.org/officeDocument/2006/relationships/printerSettings"/></Relationships>
</file>

<file path=xl/worksheets/_rels/sheet105.xml.rels><?xml version="1.0" encoding="UTF-8" standalone="yes"?><Relationships xmlns="http://schemas.openxmlformats.org/package/2006/relationships"><Relationship Id="rId1" Target="../printerSettings/printerSettings85.bin" Type="http://schemas.openxmlformats.org/officeDocument/2006/relationships/printerSettings"/></Relationships>
</file>

<file path=xl/worksheets/_rels/sheet106.xml.rels><?xml version="1.0" encoding="UTF-8" standalone="yes"?><Relationships xmlns="http://schemas.openxmlformats.org/package/2006/relationships"><Relationship Id="rId1" Target="../printerSettings/printerSettings86.bin" Type="http://schemas.openxmlformats.org/officeDocument/2006/relationships/printerSettings"/></Relationships>
</file>

<file path=xl/worksheets/_rels/sheet107.xml.rels><?xml version="1.0" encoding="UTF-8" standalone="yes"?><Relationships xmlns="http://schemas.openxmlformats.org/package/2006/relationships"><Relationship Id="rId1" Target="../printerSettings/printerSettings87.bin" Type="http://schemas.openxmlformats.org/officeDocument/2006/relationships/printerSettings"/></Relationships>
</file>

<file path=xl/worksheets/_rels/sheet108.xml.rels><?xml version="1.0" encoding="UTF-8" standalone="yes"?><Relationships xmlns="http://schemas.openxmlformats.org/package/2006/relationships"><Relationship Id="rId1" Target="../printerSettings/printerSettings88.bin" Type="http://schemas.openxmlformats.org/officeDocument/2006/relationships/printerSettings"/></Relationships>
</file>

<file path=xl/worksheets/_rels/sheet109.xml.rels><?xml version="1.0" encoding="UTF-8" standalone="yes"?><Relationships xmlns="http://schemas.openxmlformats.org/package/2006/relationships"><Relationship Id="rId1" Target="../printerSettings/printerSettings89.bin" Type="http://schemas.openxmlformats.org/officeDocument/2006/relationships/printerSettings"/></Relationships>
</file>

<file path=xl/worksheets/_rels/sheet110.xml.rels><?xml version="1.0" encoding="UTF-8" standalone="yes"?><Relationships xmlns="http://schemas.openxmlformats.org/package/2006/relationships"><Relationship Id="rId1" Target="../printerSettings/printerSettings90.bin" Type="http://schemas.openxmlformats.org/officeDocument/2006/relationships/printerSettings"/></Relationships>
</file>

<file path=xl/worksheets/_rels/sheet111.xml.rels><?xml version="1.0" encoding="UTF-8" standalone="yes"?><Relationships xmlns="http://schemas.openxmlformats.org/package/2006/relationships"><Relationship Id="rId1" Target="../printerSettings/printerSettings91.bin" Type="http://schemas.openxmlformats.org/officeDocument/2006/relationships/printerSettings"/></Relationships>
</file>

<file path=xl/worksheets/_rels/sheet112.xml.rels><?xml version="1.0" encoding="UTF-8" standalone="yes"?><Relationships xmlns="http://schemas.openxmlformats.org/package/2006/relationships"><Relationship Id="rId1" Target="../printerSettings/printerSettings92.bin" Type="http://schemas.openxmlformats.org/officeDocument/2006/relationships/printerSettings"/></Relationships>
</file>

<file path=xl/worksheets/_rels/sheet113.xml.rels><?xml version="1.0" encoding="UTF-8" standalone="yes"?><Relationships xmlns="http://schemas.openxmlformats.org/package/2006/relationships"><Relationship Id="rId1" Target="../printerSettings/printerSettings93.bin" Type="http://schemas.openxmlformats.org/officeDocument/2006/relationships/printerSettings"/></Relationships>
</file>

<file path=xl/worksheets/_rels/sheet114.xml.rels><?xml version="1.0" encoding="UTF-8" standalone="yes"?><Relationships xmlns="http://schemas.openxmlformats.org/package/2006/relationships"><Relationship Id="rId1" Target="../printerSettings/printerSettings94.bin" Type="http://schemas.openxmlformats.org/officeDocument/2006/relationships/printerSettings"/></Relationships>
</file>

<file path=xl/worksheets/_rels/sheet115.xml.rels><?xml version="1.0" encoding="UTF-8" standalone="yes"?><Relationships xmlns="http://schemas.openxmlformats.org/package/2006/relationships"><Relationship Id="rId1" Target="../printerSettings/printerSettings95.bin" Type="http://schemas.openxmlformats.org/officeDocument/2006/relationships/printerSettings"/></Relationships>
</file>

<file path=xl/worksheets/_rels/sheet116.xml.rels><?xml version="1.0" encoding="UTF-8" standalone="yes"?><Relationships xmlns="http://schemas.openxmlformats.org/package/2006/relationships"><Relationship Id="rId1" Target="../printerSettings/printerSettings96.bin" Type="http://schemas.openxmlformats.org/officeDocument/2006/relationships/printerSettings"/></Relationships>
</file>

<file path=xl/worksheets/_rels/sheet117.xml.rels><?xml version="1.0" encoding="UTF-8" standalone="yes"?><Relationships xmlns="http://schemas.openxmlformats.org/package/2006/relationships"><Relationship Id="rId1" Target="../printerSettings/printerSettings97.bin" Type="http://schemas.openxmlformats.org/officeDocument/2006/relationships/printerSettings"/></Relationships>
</file>

<file path=xl/worksheets/_rels/sheet118.xml.rels><?xml version="1.0" encoding="UTF-8" standalone="yes"?><Relationships xmlns="http://schemas.openxmlformats.org/package/2006/relationships"><Relationship Id="rId1" Target="../printerSettings/printerSettings98.bin" Type="http://schemas.openxmlformats.org/officeDocument/2006/relationships/printerSettings"/></Relationships>
</file>

<file path=xl/worksheets/_rels/sheet119.xml.rels><?xml version="1.0" encoding="UTF-8" standalone="yes"?><Relationships xmlns="http://schemas.openxmlformats.org/package/2006/relationships"><Relationship Id="rId1" Target="../printerSettings/printerSettings99.bin" Type="http://schemas.openxmlformats.org/officeDocument/2006/relationships/printerSettings"/></Relationships>
</file>

<file path=xl/worksheets/_rels/sheet120.xml.rels><?xml version="1.0" encoding="UTF-8" standalone="yes"?><Relationships xmlns="http://schemas.openxmlformats.org/package/2006/relationships"><Relationship Id="rId1" Target="../printerSettings/printerSettings100.bin" Type="http://schemas.openxmlformats.org/officeDocument/2006/relationships/printerSettings"/></Relationships>
</file>

<file path=xl/worksheets/_rels/sheet121.xml.rels><?xml version="1.0" encoding="UTF-8" standalone="yes"?><Relationships xmlns="http://schemas.openxmlformats.org/package/2006/relationships"><Relationship Id="rId1" Target="../printerSettings/printerSettings101.bin" Type="http://schemas.openxmlformats.org/officeDocument/2006/relationships/printerSettings"/></Relationships>
</file>

<file path=xl/worksheets/_rels/sheet122.xml.rels><?xml version="1.0" encoding="UTF-8" standalone="yes"?><Relationships xmlns="http://schemas.openxmlformats.org/package/2006/relationships"><Relationship Id="rId1" Target="../printerSettings/printerSettings102.bin" Type="http://schemas.openxmlformats.org/officeDocument/2006/relationships/printerSettings"/></Relationships>
</file>

<file path=xl/worksheets/_rels/sheet123.xml.rels><?xml version="1.0" encoding="UTF-8" standalone="yes"?><Relationships xmlns="http://schemas.openxmlformats.org/package/2006/relationships"><Relationship Id="rId1" Target="../printerSettings/printerSettings103.bin" Type="http://schemas.openxmlformats.org/officeDocument/2006/relationships/printerSettings"/></Relationships>
</file>

<file path=xl/worksheets/_rels/sheet124.xml.rels><?xml version="1.0" encoding="UTF-8" standalone="yes"?><Relationships xmlns="http://schemas.openxmlformats.org/package/2006/relationships"><Relationship Id="rId1" Target="../printerSettings/printerSettings104.bin" Type="http://schemas.openxmlformats.org/officeDocument/2006/relationships/printerSettings"/></Relationships>
</file>

<file path=xl/worksheets/_rels/sheet125.xml.rels><?xml version="1.0" encoding="UTF-8" standalone="yes"?><Relationships xmlns="http://schemas.openxmlformats.org/package/2006/relationships"><Relationship Id="rId1" Target="../printerSettings/printerSettings105.bin" Type="http://schemas.openxmlformats.org/officeDocument/2006/relationships/printerSettings"/></Relationships>
</file>

<file path=xl/worksheets/_rels/sheet126.xml.rels><?xml version="1.0" encoding="UTF-8" standalone="yes"?><Relationships xmlns="http://schemas.openxmlformats.org/package/2006/relationships"><Relationship Id="rId1" Target="../printerSettings/printerSettings106.bin" Type="http://schemas.openxmlformats.org/officeDocument/2006/relationships/printerSettings"/></Relationships>
</file>

<file path=xl/worksheets/_rels/sheet127.xml.rels><?xml version="1.0" encoding="UTF-8" standalone="yes"?><Relationships xmlns="http://schemas.openxmlformats.org/package/2006/relationships"><Relationship Id="rId1" Target="../printerSettings/printerSettings107.bin" Type="http://schemas.openxmlformats.org/officeDocument/2006/relationships/printerSettings"/></Relationships>
</file>

<file path=xl/worksheets/_rels/sheet128.xml.rels><?xml version="1.0" encoding="UTF-8" standalone="yes"?><Relationships xmlns="http://schemas.openxmlformats.org/package/2006/relationships"><Relationship Id="rId1" Target="../printerSettings/printerSettings108.bin" Type="http://schemas.openxmlformats.org/officeDocument/2006/relationships/printerSettings"/></Relationships>
</file>

<file path=xl/worksheets/_rels/sheet129.xml.rels><?xml version="1.0" encoding="UTF-8" standalone="yes"?><Relationships xmlns="http://schemas.openxmlformats.org/package/2006/relationships"><Relationship Id="rId1" Target="../printerSettings/printerSettings109.bin" Type="http://schemas.openxmlformats.org/officeDocument/2006/relationships/printerSettings"/></Relationships>
</file>

<file path=xl/worksheets/_rels/sheet130.xml.rels><?xml version="1.0" encoding="UTF-8" standalone="yes"?><Relationships xmlns="http://schemas.openxmlformats.org/package/2006/relationships"><Relationship Id="rId1" Target="../printerSettings/printerSettings110.bin" Type="http://schemas.openxmlformats.org/officeDocument/2006/relationships/printerSettings"/></Relationships>
</file>

<file path=xl/worksheets/_rels/sheet131.xml.rels><?xml version="1.0" encoding="UTF-8" standalone="yes"?><Relationships xmlns="http://schemas.openxmlformats.org/package/2006/relationships"><Relationship Id="rId1" Target="../printerSettings/printerSettings111.bin" Type="http://schemas.openxmlformats.org/officeDocument/2006/relationships/printerSettings"/></Relationships>
</file>

<file path=xl/worksheets/_rels/sheet132.xml.rels><?xml version="1.0" encoding="UTF-8" standalone="yes"?><Relationships xmlns="http://schemas.openxmlformats.org/package/2006/relationships"><Relationship Id="rId1" Target="../printerSettings/printerSettings112.bin" Type="http://schemas.openxmlformats.org/officeDocument/2006/relationships/printerSettings"/></Relationships>
</file>

<file path=xl/worksheets/_rels/sheet133.xml.rels><?xml version="1.0" encoding="UTF-8" standalone="yes"?><Relationships xmlns="http://schemas.openxmlformats.org/package/2006/relationships"><Relationship Id="rId1" Target="../printerSettings/printerSettings113.bin" Type="http://schemas.openxmlformats.org/officeDocument/2006/relationships/printerSettings"/></Relationships>
</file>

<file path=xl/worksheets/_rels/sheet134.xml.rels><?xml version="1.0" encoding="UTF-8" standalone="yes"?><Relationships xmlns="http://schemas.openxmlformats.org/package/2006/relationships"><Relationship Id="rId1" Target="../printerSettings/printerSettings114.bin" Type="http://schemas.openxmlformats.org/officeDocument/2006/relationships/printerSettings"/></Relationships>
</file>

<file path=xl/worksheets/_rels/sheet135.xml.rels><?xml version="1.0" encoding="UTF-8" standalone="yes"?><Relationships xmlns="http://schemas.openxmlformats.org/package/2006/relationships"><Relationship Id="rId1" Target="../printerSettings/printerSettings115.bin" Type="http://schemas.openxmlformats.org/officeDocument/2006/relationships/printerSettings"/></Relationships>
</file>

<file path=xl/worksheets/_rels/sheet136.xml.rels><?xml version="1.0" encoding="UTF-8" standalone="yes"?><Relationships xmlns="http://schemas.openxmlformats.org/package/2006/relationships"><Relationship Id="rId1" Target="../printerSettings/printerSettings116.bin" Type="http://schemas.openxmlformats.org/officeDocument/2006/relationships/printerSettings"/></Relationships>
</file>

<file path=xl/worksheets/_rels/sheet137.xml.rels><?xml version="1.0" encoding="UTF-8" standalone="yes"?><Relationships xmlns="http://schemas.openxmlformats.org/package/2006/relationships"><Relationship Id="rId1" Target="../printerSettings/printerSettings117.bin" Type="http://schemas.openxmlformats.org/officeDocument/2006/relationships/printerSettings"/></Relationships>
</file>

<file path=xl/worksheets/_rels/sheet138.xml.rels><?xml version="1.0" encoding="UTF-8" standalone="yes"?><Relationships xmlns="http://schemas.openxmlformats.org/package/2006/relationships"><Relationship Id="rId1" Target="../printerSettings/printerSettings118.bin" Type="http://schemas.openxmlformats.org/officeDocument/2006/relationships/printerSettings"/></Relationships>
</file>

<file path=xl/worksheets/_rels/sheet139.xml.rels><?xml version="1.0" encoding="UTF-8" standalone="yes"?><Relationships xmlns="http://schemas.openxmlformats.org/package/2006/relationships"><Relationship Id="rId1" Target="../printerSettings/printerSettings119.bin" Type="http://schemas.openxmlformats.org/officeDocument/2006/relationships/printerSettings"/></Relationships>
</file>

<file path=xl/worksheets/_rels/sheet140.xml.rels><?xml version="1.0" encoding="UTF-8" standalone="yes"?><Relationships xmlns="http://schemas.openxmlformats.org/package/2006/relationships"><Relationship Id="rId1" Target="../printerSettings/printerSettings120.bin" Type="http://schemas.openxmlformats.org/officeDocument/2006/relationships/printerSettings"/></Relationships>
</file>

<file path=xl/worksheets/_rels/sheet141.xml.rels><?xml version="1.0" encoding="UTF-8" standalone="yes"?><Relationships xmlns="http://schemas.openxmlformats.org/package/2006/relationships"><Relationship Id="rId1" Target="../printerSettings/printerSettings121.bin" Type="http://schemas.openxmlformats.org/officeDocument/2006/relationships/printerSettings"/></Relationships>
</file>

<file path=xl/worksheets/_rels/sheet142.xml.rels><?xml version="1.0" encoding="UTF-8" standalone="yes"?><Relationships xmlns="http://schemas.openxmlformats.org/package/2006/relationships"><Relationship Id="rId1" Target="../printerSettings/printerSettings122.bin" Type="http://schemas.openxmlformats.org/officeDocument/2006/relationships/printerSettings"/></Relationships>
</file>

<file path=xl/worksheets/_rels/sheet143.xml.rels><?xml version="1.0" encoding="UTF-8" standalone="yes"?><Relationships xmlns="http://schemas.openxmlformats.org/package/2006/relationships"><Relationship Id="rId1" Target="../printerSettings/printerSettings123.bin" Type="http://schemas.openxmlformats.org/officeDocument/2006/relationships/printerSettings"/></Relationships>
</file>

<file path=xl/worksheets/_rels/sheet144.xml.rels><?xml version="1.0" encoding="UTF-8" standalone="yes"?><Relationships xmlns="http://schemas.openxmlformats.org/package/2006/relationships"><Relationship Id="rId1" Target="../printerSettings/printerSettings124.bin" Type="http://schemas.openxmlformats.org/officeDocument/2006/relationships/printerSettings"/></Relationships>
</file>

<file path=xl/worksheets/_rels/sheet145.xml.rels><?xml version="1.0" encoding="UTF-8" standalone="yes"?><Relationships xmlns="http://schemas.openxmlformats.org/package/2006/relationships"><Relationship Id="rId1" Target="../printerSettings/printerSettings125.bin" Type="http://schemas.openxmlformats.org/officeDocument/2006/relationships/printerSettings"/></Relationships>
</file>

<file path=xl/worksheets/_rels/sheet146.xml.rels><?xml version="1.0" encoding="UTF-8" standalone="yes"?><Relationships xmlns="http://schemas.openxmlformats.org/package/2006/relationships"><Relationship Id="rId1" Target="../printerSettings/printerSettings126.bin" Type="http://schemas.openxmlformats.org/officeDocument/2006/relationships/printerSettings"/></Relationships>
</file>

<file path=xl/worksheets/_rels/sheet147.xml.rels><?xml version="1.0" encoding="UTF-8" standalone="yes"?><Relationships xmlns="http://schemas.openxmlformats.org/package/2006/relationships"><Relationship Id="rId1" Target="../printerSettings/printerSettings127.bin" Type="http://schemas.openxmlformats.org/officeDocument/2006/relationships/printerSettings"/></Relationships>
</file>

<file path=xl/worksheets/_rels/sheet148.xml.rels><?xml version="1.0" encoding="UTF-8" standalone="yes"?><Relationships xmlns="http://schemas.openxmlformats.org/package/2006/relationships"><Relationship Id="rId1" Target="../printerSettings/printerSettings128.bin" Type="http://schemas.openxmlformats.org/officeDocument/2006/relationships/printerSettings"/></Relationships>
</file>

<file path=xl/worksheets/_rels/sheet149.xml.rels><?xml version="1.0" encoding="UTF-8" standalone="yes"?><Relationships xmlns="http://schemas.openxmlformats.org/package/2006/relationships"><Relationship Id="rId1" Target="../printerSettings/printerSettings129.bin" Type="http://schemas.openxmlformats.org/officeDocument/2006/relationships/printerSettings"/></Relationships>
</file>

<file path=xl/worksheets/_rels/sheet150.xml.rels><?xml version="1.0" encoding="UTF-8" standalone="yes"?><Relationships xmlns="http://schemas.openxmlformats.org/package/2006/relationships"><Relationship Id="rId1" Target="../printerSettings/printerSettings130.bin" Type="http://schemas.openxmlformats.org/officeDocument/2006/relationships/printerSettings"/></Relationships>
</file>

<file path=xl/worksheets/_rels/sheet151.xml.rels><?xml version="1.0" encoding="UTF-8" standalone="yes"?><Relationships xmlns="http://schemas.openxmlformats.org/package/2006/relationships"><Relationship Id="rId1" Target="../printerSettings/printerSettings131.bin" Type="http://schemas.openxmlformats.org/officeDocument/2006/relationships/printerSettings"/></Relationships>
</file>

<file path=xl/worksheets/_rels/sheet152.xml.rels><?xml version="1.0" encoding="UTF-8" standalone="yes"?><Relationships xmlns="http://schemas.openxmlformats.org/package/2006/relationships"><Relationship Id="rId1" Target="../printerSettings/printerSettings132.bin" Type="http://schemas.openxmlformats.org/officeDocument/2006/relationships/printerSettings"/></Relationships>
</file>

<file path=xl/worksheets/_rels/sheet153.xml.rels><?xml version="1.0" encoding="UTF-8" standalone="yes"?><Relationships xmlns="http://schemas.openxmlformats.org/package/2006/relationships"><Relationship Id="rId1" Target="../printerSettings/printerSettings133.bin" Type="http://schemas.openxmlformats.org/officeDocument/2006/relationships/printerSettings"/></Relationships>
</file>

<file path=xl/worksheets/_rels/sheet154.xml.rels><?xml version="1.0" encoding="UTF-8" standalone="yes"?><Relationships xmlns="http://schemas.openxmlformats.org/package/2006/relationships"><Relationship Id="rId1" Target="../printerSettings/printerSettings13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20"/>
  <sheetViews>
    <sheetView workbookViewId="0">
      <selection activeCell="H8" sqref="H8"/>
    </sheetView>
  </sheetViews>
  <sheetFormatPr defaultColWidth="8.7109375" defaultRowHeight="15"/>
  <cols>
    <col min="1" max="1" customWidth="true" width="20.7109375"/>
    <col min="2" max="3" customWidth="true" width="12.7109375"/>
    <col min="4" max="4" customWidth="true" width="14.7109375"/>
    <col min="5" max="5" customWidth="true" width="9.85546875"/>
    <col min="6" max="6" customWidth="true" width="14.140625"/>
    <col min="7" max="7" customWidth="true" width="14.85546875"/>
    <col min="8" max="8" customWidth="true" width="22.28515625"/>
    <col min="9" max="9" customWidth="true" width="14.42578125"/>
    <col min="10" max="10" customWidth="true" width="13.0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T10"/>
  <sheetViews>
    <sheetView topLeftCell="G1" workbookViewId="0">
      <selection activeCell="M4" sqref="M4"/>
    </sheetView>
  </sheetViews>
  <sheetFormatPr defaultColWidth="8.7109375" defaultRowHeight="15"/>
  <cols>
    <col min="1" max="1" customWidth="true" width="30.0"/>
    <col min="2" max="2" customWidth="true" width="36.42578125"/>
    <col min="3" max="3" customWidth="true" width="6.0"/>
    <col min="4" max="4" customWidth="true" width="13.7109375"/>
    <col min="5" max="5" customWidth="true" width="5.28515625"/>
    <col min="6" max="6" customWidth="true" width="17.28515625"/>
    <col min="7" max="7" customWidth="true" width="30.28515625"/>
    <col min="8" max="8" customWidth="true" width="26.85546875"/>
    <col min="9" max="9" customWidth="true" width="17.28515625"/>
    <col min="10" max="10" customWidth="true" width="13.28515625"/>
    <col min="11" max="11" customWidth="true" width="22.7109375"/>
    <col min="12" max="12" customWidth="true" width="12.7109375"/>
    <col min="13" max="13" customWidth="true" width="29.5703125"/>
    <col min="14" max="14" customWidth="true" width="18.28515625"/>
    <col min="15" max="15" customWidth="true" width="16.28515625"/>
    <col min="16" max="16" customWidth="true" width="15.5703125"/>
    <col min="17" max="17" customWidth="true" width="17.7109375"/>
    <col min="18" max="18" customWidth="true" width="24.140625"/>
    <col min="19" max="19" customWidth="true" width="13.42578125"/>
    <col min="20" max="20" customWidth="true" width="13.5703125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 s="0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R3"/>
  <sheetViews>
    <sheetView workbookViewId="0">
      <selection activeCell="D3" sqref="D3:G3"/>
    </sheetView>
  </sheetViews>
  <sheetFormatPr defaultColWidth="8.85546875" defaultRowHeight="15"/>
  <cols>
    <col min="1" max="2" customWidth="true" width="21.0"/>
    <col min="3" max="3" customWidth="true" width="6.0"/>
    <col min="4" max="4" customWidth="true" width="12.7109375"/>
    <col min="5" max="5" customWidth="true" width="19.42578125"/>
    <col min="6" max="6" customWidth="true" width="15.140625"/>
    <col min="7" max="7" customWidth="true" width="15.42578125"/>
    <col min="8" max="8" customWidth="true" width="19.5703125"/>
    <col min="9" max="9" customWidth="true" width="10.85546875"/>
    <col min="10" max="10" customWidth="true" width="17.5703125"/>
    <col min="11" max="11" customWidth="true" width="11.28515625"/>
    <col min="12" max="12" customWidth="true" width="21.7109375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F3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F4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C3"/>
  <sheetViews>
    <sheetView workbookViewId="0">
      <selection activeCell="F15" sqref="F15"/>
    </sheetView>
  </sheetViews>
  <sheetFormatPr defaultColWidth="8.85546875" defaultRowHeight="15"/>
  <cols>
    <col min="1" max="1" customWidth="true" width="28.7109375"/>
  </cols>
  <sheetData>
    <row r="1" spans="1:3">
      <c r="A1" t="s" s="0">
        <v>78</v>
      </c>
      <c r="B1" t="s" s="0">
        <v>79</v>
      </c>
      <c r="C1" t="s" s="0">
        <v>80</v>
      </c>
    </row>
    <row r="2" spans="1:3">
      <c r="A2" t="s" s="0">
        <v>81</v>
      </c>
      <c r="B2" s="0">
        <v>100</v>
      </c>
      <c r="C2" s="0">
        <v>34</v>
      </c>
    </row>
    <row r="3" spans="1:3">
      <c r="A3" t="s" s="0">
        <v>82</v>
      </c>
      <c r="B3" s="0">
        <v>50</v>
      </c>
      <c r="C3" s="0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G4"/>
  <sheetViews>
    <sheetView workbookViewId="0">
      <selection activeCell="B2" sqref="B2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G4"/>
  <sheetViews>
    <sheetView workbookViewId="0">
      <selection activeCell="E5" sqref="E5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S17"/>
  <sheetViews>
    <sheetView workbookViewId="0">
      <selection activeCell="D25" sqref="D25"/>
    </sheetView>
  </sheetViews>
  <sheetFormatPr defaultColWidth="8.85546875" defaultRowHeight="15"/>
  <cols>
    <col min="1" max="1" customWidth="true" width="39.7109375"/>
    <col min="2" max="2" customWidth="true" width="10.140625"/>
    <col min="3" max="3" customWidth="true" width="39.7109375"/>
    <col min="4" max="4" customWidth="true" width="11.0"/>
    <col min="5" max="5" customWidth="true" width="13.28515625"/>
    <col min="6" max="6" customWidth="true" width="8.85546875"/>
    <col min="7" max="7" customWidth="true" width="17.85546875"/>
    <col min="8" max="8" customWidth="true" width="19.5703125"/>
    <col min="9" max="9" customWidth="true" width="23.7109375"/>
    <col min="10" max="10" customWidth="true" width="12.7109375"/>
    <col min="11" max="11" customWidth="true" width="11.85546875"/>
    <col min="12" max="12" customWidth="true" width="17.42578125"/>
    <col min="13" max="14" customWidth="true" width="39.7109375"/>
    <col min="15" max="15" customWidth="true" width="25.7109375"/>
    <col min="16" max="17" customWidth="true" width="16.5703125"/>
    <col min="18" max="18" customWidth="true" width="11.5703125"/>
    <col min="19" max="19" customWidth="true" width="14.85546875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K6"/>
  <sheetViews>
    <sheetView workbookViewId="0">
      <selection activeCell="A6" sqref="A6:K6"/>
    </sheetView>
  </sheetViews>
  <sheetFormatPr defaultColWidth="8.85546875" defaultRowHeight="15"/>
  <cols>
    <col min="1" max="1" customWidth="true" width="9.0"/>
    <col min="2" max="2" customWidth="true" width="25.7109375"/>
    <col min="3" max="3" customWidth="true" width="12.42578125"/>
    <col min="4" max="4" customWidth="true" width="16.28515625"/>
    <col min="5" max="5" customWidth="true" width="20.28515625"/>
    <col min="6" max="6" customWidth="true" width="25.7109375"/>
    <col min="7" max="7" customWidth="true" width="12.28515625"/>
    <col min="8" max="8" customWidth="true" width="14.5703125"/>
    <col min="9" max="9" customWidth="true" width="28.5703125"/>
    <col min="10" max="10" customWidth="true" width="23.0"/>
    <col min="11" max="11" customWidth="true" width="14.7109375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E4"/>
  <sheetViews>
    <sheetView workbookViewId="0">
      <selection activeCell="D6" sqref="D6"/>
    </sheetView>
  </sheetViews>
  <sheetFormatPr defaultColWidth="8.85546875" defaultRowHeight="15"/>
  <cols>
    <col min="1" max="1" customWidth="true" width="13.5703125"/>
    <col min="2" max="2" customWidth="true" width="6.0"/>
    <col min="3" max="3" customWidth="true" width="14.42578125"/>
    <col min="4" max="4" customWidth="true" width="18.140625"/>
    <col min="5" max="5" customWidth="true" width="19.5703125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G14"/>
  <sheetViews>
    <sheetView workbookViewId="0">
      <selection activeCell="A16" sqref="A16"/>
    </sheetView>
  </sheetViews>
  <sheetFormatPr defaultColWidth="8.85546875" defaultRowHeight="15"/>
  <cols>
    <col min="1" max="1" customWidth="true" width="25.7109375"/>
    <col min="2" max="2" customWidth="true" width="8.85546875"/>
    <col min="3" max="3" customWidth="true" width="12.28515625"/>
    <col min="4" max="4" customWidth="true" width="7.140625"/>
    <col min="5" max="5" customWidth="true" width="5.28515625"/>
    <col min="6" max="6" customWidth="true" width="17.42578125"/>
    <col min="7" max="7" customWidth="true" width="12.42578125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C3"/>
  <sheetViews>
    <sheetView workbookViewId="0">
      <selection activeCell="A8" sqref="A8"/>
    </sheetView>
  </sheetViews>
  <sheetFormatPr defaultColWidth="8.85546875" defaultRowHeight="15"/>
  <cols>
    <col min="1" max="1" customWidth="true" width="25.5703125"/>
    <col min="2" max="2" customWidth="true" width="15.140625"/>
    <col min="3" max="3" customWidth="true" width="16.42578125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F3"/>
  <sheetViews>
    <sheetView workbookViewId="0">
      <selection activeCell="E9" sqref="E9"/>
    </sheetView>
  </sheetViews>
  <sheetFormatPr defaultColWidth="8.85546875" defaultRowHeight="15"/>
  <cols>
    <col min="1" max="1" bestFit="true" customWidth="true" width="24.85546875"/>
    <col min="2" max="2" customWidth="true" width="11.5703125"/>
    <col min="3" max="3" customWidth="true" width="9.0"/>
    <col min="4" max="4" bestFit="true" customWidth="true" width="19.28515625"/>
    <col min="5" max="5" customWidth="true" width="19.28515625"/>
    <col min="6" max="6" bestFit="true" customWidth="true" width="12.28515625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 s="0">
        <v>249</v>
      </c>
      <c r="E2" t="s" s="0">
        <v>251</v>
      </c>
      <c r="F2" s="0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 s="0">
        <v>252</v>
      </c>
      <c r="E3" t="s" s="0">
        <v>248</v>
      </c>
      <c r="F3" s="0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C3"/>
  <sheetViews>
    <sheetView workbookViewId="0">
      <selection activeCell="B16" sqref="B16"/>
    </sheetView>
  </sheetViews>
  <sheetFormatPr defaultColWidth="8.85546875" defaultRowHeight="15"/>
  <cols>
    <col min="1" max="1" customWidth="true" width="21.42578125"/>
    <col min="2" max="2" customWidth="true" width="11.5703125"/>
    <col min="3" max="3" customWidth="true" width="9.0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6"/>
  <dimension ref="A1:B2"/>
  <sheetViews>
    <sheetView workbookViewId="0">
      <selection activeCell="J18" sqref="J18"/>
    </sheetView>
  </sheetViews>
  <sheetFormatPr defaultColWidth="8.7109375" defaultRowHeight="15"/>
  <cols>
    <col min="1" max="1" customWidth="true" width="20.42578125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17"/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18"/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9"/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20"/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 s="0">
        <v>234</v>
      </c>
      <c r="B1" s="7" t="s">
        <v>84</v>
      </c>
      <c r="C1" s="7" t="s">
        <v>80</v>
      </c>
    </row>
    <row r="2" spans="1:3">
      <c r="A2" t="s" s="0">
        <v>241</v>
      </c>
      <c r="B2" s="0">
        <v>23</v>
      </c>
    </row>
    <row r="3" spans="1:3">
      <c r="A3" t="s" s="0">
        <v>242</v>
      </c>
      <c r="B3" s="0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21"/>
  <dimension ref="A1:W5"/>
  <sheetViews>
    <sheetView topLeftCell="M1" workbookViewId="0">
      <selection activeCell="U17" sqref="U17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t="s" s="0">
        <v>285</v>
      </c>
      <c r="C3" s="1" t="s">
        <v>283</v>
      </c>
      <c r="D3" t="s" s="0">
        <v>284</v>
      </c>
      <c r="E3" s="1" t="s">
        <v>282</v>
      </c>
      <c r="F3" t="s" s="0">
        <v>274</v>
      </c>
      <c r="G3" s="39" t="s">
        <v>17</v>
      </c>
      <c r="H3" s="22" t="s">
        <v>286</v>
      </c>
      <c r="I3" s="0">
        <v>2000</v>
      </c>
      <c r="J3" t="s" s="0">
        <v>276</v>
      </c>
      <c r="K3" t="s" s="0">
        <v>207</v>
      </c>
      <c r="L3" s="0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22"/>
  <dimension ref="A1:W3"/>
  <sheetViews>
    <sheetView topLeftCell="M1" workbookViewId="0">
      <selection activeCell="Y2" sqref="Y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289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23"/>
  <dimension ref="A1:W3"/>
  <sheetViews>
    <sheetView topLeftCell="O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4"/>
  <dimension ref="A1:U3"/>
  <sheetViews>
    <sheetView topLeftCell="O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22.140625"/>
    <col min="3" max="3" bestFit="true" customWidth="true" width="28.7109375"/>
    <col min="4" max="4" bestFit="true" customWidth="true" width="9.28515625"/>
    <col min="5" max="5" bestFit="true" customWidth="true" width="28.7109375"/>
    <col min="6" max="6" bestFit="true" customWidth="true" width="18.42578125"/>
    <col min="7" max="7" bestFit="true" customWidth="true" width="13.5703125"/>
    <col min="8" max="8" bestFit="true" customWidth="true" width="13.140625"/>
    <col min="9" max="9" bestFit="true" customWidth="true" width="8.285156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 s="0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25"/>
  <dimension ref="A1:AD2"/>
  <sheetViews>
    <sheetView topLeftCell="P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26"/>
  <dimension ref="A1:AD2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34"/>
  <dimension ref="A1:AC3"/>
  <sheetViews>
    <sheetView workbookViewId="0">
      <selection activeCell="E7" sqref="E7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customWidth="true" width="2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78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35"/>
  <dimension ref="A1:AC4"/>
  <sheetViews>
    <sheetView workbookViewId="0">
      <selection activeCell="E2" sqref="E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426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209</v>
      </c>
      <c r="L3" t="s" s="0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426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36"/>
  <dimension ref="A1:AC4"/>
  <sheetViews>
    <sheetView workbookViewId="0">
      <selection activeCell="A2" sqref="A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426</v>
      </c>
      <c r="AB2" t="s" s="0">
        <v>426</v>
      </c>
      <c r="AC2" s="0">
        <f>ROUND(SUM((AA2*L2)+(AB2*L2)+(I2*L2)),2)</f>
        <v>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209</v>
      </c>
      <c r="L3" t="s" s="0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426</v>
      </c>
      <c r="AB3" t="s" s="0">
        <v>426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37"/>
  <dimension ref="A1:AC4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 s="0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326</v>
      </c>
      <c r="I3" s="1">
        <v>100</v>
      </c>
      <c r="J3" s="1" t="s">
        <v>276</v>
      </c>
      <c r="K3" s="1" t="s">
        <v>209</v>
      </c>
      <c r="L3" t="s" s="0">
        <v>369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100</v>
      </c>
    </row>
    <row r="4" spans="1:29">
      <c r="I4" s="0">
        <f>SUM(I2:I3)</f>
        <v>200</v>
      </c>
      <c r="M4" s="0">
        <f>SUM(M2:M3)</f>
        <v>200</v>
      </c>
      <c r="N4" s="0">
        <f>SUM(N2:N3)</f>
        <v>200</v>
      </c>
      <c r="Q4" s="0">
        <f>SUM(Q2:Q3)</f>
        <v>200</v>
      </c>
      <c r="AC4" s="0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E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47">
        <f>ROUND(SUM(G2+H2)*K1,2)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 s="0">
        <v>310</v>
      </c>
      <c r="H3" t="s" s="0">
        <v>310</v>
      </c>
      <c r="I3" s="59">
        <f>ROUND(SUM(G3+H3)*K1,2)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ROUND(SUM(G2+H2)*K1,2)</f>
        <v>0</v>
      </c>
      <c r="J2" s="0">
        <v>0</v>
      </c>
    </row>
    <row r="3" spans="1:30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 s="0">
        <v>310</v>
      </c>
      <c r="H3" t="s" s="0">
        <v>310</v>
      </c>
      <c r="I3" s="59">
        <f>ROUND(SUM(G3+H3)*K1,2)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ROUND(SUM(G4+H4)*K1,2)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>
        <v>85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ROUND(SUM(G2+H2+K2)*L1,2)</f>
        <v>8500</v>
      </c>
      <c r="J2" s="0">
        <v>0</v>
      </c>
      <c r="K2" s="1">
        <f>BankPaymentUSDMPMBNR!I2</f>
        <v>100</v>
      </c>
      <c r="L2" t="s" s="0">
        <v>369</v>
      </c>
    </row>
    <row r="3" spans="1:30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 s="0">
        <v>310</v>
      </c>
      <c r="H3" t="s" s="0">
        <v>310</v>
      </c>
      <c r="I3" s="59">
        <f>ROUND(SUM(G3+H3+K3)*L1,2)</f>
        <v>8500</v>
      </c>
      <c r="J3" s="0">
        <v>0</v>
      </c>
      <c r="K3" s="1">
        <f>BankPaymentUSDMPMBNR!I3</f>
        <v>100</v>
      </c>
      <c r="L3" t="s" s="0">
        <v>369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17000</v>
      </c>
      <c r="L4" t="s" s="0">
        <v>369</v>
      </c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33"/>
  <dimension ref="A1:AD4"/>
  <sheetViews>
    <sheetView topLeftCell="H1" workbookViewId="0">
      <selection activeCell="L2" sqref="L2"/>
    </sheetView>
  </sheetViews>
  <sheetFormatPr defaultRowHeight="15"/>
  <cols>
    <col min="1" max="1" bestFit="true" customWidth="true" width="4.85546875"/>
    <col min="2" max="2" bestFit="true" customWidth="true" width="23.8554687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56.46</v>
      </c>
      <c r="N2" s="38">
        <f>AC2</f>
        <v>4799.1000000000004</v>
      </c>
      <c r="O2" s="1"/>
      <c r="P2" s="1"/>
      <c r="Q2" s="1">
        <f>M2</f>
        <v>56.46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4799.1000000000004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</v>
      </c>
      <c r="J3" s="1" t="s">
        <v>276</v>
      </c>
      <c r="K3" s="1" t="s">
        <v>207</v>
      </c>
      <c r="L3" t="s" s="0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</v>
      </c>
      <c r="AD3" t="s" s="0">
        <v>338</v>
      </c>
    </row>
    <row r="4" spans="1:30">
      <c r="I4" s="0">
        <f>SUM(I2:I3)</f>
        <v>10</v>
      </c>
      <c r="M4" s="0">
        <f>ROUND(M2-M3,2)</f>
        <v>46.46</v>
      </c>
      <c r="N4" s="0">
        <f>ROUND(N2-N3,2)</f>
        <v>4789.1000000000004</v>
      </c>
      <c r="Q4" s="0">
        <f>SUM(Q2:Q3)</f>
        <v>66.460000000000008</v>
      </c>
      <c r="AC4" s="0">
        <f>ROUND(AC2-AC3,2)</f>
        <v>4789.1000000000004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E5"/>
  <sheetViews>
    <sheetView workbookViewId="0">
      <selection activeCell="D8" sqref="D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ROUND(SUM(G2+H2)*K1,2)</f>
        <v>4799.1000000000004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BankPaymentChargesUSD!I3</f>
        <v>10</v>
      </c>
      <c r="H3" t="s" s="0">
        <v>310</v>
      </c>
      <c r="I3" s="47">
        <f>ROUND(SUM(G3+H3),2)</f>
        <v>10</v>
      </c>
      <c r="J3" s="59">
        <v>0</v>
      </c>
    </row>
    <row r="4" spans="1:31">
      <c r="A4" s="1">
        <v>3</v>
      </c>
      <c r="B4" s="58" t="s">
        <v>191</v>
      </c>
      <c r="C4" s="0">
        <v>5050606001</v>
      </c>
      <c r="D4" t="s" s="0">
        <v>427</v>
      </c>
      <c r="E4" s="1"/>
      <c r="F4" s="1"/>
      <c r="G4" s="0">
        <f>G3</f>
        <v>10</v>
      </c>
      <c r="H4" s="0">
        <v>0</v>
      </c>
      <c r="I4" s="80">
        <v>0</v>
      </c>
      <c r="J4" s="59">
        <f>G4</f>
        <v>10</v>
      </c>
    </row>
    <row r="5" spans="1:31">
      <c r="A5" s="1">
        <v>4</v>
      </c>
      <c r="B5" s="58" t="s">
        <v>191</v>
      </c>
      <c r="C5" s="1">
        <v>1001002001</v>
      </c>
      <c r="D5" s="1" t="s">
        <v>356</v>
      </c>
      <c r="E5" s="1"/>
      <c r="F5" s="1"/>
      <c r="G5" s="0">
        <v>0</v>
      </c>
      <c r="H5" t="s" s="0">
        <v>310</v>
      </c>
      <c r="I5" s="0">
        <v>0</v>
      </c>
      <c r="J5" s="47">
        <f>ROUND(I2,2)</f>
        <v>4799.1000000000004</v>
      </c>
      <c r="K5" s="1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V11" sqref="V11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</row>
    <row r="3" spans="1:29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s="0">
        <v>0</v>
      </c>
      <c r="AC3" s="0">
        <f>SUM(AC2)</f>
        <v>1000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20" sqref="C2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62" t="s">
        <v>366</v>
      </c>
      <c r="E2" s="1"/>
      <c r="F2" s="1"/>
      <c r="G2" s="0">
        <f>BankReceiptNewRef!I2</f>
        <v>1000</v>
      </c>
      <c r="H2" t="s" s="0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s="0">
        <f>BankReceiptNewRef!I2</f>
        <v>1000</v>
      </c>
      <c r="H3" t="s" s="0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sheetPr codeName="Sheet27"/>
  <dimension ref="A1:AC3"/>
  <sheetViews>
    <sheetView workbookViewId="0">
      <selection activeCell="G2" sqref="G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sheetPr codeName="Sheet28"/>
  <dimension ref="A1:AC3"/>
  <sheetViews>
    <sheetView workbookViewId="0">
      <selection activeCell="B2" sqref="B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sheetPr codeName="Sheet29"/>
  <dimension ref="A1:AC4"/>
  <sheetViews>
    <sheetView workbookViewId="0">
      <selection activeCell="A2" sqref="A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370</v>
      </c>
      <c r="AC2" s="0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326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370</v>
      </c>
      <c r="AB3" t="s" s="0">
        <v>370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Q4" s="0">
        <f>SUM(Q2:Q3)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sheetPr codeName="Sheet110"/>
  <dimension ref="A1:AC4"/>
  <sheetViews>
    <sheetView workbookViewId="0">
      <selection activeCell="E3" sqref="E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370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371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 s="0">
        <v>370</v>
      </c>
      <c r="AB3" t="s" s="0">
        <v>370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F14" sqref="F14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62" t="s">
        <v>366</v>
      </c>
      <c r="C3" s="1" t="s">
        <v>367</v>
      </c>
      <c r="D3" s="1" t="s">
        <v>368</v>
      </c>
      <c r="E3" s="1" t="s">
        <v>371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M4" s="0">
        <f>SUM(M2)</f>
        <v>0</v>
      </c>
      <c r="N4" s="0">
        <f>SUM(N2)</f>
        <v>0</v>
      </c>
      <c r="Q4" s="0">
        <f>SUM(Q2)</f>
        <v>0</v>
      </c>
      <c r="AC4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sheetPr codeName="Sheet30"/>
  <dimension ref="A1:AC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370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370</v>
      </c>
      <c r="AB3" t="s" s="0">
        <v>370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sheetPr codeName="Sheet31"/>
  <dimension ref="A1:AC4"/>
  <sheetViews>
    <sheetView workbookViewId="0">
      <selection activeCell="W21" sqref="W21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sheetPr codeName="Sheet32"/>
  <dimension ref="A1:AC3"/>
  <sheetViews>
    <sheetView workbookViewId="0">
      <selection activeCell="H2" sqref="H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sheetPr codeName="Sheet38"/>
  <dimension ref="A1:D3"/>
  <sheetViews>
    <sheetView workbookViewId="0">
      <selection activeCell="E3" sqref="E3"/>
    </sheetView>
  </sheetViews>
  <sheetFormatPr defaultRowHeight="15"/>
  <cols>
    <col min="2" max="2" bestFit="true" customWidth="true" width="12.28515625"/>
    <col min="3" max="3" bestFit="true" customWidth="true" width="24.28515625"/>
    <col min="4" max="4" bestFit="true" customWidth="true" width="19.7109375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sheetPr codeName="Sheet39"/>
  <dimension ref="A1:AC3"/>
  <sheetViews>
    <sheetView topLeftCell="O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sheetPr codeName="Sheet40"/>
  <dimension ref="A1:AC3"/>
  <sheetViews>
    <sheetView topLeftCell="D1" workbookViewId="0">
      <selection activeCell="M2" sqref="M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sheetPr codeName="Sheet41"/>
  <dimension ref="A1:AC4"/>
  <sheetViews>
    <sheetView topLeftCell="D1"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339</v>
      </c>
      <c r="H2" s="44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1000</v>
      </c>
      <c r="J3" s="1" t="s">
        <v>303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sheetPr codeName="Sheet42"/>
  <dimension ref="A1:AE3"/>
  <sheetViews>
    <sheetView workbookViewId="0">
      <selection activeCell="D8" sqref="D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0">
        <v>110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sheetPr codeName="Sheet43"/>
  <dimension ref="A1:AE4"/>
  <sheetViews>
    <sheetView topLeftCell="D1" workbookViewId="0">
      <selection activeCell="J4" sqref="J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312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ROUND(SUM(G2+H2)*K1,2)</f>
        <v>0</v>
      </c>
      <c r="J2" s="59">
        <v>0</v>
      </c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s="0">
        <v>0</v>
      </c>
      <c r="I3" s="59">
        <v>0</v>
      </c>
      <c r="J3" s="59">
        <f>ROUND(SUM(G3+H3)*K1,2)</f>
        <v>0</v>
      </c>
    </row>
    <row r="4" spans="1:31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 s="0">
        <v>310</v>
      </c>
      <c r="H4" s="0">
        <v>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sheetPr codeName="Sheet44"/>
  <dimension ref="A1:AD4"/>
  <sheetViews>
    <sheetView topLeftCell="C1" workbookViewId="0">
      <selection activeCell="J5" sqref="J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ROUND(SUM(G3+H3)*K1,2)</f>
        <v>220000</v>
      </c>
      <c r="H2" s="0">
        <f>ROUND(SUM(G4+H4)*K1,2)</f>
        <v>220000</v>
      </c>
      <c r="I2" s="47">
        <f>ROUND(SUM(G2+H2),2)</f>
        <v>440000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s="0">
        <v>1000</v>
      </c>
      <c r="H3" s="0">
        <v>1000</v>
      </c>
      <c r="I3" s="59">
        <v>0</v>
      </c>
      <c r="J3" s="59">
        <f>ROUND(SUM(G3+H3)*K1,2)</f>
        <v>220000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s="0">
        <v>1000</v>
      </c>
      <c r="H4" s="0">
        <v>1000</v>
      </c>
      <c r="I4" s="59">
        <v>0</v>
      </c>
      <c r="J4" s="59">
        <f>ROUND(SUM(G4+H4)*K1,2)</f>
        <v>220000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sheetPr codeName="Sheet45"/>
  <dimension ref="A1:AD4"/>
  <sheetViews>
    <sheetView workbookViewId="0">
      <selection activeCell="D4" sqref="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t="s" s="0">
        <v>360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0</v>
      </c>
      <c r="H2" s="0">
        <v>0</v>
      </c>
      <c r="I2" s="47">
        <f>ROUND(SUM(J4+J3),2)</f>
        <v>44000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ROUND(SUM(G3+H3+K4)*L1,2)</f>
        <v>22000</v>
      </c>
      <c r="K3" s="1">
        <f>BankReceiptMultiNewRefUSD!I2</f>
        <v>200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ROUND(SUM(G4+H4+K4)*L1,2)</f>
        <v>22000</v>
      </c>
      <c r="K4" s="1">
        <f>BankReceiptMultiNewRefUSD!I3</f>
        <v>200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sheetPr codeName="Sheet46"/>
  <dimension ref="A1:AC4"/>
  <sheetViews>
    <sheetView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200</v>
      </c>
      <c r="J2" s="41" t="s">
        <v>303</v>
      </c>
      <c r="K2" s="41" t="s">
        <v>209</v>
      </c>
      <c r="L2" t="s" s="0">
        <v>360</v>
      </c>
      <c r="M2" s="45">
        <f>ROUND(SUM(AA2+AB2+I2),2)</f>
        <v>200</v>
      </c>
      <c r="N2" s="45">
        <f>AC2</f>
        <v>283500</v>
      </c>
      <c r="O2" s="41"/>
      <c r="P2" s="41"/>
      <c r="Q2" s="41">
        <f>M2</f>
        <v>200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16200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200</v>
      </c>
      <c r="J3" s="1" t="s">
        <v>303</v>
      </c>
      <c r="K3" s="1" t="s">
        <v>209</v>
      </c>
      <c r="L3" t="s" s="0">
        <v>360</v>
      </c>
      <c r="M3" s="38">
        <f>ROUND(SUM(AA3+AB3+I3),2)</f>
        <v>200</v>
      </c>
      <c r="N3" s="38">
        <f>AC3</f>
        <v>16200</v>
      </c>
      <c r="O3" s="1"/>
      <c r="P3" s="1"/>
      <c r="Q3" s="1">
        <f>M3</f>
        <v>200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16200</v>
      </c>
    </row>
    <row r="4" spans="1:29">
      <c r="I4" s="0">
        <f>SUM(I2:I3)</f>
        <v>400</v>
      </c>
      <c r="M4" s="0">
        <f>SUM(M2:M3)</f>
        <v>400</v>
      </c>
      <c r="N4" s="0">
        <f>SUM(N2:N3)</f>
        <v>299700</v>
      </c>
      <c r="Q4" s="0">
        <f>SUM(Q2:Q3)</f>
        <v>3700</v>
      </c>
      <c r="AA4" s="0">
        <f>SUM(AA2:AA3)</f>
        <v>0</v>
      </c>
      <c r="AB4" s="0">
        <f>SUM(AB2:AB3)</f>
        <v>0</v>
      </c>
      <c r="AC4" s="0">
        <f>SUM(AC2:AC3)</f>
        <v>32400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sheetPr codeName="Sheet47"/>
  <dimension ref="A1:AE3"/>
  <sheetViews>
    <sheetView workbookViewId="0">
      <selection activeCell="C6" sqref="C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sheetPr codeName="Sheet48"/>
  <dimension ref="A1:AE4"/>
  <sheetViews>
    <sheetView topLeftCell="C1" workbookViewId="0">
      <selection activeCell="J3" sqref="J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sheetPr codeName="Sheet49"/>
  <dimension ref="A1:AD4"/>
  <sheetViews>
    <sheetView topLeftCell="D1" workbookViewId="0">
      <selection activeCell="I3" sqref="I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sheetPr codeName="Sheet50"/>
  <dimension ref="A1:AD4"/>
  <sheetViews>
    <sheetView topLeftCell="D1" workbookViewId="0">
      <selection activeCell="H4" sqref="H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>
  <sheetPr codeName="Sheet51"/>
  <dimension ref="A1:AE3"/>
  <sheetViews>
    <sheetView workbookViewId="0">
      <selection activeCell="D15" sqref="D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2000000011</v>
      </c>
      <c r="D2" s="1" t="s">
        <v>317</v>
      </c>
      <c r="E2" s="1"/>
      <c r="F2" s="1"/>
      <c r="G2" s="0">
        <f>BankPaymentPDC!I2</f>
        <v>10000</v>
      </c>
      <c r="H2" t="s" s="0">
        <v>310</v>
      </c>
      <c r="I2" s="59">
        <f>ROUND(SUM(G2+H2),2)</f>
        <v>10000</v>
      </c>
      <c r="J2" s="0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BankPaymentPDC!I2</f>
        <v>10000</v>
      </c>
      <c r="H3" t="s" s="0">
        <v>310</v>
      </c>
      <c r="I3" s="0">
        <v>0</v>
      </c>
      <c r="J3" s="47">
        <f>ROUND(SUM(G3+H3),2)</f>
        <v>10000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>
  <sheetPr codeName="Sheet52"/>
  <dimension ref="A1:AE3"/>
  <sheetViews>
    <sheetView topLeftCell="D1" workbookViewId="0">
      <selection activeCell="E13" sqref="E1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BankReceiptPDC!I2</f>
        <v>10000</v>
      </c>
      <c r="H2" t="s" s="0">
        <v>310</v>
      </c>
      <c r="I2" s="47">
        <f>ROUND(SUM(G2+H2),2)</f>
        <v>10000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f>BankReceiptPDC!I2</f>
        <v>10000</v>
      </c>
      <c r="H3" t="s" s="0">
        <v>310</v>
      </c>
      <c r="I3" s="59">
        <v>0</v>
      </c>
      <c r="J3" s="59">
        <f>ROUND(SUM(G3+H3),2)</f>
        <v>10000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>
  <sheetPr codeName="Sheet53"/>
  <dimension ref="A1:AE6"/>
  <sheetViews>
    <sheetView workbookViewId="0">
      <selection activeCell="D5" sqref="D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1001002001</v>
      </c>
      <c r="D6" s="1" t="s">
        <v>356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>
  <sheetPr codeName="Sheet54"/>
  <dimension ref="A1:AE5"/>
  <sheetViews>
    <sheetView topLeftCell="C1" workbookViewId="0">
      <selection activeCell="E10" sqref="E1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 s="0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 s="0">
        <v>0</v>
      </c>
    </row>
    <row r="5" spans="1:31">
      <c r="A5" s="1">
        <v>1</v>
      </c>
      <c r="B5" s="58" t="s">
        <v>191</v>
      </c>
      <c r="C5" s="1">
        <v>1001002001</v>
      </c>
      <c r="D5" s="1" t="s">
        <v>356</v>
      </c>
      <c r="E5" s="1"/>
      <c r="F5" s="1"/>
      <c r="G5" s="1">
        <v>0</v>
      </c>
      <c r="H5" s="1">
        <v>0</v>
      </c>
      <c r="I5" s="0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sheetPr codeName="Sheet55"/>
  <dimension ref="A1:AE6"/>
  <sheetViews>
    <sheetView topLeftCell="C1"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sheetPr codeName="Sheet56"/>
  <dimension ref="A1:AG4"/>
  <sheetViews>
    <sheetView topLeftCell="C1" workbookViewId="0">
      <selection activeCell="AC16" sqref="AC16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 s="0">
        <v>310</v>
      </c>
      <c r="AB2" t="s" s="0">
        <v>310</v>
      </c>
      <c r="AC2" s="0">
        <f>ROUND(SUM((AA2*L2)+(AB2*L2)+(I2*L2)+R2+S2+T2+U2+W2),2)</f>
        <v>11800</v>
      </c>
      <c r="AD2" t="s" s="0">
        <v>337</v>
      </c>
      <c r="AE2" s="0">
        <v>34</v>
      </c>
      <c r="AF2" t="s" s="0">
        <v>180</v>
      </c>
      <c r="AG2" t="s" s="0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0">
        <f>ROUND(SUM((AA3*L3)+(AB3*L3)+(I3*L3)+R3+S3+T3+U3+W3),2)</f>
        <v>1180</v>
      </c>
      <c r="AD3" t="s" s="0">
        <v>337</v>
      </c>
      <c r="AE3" s="0">
        <v>34</v>
      </c>
      <c r="AF3" t="s" s="0">
        <v>345</v>
      </c>
      <c r="AG3" t="s" s="0">
        <v>346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10620</v>
      </c>
      <c r="Q4" s="0">
        <f>SUM(Q2:Q3)</f>
        <v>11000</v>
      </c>
      <c r="R4" s="0">
        <f>SUM(R2:R3)</f>
        <v>990</v>
      </c>
      <c r="S4" s="0">
        <f>SUM(S2:S3)</f>
        <v>990</v>
      </c>
      <c r="T4" s="0">
        <f>SUM(T2:T3)</f>
        <v>0</v>
      </c>
      <c r="U4" s="0">
        <f>SUM(U2:U3)</f>
        <v>0</v>
      </c>
      <c r="AC4" s="0">
        <f>ROUND(AC2-AC3,2)</f>
        <v>10620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sheetPr codeName="Sheet57"/>
  <dimension ref="A1:AE4"/>
  <sheetViews>
    <sheetView topLeftCell="D1" workbookViewId="0">
      <selection activeCell="G4" sqref="G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ROUND((J3-I4),2)</f>
        <v>990000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ROUND(SUM(G3+H3)*K1,2)</f>
        <v>1100000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ROUND(SUM(G4+H4)*K1,2)</f>
        <v>110000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sheetPr codeName="Sheet58"/>
  <dimension ref="A1:AE6"/>
  <sheetViews>
    <sheetView topLeftCell="C1" workbookViewId="0">
      <selection activeCell="G18" sqref="G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sheetPr codeName="Sheet59"/>
  <dimension ref="A1:AE4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sheetPr codeName="Sheet60"/>
  <dimension ref="A1:AE3"/>
  <sheetViews>
    <sheetView topLeftCell="C1"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sheetPr codeName="Sheet61"/>
  <dimension ref="A1:AE5"/>
  <sheetViews>
    <sheetView topLeftCell="C1" workbookViewId="0">
      <selection activeCell="C5" sqref="C5:D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 s="0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 s="0">
        <v>0</v>
      </c>
    </row>
    <row r="5" spans="1:31">
      <c r="A5" s="1">
        <v>1</v>
      </c>
      <c r="B5" s="58" t="s">
        <v>191</v>
      </c>
      <c r="C5" s="1">
        <v>1000000028</v>
      </c>
      <c r="D5" s="1" t="s">
        <v>365</v>
      </c>
      <c r="E5" s="1"/>
      <c r="F5" s="1"/>
      <c r="G5" s="1">
        <v>0</v>
      </c>
      <c r="H5" s="1">
        <v>0</v>
      </c>
      <c r="I5" s="0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sheetPr codeName="Sheet62"/>
  <dimension ref="A1:AE6"/>
  <sheetViews>
    <sheetView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1000000028</v>
      </c>
      <c r="D6" s="1" t="s">
        <v>365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sheetPr codeName="Sheet63"/>
  <dimension ref="A1:AE3"/>
  <sheetViews>
    <sheetView topLeftCell="C1"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sheetPr codeName="Sheet64"/>
  <dimension ref="A1:AE4"/>
  <sheetViews>
    <sheetView workbookViewId="0">
      <selection activeCell="E11" sqref="E1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sheetPr codeName="Sheet65"/>
  <dimension ref="A1:AE4"/>
  <sheetViews>
    <sheetView workbookViewId="0">
      <selection activeCell="I3" sqref="I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ROUND(SUM(G3+H3)*K1,2)</f>
        <v>0</v>
      </c>
    </row>
    <row r="4" spans="1:31">
      <c r="A4" s="1">
        <v>2</v>
      </c>
      <c r="B4" s="58" t="s">
        <v>191</v>
      </c>
      <c r="C4" s="0">
        <v>5060101000</v>
      </c>
      <c r="D4" t="s" s="0">
        <v>335</v>
      </c>
      <c r="E4" s="1"/>
      <c r="F4" s="1"/>
      <c r="G4" s="0">
        <f>BankReceiptChargesUSD!I3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sheetPr codeName="Sheet66"/>
  <dimension ref="A1:AE4"/>
  <sheetViews>
    <sheetView workbookViewId="0">
      <selection activeCell="D6" sqref="D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BankPaymentCharges!I3</f>
        <v>100</v>
      </c>
      <c r="H3" t="s" s="0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t="s" s="0">
        <v>310</v>
      </c>
      <c r="I4" s="0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sheetPr codeName="Sheet67"/>
  <dimension ref="A1:AE4"/>
  <sheetViews>
    <sheetView workbookViewId="0">
      <selection activeCell="D17" sqref="D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426</v>
      </c>
      <c r="H2" t="s" s="0">
        <v>310</v>
      </c>
      <c r="I2" s="59">
        <f>ROUND(SUM(G2+H2),2)</f>
        <v>0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BankPaymentCharges!I3</f>
        <v>100</v>
      </c>
      <c r="H3" t="s" s="0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t="s" s="0">
        <v>310</v>
      </c>
      <c r="I4" s="0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sheetPr codeName="Sheet68"/>
  <dimension ref="A1:AE4"/>
  <sheetViews>
    <sheetView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364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2</v>
      </c>
      <c r="B4" s="58" t="s">
        <v>191</v>
      </c>
      <c r="C4" s="0">
        <v>5060101000</v>
      </c>
      <c r="D4" t="s" s="0">
        <v>335</v>
      </c>
      <c r="E4" s="1"/>
      <c r="F4" s="1"/>
      <c r="G4" s="0">
        <f>BankReceiptCharges!I3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8" sqref="C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G3" sqref="G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  <col min="31" max="31" customWidth="true" width="16.28515625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AC2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221.25</v>
      </c>
      <c r="AD2" t="s" s="0">
        <v>379</v>
      </c>
      <c r="AE2" s="0">
        <v>1000000029</v>
      </c>
      <c r="AF2" s="0">
        <v>1</v>
      </c>
      <c r="AG2" s="0">
        <f>AC2</f>
        <v>221.25</v>
      </c>
      <c r="AH2" s="0">
        <f>ROUND(AC2*AF2%,2)</f>
        <v>2.21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2.21</v>
      </c>
      <c r="N3" s="38">
        <f>AC3</f>
        <v>2.21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ROUND(AA2*1%,2)</f>
        <v>2.21</v>
      </c>
      <c r="AF3" s="1">
        <v>0</v>
      </c>
      <c r="AG3" s="1">
        <v>0</v>
      </c>
      <c r="AH3" s="1">
        <v>0</v>
      </c>
    </row>
    <row r="4" spans="1:34">
      <c r="M4" s="0">
        <f>SUM(M2)</f>
        <v>221.25</v>
      </c>
      <c r="N4" s="0">
        <f>SUM(N2)</f>
        <v>221.25</v>
      </c>
      <c r="Q4" s="0">
        <f>SUM(Q2)</f>
        <v>221.25</v>
      </c>
      <c r="AA4" t="s" s="0">
        <v>310</v>
      </c>
      <c r="AB4" s="0">
        <v>0</v>
      </c>
      <c r="AC4" s="0">
        <f>SUM(AC2)</f>
        <v>221.25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H4"/>
  <sheetViews>
    <sheetView topLeftCell="AA1" workbookViewId="0">
      <selection activeCell="AD1" sqref="AD1:AH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AC2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379</v>
      </c>
      <c r="AE2" s="0">
        <v>1000000029</v>
      </c>
      <c r="AF2" s="0">
        <v>1</v>
      </c>
      <c r="AG2" s="0">
        <f>AC2</f>
        <v>1000</v>
      </c>
      <c r="AH2" s="0">
        <f>ROUND(AC2*AF2%,2)</f>
        <v>10</v>
      </c>
    </row>
    <row r="3" spans="1:34">
      <c r="A3" s="24">
        <v>2</v>
      </c>
      <c r="B3" s="1" t="s">
        <v>349</v>
      </c>
      <c r="C3" s="1" t="s">
        <v>379</v>
      </c>
      <c r="D3" s="1" t="s">
        <v>349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10</v>
      </c>
      <c r="N3" s="38">
        <f>AC3</f>
        <v>10</v>
      </c>
      <c r="O3" s="1"/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ROUND(AC2*AF2%,2)</f>
        <v>10</v>
      </c>
      <c r="AF3" s="1">
        <v>0</v>
      </c>
      <c r="AG3" s="1">
        <v>0</v>
      </c>
      <c r="AH3" s="1">
        <v>0</v>
      </c>
    </row>
    <row r="4" spans="1:34">
      <c r="M4" s="0">
        <f>M2-M3</f>
        <v>990</v>
      </c>
      <c r="N4" s="0">
        <f>N2-N3</f>
        <v>990</v>
      </c>
      <c r="Q4" s="0">
        <f>SUM(Q2)</f>
        <v>1000</v>
      </c>
      <c r="AA4" t="s" s="0">
        <v>310</v>
      </c>
      <c r="AB4" s="0">
        <v>0</v>
      </c>
      <c r="AC4" s="0">
        <f>AC2-AC3</f>
        <v>990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13" sqref="C1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I5" sqref="I5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379</v>
      </c>
      <c r="AE2" s="0">
        <v>1000000029</v>
      </c>
      <c r="AF2" s="0">
        <v>1</v>
      </c>
      <c r="AG2" s="0">
        <f>AC2</f>
        <v>10000</v>
      </c>
      <c r="AH2" s="0">
        <f>ROUND(AC2*AF2%,2)</f>
        <v>100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393</v>
      </c>
      <c r="I3" s="41">
        <v>10000</v>
      </c>
      <c r="J3" s="41" t="s">
        <v>276</v>
      </c>
      <c r="K3" s="41" t="s">
        <v>207</v>
      </c>
      <c r="L3" t="s" s="0">
        <v>319</v>
      </c>
      <c r="M3" s="45">
        <f>ROUND(SUM(AA3+AB3+I3),2)</f>
        <v>10000</v>
      </c>
      <c r="N3" s="45">
        <f>AC3</f>
        <v>10000</v>
      </c>
      <c r="O3" s="41"/>
      <c r="P3" s="41"/>
      <c r="Q3" s="41">
        <f>M3</f>
        <v>10000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10000</v>
      </c>
      <c r="AD3" t="s" s="0">
        <v>386</v>
      </c>
      <c r="AE3" s="0">
        <v>1000000047</v>
      </c>
      <c r="AF3" s="0">
        <v>0.1</v>
      </c>
      <c r="AG3" s="0">
        <f>AC3</f>
        <v>10000</v>
      </c>
      <c r="AH3" s="0">
        <f>ROUND(AC3*AF3%,2)</f>
        <v>10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394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100</v>
      </c>
      <c r="N4" s="38">
        <f>AH2</f>
        <v>100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100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395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10</v>
      </c>
      <c r="N5" s="38">
        <f>AH3</f>
        <v>10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10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20000</v>
      </c>
      <c r="L6" t="s" s="0">
        <v>319</v>
      </c>
      <c r="M6" s="0">
        <f>ROUND((M2+M3)-M4-M5,2)</f>
        <v>19890</v>
      </c>
      <c r="N6" s="0">
        <f>ROUND((N2+N3)-N4-N5,2)</f>
        <v>19890</v>
      </c>
      <c r="Q6" s="0">
        <f>SUM(Q2:Q3)</f>
        <v>20000</v>
      </c>
      <c r="AC6" s="0">
        <f>ROUND((AC2+AC3)-AC4-AC5,2)</f>
        <v>19890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4" sqref="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H6"/>
  <sheetViews>
    <sheetView topLeftCell="W1" workbookViewId="0">
      <selection activeCell="AD1" sqref="AD1:AH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  <c r="AD2" t="s" s="0">
        <v>379</v>
      </c>
      <c r="AE2" s="0">
        <v>1000000029</v>
      </c>
      <c r="AF2" s="0">
        <v>1</v>
      </c>
      <c r="AG2" s="0">
        <f>AC2</f>
        <v>0</v>
      </c>
      <c r="AH2" s="0">
        <f>ROUND(AC2*AF2%,2)</f>
        <v>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 s="0">
        <v>319</v>
      </c>
      <c r="M3" s="45">
        <f>ROUND(SUM(AA3+AB3+I3),2)</f>
        <v>0</v>
      </c>
      <c r="N3" s="45">
        <f>AC3</f>
        <v>0</v>
      </c>
      <c r="O3" s="41"/>
      <c r="P3" s="41"/>
      <c r="Q3" s="41">
        <f>M3</f>
        <v>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0</v>
      </c>
      <c r="AD3" t="s" s="0">
        <v>386</v>
      </c>
      <c r="AE3" s="0">
        <v>1000000047</v>
      </c>
      <c r="AF3" s="0">
        <v>0.1</v>
      </c>
      <c r="AG3" s="0">
        <f>AC3</f>
        <v>0</v>
      </c>
      <c r="AH3" s="0">
        <f>ROUND(AC3*AF3%,2)</f>
        <v>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0</v>
      </c>
      <c r="N4" s="38">
        <f>AH2</f>
        <v>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0</v>
      </c>
      <c r="N5" s="38">
        <f>AH3</f>
        <v>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0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0</v>
      </c>
      <c r="L6" t="s" s="0">
        <v>319</v>
      </c>
      <c r="M6" s="0">
        <f>SUM(M2:M3)</f>
        <v>0</v>
      </c>
      <c r="N6" s="0">
        <f>SUM(N2:N3)</f>
        <v>0</v>
      </c>
      <c r="Q6" s="0">
        <f>SUM(Q2:Q3)</f>
        <v>0</v>
      </c>
      <c r="AC6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B3" sqref="B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380</v>
      </c>
      <c r="AB2" t="s" s="0">
        <v>310</v>
      </c>
      <c r="AC2" s="0">
        <f>ROUND(SUM((AA2*L2)+(AB2*L2)+(I2*L2)),2)</f>
        <v>221.25</v>
      </c>
    </row>
    <row r="3" spans="1:29">
      <c r="A3" s="1">
        <v>2</v>
      </c>
      <c r="B3" s="63" t="s">
        <v>381</v>
      </c>
      <c r="C3" s="1" t="s">
        <v>382</v>
      </c>
      <c r="D3" s="1" t="s">
        <v>383</v>
      </c>
      <c r="E3" s="1" t="s">
        <v>384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221.25</v>
      </c>
      <c r="N3" s="38">
        <f>AC3</f>
        <v>221.25</v>
      </c>
      <c r="O3" s="1"/>
      <c r="P3" s="1"/>
      <c r="Q3" s="1">
        <f>M3</f>
        <v>221.25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380</v>
      </c>
      <c r="AB3" s="0">
        <v>0</v>
      </c>
      <c r="AC3" s="0">
        <f>ROUND(SUM((AA3*L3)+(AB3*L3)+(I3*L3)),2)</f>
        <v>221.25</v>
      </c>
    </row>
    <row r="4" spans="1:29">
      <c r="I4" s="0">
        <f>SUM(I2:I3)</f>
        <v>0</v>
      </c>
      <c r="M4" s="0">
        <f>SUM(M2:M3)</f>
        <v>442.5</v>
      </c>
      <c r="N4" s="0">
        <f>SUM(N2:N3)</f>
        <v>442.5</v>
      </c>
      <c r="Q4" s="0">
        <f>SUM(Q2:Q3)</f>
        <v>442.5</v>
      </c>
      <c r="AC4" s="0">
        <f>SUM(AC2:AC3)</f>
        <v>442.5</v>
      </c>
    </row>
  </sheetData>
  <pageMargins left="0.7" right="0.7" top="0.75" bottom="0.75" header="0.3" footer="0.3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D3"/>
  <sheetViews>
    <sheetView topLeftCell="D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</row>
    <row r="2" spans="1:30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379</v>
      </c>
    </row>
    <row r="3" spans="1:30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s="0">
        <v>0</v>
      </c>
      <c r="AC3" s="0">
        <f>SUM(AC2)</f>
        <v>1000</v>
      </c>
    </row>
  </sheetData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G15" sqref="G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6" sqref="A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A3" sqref="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>
  <sheetPr codeName="Sheet69"/>
  <dimension ref="A1:AE3"/>
  <sheetViews>
    <sheetView workbookViewId="0">
      <selection activeCell="D17" sqref="D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>
  <sheetPr codeName="Sheet70"/>
  <dimension ref="A1:AE3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428</v>
      </c>
      <c r="H2" s="0">
        <v>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428</v>
      </c>
      <c r="H3" s="0">
        <v>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sheetPr codeName="Sheet71"/>
  <dimension ref="A1:AE3"/>
  <sheetViews>
    <sheetView topLeftCell="C1"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sheetPr codeName="Sheet72"/>
  <dimension ref="A1:AE3"/>
  <sheetViews>
    <sheetView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sheetPr codeName="Sheet73"/>
  <dimension ref="A1:AE3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sheetPr codeName="Sheet74"/>
  <dimension ref="A1:AE3"/>
  <sheetViews>
    <sheetView workbookViewId="0">
      <selection activeCell="D26" sqref="D2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ROUND(SUM(G2+H2)*K1,2)</f>
        <v>85000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ROUND(SUM(G3+H3)*K1,2)</f>
        <v>85000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1000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1000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sheetPr codeName="Sheet75"/>
  <dimension ref="A1:AE3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sheetPr codeName="Sheet76"/>
  <dimension ref="A1:AE4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2000</v>
      </c>
      <c r="H2" s="0">
        <v>0</v>
      </c>
      <c r="I2" s="47">
        <f>ROUND(SUM(G2+H2),2)</f>
        <v>2000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2000</v>
      </c>
      <c r="H3" s="0">
        <v>0</v>
      </c>
      <c r="I3" s="59">
        <v>0</v>
      </c>
      <c r="J3" s="59">
        <f>ROUND(SUM(G3+H3),2)</f>
        <v>2000</v>
      </c>
    </row>
  </sheetData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D9" sqref="D9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1000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1000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sheetPr codeName="Sheet77"/>
  <dimension ref="A1:AE4"/>
  <sheetViews>
    <sheetView workbookViewId="0">
      <selection activeCell="D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sheetPr codeName="Sheet78"/>
  <dimension ref="A1:AD4"/>
  <sheetViews>
    <sheetView topLeftCell="D1" workbookViewId="0">
      <selection activeCell="H4" sqref="H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sheetPr codeName="Sheet79"/>
  <dimension ref="A1:AE4"/>
  <sheetViews>
    <sheetView workbookViewId="0">
      <selection activeCell="D7" sqref="D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sheetPr codeName="Sheet80"/>
  <dimension ref="A1:AE3"/>
  <sheetViews>
    <sheetView topLeftCell="C1"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sheetPr codeName="Sheet81"/>
  <dimension ref="A1:AD4"/>
  <sheetViews>
    <sheetView workbookViewId="0">
      <selection activeCell="C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370</v>
      </c>
      <c r="H2" t="s" s="0">
        <v>370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370</v>
      </c>
      <c r="H3" t="s" s="0">
        <v>370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s="0">
        <f>ROUND(SUM(G3+H3),2)</f>
        <v>0</v>
      </c>
      <c r="I4" s="0">
        <v>0</v>
      </c>
      <c r="J4" s="47">
        <f>ROUND(SUM(I2+I3),2)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sheetPr codeName="Sheet82"/>
  <dimension ref="A1:AD4"/>
  <sheetViews>
    <sheetView topLeftCell="D1" workbookViewId="0">
      <selection activeCell="F15" sqref="F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>
  <sheetPr codeName="Sheet83"/>
  <dimension ref="A1:AE4"/>
  <sheetViews>
    <sheetView workbookViewId="0">
      <selection activeCell="G17" sqref="G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>
  <sheetPr codeName="Sheet84"/>
  <dimension ref="A1:AE4"/>
  <sheetViews>
    <sheetView workbookViewId="0">
      <selection activeCell="F16" sqref="F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>
  <sheetPr codeName="Sheet85"/>
  <dimension ref="A1:AD4"/>
  <sheetViews>
    <sheetView workbookViewId="0">
      <selection activeCell="D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>
  <sheetPr codeName="Sheet86"/>
  <dimension ref="A1:AD4"/>
  <sheetViews>
    <sheetView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>
  <sheetPr codeName="Sheet87"/>
  <dimension ref="A1:AD4"/>
  <sheetViews>
    <sheetView workbookViewId="0">
      <selection activeCell="F18" sqref="F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sheetPr codeName="Sheet88"/>
  <dimension ref="A1:AD4"/>
  <sheetViews>
    <sheetView workbookViewId="0">
      <selection activeCell="E14" sqref="E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sheetPr codeName="Sheet89"/>
  <dimension ref="A1:AD4"/>
  <sheetViews>
    <sheetView workbookViewId="0">
      <selection activeCell="F2" sqref="A2:F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sheetPr codeName="Sheet90"/>
  <dimension ref="A1:AD4"/>
  <sheetViews>
    <sheetView topLeftCell="E1" workbookViewId="0">
      <selection activeCell="J5" sqref="J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0</v>
      </c>
      <c r="H3" s="0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s="0">
        <v>0</v>
      </c>
      <c r="H4" s="0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sheetPr codeName="Sheet91"/>
  <dimension ref="A1:AD4"/>
  <sheetViews>
    <sheetView workbookViewId="0">
      <selection activeCell="E17" sqref="E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0</v>
      </c>
      <c r="H3" s="0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s="0">
        <v>0</v>
      </c>
      <c r="H4" s="0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8" sqref="E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2000</v>
      </c>
      <c r="N2" s="38">
        <f>AC2</f>
        <v>2000</v>
      </c>
      <c r="O2" s="1"/>
      <c r="P2" s="1"/>
      <c r="Q2" s="1">
        <f>M2</f>
        <v>2000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1000</v>
      </c>
      <c r="AB2" t="s" s="0">
        <v>310</v>
      </c>
      <c r="AC2" s="0">
        <f>ROUND(SUM((AA2*L2)+(AB2*L2)+(I2*L2)),2)</f>
        <v>2000</v>
      </c>
    </row>
    <row r="3" spans="1:29">
      <c r="M3" s="0">
        <f>SUM(M2)</f>
        <v>2000</v>
      </c>
      <c r="N3" s="0">
        <f>SUM(N2)</f>
        <v>2000</v>
      </c>
      <c r="Q3" s="0">
        <f>SUM(Q2)</f>
        <v>2000</v>
      </c>
      <c r="AA3" t="s" s="0">
        <v>310</v>
      </c>
      <c r="AB3" t="s" s="0">
        <v>310</v>
      </c>
      <c r="AC3" s="0">
        <f>SUM(AC2)</f>
        <v>2000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D3"/>
  <sheetViews>
    <sheetView workbookViewId="0">
      <selection activeCell="E12" sqref="E1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396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337</v>
      </c>
    </row>
    <row r="3" spans="1:30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t="s" s="0">
        <v>310</v>
      </c>
      <c r="AC3" s="0">
        <f>SUM(AC2)</f>
        <v>1000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9" sqref="E19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 s="0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</v>
      </c>
    </row>
    <row r="3" spans="1:29">
      <c r="M3" s="0">
        <f>SUM(M2)</f>
        <v>100</v>
      </c>
      <c r="N3" s="0">
        <f>SUM(N2)</f>
        <v>100</v>
      </c>
      <c r="Q3" s="0">
        <f>SUM(Q2)</f>
        <v>100</v>
      </c>
      <c r="AA3" t="s" s="0">
        <v>310</v>
      </c>
      <c r="AB3" t="s" s="0">
        <v>310</v>
      </c>
      <c r="AC3" s="0">
        <f>SUM(AC2)</f>
        <v>100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11" sqref="C1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s="0">
        <f>BRAdvUSDNR!I2</f>
        <v>100</v>
      </c>
      <c r="H2" t="s" s="0">
        <v>310</v>
      </c>
      <c r="I2" s="47">
        <f>ROUND(SUM(ROUND(G2,2)+ROUND(H2,2))*K1,2)</f>
        <v>8500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BRAdvUSDNR!I2</f>
        <v>100</v>
      </c>
      <c r="H3" t="s" s="0">
        <v>310</v>
      </c>
      <c r="I3" s="59">
        <v>0</v>
      </c>
      <c r="J3" s="59">
        <f>ROUND(SUM(ROUND(G3,2)+ROUND(H3,2))*K1,2)</f>
        <v>8500</v>
      </c>
    </row>
  </sheetData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6" sqref="D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f>BankReceiptNewRef!I2</f>
        <v>1000</v>
      </c>
      <c r="H2" t="s" s="0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f>BankReceiptNewRef!I2</f>
        <v>1000</v>
      </c>
      <c r="H3" t="s" s="0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sheetPr codeName="Sheet92"/>
  <dimension ref="A1:AC3"/>
  <sheetViews>
    <sheetView topLeftCell="P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428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sheetPr codeName="Sheet93"/>
  <dimension ref="A1:AC4"/>
  <sheetViews>
    <sheetView topLeftCell="N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428</v>
      </c>
      <c r="AB2" t="s" s="0">
        <v>428</v>
      </c>
      <c r="AC2" s="0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t="s" s="0">
        <v>428</v>
      </c>
      <c r="AB3" t="s" s="0">
        <v>428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I9" sqref="I9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303</v>
      </c>
      <c r="K2" s="1" t="s">
        <v>209</v>
      </c>
      <c r="L2" t="s" s="0">
        <v>360</v>
      </c>
      <c r="M2" s="38">
        <f>ROUND(SUM(AA2+AB2+I2),2)</f>
        <v>100</v>
      </c>
      <c r="N2" s="38">
        <f>AC2</f>
        <v>11000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ROUND(SUM((ROUND(AA2,2)*L2)+(ROUND(AB2,2)*L2)+(I2*L2)),2)</f>
        <v>11000</v>
      </c>
    </row>
    <row r="3" spans="1:29">
      <c r="M3" s="0">
        <f>SUM(M2)</f>
        <v>100</v>
      </c>
      <c r="N3" s="0">
        <f>SUM(N2)</f>
        <v>11000</v>
      </c>
      <c r="Q3" s="0">
        <f>SUM(Q2)</f>
        <v>100</v>
      </c>
      <c r="AA3" t="s" s="0">
        <v>310</v>
      </c>
      <c r="AB3" t="s" s="0">
        <v>310</v>
      </c>
      <c r="AC3" s="0">
        <f>SUM(AC2)</f>
        <v>11000</v>
      </c>
    </row>
  </sheetData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H20" sqref="H2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BRAdvUSDNR!I2</f>
        <v>100</v>
      </c>
      <c r="H2" t="s" s="0">
        <v>310</v>
      </c>
      <c r="I2" s="47">
        <f>ROUND(SUM(ROUND(G2,2)+ROUND(H2,2))*K1,2)</f>
        <v>11000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s="0">
        <f>BRAdvUSDNR!I2</f>
        <v>100</v>
      </c>
      <c r="H3" t="s" s="0">
        <v>310</v>
      </c>
      <c r="I3" s="59">
        <v>0</v>
      </c>
      <c r="J3" s="59">
        <f>ROUND(SUM(ROUND(G3,2)+ROUND(H3,2))*K1,2)</f>
        <v>11000</v>
      </c>
    </row>
  </sheetData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sheetPr codeName="Sheet94"/>
  <dimension ref="A1:AC3"/>
  <sheetViews>
    <sheetView workbookViewId="0">
      <selection activeCell="H3" sqref="H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ROUND(SUM((ROUND(AA2,2)*L2)+(ROUND(AB2,2)*L2)+(I2*L2)),2)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sheetPr codeName="Sheet95"/>
  <dimension ref="A1:AC4"/>
  <sheetViews>
    <sheetView workbookViewId="0">
      <selection activeCell="H16" sqref="H1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0</v>
      </c>
      <c r="J2" s="41" t="s">
        <v>303</v>
      </c>
      <c r="K2" s="41" t="s">
        <v>209</v>
      </c>
      <c r="L2" t="s" s="0">
        <v>360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209</v>
      </c>
      <c r="L3" t="s" s="0">
        <v>360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A4" s="0">
        <f>SUM(AA2:AA3)</f>
        <v>0</v>
      </c>
      <c r="AB4" s="0">
        <f>SUM(AB2:AB3)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>
  <sheetPr codeName="Sheet96"/>
  <dimension ref="A1:AC4"/>
  <sheetViews>
    <sheetView topLeftCell="O1" workbookViewId="0">
      <selection activeCell="AB3" sqref="AB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ROUND(SUM(AA3+AB3),2)</f>
        <v>0</v>
      </c>
    </row>
    <row r="4" spans="1:29"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sheetPr codeName="Sheet97"/>
  <dimension ref="A1:AC4"/>
  <sheetViews>
    <sheetView topLeftCell="N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ROUND(SUM(AA3+AB3+I3),2)</f>
        <v>1000</v>
      </c>
    </row>
    <row r="4" spans="1:29"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sheetPr codeName="Sheet98"/>
  <dimension ref="A1:AD3"/>
  <sheetViews>
    <sheetView topLeftCell="C1" workbookViewId="0">
      <selection activeCell="A2" sqref="A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337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sheetPr codeName="Sheet99"/>
  <dimension ref="A1:AD4"/>
  <sheetViews>
    <sheetView topLeftCell="O1" workbookViewId="0">
      <selection activeCell="AA3" sqref="A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364</v>
      </c>
      <c r="AB2" t="s" s="0">
        <v>310</v>
      </c>
      <c r="AC2" s="0">
        <f>ROUND(SUM((AA2*L2)+(AB2*L2)+(I2*L2)),2)</f>
        <v>0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209</v>
      </c>
      <c r="L3" t="s" s="0">
        <v>360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ROUND(SUM((AA3)+(AB3)+(I3)),2)</f>
        <v>1000</v>
      </c>
      <c r="AD3" t="s" s="0">
        <v>338</v>
      </c>
    </row>
    <row r="4" spans="1:30">
      <c r="I4" s="0">
        <f>SUM(I2:I3)</f>
        <v>1000</v>
      </c>
      <c r="M4" s="0">
        <f>M2</f>
        <v>0</v>
      </c>
      <c r="N4" s="0">
        <f>N2</f>
        <v>0</v>
      </c>
      <c r="Q4" s="0">
        <f>SUM(Q2:Q3)</f>
        <v>1000</v>
      </c>
      <c r="AC4" s="0">
        <f>AC2</f>
        <v>0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4.xml><?xml version="1.0" encoding="utf-8"?>
<worksheet xmlns="http://schemas.openxmlformats.org/spreadsheetml/2006/main" xmlns:r="http://schemas.openxmlformats.org/officeDocument/2006/relationships">
  <sheetPr codeName="Sheet100"/>
  <dimension ref="A1:AD4"/>
  <sheetViews>
    <sheetView topLeftCell="G1" workbookViewId="0">
      <selection activeCell="M4" sqref="M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26550</v>
      </c>
      <c r="N2" s="38">
        <f>AC2</f>
        <v>26550</v>
      </c>
      <c r="O2" s="1"/>
      <c r="P2" s="1"/>
      <c r="Q2" s="1">
        <f>M2</f>
        <v>26550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26550</v>
      </c>
      <c r="AB2" t="s" s="0">
        <v>310</v>
      </c>
      <c r="AC2" s="0">
        <f>ROUND(SUM((AA2*L2)+(AB2*L2)+(I2*L2)),2)</f>
        <v>26550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  <c r="AD3" t="s" s="0">
        <v>338</v>
      </c>
    </row>
    <row r="4" spans="1:30">
      <c r="I4" s="0">
        <f>SUM(I2:I3)</f>
        <v>1000</v>
      </c>
      <c r="M4" s="0">
        <f>ROUND(M2-M3,2)</f>
        <v>25550</v>
      </c>
      <c r="N4" s="0">
        <f>ROUND(N2-N3,2)</f>
        <v>25550</v>
      </c>
      <c r="Q4" s="0">
        <f>SUM(Q2:Q3)</f>
        <v>27550</v>
      </c>
      <c r="AC4" s="0">
        <f>ROUND(AC2-AC3,2)</f>
        <v>25550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5.xml><?xml version="1.0" encoding="utf-8"?>
<worksheet xmlns="http://schemas.openxmlformats.org/spreadsheetml/2006/main" xmlns:r="http://schemas.openxmlformats.org/officeDocument/2006/relationships">
  <sheetPr codeName="Sheet101"/>
  <dimension ref="A1:AD4"/>
  <sheetViews>
    <sheetView topLeftCell="E1" workbookViewId="0">
      <selection activeCell="I18" sqref="I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310</v>
      </c>
      <c r="AC2" s="0">
        <f>ROUND(SUM((AA2*L2)+(AB2*L2)+(I2*L2)),2)</f>
        <v>666.3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</v>
      </c>
      <c r="AD3" t="s" s="0">
        <v>338</v>
      </c>
    </row>
    <row r="4" spans="1:30">
      <c r="I4" s="0">
        <f>SUM(I2:I3)</f>
        <v>100</v>
      </c>
      <c r="M4" s="0">
        <f>M2</f>
        <v>666.3</v>
      </c>
      <c r="N4" s="0">
        <f>N2</f>
        <v>666.3</v>
      </c>
      <c r="Q4" s="0">
        <f>SUM(Q2:Q3)</f>
        <v>766.3</v>
      </c>
      <c r="AC4" s="0">
        <f>ROUND(AC2+AC3,2)</f>
        <v>766.3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6.xml><?xml version="1.0" encoding="utf-8"?>
<worksheet xmlns="http://schemas.openxmlformats.org/spreadsheetml/2006/main" xmlns:r="http://schemas.openxmlformats.org/officeDocument/2006/relationships">
  <sheetPr codeName="Sheet102"/>
  <dimension ref="A1:AD4"/>
  <sheetViews>
    <sheetView workbookViewId="0">
      <selection activeCell="W3" sqref="W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666.3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</v>
      </c>
      <c r="AD3" t="s" s="0">
        <v>338</v>
      </c>
    </row>
    <row r="4" spans="1:30">
      <c r="I4" s="0">
        <f>SUM(I2:I3)</f>
        <v>100</v>
      </c>
      <c r="M4" s="0">
        <f>M2</f>
        <v>666.3</v>
      </c>
      <c r="N4" s="0">
        <f>N2</f>
        <v>666.3</v>
      </c>
      <c r="Q4" s="0">
        <f>SUM(Q2:Q3)</f>
        <v>766.3</v>
      </c>
      <c r="AC4" s="0">
        <f>ROUND(AC2+AC3,2)</f>
        <v>766.3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>
  <sheetPr codeName="Sheet103"/>
  <dimension ref="A1:AG3"/>
  <sheetViews>
    <sheetView topLeftCell="U1" workbookViewId="0">
      <selection activeCell="AF12" sqref="AF1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SUM(M2+R2+S2+T2+U2+W2)</f>
        <v>1180</v>
      </c>
      <c r="N3" s="0">
        <f>SUM(N2+R2+S2+T2+U2+W2)</f>
        <v>1180</v>
      </c>
      <c r="Q3" s="0">
        <f>SUM(Q2:Q2)</f>
        <v>1000</v>
      </c>
      <c r="R3" s="0">
        <f>SUM(R2:R2)</f>
        <v>90</v>
      </c>
      <c r="S3" s="0">
        <f>SUM(S2:S2)</f>
        <v>90</v>
      </c>
      <c r="T3" s="0">
        <f>SUM(T2:T2)</f>
        <v>0</v>
      </c>
      <c r="U3" s="0">
        <f>SUM(U2:U2)</f>
        <v>0</v>
      </c>
      <c r="AC3" s="0">
        <f>SUM(AC2)</f>
        <v>1180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>
  <sheetPr codeName="Sheet108"/>
  <dimension ref="A1:AL4"/>
  <sheetViews>
    <sheetView tabSelected="1" workbookViewId="0">
      <selection activeCell="H3" sqref="H3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9.0"/>
    <col min="4" max="4" bestFit="true" customWidth="true" width="12.7109375"/>
    <col min="5" max="5" bestFit="true" customWidth="true" width="11.85546875"/>
    <col min="6" max="6" bestFit="true" customWidth="true" width="7.140625"/>
    <col min="7" max="7" bestFit="true" customWidth="true" width="9.285156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4.85546875"/>
    <col min="26" max="26" bestFit="true" customWidth="true" width="15.0"/>
    <col min="27" max="28" bestFit="true" customWidth="true" width="8.85546875"/>
    <col min="29" max="29" bestFit="true" customWidth="true" width="20.0"/>
    <col min="30" max="30" bestFit="true" customWidth="true" width="12.0"/>
    <col min="31" max="31" bestFit="true" customWidth="true" width="3.0"/>
    <col min="32" max="32" bestFit="true" customWidth="true" width="19.42578125"/>
    <col min="33" max="33" bestFit="true" customWidth="true" width="17.7109375"/>
    <col min="34" max="34" bestFit="true" customWidth="true" width="5.140625"/>
    <col min="35" max="35" bestFit="true" customWidth="true" width="16.0"/>
    <col min="36" max="36" bestFit="true" customWidth="true" width="14.0"/>
    <col min="37" max="37" bestFit="true" customWidth="true" width="23.140625"/>
    <col min="38" max="38" bestFit="true" customWidth="true" width="16.5703125"/>
    <col min="39" max="39" bestFit="true" customWidth="true" width="19.42578125"/>
    <col min="40" max="40" bestFit="true" customWidth="true" width="17.7109375"/>
  </cols>
  <sheetData>
    <row r="1" spans="1:38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  <c r="AH1" s="64" t="s">
        <v>385</v>
      </c>
      <c r="AI1" s="64" t="s">
        <v>389</v>
      </c>
      <c r="AJ1" s="64" t="s">
        <v>390</v>
      </c>
      <c r="AK1" s="64" t="s">
        <v>391</v>
      </c>
      <c r="AL1" s="64" t="s">
        <v>392</v>
      </c>
    </row>
    <row r="2" spans="1:38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337</v>
      </c>
      <c r="AE2" s="0">
        <v>34</v>
      </c>
      <c r="AF2" t="s" s="0">
        <v>345</v>
      </c>
      <c r="AG2" t="s" s="0">
        <v>346</v>
      </c>
      <c r="AH2" t="s" s="0">
        <v>379</v>
      </c>
      <c r="AI2" s="0">
        <v>1000000029</v>
      </c>
      <c r="AJ2" s="0">
        <v>1</v>
      </c>
      <c r="AK2" s="0">
        <f>I2</f>
        <v>1000</v>
      </c>
      <c r="AL2" s="0">
        <f>ROUND(M2*AJ2%,2)</f>
        <v>10</v>
      </c>
    </row>
    <row r="3" spans="1:38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AK2</f>
        <v>1000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1">
        <f>ROUND(SUM((AA3*L3)+(AB3*L3)+(I3*L3)+R3+S3+T3+U3+W3),2)</f>
        <v>1000</v>
      </c>
      <c r="AD3" s="1" t="s">
        <v>337</v>
      </c>
      <c r="AE3" s="1"/>
      <c r="AF3" s="1"/>
      <c r="AG3" s="1"/>
      <c r="AH3" s="1"/>
      <c r="AI3" s="1"/>
      <c r="AJ3" s="1"/>
      <c r="AK3" s="1"/>
    </row>
    <row r="4" spans="1:38">
      <c r="I4" s="0">
        <f>SUM(I2:I2)</f>
        <v>1000</v>
      </c>
      <c r="M4" s="0">
        <f>SUM(M2+R2+S2+T2+U2+W2)-M3</f>
        <v>1170</v>
      </c>
      <c r="N4" s="0">
        <f>SUM(N2+R2+S2+T2+U2+W2)-N3</f>
        <v>1170</v>
      </c>
      <c r="Q4" s="0">
        <f>SUM(Q2:Q2)</f>
        <v>1000</v>
      </c>
      <c r="R4" s="0">
        <f>SUM(R2:R2)</f>
        <v>90</v>
      </c>
      <c r="S4" s="0">
        <f>SUM(S2:S2)</f>
        <v>90</v>
      </c>
      <c r="T4" s="0">
        <f>SUM(T2:T2)</f>
        <v>0</v>
      </c>
      <c r="U4" s="0">
        <f>SUM(U2:U2)</f>
        <v>0</v>
      </c>
      <c r="AC4" s="0">
        <f>AC2-AC3</f>
        <v>180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39.xml><?xml version="1.0" encoding="utf-8"?>
<worksheet xmlns="http://schemas.openxmlformats.org/spreadsheetml/2006/main" xmlns:r="http://schemas.openxmlformats.org/officeDocument/2006/relationships">
  <sheetPr codeName="Sheet104"/>
  <dimension ref="A1:AG3"/>
  <sheetViews>
    <sheetView topLeftCell="V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209</v>
      </c>
      <c r="L2" t="s" s="0">
        <v>369</v>
      </c>
      <c r="M2" s="38">
        <f>ROUND(SUM(AA2+AB2+I2),2)</f>
        <v>1000</v>
      </c>
      <c r="N2" s="38">
        <f>AC2</f>
        <v>85000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85000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SUM(M2)</f>
        <v>1000</v>
      </c>
      <c r="N3" s="0">
        <f>SUM(N2)</f>
        <v>85000</v>
      </c>
      <c r="Q3" s="0">
        <f>SUM(Q2:Q2)</f>
        <v>1000</v>
      </c>
      <c r="R3" s="0">
        <f>SUM(R2:R2)</f>
        <v>0</v>
      </c>
      <c r="S3" s="0">
        <f>SUM(S2:S2)</f>
        <v>0</v>
      </c>
      <c r="T3" s="0">
        <f>SUM(T2:T2)</f>
        <v>0</v>
      </c>
      <c r="U3" s="0">
        <f>SUM(U2:U2)</f>
        <v>0</v>
      </c>
      <c r="AC3" s="0">
        <f>SUM(AC2)</f>
        <v>85000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40.xml><?xml version="1.0" encoding="utf-8"?>
<worksheet xmlns="http://schemas.openxmlformats.org/spreadsheetml/2006/main" xmlns:r="http://schemas.openxmlformats.org/officeDocument/2006/relationships">
  <sheetPr codeName="Sheet105"/>
  <dimension ref="A1:AG3"/>
  <sheetViews>
    <sheetView workbookViewId="0">
      <selection activeCell="K2" sqref="K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82500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SUM(M2)</f>
        <v>1000</v>
      </c>
      <c r="N3" s="0">
        <f>SUM(N2)</f>
        <v>82500</v>
      </c>
      <c r="Q3" s="0">
        <f>SUM(Q2:Q2)</f>
        <v>1000</v>
      </c>
      <c r="R3" s="0">
        <f>SUM(R2:R2)</f>
        <v>0</v>
      </c>
      <c r="S3" s="0">
        <f>SUM(S2:S2)</f>
        <v>0</v>
      </c>
      <c r="T3" s="0">
        <f>SUM(T2:T2)</f>
        <v>0</v>
      </c>
      <c r="U3" s="0">
        <f>SUM(U2:U2)</f>
        <v>0</v>
      </c>
      <c r="AC3" s="0">
        <f>SUM(AC2)</f>
        <v>82500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41.xml><?xml version="1.0" encoding="utf-8"?>
<worksheet xmlns="http://schemas.openxmlformats.org/spreadsheetml/2006/main" xmlns:r="http://schemas.openxmlformats.org/officeDocument/2006/relationships">
  <sheetPr codeName="Sheet106"/>
  <dimension ref="A1:AG4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 s="0">
        <v>310</v>
      </c>
      <c r="AB2" t="s" s="0">
        <v>310</v>
      </c>
      <c r="AC2" s="0">
        <f>ROUND(SUM((AA2*L2)+(AB2*L2)+(I2*L2)+R2+S2+T2+U2+W2),2)</f>
        <v>10000</v>
      </c>
      <c r="AD2" t="s" s="0">
        <v>337</v>
      </c>
      <c r="AE2" s="0">
        <v>34</v>
      </c>
      <c r="AF2" t="s" s="0">
        <v>180</v>
      </c>
      <c r="AG2" t="s" s="0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0">
        <f>ROUND(SUM((AA3*L3)+(AB3*L3)+(I3*L3)+R3+S3+T3+U3+W3),2)</f>
        <v>1000</v>
      </c>
      <c r="AD3" t="s" s="0">
        <v>337</v>
      </c>
      <c r="AE3" s="0">
        <v>34</v>
      </c>
      <c r="AF3" t="s" s="0">
        <v>345</v>
      </c>
      <c r="AG3" t="s" s="0">
        <v>346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9000</v>
      </c>
      <c r="Q4" s="0">
        <f>SUM(Q2:Q3)</f>
        <v>11000</v>
      </c>
      <c r="R4" s="0">
        <f>SUM(R2:R3)</f>
        <v>0</v>
      </c>
      <c r="S4" s="0">
        <f>SUM(S2:S3)</f>
        <v>0</v>
      </c>
      <c r="T4" s="0">
        <f>SUM(T2:T3)</f>
        <v>0</v>
      </c>
      <c r="U4" s="0">
        <f>SUM(U2:U3)</f>
        <v>0</v>
      </c>
      <c r="AC4" s="0">
        <f>ROUND(AC2-AC3,2)</f>
        <v>9000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42.xml><?xml version="1.0" encoding="utf-8"?>
<worksheet xmlns="http://schemas.openxmlformats.org/spreadsheetml/2006/main" xmlns:r="http://schemas.openxmlformats.org/officeDocument/2006/relationships">
  <sheetPr codeName="Sheet107"/>
  <dimension ref="A1:AI4"/>
  <sheetViews>
    <sheetView topLeftCell="V1" workbookViewId="0">
      <selection activeCell="F14" sqref="F14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336</v>
      </c>
      <c r="AE1" s="1">
        <v>1</v>
      </c>
      <c r="AF1" s="37" t="s">
        <v>348</v>
      </c>
      <c r="AG1" s="37" t="s">
        <v>347</v>
      </c>
      <c r="AH1" s="56" t="s">
        <v>350</v>
      </c>
      <c r="AI1" s="56" t="s">
        <v>351</v>
      </c>
    </row>
    <row r="2" spans="1:35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337</v>
      </c>
      <c r="AE2" s="1">
        <v>34</v>
      </c>
      <c r="AF2" s="1" t="s">
        <v>345</v>
      </c>
      <c r="AG2" s="1" t="s">
        <v>346</v>
      </c>
      <c r="AH2" s="53">
        <v>0.01</v>
      </c>
      <c r="AI2" s="1">
        <f>Q2*AH2</f>
        <v>10</v>
      </c>
    </row>
    <row r="3" spans="1:35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337</v>
      </c>
      <c r="AE3" s="1"/>
      <c r="AF3" s="1"/>
      <c r="AG3" s="1"/>
      <c r="AH3" s="1"/>
      <c r="AI3" s="1"/>
    </row>
    <row r="4" spans="1:35">
      <c r="I4" s="0">
        <f>SUM(I2:I2)</f>
        <v>1000</v>
      </c>
      <c r="M4" s="0">
        <f>SUM(M2)</f>
        <v>1000</v>
      </c>
      <c r="N4" s="0">
        <f>SUM(N2)</f>
        <v>1180</v>
      </c>
      <c r="Q4" s="0">
        <f>SUM(Q2:Q3)</f>
        <v>1000</v>
      </c>
      <c r="R4" s="0">
        <f>SUM(R2:R3)</f>
        <v>90</v>
      </c>
      <c r="S4" s="0">
        <f>SUM(S2:S3)</f>
        <v>90</v>
      </c>
      <c r="T4" s="0">
        <f>SUM(T2:T3)</f>
        <v>0</v>
      </c>
      <c r="U4" s="0">
        <f>SUM(U2:U3)</f>
        <v>0</v>
      </c>
      <c r="AC4" s="0">
        <f>AC2-AC3</f>
        <v>1170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43.xml><?xml version="1.0" encoding="utf-8"?>
<worksheet xmlns="http://schemas.openxmlformats.org/spreadsheetml/2006/main" xmlns:r="http://schemas.openxmlformats.org/officeDocument/2006/relationships">
  <sheetPr codeName="Sheet109"/>
  <dimension ref="A1:AD3"/>
  <sheetViews>
    <sheetView workbookViewId="0">
      <selection activeCell="V4" sqref="V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337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s="1" t="s">
        <v>337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75" t="s">
        <v>397</v>
      </c>
      <c r="C2" s="1" t="s">
        <v>398</v>
      </c>
      <c r="D2" s="1" t="s">
        <v>399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18" sqref="D18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8" sqref="C7:C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6.140625"/>
    <col min="29" max="29" bestFit="true" customWidth="true" width="25.0"/>
    <col min="31" max="31" bestFit="true" customWidth="true" width="16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AC2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  <c r="AD2" t="s" s="0">
        <v>379</v>
      </c>
      <c r="AE2" s="0">
        <v>1000000029</v>
      </c>
      <c r="AF2" s="0">
        <v>1</v>
      </c>
      <c r="AG2" s="0">
        <f>AC2</f>
        <v>0</v>
      </c>
      <c r="AH2" s="0">
        <f>ROUND(AC2*AF2%,2)</f>
        <v>0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0</v>
      </c>
      <c r="N3" s="38">
        <f>AC3</f>
        <v>0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ROUND(AA2*AF2%,2)</f>
        <v>0</v>
      </c>
    </row>
    <row r="4" spans="1:34">
      <c r="M4" s="0">
        <f>ROUND(M2-M3,2)</f>
        <v>0</v>
      </c>
      <c r="N4" s="0">
        <f>ROUND(N2-N3,2)</f>
        <v>0</v>
      </c>
      <c r="Q4" s="0">
        <f>SUM(Q2)</f>
        <v>0</v>
      </c>
      <c r="AA4" t="s" s="0">
        <v>310</v>
      </c>
      <c r="AB4" s="0">
        <v>0</v>
      </c>
      <c r="AC4" s="0">
        <f>ROUND(AC2-AC3,2)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J6" sqref="J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customWidth="true" width="17.7109375"/>
    <col min="32" max="32" customWidth="true" width="14.85546875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221.25</v>
      </c>
      <c r="AD2" t="s" s="0">
        <v>379</v>
      </c>
      <c r="AE2" s="0">
        <v>1000000029</v>
      </c>
      <c r="AF2" s="0">
        <v>1</v>
      </c>
      <c r="AG2" s="0">
        <f>AC2</f>
        <v>221.25</v>
      </c>
      <c r="AH2" s="0">
        <f>ROUND(AC2*AF2%,2)</f>
        <v>2.21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 s="0">
        <v>319</v>
      </c>
      <c r="M3" s="45">
        <f>ROUND(SUM(AA3+AB3+I3),2)</f>
        <v>221.25</v>
      </c>
      <c r="N3" s="45">
        <f>AC3</f>
        <v>221.25</v>
      </c>
      <c r="O3" s="41"/>
      <c r="P3" s="41"/>
      <c r="Q3" s="41">
        <f>M3</f>
        <v>221.25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221.25</v>
      </c>
      <c r="AD3" t="s" s="0">
        <v>386</v>
      </c>
      <c r="AE3" s="0">
        <v>1000000047</v>
      </c>
      <c r="AF3" s="0">
        <v>0.1</v>
      </c>
      <c r="AG3" s="0">
        <f>AC3</f>
        <v>221.25</v>
      </c>
      <c r="AH3" s="0">
        <f>ROUND(AC3*AF3%,2)</f>
        <v>0.22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2.21</v>
      </c>
      <c r="N4" s="38">
        <f>AH2</f>
        <v>2.21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2.21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0.22</v>
      </c>
      <c r="N5" s="38">
        <f>AH3</f>
        <v>0.22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0.22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0</v>
      </c>
      <c r="L6" t="s" s="0">
        <v>319</v>
      </c>
      <c r="M6" s="0">
        <f>ROUND((M2+M3)-(M4+M5),2)</f>
        <v>440.07</v>
      </c>
      <c r="N6" s="0">
        <f>ROUND((N2+N3)-(N4+N5),2)</f>
        <v>440.07</v>
      </c>
      <c r="Q6" s="0">
        <f>SUM(Q2:Q3)</f>
        <v>442.5</v>
      </c>
      <c r="AC6" s="0">
        <f>ROUND((AC2+AC3)-(AC4+AC5),2)</f>
        <v>440.07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15" sqref="D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3" sqref="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K1" sqref="K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2000000118</v>
      </c>
      <c r="D2" s="1" t="s">
        <v>397</v>
      </c>
      <c r="E2" s="1"/>
      <c r="F2" s="1"/>
      <c r="G2" t="s" s="0">
        <v>310</v>
      </c>
      <c r="H2" t="s" s="0">
        <v>310</v>
      </c>
      <c r="I2" s="47">
        <f>ROUND(SUM(G2+H2)*K1,2)</f>
        <v>15937.5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ROUND(SUM(G3+H3)*K1,2)</f>
        <v>15937.5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I4"/>
  <sheetViews>
    <sheetView topLeftCell="R1" workbookViewId="0">
      <selection activeCell="X3" sqref="X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customWidth="true" width="25.0"/>
    <col min="6" max="6" bestFit="true" customWidth="true" width="20.5703125"/>
    <col min="7" max="7" bestFit="true" customWidth="true" width="7.140625"/>
    <col min="8" max="8" bestFit="true" customWidth="true" width="14.5703125"/>
    <col min="9" max="9" customWidth="true" width="17.42578125"/>
    <col min="10" max="10" bestFit="true" customWidth="true" width="13.5703125"/>
    <col min="11" max="11" bestFit="true" customWidth="true" width="12.140625"/>
    <col min="12" max="12" bestFit="true" customWidth="true" width="7.0"/>
    <col min="13" max="13" bestFit="true" customWidth="true" width="8.140625"/>
    <col min="14" max="14" bestFit="true" customWidth="true" width="17.0"/>
    <col min="15" max="15" bestFit="true" customWidth="true" width="15.5703125"/>
    <col min="16" max="16" bestFit="true" customWidth="true" width="10.0"/>
    <col min="17" max="17" bestFit="true" customWidth="true" width="16.5703125"/>
    <col min="18" max="18" bestFit="true" customWidth="true" width="17.0"/>
    <col min="19" max="19" bestFit="true" customWidth="true" width="5.5703125"/>
    <col min="20" max="20" bestFit="true" customWidth="true" width="5.42578125"/>
    <col min="21" max="21" bestFit="true" customWidth="true" width="5.0"/>
    <col min="22" max="22" bestFit="true" customWidth="true" width="6.85546875"/>
    <col min="23" max="23" bestFit="true" customWidth="true" width="17.42578125"/>
    <col min="24" max="24" bestFit="true" customWidth="true" width="14.140625"/>
    <col min="25" max="25" bestFit="true" customWidth="true" width="8.42578125"/>
    <col min="26" max="26" bestFit="true" customWidth="true" width="5.28515625"/>
    <col min="27" max="27" bestFit="true" customWidth="true" width="15.0"/>
    <col min="28" max="28" bestFit="true" customWidth="true" width="8.85546875"/>
    <col min="29" max="29" bestFit="true" customWidth="true" width="9.28515625"/>
    <col min="30" max="31" customWidth="true" width="9.28515625"/>
    <col min="32" max="33" bestFit="true" customWidth="true" width="11.85546875"/>
    <col min="34" max="34" bestFit="true" customWidth="true" width="24.140625"/>
    <col min="35" max="35" bestFit="true" customWidth="true" width="16.2851562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415</v>
      </c>
      <c r="F1" s="56" t="s">
        <v>414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406</v>
      </c>
      <c r="AC1" s="64" t="s">
        <v>407</v>
      </c>
      <c r="AD1" s="64" t="s">
        <v>408</v>
      </c>
      <c r="AE1" s="64" t="s">
        <v>409</v>
      </c>
      <c r="AF1" s="64" t="s">
        <v>412</v>
      </c>
      <c r="AG1" s="64" t="s">
        <v>413</v>
      </c>
      <c r="AH1" s="64" t="s">
        <v>410</v>
      </c>
      <c r="AI1" s="64" t="s">
        <v>411</v>
      </c>
    </row>
    <row r="2" spans="1:35">
      <c r="A2" s="1">
        <v>1</v>
      </c>
      <c r="B2" s="76" t="s">
        <v>404</v>
      </c>
      <c r="C2" s="1" t="s">
        <v>400</v>
      </c>
      <c r="D2" s="1" t="s">
        <v>402</v>
      </c>
      <c r="E2" s="1" t="s">
        <v>384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1000</v>
      </c>
      <c r="K2" s="1" t="s">
        <v>276</v>
      </c>
      <c r="L2" t="s" s="0">
        <v>207</v>
      </c>
      <c r="M2" t="s" s="0">
        <v>319</v>
      </c>
      <c r="N2" s="38">
        <f>ROUND(SUM(AB2+AC2+J2),2)</f>
        <v>1442.5</v>
      </c>
      <c r="O2" s="38">
        <f>AH2</f>
        <v>1442.5</v>
      </c>
      <c r="P2" s="1"/>
      <c r="Q2" s="1"/>
      <c r="R2" s="1">
        <f>N2</f>
        <v>1442.5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 s="0">
        <v>380</v>
      </c>
      <c r="AC2" t="s" s="0">
        <v>380</v>
      </c>
      <c r="AD2" t="s" s="0">
        <v>416</v>
      </c>
      <c r="AE2" t="s" s="0">
        <v>416</v>
      </c>
      <c r="AF2" s="0">
        <f>ROUND(AD2-AB2,2)</f>
        <v>663.75</v>
      </c>
      <c r="AG2" s="0">
        <f>ROUND(AE2-AC2,2)</f>
        <v>663.75</v>
      </c>
      <c r="AH2" s="0">
        <f>ROUND(SUM((AB2*M2)+(AC2*M2)+(J2*M2)),2)</f>
        <v>1442.5</v>
      </c>
      <c r="AI2" s="0">
        <f>ROUND((AE2+AD2+J2)-(AB2+AC2),2)</f>
        <v>2327.5</v>
      </c>
    </row>
    <row r="3" spans="1:35">
      <c r="A3" s="1">
        <v>2</v>
      </c>
      <c r="B3" s="76" t="s">
        <v>405</v>
      </c>
      <c r="C3" s="1" t="s">
        <v>401</v>
      </c>
      <c r="D3" s="1" t="s">
        <v>403</v>
      </c>
      <c r="E3" s="1" t="s">
        <v>384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1000</v>
      </c>
      <c r="K3" s="1" t="s">
        <v>276</v>
      </c>
      <c r="L3" t="s" s="0">
        <v>207</v>
      </c>
      <c r="M3" t="s" s="0">
        <v>319</v>
      </c>
      <c r="N3" s="38">
        <f>ROUND(SUM(AB3+AC3+J3),2)</f>
        <v>1442.5</v>
      </c>
      <c r="O3" s="38">
        <f>AH3</f>
        <v>1442.5</v>
      </c>
      <c r="P3" s="1"/>
      <c r="Q3" s="1"/>
      <c r="R3" s="1">
        <f>N3</f>
        <v>1442.5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 s="0">
        <v>380</v>
      </c>
      <c r="AC3" t="s" s="0">
        <v>380</v>
      </c>
      <c r="AD3" t="s" s="0">
        <v>416</v>
      </c>
      <c r="AE3" t="s" s="0">
        <v>416</v>
      </c>
      <c r="AF3" s="0">
        <f>ROUND(AD3-AB3,2)</f>
        <v>663.75</v>
      </c>
      <c r="AG3" s="0">
        <f>ROUND(AE3-AC3,2)</f>
        <v>663.75</v>
      </c>
      <c r="AH3" s="0">
        <f>ROUND(SUM((AB3*M3)+(AC3*M3)+(J3*M3)),2)</f>
        <v>1442.5</v>
      </c>
      <c r="AI3" s="0">
        <f>ROUND((AE3+AD3+J3)-(AB3+AC3),2)</f>
        <v>2327.5</v>
      </c>
    </row>
    <row r="4" spans="1:35">
      <c r="J4" s="0">
        <f>SUM(J2:J3)</f>
        <v>2000</v>
      </c>
      <c r="N4" s="0">
        <f>SUM(N2:N3)</f>
        <v>2885</v>
      </c>
      <c r="O4" s="0">
        <f>SUM(O2:O3)</f>
        <v>2885</v>
      </c>
      <c r="R4" s="0">
        <f>SUM(R2:R3)</f>
        <v>2885</v>
      </c>
      <c r="AB4" s="0">
        <f t="shared" ref="AB4:AH4" si="0">SUM(AB2:AB3)</f>
        <v>0</v>
      </c>
      <c r="AC4" s="0">
        <f t="shared" si="0"/>
        <v>0</v>
      </c>
      <c r="AD4" s="0">
        <f t="shared" si="0"/>
        <v>0</v>
      </c>
      <c r="AE4" s="0">
        <f t="shared" si="0"/>
        <v>0</v>
      </c>
      <c r="AF4" s="0">
        <f t="shared" si="0"/>
        <v>0</v>
      </c>
      <c r="AG4" s="0">
        <f t="shared" si="0"/>
        <v>0</v>
      </c>
      <c r="AH4" s="0">
        <f t="shared" si="0"/>
        <v>2885</v>
      </c>
      <c r="AI4" s="0">
        <f>SUM(AI2:AI3)</f>
        <v>4655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I4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37.140625"/>
    <col min="3" max="3" bestFit="true" customWidth="true" width="12.28515625"/>
    <col min="4" max="4" bestFit="true" customWidth="true" width="33.140625"/>
    <col min="5" max="5" customWidth="true" width="25.0"/>
    <col min="6" max="6" bestFit="true" customWidth="true" width="20.5703125"/>
    <col min="7" max="7" bestFit="true" customWidth="true" width="7.140625"/>
    <col min="8" max="8" bestFit="true" customWidth="true" width="14.5703125"/>
    <col min="9" max="9" customWidth="true" width="17.42578125"/>
    <col min="10" max="10" bestFit="true" customWidth="true" width="13.5703125"/>
    <col min="11" max="11" bestFit="true" customWidth="true" width="12.140625"/>
    <col min="12" max="12" bestFit="true" customWidth="true" width="7.0"/>
    <col min="13" max="13" bestFit="true" customWidth="true" width="8.140625"/>
    <col min="14" max="14" bestFit="true" customWidth="true" width="17.0"/>
    <col min="15" max="15" bestFit="true" customWidth="true" width="15.5703125"/>
    <col min="16" max="16" bestFit="true" customWidth="true" width="10.0"/>
    <col min="17" max="17" bestFit="true" customWidth="true" width="16.5703125"/>
    <col min="18" max="18" bestFit="true" customWidth="true" width="17.0"/>
    <col min="19" max="19" bestFit="true" customWidth="true" width="5.5703125"/>
    <col min="20" max="20" bestFit="true" customWidth="true" width="5.42578125"/>
    <col min="21" max="21" bestFit="true" customWidth="true" width="5.0"/>
    <col min="22" max="22" bestFit="true" customWidth="true" width="6.85546875"/>
    <col min="23" max="23" bestFit="true" customWidth="true" width="17.42578125"/>
    <col min="24" max="24" bestFit="true" customWidth="true" width="14.140625"/>
    <col min="25" max="25" bestFit="true" customWidth="true" width="8.42578125"/>
    <col min="26" max="26" bestFit="true" customWidth="true" width="5.28515625"/>
    <col min="27" max="27" bestFit="true" customWidth="true" width="15.0"/>
    <col min="28" max="28" bestFit="true" customWidth="true" width="8.85546875"/>
    <col min="29" max="29" bestFit="true" customWidth="true" width="9.28515625"/>
    <col min="30" max="31" customWidth="true" width="9.28515625"/>
    <col min="32" max="33" bestFit="true" customWidth="true" width="11.85546875"/>
    <col min="34" max="34" bestFit="true" customWidth="true" width="24.140625"/>
    <col min="35" max="35" bestFit="true" customWidth="true" width="16.2851562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415</v>
      </c>
      <c r="F1" s="56" t="s">
        <v>414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406</v>
      </c>
      <c r="AC1" s="64" t="s">
        <v>407</v>
      </c>
      <c r="AD1" s="64" t="s">
        <v>408</v>
      </c>
      <c r="AE1" s="64" t="s">
        <v>409</v>
      </c>
      <c r="AF1" s="64" t="s">
        <v>412</v>
      </c>
      <c r="AG1" s="64" t="s">
        <v>413</v>
      </c>
      <c r="AH1" s="64" t="s">
        <v>410</v>
      </c>
      <c r="AI1" s="64" t="s">
        <v>411</v>
      </c>
    </row>
    <row r="2" spans="1:35">
      <c r="A2" s="1">
        <v>1</v>
      </c>
      <c r="B2" s="75" t="s">
        <v>397</v>
      </c>
      <c r="C2" s="1" t="s">
        <v>398</v>
      </c>
      <c r="D2" s="1" t="s">
        <v>399</v>
      </c>
      <c r="E2" s="1" t="s">
        <v>419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</v>
      </c>
      <c r="K2" s="1" t="s">
        <v>276</v>
      </c>
      <c r="L2" t="s" s="0">
        <v>209</v>
      </c>
      <c r="M2" t="s" s="0">
        <v>369</v>
      </c>
      <c r="N2" s="38">
        <f>ROUND(SUM(AB2+AC2+J2),2)</f>
        <v>475</v>
      </c>
      <c r="O2" s="38">
        <f>AH2</f>
        <v>40375</v>
      </c>
      <c r="P2" s="1"/>
      <c r="Q2" s="1"/>
      <c r="R2" s="1">
        <f>N2</f>
        <v>475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 s="0">
        <v>421</v>
      </c>
      <c r="AC2" t="s" s="0">
        <v>421</v>
      </c>
      <c r="AD2" t="s" s="0">
        <v>422</v>
      </c>
      <c r="AE2" t="s" s="0">
        <v>422</v>
      </c>
      <c r="AF2" s="0">
        <f>ROUND(AD2-AB2,2)</f>
        <v>562.5</v>
      </c>
      <c r="AG2" s="0">
        <f>ROUND(AE2-AC2,2)</f>
        <v>562.5</v>
      </c>
      <c r="AH2" s="0">
        <f>ROUND(SUM((AB2*M2)+(AC2*M2)+(J2*M2)),2)</f>
        <v>40375</v>
      </c>
      <c r="AI2" s="0">
        <f>ROUND((AE2+AD2+J2)-(AB2+AC2),2)</f>
        <v>1225</v>
      </c>
    </row>
    <row r="3" spans="1:35">
      <c r="A3" s="1">
        <v>2</v>
      </c>
      <c r="B3" s="77" t="s">
        <v>420</v>
      </c>
      <c r="C3" s="1" t="s">
        <v>417</v>
      </c>
      <c r="D3" s="1" t="s">
        <v>418</v>
      </c>
      <c r="E3" s="1" t="s">
        <v>419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</v>
      </c>
      <c r="K3" s="1" t="s">
        <v>276</v>
      </c>
      <c r="L3" t="s" s="0">
        <v>209</v>
      </c>
      <c r="M3" t="s" s="0">
        <v>369</v>
      </c>
      <c r="N3" s="38">
        <f>ROUND(SUM(AB3+AC3+J3),2)</f>
        <v>475</v>
      </c>
      <c r="O3" s="38">
        <f>AH3</f>
        <v>40375</v>
      </c>
      <c r="P3" s="1"/>
      <c r="Q3" s="1"/>
      <c r="R3" s="1">
        <f>N3</f>
        <v>475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 s="0">
        <v>421</v>
      </c>
      <c r="AC3" t="s" s="0">
        <v>421</v>
      </c>
      <c r="AD3" t="s" s="0">
        <v>422</v>
      </c>
      <c r="AE3" t="s" s="0">
        <v>422</v>
      </c>
      <c r="AF3" s="0">
        <f>ROUND(AD3-AB3,2)</f>
        <v>562.5</v>
      </c>
      <c r="AG3" s="0">
        <f>ROUND(AE3-AC3,2)</f>
        <v>562.5</v>
      </c>
      <c r="AH3" s="0">
        <f>ROUND(SUM((AB3*M3)+(AC3*M3)+(J3*M3)),2)</f>
        <v>40375</v>
      </c>
      <c r="AI3" s="0">
        <f>ROUND((AE3+AD3+J3)-(AB3+AC3),2)</f>
        <v>1225</v>
      </c>
    </row>
    <row r="4" spans="1:35">
      <c r="J4" s="0">
        <f>SUM(J2:J3)</f>
        <v>200</v>
      </c>
      <c r="N4" s="0">
        <f>SUM(N2:N3)</f>
        <v>950</v>
      </c>
      <c r="O4" s="0">
        <f>SUM(O2:O3)</f>
        <v>80750</v>
      </c>
      <c r="R4" s="0">
        <f>SUM(R2:R3)</f>
        <v>1017.5</v>
      </c>
      <c r="AB4" s="0">
        <f t="shared" ref="AB4:AH4" si="0">SUM(AB2:AB3)</f>
        <v>0</v>
      </c>
      <c r="AC4" s="0">
        <f t="shared" si="0"/>
        <v>0</v>
      </c>
      <c r="AD4" s="0">
        <f t="shared" si="0"/>
        <v>0</v>
      </c>
      <c r="AE4" s="0">
        <f t="shared" si="0"/>
        <v>0</v>
      </c>
      <c r="AF4" s="0">
        <f t="shared" si="0"/>
        <v>1125</v>
      </c>
      <c r="AG4" s="0">
        <f t="shared" si="0"/>
        <v>1125</v>
      </c>
      <c r="AH4" s="0">
        <f t="shared" si="0"/>
        <v>80750</v>
      </c>
      <c r="AI4" s="0">
        <f>SUM(AI2:AI3)</f>
        <v>2450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155</vt:i4>
      </vt:variant>
    </vt:vector>
  </HeadingPairs>
  <TitlesOfParts>
    <vt:vector size="155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BankPaymentUSDMulti</vt:lpstr>
      <vt:lpstr>BankPaymentUSDMPSB</vt:lpstr>
      <vt:lpstr>BankPaymentUSDMPMB</vt:lpstr>
      <vt:lpstr>BankPaymentUSDMPMBNR</vt:lpstr>
      <vt:lpstr>BPJournalMultiUSD</vt:lpstr>
      <vt:lpstr>BPJournalMPMIUSD</vt:lpstr>
      <vt:lpstr>BPJournalNRUSD</vt:lpstr>
      <vt:lpstr>BankPaymentChargesUSD</vt:lpstr>
      <vt:lpstr>BPJournalBankUSD</vt:lpstr>
      <vt:lpstr>BankPaymentAdv</vt:lpstr>
      <vt:lpstr>BPJournalINRAdvNR</vt:lpstr>
      <vt:lpstr>BankPaymentINR</vt:lpstr>
      <vt:lpstr>BankPaymentINRMulti</vt:lpstr>
      <vt:lpstr>BankPaymentINRMPMBNR</vt:lpstr>
      <vt:lpstr>BankPaymentINRMPMBMU</vt:lpstr>
      <vt:lpstr>BankPaymentINRMultiUnits</vt:lpstr>
      <vt:lpstr>BankPaymentINRMPMB</vt:lpstr>
      <vt:lpstr>BankPaymentINRMPSB</vt:lpstr>
      <vt:lpstr>BankPaymentUSD</vt:lpstr>
      <vt:lpstr>MultiGRN</vt:lpstr>
      <vt:lpstr>BankReceipt (2)</vt:lpstr>
      <vt:lpstr>BankReceiptAdv</vt:lpstr>
      <vt:lpstr>BankReceiptMultiNewRef</vt:lpstr>
      <vt:lpstr>JournalUSD</vt:lpstr>
      <vt:lpstr>JournalMultiUSD</vt:lpstr>
      <vt:lpstr>JournalMPMIUSD</vt:lpstr>
      <vt:lpstr>JournalNRUSD</vt:lpstr>
      <vt:lpstr>BankReceiptMultiNewRefUSD</vt:lpstr>
      <vt:lpstr>JournalINR</vt:lpstr>
      <vt:lpstr>JournalMultiINR</vt:lpstr>
      <vt:lpstr>JournalMPMIINR</vt:lpstr>
      <vt:lpstr>JournalNRINR</vt:lpstr>
      <vt:lpstr>BPJournalPDC</vt:lpstr>
      <vt:lpstr>JournalPDC</vt:lpstr>
      <vt:lpstr>BPJournalREVGSTTDS</vt:lpstr>
      <vt:lpstr>BPJournalREVGST</vt:lpstr>
      <vt:lpstr>JournalREVGST</vt:lpstr>
      <vt:lpstr>BankReceiptRevExpGST</vt:lpstr>
      <vt:lpstr>JournalREVUSD</vt:lpstr>
      <vt:lpstr>CRJournalREVGST</vt:lpstr>
      <vt:lpstr>CRJournalREV</vt:lpstr>
      <vt:lpstr>CPJournalREV</vt:lpstr>
      <vt:lpstr>CPJournalREVGST</vt:lpstr>
      <vt:lpstr>CPJournalREVGSTTDS</vt:lpstr>
      <vt:lpstr>BPJournalREV</vt:lpstr>
      <vt:lpstr>JournalREV</vt:lpstr>
      <vt:lpstr>JournalBankUSD</vt:lpstr>
      <vt:lpstr>BPJournalBankINR</vt:lpstr>
      <vt:lpstr>BPJournalBank</vt:lpstr>
      <vt:lpstr>JournalBank</vt:lpstr>
      <vt:lpstr>TDS CPJournalADV</vt:lpstr>
      <vt:lpstr>CPJournalADV</vt:lpstr>
      <vt:lpstr>TDS CPAdvance</vt:lpstr>
      <vt:lpstr>TDS CPAdvanceWithNewRef</vt:lpstr>
      <vt:lpstr>TDS CPJournalADVWithNewRef</vt:lpstr>
      <vt:lpstr>TDS CPAdvanceMultiNewRef</vt:lpstr>
      <vt:lpstr>TDS CPJournalADVMultiNewref</vt:lpstr>
      <vt:lpstr>TDS CPAdvanceMulti</vt:lpstr>
      <vt:lpstr>TDS CPJournalADVMulti</vt:lpstr>
      <vt:lpstr>CPAdvanceMulti</vt:lpstr>
      <vt:lpstr>CPAdvanceWithNewRef</vt:lpstr>
      <vt:lpstr>CPJournalADVWithNewRef</vt:lpstr>
      <vt:lpstr>CPAdvance</vt:lpstr>
      <vt:lpstr>BPJournalADVWithNewRef</vt:lpstr>
      <vt:lpstr>TDS BPJournalADVMultiNewref</vt:lpstr>
      <vt:lpstr>TDS BPJournalADVWithNewRef</vt:lpstr>
      <vt:lpstr>CPJournal</vt:lpstr>
      <vt:lpstr>CRJournal</vt:lpstr>
      <vt:lpstr>BPJournal</vt:lpstr>
      <vt:lpstr>BPJournalINR</vt:lpstr>
      <vt:lpstr>BPJournalUSD</vt:lpstr>
      <vt:lpstr>BPJournalREVUSD</vt:lpstr>
      <vt:lpstr>BRAdvJournalNR</vt:lpstr>
      <vt:lpstr>Journal</vt:lpstr>
      <vt:lpstr>CRJournalMulti</vt:lpstr>
      <vt:lpstr>CRJournalMultiRef</vt:lpstr>
      <vt:lpstr>CRJournalNewRef</vt:lpstr>
      <vt:lpstr>CPJournalMulti</vt:lpstr>
      <vt:lpstr>CPJournalNR</vt:lpstr>
      <vt:lpstr>BPJournalMultiINR</vt:lpstr>
      <vt:lpstr>BPJournalREVINR</vt:lpstr>
      <vt:lpstr>BPJournalMPMIINR</vt:lpstr>
      <vt:lpstr>BPJournalNRINR</vt:lpstr>
      <vt:lpstr>BPJournalMulti</vt:lpstr>
      <vt:lpstr>JournalMulti</vt:lpstr>
      <vt:lpstr>CRJournalMPMI</vt:lpstr>
      <vt:lpstr>CPJournalMPMI</vt:lpstr>
      <vt:lpstr>BPJournalMPMI</vt:lpstr>
      <vt:lpstr>BPJournalNR</vt:lpstr>
      <vt:lpstr>JournalMPMI</vt:lpstr>
      <vt:lpstr>CRJournalNR</vt:lpstr>
      <vt:lpstr>JournalNR</vt:lpstr>
      <vt:lpstr>BankReceiptAdvMultiNR</vt:lpstr>
      <vt:lpstr>BankReceiptNewRef</vt:lpstr>
      <vt:lpstr>BankPaymentAdvUSD</vt:lpstr>
      <vt:lpstr>BPAdvJournalUSDNR</vt:lpstr>
      <vt:lpstr>JournalINRAdvNR</vt:lpstr>
      <vt:lpstr>BankReceipt</vt:lpstr>
      <vt:lpstr>BankReceiptMulti</vt:lpstr>
      <vt:lpstr>BRAdvUSDNR</vt:lpstr>
      <vt:lpstr>BRAdvJournalUSDNR</vt:lpstr>
      <vt:lpstr>BankReceiptUSD</vt:lpstr>
      <vt:lpstr>BankReceiptMultiUSD</vt:lpstr>
      <vt:lpstr>BankReceiptMulti (2)</vt:lpstr>
      <vt:lpstr>BankReceiptMultiNewRef (2)</vt:lpstr>
      <vt:lpstr>BankReceiptPDC</vt:lpstr>
      <vt:lpstr>BankReceiptChargesUSD</vt:lpstr>
      <vt:lpstr>BankReceiptCharges</vt:lpstr>
      <vt:lpstr>BankPaymentChargesINR</vt:lpstr>
      <vt:lpstr>BankPaymentCharges</vt:lpstr>
      <vt:lpstr>BankPaymentExpGST</vt:lpstr>
      <vt:lpstr>BankPaymentExpGSTTDS</vt:lpstr>
      <vt:lpstr>BankPaymentExpUSD</vt:lpstr>
      <vt:lpstr>BankPaymentExp</vt:lpstr>
      <vt:lpstr>BankReceiptRevExp</vt:lpstr>
      <vt:lpstr>BankPaymentExpTDS</vt:lpstr>
      <vt:lpstr>BankPaymentPDC</vt:lpstr>
      <vt:lpstr>BPAdvanceUSD</vt:lpstr>
      <vt:lpstr>BPAdvance</vt:lpstr>
      <vt:lpstr>BPJournalADV</vt:lpstr>
      <vt:lpstr>TDS BPAdvance</vt:lpstr>
      <vt:lpstr>TDS BPJournalADV</vt:lpstr>
      <vt:lpstr>TDS BPAdvanceMulti</vt:lpstr>
      <vt:lpstr>TDS BPJournalADVMulti</vt:lpstr>
      <vt:lpstr>BPJournalADVINR</vt:lpstr>
      <vt:lpstr>BPJournalADVUSD</vt:lpstr>
      <vt:lpstr>BPMPMBADVNR</vt:lpstr>
      <vt:lpstr>BPMPMBADVNRUSD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2025-01-30T07:28:00Z</dcterms:created>
  <dc:creator>galaxy</dc:creator>
  <cp:lastModifiedBy>Harikrishna</cp:lastModifiedBy>
  <dcterms:modified xsi:type="dcterms:W3CDTF">2026-05-05T09:11:41Z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