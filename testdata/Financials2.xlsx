
<file path=[Content_Types].xml><?xml version="1.0" encoding="utf-8"?>
<Types xmlns="http://schemas.openxmlformats.org/package/2006/content-types"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53.xml" ContentType="application/vnd.openxmlformats-officedocument.spreadsheetml.worksheet+xml"/>
  <Override PartName="/xl/worksheets/sheet71.xml" ContentType="application/vnd.openxmlformats-officedocument.spreadsheetml.worksheet+xml"/>
  <Override PartName="/xl/worksheets/sheet82.xml" ContentType="application/vnd.openxmlformats-officedocument.spreadsheetml.worksheet+xml"/>
  <Override PartName="/xl/worksheets/sheet13.xml" ContentType="application/vnd.openxmlformats-officedocument.spreadsheetml.worksheet+xml"/>
  <Override PartName="/xl/worksheets/sheet42.xml" ContentType="application/vnd.openxmlformats-officedocument.spreadsheetml.worksheet+xml"/>
  <Override PartName="/xl/worksheets/sheet60.xml" ContentType="application/vnd.openxmlformats-officedocument.spreadsheetml.worksheet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139.xml" ContentType="application/vnd.openxmlformats-officedocument.spreadsheetml.worksheet+xml"/>
  <Default Extension="xml" ContentType="application/xml"/>
  <Override PartName="/xl/worksheets/sheet128.xml" ContentType="application/vnd.openxmlformats-officedocument.spreadsheetml.worksheet+xml"/>
  <Override PartName="/xl/worksheets/sheet3.xml" ContentType="application/vnd.openxmlformats-officedocument.spreadsheetml.worksheet+xml"/>
  <Override PartName="/xl/worksheets/sheet98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46.xml" ContentType="application/vnd.openxmlformats-officedocument.spreadsheetml.worksheet+xml"/>
  <Override PartName="/docProps/custom.xml" ContentType="application/vnd.openxmlformats-officedocument.custom-properties+xml"/>
  <Override PartName="/xl/worksheets/sheet69.xml" ContentType="application/vnd.openxmlformats-officedocument.spreadsheetml.worksheet+xml"/>
  <Override PartName="/xl/worksheets/sheet87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53.xml" ContentType="application/vnd.openxmlformats-officedocument.spreadsheetml.worksheet+xml"/>
  <Override PartName="/xl/worksheets/sheet29.xml" ContentType="application/vnd.openxmlformats-officedocument.spreadsheetml.worksheet+xml"/>
  <Override PartName="/xl/worksheets/sheet47.xml" ContentType="application/vnd.openxmlformats-officedocument.spreadsheetml.worksheet+xml"/>
  <Override PartName="/xl/worksheets/sheet58.xml" ContentType="application/vnd.openxmlformats-officedocument.spreadsheetml.worksheet+xml"/>
  <Override PartName="/xl/worksheets/sheet76.xml" ContentType="application/vnd.openxmlformats-officedocument.spreadsheetml.worksheet+xml"/>
  <Override PartName="/xl/worksheets/sheet94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42.xml" ContentType="application/vnd.openxmlformats-officedocument.spreadsheetml.worksheet+xml"/>
  <Override PartName="/xl/sharedStrings.xml" ContentType="application/vnd.openxmlformats-officedocument.spreadsheetml.sharedStrings+xml"/>
  <Override PartName="/xl/worksheets/sheet18.xml" ContentType="application/vnd.openxmlformats-officedocument.spreadsheetml.worksheet+xml"/>
  <Override PartName="/xl/worksheets/sheet36.xml" ContentType="application/vnd.openxmlformats-officedocument.spreadsheetml.worksheet+xml"/>
  <Override PartName="/xl/worksheets/sheet54.xml" ContentType="application/vnd.openxmlformats-officedocument.spreadsheetml.worksheet+xml"/>
  <Override PartName="/xl/worksheets/sheet65.xml" ContentType="application/vnd.openxmlformats-officedocument.spreadsheetml.worksheet+xml"/>
  <Override PartName="/xl/worksheets/sheet83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25.xml" ContentType="application/vnd.openxmlformats-officedocument.spreadsheetml.worksheet+xml"/>
  <Override PartName="/xl/worksheets/sheet43.xml" ContentType="application/vnd.openxmlformats-officedocument.spreadsheetml.worksheet+xml"/>
  <Override PartName="/xl/worksheets/sheet72.xml" ContentType="application/vnd.openxmlformats-officedocument.spreadsheetml.worksheet+xml"/>
  <Override PartName="/xl/worksheets/sheet90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32.xml" ContentType="application/vnd.openxmlformats-officedocument.spreadsheetml.worksheet+xml"/>
  <Override PartName="/xl/worksheets/sheet50.xml" ContentType="application/vnd.openxmlformats-officedocument.spreadsheetml.worksheet+xml"/>
  <Override PartName="/xl/worksheets/sheet61.xml" ContentType="application/vnd.openxmlformats-officedocument.spreadsheetml.worksheet+xml"/>
  <Override PartName="/xl/worksheets/sheet8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47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54.xml" ContentType="application/vnd.openxmlformats-officedocument.spreadsheetml.worksheet+xml"/>
  <Override PartName="/xl/worksheets/sheet59.xml" ContentType="application/vnd.openxmlformats-officedocument.spreadsheetml.worksheet+xml"/>
  <Override PartName="/xl/worksheets/sheet68.xml" ContentType="application/vnd.openxmlformats-officedocument.spreadsheetml.worksheet+xml"/>
  <Override PartName="/xl/worksheets/sheet77.xml" ContentType="application/vnd.openxmlformats-officedocument.spreadsheetml.worksheet+xml"/>
  <Override PartName="/xl/worksheets/sheet79.xml" ContentType="application/vnd.openxmlformats-officedocument.spreadsheetml.worksheet+xml"/>
  <Override PartName="/xl/worksheets/sheet88.xml" ContentType="application/vnd.openxmlformats-officedocument.spreadsheetml.worksheet+xml"/>
  <Override PartName="/xl/worksheets/sheet97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52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66.xml" ContentType="application/vnd.openxmlformats-officedocument.spreadsheetml.worksheet+xml"/>
  <Override PartName="/xl/worksheets/sheet75.xml" ContentType="application/vnd.openxmlformats-officedocument.spreadsheetml.worksheet+xml"/>
  <Override PartName="/xl/worksheets/sheet86.xml" ContentType="application/vnd.openxmlformats-officedocument.spreadsheetml.worksheet+xml"/>
  <Override PartName="/xl/worksheets/sheet95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7.xml" ContentType="application/vnd.openxmlformats-officedocument.spreadsheetml.worksheet+xml"/>
  <Override PartName="/xl/worksheets/sheet2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6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73.xml" ContentType="application/vnd.openxmlformats-officedocument.spreadsheetml.worksheet+xml"/>
  <Override PartName="/xl/worksheets/sheet84.xml" ContentType="application/vnd.openxmlformats-officedocument.spreadsheetml.worksheet+xml"/>
  <Override PartName="/xl/worksheets/sheet93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30.xml" ContentType="application/vnd.openxmlformats-officedocument.spreadsheetml.worksheet+xml"/>
  <Override PartName="/docProps/core.xml" ContentType="application/vnd.openxmlformats-package.core-properties+xml"/>
  <Override PartName="/xl/worksheets/sheet15.xml" ContentType="application/vnd.openxmlformats-officedocument.spreadsheetml.worksheet+xml"/>
  <Override PartName="/xl/worksheets/sheet44.xml" ContentType="application/vnd.openxmlformats-officedocument.spreadsheetml.worksheet+xml"/>
  <Override PartName="/xl/worksheets/sheet62.xml" ContentType="application/vnd.openxmlformats-officedocument.spreadsheetml.worksheet+xml"/>
  <Override PartName="/xl/worksheets/sheet91.xml" ContentType="application/vnd.openxmlformats-officedocument.spreadsheetml.worksheet+xml"/>
  <Override PartName="/xl/worksheets/sheet9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51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worksheets/sheet1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Override PartName="/xl/worksheets/sheet5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89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worksheets/sheet78.xml" ContentType="application/vnd.openxmlformats-officedocument.spreadsheetml.worksheet+xml"/>
  <Override PartName="/xl/worksheets/sheet96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38.xml" ContentType="application/vnd.openxmlformats-officedocument.spreadsheetml.worksheet+xml"/>
  <Override PartName="/xl/worksheets/sheet67.xml" ContentType="application/vnd.openxmlformats-officedocument.spreadsheetml.worksheet+xml"/>
  <Override PartName="/xl/worksheets/sheet85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51.xml" ContentType="application/vnd.openxmlformats-officedocument.spreadsheetml.worksheet+xml"/>
  <Override PartName="/xl/worksheets/sheet27.xml" ContentType="application/vnd.openxmlformats-officedocument.spreadsheetml.worksheet+xml"/>
  <Override PartName="/xl/worksheets/sheet45.xml" ContentType="application/vnd.openxmlformats-officedocument.spreadsheetml.worksheet+xml"/>
  <Override PartName="/xl/worksheets/sheet56.xml" ContentType="application/vnd.openxmlformats-officedocument.spreadsheetml.worksheet+xml"/>
  <Override PartName="/xl/worksheets/sheet74.xml" ContentType="application/vnd.openxmlformats-officedocument.spreadsheetml.worksheet+xml"/>
  <Override PartName="/xl/worksheets/sheet92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6.xml" ContentType="application/vnd.openxmlformats-officedocument.spreadsheetml.worksheet+xml"/>
  <Override PartName="/xl/worksheets/sheet34.xml" ContentType="application/vnd.openxmlformats-officedocument.spreadsheetml.worksheet+xml"/>
  <Override PartName="/xl/worksheets/sheet52.xml" ContentType="application/vnd.openxmlformats-officedocument.spreadsheetml.worksheet+xml"/>
  <Override PartName="/xl/worksheets/sheet63.xml" ContentType="application/vnd.openxmlformats-officedocument.spreadsheetml.worksheet+xml"/>
  <Override PartName="/xl/worksheets/sheet81.xml" ContentType="application/vnd.openxmlformats-officedocument.spreadsheetml.worksheet+xml"/>
  <Override PartName="/xl/worksheets/sheet100.xml" ContentType="application/vnd.openxmlformats-officedocument.spreadsheetml.worksheet+xml"/>
  <Override PartName="/xl/worksheets/sheet23.xml" ContentType="application/vnd.openxmlformats-officedocument.spreadsheetml.worksheet+xml"/>
  <Override PartName="/xl/worksheets/sheet41.xml" ContentType="application/vnd.openxmlformats-officedocument.spreadsheetml.worksheet+xml"/>
  <Override PartName="/xl/worksheets/sheet70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5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51" activeTab="151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USDMulti" sheetId="52" r:id="rId27"/>
    <sheet name="BankPaymentUSDMPSB" sheetId="53" r:id="rId28"/>
    <sheet name="BankPaymentUSDMPMB" sheetId="54" r:id="rId29"/>
    <sheet name="BankPaymentUSDMPMBNR" sheetId="55" r:id="rId30"/>
    <sheet name="BPJournalMultiUSD" sheetId="164" r:id="rId31"/>
    <sheet name="BPJournalMPMIUSD" sheetId="165" r:id="rId32"/>
    <sheet name="BPJournalNRUSD" sheetId="166" r:id="rId33"/>
    <sheet name="BankPaymentChargesUSD" sheetId="68" r:id="rId34"/>
    <sheet name="BPJournalBankUSD" sheetId="167" r:id="rId35"/>
    <sheet name="BankPaymentAdv" sheetId="151" r:id="rId36"/>
    <sheet name="BPJournalINRAdvNR" sheetId="152" r:id="rId37"/>
    <sheet name="BankPaymentINR" sheetId="41" r:id="rId38"/>
    <sheet name="BankPaymentINRMulti" sheetId="46" r:id="rId39"/>
    <sheet name="BankPaymentINRMPMBNR" sheetId="50" r:id="rId40"/>
    <sheet name="BankPaymentINRMPMBMU" sheetId="120" r:id="rId41"/>
    <sheet name="BankPaymentINRMultiUnits" sheetId="121" r:id="rId42"/>
    <sheet name="BankPaymentINRMPMB" sheetId="49" r:id="rId43"/>
    <sheet name="BankPaymentINRMPSB" sheetId="48" r:id="rId44"/>
    <sheet name="BankPaymentUSD" sheetId="51" r:id="rId45"/>
    <sheet name="MultiGRN" sheetId="30" r:id="rId46"/>
    <sheet name="BankReceipt (2)" sheetId="42" r:id="rId47"/>
    <sheet name="BankReceiptAdv" sheetId="69" r:id="rId48"/>
    <sheet name="BankReceiptMultiNewRef" sheetId="38" r:id="rId49"/>
    <sheet name="JournalUSD" sheetId="74" r:id="rId50"/>
    <sheet name="JournalMultiUSD" sheetId="75" r:id="rId51"/>
    <sheet name="JournalMPMIUSD" sheetId="76" r:id="rId52"/>
    <sheet name="JournalNRUSD" sheetId="77" r:id="rId53"/>
    <sheet name="BankReceiptMultiNewRefUSD" sheetId="45" r:id="rId54"/>
    <sheet name="JournalINR" sheetId="78" r:id="rId55"/>
    <sheet name="JournalMultiINR" sheetId="79" r:id="rId56"/>
    <sheet name="JournalMPMIINR" sheetId="80" r:id="rId57"/>
    <sheet name="JournalNRINR" sheetId="81" r:id="rId58"/>
    <sheet name="BPJournalPDC" sheetId="100" r:id="rId59"/>
    <sheet name="JournalPDC" sheetId="82" r:id="rId60"/>
    <sheet name="BPJournalREVGSTTDS" sheetId="106" r:id="rId61"/>
    <sheet name="BPJournalREVGST" sheetId="102" r:id="rId62"/>
    <sheet name="JournalREVGST" sheetId="85" r:id="rId63"/>
    <sheet name="BankReceiptRevExpGST" sheetId="59" r:id="rId64"/>
    <sheet name="JournalREVUSD" sheetId="86" r:id="rId65"/>
    <sheet name="CRJournalREVGST" sheetId="93" r:id="rId66"/>
    <sheet name="CRJournalREV" sheetId="92" r:id="rId67"/>
    <sheet name="CPJournalREV" sheetId="117" r:id="rId68"/>
    <sheet name="CPJournalREVGST" sheetId="118" r:id="rId69"/>
    <sheet name="CPJournalREVGSTTDS" sheetId="119" r:id="rId70"/>
    <sheet name="BPJournalREV" sheetId="101" r:id="rId71"/>
    <sheet name="JournalREV" sheetId="84" r:id="rId72"/>
    <sheet name="JournalBankUSD" sheetId="87" r:id="rId73"/>
    <sheet name="BPJournalBankINR" sheetId="111" r:id="rId74"/>
    <sheet name="BPJournalBank" sheetId="105" r:id="rId75"/>
    <sheet name="JournalBank" sheetId="83" r:id="rId76"/>
    <sheet name="TDS CPJournalADV" sheetId="125" r:id="rId77"/>
    <sheet name="CPJournalADV" sheetId="123" r:id="rId78"/>
    <sheet name="TDS CPAdvance" sheetId="124" r:id="rId79"/>
    <sheet name="TDS CPAdvanceWithNewRef" sheetId="133" r:id="rId80"/>
    <sheet name="TDS CPJournalADVWithNewRef" sheetId="134" r:id="rId81"/>
    <sheet name="TDS CPAdvanceMultiNewRef" sheetId="135" r:id="rId82"/>
    <sheet name="TDS CPJournalADVMultiNewref" sheetId="136" r:id="rId83"/>
    <sheet name="TDS CPAdvanceMulti" sheetId="130" r:id="rId84"/>
    <sheet name="TDS CPJournalADVMulti" sheetId="129" r:id="rId85"/>
    <sheet name="CPAdvanceMulti" sheetId="127" r:id="rId86"/>
    <sheet name="CPAdvanceWithNewRef" sheetId="132" r:id="rId87"/>
    <sheet name="CPJournalADVWithNewRef" sheetId="131" r:id="rId88"/>
    <sheet name="CPAdvance" sheetId="122" r:id="rId89"/>
    <sheet name="BPJournalADVWithNewRef" sheetId="145" r:id="rId90"/>
    <sheet name="TDS BPJournalADVMultiNewref" sheetId="148" r:id="rId91"/>
    <sheet name="TDS BPJournalADVWithNewRef" sheetId="147" r:id="rId92"/>
    <sheet name="CPJournal" sheetId="113" r:id="rId93"/>
    <sheet name="CRJournal" sheetId="88" r:id="rId94"/>
    <sheet name="BPJournal" sheetId="94" r:id="rId95"/>
    <sheet name="BPJournalINR" sheetId="98" r:id="rId96"/>
    <sheet name="BPJournalUSD" sheetId="99" r:id="rId97"/>
    <sheet name="BPJournalREVUSD" sheetId="104" r:id="rId98"/>
    <sheet name="BRAdvJournalNR" sheetId="141" r:id="rId99"/>
    <sheet name="Journal" sheetId="70" r:id="rId100"/>
    <sheet name="CRJournalMulti" sheetId="89" r:id="rId101"/>
    <sheet name="CRJournalMultiRef" sheetId="139" r:id="rId102"/>
    <sheet name="CRJournalNewRef" sheetId="138" r:id="rId103"/>
    <sheet name="CPJournalMulti" sheetId="114" r:id="rId104"/>
    <sheet name="CPJournalNR" sheetId="116" r:id="rId105"/>
    <sheet name="BPJournalMultiINR" sheetId="107" r:id="rId106"/>
    <sheet name="BPJournalREVINR" sheetId="110" r:id="rId107"/>
    <sheet name="BPJournalMPMIINR" sheetId="108" r:id="rId108"/>
    <sheet name="BPJournalNRINR" sheetId="109" r:id="rId109"/>
    <sheet name="BPJournalMulti" sheetId="95" r:id="rId110"/>
    <sheet name="JournalMulti" sheetId="71" r:id="rId111"/>
    <sheet name="CRJournalMPMI" sheetId="90" r:id="rId112"/>
    <sheet name="CPJournalMPMI" sheetId="115" r:id="rId113"/>
    <sheet name="BPJournalMPMI" sheetId="96" r:id="rId114"/>
    <sheet name="BPJournalNR" sheetId="97" r:id="rId115"/>
    <sheet name="JournalMPMI" sheetId="72" r:id="rId116"/>
    <sheet name="CRJournalNR" sheetId="91" r:id="rId117"/>
    <sheet name="JournalNR" sheetId="73" r:id="rId118"/>
    <sheet name="BankReceiptAdvMultiNR" sheetId="140" r:id="rId119"/>
    <sheet name="BankReceiptNewRef" sheetId="137" r:id="rId120"/>
    <sheet name="BankPaymentAdvUSD" sheetId="149" r:id="rId121"/>
    <sheet name="BPAdvJournalUSDNR" sheetId="150" r:id="rId122"/>
    <sheet name="JournalINRAdvNR" sheetId="144" r:id="rId123"/>
    <sheet name="BankReceipt" sheetId="35" r:id="rId124"/>
    <sheet name="BankReceiptMultiCR" sheetId="168" r:id="rId125"/>
    <sheet name="BankReceiptMulti" sheetId="37" r:id="rId126"/>
    <sheet name="BRAdvUSDNR" sheetId="142" r:id="rId127"/>
    <sheet name="BRAdvJournalUSDNR" sheetId="143" r:id="rId128"/>
    <sheet name="BankReceiptUSD" sheetId="39" r:id="rId129"/>
    <sheet name="BankReceiptMultiUSD" sheetId="40" r:id="rId130"/>
    <sheet name="BankReceiptMulti (2)" sheetId="43" r:id="rId131"/>
    <sheet name="BankReceiptMultiNewRef (2)" sheetId="44" r:id="rId132"/>
    <sheet name="BankReceiptPDC" sheetId="56" r:id="rId133"/>
    <sheet name="BankReceiptChargesUSD" sheetId="60" r:id="rId134"/>
    <sheet name="BankReceiptCharges" sheetId="57" r:id="rId135"/>
    <sheet name="BankPaymentChargesINR" sheetId="112" r:id="rId136"/>
    <sheet name="BankPaymentCharges" sheetId="65" r:id="rId137"/>
    <sheet name="BankPaymentExpGST" sheetId="63" r:id="rId138"/>
    <sheet name="BankPaymentExpGSTTDS" sheetId="67" r:id="rId139"/>
    <sheet name="BankPaymentExpUSD" sheetId="103" r:id="rId140"/>
    <sheet name="BankPaymentExp" sheetId="62" r:id="rId141"/>
    <sheet name="BankReceiptRevExp" sheetId="58" r:id="rId142"/>
    <sheet name="BankPaymentExpTDS" sheetId="66" r:id="rId143"/>
    <sheet name="BankPaymentPDC" sheetId="61" r:id="rId144"/>
    <sheet name="BPAdvanceUSD" sheetId="161" r:id="rId145"/>
    <sheet name="BPAdvance" sheetId="154" r:id="rId146"/>
    <sheet name="BPJournalADV" sheetId="153" r:id="rId147"/>
    <sheet name="TDS BPAdvance" sheetId="155" r:id="rId148"/>
    <sheet name="TDS BPJournalADV" sheetId="156" r:id="rId149"/>
    <sheet name="TDS BPAdvanceMulti" sheetId="157" r:id="rId150"/>
    <sheet name="TDS BPJournalADVMulti" sheetId="158" r:id="rId151"/>
    <sheet name="BPJournalADVINR" sheetId="159" r:id="rId152"/>
    <sheet name="BPJournalADVUSD" sheetId="160" r:id="rId153"/>
    <sheet name="BPMPMBADVNR" sheetId="162" r:id="rId154"/>
    <sheet name="BPMPMBADVNRUSD" sheetId="163" r:id="rId155"/>
    <sheet name="Sheet2" sheetId="146" r:id="rId156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68"/>
  <c r="AC3"/>
  <c r="N3" s="1"/>
  <c r="M3"/>
  <c r="Q3" s="1"/>
  <c r="AC2"/>
  <c r="N2" s="1"/>
  <c r="M2"/>
  <c r="M4" s="1"/>
  <c r="AK2" i="67"/>
  <c r="M2" i="132"/>
  <c r="AC3"/>
  <c r="AC2"/>
  <c r="Q2"/>
  <c r="AG2" i="124"/>
  <c r="AH2"/>
  <c r="Q2"/>
  <c r="N2"/>
  <c r="M4" i="68"/>
  <c r="J5" i="167"/>
  <c r="I2"/>
  <c r="G3"/>
  <c r="I3" s="1"/>
  <c r="K3" i="166"/>
  <c r="I3" s="1"/>
  <c r="J4" s="1"/>
  <c r="K2"/>
  <c r="I2" s="1"/>
  <c r="J4" i="165"/>
  <c r="I3"/>
  <c r="I2"/>
  <c r="H4"/>
  <c r="G4"/>
  <c r="J4" i="164"/>
  <c r="J4" i="75"/>
  <c r="I3" i="164"/>
  <c r="I2"/>
  <c r="J3" i="75"/>
  <c r="I2"/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N4" i="168" l="1"/>
  <c r="AC4"/>
  <c r="Q2"/>
  <c r="G4" i="167"/>
  <c r="J4" s="1"/>
  <c r="AF4" i="163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N2" i="132"/>
  <c r="N3" s="1"/>
  <c r="M3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AC3" i="124"/>
  <c r="N3" s="1"/>
  <c r="J3" i="123"/>
  <c r="I2"/>
  <c r="M2" i="124"/>
  <c r="M4" s="1"/>
  <c r="AC2"/>
  <c r="N4" s="1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6"/>
  <c r="M4"/>
  <c r="I3" i="67"/>
  <c r="U3"/>
  <c r="T3"/>
  <c r="S3"/>
  <c r="R3"/>
  <c r="I4"/>
  <c r="U2"/>
  <c r="U4" s="1"/>
  <c r="T2"/>
  <c r="T4" s="1"/>
  <c r="N2"/>
  <c r="M2"/>
  <c r="AL2" s="1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N3" i="67" l="1"/>
  <c r="M3"/>
  <c r="M3" i="124"/>
  <c r="AH4" i="162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Q3" i="132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I4"/>
  <c r="J4" i="91"/>
  <c r="I2" s="1"/>
  <c r="AC4" i="124"/>
  <c r="Q4"/>
  <c r="N2" i="122"/>
  <c r="N3" s="1"/>
  <c r="M4" i="121"/>
  <c r="AC4"/>
  <c r="N4" i="120"/>
  <c r="AC4"/>
  <c r="Q2"/>
  <c r="Q4" s="1"/>
  <c r="I4" i="119"/>
  <c r="I5"/>
  <c r="J3"/>
  <c r="I4" i="118"/>
  <c r="J5" s="1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J5" i="102" l="1"/>
  <c r="M4" i="157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M4" i="67" l="1"/>
  <c r="N4"/>
  <c r="AC2"/>
  <c r="AC4" s="1"/>
  <c r="R4"/>
  <c r="AC2" i="58"/>
  <c r="R4"/>
  <c r="I4" i="53"/>
  <c r="AC3"/>
  <c r="N3" s="1"/>
  <c r="M3"/>
  <c r="Q3" s="1"/>
  <c r="AC2"/>
  <c r="N2" s="1"/>
  <c r="N4" s="1"/>
  <c r="M2"/>
  <c r="M4" s="1"/>
  <c r="AC4" l="1"/>
  <c r="N2" i="58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5" l="1"/>
  <c r="Q2"/>
  <c r="Q3" s="1"/>
  <c r="M3" i="39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<sst xmlns="http://schemas.openxmlformats.org/spreadsheetml/2006/main" count="5518" uniqueCount="429">
  <si>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</si>
  <si>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</si>
  <si>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</si>
  <si>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</si>
  <si>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</si>
  <si>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</si>
  <si>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</si>
  <si>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</si>
  <si>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</si>
  <si>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</si>
  <si>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</si>
  <si>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</si>
  <si>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</si>
  <si>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</si>
  <si>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</si>
  <si>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</si>
  <si>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</si>
  <si>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</si>
  <si>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</si>
  <si>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</si>
  <si>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</si>
  <si>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</si>
  <si>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</si>
  <si>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</si>
  <si>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</si>
  <si>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</si>
  <si>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</si>
  <si>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</si>
  <si>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</si>
  <si>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</si>
  <si>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</si>
  <si>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</si>
  <si>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</si>
  <si>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</si>
  <si>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</si>
  <si>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</si>
  <si>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</si>
  <si>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</si>
  <si>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</si>
  <si>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</si>
  <si>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</si>
  <si>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</si>
  <si>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</si>
  <si>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</si>
  <si>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</si>
  <si>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</si>
  <si>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</si>
  <si>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</si>
  <si>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</si>
  <si>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</si>
  <si>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</si>
  <si>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</si>
  <si>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</si>
  <si>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</si>
  <si>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</si>
  <si>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</si>
  <si>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</si>
  <si>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</si>
  <si>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</si>
  <si>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</si>
  <si>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</si>
  <si>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</si>
  <si>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</si>
  <si>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</si>
  <si>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</si>
  <si>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</si>
  <si>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</si>
  <si>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</si>
  <si>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</si>
  <si>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</si>
  <si>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</si>
  <si>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</si>
  <si>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</si>
  <si>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</si>
  <si>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</si>
  <si>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</si>
  <si>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</si>
  <si>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</si>
  <si>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</si>
  <si>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</si>
  <si>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</si>
  <si>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</si>
  <si>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</si>
  <si>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</si>
  <si>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</si>
  <si>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</si>
  <si>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</si>
  <si>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</si>
  <si>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</si>
  <si>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</si>
  <si>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</si>
  <si>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</si>
  <si>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</si>
  <si>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</si>
  <si>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</si>
  <si>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</si>
  <si>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</si>
  <si>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</si>
  <si>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</si>
  <si>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</si>
  <si>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</si>
  <si>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</si>
  <si>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</si>
  <si>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</si>
  <si>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</si>
  <si>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</si>
  <si>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</si>
  <si>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</si>
  <si>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</si>
  <si>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</si>
  <si>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</si>
  <si>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</si>
  <si>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</si>
  <si>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</si>
  <si>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</si>
  <si>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</si>
  <si>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</si>
  <si>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</si>
  <si>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</si>
  <si>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</si>
  <si>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</si>
  <si>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</si>
  <si>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</si>
  <si>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</si>
  <si>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</si>
  <si>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</si>
  <si>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</si>
  <si>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</si>
  <si>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</si>
  <si>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</si>
  <si>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</si>
  <si>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</si>
  <si>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</si>
  <si>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</si>
  <si>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</si>
  <si>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</si>
  <si>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</si>
  <si>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</si>
  <si>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</si>
  <si>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</si>
  <si>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</si>
  <si>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</si>
  <si>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</si>
  <si>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</si>
  <si>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</si>
  <si>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</si>
  <si>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</si>
  <si>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</si>
  <si>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</si>
  <si>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</si>
  <si>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</si>
  <si>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</si>
  <si>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</si>
  <si>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</si>
  <si>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</si>
  <si>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</si>
  <si>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</si>
  <si>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</si>
  <si>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</si>
  <si>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</si>
  <si>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</si>
  <si>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</si>
  <si>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</si>
  <si>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</si>
  <si>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</si>
  <si>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</si>
  <si>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</si>
  <si>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</si>
  <si>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</si>
  <si>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</si>
  <si>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</si>
  <si>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</si>
  <si>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</si>
  <si>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</si>
  <si>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</si>
  <si>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</si>
  <si>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</si>
  <si>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</si>
  <si>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</si>
  <si>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</si>
  <si>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</si>
  <si>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</si>
  <si>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</si>
  <si>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</si>
  <si>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</si>
  <si>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</si>
  <si>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</si>
  <si>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</si>
  <si>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</si>
  <si>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</si>
  <si>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</si>
  <si>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</si>
  <si>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</si>
  <si>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</si>
  <si>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</si>
  <si>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</si>
  <si>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</si>
  <si>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</si>
  <si>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</si>
  <si>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</si>
  <si>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</si>
  <si>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</si>
  <si>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</si>
  <si>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</si>
  <si>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</si>
  <si>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</si>
  <si>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</si>
  <si>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</si>
  <si>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</si>
  <si>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</si>
  <si>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</si>
  <si>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</si>
  <si>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</si>
  <si>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</si>
  <si>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</si>
  <si>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</si>
  <si>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</si>
  <si>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</si>
  <si>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</si>
  <si>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</si>
  <si>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</si>
  <si>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</si>
  <si>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</si>
  <si>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</si>
  <si>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</si>
  <si>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</si>
  <si>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</si>
  <si>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</si>
  <si>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</si>
  <si>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</si>
  <si>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</si>
  <si>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</si>
  <si>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</si>
  <si>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</si>
  <si>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</si>
  <si>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</si>
  <si>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</si>
  <si>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</si>
  <si>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</si>
  <si>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</si>
  <si>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</si>
  <si>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</si>
  <si>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</si>
  <si>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</si>
  <si>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</si>
  <si>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</si>
  <si>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</si>
  <si>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</si>
  <si>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</si>
  <si>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</si>
  <si>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</si>
  <si>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</si>
  <si>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</si>
  <si>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</si>
  <si>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</si>
  <si>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</si>
  <si>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</si>
  <si>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</si>
  <si>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</si>
  <si>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</si>
  <si>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</si>
  <si>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</si>
  <si>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</si>
  <si>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</si>
  <si>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</si>
  <si>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</si>
  <si>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</si>
  <si>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</si>
  <si>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</si>
  <si>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</si>
  <si>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</si>
  <si>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</si>
  <si>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</si>
  <si>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</si>
  <si>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</si>
  <si>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</si>
  <si>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</si>
  <si>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</si>
  <si>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</si>
  <si>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</si>
  <si>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</si>
  <si>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</si>
  <si>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</si>
  <si>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</si>
  <si>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</si>
  <si>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</si>
  <si>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</si>
  <si>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</si>
  <si>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</si>
  <si>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</si>
  <si>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</si>
  <si>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</si>
  <si>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</si>
  <si>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</si>
  <si>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</si>
  <si>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</si>
  <si>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</si>
  <si>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</si>
  <si>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</si>
  <si>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</si>
  <si>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</si>
  <si>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</si>
  <si>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</si>
  <si>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</si>
  <si>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</si>
  <si>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</si>
  <si>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</si>
  <si>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</si>
  <si>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</si>
  <si>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</si>
  <si>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</si>
  <si>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</si>
  <si>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</si>
  <si>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</si>
  <si>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</si>
  <si>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</si>
  <si>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</si>
  <si>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</si>
  <si>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</si>
  <si>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</si>
  <si>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</si>
  <si>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</si>
  <si>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</si>
  <si>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</si>
  <si>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</si>
  <si>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</si>
  <si>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</si>
  <si>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</si>
  <si>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</si>
  <si>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</si>
  <si>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</si>
  <si>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</si>
  <si>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</si>
  <si>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</si>
  <si>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</si>
  <si>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</si>
  <si>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</si>
  <si>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</si>
  <si>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</si>
  <si>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</si>
  <si>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</si>
  <si>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</si>
  <si>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</si>
  <si>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</si>
  <si>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</si>
  <si>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</si>
  <si>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</si>
  <si>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</si>
  <si>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</si>
  <si>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</si>
  <si>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</si>
  <si>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</si>
  <si>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</si>
  <si>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</si>
  <si>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</si>
  <si>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</si>
  <si>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</si>
  <si>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</si>
  <si>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</si>
  <si>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</si>
  <si>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</si>
  <si>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</si>
  <si>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</si>
  <si>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</si>
  <si>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</si>
  <si>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</si>
  <si>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</si>
  <si>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</si>
  <si>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</si>
  <si>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</si>
  <si>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</si>
  <si>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</si>
  <si>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</si>
  <si>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</si>
  <si>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</si>
  <si>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</si>
  <si>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</si>
  <si>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</si>
  <si>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</si>
  <si>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</si>
  <si>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</si>
  <si>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</si>
  <si>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</si>
  <si>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</si>
  <si>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</si>
  <si>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</si>
  <si>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</si>
  <si>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</si>
  <si>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</si>
  <si>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</si>
  <si>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</si>
  <si>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</si>
  <si>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</si>
  <si>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</si>
  <si>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</si>
  <si>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</si>
  <si>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</si>
  <si>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</si>
  <si>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</si>
  <si>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</si>
  <si>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</si>
  <si>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</si>
  <si>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</si>
  <si>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</si>
  <si>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</si>
  <si>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</si>
  <si>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</si>
  <si>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</si>
  <si>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</si>
  <si>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</si>
  <si>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</si>
  <si>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</si>
  <si>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</si>
  <si>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</si>
  <si>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</si>
  <si>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</si>
  <si>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</si>
  <si>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</si>
  <si>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</si>
  <si>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</si>
  <si>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</si>
  <si>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</si>
  <si>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</si>
  <si>
    <t>KCG PRIVATE LIMITED(AP)</t>
  </si>
  <si>
    <t>HKIMPSUP04</t>
  </si>
  <si>
    <t>KCG PRIVATE LIMITED</t>
  </si>
  <si>
    <t>56.46</t>
  </si>
  <si>
    <t>UNRELIZED GAIN/LOSS</t>
  </si>
  <si>
    <t>26550</t>
  </si>
</sst>
</file>

<file path=xl/styles.xml><?xml version="1.0" encoding="utf-8"?>
<styleSheet xmlns="http://schemas.openxmlformats.org/spreadsheetml/2006/main"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1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2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8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8" fillId="0" borderId="1" xfId="0" applyFont="1" applyBorder="1">
      <alignment vertical="center"/>
    </xf>
    <xf numFmtId="0" fontId="9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7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7" fillId="0" borderId="0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38" Type="http://schemas.openxmlformats.org/officeDocument/2006/relationships/worksheet" Target="worksheets/sheet138.xml"/><Relationship Id="rId154" Type="http://schemas.openxmlformats.org/officeDocument/2006/relationships/worksheet" Target="worksheets/sheet154.xml"/><Relationship Id="rId15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worksheet" Target="worksheets/sheet144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53" Type="http://schemas.openxmlformats.org/officeDocument/2006/relationships/worksheet" Target="worksheets/sheet15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workbookViewId="0">
      <selection activeCell="E7" sqref="E7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5.7109375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78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workbookViewId="0">
      <selection activeCell="E2" sqref="E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426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426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workbookViewId="0">
      <selection activeCell="A2" sqref="A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426</v>
      </c>
      <c r="AB2" t="s">
        <v>426</v>
      </c>
      <c r="AC2">
        <f>ROUND(SUM((AA2*L2)+(AB2*L2)+(I2*L2)),2)</f>
        <v>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209</v>
      </c>
      <c r="L3" t="s">
        <v>369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426</v>
      </c>
      <c r="AB3" t="s">
        <v>426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A3" s="1">
        <v>2</v>
      </c>
      <c r="B3" s="79" t="s">
        <v>423</v>
      </c>
      <c r="C3" s="79" t="s">
        <v>424</v>
      </c>
      <c r="D3" s="79" t="s">
        <v>425</v>
      </c>
      <c r="E3" s="1" t="s">
        <v>334</v>
      </c>
      <c r="F3" s="1" t="s">
        <v>316</v>
      </c>
      <c r="G3" s="47" t="s">
        <v>339</v>
      </c>
      <c r="H3" s="22" t="s">
        <v>326</v>
      </c>
      <c r="I3" s="1">
        <v>100</v>
      </c>
      <c r="J3" s="1" t="s">
        <v>276</v>
      </c>
      <c r="K3" s="1" t="s">
        <v>209</v>
      </c>
      <c r="L3" t="s">
        <v>369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100</v>
      </c>
    </row>
    <row r="4" spans="1:29">
      <c r="I4">
        <f>SUM(I2:I3)</f>
        <v>200</v>
      </c>
      <c r="M4">
        <f>SUM(M2:M3)</f>
        <v>200</v>
      </c>
      <c r="N4">
        <f>SUM(N2:N3)</f>
        <v>200</v>
      </c>
      <c r="Q4">
        <f>SUM(Q2:Q3)</f>
        <v>200</v>
      </c>
      <c r="AC4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E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ROUND(SUM(G2+H2)*K1,2)</f>
        <v>0</v>
      </c>
      <c r="J2">
        <v>0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ROUND(SUM(G3+H3)*K1,2)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ROUND(SUM(G4+H4)*K1,2)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>
        <v>85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ROUND(SUM(G2+H2+K2)*L1,2)</f>
        <v>8500</v>
      </c>
      <c r="J2">
        <v>0</v>
      </c>
      <c r="K2" s="1">
        <f>BankPaymentUSDMPMBNR!I2</f>
        <v>100</v>
      </c>
      <c r="L2" t="s">
        <v>369</v>
      </c>
    </row>
    <row r="3" spans="1:30">
      <c r="A3" s="1">
        <v>2</v>
      </c>
      <c r="B3" s="58" t="s">
        <v>191</v>
      </c>
      <c r="C3" s="1">
        <v>2000000124</v>
      </c>
      <c r="D3" s="79" t="s">
        <v>423</v>
      </c>
      <c r="E3" s="1"/>
      <c r="F3" s="1"/>
      <c r="G3" t="s">
        <v>310</v>
      </c>
      <c r="H3" t="s">
        <v>310</v>
      </c>
      <c r="I3" s="59">
        <f>ROUND(SUM(G3+H3+K3)*L1,2)</f>
        <v>8500</v>
      </c>
      <c r="J3">
        <v>0</v>
      </c>
      <c r="K3" s="1">
        <f>BankPaymentUSDMPMBNR!I3</f>
        <v>100</v>
      </c>
      <c r="L3" t="s">
        <v>369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>
        <v>0</v>
      </c>
      <c r="I4">
        <v>0</v>
      </c>
      <c r="J4" s="47">
        <f>ROUND(SUM(I3+I2),2)</f>
        <v>17000</v>
      </c>
      <c r="L4" t="s">
        <v>369</v>
      </c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topLeftCell="H1" workbookViewId="0">
      <selection activeCell="L2" sqref="L2"/>
    </sheetView>
  </sheetViews>
  <sheetFormatPr defaultRowHeight="15"/>
  <cols>
    <col min="1" max="1" width="4.85546875" bestFit="1" customWidth="1"/>
    <col min="2" max="2" width="23.8554687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56.46</v>
      </c>
      <c r="N2" s="38">
        <f>AC2</f>
        <v>4799.1000000000004</v>
      </c>
      <c r="O2" s="1"/>
      <c r="P2" s="1"/>
      <c r="Q2" s="1">
        <f>M2</f>
        <v>56.46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4799.1000000000004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</v>
      </c>
      <c r="J3" s="1" t="s">
        <v>276</v>
      </c>
      <c r="K3" s="1" t="s">
        <v>207</v>
      </c>
      <c r="L3" t="s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338</v>
      </c>
    </row>
    <row r="4" spans="1:30">
      <c r="I4">
        <f>SUM(I2:I3)</f>
        <v>10</v>
      </c>
      <c r="M4">
        <f>ROUND(M2-M3,2)</f>
        <v>46.46</v>
      </c>
      <c r="N4">
        <f>ROUND(N2-N3,2)</f>
        <v>4789.1000000000004</v>
      </c>
      <c r="Q4">
        <f>SUM(Q2:Q3)</f>
        <v>66.460000000000008</v>
      </c>
      <c r="AC4">
        <f>ROUND(AC2-AC3,2)</f>
        <v>4789.1000000000004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E5"/>
  <sheetViews>
    <sheetView workbookViewId="0">
      <selection activeCell="D8" sqref="D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>
        <v>85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59">
        <f>ROUND(SUM(G2+H2)*K1,2)</f>
        <v>4799.1000000000004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BankPaymentChargesUSD!I3</f>
        <v>10</v>
      </c>
      <c r="H3" t="s">
        <v>310</v>
      </c>
      <c r="I3" s="47">
        <f>ROUND(SUM(G3+H3),2)</f>
        <v>10</v>
      </c>
      <c r="J3" s="59">
        <v>0</v>
      </c>
    </row>
    <row r="4" spans="1:31">
      <c r="A4" s="1">
        <v>3</v>
      </c>
      <c r="B4" s="58" t="s">
        <v>191</v>
      </c>
      <c r="C4">
        <v>5050606001</v>
      </c>
      <c r="D4" t="s">
        <v>427</v>
      </c>
      <c r="E4" s="1"/>
      <c r="F4" s="1"/>
      <c r="G4">
        <f>G3</f>
        <v>10</v>
      </c>
      <c r="H4">
        <v>0</v>
      </c>
      <c r="I4" s="80">
        <v>0</v>
      </c>
      <c r="J4" s="59">
        <f>G4</f>
        <v>10</v>
      </c>
    </row>
    <row r="5" spans="1:31">
      <c r="A5" s="1">
        <v>4</v>
      </c>
      <c r="B5" s="58" t="s">
        <v>191</v>
      </c>
      <c r="C5" s="1">
        <v>1001002001</v>
      </c>
      <c r="D5" s="1" t="s">
        <v>356</v>
      </c>
      <c r="E5" s="1"/>
      <c r="F5" s="1"/>
      <c r="G5">
        <v>0</v>
      </c>
      <c r="H5" t="s">
        <v>310</v>
      </c>
      <c r="I5">
        <v>0</v>
      </c>
      <c r="J5" s="47">
        <f>ROUND(I2,2)</f>
        <v>4799.1000000000004</v>
      </c>
      <c r="K5" s="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</row>
    <row r="3" spans="1:29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62" t="s">
        <v>366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370</v>
      </c>
      <c r="AC2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326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370</v>
      </c>
      <c r="AB3" t="s">
        <v>370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370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>
        <v>370</v>
      </c>
      <c r="AB3" t="s">
        <v>370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62" t="s">
        <v>366</v>
      </c>
      <c r="C3" s="1" t="s">
        <v>367</v>
      </c>
      <c r="D3" s="1" t="s">
        <v>368</v>
      </c>
      <c r="E3" s="1" t="s">
        <v>371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372</v>
      </c>
      <c r="Y3" s="1" t="s">
        <v>373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M4">
        <f>SUM(M2)</f>
        <v>0</v>
      </c>
      <c r="N4">
        <f>SUM(N2)</f>
        <v>0</v>
      </c>
      <c r="Q4">
        <f>SUM(Q2)</f>
        <v>0</v>
      </c>
      <c r="AC4">
        <f>SUM(AC2)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370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339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topLeftCell="D1" workbookViewId="0">
      <selection activeCell="J4" sqref="J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ROUND(SUM(G2+H2)*K1,2)</f>
        <v>0</v>
      </c>
      <c r="J2" s="59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>
        <v>0</v>
      </c>
      <c r="I3" s="59">
        <v>0</v>
      </c>
      <c r="J3" s="59">
        <f>ROUND(SUM(G3+H3)*K1,2)</f>
        <v>0</v>
      </c>
    </row>
    <row r="4" spans="1:31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>
        <v>0</v>
      </c>
      <c r="I4" s="59">
        <v>0</v>
      </c>
      <c r="J4" s="59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ROUND(SUM(G3+H3)*K1,2)</f>
        <v>220000</v>
      </c>
      <c r="H2">
        <f>ROUND(SUM(G4+H4)*K1,2)</f>
        <v>220000</v>
      </c>
      <c r="I2" s="47">
        <f>ROUND(SUM(G2+H2),2)</f>
        <v>440000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v>1000</v>
      </c>
      <c r="H3">
        <v>1000</v>
      </c>
      <c r="I3" s="59">
        <v>0</v>
      </c>
      <c r="J3" s="59">
        <f>ROUND(SUM(G3+H3)*K1,2)</f>
        <v>220000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>
        <v>1000</v>
      </c>
      <c r="H4">
        <v>1000</v>
      </c>
      <c r="I4" s="59">
        <v>0</v>
      </c>
      <c r="J4" s="59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t="s">
        <v>360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0</v>
      </c>
      <c r="H2">
        <v>0</v>
      </c>
      <c r="I2" s="47">
        <f>ROUND(SUM(J4+J3),2)</f>
        <v>44000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8" t="s">
        <v>191</v>
      </c>
      <c r="C4" s="1">
        <v>1000000005</v>
      </c>
      <c r="D4" s="1" t="s">
        <v>322</v>
      </c>
      <c r="E4" s="1"/>
      <c r="F4" s="1"/>
      <c r="G4" t="s">
        <v>310</v>
      </c>
      <c r="H4" t="s">
        <v>310</v>
      </c>
      <c r="I4" s="59">
        <v>0</v>
      </c>
      <c r="J4" s="59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360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360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16200</v>
      </c>
    </row>
    <row r="4" spans="1:29">
      <c r="I4">
        <f>SUM(I2:I3)</f>
        <v>400</v>
      </c>
      <c r="M4">
        <f>SUM(M2:M3)</f>
        <v>400</v>
      </c>
      <c r="N4">
        <f>SUM(N2:N3)</f>
        <v>299700</v>
      </c>
      <c r="Q4">
        <f>SUM(Q2:Q3)</f>
        <v>3700</v>
      </c>
      <c r="AA4">
        <f>SUM(AA2:AA3)</f>
        <v>0</v>
      </c>
      <c r="AB4">
        <f>SUM(AB2:AB3)</f>
        <v>0</v>
      </c>
      <c r="AC4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2000000011</v>
      </c>
      <c r="D2" s="1" t="s">
        <v>317</v>
      </c>
      <c r="E2" s="1"/>
      <c r="F2" s="1"/>
      <c r="G2">
        <f>BankPaymentPDC!I2</f>
        <v>10000</v>
      </c>
      <c r="H2" t="s">
        <v>310</v>
      </c>
      <c r="I2" s="59">
        <f>ROUND(SUM(G2+H2),2)</f>
        <v>10000</v>
      </c>
      <c r="J2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BankPaymentPDC!I2</f>
        <v>10000</v>
      </c>
      <c r="H3" t="s">
        <v>310</v>
      </c>
      <c r="I3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BankReceiptPDC!I2</f>
        <v>10000</v>
      </c>
      <c r="H2" t="s">
        <v>310</v>
      </c>
      <c r="I2" s="47">
        <f>ROUND(SUM(G2+H2),2)</f>
        <v>10000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BankReceiptPDC!I2</f>
        <v>10000</v>
      </c>
      <c r="H3" t="s">
        <v>310</v>
      </c>
      <c r="I3" s="59">
        <v>0</v>
      </c>
      <c r="J3" s="59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1001002001</v>
      </c>
      <c r="D6" s="1" t="s">
        <v>356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1001002001</v>
      </c>
      <c r="D5" s="1" t="s">
        <v>356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1180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ROUND((J3-I4),2)</f>
        <v>990000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ROUND(SUM(G3+H3)*K1,2)</f>
        <v>1100000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ROUND(SUM(G4+H4)*K1,2)</f>
        <v>110000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59">
        <v>0</v>
      </c>
      <c r="K2" s="60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 s="1">
        <f>BankReceiptRevExpGST!I2</f>
        <v>10000</v>
      </c>
      <c r="H3" s="1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 s="1">
        <v>5050100000</v>
      </c>
      <c r="D4" s="1" t="s">
        <v>340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59">
        <v>0</v>
      </c>
    </row>
    <row r="5" spans="1:31">
      <c r="A5" s="14">
        <v>4</v>
      </c>
      <c r="B5" s="58" t="s">
        <v>191</v>
      </c>
      <c r="C5" s="1">
        <v>2020102002</v>
      </c>
      <c r="D5" s="1" t="s">
        <v>362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8" t="s">
        <v>191</v>
      </c>
      <c r="C6" s="1">
        <v>2020102003</v>
      </c>
      <c r="D6" s="1" t="s">
        <v>363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2020102002</v>
      </c>
      <c r="D3" s="1" t="s">
        <v>362</v>
      </c>
      <c r="E3" s="1"/>
      <c r="F3" s="1"/>
      <c r="G3" s="1">
        <v>0</v>
      </c>
      <c r="H3" s="1">
        <v>0</v>
      </c>
      <c r="I3" s="1">
        <f>(I2)*9%</f>
        <v>90</v>
      </c>
      <c r="J3">
        <v>0</v>
      </c>
    </row>
    <row r="4" spans="1:31">
      <c r="A4" s="14">
        <v>5</v>
      </c>
      <c r="B4" s="58" t="s">
        <v>191</v>
      </c>
      <c r="C4" s="1">
        <v>2020102003</v>
      </c>
      <c r="D4" s="1" t="s">
        <v>363</v>
      </c>
      <c r="E4" s="1"/>
      <c r="F4" s="1"/>
      <c r="G4" s="1">
        <v>0</v>
      </c>
      <c r="H4" s="1">
        <v>0</v>
      </c>
      <c r="I4" s="1">
        <f>(I2)*9%</f>
        <v>90</v>
      </c>
      <c r="J4">
        <v>0</v>
      </c>
    </row>
    <row r="5" spans="1:31">
      <c r="A5" s="1">
        <v>1</v>
      </c>
      <c r="B5" s="58" t="s">
        <v>191</v>
      </c>
      <c r="C5" s="1">
        <v>1000000028</v>
      </c>
      <c r="D5" s="1" t="s">
        <v>365</v>
      </c>
      <c r="E5" s="1"/>
      <c r="F5" s="1"/>
      <c r="G5" s="1">
        <v>0</v>
      </c>
      <c r="H5" s="1">
        <v>0</v>
      </c>
      <c r="I5">
        <v>0</v>
      </c>
      <c r="J5" s="47">
        <f>ROUND(SUM(I3+I4+I2),2)</f>
        <v>1180</v>
      </c>
      <c r="K5" s="60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61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5050100000</v>
      </c>
      <c r="D2" s="1" t="s">
        <v>340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59">
        <v>0</v>
      </c>
    </row>
    <row r="3" spans="1:31">
      <c r="A3" s="14">
        <v>4</v>
      </c>
      <c r="B3" s="58" t="s">
        <v>191</v>
      </c>
      <c r="C3" s="1">
        <v>1000000029</v>
      </c>
      <c r="D3" s="1" t="s">
        <v>349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8" t="s">
        <v>191</v>
      </c>
      <c r="C4" s="1">
        <v>2020102002</v>
      </c>
      <c r="D4" s="1" t="s">
        <v>362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8" t="s">
        <v>191</v>
      </c>
      <c r="C5" s="1">
        <v>2020102003</v>
      </c>
      <c r="D5" s="1" t="s">
        <v>363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8" t="s">
        <v>191</v>
      </c>
      <c r="C6" s="1">
        <v>1000000028</v>
      </c>
      <c r="D6" s="1" t="s">
        <v>365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0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9000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4020102004</v>
      </c>
      <c r="D3" s="1" t="s">
        <v>341</v>
      </c>
      <c r="E3" s="1"/>
      <c r="F3" s="1"/>
      <c r="G3">
        <f>BankReceiptRevExp!I2</f>
        <v>10000</v>
      </c>
      <c r="H3" t="s">
        <v>310</v>
      </c>
      <c r="I3" s="59">
        <v>0</v>
      </c>
      <c r="J3" s="59">
        <f>ROUND(SUM(G3+H3),2)</f>
        <v>10000</v>
      </c>
    </row>
    <row r="4" spans="1:31">
      <c r="A4" s="1">
        <v>2</v>
      </c>
      <c r="B4" s="58" t="s">
        <v>191</v>
      </c>
      <c r="C4">
        <v>5050100000</v>
      </c>
      <c r="D4" t="s">
        <v>340</v>
      </c>
      <c r="E4" s="1"/>
      <c r="F4" s="1"/>
      <c r="G4">
        <f>BankReceiptRevExp!I3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1000000004</v>
      </c>
      <c r="D3" s="1" t="s">
        <v>321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BankReceiptChargesUSD!I3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D17" sqref="D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426</v>
      </c>
      <c r="H2" t="s">
        <v>310</v>
      </c>
      <c r="I2" s="59">
        <f>ROUND(SUM(G2+H2),2)</f>
        <v>0</v>
      </c>
      <c r="J2">
        <v>0</v>
      </c>
    </row>
    <row r="3" spans="1:31">
      <c r="A3" s="1">
        <v>2</v>
      </c>
      <c r="B3" s="58" t="s">
        <v>191</v>
      </c>
      <c r="C3">
        <v>5060101000</v>
      </c>
      <c r="D3" t="s">
        <v>335</v>
      </c>
      <c r="E3" s="1"/>
      <c r="F3" s="1"/>
      <c r="G3">
        <f>BankPaymentCharges!I3</f>
        <v>100</v>
      </c>
      <c r="H3" t="s">
        <v>310</v>
      </c>
      <c r="I3" s="47">
        <f>ROUND(SUM(G3+H3),2)</f>
        <v>100</v>
      </c>
      <c r="J3" s="59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 t="s">
        <v>310</v>
      </c>
      <c r="I4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ROUND(J3-I4,2)</f>
        <v>-1000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8" t="s">
        <v>191</v>
      </c>
      <c r="C3" s="1">
        <v>1000000003</v>
      </c>
      <c r="D3" s="1" t="s">
        <v>318</v>
      </c>
      <c r="E3" s="1"/>
      <c r="F3" s="1"/>
      <c r="G3" t="s">
        <v>364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2</v>
      </c>
      <c r="B4" s="58" t="s">
        <v>191</v>
      </c>
      <c r="C4">
        <v>5060101000</v>
      </c>
      <c r="D4" t="s">
        <v>335</v>
      </c>
      <c r="E4" s="1"/>
      <c r="F4" s="1"/>
      <c r="G4">
        <f>BankReceiptCharges!I3</f>
        <v>1000</v>
      </c>
      <c r="H4" t="s">
        <v>310</v>
      </c>
      <c r="I4" s="47">
        <f>ROUND(SUM(G4+H4),2)</f>
        <v>1000</v>
      </c>
      <c r="J4" s="59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8" sqref="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  <col min="31" max="31" width="16.28515625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AC2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221.25</v>
      </c>
      <c r="AD2" t="s">
        <v>379</v>
      </c>
      <c r="AE2">
        <v>1000000029</v>
      </c>
      <c r="AF2">
        <v>1</v>
      </c>
      <c r="AG2">
        <f>AC2</f>
        <v>221.25</v>
      </c>
      <c r="AH2">
        <f>ROUND(AC2*AF2%,2)</f>
        <v>2.21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2.21</v>
      </c>
      <c r="N3" s="38">
        <f>AC3</f>
        <v>2.21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ROUND(AA2*1%,2)</f>
        <v>2.21</v>
      </c>
      <c r="AF3" s="1">
        <v>0</v>
      </c>
      <c r="AG3" s="1">
        <v>0</v>
      </c>
      <c r="AH3" s="1">
        <v>0</v>
      </c>
    </row>
    <row r="4" spans="1:34">
      <c r="M4">
        <f>SUM(M2)</f>
        <v>221.25</v>
      </c>
      <c r="N4">
        <f>SUM(N2)</f>
        <v>221.25</v>
      </c>
      <c r="Q4">
        <f>SUM(Q2)</f>
        <v>221.25</v>
      </c>
      <c r="AA4" t="s">
        <v>310</v>
      </c>
      <c r="AB4">
        <v>0</v>
      </c>
      <c r="AC4">
        <f>SUM(AC2)</f>
        <v>221.25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379</v>
      </c>
      <c r="AE2">
        <v>1000000029</v>
      </c>
      <c r="AF2">
        <v>1</v>
      </c>
      <c r="AG2">
        <f>AC2</f>
        <v>1000</v>
      </c>
      <c r="AH2">
        <f>ROUND(AC2*AF2%,2)</f>
        <v>10</v>
      </c>
    </row>
    <row r="3" spans="1:34">
      <c r="A3" s="24">
        <v>2</v>
      </c>
      <c r="B3" s="1" t="s">
        <v>349</v>
      </c>
      <c r="C3" s="1" t="s">
        <v>379</v>
      </c>
      <c r="D3" s="1" t="s">
        <v>349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ROUND(AC2*AF2%,2)</f>
        <v>10</v>
      </c>
      <c r="AF3" s="1">
        <v>0</v>
      </c>
      <c r="AG3" s="1">
        <v>0</v>
      </c>
      <c r="AH3" s="1">
        <v>0</v>
      </c>
    </row>
    <row r="4" spans="1:34">
      <c r="M4">
        <f>M2-M3</f>
        <v>990</v>
      </c>
      <c r="N4">
        <f>N2-N3</f>
        <v>990</v>
      </c>
      <c r="Q4">
        <f>SUM(Q2)</f>
        <v>1000</v>
      </c>
      <c r="AA4" t="s">
        <v>310</v>
      </c>
      <c r="AB4">
        <v>0</v>
      </c>
      <c r="AC4">
        <f>AC2-AC3</f>
        <v>990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379</v>
      </c>
      <c r="AE2">
        <v>1000000029</v>
      </c>
      <c r="AF2">
        <v>1</v>
      </c>
      <c r="AG2">
        <f>AC2</f>
        <v>10000</v>
      </c>
      <c r="AH2">
        <f>ROUND(AC2*AF2%,2)</f>
        <v>100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393</v>
      </c>
      <c r="I3" s="41">
        <v>10000</v>
      </c>
      <c r="J3" s="41" t="s">
        <v>276</v>
      </c>
      <c r="K3" s="41" t="s">
        <v>207</v>
      </c>
      <c r="L3" t="s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10000</v>
      </c>
      <c r="AD3" t="s">
        <v>386</v>
      </c>
      <c r="AE3">
        <v>1000000047</v>
      </c>
      <c r="AF3">
        <v>0.1</v>
      </c>
      <c r="AG3">
        <f>AC3</f>
        <v>10000</v>
      </c>
      <c r="AH3">
        <f>ROUND(AC3*AF3%,2)</f>
        <v>10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394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395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20000</v>
      </c>
      <c r="L6" t="s">
        <v>319</v>
      </c>
      <c r="M6">
        <f>ROUND((M2+M3)-M4-M5,2)</f>
        <v>19890</v>
      </c>
      <c r="N6">
        <f>ROUND((N2+N3)-N4-N5,2)</f>
        <v>19890</v>
      </c>
      <c r="Q6">
        <f>SUM(Q2:Q3)</f>
        <v>20000</v>
      </c>
      <c r="AC6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H6"/>
  <sheetViews>
    <sheetView topLeftCell="W1" workbookViewId="0">
      <selection activeCell="AD1" sqref="AD1:AH2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6" bestFit="1" customWidth="1"/>
    <col min="32" max="32" width="14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379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0</v>
      </c>
      <c r="AD3" t="s">
        <v>386</v>
      </c>
      <c r="AE3">
        <v>1000000047</v>
      </c>
      <c r="AF3">
        <v>0.1</v>
      </c>
      <c r="AG3">
        <f>AC3</f>
        <v>0</v>
      </c>
      <c r="AH3">
        <f>ROUND(AC3*AF3%,2)</f>
        <v>0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SUM(M2:M3)</f>
        <v>0</v>
      </c>
      <c r="N6">
        <f>SUM(N2:N3)</f>
        <v>0</v>
      </c>
      <c r="Q6">
        <f>SUM(Q2:Q3)</f>
        <v>0</v>
      </c>
      <c r="AC6">
        <f>SUM(AC2:AC3)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1000000028</v>
      </c>
      <c r="D6" s="1" t="s">
        <v>365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B3" sqref="B3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380</v>
      </c>
      <c r="AB2" t="s">
        <v>310</v>
      </c>
      <c r="AC2">
        <f>ROUND(SUM((AA2*L2)+(AB2*L2)+(I2*L2)),2)</f>
        <v>221.25</v>
      </c>
    </row>
    <row r="3" spans="1:29">
      <c r="A3" s="1">
        <v>2</v>
      </c>
      <c r="B3" s="63" t="s">
        <v>381</v>
      </c>
      <c r="C3" s="1" t="s">
        <v>382</v>
      </c>
      <c r="D3" s="1" t="s">
        <v>383</v>
      </c>
      <c r="E3" s="1" t="s">
        <v>384</v>
      </c>
      <c r="F3" s="1" t="s">
        <v>316</v>
      </c>
      <c r="G3" s="47" t="s">
        <v>339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380</v>
      </c>
      <c r="AB3">
        <v>0</v>
      </c>
      <c r="AC3">
        <f>ROUND(SUM((AA3*L3)+(AB3*L3)+(I3*L3)),2)</f>
        <v>221.25</v>
      </c>
    </row>
    <row r="4" spans="1:29">
      <c r="I4">
        <f>SUM(I2:I3)</f>
        <v>0</v>
      </c>
      <c r="M4">
        <f>SUM(M2:M3)</f>
        <v>442.5</v>
      </c>
      <c r="N4">
        <f>SUM(N2:N3)</f>
        <v>442.5</v>
      </c>
      <c r="Q4">
        <f>SUM(Q2:Q3)</f>
        <v>442.5</v>
      </c>
      <c r="AC4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D3"/>
  <sheetViews>
    <sheetView topLeftCell="D1" workbookViewId="0">
      <selection activeCell="AC2" sqref="AC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</row>
    <row r="2" spans="1:30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</v>
      </c>
      <c r="AD2" t="s">
        <v>379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>
        <v>0</v>
      </c>
      <c r="AC3">
        <f>SUM(AC2)</f>
        <v>1000</v>
      </c>
    </row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G15" sqref="G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3" sqref="E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1000000028</v>
      </c>
      <c r="D3" s="1" t="s">
        <v>365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428</v>
      </c>
      <c r="H2">
        <v>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428</v>
      </c>
      <c r="H3">
        <v>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 t="s">
        <v>310</v>
      </c>
      <c r="H2" t="s">
        <v>310</v>
      </c>
      <c r="I2" s="47">
        <f>ROUND(SUM(ROUND(G2,2)+ROUND(H2,2))*K1,2)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ROUND(SUM(G2+H2)*K1,2)</f>
        <v>85000</v>
      </c>
      <c r="J2" s="59">
        <v>0</v>
      </c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2000</v>
      </c>
      <c r="H2">
        <v>0</v>
      </c>
      <c r="I2" s="47">
        <f>ROUND(SUM(G2+H2),2)</f>
        <v>2000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2000</v>
      </c>
      <c r="H3">
        <v>0</v>
      </c>
      <c r="I3" s="59">
        <v>0</v>
      </c>
      <c r="J3" s="59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1000</v>
      </c>
      <c r="H2">
        <v>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1000</v>
      </c>
      <c r="H3">
        <v>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7" sqref="D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>
        <v>5050100000</v>
      </c>
      <c r="D2" t="s">
        <v>340</v>
      </c>
      <c r="E2" s="1"/>
      <c r="F2" s="1"/>
      <c r="G2">
        <f>BankPaymentExp!I2</f>
        <v>1000</v>
      </c>
      <c r="H2" t="s">
        <v>310</v>
      </c>
      <c r="I2" s="47">
        <f>ROUND(SUM(G2+H2),2)</f>
        <v>1000</v>
      </c>
      <c r="J2" s="59">
        <v>0</v>
      </c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>
        <f>BankPaymentExp!I2</f>
        <v>1000</v>
      </c>
      <c r="H3" t="s">
        <v>310</v>
      </c>
      <c r="I3" s="47">
        <v>0</v>
      </c>
      <c r="J3" s="59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370</v>
      </c>
      <c r="H2" t="s">
        <v>370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370</v>
      </c>
      <c r="H3" t="s">
        <v>370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>
        <f>ROUND(SUM(G3+H3),2)</f>
        <v>0</v>
      </c>
      <c r="I4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1001002003</v>
      </c>
      <c r="D4" s="1" t="s">
        <v>361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workbookViewId="0">
      <selection activeCell="G17" sqref="G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1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1000000028</v>
      </c>
      <c r="D4" s="1" t="s">
        <v>365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workbookViewId="0">
      <selection activeCell="F18" sqref="F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ROUND(SUM(G2+H2),2)</f>
        <v>0</v>
      </c>
      <c r="J2">
        <v>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ROUND(SUM(G3+H3),2)</f>
        <v>0</v>
      </c>
      <c r="J3">
        <v>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f>ROUND(SUM(G2+H2),2)</f>
        <v>0</v>
      </c>
      <c r="H4">
        <f>ROUND(SUM(G3+H3),2)</f>
        <v>0</v>
      </c>
      <c r="I4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workbookViewId="0">
      <selection activeCell="E14" sqref="E1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2000000098</v>
      </c>
      <c r="D2" s="1" t="s">
        <v>366</v>
      </c>
      <c r="E2" s="1"/>
      <c r="F2" s="1"/>
      <c r="G2" t="s">
        <v>310</v>
      </c>
      <c r="H2" t="s">
        <v>310</v>
      </c>
      <c r="I2" s="59">
        <f>ROUND(SUM(G2+H2+K2),2)</f>
        <v>1000</v>
      </c>
      <c r="J2">
        <v>0</v>
      </c>
      <c r="K2" s="1">
        <f>BankPaymentINRMPMBNR!I2</f>
        <v>1000</v>
      </c>
    </row>
    <row r="3" spans="1:30">
      <c r="A3" s="1">
        <v>2</v>
      </c>
      <c r="B3" s="58" t="s">
        <v>191</v>
      </c>
      <c r="C3" s="1">
        <v>2000000025</v>
      </c>
      <c r="D3" s="51" t="s">
        <v>325</v>
      </c>
      <c r="E3" s="1"/>
      <c r="F3" s="1"/>
      <c r="G3" t="s">
        <v>310</v>
      </c>
      <c r="H3" t="s">
        <v>310</v>
      </c>
      <c r="I3" s="59">
        <f>ROUND(SUM(G3+H3+K3),2)</f>
        <v>1000</v>
      </c>
      <c r="J3">
        <v>0</v>
      </c>
      <c r="K3" s="1">
        <f>BankPaymentINRMPMBNR!I3</f>
        <v>1000</v>
      </c>
    </row>
    <row r="4" spans="1:30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>
        <v>0</v>
      </c>
      <c r="H4">
        <v>0</v>
      </c>
      <c r="I4">
        <v>0</v>
      </c>
      <c r="J4" s="47">
        <f>ROUND(SUM(I3+I2),2)</f>
        <v>2000</v>
      </c>
      <c r="L4" s="60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ROUND(SUM(G3+H3),2)</f>
        <v>0</v>
      </c>
      <c r="H2">
        <f>ROUND(SUM(G4+H4),2)</f>
        <v>0</v>
      </c>
      <c r="I2" s="47">
        <f>ROUND(SUM(G2+H2),2)</f>
        <v>0</v>
      </c>
      <c r="J2" s="59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 t="s">
        <v>310</v>
      </c>
      <c r="H4" t="s">
        <v>310</v>
      </c>
      <c r="I4" s="59">
        <v>0</v>
      </c>
      <c r="J4" s="59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1000000028</v>
      </c>
      <c r="D2" s="1" t="s">
        <v>365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21.5703125" bestFit="1" customWidth="1"/>
    <col min="12" max="12" width="21.5703125" customWidth="1"/>
    <col min="13" max="13" width="16" bestFit="1" customWidth="1"/>
    <col min="14" max="14" width="18.140625" bestFit="1" customWidth="1"/>
    <col min="15" max="15" width="16.7109375" bestFit="1" customWidth="1"/>
    <col min="16" max="16" width="17" bestFit="1" customWidth="1"/>
    <col min="17" max="17" width="16.5703125" bestFit="1" customWidth="1"/>
    <col min="18" max="18" width="17" bestFit="1" customWidth="1"/>
    <col min="21" max="21" width="17.42578125" bestFit="1" customWidth="1"/>
    <col min="22" max="22" width="14.140625" bestFit="1" customWidth="1"/>
    <col min="24" max="24" width="14.140625" bestFit="1" customWidth="1"/>
    <col min="27" max="27" width="15" bestFit="1" customWidth="1"/>
    <col min="30" max="30" width="20" bestFit="1" customWidth="1"/>
  </cols>
  <sheetData>
    <row r="1" spans="1:30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56" t="s">
        <v>359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v>0</v>
      </c>
      <c r="H2">
        <v>0</v>
      </c>
      <c r="I2" s="47">
        <f>ROUND(SUM(J4+J3),2)</f>
        <v>2000</v>
      </c>
      <c r="J2" s="59">
        <v>0</v>
      </c>
      <c r="L2" s="60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v>0</v>
      </c>
      <c r="H3">
        <v>0</v>
      </c>
      <c r="I3" s="59">
        <v>0</v>
      </c>
      <c r="J3" s="59">
        <f>ROUND(SUM(G3+H3+K4),2)</f>
        <v>1000</v>
      </c>
      <c r="K3" s="1">
        <f>BankReceiptMultiNewRef!I2</f>
        <v>1000</v>
      </c>
    </row>
    <row r="4" spans="1:30">
      <c r="A4" s="1">
        <v>3</v>
      </c>
      <c r="B4" s="58" t="s">
        <v>191</v>
      </c>
      <c r="C4" s="1">
        <v>1000000010</v>
      </c>
      <c r="D4" s="1" t="s">
        <v>320</v>
      </c>
      <c r="E4" s="1"/>
      <c r="F4" s="1"/>
      <c r="G4">
        <v>0</v>
      </c>
      <c r="H4">
        <v>0</v>
      </c>
      <c r="I4" s="59">
        <v>0</v>
      </c>
      <c r="J4" s="59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1000</v>
      </c>
      <c r="AB2" t="s">
        <v>310</v>
      </c>
      <c r="AC2">
        <f>ROUND(SUM((AA2*L2)+(AB2*L2)+(I2*L2)),2)</f>
        <v>2000</v>
      </c>
    </row>
    <row r="3" spans="1:29">
      <c r="M3">
        <f>SUM(M2)</f>
        <v>2000</v>
      </c>
      <c r="N3">
        <f>SUM(N2)</f>
        <v>2000</v>
      </c>
      <c r="Q3">
        <f>SUM(Q2)</f>
        <v>2000</v>
      </c>
      <c r="AA3" t="s">
        <v>310</v>
      </c>
      <c r="AB3" t="s">
        <v>310</v>
      </c>
      <c r="AC3">
        <f>SUM(AC2)</f>
        <v>2000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396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</v>
      </c>
      <c r="AD2" t="s">
        <v>337</v>
      </c>
    </row>
    <row r="3" spans="1:30">
      <c r="M3">
        <f>SUM(M2)</f>
        <v>1000</v>
      </c>
      <c r="N3">
        <f>SUM(N2)</f>
        <v>1000</v>
      </c>
      <c r="Q3">
        <f>SUM(Q2)</f>
        <v>1000</v>
      </c>
      <c r="AA3" t="s">
        <v>310</v>
      </c>
      <c r="AB3" t="s">
        <v>310</v>
      </c>
      <c r="AC3">
        <f>SUM(AC2)</f>
        <v>1000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369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</v>
      </c>
    </row>
    <row r="3" spans="1:29">
      <c r="M3">
        <f>SUM(M2)</f>
        <v>100</v>
      </c>
      <c r="N3">
        <f>SUM(N2)</f>
        <v>100</v>
      </c>
      <c r="Q3">
        <f>SUM(Q2)</f>
        <v>100</v>
      </c>
      <c r="AA3" t="s">
        <v>310</v>
      </c>
      <c r="AB3" t="s">
        <v>310</v>
      </c>
      <c r="AC3">
        <f>SUM(AC2)</f>
        <v>100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2000000018</v>
      </c>
      <c r="D2" s="52" t="s">
        <v>333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8500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8500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1001002003</v>
      </c>
      <c r="D2" s="1" t="s">
        <v>361</v>
      </c>
      <c r="E2" s="1"/>
      <c r="F2" s="1"/>
      <c r="G2">
        <f>BankReceiptNewRef!I2</f>
        <v>1000</v>
      </c>
      <c r="H2" t="s">
        <v>310</v>
      </c>
      <c r="I2" s="47">
        <f>ROUND(SUM(G2+H2),2)</f>
        <v>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1000000003</v>
      </c>
      <c r="D3" s="1" t="s">
        <v>318</v>
      </c>
      <c r="E3" s="1"/>
      <c r="F3" s="1"/>
      <c r="G3">
        <f>BankReceiptNewRef!I2</f>
        <v>1000</v>
      </c>
      <c r="H3" t="s">
        <v>310</v>
      </c>
      <c r="I3" s="59">
        <v>0</v>
      </c>
      <c r="J3" s="59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topLeftCell="P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428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100</v>
      </c>
      <c r="J2" s="1" t="s">
        <v>303</v>
      </c>
      <c r="K2" s="1" t="s">
        <v>209</v>
      </c>
      <c r="L2" t="s">
        <v>360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11000</v>
      </c>
    </row>
    <row r="3" spans="1:29">
      <c r="M3">
        <f>SUM(M2)</f>
        <v>100</v>
      </c>
      <c r="N3">
        <f>SUM(N2)</f>
        <v>11000</v>
      </c>
      <c r="Q3">
        <f>SUM(Q2)</f>
        <v>100</v>
      </c>
      <c r="AA3" t="s">
        <v>310</v>
      </c>
      <c r="AB3" t="s">
        <v>310</v>
      </c>
      <c r="AC3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1001002001</v>
      </c>
      <c r="D2" s="1" t="s">
        <v>356</v>
      </c>
      <c r="E2" s="1"/>
      <c r="F2" s="1"/>
      <c r="G2">
        <f>BRAdvUSDNR!I2</f>
        <v>100</v>
      </c>
      <c r="H2" t="s">
        <v>310</v>
      </c>
      <c r="I2" s="47">
        <f>ROUND(SUM(ROUND(G2,2)+ROUND(H2,2))*K1,2)</f>
        <v>11000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1000000004</v>
      </c>
      <c r="D3" s="1" t="s">
        <v>321</v>
      </c>
      <c r="E3" s="1"/>
      <c r="F3" s="1"/>
      <c r="G3">
        <f>BRAdvUSDNR!I2</f>
        <v>100</v>
      </c>
      <c r="H3" t="s">
        <v>310</v>
      </c>
      <c r="I3" s="59">
        <v>0</v>
      </c>
      <c r="J3" s="59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ROUND(SUM((ROUND(AA2,2)*L2)+(ROUND(AB2,2)*L2)+(I2*L2)),2)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339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360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339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360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ROUND(SUM(AA3+AB3),2)</f>
        <v>0</v>
      </c>
    </row>
    <row r="4" spans="1:29"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ROUND(SUM(AA3+AB3+I3),2)</f>
        <v>1000</v>
      </c>
    </row>
    <row r="4" spans="1:29"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360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364</v>
      </c>
      <c r="AB2" t="s">
        <v>310</v>
      </c>
      <c r="AC2">
        <f>ROUND(SUM((AA2*L2)+(AB2*L2)+(I2*L2)),2)</f>
        <v>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209</v>
      </c>
      <c r="L3" t="s">
        <v>360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ROUND(SUM((AA3)+(AB3)+(I3)),2)</f>
        <v>1000</v>
      </c>
      <c r="AD3" t="s">
        <v>338</v>
      </c>
    </row>
    <row r="4" spans="1:30">
      <c r="I4">
        <f>SUM(I2:I3)</f>
        <v>1000</v>
      </c>
      <c r="M4">
        <f>M2</f>
        <v>0</v>
      </c>
      <c r="N4">
        <f>N2</f>
        <v>0</v>
      </c>
      <c r="Q4">
        <f>SUM(Q2:Q3)</f>
        <v>1000</v>
      </c>
      <c r="AC4">
        <f>AC2</f>
        <v>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26550</v>
      </c>
      <c r="AB2" t="s">
        <v>310</v>
      </c>
      <c r="AC2">
        <f>ROUND(SUM((AA2*L2)+(AB2*L2)+(I2*L2)),2)</f>
        <v>26550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338</v>
      </c>
    </row>
    <row r="4" spans="1:30">
      <c r="I4">
        <f>SUM(I2:I3)</f>
        <v>1000</v>
      </c>
      <c r="M4">
        <f>ROUND(M2-M3,2)</f>
        <v>25550</v>
      </c>
      <c r="N4">
        <f>ROUND(N2-N3,2)</f>
        <v>25550</v>
      </c>
      <c r="Q4">
        <f>SUM(Q2:Q3)</f>
        <v>27550</v>
      </c>
      <c r="AC4">
        <f>ROUND(AC2-AC3,2)</f>
        <v>25550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370</v>
      </c>
      <c r="AB2" t="s">
        <v>310</v>
      </c>
      <c r="AC2">
        <f>ROUND(SUM((AA2*L2)+(AB2*L2)+(I2*L2)),2)</f>
        <v>666.3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62" t="s">
        <v>366</v>
      </c>
      <c r="C2" s="1" t="s">
        <v>367</v>
      </c>
      <c r="D2" s="1" t="s">
        <v>368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666.3</v>
      </c>
      <c r="AD2" t="s">
        <v>337</v>
      </c>
    </row>
    <row r="3" spans="1:30">
      <c r="A3" s="1">
        <v>2</v>
      </c>
      <c r="B3" s="48" t="s">
        <v>335</v>
      </c>
      <c r="C3" s="1"/>
      <c r="D3" s="1"/>
      <c r="E3" s="1"/>
      <c r="F3" s="1" t="s">
        <v>316</v>
      </c>
      <c r="G3" s="47" t="s">
        <v>339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338</v>
      </c>
    </row>
    <row r="4" spans="1:30">
      <c r="I4">
        <f>SUM(I2:I3)</f>
        <v>100</v>
      </c>
      <c r="M4">
        <f>M2</f>
        <v>666.3</v>
      </c>
      <c r="N4">
        <f>N2</f>
        <v>666.3</v>
      </c>
      <c r="Q4">
        <f>SUM(Q2:Q3)</f>
        <v>766.3</v>
      </c>
      <c r="AC4">
        <f>ROUND(AC2+AC3,2)</f>
        <v>766.3</v>
      </c>
      <c r="AD4" t="s">
        <v>338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topLeftCell="U1" workbookViewId="0">
      <selection activeCell="AF12" sqref="AF1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8"/>
  <dimension ref="A1:AL4"/>
  <sheetViews>
    <sheetView workbookViewId="0">
      <selection activeCell="H3" sqref="H3"/>
    </sheetView>
  </sheetViews>
  <sheetFormatPr defaultRowHeight="15"/>
  <cols>
    <col min="1" max="1" width="4.85546875" bestFit="1" customWidth="1"/>
    <col min="2" max="2" width="26.42578125" bestFit="1" customWidth="1"/>
    <col min="3" max="3" width="9" bestFit="1" customWidth="1"/>
    <col min="4" max="4" width="12.7109375" bestFit="1" customWidth="1"/>
    <col min="5" max="5" width="11.85546875" bestFit="1" customWidth="1"/>
    <col min="6" max="6" width="7.140625" bestFit="1" customWidth="1"/>
    <col min="7" max="7" width="9.285156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4.85546875" bestFit="1" customWidth="1"/>
    <col min="26" max="26" width="15" bestFit="1" customWidth="1"/>
    <col min="27" max="28" width="8.85546875" bestFit="1" customWidth="1"/>
    <col min="29" max="29" width="20" bestFit="1" customWidth="1"/>
    <col min="30" max="30" width="12" bestFit="1" customWidth="1"/>
    <col min="31" max="31" width="3" bestFit="1" customWidth="1"/>
    <col min="32" max="32" width="19.42578125" bestFit="1" customWidth="1"/>
    <col min="33" max="33" width="17.7109375" bestFit="1" customWidth="1"/>
    <col min="34" max="34" width="5.140625" bestFit="1" customWidth="1"/>
    <col min="35" max="35" width="16" bestFit="1" customWidth="1"/>
    <col min="36" max="36" width="14" bestFit="1" customWidth="1"/>
    <col min="37" max="37" width="23.140625" bestFit="1" customWidth="1"/>
    <col min="38" max="38" width="16.5703125" bestFit="1" customWidth="1"/>
    <col min="39" max="39" width="19.42578125" bestFit="1" customWidth="1"/>
    <col min="40" max="40" width="17.7109375" bestFit="1" customWidth="1"/>
  </cols>
  <sheetData>
    <row r="1" spans="1:38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1</v>
      </c>
      <c r="AF1" s="55" t="s">
        <v>348</v>
      </c>
      <c r="AG1" s="54" t="s">
        <v>347</v>
      </c>
      <c r="AH1" s="64" t="s">
        <v>385</v>
      </c>
      <c r="AI1" s="64" t="s">
        <v>389</v>
      </c>
      <c r="AJ1" s="64" t="s">
        <v>390</v>
      </c>
      <c r="AK1" s="64" t="s">
        <v>391</v>
      </c>
      <c r="AL1" s="64" t="s">
        <v>392</v>
      </c>
    </row>
    <row r="2" spans="1:38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1180</v>
      </c>
      <c r="AD2" t="s">
        <v>337</v>
      </c>
      <c r="AE2">
        <v>34</v>
      </c>
      <c r="AF2" t="s">
        <v>345</v>
      </c>
      <c r="AG2" t="s">
        <v>346</v>
      </c>
      <c r="AH2" t="s">
        <v>379</v>
      </c>
      <c r="AI2">
        <v>1000000029</v>
      </c>
      <c r="AJ2">
        <v>1</v>
      </c>
      <c r="AK2">
        <f>I2</f>
        <v>1000</v>
      </c>
      <c r="AL2">
        <f>ROUND(M2*AJ2%,2)</f>
        <v>10</v>
      </c>
    </row>
    <row r="3" spans="1:38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AK2</f>
        <v>1000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 s="1">
        <f>ROUND(SUM((AA3*L3)+(AB3*L3)+(I3*L3)+R3+S3+T3+U3+W3),2)</f>
        <v>1000</v>
      </c>
      <c r="AD3" s="1" t="s">
        <v>337</v>
      </c>
      <c r="AE3" s="1"/>
      <c r="AF3" s="1"/>
      <c r="AG3" s="1"/>
      <c r="AH3" s="1"/>
      <c r="AI3" s="1"/>
      <c r="AJ3" s="1"/>
      <c r="AK3" s="1"/>
    </row>
    <row r="4" spans="1:38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180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209</v>
      </c>
      <c r="L2" t="s">
        <v>369</v>
      </c>
      <c r="M2" s="38">
        <f>ROUND(SUM(AA2+AB2+I2),2)</f>
        <v>1000</v>
      </c>
      <c r="N2" s="38">
        <f>AC2</f>
        <v>85000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85000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85000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85000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337</v>
      </c>
      <c r="AE2">
        <v>34</v>
      </c>
      <c r="AF2" t="s">
        <v>345</v>
      </c>
      <c r="AG2" t="s">
        <v>346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337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  <c r="AE1">
        <v>3</v>
      </c>
      <c r="AF1" s="55" t="s">
        <v>348</v>
      </c>
      <c r="AG1" s="54" t="s">
        <v>347</v>
      </c>
    </row>
    <row r="2" spans="1:33">
      <c r="A2" s="1">
        <v>1</v>
      </c>
      <c r="B2" s="48" t="s">
        <v>341</v>
      </c>
      <c r="C2" s="1"/>
      <c r="D2" s="1"/>
      <c r="E2" s="1"/>
      <c r="F2" s="1" t="s">
        <v>316</v>
      </c>
      <c r="G2" s="47" t="s">
        <v>339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3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343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337</v>
      </c>
      <c r="AE2">
        <v>34</v>
      </c>
      <c r="AF2" t="s">
        <v>180</v>
      </c>
      <c r="AG2" t="s">
        <v>346</v>
      </c>
    </row>
    <row r="3" spans="1:33">
      <c r="A3" s="1">
        <v>2</v>
      </c>
      <c r="B3" s="48" t="s">
        <v>340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3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t="s">
        <v>310</v>
      </c>
      <c r="AB3" t="s">
        <v>310</v>
      </c>
      <c r="AC3">
        <f>ROUND(SUM((AA3*L3)+(AB3*L3)+(I3*L3)+R3+S3+T3+U3+W3),2)</f>
        <v>1000</v>
      </c>
      <c r="AD3" t="s">
        <v>337</v>
      </c>
      <c r="AE3">
        <v>34</v>
      </c>
      <c r="AF3" t="s">
        <v>345</v>
      </c>
      <c r="AG3" t="s">
        <v>346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336</v>
      </c>
      <c r="AE1" s="1">
        <v>1</v>
      </c>
      <c r="AF1" s="37" t="s">
        <v>348</v>
      </c>
      <c r="AG1" s="37" t="s">
        <v>347</v>
      </c>
      <c r="AH1" s="56" t="s">
        <v>350</v>
      </c>
      <c r="AI1" s="56" t="s">
        <v>351</v>
      </c>
    </row>
    <row r="2" spans="1:35">
      <c r="A2" s="1">
        <v>1</v>
      </c>
      <c r="B2" s="48" t="s">
        <v>340</v>
      </c>
      <c r="C2" s="1"/>
      <c r="D2" s="1"/>
      <c r="E2" s="1"/>
      <c r="F2" s="1" t="s">
        <v>316</v>
      </c>
      <c r="G2" s="47" t="s">
        <v>339</v>
      </c>
      <c r="H2" s="22" t="s">
        <v>342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3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344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337</v>
      </c>
      <c r="AE2" s="1">
        <v>34</v>
      </c>
      <c r="AF2" s="1" t="s">
        <v>345</v>
      </c>
      <c r="AG2" s="1" t="s">
        <v>346</v>
      </c>
      <c r="AH2" s="53">
        <v>0.01</v>
      </c>
      <c r="AI2" s="1">
        <f>Q2*AH2</f>
        <v>10</v>
      </c>
    </row>
    <row r="3" spans="1:35">
      <c r="A3" s="1">
        <v>2</v>
      </c>
      <c r="B3" s="57" t="s">
        <v>349</v>
      </c>
      <c r="C3" s="1"/>
      <c r="D3" s="1"/>
      <c r="E3" s="1"/>
      <c r="F3" s="1" t="s">
        <v>316</v>
      </c>
      <c r="G3" s="47" t="s">
        <v>339</v>
      </c>
      <c r="H3" s="22" t="s">
        <v>342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3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344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337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337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336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339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337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337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75" t="s">
        <v>397</v>
      </c>
      <c r="C2" s="1" t="s">
        <v>398</v>
      </c>
      <c r="D2" s="1" t="s">
        <v>399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369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</row>
    <row r="2" spans="1:29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7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15.7109375" bestFit="1" customWidth="1"/>
    <col min="6" max="6" width="8.710937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6.140625" bestFit="1" customWidth="1"/>
    <col min="29" max="29" width="25" bestFit="1" customWidth="1"/>
    <col min="31" max="31" width="16" bestFit="1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4" t="s">
        <v>377</v>
      </c>
      <c r="AB1" s="64" t="s">
        <v>378</v>
      </c>
      <c r="AC1" s="40" t="s">
        <v>329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281</v>
      </c>
      <c r="F2" s="1" t="s">
        <v>316</v>
      </c>
      <c r="G2" s="24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  <c r="AD2" t="s">
        <v>379</v>
      </c>
      <c r="AE2">
        <v>1000000029</v>
      </c>
      <c r="AF2">
        <v>1</v>
      </c>
      <c r="AG2">
        <f>AC2</f>
        <v>0</v>
      </c>
      <c r="AH2">
        <f>ROUND(AC2*AF2%,2)</f>
        <v>0</v>
      </c>
    </row>
    <row r="3" spans="1:34">
      <c r="A3" s="24">
        <v>2</v>
      </c>
      <c r="B3" s="67" t="s">
        <v>349</v>
      </c>
      <c r="C3" s="24"/>
      <c r="D3" s="24" t="s">
        <v>379</v>
      </c>
      <c r="E3" s="24"/>
      <c r="F3" s="1" t="s">
        <v>316</v>
      </c>
      <c r="G3" s="24" t="s">
        <v>339</v>
      </c>
      <c r="H3" s="65"/>
      <c r="I3" s="24"/>
      <c r="J3" s="24" t="s">
        <v>303</v>
      </c>
      <c r="K3" s="68" t="s">
        <v>207</v>
      </c>
      <c r="L3" t="s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ROUND(AA2*AF2%,2)</f>
        <v>0</v>
      </c>
    </row>
    <row r="4" spans="1:34">
      <c r="M4">
        <f>ROUND(M2-M3,2)</f>
        <v>0</v>
      </c>
      <c r="N4">
        <f>ROUND(N2-N3,2)</f>
        <v>0</v>
      </c>
      <c r="Q4">
        <f>SUM(Q2)</f>
        <v>0</v>
      </c>
      <c r="AA4" t="s">
        <v>310</v>
      </c>
      <c r="AB4">
        <v>0</v>
      </c>
      <c r="AC4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69" t="s">
        <v>191</v>
      </c>
      <c r="C3" s="1">
        <v>1000000029</v>
      </c>
      <c r="D3" s="1" t="s">
        <v>349</v>
      </c>
      <c r="E3" s="1"/>
      <c r="F3" s="1"/>
      <c r="G3" t="s">
        <v>310</v>
      </c>
      <c r="H3">
        <v>0</v>
      </c>
      <c r="I3" s="47">
        <v>0</v>
      </c>
      <c r="J3" s="59">
        <f>ROUND(I2*1%,2)</f>
        <v>0</v>
      </c>
      <c r="K3" s="24"/>
      <c r="L3" s="24"/>
      <c r="M3" s="24"/>
      <c r="O3" s="66"/>
      <c r="P3" s="66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8" t="s">
        <v>191</v>
      </c>
      <c r="C4" s="1">
        <v>1001002001</v>
      </c>
      <c r="D4" s="1" t="s">
        <v>356</v>
      </c>
      <c r="E4" s="1"/>
      <c r="F4" s="1"/>
      <c r="G4" t="s">
        <v>310</v>
      </c>
      <c r="H4" t="s">
        <v>310</v>
      </c>
      <c r="I4" s="59">
        <v>0</v>
      </c>
      <c r="J4" s="59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width="4.85546875" bestFit="1" customWidth="1"/>
    <col min="2" max="2" width="29" bestFit="1" customWidth="1"/>
    <col min="3" max="3" width="12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  <col min="31" max="31" width="17.7109375" customWidth="1"/>
    <col min="32" max="32" width="14.85546875" customWidth="1"/>
    <col min="33" max="33" width="23.140625" bestFit="1" customWidth="1"/>
    <col min="34" max="34" width="16.5703125" bestFit="1" customWidth="1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4" t="s">
        <v>385</v>
      </c>
      <c r="AE1" s="64" t="s">
        <v>389</v>
      </c>
      <c r="AF1" s="64" t="s">
        <v>390</v>
      </c>
      <c r="AG1" s="64" t="s">
        <v>391</v>
      </c>
      <c r="AH1" s="64" t="s">
        <v>392</v>
      </c>
    </row>
    <row r="2" spans="1:34">
      <c r="A2" s="1">
        <v>1</v>
      </c>
      <c r="B2" s="63" t="s">
        <v>374</v>
      </c>
      <c r="C2" s="1" t="s">
        <v>376</v>
      </c>
      <c r="D2" s="1" t="s">
        <v>375</v>
      </c>
      <c r="E2" s="1" t="s">
        <v>384</v>
      </c>
      <c r="F2" s="1" t="s">
        <v>316</v>
      </c>
      <c r="G2" s="47" t="s">
        <v>339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221.25</v>
      </c>
      <c r="AD2" t="s">
        <v>379</v>
      </c>
      <c r="AE2">
        <v>1000000029</v>
      </c>
      <c r="AF2">
        <v>1</v>
      </c>
      <c r="AG2">
        <f>AC2</f>
        <v>221.25</v>
      </c>
      <c r="AH2">
        <f>ROUND(AC2*AF2%,2)</f>
        <v>2.21</v>
      </c>
    </row>
    <row r="3" spans="1:34">
      <c r="A3" s="41">
        <v>2</v>
      </c>
      <c r="B3" s="70" t="s">
        <v>381</v>
      </c>
      <c r="C3" s="41" t="s">
        <v>382</v>
      </c>
      <c r="D3" s="41" t="s">
        <v>383</v>
      </c>
      <c r="E3" s="41" t="s">
        <v>384</v>
      </c>
      <c r="F3" s="41" t="s">
        <v>316</v>
      </c>
      <c r="G3" s="71" t="s">
        <v>339</v>
      </c>
      <c r="H3" s="44" t="s">
        <v>275</v>
      </c>
      <c r="I3" s="41">
        <v>0</v>
      </c>
      <c r="J3" s="41" t="s">
        <v>276</v>
      </c>
      <c r="K3" s="41" t="s">
        <v>207</v>
      </c>
      <c r="L3" t="s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>
        <v>310</v>
      </c>
      <c r="AB3" t="s">
        <v>310</v>
      </c>
      <c r="AC3">
        <f>ROUND(SUM((AA3*L3)+(AB3*L3)+(I3*L3)),2)</f>
        <v>221.25</v>
      </c>
      <c r="AD3" t="s">
        <v>386</v>
      </c>
      <c r="AE3">
        <v>1000000047</v>
      </c>
      <c r="AF3">
        <v>0.1</v>
      </c>
      <c r="AG3">
        <f>AC3</f>
        <v>221.25</v>
      </c>
      <c r="AH3">
        <f>ROUND(AC3*AF3%,2)</f>
        <v>0.22</v>
      </c>
    </row>
    <row r="4" spans="1:34">
      <c r="A4" s="1">
        <v>3</v>
      </c>
      <c r="B4" s="1" t="s">
        <v>349</v>
      </c>
      <c r="C4" s="1" t="s">
        <v>379</v>
      </c>
      <c r="D4" s="1" t="s">
        <v>349</v>
      </c>
      <c r="E4" s="1"/>
      <c r="F4" s="14" t="s">
        <v>316</v>
      </c>
      <c r="G4" s="47" t="s">
        <v>339</v>
      </c>
      <c r="H4" s="44" t="s">
        <v>275</v>
      </c>
      <c r="I4" s="1">
        <v>0</v>
      </c>
      <c r="J4" s="1" t="s">
        <v>303</v>
      </c>
      <c r="K4" s="14" t="s">
        <v>207</v>
      </c>
      <c r="L4" t="s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>
        <v>310</v>
      </c>
      <c r="AB4" t="s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2" t="s">
        <v>387</v>
      </c>
      <c r="C5" s="14" t="s">
        <v>386</v>
      </c>
      <c r="D5" s="73" t="s">
        <v>388</v>
      </c>
      <c r="E5" s="1"/>
      <c r="F5" s="14" t="s">
        <v>316</v>
      </c>
      <c r="G5" s="47" t="s">
        <v>339</v>
      </c>
      <c r="H5" s="44" t="s">
        <v>275</v>
      </c>
      <c r="I5" s="1">
        <v>0</v>
      </c>
      <c r="J5" s="14" t="s">
        <v>303</v>
      </c>
      <c r="K5" s="14" t="s">
        <v>207</v>
      </c>
      <c r="L5" t="s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>
        <v>310</v>
      </c>
      <c r="AB5" t="s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>
        <f>SUM(I2:I3)</f>
        <v>0</v>
      </c>
      <c r="L6" t="s">
        <v>319</v>
      </c>
      <c r="M6">
        <f>ROUND((M2+M3)-(M4+M5),2)</f>
        <v>440.07</v>
      </c>
      <c r="N6">
        <f>ROUND((N2+N3)-(N4+N5),2)</f>
        <v>440.07</v>
      </c>
      <c r="Q6">
        <f>SUM(Q2:Q3)</f>
        <v>442.5</v>
      </c>
      <c r="AC6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8" t="s">
        <v>191</v>
      </c>
      <c r="C3" s="1">
        <v>2000000100</v>
      </c>
      <c r="D3" s="1" t="s">
        <v>381</v>
      </c>
      <c r="E3" s="1"/>
      <c r="F3" s="1"/>
      <c r="G3" t="s">
        <v>310</v>
      </c>
      <c r="H3" t="s">
        <v>310</v>
      </c>
      <c r="I3" s="47">
        <f>ROUND(SUM(G3+H3),2)</f>
        <v>0</v>
      </c>
      <c r="J3" s="59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69" t="s">
        <v>191</v>
      </c>
      <c r="C4" s="1">
        <v>1000000029</v>
      </c>
      <c r="D4" s="1" t="s">
        <v>349</v>
      </c>
      <c r="E4" s="1"/>
      <c r="F4" s="1"/>
      <c r="G4" t="s">
        <v>310</v>
      </c>
      <c r="H4">
        <v>0</v>
      </c>
      <c r="I4" s="47">
        <v>0</v>
      </c>
      <c r="J4" s="59">
        <f>ROUND(I2*1%,2)</f>
        <v>0</v>
      </c>
      <c r="K4" s="24"/>
      <c r="L4" s="24"/>
      <c r="M4" s="24"/>
      <c r="O4" s="66"/>
      <c r="P4" s="66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69" t="s">
        <v>191</v>
      </c>
      <c r="C5" s="1">
        <v>1000000047</v>
      </c>
      <c r="D5" s="1" t="s">
        <v>387</v>
      </c>
      <c r="E5" s="1"/>
      <c r="F5" s="1"/>
      <c r="G5" t="s">
        <v>310</v>
      </c>
      <c r="H5">
        <v>0</v>
      </c>
      <c r="I5" s="47">
        <v>0</v>
      </c>
      <c r="J5" s="59">
        <f>ROUND(I3*0.1%,2)</f>
        <v>0</v>
      </c>
      <c r="K5" s="24"/>
      <c r="L5" s="24"/>
      <c r="M5" s="24"/>
      <c r="O5" s="66"/>
      <c r="P5" s="66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8" t="s">
        <v>191</v>
      </c>
      <c r="C6" s="1">
        <v>1001002001</v>
      </c>
      <c r="D6" s="1" t="s">
        <v>356</v>
      </c>
      <c r="E6" s="1"/>
      <c r="F6" s="1"/>
      <c r="G6" t="s">
        <v>310</v>
      </c>
      <c r="H6" t="s">
        <v>310</v>
      </c>
      <c r="I6" s="59">
        <v>0</v>
      </c>
      <c r="J6" s="59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E3"/>
  <sheetViews>
    <sheetView tabSelected="1" workbookViewId="0">
      <selection activeCell="G15" sqref="G15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2000000099</v>
      </c>
      <c r="D2" s="1" t="s">
        <v>374</v>
      </c>
      <c r="E2" s="1"/>
      <c r="F2" s="1"/>
      <c r="G2" t="s">
        <v>310</v>
      </c>
      <c r="H2" t="s">
        <v>310</v>
      </c>
      <c r="I2" s="47">
        <f>ROUND(SUM(G2+H2),2)</f>
        <v>0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1001002003</v>
      </c>
      <c r="D3" s="1" t="s">
        <v>361</v>
      </c>
      <c r="E3" s="1"/>
      <c r="F3" s="1"/>
      <c r="G3" t="s">
        <v>310</v>
      </c>
      <c r="H3" t="s">
        <v>310</v>
      </c>
      <c r="I3" s="59">
        <v>0</v>
      </c>
      <c r="J3" s="59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33.42578125" bestFit="1" customWidth="1"/>
    <col min="5" max="5" width="28.7109375" bestFit="1" customWidth="1"/>
    <col min="6" max="6" width="18.42578125" bestFit="1" customWidth="1"/>
    <col min="7" max="8" width="18.42578125" customWidth="1"/>
    <col min="9" max="9" width="14.5703125" bestFit="1" customWidth="1"/>
    <col min="10" max="10" width="17.42578125" customWidth="1"/>
    <col min="11" max="11" width="13.57031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18" max="18" width="16.5703125" bestFit="1" customWidth="1"/>
    <col min="19" max="19" width="17" bestFit="1" customWidth="1"/>
    <col min="22" max="22" width="17.42578125" bestFit="1" customWidth="1"/>
    <col min="23" max="23" width="14.140625" bestFit="1" customWidth="1"/>
    <col min="25" max="25" width="14.140625" bestFit="1" customWidth="1"/>
    <col min="28" max="28" width="15" bestFit="1" customWidth="1"/>
    <col min="31" max="31" width="20" bestFit="1" customWidth="1"/>
  </cols>
  <sheetData>
    <row r="1" spans="1:31">
      <c r="A1" s="56" t="s">
        <v>253</v>
      </c>
      <c r="B1" s="56" t="s">
        <v>183</v>
      </c>
      <c r="C1" s="56" t="s">
        <v>352</v>
      </c>
      <c r="D1" s="56" t="s">
        <v>254</v>
      </c>
      <c r="E1" s="56" t="s">
        <v>353</v>
      </c>
      <c r="F1" s="56" t="s">
        <v>257</v>
      </c>
      <c r="G1" s="56" t="s">
        <v>357</v>
      </c>
      <c r="H1" s="56" t="s">
        <v>358</v>
      </c>
      <c r="I1" s="56" t="s">
        <v>354</v>
      </c>
      <c r="J1" s="56" t="s">
        <v>355</v>
      </c>
      <c r="K1" t="s">
        <v>369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8" t="s">
        <v>191</v>
      </c>
      <c r="C2" s="1">
        <v>2000000118</v>
      </c>
      <c r="D2" s="1" t="s">
        <v>397</v>
      </c>
      <c r="E2" s="1"/>
      <c r="F2" s="1"/>
      <c r="G2" t="s">
        <v>310</v>
      </c>
      <c r="H2" t="s">
        <v>310</v>
      </c>
      <c r="I2" s="47">
        <f>ROUND(SUM(G2+H2)*K1,2)</f>
        <v>15937.5</v>
      </c>
      <c r="J2" s="59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8" t="s">
        <v>191</v>
      </c>
      <c r="C3" s="1">
        <v>1001002001</v>
      </c>
      <c r="D3" s="1" t="s">
        <v>356</v>
      </c>
      <c r="E3" s="1"/>
      <c r="F3" s="1"/>
      <c r="G3" t="s">
        <v>310</v>
      </c>
      <c r="H3" t="s">
        <v>310</v>
      </c>
      <c r="I3" s="59">
        <v>0</v>
      </c>
      <c r="J3" s="59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I4"/>
  <sheetViews>
    <sheetView topLeftCell="R1" workbookViewId="0">
      <selection activeCell="AC3" sqref="AC3"/>
    </sheetView>
  </sheetViews>
  <sheetFormatPr defaultRowHeight="15"/>
  <cols>
    <col min="1" max="1" width="4.85546875" bestFit="1" customWidth="1"/>
    <col min="2" max="2" width="29" bestFit="1" customWidth="1"/>
    <col min="3" max="3" width="10.85546875" bestFit="1" customWidth="1"/>
    <col min="4" max="4" width="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6" t="s">
        <v>404</v>
      </c>
      <c r="C2" s="1" t="s">
        <v>400</v>
      </c>
      <c r="D2" s="1" t="s">
        <v>402</v>
      </c>
      <c r="E2" s="1" t="s">
        <v>384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1000</v>
      </c>
      <c r="K2" s="1" t="s">
        <v>276</v>
      </c>
      <c r="L2" t="s">
        <v>207</v>
      </c>
      <c r="M2" t="s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380</v>
      </c>
      <c r="AC2" t="s">
        <v>380</v>
      </c>
      <c r="AD2" t="s">
        <v>416</v>
      </c>
      <c r="AE2" t="s">
        <v>416</v>
      </c>
      <c r="AF2">
        <f>ROUND(AD2-AB2,2)</f>
        <v>663.75</v>
      </c>
      <c r="AG2">
        <f>ROUND(AE2-AC2,2)</f>
        <v>663.75</v>
      </c>
      <c r="AH2">
        <f>ROUND(SUM((AB2*M2)+(AC2*M2)+(J2*M2)),2)</f>
        <v>1442.5</v>
      </c>
      <c r="AI2">
        <f>ROUND((AE2+AD2+J2)-(AB2+AC2),2)</f>
        <v>2327.5</v>
      </c>
    </row>
    <row r="3" spans="1:35">
      <c r="A3" s="1">
        <v>2</v>
      </c>
      <c r="B3" s="76" t="s">
        <v>405</v>
      </c>
      <c r="C3" s="1" t="s">
        <v>401</v>
      </c>
      <c r="D3" s="1" t="s">
        <v>403</v>
      </c>
      <c r="E3" s="1" t="s">
        <v>384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1000</v>
      </c>
      <c r="K3" s="1" t="s">
        <v>276</v>
      </c>
      <c r="L3" t="s">
        <v>207</v>
      </c>
      <c r="M3" t="s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380</v>
      </c>
      <c r="AC3" t="s">
        <v>380</v>
      </c>
      <c r="AD3" t="s">
        <v>416</v>
      </c>
      <c r="AE3" t="s">
        <v>416</v>
      </c>
      <c r="AF3">
        <f>ROUND(AD3-AB3,2)</f>
        <v>663.75</v>
      </c>
      <c r="AG3">
        <f>ROUND(AE3-AC3,2)</f>
        <v>663.75</v>
      </c>
      <c r="AH3">
        <f>ROUND(SUM((AB3*M3)+(AC3*M3)+(J3*M3)),2)</f>
        <v>1442.5</v>
      </c>
      <c r="AI3">
        <f>ROUND((AE3+AD3+J3)-(AB3+AC3),2)</f>
        <v>2327.5</v>
      </c>
    </row>
    <row r="4" spans="1:35">
      <c r="J4">
        <f>SUM(J2:J3)</f>
        <v>2000</v>
      </c>
      <c r="N4">
        <f>SUM(N2:N3)</f>
        <v>2885</v>
      </c>
      <c r="O4">
        <f>SUM(O2:O3)</f>
        <v>2885</v>
      </c>
      <c r="R4">
        <f>SUM(R2:R3)</f>
        <v>2885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0</v>
      </c>
      <c r="AG4">
        <f t="shared" si="0"/>
        <v>0</v>
      </c>
      <c r="AH4">
        <f t="shared" si="0"/>
        <v>2885</v>
      </c>
      <c r="AI4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I4"/>
  <sheetViews>
    <sheetView topLeftCell="S1" workbookViewId="0">
      <selection activeCell="D2" sqref="D2"/>
    </sheetView>
  </sheetViews>
  <sheetFormatPr defaultRowHeight="15"/>
  <cols>
    <col min="1" max="1" width="4.85546875" bestFit="1" customWidth="1"/>
    <col min="2" max="2" width="37.140625" bestFit="1" customWidth="1"/>
    <col min="3" max="3" width="12.28515625" bestFit="1" customWidth="1"/>
    <col min="4" max="4" width="33.140625" bestFit="1" customWidth="1"/>
    <col min="5" max="5" width="25" customWidth="1"/>
    <col min="6" max="6" width="20.5703125" bestFit="1" customWidth="1"/>
    <col min="7" max="7" width="7.140625" bestFit="1" customWidth="1"/>
    <col min="8" max="8" width="14.5703125" bestFit="1" customWidth="1"/>
    <col min="9" max="9" width="17.42578125" customWidth="1"/>
    <col min="10" max="10" width="13.5703125" bestFit="1" customWidth="1"/>
    <col min="11" max="11" width="12.140625" bestFit="1" customWidth="1"/>
    <col min="12" max="12" width="7" bestFit="1" customWidth="1"/>
    <col min="13" max="13" width="8.140625" bestFit="1" customWidth="1"/>
    <col min="14" max="14" width="17" bestFit="1" customWidth="1"/>
    <col min="15" max="15" width="15.5703125" bestFit="1" customWidth="1"/>
    <col min="16" max="16" width="10" bestFit="1" customWidth="1"/>
    <col min="17" max="17" width="16.5703125" bestFit="1" customWidth="1"/>
    <col min="18" max="18" width="17" bestFit="1" customWidth="1"/>
    <col min="19" max="19" width="5.5703125" bestFit="1" customWidth="1"/>
    <col min="20" max="20" width="5.42578125" bestFit="1" customWidth="1"/>
    <col min="21" max="21" width="5" bestFit="1" customWidth="1"/>
    <col min="22" max="22" width="6.85546875" bestFit="1" customWidth="1"/>
    <col min="23" max="23" width="17.42578125" bestFit="1" customWidth="1"/>
    <col min="24" max="24" width="14.140625" bestFit="1" customWidth="1"/>
    <col min="25" max="25" width="8.42578125" bestFit="1" customWidth="1"/>
    <col min="26" max="26" width="5.28515625" bestFit="1" customWidth="1"/>
    <col min="27" max="27" width="15" bestFit="1" customWidth="1"/>
    <col min="28" max="28" width="8.85546875" bestFit="1" customWidth="1"/>
    <col min="29" max="29" width="9.28515625" bestFit="1" customWidth="1"/>
    <col min="30" max="31" width="9.28515625" customWidth="1"/>
    <col min="32" max="33" width="11.85546875" bestFit="1" customWidth="1"/>
    <col min="34" max="34" width="24.140625" bestFit="1" customWidth="1"/>
    <col min="35" max="35" width="16.2851562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6" t="s">
        <v>415</v>
      </c>
      <c r="F1" s="56" t="s">
        <v>414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4" t="s">
        <v>406</v>
      </c>
      <c r="AC1" s="64" t="s">
        <v>407</v>
      </c>
      <c r="AD1" s="64" t="s">
        <v>408</v>
      </c>
      <c r="AE1" s="64" t="s">
        <v>409</v>
      </c>
      <c r="AF1" s="64" t="s">
        <v>412</v>
      </c>
      <c r="AG1" s="64" t="s">
        <v>413</v>
      </c>
      <c r="AH1" s="64" t="s">
        <v>410</v>
      </c>
      <c r="AI1" s="64" t="s">
        <v>411</v>
      </c>
    </row>
    <row r="2" spans="1:35">
      <c r="A2" s="1">
        <v>1</v>
      </c>
      <c r="B2" s="75" t="s">
        <v>397</v>
      </c>
      <c r="C2" s="1" t="s">
        <v>398</v>
      </c>
      <c r="D2" s="1" t="s">
        <v>399</v>
      </c>
      <c r="E2" s="1" t="s">
        <v>419</v>
      </c>
      <c r="F2" s="1" t="s">
        <v>281</v>
      </c>
      <c r="G2" s="1" t="s">
        <v>316</v>
      </c>
      <c r="H2" s="47" t="s">
        <v>339</v>
      </c>
      <c r="I2" s="22" t="s">
        <v>275</v>
      </c>
      <c r="J2" s="1">
        <v>100</v>
      </c>
      <c r="K2" s="1" t="s">
        <v>276</v>
      </c>
      <c r="L2" t="s">
        <v>209</v>
      </c>
      <c r="M2" t="s">
        <v>369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>
        <v>421</v>
      </c>
      <c r="AC2" t="s">
        <v>421</v>
      </c>
      <c r="AD2" t="s">
        <v>422</v>
      </c>
      <c r="AE2" t="s">
        <v>422</v>
      </c>
      <c r="AF2">
        <f>ROUND(AD2-AB2,2)</f>
        <v>562.5</v>
      </c>
      <c r="AG2">
        <f>ROUND(AE2-AC2,2)</f>
        <v>562.5</v>
      </c>
      <c r="AH2">
        <f>ROUND(SUM((AB2*M2)+(AC2*M2)+(J2*M2)),2)</f>
        <v>40375</v>
      </c>
      <c r="AI2">
        <f>ROUND((AE2+AD2+J2)-(AB2+AC2),2)</f>
        <v>1225</v>
      </c>
    </row>
    <row r="3" spans="1:35">
      <c r="A3" s="1">
        <v>2</v>
      </c>
      <c r="B3" s="77" t="s">
        <v>420</v>
      </c>
      <c r="C3" s="1" t="s">
        <v>417</v>
      </c>
      <c r="D3" s="1" t="s">
        <v>418</v>
      </c>
      <c r="E3" s="1" t="s">
        <v>419</v>
      </c>
      <c r="F3" s="1" t="s">
        <v>281</v>
      </c>
      <c r="G3" s="1" t="s">
        <v>316</v>
      </c>
      <c r="H3" s="47" t="s">
        <v>339</v>
      </c>
      <c r="I3" s="22" t="s">
        <v>326</v>
      </c>
      <c r="J3" s="1">
        <v>100</v>
      </c>
      <c r="K3" s="1" t="s">
        <v>276</v>
      </c>
      <c r="L3" t="s">
        <v>209</v>
      </c>
      <c r="M3" t="s">
        <v>369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>
        <v>421</v>
      </c>
      <c r="AC3" t="s">
        <v>421</v>
      </c>
      <c r="AD3" t="s">
        <v>422</v>
      </c>
      <c r="AE3" t="s">
        <v>422</v>
      </c>
      <c r="AF3">
        <f>ROUND(AD3-AB3,2)</f>
        <v>562.5</v>
      </c>
      <c r="AG3">
        <f>ROUND(AE3-AC3,2)</f>
        <v>562.5</v>
      </c>
      <c r="AH3">
        <f>ROUND(SUM((AB3*M3)+(AC3*M3)+(J3*M3)),2)</f>
        <v>40375</v>
      </c>
      <c r="AI3">
        <f>ROUND((AE3+AD3+J3)-(AB3+AC3),2)</f>
        <v>1225</v>
      </c>
    </row>
    <row r="4" spans="1:35">
      <c r="J4">
        <f>SUM(J2:J3)</f>
        <v>200</v>
      </c>
      <c r="N4">
        <f>SUM(N2:N3)</f>
        <v>950</v>
      </c>
      <c r="O4">
        <f>SUM(O2:O3)</f>
        <v>80750</v>
      </c>
      <c r="R4">
        <f>SUM(R2:R3)</f>
        <v>1017.5</v>
      </c>
      <c r="AB4">
        <f t="shared" ref="AB4:AH4" si="0">SUM(AB2:AB3)</f>
        <v>0</v>
      </c>
      <c r="AC4">
        <f t="shared" si="0"/>
        <v>0</v>
      </c>
      <c r="AD4">
        <f t="shared" si="0"/>
        <v>0</v>
      </c>
      <c r="AE4">
        <f t="shared" si="0"/>
        <v>0</v>
      </c>
      <c r="AF4">
        <f t="shared" si="0"/>
        <v>1125</v>
      </c>
      <c r="AG4">
        <f t="shared" si="0"/>
        <v>1125</v>
      </c>
      <c r="AH4">
        <f t="shared" si="0"/>
        <v>80750</v>
      </c>
      <c r="AI4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156</vt:i4>
      </vt:variant>
    </vt:vector>
  </HeadingPairs>
  <TitlesOfParts>
    <vt:vector size="156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BankPaymentUSDMulti</vt:lpstr>
      <vt:lpstr>BankPaymentUSDMPSB</vt:lpstr>
      <vt:lpstr>BankPaymentUSDMPMB</vt:lpstr>
      <vt:lpstr>BankPaymentUSDMPMBNR</vt:lpstr>
      <vt:lpstr>BPJournalMultiUSD</vt:lpstr>
      <vt:lpstr>BPJournalMPMIUSD</vt:lpstr>
      <vt:lpstr>BPJournalNRUSD</vt:lpstr>
      <vt:lpstr>BankPaymentChargesUSD</vt:lpstr>
      <vt:lpstr>BPJournalBankUSD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CPAdvanceWithNewRef</vt:lpstr>
      <vt:lpstr>TDS CPJournalADVWithNewRef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CPJournalADVWithNewRef</vt:lpstr>
      <vt:lpstr>CPAdvance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BankReceiptMultiCR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BankPaymentExpGSTTDS</vt:lpstr>
      <vt:lpstr>BankPaymentExpUSD</vt:lpstr>
      <vt:lpstr>BankPaymentExp</vt:lpstr>
      <vt:lpstr>BankReceiptRevExp</vt:lpstr>
      <vt:lpstr>BankPaymentExpTDS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2026-06-23T13:04:57Z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