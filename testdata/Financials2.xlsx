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0" yWindow="2520" windowWidth="15150" windowHeight="6540" firstSheet="136" activeTab="137"/>
  </bookViews>
  <sheets>
    <sheet name="PR Details" sheetId="1" r:id="rId1"/>
    <sheet name="PO Details" sheetId="2" r:id="rId2"/>
    <sheet name="POA Details" sheetId="3" r:id="rId3"/>
    <sheet name="PO _ITEM_MATERIAL" sheetId="4" r:id="rId4"/>
    <sheet name="PO _ITEM_GEN" sheetId="8" r:id="rId5"/>
    <sheet name="StockTransferItem" sheetId="5" r:id="rId6"/>
    <sheet name="POwithRateContractItem" sheetId="6" r:id="rId7"/>
    <sheet name="POwithRateContractItem_Mat" sheetId="7" r:id="rId8"/>
    <sheet name="SO Details" sheetId="9" r:id="rId9"/>
    <sheet name="Customer SO Details" sheetId="10" r:id="rId10"/>
    <sheet name="Open Sales" sheetId="11" r:id="rId11"/>
    <sheet name="SI Details" sheetId="12" r:id="rId12"/>
    <sheet name="MRTOMRV Data" sheetId="13" r:id="rId13"/>
    <sheet name="MRCustomer" sheetId="28" r:id="rId14"/>
    <sheet name="MRTOMRVWip Data" sheetId="14" r:id="rId15"/>
    <sheet name="RateContract_SER" sheetId="15" r:id="rId16"/>
    <sheet name="PricelistItem" sheetId="16" r:id="rId17"/>
    <sheet name="ST_ITEM_RATECONTRACT" sheetId="17" r:id="rId18"/>
    <sheet name="ServiceItemPriceList" sheetId="18" r:id="rId19"/>
    <sheet name="ST_Item_PriceList" sheetId="19" r:id="rId20"/>
    <sheet name="BankPaymentMultiPartyMultiBills" sheetId="32" r:id="rId21"/>
    <sheet name="BankPaymentMPMB" sheetId="33" r:id="rId22"/>
    <sheet name="BankPaymentMultiParty" sheetId="31" r:id="rId23"/>
    <sheet name="BankPaymentMultiNewRef" sheetId="34" r:id="rId24"/>
    <sheet name="BPSPMB" sheetId="36" r:id="rId25"/>
    <sheet name="BankPayment" sheetId="29" r:id="rId26"/>
    <sheet name="BankPaymentUSDMulti" sheetId="52" r:id="rId27"/>
    <sheet name="BankPaymentUSDMPSB" sheetId="53" r:id="rId28"/>
    <sheet name="BankPaymentUSDMPMB" sheetId="54" r:id="rId29"/>
    <sheet name="BankPaymentUSDMPMBNR" sheetId="55" r:id="rId30"/>
    <sheet name="BPJournalMultiUSD" sheetId="164" r:id="rId31"/>
    <sheet name="BPJournalMPMIUSD" sheetId="165" r:id="rId32"/>
    <sheet name="BPJournalNRUSD" sheetId="166" r:id="rId33"/>
    <sheet name="BankPaymentChargesUSD" sheetId="68" r:id="rId34"/>
    <sheet name="BPJournalBankUSD" sheetId="167" r:id="rId35"/>
    <sheet name="BankPaymentAdv" sheetId="151" r:id="rId36"/>
    <sheet name="BPJournalINRAdvNR" sheetId="152" r:id="rId37"/>
    <sheet name="BankPaymentINR" sheetId="41" r:id="rId38"/>
    <sheet name="BankPaymentINRMulti" sheetId="46" r:id="rId39"/>
    <sheet name="BankPaymentINRMPMBNR" sheetId="50" r:id="rId40"/>
    <sheet name="BankPaymentINRMPMBMU" sheetId="120" r:id="rId41"/>
    <sheet name="BankPaymentINRMultiUnits" sheetId="121" r:id="rId42"/>
    <sheet name="BankPaymentINRMPMB" sheetId="49" r:id="rId43"/>
    <sheet name="BankPaymentINRMPSB" sheetId="48" r:id="rId44"/>
    <sheet name="BankPaymentUSD" sheetId="51" r:id="rId45"/>
    <sheet name="MultiGRN" sheetId="30" r:id="rId46"/>
    <sheet name="BankReceipt (2)" sheetId="42" r:id="rId47"/>
    <sheet name="BankReceiptAdv" sheetId="69" r:id="rId48"/>
    <sheet name="BankReceiptMultiNewRef" sheetId="38" r:id="rId49"/>
    <sheet name="JournalUSD" sheetId="74" r:id="rId50"/>
    <sheet name="JournalMultiUSD" sheetId="75" r:id="rId51"/>
    <sheet name="JournalMPMIUSD" sheetId="76" r:id="rId52"/>
    <sheet name="JournalNRUSD" sheetId="77" r:id="rId53"/>
    <sheet name="BankReceiptMultiNewRefUSD" sheetId="45" r:id="rId54"/>
    <sheet name="JournalINR" sheetId="78" r:id="rId55"/>
    <sheet name="JournalMultiINR" sheetId="79" r:id="rId56"/>
    <sheet name="JournalMPMIINR" sheetId="80" r:id="rId57"/>
    <sheet name="JournalNRINR" sheetId="81" r:id="rId58"/>
    <sheet name="BPJournalPDC" sheetId="100" r:id="rId59"/>
    <sheet name="JournalPDC" sheetId="82" r:id="rId60"/>
    <sheet name="BPJournalREVGSTTDS" sheetId="106" r:id="rId61"/>
    <sheet name="BPJournalREVGST" sheetId="102" r:id="rId62"/>
    <sheet name="JournalREVGST" sheetId="85" r:id="rId63"/>
    <sheet name="BankReceiptRevExpGST" sheetId="59" r:id="rId64"/>
    <sheet name="JournalREVUSD" sheetId="86" r:id="rId65"/>
    <sheet name="CRJournalREVGST" sheetId="93" r:id="rId66"/>
    <sheet name="CRJournalREV" sheetId="92" r:id="rId67"/>
    <sheet name="CPJournalREV" sheetId="117" r:id="rId68"/>
    <sheet name="CPJournalREVGST" sheetId="118" r:id="rId69"/>
    <sheet name="CPJournalREVGSTTDS" sheetId="119" r:id="rId70"/>
    <sheet name="BPJournalREV" sheetId="101" r:id="rId71"/>
    <sheet name="JournalREV" sheetId="84" r:id="rId72"/>
    <sheet name="JournalBankUSD" sheetId="87" r:id="rId73"/>
    <sheet name="BPJournalBankINR" sheetId="111" r:id="rId74"/>
    <sheet name="BPJournalBank" sheetId="105" r:id="rId75"/>
    <sheet name="JournalBank" sheetId="83" r:id="rId76"/>
    <sheet name="TDS CPJournalADV" sheetId="125" r:id="rId77"/>
    <sheet name="CPJournalADV" sheetId="123" r:id="rId78"/>
    <sheet name="TDS CPAdvance" sheetId="124" r:id="rId79"/>
    <sheet name="TDS CPAdvanceWithNewRef" sheetId="133" r:id="rId80"/>
    <sheet name="TDS CPJournalADVWithNewRef" sheetId="134" r:id="rId81"/>
    <sheet name="TDS CPAdvanceMultiNewRef" sheetId="135" r:id="rId82"/>
    <sheet name="TDS CPJournalADVMultiNewref" sheetId="136" r:id="rId83"/>
    <sheet name="TDS CPAdvanceMulti" sheetId="130" r:id="rId84"/>
    <sheet name="TDS CPJournalADVMulti" sheetId="129" r:id="rId85"/>
    <sheet name="CPAdvanceMulti" sheetId="127" r:id="rId86"/>
    <sheet name="CPAdvanceWithNewRef" sheetId="132" r:id="rId87"/>
    <sheet name="CPJournalADVWithNewRef" sheetId="131" r:id="rId88"/>
    <sheet name="CPAdvance" sheetId="122" r:id="rId89"/>
    <sheet name="BPJournalADVWithNewRef" sheetId="145" r:id="rId90"/>
    <sheet name="TDS BPJournalADVMultiNewref" sheetId="148" r:id="rId91"/>
    <sheet name="TDS BPJournalADVWithNewRef" sheetId="147" r:id="rId92"/>
    <sheet name="CPJournal" sheetId="113" r:id="rId93"/>
    <sheet name="CRJournal" sheetId="88" r:id="rId94"/>
    <sheet name="BPJournal" sheetId="94" r:id="rId95"/>
    <sheet name="BPJournalINR" sheetId="98" r:id="rId96"/>
    <sheet name="BPJournalUSD" sheetId="99" r:id="rId97"/>
    <sheet name="BPJournalREVUSD" sheetId="104" r:id="rId98"/>
    <sheet name="BRAdvJournalNR" sheetId="141" r:id="rId99"/>
    <sheet name="Journal" sheetId="70" r:id="rId100"/>
    <sheet name="CRJournalMulti" sheetId="89" r:id="rId101"/>
    <sheet name="CRJournalMultiRef" sheetId="139" r:id="rId102"/>
    <sheet name="CRJournalNewRef" sheetId="138" r:id="rId103"/>
    <sheet name="CPJournalMulti" sheetId="114" r:id="rId104"/>
    <sheet name="CPJournalNR" sheetId="116" r:id="rId105"/>
    <sheet name="BPJournalMultiINR" sheetId="107" r:id="rId106"/>
    <sheet name="BPJournalREVINR" sheetId="110" r:id="rId107"/>
    <sheet name="BPJournalMPMIINR" sheetId="108" r:id="rId108"/>
    <sheet name="BPJournalNRINR" sheetId="109" r:id="rId109"/>
    <sheet name="BPJournalMulti" sheetId="95" r:id="rId110"/>
    <sheet name="JournalMulti" sheetId="71" r:id="rId111"/>
    <sheet name="CRJournalMPMI" sheetId="90" r:id="rId112"/>
    <sheet name="CPJournalMPMI" sheetId="115" r:id="rId113"/>
    <sheet name="BPJournalMPMI" sheetId="96" r:id="rId114"/>
    <sheet name="BPJournalNR" sheetId="97" r:id="rId115"/>
    <sheet name="JournalMPMI" sheetId="72" r:id="rId116"/>
    <sheet name="CRJournalNR" sheetId="91" r:id="rId117"/>
    <sheet name="JournalNR" sheetId="73" r:id="rId118"/>
    <sheet name="BankReceiptAdvMultiNR" sheetId="140" r:id="rId119"/>
    <sheet name="BankReceiptNewRef" sheetId="137" r:id="rId120"/>
    <sheet name="BankPaymentAdvUSD" sheetId="149" r:id="rId121"/>
    <sheet name="BPAdvJournalUSDNR" sheetId="150" r:id="rId122"/>
    <sheet name="JournalINRAdvNR" sheetId="144" r:id="rId123"/>
    <sheet name="BankReceipt" sheetId="35" r:id="rId124"/>
    <sheet name="BankReceiptMulti" sheetId="37" r:id="rId125"/>
    <sheet name="BRAdvUSDNR" sheetId="142" r:id="rId126"/>
    <sheet name="BRAdvJournalUSDNR" sheetId="143" r:id="rId127"/>
    <sheet name="BankReceiptUSD" sheetId="39" r:id="rId128"/>
    <sheet name="BankReceiptMultiUSD" sheetId="40" r:id="rId129"/>
    <sheet name="BankReceiptMulti (2)" sheetId="43" r:id="rId130"/>
    <sheet name="BankReceiptMultiNewRef (2)" sheetId="44" r:id="rId131"/>
    <sheet name="BankReceiptPDC" sheetId="56" r:id="rId132"/>
    <sheet name="BankReceiptChargesUSD" sheetId="60" r:id="rId133"/>
    <sheet name="BankReceiptCharges" sheetId="57" r:id="rId134"/>
    <sheet name="BankPaymentChargesINR" sheetId="112" r:id="rId135"/>
    <sheet name="BankPaymentCharges" sheetId="65" r:id="rId136"/>
    <sheet name="BankPaymentExpGST" sheetId="63" r:id="rId137"/>
    <sheet name="BankPaymentExpGSTTDS" sheetId="67" r:id="rId138"/>
    <sheet name="BankPaymentExpUSD" sheetId="103" r:id="rId139"/>
    <sheet name="BankPaymentExp" sheetId="62" r:id="rId140"/>
    <sheet name="BankReceiptRevExp" sheetId="58" r:id="rId141"/>
    <sheet name="BankPaymentExpTDS" sheetId="66" r:id="rId142"/>
    <sheet name="BankPaymentPDC" sheetId="61" r:id="rId143"/>
    <sheet name="BPAdvanceUSD" sheetId="161" r:id="rId144"/>
    <sheet name="BPAdvance" sheetId="154" r:id="rId145"/>
    <sheet name="BPJournalADV" sheetId="153" r:id="rId146"/>
    <sheet name="TDS BPAdvance" sheetId="155" r:id="rId147"/>
    <sheet name="TDS BPJournalADV" sheetId="156" r:id="rId148"/>
    <sheet name="TDS BPAdvanceMulti" sheetId="157" r:id="rId149"/>
    <sheet name="TDS BPJournalADVMulti" sheetId="158" r:id="rId150"/>
    <sheet name="BPJournalADVINR" sheetId="159" r:id="rId151"/>
    <sheet name="BPJournalADVUSD" sheetId="160" r:id="rId152"/>
    <sheet name="BPMPMBADVNR" sheetId="162" r:id="rId153"/>
    <sheet name="BPMPMBADVNRUSD" sheetId="163" r:id="rId154"/>
    <sheet name="Sheet2" sheetId="146" r:id="rId155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67"/>
  <c r="M2" i="132"/>
  <c r="AC3"/>
  <c r="AC2"/>
  <c r="Q2"/>
  <c r="AG2" i="124"/>
  <c r="AH2"/>
  <c r="Q2"/>
  <c r="N2"/>
  <c r="M4" i="68"/>
  <c r="J5" i="167"/>
  <c r="I2"/>
  <c r="G3"/>
  <c r="I3" s="1"/>
  <c r="K3" i="166"/>
  <c r="I3" s="1"/>
  <c r="J4" s="1"/>
  <c r="K2"/>
  <c r="I2" s="1"/>
  <c r="J4" i="165"/>
  <c r="I3"/>
  <c r="I2"/>
  <c r="H4"/>
  <c r="G4"/>
  <c r="J4" i="164"/>
  <c r="J4" i="75"/>
  <c r="I3" i="164"/>
  <c r="I2"/>
  <c r="J3" i="75"/>
  <c r="I2"/>
  <c r="N2" i="162"/>
  <c r="AF2" i="163"/>
  <c r="AG2"/>
  <c r="AG3"/>
  <c r="AH2"/>
  <c r="O2" s="1"/>
  <c r="R3"/>
  <c r="R2"/>
  <c r="N3"/>
  <c r="N2"/>
  <c r="AE4"/>
  <c r="AD4"/>
  <c r="AC4"/>
  <c r="AB4"/>
  <c r="J4"/>
  <c r="AI3"/>
  <c r="AH3"/>
  <c r="O3" s="1"/>
  <c r="AF3"/>
  <c r="AI2"/>
  <c r="AI4" i="162"/>
  <c r="AI3"/>
  <c r="AI2"/>
  <c r="AH2"/>
  <c r="AH3"/>
  <c r="O3" s="1"/>
  <c r="AG3"/>
  <c r="AF3"/>
  <c r="AG2"/>
  <c r="AF2"/>
  <c r="N3"/>
  <c r="R3" s="1"/>
  <c r="O2"/>
  <c r="AC4"/>
  <c r="AB4"/>
  <c r="AD4"/>
  <c r="AE4"/>
  <c r="G4" i="167" l="1"/>
  <c r="J4" s="1"/>
  <c r="AF4" i="163"/>
  <c r="AG4"/>
  <c r="O4"/>
  <c r="AI4"/>
  <c r="R4"/>
  <c r="AH4"/>
  <c r="N4"/>
  <c r="O4" i="162"/>
  <c r="N4"/>
  <c r="R2"/>
  <c r="R4" s="1"/>
  <c r="AG4"/>
  <c r="AF4"/>
  <c r="J4" l="1"/>
  <c r="J3" i="160"/>
  <c r="I2"/>
  <c r="AC2" i="161"/>
  <c r="N2" s="1"/>
  <c r="N3" s="1"/>
  <c r="M2"/>
  <c r="M3" s="1"/>
  <c r="J3" i="159"/>
  <c r="I2"/>
  <c r="Q6" i="157"/>
  <c r="N6"/>
  <c r="M6"/>
  <c r="AC6"/>
  <c r="I3" i="158"/>
  <c r="J5" s="1"/>
  <c r="I2"/>
  <c r="J4" s="1"/>
  <c r="I6" i="157"/>
  <c r="AC3"/>
  <c r="AG3" s="1"/>
  <c r="M3"/>
  <c r="Q3" s="1"/>
  <c r="AC2"/>
  <c r="AG2" s="1"/>
  <c r="M2"/>
  <c r="Q2" s="1"/>
  <c r="Q2" i="155"/>
  <c r="Q4" s="1"/>
  <c r="AC3"/>
  <c r="AC3" i="133"/>
  <c r="AC4" s="1"/>
  <c r="I2" i="156"/>
  <c r="J3" s="1"/>
  <c r="AC2" i="155"/>
  <c r="N2" s="1"/>
  <c r="M2"/>
  <c r="AC2" i="154"/>
  <c r="N2" s="1"/>
  <c r="N3" s="1"/>
  <c r="M2"/>
  <c r="M3" s="1"/>
  <c r="J3" i="153"/>
  <c r="I2"/>
  <c r="G3" i="152"/>
  <c r="J3" s="1"/>
  <c r="G2"/>
  <c r="I2" s="1"/>
  <c r="AC2" i="151"/>
  <c r="N2" s="1"/>
  <c r="N3" s="1"/>
  <c r="M2"/>
  <c r="M3" s="1"/>
  <c r="G3" i="150"/>
  <c r="J3" s="1"/>
  <c r="G2"/>
  <c r="I2" s="1"/>
  <c r="AC2" i="149"/>
  <c r="N2" s="1"/>
  <c r="N3" s="1"/>
  <c r="M2"/>
  <c r="Q2" s="1"/>
  <c r="Q3" s="1"/>
  <c r="AC6" i="135"/>
  <c r="N6"/>
  <c r="M6"/>
  <c r="I3" i="148"/>
  <c r="J5" s="1"/>
  <c r="I2"/>
  <c r="J4" s="1"/>
  <c r="Q4" i="133"/>
  <c r="I2" i="147"/>
  <c r="J3" s="1"/>
  <c r="I2" i="145"/>
  <c r="J3"/>
  <c r="G3" i="144"/>
  <c r="J3" s="1"/>
  <c r="G2"/>
  <c r="I2" s="1"/>
  <c r="G3" i="143"/>
  <c r="J3" s="1"/>
  <c r="G2"/>
  <c r="I2" s="1"/>
  <c r="AC2" i="142"/>
  <c r="N2" s="1"/>
  <c r="N3" s="1"/>
  <c r="M2"/>
  <c r="Q2" s="1"/>
  <c r="Q3" s="1"/>
  <c r="J3" i="141"/>
  <c r="I2"/>
  <c r="AC2" i="140"/>
  <c r="N2" s="1"/>
  <c r="N3" s="1"/>
  <c r="M2"/>
  <c r="Q2" s="1"/>
  <c r="Q3" s="1"/>
  <c r="M2" i="137"/>
  <c r="M3" s="1"/>
  <c r="AC2"/>
  <c r="N2" s="1"/>
  <c r="N3" s="1"/>
  <c r="J3" i="139"/>
  <c r="I2"/>
  <c r="J3" i="138"/>
  <c r="I2"/>
  <c r="I3" i="136"/>
  <c r="J5" s="1"/>
  <c r="I2"/>
  <c r="J4" s="1"/>
  <c r="I6" i="135"/>
  <c r="AC3"/>
  <c r="AH3" s="1"/>
  <c r="M3"/>
  <c r="Q3" s="1"/>
  <c r="AC2"/>
  <c r="AG2" s="1"/>
  <c r="M2"/>
  <c r="Q2" i="133"/>
  <c r="AH2"/>
  <c r="AG2"/>
  <c r="I2" i="134"/>
  <c r="J3" s="1"/>
  <c r="AC2" i="133"/>
  <c r="M2"/>
  <c r="N2" i="132"/>
  <c r="N3" s="1"/>
  <c r="M3"/>
  <c r="J3" i="131"/>
  <c r="I2"/>
  <c r="I6" i="130"/>
  <c r="AC3"/>
  <c r="N3" s="1"/>
  <c r="M3"/>
  <c r="Q3" s="1"/>
  <c r="AC2"/>
  <c r="N2" s="1"/>
  <c r="M2"/>
  <c r="I3" i="129"/>
  <c r="J5" s="1"/>
  <c r="I2"/>
  <c r="I4" i="127"/>
  <c r="AC3"/>
  <c r="N3" s="1"/>
  <c r="M3"/>
  <c r="Q3" s="1"/>
  <c r="AC2"/>
  <c r="N2" s="1"/>
  <c r="M2"/>
  <c r="I2" i="125"/>
  <c r="J3" s="1"/>
  <c r="J4" s="1"/>
  <c r="AC3" i="124"/>
  <c r="N3" s="1"/>
  <c r="J3" i="123"/>
  <c r="I2"/>
  <c r="M2" i="124"/>
  <c r="M4" s="1"/>
  <c r="AC2"/>
  <c r="N4" s="1"/>
  <c r="M2" i="122"/>
  <c r="M3" s="1"/>
  <c r="AC2"/>
  <c r="AC3" s="1"/>
  <c r="AC3" i="121"/>
  <c r="N3" s="1"/>
  <c r="M3"/>
  <c r="Q3" s="1"/>
  <c r="AC2"/>
  <c r="N2" s="1"/>
  <c r="N4" s="1"/>
  <c r="M2"/>
  <c r="Q2" s="1"/>
  <c r="Q4" s="1"/>
  <c r="I4" i="120"/>
  <c r="AC3"/>
  <c r="N3" s="1"/>
  <c r="M3"/>
  <c r="Q3" s="1"/>
  <c r="AC2"/>
  <c r="N2" s="1"/>
  <c r="M2"/>
  <c r="M4" s="1"/>
  <c r="G2" i="119"/>
  <c r="I2" s="1"/>
  <c r="G2" i="118"/>
  <c r="I2" s="1"/>
  <c r="I3" s="1"/>
  <c r="G3" i="117"/>
  <c r="J3" s="1"/>
  <c r="G2"/>
  <c r="I2" s="1"/>
  <c r="K3" i="116"/>
  <c r="I3" s="1"/>
  <c r="K2"/>
  <c r="I2" s="1"/>
  <c r="H4" i="115"/>
  <c r="G4"/>
  <c r="J4" s="1"/>
  <c r="I3"/>
  <c r="I2"/>
  <c r="J4" i="114"/>
  <c r="I3"/>
  <c r="I2"/>
  <c r="J3" i="113"/>
  <c r="I2"/>
  <c r="I4" i="112"/>
  <c r="AC3"/>
  <c r="N3" s="1"/>
  <c r="M3"/>
  <c r="Q3" s="1"/>
  <c r="AC2"/>
  <c r="N2" s="1"/>
  <c r="N4" s="1"/>
  <c r="M2"/>
  <c r="M4" s="1"/>
  <c r="G3" i="111"/>
  <c r="I3" s="1"/>
  <c r="I2"/>
  <c r="G3" i="110"/>
  <c r="J3" s="1"/>
  <c r="G2"/>
  <c r="I2" s="1"/>
  <c r="K3" i="109"/>
  <c r="I3" s="1"/>
  <c r="J4" s="1"/>
  <c r="K2"/>
  <c r="I2" s="1"/>
  <c r="J4" i="72"/>
  <c r="J3"/>
  <c r="I2"/>
  <c r="J4" i="76"/>
  <c r="J3"/>
  <c r="I2"/>
  <c r="I2" i="80"/>
  <c r="J3"/>
  <c r="J4"/>
  <c r="J4" i="96"/>
  <c r="J4" i="90"/>
  <c r="I3" i="108"/>
  <c r="I2"/>
  <c r="H4"/>
  <c r="J4" i="107"/>
  <c r="I3"/>
  <c r="I2"/>
  <c r="G2" i="106"/>
  <c r="I2" s="1"/>
  <c r="J3" s="1"/>
  <c r="G3" i="105"/>
  <c r="I3" s="1"/>
  <c r="J4" s="1"/>
  <c r="I2"/>
  <c r="AC4" i="65"/>
  <c r="N4"/>
  <c r="M4"/>
  <c r="Q4"/>
  <c r="Q3"/>
  <c r="Q2"/>
  <c r="N3"/>
  <c r="N2"/>
  <c r="M4" i="57"/>
  <c r="M2"/>
  <c r="M3"/>
  <c r="I4"/>
  <c r="M3" i="65"/>
  <c r="M2"/>
  <c r="AC2"/>
  <c r="J3" i="104"/>
  <c r="G3"/>
  <c r="G2"/>
  <c r="I2" s="1"/>
  <c r="I3" i="103"/>
  <c r="U2"/>
  <c r="U3" s="1"/>
  <c r="T2"/>
  <c r="T3" s="1"/>
  <c r="S2"/>
  <c r="S3" s="1"/>
  <c r="R2"/>
  <c r="AC2" s="1"/>
  <c r="M2"/>
  <c r="M3" s="1"/>
  <c r="G2" i="102"/>
  <c r="I2" s="1"/>
  <c r="G3" i="101"/>
  <c r="J3" s="1"/>
  <c r="G2"/>
  <c r="I2" s="1"/>
  <c r="G3" i="100"/>
  <c r="J3" s="1"/>
  <c r="G2"/>
  <c r="I2" s="1"/>
  <c r="J3" i="99"/>
  <c r="I2"/>
  <c r="J3" i="98"/>
  <c r="I2"/>
  <c r="I2" i="97"/>
  <c r="K3"/>
  <c r="I3" s="1"/>
  <c r="J4" s="1"/>
  <c r="K2"/>
  <c r="I3" i="96"/>
  <c r="I2"/>
  <c r="H4"/>
  <c r="G4"/>
  <c r="I3" i="95"/>
  <c r="I2"/>
  <c r="J4"/>
  <c r="J3" i="94"/>
  <c r="I2"/>
  <c r="I2" i="74"/>
  <c r="J3"/>
  <c r="AC2" i="39"/>
  <c r="AC2" i="35"/>
  <c r="G4" i="93"/>
  <c r="I4" s="1"/>
  <c r="J3"/>
  <c r="G3"/>
  <c r="G4" i="92"/>
  <c r="I4" s="1"/>
  <c r="G3"/>
  <c r="J3" s="1"/>
  <c r="I2" s="1"/>
  <c r="K4" i="91"/>
  <c r="J3" s="1"/>
  <c r="K3"/>
  <c r="J3" i="90"/>
  <c r="H2"/>
  <c r="G2"/>
  <c r="I2" s="1"/>
  <c r="J4" i="89"/>
  <c r="J3"/>
  <c r="I2"/>
  <c r="J3" i="88"/>
  <c r="I2"/>
  <c r="AC4" i="60"/>
  <c r="AC2"/>
  <c r="M2"/>
  <c r="M4" s="1"/>
  <c r="AC3"/>
  <c r="N3" s="1"/>
  <c r="Q3"/>
  <c r="M3"/>
  <c r="I4" i="87"/>
  <c r="J3"/>
  <c r="G4"/>
  <c r="I4" i="86"/>
  <c r="J3"/>
  <c r="I2" s="1"/>
  <c r="G4"/>
  <c r="G3"/>
  <c r="G4" i="85"/>
  <c r="I4" s="1"/>
  <c r="G3"/>
  <c r="J3" s="1"/>
  <c r="G3" i="84"/>
  <c r="J3" s="1"/>
  <c r="G4"/>
  <c r="I4" s="1"/>
  <c r="G4" i="83"/>
  <c r="J3"/>
  <c r="G3" i="82"/>
  <c r="J3" s="1"/>
  <c r="G2"/>
  <c r="I2" s="1"/>
  <c r="K4" i="81"/>
  <c r="J3" s="1"/>
  <c r="K3"/>
  <c r="H2" i="80"/>
  <c r="G2"/>
  <c r="J4" i="79"/>
  <c r="J3"/>
  <c r="I2"/>
  <c r="J3" i="78"/>
  <c r="I2"/>
  <c r="K4" i="77"/>
  <c r="J4" s="1"/>
  <c r="K3"/>
  <c r="AC4" i="45"/>
  <c r="AC3"/>
  <c r="N3" s="1"/>
  <c r="AC2"/>
  <c r="Q3"/>
  <c r="Q2"/>
  <c r="N2"/>
  <c r="M3"/>
  <c r="M2"/>
  <c r="H2" i="76"/>
  <c r="G2"/>
  <c r="J4" i="73"/>
  <c r="K4"/>
  <c r="J3" s="1"/>
  <c r="K3"/>
  <c r="M2" i="38"/>
  <c r="H2" i="72"/>
  <c r="G2"/>
  <c r="J4" i="71"/>
  <c r="J3"/>
  <c r="I2"/>
  <c r="M3" i="37"/>
  <c r="M2"/>
  <c r="J3" i="70"/>
  <c r="I2"/>
  <c r="AC2" i="69"/>
  <c r="N2" s="1"/>
  <c r="N3" s="1"/>
  <c r="M2"/>
  <c r="M3" s="1"/>
  <c r="AC2" i="46"/>
  <c r="AC3" i="68"/>
  <c r="N3" s="1"/>
  <c r="M2"/>
  <c r="Q2" s="1"/>
  <c r="AC2"/>
  <c r="N2" s="1"/>
  <c r="I4"/>
  <c r="M3"/>
  <c r="Q3" s="1"/>
  <c r="N4" i="66"/>
  <c r="M4"/>
  <c r="I3" i="67"/>
  <c r="U3"/>
  <c r="T3"/>
  <c r="S3"/>
  <c r="R3"/>
  <c r="I4"/>
  <c r="U2"/>
  <c r="U4" s="1"/>
  <c r="T2"/>
  <c r="T4" s="1"/>
  <c r="N2"/>
  <c r="M2"/>
  <c r="AL2" s="1"/>
  <c r="U4" i="66"/>
  <c r="T4"/>
  <c r="S4"/>
  <c r="R4"/>
  <c r="Q4"/>
  <c r="AC4"/>
  <c r="I3"/>
  <c r="AC3"/>
  <c r="AC2"/>
  <c r="U3"/>
  <c r="T3"/>
  <c r="S3"/>
  <c r="R3"/>
  <c r="Q2"/>
  <c r="AI2"/>
  <c r="N3"/>
  <c r="M3"/>
  <c r="I4"/>
  <c r="U2"/>
  <c r="T2"/>
  <c r="S2"/>
  <c r="R2"/>
  <c r="M2"/>
  <c r="N3" i="63"/>
  <c r="M3"/>
  <c r="N2"/>
  <c r="M2"/>
  <c r="Q2" s="1"/>
  <c r="U2"/>
  <c r="U3" s="1"/>
  <c r="T2"/>
  <c r="T3" s="1"/>
  <c r="I4" i="65"/>
  <c r="AC3"/>
  <c r="I3" i="63"/>
  <c r="I3" i="62"/>
  <c r="U2"/>
  <c r="U3" s="1"/>
  <c r="T2"/>
  <c r="T3" s="1"/>
  <c r="S2"/>
  <c r="R2"/>
  <c r="AC2" s="1"/>
  <c r="N2" s="1"/>
  <c r="N3" s="1"/>
  <c r="M2"/>
  <c r="Q2" s="1"/>
  <c r="S3"/>
  <c r="AC2" i="61"/>
  <c r="N2" s="1"/>
  <c r="N3" s="1"/>
  <c r="M2"/>
  <c r="M3" s="1"/>
  <c r="I4" i="60"/>
  <c r="AC4" i="59"/>
  <c r="I4" i="58"/>
  <c r="U3"/>
  <c r="T3"/>
  <c r="M3"/>
  <c r="Q3" s="1"/>
  <c r="U2"/>
  <c r="U4" s="1"/>
  <c r="T2"/>
  <c r="T4" s="1"/>
  <c r="M2"/>
  <c r="M4" s="1"/>
  <c r="U3" i="59"/>
  <c r="T3"/>
  <c r="S3"/>
  <c r="AC3" s="1"/>
  <c r="R3"/>
  <c r="U2"/>
  <c r="U4" s="1"/>
  <c r="T2"/>
  <c r="T4" s="1"/>
  <c r="S2"/>
  <c r="S4" s="1"/>
  <c r="R2"/>
  <c r="AC2" s="1"/>
  <c r="N3" i="67" l="1"/>
  <c r="M3"/>
  <c r="M3" i="124"/>
  <c r="AH4" i="162"/>
  <c r="AC3" i="161"/>
  <c r="Q2"/>
  <c r="Q3" s="1"/>
  <c r="N3" i="157"/>
  <c r="AH3"/>
  <c r="M5" s="1"/>
  <c r="J6" i="158"/>
  <c r="N2" i="157"/>
  <c r="AH2"/>
  <c r="AC5"/>
  <c r="N5"/>
  <c r="AC4" i="155"/>
  <c r="AH2"/>
  <c r="AG2"/>
  <c r="M3"/>
  <c r="M4" s="1"/>
  <c r="M3" i="133"/>
  <c r="M4" s="1"/>
  <c r="J4" i="156"/>
  <c r="N3" i="155"/>
  <c r="N4" s="1"/>
  <c r="AC3" i="154"/>
  <c r="Q2"/>
  <c r="Q3" s="1"/>
  <c r="AC3" i="151"/>
  <c r="Q2"/>
  <c r="Q3" s="1"/>
  <c r="AC3" i="149"/>
  <c r="M3"/>
  <c r="J6" i="148"/>
  <c r="J4" i="147"/>
  <c r="AC3" i="142"/>
  <c r="M3"/>
  <c r="M3" i="140"/>
  <c r="AC3"/>
  <c r="Q2" i="137"/>
  <c r="Q3" s="1"/>
  <c r="AC3"/>
  <c r="N2" i="135"/>
  <c r="AH2"/>
  <c r="M4" s="1"/>
  <c r="Q2"/>
  <c r="Q6" s="1"/>
  <c r="J6" i="136"/>
  <c r="M5" i="135"/>
  <c r="N5"/>
  <c r="AC5"/>
  <c r="AG3"/>
  <c r="N3"/>
  <c r="J4" i="134"/>
  <c r="N2" i="133"/>
  <c r="N3"/>
  <c r="N4" s="1"/>
  <c r="Q3" i="132"/>
  <c r="AG2" i="130"/>
  <c r="AG3"/>
  <c r="N6"/>
  <c r="M6"/>
  <c r="AH3"/>
  <c r="AH2"/>
  <c r="AC6"/>
  <c r="Q2"/>
  <c r="Q6" s="1"/>
  <c r="J4" i="129"/>
  <c r="J6" s="1"/>
  <c r="N4" i="127"/>
  <c r="M4"/>
  <c r="AC4"/>
  <c r="Q2"/>
  <c r="Q4" s="1"/>
  <c r="Q2" i="122"/>
  <c r="Q3" s="1"/>
  <c r="I3" i="102"/>
  <c r="I4"/>
  <c r="J4" i="91"/>
  <c r="I2" s="1"/>
  <c r="AC4" i="124"/>
  <c r="Q4"/>
  <c r="N2" i="122"/>
  <c r="N3" s="1"/>
  <c r="M4" i="121"/>
  <c r="AC4"/>
  <c r="N4" i="120"/>
  <c r="AC4"/>
  <c r="Q2"/>
  <c r="Q4" s="1"/>
  <c r="I4" i="119"/>
  <c r="I5"/>
  <c r="J3"/>
  <c r="I4" i="118"/>
  <c r="J5" s="1"/>
  <c r="J4" i="116"/>
  <c r="AC4" i="112"/>
  <c r="Q2"/>
  <c r="Q4" s="1"/>
  <c r="J4" i="111"/>
  <c r="J4" i="108"/>
  <c r="I4" i="106"/>
  <c r="I5"/>
  <c r="N2" i="103"/>
  <c r="N3" s="1"/>
  <c r="AC3"/>
  <c r="R3"/>
  <c r="Q2"/>
  <c r="Q3" s="1"/>
  <c r="J5" i="93"/>
  <c r="I2" s="1"/>
  <c r="J6"/>
  <c r="N2" i="60"/>
  <c r="N4" s="1"/>
  <c r="Q2"/>
  <c r="Q4" s="1"/>
  <c r="I2" i="87"/>
  <c r="J5" i="85"/>
  <c r="J6"/>
  <c r="I2" i="84"/>
  <c r="I4" i="83"/>
  <c r="I2" s="1"/>
  <c r="J4" i="81"/>
  <c r="I2" s="1"/>
  <c r="I2" i="73"/>
  <c r="J3" i="77"/>
  <c r="I2" s="1"/>
  <c r="AC3" i="69"/>
  <c r="Q2"/>
  <c r="Q3" s="1"/>
  <c r="Q4" i="68"/>
  <c r="N4"/>
  <c r="AC4"/>
  <c r="AC3" i="67"/>
  <c r="Q2"/>
  <c r="N2" i="66"/>
  <c r="M3" i="62"/>
  <c r="S2" i="63"/>
  <c r="R2"/>
  <c r="AC2" s="1"/>
  <c r="AC3" i="62"/>
  <c r="R3"/>
  <c r="Q3"/>
  <c r="AC3" i="61"/>
  <c r="Q2"/>
  <c r="Q3" s="1"/>
  <c r="R3" i="58"/>
  <c r="AC3" s="1"/>
  <c r="N3" s="1"/>
  <c r="S3"/>
  <c r="Q2"/>
  <c r="R4" i="59"/>
  <c r="I4"/>
  <c r="N3"/>
  <c r="M3"/>
  <c r="Q3" s="1"/>
  <c r="N2"/>
  <c r="M2"/>
  <c r="M4" s="1"/>
  <c r="Q2" i="57"/>
  <c r="AC2"/>
  <c r="N2" s="1"/>
  <c r="N4" s="1"/>
  <c r="AC3"/>
  <c r="N3" s="1"/>
  <c r="Q3"/>
  <c r="AC2" i="56"/>
  <c r="N2" s="1"/>
  <c r="N3" s="1"/>
  <c r="M2"/>
  <c r="Q2" s="1"/>
  <c r="Q3" s="1"/>
  <c r="I4" i="55"/>
  <c r="AC3"/>
  <c r="N3" s="1"/>
  <c r="M3"/>
  <c r="Q3" s="1"/>
  <c r="AC2"/>
  <c r="N2" s="1"/>
  <c r="M2"/>
  <c r="I4" i="54"/>
  <c r="AC3"/>
  <c r="N3" s="1"/>
  <c r="M3"/>
  <c r="Q3" s="1"/>
  <c r="AC2"/>
  <c r="N2" s="1"/>
  <c r="M2"/>
  <c r="J5" i="102" l="1"/>
  <c r="M4" i="157"/>
  <c r="N4"/>
  <c r="AC4"/>
  <c r="AC4" i="135"/>
  <c r="N4"/>
  <c r="AC5" i="130"/>
  <c r="M5"/>
  <c r="N5"/>
  <c r="AC4"/>
  <c r="N4"/>
  <c r="M4"/>
  <c r="I2" i="85"/>
  <c r="J6" i="119"/>
  <c r="J6" i="106"/>
  <c r="Q4" i="57"/>
  <c r="N4" i="54"/>
  <c r="M4"/>
  <c r="M4" i="55"/>
  <c r="Q4" i="67"/>
  <c r="R2"/>
  <c r="S2"/>
  <c r="S4" s="1"/>
  <c r="R2" i="58"/>
  <c r="S2"/>
  <c r="S4" s="1"/>
  <c r="Q4"/>
  <c r="N4" i="59"/>
  <c r="Q2"/>
  <c r="Q4" s="1"/>
  <c r="AC4" i="57"/>
  <c r="AC3" i="56"/>
  <c r="M3"/>
  <c r="N4" i="55"/>
  <c r="AC4"/>
  <c r="Q2"/>
  <c r="Q4" s="1"/>
  <c r="AC4" i="54"/>
  <c r="Q2"/>
  <c r="Q4" s="1"/>
  <c r="M4" i="67" l="1"/>
  <c r="N4"/>
  <c r="AC2"/>
  <c r="AC4" s="1"/>
  <c r="R4"/>
  <c r="AC2" i="58"/>
  <c r="R4"/>
  <c r="I4" i="53"/>
  <c r="AC3"/>
  <c r="N3" s="1"/>
  <c r="M3"/>
  <c r="Q3" s="1"/>
  <c r="AC2"/>
  <c r="N2" s="1"/>
  <c r="N4" s="1"/>
  <c r="M2"/>
  <c r="M4" s="1"/>
  <c r="AC4" l="1"/>
  <c r="N2" i="58"/>
  <c r="N4" s="1"/>
  <c r="AC4"/>
  <c r="Q2" i="53"/>
  <c r="Q4" s="1"/>
  <c r="AC2" i="52" l="1"/>
  <c r="N2" s="1"/>
  <c r="N3" s="1"/>
  <c r="M2"/>
  <c r="M3" s="1"/>
  <c r="AC2" i="51"/>
  <c r="N2" s="1"/>
  <c r="N3" s="1"/>
  <c r="M2"/>
  <c r="AC2" i="41"/>
  <c r="I4" i="50"/>
  <c r="M3" i="49"/>
  <c r="Q3" s="1"/>
  <c r="M2"/>
  <c r="Q2" s="1"/>
  <c r="AC3"/>
  <c r="N3" s="1"/>
  <c r="AC2"/>
  <c r="N2" s="1"/>
  <c r="I4"/>
  <c r="I4" i="48"/>
  <c r="AC3" i="46"/>
  <c r="M2"/>
  <c r="Q2" s="1"/>
  <c r="Q3" s="1"/>
  <c r="AC3" i="50"/>
  <c r="N3" s="1"/>
  <c r="M3"/>
  <c r="Q3" s="1"/>
  <c r="AC2"/>
  <c r="N2" s="1"/>
  <c r="M2"/>
  <c r="Q2" s="1"/>
  <c r="AC3" i="48"/>
  <c r="N3" s="1"/>
  <c r="M3"/>
  <c r="Q3" s="1"/>
  <c r="AC2"/>
  <c r="N2" s="1"/>
  <c r="M2"/>
  <c r="N4" i="50" l="1"/>
  <c r="Q4"/>
  <c r="AC4"/>
  <c r="M4"/>
  <c r="N4" i="48"/>
  <c r="M4"/>
  <c r="AC4"/>
  <c r="Q3" i="51"/>
  <c r="Q2"/>
  <c r="AC3" i="52"/>
  <c r="Q2"/>
  <c r="Q3" s="1"/>
  <c r="AC3" i="51"/>
  <c r="M3"/>
  <c r="N4" i="49"/>
  <c r="AC4"/>
  <c r="Q4"/>
  <c r="M4"/>
  <c r="N2" i="46"/>
  <c r="N3" s="1"/>
  <c r="Q2" i="48"/>
  <c r="Q4" s="1"/>
  <c r="M3" i="46"/>
  <c r="I4" i="45" l="1"/>
  <c r="M4"/>
  <c r="N4"/>
  <c r="Q4"/>
  <c r="AB4"/>
  <c r="AA4"/>
  <c r="AC3" i="40"/>
  <c r="N3" s="1"/>
  <c r="M3"/>
  <c r="Q3" s="1"/>
  <c r="AC2"/>
  <c r="N2" s="1"/>
  <c r="M2"/>
  <c r="Q2" s="1"/>
  <c r="AC3" i="38"/>
  <c r="N3" s="1"/>
  <c r="AC2"/>
  <c r="N2" s="1"/>
  <c r="I4"/>
  <c r="M3"/>
  <c r="Q3" s="1"/>
  <c r="Q2" i="37"/>
  <c r="AC3" i="44"/>
  <c r="AC2"/>
  <c r="N2"/>
  <c r="M2"/>
  <c r="Q2" s="1"/>
  <c r="I4" i="37"/>
  <c r="AC3"/>
  <c r="N3" s="1"/>
  <c r="AC2"/>
  <c r="N2" s="1"/>
  <c r="Q3"/>
  <c r="AC3" i="43"/>
  <c r="AC2"/>
  <c r="N2"/>
  <c r="M2"/>
  <c r="Q2" s="1"/>
  <c r="N2" i="35"/>
  <c r="N3" s="1"/>
  <c r="M2"/>
  <c r="AC2" i="42"/>
  <c r="AC3" s="1"/>
  <c r="N2"/>
  <c r="M2"/>
  <c r="Q2" s="1"/>
  <c r="M2" i="39"/>
  <c r="M2" i="41"/>
  <c r="M3" s="1"/>
  <c r="I4" i="40"/>
  <c r="AB4"/>
  <c r="AA4"/>
  <c r="N2" i="36"/>
  <c r="M2"/>
  <c r="Q2" s="1"/>
  <c r="N2" i="29"/>
  <c r="M2"/>
  <c r="Q2" s="1"/>
  <c r="O3" i="34"/>
  <c r="L3"/>
  <c r="K3"/>
  <c r="L2"/>
  <c r="K2"/>
  <c r="O2" s="1"/>
  <c r="N3" i="33"/>
  <c r="M3"/>
  <c r="Q3" s="1"/>
  <c r="M3" i="35" l="1"/>
  <c r="Q2"/>
  <c r="Q3" s="1"/>
  <c r="M3" i="39"/>
  <c r="Q2"/>
  <c r="Q3" s="1"/>
  <c r="AC3"/>
  <c r="N2"/>
  <c r="N3" s="1"/>
  <c r="AC4" i="38"/>
  <c r="AC4" i="43"/>
  <c r="AC4" i="44"/>
  <c r="N4" i="37"/>
  <c r="AC4"/>
  <c r="N2" i="41"/>
  <c r="N3" s="1"/>
  <c r="AC3"/>
  <c r="Q4" i="40"/>
  <c r="N4"/>
  <c r="M4"/>
  <c r="AC4"/>
  <c r="M4" i="38"/>
  <c r="N4"/>
  <c r="Q2"/>
  <c r="M4" i="37"/>
  <c r="AC3" i="35"/>
  <c r="Q2" i="41"/>
  <c r="Q3" s="1"/>
  <c r="Q5" i="32"/>
  <c r="N5"/>
  <c r="M5"/>
  <c r="N4"/>
  <c r="M4"/>
  <c r="Q4" s="1"/>
  <c r="N3" i="31"/>
  <c r="M3"/>
  <c r="Q3" s="1"/>
  <c r="F3" i="28"/>
  <c r="F2"/>
  <c r="Q3" i="63"/>
  <c r="S3" l="1"/>
  <c r="R3" l="1"/>
  <c r="AC3" l="1"/>
</calcChain>
</file>

<file path=xl/sharedStrings.xml><?xml version="1.0" encoding="utf-8"?>
<sst xmlns="http://schemas.openxmlformats.org/spreadsheetml/2006/main" count="5685" uniqueCount="429">
  <si>
    <t>ITEM_NAME</t>
  </si>
  <si>
    <t>CLASS</t>
  </si>
  <si>
    <t>SUBCLASS</t>
  </si>
  <si>
    <t>WAREHOUSE</t>
  </si>
  <si>
    <t>CONVENTION_FACTOR</t>
  </si>
  <si>
    <t>PURCHASE_UOM</t>
  </si>
  <si>
    <t>GL_ACC_NO</t>
  </si>
  <si>
    <t>GL_ACC_DESC</t>
  </si>
  <si>
    <t>CPC_CODE</t>
  </si>
  <si>
    <t>CPC_DESC</t>
  </si>
  <si>
    <t>GWL_ITEM - Serial</t>
  </si>
  <si>
    <t>RAW MATERIAL</t>
  </si>
  <si>
    <t>RAW MATERIALS</t>
  </si>
  <si>
    <t>FINISHED GOODS WH U100</t>
  </si>
  <si>
    <t>NOS</t>
  </si>
  <si>
    <t>FINISHED GOODS</t>
  </si>
  <si>
    <t>CPC-100000001</t>
  </si>
  <si>
    <t>GENERAL U-100</t>
  </si>
  <si>
    <t>GWL_ITEM_DISSIMILAR_UOM</t>
  </si>
  <si>
    <t>FG WAREHOUSE 100</t>
  </si>
  <si>
    <t>KGS</t>
  </si>
  <si>
    <t>GWL_SERVICES_02</t>
  </si>
  <si>
    <t>SERVICES</t>
  </si>
  <si>
    <t>PRODUCTION  100</t>
  </si>
  <si>
    <t>CHARGES ACCT</t>
  </si>
  <si>
    <t>ITEMID</t>
  </si>
  <si>
    <t>ITEM_DESCRIPTION</t>
  </si>
  <si>
    <t>UOM</t>
  </si>
  <si>
    <t>HSN_CODE</t>
  </si>
  <si>
    <t>TAX</t>
  </si>
  <si>
    <t>WH_DEPTNAME</t>
  </si>
  <si>
    <t>COST_BASIS</t>
  </si>
  <si>
    <t>STOCK_UOM</t>
  </si>
  <si>
    <t>CONVERSION_FACTOR</t>
  </si>
  <si>
    <t>CONTRACT_NO</t>
  </si>
  <si>
    <t>CONTRACT_PRFX</t>
  </si>
  <si>
    <t>CONTRACT_AMEND_NO</t>
  </si>
  <si>
    <t>PO_CLS_QTY</t>
  </si>
  <si>
    <t>RCM_CAT_ID</t>
  </si>
  <si>
    <t>GWL_ITEM_DISSIMILAR_UOM_DESC</t>
  </si>
  <si>
    <t>(740410)-18%</t>
  </si>
  <si>
    <t>User Defined</t>
  </si>
  <si>
    <t>GWL ITEM SERIAL</t>
  </si>
  <si>
    <t>(2022)</t>
  </si>
  <si>
    <t>User Defined Price</t>
  </si>
  <si>
    <t>GWL_SERVICES_02_DESCRIPTION</t>
  </si>
  <si>
    <t>EXPENSE DOCUMENT 3</t>
  </si>
  <si>
    <t>GWL_CHECKING_ST</t>
  </si>
  <si>
    <t>BICYCLES VARIANTS</t>
  </si>
  <si>
    <t>TWO WHEELER - AUTOMOBILES</t>
  </si>
  <si>
    <t>AURANGABAD DEPOT</t>
  </si>
  <si>
    <t>INVENTORY - FG</t>
  </si>
  <si>
    <t>U2L1L2L3L4L5L601</t>
  </si>
  <si>
    <t>GENERAL U2</t>
  </si>
  <si>
    <t>GWL_Item_Similar_02</t>
  </si>
  <si>
    <t xml:space="preserve">HK-NA-MAC-10001
</t>
  </si>
  <si>
    <t>HK-NOTAPPLICABLE-MAC-10001</t>
  </si>
  <si>
    <t>RAW MATERIAL WH U100</t>
  </si>
  <si>
    <t>INVENTORY - RAW MATERIAL</t>
  </si>
  <si>
    <t>HK-FIFO-SER-BATCH-10001</t>
  </si>
  <si>
    <t>HK-FIFO-SERIAL-BATCH-10001</t>
  </si>
  <si>
    <t>HK-LOT-FIFO-LOT-10001</t>
  </si>
  <si>
    <t>GWL_ITem_service_03</t>
  </si>
  <si>
    <t>PRODUCTION 100</t>
  </si>
  <si>
    <t>SBI CC 30498311798</t>
  </si>
  <si>
    <t>SUPL_UOM</t>
  </si>
  <si>
    <t>QUANTITY</t>
  </si>
  <si>
    <t>UNIT_COST</t>
  </si>
  <si>
    <t>LOT_SERIAL</t>
  </si>
  <si>
    <t>LOT_NUMBER</t>
  </si>
  <si>
    <t>SERIAL_NUMBER</t>
  </si>
  <si>
    <t>SERIAL</t>
  </si>
  <si>
    <t>RM1</t>
  </si>
  <si>
    <t>LOT</t>
  </si>
  <si>
    <t>RM</t>
  </si>
  <si>
    <t>RMG</t>
  </si>
  <si>
    <t>HK-NA-MAC-10001</t>
  </si>
  <si>
    <t>NA</t>
  </si>
  <si>
    <t>Stock_Transfer_Item</t>
  </si>
  <si>
    <t>QTY</t>
  </si>
  <si>
    <t>UnitCost</t>
  </si>
  <si>
    <t>TVS FG-MAC-NA-USER DEFINED</t>
  </si>
  <si>
    <t>TVS-FG-00015</t>
  </si>
  <si>
    <t>RateContractItem</t>
  </si>
  <si>
    <t>Quantity</t>
  </si>
  <si>
    <t>DiscountPercentage</t>
  </si>
  <si>
    <t>PK-SER-MAC-10001</t>
  </si>
  <si>
    <t>RMS</t>
  </si>
  <si>
    <t>PK-LOT-MAC-10001</t>
  </si>
  <si>
    <t>RML</t>
  </si>
  <si>
    <t>PK-NA-MAC-10001</t>
  </si>
  <si>
    <t xml:space="preserve">ITEM_ID </t>
  </si>
  <si>
    <t>ITEM_REV</t>
  </si>
  <si>
    <t>ITEM_DESC</t>
  </si>
  <si>
    <t>SALE_UOM</t>
  </si>
  <si>
    <t>TAX_PCT</t>
  </si>
  <si>
    <t>PRICE_BASIS_TYPE</t>
  </si>
  <si>
    <t>CATALOG_PRICELIST_NO</t>
  </si>
  <si>
    <t>CONV_FACT</t>
  </si>
  <si>
    <t>TOLERANCE_TYPE</t>
  </si>
  <si>
    <t>CUST_ITEM_ID</t>
  </si>
  <si>
    <t>CUST_ITEM_DESC</t>
  </si>
  <si>
    <t>WAREHOUSE_DESC</t>
  </si>
  <si>
    <t>SUB_CLASS</t>
  </si>
  <si>
    <t>PRICECLASS</t>
  </si>
  <si>
    <t>PROMOTIONAL</t>
  </si>
  <si>
    <t>HK-FIFO-LOT-BATCH-10001(FG)</t>
  </si>
  <si>
    <t>Item Level</t>
  </si>
  <si>
    <t>DOMESTIC</t>
  </si>
  <si>
    <t>Sales Regular</t>
  </si>
  <si>
    <t>HK-FG-DISSIMILAR-10001</t>
  </si>
  <si>
    <t>HK-SER-MAC-10001(FG)</t>
  </si>
  <si>
    <t>Standard Price</t>
  </si>
  <si>
    <t>HK-FG-STD-PRICE-DISSIMILAR ITEM-10001</t>
  </si>
  <si>
    <t>HK-LOT-MAC-10001(FG)</t>
  </si>
  <si>
    <t>Open Order</t>
  </si>
  <si>
    <t>OPSO1/00094/24-25</t>
  </si>
  <si>
    <t>HK-FG-RC-DISSIMILAR ITEM-10001</t>
  </si>
  <si>
    <t>OPSO1/00114/24-25</t>
  </si>
  <si>
    <t>HK-FIFO-SER-BATCH-10001(FG)</t>
  </si>
  <si>
    <t>(2022)5%</t>
  </si>
  <si>
    <t>Catalog</t>
  </si>
  <si>
    <t>HK-FG-CATALOG-DISSIMILAR-10001</t>
  </si>
  <si>
    <t>HK-LOT-FIFO-LOT-10001(FG)</t>
  </si>
  <si>
    <t>Price List</t>
  </si>
  <si>
    <t>HK-FG-PRICELIST-DISSIMILAR UOM-10001</t>
  </si>
  <si>
    <t>HK-TVS-SCRAP-10001</t>
  </si>
  <si>
    <t>SCRAP</t>
  </si>
  <si>
    <t>TVS-SER-10001</t>
  </si>
  <si>
    <t>SERVICE ITEM 10001</t>
  </si>
  <si>
    <t>PRO-10001</t>
  </si>
  <si>
    <t>PROMOTIONAL ITEM - 10001</t>
  </si>
  <si>
    <t>Promotional</t>
  </si>
  <si>
    <t>HK-USRDFN-10001</t>
  </si>
  <si>
    <t>HK-USERDEFINED-10001</t>
  </si>
  <si>
    <t>0074</t>
  </si>
  <si>
    <t>HK-TVS-FG-10001</t>
  </si>
  <si>
    <t>MTON</t>
  </si>
  <si>
    <t>.0001</t>
  </si>
  <si>
    <t>HK-TVS-FG-10002</t>
  </si>
  <si>
    <t>CUST_ID</t>
  </si>
  <si>
    <t>CUST_DESC</t>
  </si>
  <si>
    <t>GST_TYPE</t>
  </si>
  <si>
    <t>SALES_GST_TYPE</t>
  </si>
  <si>
    <t>GST_CLASSIFICATION</t>
  </si>
  <si>
    <t>CUST_PRINT_NAME</t>
  </si>
  <si>
    <t>SALES_ZONE</t>
  </si>
  <si>
    <t>SALES_REGION</t>
  </si>
  <si>
    <t>CUST_SUB_GRP</t>
  </si>
  <si>
    <t>CUST_GRP</t>
  </si>
  <si>
    <t>SALES_PERSON</t>
  </si>
  <si>
    <t>CUS0015</t>
  </si>
  <si>
    <t>MURUGAN TRADERS</t>
  </si>
  <si>
    <t>Unregistered</t>
  </si>
  <si>
    <t>Inter-State</t>
  </si>
  <si>
    <t>Union Territory</t>
  </si>
  <si>
    <t>NORTH</t>
  </si>
  <si>
    <t>INTERSTATE</t>
  </si>
  <si>
    <t>BPCL</t>
  </si>
  <si>
    <t>SUNDRY DEBTORS-PART</t>
  </si>
  <si>
    <t>VIJAIKUMAR</t>
  </si>
  <si>
    <t>CU0060</t>
  </si>
  <si>
    <t>FRANCE FOREIGN TRADERS</t>
  </si>
  <si>
    <t>Export</t>
  </si>
  <si>
    <t>EXPORT</t>
  </si>
  <si>
    <t>AASHIRVAD AUTOTECH - PART</t>
  </si>
  <si>
    <t>CUS10002</t>
  </si>
  <si>
    <t>ARUN PVT LTD.</t>
  </si>
  <si>
    <t>Registered</t>
  </si>
  <si>
    <t>Local</t>
  </si>
  <si>
    <t>MADURAI</t>
  </si>
  <si>
    <t>LOCAL</t>
  </si>
  <si>
    <t>SUNDRY DEBTORS - RAW MATERIALS</t>
  </si>
  <si>
    <t>HARIHARAN</t>
  </si>
  <si>
    <t>CUS10005</t>
  </si>
  <si>
    <t>CHENNAI SEZ</t>
  </si>
  <si>
    <t>SEZ-Unit</t>
  </si>
  <si>
    <t>CHENNAI</t>
  </si>
  <si>
    <t>SOUTH</t>
  </si>
  <si>
    <t>HK-CUS-001</t>
  </si>
  <si>
    <t>HARI TRADERS</t>
  </si>
  <si>
    <t>TAMILNADU</t>
  </si>
  <si>
    <t>LOCATION_ID</t>
  </si>
  <si>
    <t>UNIT</t>
  </si>
  <si>
    <t>CUSTOMER_ID</t>
  </si>
  <si>
    <t>CUSTOMER_NAME</t>
  </si>
  <si>
    <t>OSO_NO</t>
  </si>
  <si>
    <t>L100</t>
  </si>
  <si>
    <t>U100</t>
  </si>
  <si>
    <t>OPSO1/00092/24-25</t>
  </si>
  <si>
    <t>L0001</t>
  </si>
  <si>
    <t>U1</t>
  </si>
  <si>
    <t>C010</t>
  </si>
  <si>
    <t>MAHESH TRADERS</t>
  </si>
  <si>
    <t>OSOD-2425-00240</t>
  </si>
  <si>
    <t>L30</t>
  </si>
  <si>
    <t>U30</t>
  </si>
  <si>
    <t>CUS0007</t>
  </si>
  <si>
    <t>ARGOMM S.P.A -EXPORT</t>
  </si>
  <si>
    <t>OSO30-2425-00005</t>
  </si>
  <si>
    <t>Customer_Name</t>
  </si>
  <si>
    <t>Currency</t>
  </si>
  <si>
    <t>SI_Type</t>
  </si>
  <si>
    <t>Loc_Id</t>
  </si>
  <si>
    <t>Unit</t>
  </si>
  <si>
    <t>GST_Classification</t>
  </si>
  <si>
    <t>GST_Type</t>
  </si>
  <si>
    <t>INR</t>
  </si>
  <si>
    <t>SI - GENERAL</t>
  </si>
  <si>
    <t>USD</t>
  </si>
  <si>
    <t>AJK ENTERPRISES</t>
  </si>
  <si>
    <t>PANDI PVT. LTD</t>
  </si>
  <si>
    <t>PRAKASH PVT. LTD.</t>
  </si>
  <si>
    <t>INKSPLASH PRINTING</t>
  </si>
  <si>
    <t>SI - FREE SAMPLE</t>
  </si>
  <si>
    <t>MALAR TRADERS</t>
  </si>
  <si>
    <t>SI - FREE REPLACEMENT</t>
  </si>
  <si>
    <t>URBAN ENTERPRISES</t>
  </si>
  <si>
    <t>SI - SCRAP</t>
  </si>
  <si>
    <t>GANESH ENTERPRISE</t>
  </si>
  <si>
    <t>SI - SERVICE</t>
  </si>
  <si>
    <t>SAI ENTERPRISE06</t>
  </si>
  <si>
    <t>LOC49</t>
  </si>
  <si>
    <t>L3</t>
  </si>
  <si>
    <t>WEGA ASSOCIATES</t>
  </si>
  <si>
    <t>Item</t>
  </si>
  <si>
    <t>WareHouse</t>
  </si>
  <si>
    <t>GWL_ITEM_STOCK_01</t>
  </si>
  <si>
    <t>RM KD</t>
  </si>
  <si>
    <t>GWL_ITEM_STOCK_04</t>
  </si>
  <si>
    <t>GWL_ITEM_STOCK_06</t>
  </si>
  <si>
    <t>GWL_ITEM_STOCK_07</t>
  </si>
  <si>
    <t>RateContrac_Ser_tItem</t>
  </si>
  <si>
    <t>PK-SERV-MAC-NA-01</t>
  </si>
  <si>
    <t>PricelistItem</t>
  </si>
  <si>
    <t>TVS-RM-KDK-26</t>
  </si>
  <si>
    <t>TVS-RM-KDK-25</t>
  </si>
  <si>
    <t>TVS-SIM-257793</t>
  </si>
  <si>
    <t>TVS-SIM-395809</t>
  </si>
  <si>
    <t>PriceList_Ser_tItem</t>
  </si>
  <si>
    <t>TVS-SER-10005</t>
  </si>
  <si>
    <t>TVS-SIM-599803</t>
  </si>
  <si>
    <t>TVS-SIM-050035</t>
  </si>
  <si>
    <t>JJ AUTOMOBILES</t>
  </si>
  <si>
    <t>HK-LOT-MAC-10001</t>
  </si>
  <si>
    <t>F100</t>
  </si>
  <si>
    <t>Stock Cost</t>
  </si>
  <si>
    <t>Line Amount</t>
  </si>
  <si>
    <t>13.27173</t>
  </si>
  <si>
    <t>84.75</t>
  </si>
  <si>
    <t>Unit Cost</t>
  </si>
  <si>
    <t>84.74822</t>
  </si>
  <si>
    <t>13.27</t>
  </si>
  <si>
    <t>SNO</t>
  </si>
  <si>
    <t>GL ACCOUNT DESC</t>
  </si>
  <si>
    <t>PARTY NAME</t>
  </si>
  <si>
    <t>ENTITY</t>
  </si>
  <si>
    <t>CPC DESC</t>
  </si>
  <si>
    <t>PAY AMOUNT</t>
  </si>
  <si>
    <t>BILL DOC NUMBER</t>
  </si>
  <si>
    <t>DR./CR</t>
  </si>
  <si>
    <t>CURCY</t>
  </si>
  <si>
    <t>EX.RATE</t>
  </si>
  <si>
    <t>BASE CURRENCY</t>
  </si>
  <si>
    <t>HSN CODE</t>
  </si>
  <si>
    <t>TAX PERCENTAGE</t>
  </si>
  <si>
    <t>ASSESABLE VALUE</t>
  </si>
  <si>
    <t>CGST</t>
  </si>
  <si>
    <t>SGST</t>
  </si>
  <si>
    <t>IGST</t>
  </si>
  <si>
    <t>UTGST</t>
  </si>
  <si>
    <t>CESS PERCENTAGE</t>
  </si>
  <si>
    <t>CESS AMOUNT</t>
  </si>
  <si>
    <t>TRANS CURRENCY</t>
  </si>
  <si>
    <t>TVSA</t>
  </si>
  <si>
    <t>00123</t>
  </si>
  <si>
    <t>DR</t>
  </si>
  <si>
    <t>SUPPLIER ID</t>
  </si>
  <si>
    <t>SUPPLIER NAME</t>
  </si>
  <si>
    <t>SHEETNAME</t>
  </si>
  <si>
    <t>SUP00124</t>
  </si>
  <si>
    <t>DirectGrnGenUD</t>
  </si>
  <si>
    <t>DirectGrnGenUDLocal</t>
  </si>
  <si>
    <t>TAX-FJH</t>
  </si>
  <si>
    <t>HARIKRISH PVT LTD</t>
  </si>
  <si>
    <t>HARIKRISH PVT LTD(AP)</t>
  </si>
  <si>
    <t>00256</t>
  </si>
  <si>
    <t>PARTY ID</t>
  </si>
  <si>
    <t>DirectGrnGenUDLocalMulti</t>
  </si>
  <si>
    <t>DirectGrnGenUDMulti</t>
  </si>
  <si>
    <t>00768</t>
  </si>
  <si>
    <t>MURUGAN TRADERS(AR)</t>
  </si>
  <si>
    <t>DOC TYPE</t>
  </si>
  <si>
    <t>BILL NUMBER</t>
  </si>
  <si>
    <t>BILL DATE</t>
  </si>
  <si>
    <t>BILL AMOUNT</t>
  </si>
  <si>
    <t>TAX AMT</t>
  </si>
  <si>
    <t>PB DOC NUMBER</t>
  </si>
  <si>
    <t>Supplier Bill</t>
  </si>
  <si>
    <t>BRSPSI</t>
  </si>
  <si>
    <t>HARI TRADERS(AR)</t>
  </si>
  <si>
    <t>00689</t>
  </si>
  <si>
    <t>BRSPMI</t>
  </si>
  <si>
    <t>CR</t>
  </si>
  <si>
    <t>Location</t>
  </si>
  <si>
    <t>Lines DR./CR</t>
  </si>
  <si>
    <t>Pending DR./CR</t>
  </si>
  <si>
    <t>Invoice 1</t>
  </si>
  <si>
    <t>Invoice 2</t>
  </si>
  <si>
    <t>Sum Of Both Invoices</t>
  </si>
  <si>
    <t>0</t>
  </si>
  <si>
    <t>BRSPSIE</t>
  </si>
  <si>
    <t>81</t>
  </si>
  <si>
    <t>Amt In TC</t>
  </si>
  <si>
    <t>Amt In BC</t>
  </si>
  <si>
    <t>CUS200112</t>
  </si>
  <si>
    <t>ROAU</t>
  </si>
  <si>
    <t>JJ AUTOMOBILES (AP)</t>
  </si>
  <si>
    <t>MURUGAN TRADERS (AR)</t>
  </si>
  <si>
    <t>1</t>
  </si>
  <si>
    <t>HARI TRADERS (AR)</t>
  </si>
  <si>
    <t>FRANCE FOREIGN TRADERS (AR)</t>
  </si>
  <si>
    <t>WEGA ASSOCIATES (AR)</t>
  </si>
  <si>
    <t>TAX-FKI</t>
  </si>
  <si>
    <t>DEVA PRIVATE LTD</t>
  </si>
  <si>
    <t>DEVA PRIVATE LTD(AP)</t>
  </si>
  <si>
    <t>00467</t>
  </si>
  <si>
    <t>Purchase Bills 1</t>
  </si>
  <si>
    <t>Purchase Bills 2</t>
  </si>
  <si>
    <t>Sum Of Both Purchase Bills</t>
  </si>
  <si>
    <t>00469</t>
  </si>
  <si>
    <t>SUP10388</t>
  </si>
  <si>
    <t>AFT PRIVATE LIMITED</t>
  </si>
  <si>
    <t>AFT PRIVATE LIMITED(AP)</t>
  </si>
  <si>
    <t>DirectGrnGenUDIMP</t>
  </si>
  <si>
    <t>BANK CHARGES</t>
  </si>
  <si>
    <t>Charges Flag</t>
  </si>
  <si>
    <t>N</t>
  </si>
  <si>
    <t>Y</t>
  </si>
  <si>
    <t>GERERAL</t>
  </si>
  <si>
    <t>ADMINISTRATION EXPENSES</t>
  </si>
  <si>
    <t>INTEREST INCOME ON LOAN</t>
  </si>
  <si>
    <t>00856</t>
  </si>
  <si>
    <t>Cr.</t>
  </si>
  <si>
    <t>Dr.</t>
  </si>
  <si>
    <t>HARITRADERS</t>
  </si>
  <si>
    <t>34AWPPH5612QIJY</t>
  </si>
  <si>
    <t>GSTIN</t>
  </si>
  <si>
    <t>GST SUPPLIER NAME</t>
  </si>
  <si>
    <t>194C(TDS)</t>
  </si>
  <si>
    <t>TDS %</t>
  </si>
  <si>
    <t>TDS AMT</t>
  </si>
  <si>
    <t>GL ACCOUNT NUMBER</t>
  </si>
  <si>
    <t>CPC CODE</t>
  </si>
  <si>
    <t>DEBIT</t>
  </si>
  <si>
    <t>CREDIT</t>
  </si>
  <si>
    <t>STATE BANK OF INDIA - 30305325953</t>
  </si>
  <si>
    <t>Document 1</t>
  </si>
  <si>
    <t>Document 2</t>
  </si>
  <si>
    <t>NEW REF</t>
  </si>
  <si>
    <t>110</t>
  </si>
  <si>
    <t>JP MORGAN CHASE(BANK)</t>
  </si>
  <si>
    <t>INPUT CGST - 9%</t>
  </si>
  <si>
    <t>INPUT SGST - 9%</t>
  </si>
  <si>
    <t>1650</t>
  </si>
  <si>
    <t>CASHIER-10001(CASH)</t>
  </si>
  <si>
    <t>HARI ENTERPRISES(AP)</t>
  </si>
  <si>
    <t>HK1609</t>
  </si>
  <si>
    <t>HARI ENTERPRISES</t>
  </si>
  <si>
    <t>85</t>
  </si>
  <si>
    <t>666.3</t>
  </si>
  <si>
    <t>DirectGrnGenUD50</t>
  </si>
  <si>
    <t>L52</t>
  </si>
  <si>
    <t>U50</t>
  </si>
  <si>
    <t>HARI AUTOMOBILES(AP)</t>
  </si>
  <si>
    <t>HARI AUTOMOBILES</t>
  </si>
  <si>
    <t>HKSUP0001</t>
  </si>
  <si>
    <t>Purchase Order 1</t>
  </si>
  <si>
    <t>Purchase Order 2</t>
  </si>
  <si>
    <t>194C</t>
  </si>
  <si>
    <t>221.25</t>
  </si>
  <si>
    <t>PRAVEEN AUTOMOBILES(AP)</t>
  </si>
  <si>
    <t>PRVSUP0001</t>
  </si>
  <si>
    <t>PRAVEEN AUTOMOBILES</t>
  </si>
  <si>
    <t>DirectPOAdv</t>
  </si>
  <si>
    <t>TDS</t>
  </si>
  <si>
    <t>194Q</t>
  </si>
  <si>
    <t>194Q TDS</t>
  </si>
  <si>
    <t>TAX DEDUCTED AT SOURCE ON PURCHASE OF GOODS</t>
  </si>
  <si>
    <t>TDS SOURCE ACC</t>
  </si>
  <si>
    <t>TDS SOURCE %</t>
  </si>
  <si>
    <t>TDS SOURCE ASSL VALUE</t>
  </si>
  <si>
    <t>TDS SOURCE AMT</t>
  </si>
  <si>
    <t>00124</t>
  </si>
  <si>
    <t>00125</t>
  </si>
  <si>
    <t>00126</t>
  </si>
  <si>
    <t>Charges</t>
  </si>
  <si>
    <t>MAERSK SEALAND(AP)</t>
  </si>
  <si>
    <t>HKIMPSUP01</t>
  </si>
  <si>
    <t>MAERSK SEALAND</t>
  </si>
  <si>
    <t>HKSUP0003</t>
  </si>
  <si>
    <t>HKSUP0004</t>
  </si>
  <si>
    <t>KOWSHIKAN AUTOMOBILES</t>
  </si>
  <si>
    <t>VIMAL AUTOMOBILES</t>
  </si>
  <si>
    <t>KOWSHIKAN AUTOMOBILES(AP)</t>
  </si>
  <si>
    <t>VIMAL AUTOMOBILES(AP)</t>
  </si>
  <si>
    <t>PO ADV 1</t>
  </si>
  <si>
    <t>PO ADV 2</t>
  </si>
  <si>
    <t>PO AMT 1</t>
  </si>
  <si>
    <t>PO AMT 2</t>
  </si>
  <si>
    <t>Sum Of Both Advance Doc</t>
  </si>
  <si>
    <t>Sum Of Both Bills</t>
  </si>
  <si>
    <t>PEND AMT 1</t>
  </si>
  <si>
    <t>PEND AMT 2</t>
  </si>
  <si>
    <t>GRN SHEETNAME</t>
  </si>
  <si>
    <t>PO SHEETNAME</t>
  </si>
  <si>
    <t>885</t>
  </si>
  <si>
    <t>HKIMPSUP02</t>
  </si>
  <si>
    <t>EVERGREEN MARINE CORPORATION</t>
  </si>
  <si>
    <t>DirectPOIMPAdv</t>
  </si>
  <si>
    <t>EVERGREEN MARINE CORPORATION(AP)</t>
  </si>
  <si>
    <t>187.5</t>
  </si>
  <si>
    <t>750</t>
  </si>
  <si>
    <t>KCG PRIVATE LIMITED(AP)</t>
  </si>
  <si>
    <t>HKIMPSUP04</t>
  </si>
  <si>
    <t>KCG PRIVATE LIMITED</t>
  </si>
  <si>
    <t>56.46</t>
  </si>
  <si>
    <t>UNRELIZED GAIN/LOSS</t>
  </si>
  <si>
    <t>26550</t>
  </si>
</sst>
</file>

<file path=xl/styles.xml><?xml version="1.0" encoding="utf-8"?>
<styleSheet xmlns="http://schemas.openxmlformats.org/spreadsheetml/2006/main">
  <numFmts count="0"/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sz val="9"/>
      <color rgb="FF262626"/>
      <name val="Arial"/>
      <family val="2"/>
    </font>
    <font>
      <sz val="10"/>
      <color rgb="FF262626"/>
      <name val="Times New Roman"/>
      <family val="1"/>
    </font>
    <font>
      <sz val="8"/>
      <color theme="1"/>
      <name val="Times New Roman"/>
      <family val="1"/>
    </font>
    <font>
      <b/>
      <i/>
      <sz val="9"/>
      <color theme="1"/>
      <name val="Consolas"/>
      <family val="3"/>
    </font>
    <font>
      <sz val="8"/>
      <color rgb="FF262626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81">
    <xf numFmtId="0" fontId="0" fillId="0" borderId="0" xfId="0">
      <alignment vertical="center"/>
    </xf>
    <xf numFmtId="0" fontId="0" fillId="0" borderId="1" xfId="0" applyBorder="1">
      <alignment vertical="center"/>
    </xf>
    <xf numFmtId="0" fontId="2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0" fillId="0" borderId="1" xfId="0" applyFont="1" applyBorder="1">
      <alignment vertical="center"/>
    </xf>
    <xf numFmtId="0" fontId="23" fillId="0" borderId="1" xfId="2" applyFont="1" applyBorder="1" applyAlignment="1">
      <alignment vertical="center"/>
    </xf>
    <xf numFmtId="0" fontId="23" fillId="0" borderId="1" xfId="1" applyFont="1" applyFill="1" applyBorder="1" applyAlignment="1">
      <alignment vertical="center"/>
    </xf>
    <xf numFmtId="0" fontId="24" fillId="0" borderId="0" xfId="0" applyFont="1">
      <alignment vertical="center"/>
    </xf>
    <xf numFmtId="0" fontId="0" fillId="0" borderId="1" xfId="2" applyFont="1" applyBorder="1">
      <alignment vertical="center"/>
    </xf>
    <xf numFmtId="0" fontId="25" fillId="0" borderId="1" xfId="2" applyBorder="1">
      <alignment vertical="center"/>
    </xf>
    <xf numFmtId="0" fontId="0" fillId="2" borderId="1" xfId="0" applyFill="1" applyBorder="1">
      <alignment vertical="center"/>
    </xf>
    <xf numFmtId="0" fontId="0" fillId="2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24" fillId="0" borderId="1" xfId="0" applyFont="1" applyFill="1" applyBorder="1">
      <alignment vertical="center"/>
    </xf>
    <xf numFmtId="0" fontId="24" fillId="3" borderId="1" xfId="0" applyFont="1" applyFill="1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Fill="1" applyBorder="1">
      <alignment vertical="center"/>
    </xf>
    <xf numFmtId="0" fontId="0" fillId="0" borderId="1" xfId="0" applyBorder="1" applyAlignment="1"/>
    <xf numFmtId="0" fontId="25" fillId="0" borderId="1" xfId="0" applyFont="1" applyBorder="1">
      <alignment vertical="center"/>
    </xf>
    <xf numFmtId="49" fontId="0" fillId="0" borderId="1" xfId="0" applyNumberFormat="1" applyFont="1" applyFill="1" applyBorder="1" applyAlignment="1"/>
    <xf numFmtId="49" fontId="0" fillId="0" borderId="1" xfId="0" applyNumberFormat="1" applyBorder="1">
      <alignment vertical="center"/>
    </xf>
    <xf numFmtId="0" fontId="26" fillId="0" borderId="1" xfId="0" applyFont="1" applyBorder="1">
      <alignment vertical="center"/>
    </xf>
    <xf numFmtId="0" fontId="0" fillId="0" borderId="0" xfId="0" applyBorder="1">
      <alignment vertical="center"/>
    </xf>
    <xf numFmtId="0" fontId="27" fillId="0" borderId="1" xfId="0" applyFont="1" applyBorder="1" applyAlignment="1">
      <alignment vertical="center"/>
    </xf>
    <xf numFmtId="49" fontId="23" fillId="0" borderId="1" xfId="0" applyNumberFormat="1" applyFont="1" applyBorder="1" applyAlignment="1">
      <alignment vertical="center"/>
    </xf>
    <xf numFmtId="0" fontId="26" fillId="0" borderId="0" xfId="0" applyFont="1">
      <alignment vertical="center"/>
    </xf>
    <xf numFmtId="0" fontId="23" fillId="0" borderId="1" xfId="1" applyFont="1" applyBorder="1" applyAlignment="1">
      <alignment vertical="center"/>
    </xf>
    <xf numFmtId="0" fontId="27" fillId="0" borderId="1" xfId="1" applyFont="1" applyBorder="1" applyAlignment="1">
      <alignment vertical="center"/>
    </xf>
    <xf numFmtId="0" fontId="28" fillId="0" borderId="0" xfId="0" applyFont="1" applyAlignment="1">
      <alignment horizontal="justify" vertical="center"/>
    </xf>
    <xf numFmtId="0" fontId="29" fillId="4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1" fillId="0" borderId="0" xfId="0" applyFont="1">
      <alignment vertical="center"/>
    </xf>
    <xf numFmtId="0" fontId="21" fillId="0" borderId="1" xfId="0" applyFont="1" applyBorder="1">
      <alignment vertical="center"/>
    </xf>
    <xf numFmtId="0" fontId="22" fillId="0" borderId="2" xfId="0" applyFont="1" applyFill="1" applyBorder="1" applyAlignment="1">
      <alignment horizontal="center" vertical="center"/>
    </xf>
    <xf numFmtId="0" fontId="32" fillId="5" borderId="1" xfId="0" applyFont="1" applyFill="1" applyBorder="1">
      <alignment vertical="center"/>
    </xf>
    <xf numFmtId="0" fontId="20" fillId="0" borderId="1" xfId="0" applyFont="1" applyBorder="1">
      <alignment vertical="center"/>
    </xf>
    <xf numFmtId="0" fontId="19" fillId="0" borderId="1" xfId="0" applyFont="1" applyBorder="1">
      <alignment vertical="center"/>
    </xf>
    <xf numFmtId="0" fontId="32" fillId="5" borderId="2" xfId="0" applyFont="1" applyFill="1" applyBorder="1">
      <alignment vertical="center"/>
    </xf>
    <xf numFmtId="0" fontId="0" fillId="0" borderId="3" xfId="0" applyBorder="1">
      <alignment vertical="center"/>
    </xf>
    <xf numFmtId="0" fontId="18" fillId="0" borderId="3" xfId="0" applyFont="1" applyBorder="1">
      <alignment vertical="center"/>
    </xf>
    <xf numFmtId="0" fontId="19" fillId="0" borderId="3" xfId="0" applyFont="1" applyBorder="1">
      <alignment vertical="center"/>
    </xf>
    <xf numFmtId="49" fontId="0" fillId="0" borderId="3" xfId="0" applyNumberFormat="1" applyBorder="1">
      <alignment vertical="center"/>
    </xf>
    <xf numFmtId="0" fontId="20" fillId="0" borderId="3" xfId="0" applyFont="1" applyBorder="1">
      <alignment vertical="center"/>
    </xf>
    <xf numFmtId="0" fontId="32" fillId="5" borderId="3" xfId="0" applyFont="1" applyFill="1" applyBorder="1">
      <alignment vertical="center"/>
    </xf>
    <xf numFmtId="0" fontId="17" fillId="0" borderId="1" xfId="0" applyFont="1" applyBorder="1">
      <alignment vertical="center"/>
    </xf>
    <xf numFmtId="0" fontId="16" fillId="0" borderId="1" xfId="0" applyFont="1" applyBorder="1">
      <alignment vertical="center"/>
    </xf>
    <xf numFmtId="0" fontId="15" fillId="0" borderId="1" xfId="0" applyFont="1" applyBorder="1">
      <alignment vertical="center"/>
    </xf>
    <xf numFmtId="0" fontId="15" fillId="0" borderId="3" xfId="0" applyFont="1" applyBorder="1">
      <alignment vertical="center"/>
    </xf>
    <xf numFmtId="0" fontId="14" fillId="0" borderId="1" xfId="0" applyFont="1" applyBorder="1">
      <alignment vertical="center"/>
    </xf>
    <xf numFmtId="0" fontId="13" fillId="0" borderId="1" xfId="0" applyFont="1" applyBorder="1">
      <alignment vertical="center"/>
    </xf>
    <xf numFmtId="9" fontId="0" fillId="0" borderId="1" xfId="0" applyNumberFormat="1" applyBorder="1">
      <alignment vertical="center"/>
    </xf>
    <xf numFmtId="0" fontId="32" fillId="5" borderId="0" xfId="0" applyFont="1" applyFill="1" applyBorder="1">
      <alignment vertical="center"/>
    </xf>
    <xf numFmtId="0" fontId="32" fillId="5" borderId="4" xfId="0" applyFont="1" applyFill="1" applyBorder="1">
      <alignment vertical="center"/>
    </xf>
    <xf numFmtId="0" fontId="22" fillId="5" borderId="1" xfId="0" applyFont="1" applyFill="1" applyBorder="1">
      <alignment vertical="center"/>
    </xf>
    <xf numFmtId="0" fontId="12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0" fillId="0" borderId="1" xfId="0" applyNumberFormat="1" applyBorder="1">
      <alignment vertical="center"/>
    </xf>
    <xf numFmtId="0" fontId="0" fillId="0" borderId="5" xfId="0" applyBorder="1">
      <alignment vertical="center"/>
    </xf>
    <xf numFmtId="0" fontId="32" fillId="5" borderId="5" xfId="0" applyFont="1" applyFill="1" applyBorder="1">
      <alignment vertical="center"/>
    </xf>
    <xf numFmtId="0" fontId="10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22" fillId="5" borderId="2" xfId="0" applyFont="1" applyFill="1" applyBorder="1">
      <alignment vertical="center"/>
    </xf>
    <xf numFmtId="49" fontId="0" fillId="0" borderId="0" xfId="0" applyNumberFormat="1" applyBorder="1">
      <alignment vertical="center"/>
    </xf>
    <xf numFmtId="0" fontId="20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0" fillId="0" borderId="0" xfId="0" applyFill="1" applyBorder="1">
      <alignment vertical="center"/>
    </xf>
    <xf numFmtId="0" fontId="8" fillId="0" borderId="1" xfId="0" applyFont="1" applyBorder="1">
      <alignment vertical="center"/>
    </xf>
    <xf numFmtId="0" fontId="9" fillId="0" borderId="3" xfId="0" applyFont="1" applyBorder="1">
      <alignment vertical="center"/>
    </xf>
    <xf numFmtId="0" fontId="17" fillId="0" borderId="3" xfId="0" applyFont="1" applyBorder="1">
      <alignment vertical="center"/>
    </xf>
    <xf numFmtId="0" fontId="7" fillId="0" borderId="1" xfId="0" applyFont="1" applyBorder="1">
      <alignment vertical="center"/>
    </xf>
    <xf numFmtId="0" fontId="0" fillId="0" borderId="1" xfId="0" applyFill="1" applyBorder="1" applyAlignment="1">
      <alignment vertical="center" wrapText="1"/>
    </xf>
    <xf numFmtId="0" fontId="6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17" fillId="0" borderId="0" xfId="0" applyFont="1" applyBorder="1">
      <alignment vertical="center"/>
    </xf>
  </cellXfs>
  <cellStyles count="3">
    <cellStyle name="Normal" xfId="0" builtinId="0"/>
    <cellStyle name="Normal 2" xfId="1"/>
    <cellStyle name="Normal 3" xfId="2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00" Target="worksheets/sheet100.xml" Type="http://schemas.openxmlformats.org/officeDocument/2006/relationships/worksheet"/><Relationship Id="rId101" Target="worksheets/sheet101.xml" Type="http://schemas.openxmlformats.org/officeDocument/2006/relationships/worksheet"/><Relationship Id="rId102" Target="worksheets/sheet102.xml" Type="http://schemas.openxmlformats.org/officeDocument/2006/relationships/worksheet"/><Relationship Id="rId103" Target="worksheets/sheet103.xml" Type="http://schemas.openxmlformats.org/officeDocument/2006/relationships/worksheet"/><Relationship Id="rId104" Target="worksheets/sheet104.xml" Type="http://schemas.openxmlformats.org/officeDocument/2006/relationships/worksheet"/><Relationship Id="rId105" Target="worksheets/sheet105.xml" Type="http://schemas.openxmlformats.org/officeDocument/2006/relationships/worksheet"/><Relationship Id="rId106" Target="worksheets/sheet106.xml" Type="http://schemas.openxmlformats.org/officeDocument/2006/relationships/worksheet"/><Relationship Id="rId107" Target="worksheets/sheet107.xml" Type="http://schemas.openxmlformats.org/officeDocument/2006/relationships/worksheet"/><Relationship Id="rId108" Target="worksheets/sheet108.xml" Type="http://schemas.openxmlformats.org/officeDocument/2006/relationships/worksheet"/><Relationship Id="rId109" Target="worksheets/sheet109.xml" Type="http://schemas.openxmlformats.org/officeDocument/2006/relationships/worksheet"/><Relationship Id="rId11" Target="worksheets/sheet11.xml" Type="http://schemas.openxmlformats.org/officeDocument/2006/relationships/worksheet"/><Relationship Id="rId110" Target="worksheets/sheet110.xml" Type="http://schemas.openxmlformats.org/officeDocument/2006/relationships/worksheet"/><Relationship Id="rId111" Target="worksheets/sheet111.xml" Type="http://schemas.openxmlformats.org/officeDocument/2006/relationships/worksheet"/><Relationship Id="rId112" Target="worksheets/sheet112.xml" Type="http://schemas.openxmlformats.org/officeDocument/2006/relationships/worksheet"/><Relationship Id="rId113" Target="worksheets/sheet113.xml" Type="http://schemas.openxmlformats.org/officeDocument/2006/relationships/worksheet"/><Relationship Id="rId114" Target="worksheets/sheet114.xml" Type="http://schemas.openxmlformats.org/officeDocument/2006/relationships/worksheet"/><Relationship Id="rId115" Target="worksheets/sheet115.xml" Type="http://schemas.openxmlformats.org/officeDocument/2006/relationships/worksheet"/><Relationship Id="rId116" Target="worksheets/sheet116.xml" Type="http://schemas.openxmlformats.org/officeDocument/2006/relationships/worksheet"/><Relationship Id="rId117" Target="worksheets/sheet117.xml" Type="http://schemas.openxmlformats.org/officeDocument/2006/relationships/worksheet"/><Relationship Id="rId118" Target="worksheets/sheet118.xml" Type="http://schemas.openxmlformats.org/officeDocument/2006/relationships/worksheet"/><Relationship Id="rId119" Target="worksheets/sheet119.xml" Type="http://schemas.openxmlformats.org/officeDocument/2006/relationships/worksheet"/><Relationship Id="rId12" Target="worksheets/sheet12.xml" Type="http://schemas.openxmlformats.org/officeDocument/2006/relationships/worksheet"/><Relationship Id="rId120" Target="worksheets/sheet120.xml" Type="http://schemas.openxmlformats.org/officeDocument/2006/relationships/worksheet"/><Relationship Id="rId121" Target="worksheets/sheet121.xml" Type="http://schemas.openxmlformats.org/officeDocument/2006/relationships/worksheet"/><Relationship Id="rId122" Target="worksheets/sheet122.xml" Type="http://schemas.openxmlformats.org/officeDocument/2006/relationships/worksheet"/><Relationship Id="rId123" Target="worksheets/sheet123.xml" Type="http://schemas.openxmlformats.org/officeDocument/2006/relationships/worksheet"/><Relationship Id="rId124" Target="worksheets/sheet124.xml" Type="http://schemas.openxmlformats.org/officeDocument/2006/relationships/worksheet"/><Relationship Id="rId125" Target="worksheets/sheet125.xml" Type="http://schemas.openxmlformats.org/officeDocument/2006/relationships/worksheet"/><Relationship Id="rId126" Target="worksheets/sheet126.xml" Type="http://schemas.openxmlformats.org/officeDocument/2006/relationships/worksheet"/><Relationship Id="rId127" Target="worksheets/sheet127.xml" Type="http://schemas.openxmlformats.org/officeDocument/2006/relationships/worksheet"/><Relationship Id="rId128" Target="worksheets/sheet128.xml" Type="http://schemas.openxmlformats.org/officeDocument/2006/relationships/worksheet"/><Relationship Id="rId129" Target="worksheets/sheet129.xml" Type="http://schemas.openxmlformats.org/officeDocument/2006/relationships/worksheet"/><Relationship Id="rId13" Target="worksheets/sheet13.xml" Type="http://schemas.openxmlformats.org/officeDocument/2006/relationships/worksheet"/><Relationship Id="rId130" Target="worksheets/sheet130.xml" Type="http://schemas.openxmlformats.org/officeDocument/2006/relationships/worksheet"/><Relationship Id="rId131" Target="worksheets/sheet131.xml" Type="http://schemas.openxmlformats.org/officeDocument/2006/relationships/worksheet"/><Relationship Id="rId132" Target="worksheets/sheet132.xml" Type="http://schemas.openxmlformats.org/officeDocument/2006/relationships/worksheet"/><Relationship Id="rId133" Target="worksheets/sheet133.xml" Type="http://schemas.openxmlformats.org/officeDocument/2006/relationships/worksheet"/><Relationship Id="rId134" Target="worksheets/sheet134.xml" Type="http://schemas.openxmlformats.org/officeDocument/2006/relationships/worksheet"/><Relationship Id="rId135" Target="worksheets/sheet135.xml" Type="http://schemas.openxmlformats.org/officeDocument/2006/relationships/worksheet"/><Relationship Id="rId136" Target="worksheets/sheet136.xml" Type="http://schemas.openxmlformats.org/officeDocument/2006/relationships/worksheet"/><Relationship Id="rId137" Target="worksheets/sheet137.xml" Type="http://schemas.openxmlformats.org/officeDocument/2006/relationships/worksheet"/><Relationship Id="rId138" Target="worksheets/sheet138.xml" Type="http://schemas.openxmlformats.org/officeDocument/2006/relationships/worksheet"/><Relationship Id="rId139" Target="worksheets/sheet139.xml" Type="http://schemas.openxmlformats.org/officeDocument/2006/relationships/worksheet"/><Relationship Id="rId14" Target="worksheets/sheet14.xml" Type="http://schemas.openxmlformats.org/officeDocument/2006/relationships/worksheet"/><Relationship Id="rId140" Target="worksheets/sheet140.xml" Type="http://schemas.openxmlformats.org/officeDocument/2006/relationships/worksheet"/><Relationship Id="rId141" Target="worksheets/sheet141.xml" Type="http://schemas.openxmlformats.org/officeDocument/2006/relationships/worksheet"/><Relationship Id="rId142" Target="worksheets/sheet142.xml" Type="http://schemas.openxmlformats.org/officeDocument/2006/relationships/worksheet"/><Relationship Id="rId143" Target="worksheets/sheet143.xml" Type="http://schemas.openxmlformats.org/officeDocument/2006/relationships/worksheet"/><Relationship Id="rId144" Target="worksheets/sheet144.xml" Type="http://schemas.openxmlformats.org/officeDocument/2006/relationships/worksheet"/><Relationship Id="rId145" Target="worksheets/sheet145.xml" Type="http://schemas.openxmlformats.org/officeDocument/2006/relationships/worksheet"/><Relationship Id="rId146" Target="worksheets/sheet146.xml" Type="http://schemas.openxmlformats.org/officeDocument/2006/relationships/worksheet"/><Relationship Id="rId147" Target="worksheets/sheet147.xml" Type="http://schemas.openxmlformats.org/officeDocument/2006/relationships/worksheet"/><Relationship Id="rId148" Target="worksheets/sheet148.xml" Type="http://schemas.openxmlformats.org/officeDocument/2006/relationships/worksheet"/><Relationship Id="rId149" Target="worksheets/sheet149.xml" Type="http://schemas.openxmlformats.org/officeDocument/2006/relationships/worksheet"/><Relationship Id="rId15" Target="worksheets/sheet15.xml" Type="http://schemas.openxmlformats.org/officeDocument/2006/relationships/worksheet"/><Relationship Id="rId150" Target="worksheets/sheet150.xml" Type="http://schemas.openxmlformats.org/officeDocument/2006/relationships/worksheet"/><Relationship Id="rId151" Target="worksheets/sheet151.xml" Type="http://schemas.openxmlformats.org/officeDocument/2006/relationships/worksheet"/><Relationship Id="rId152" Target="worksheets/sheet152.xml" Type="http://schemas.openxmlformats.org/officeDocument/2006/relationships/worksheet"/><Relationship Id="rId153" Target="worksheets/sheet153.xml" Type="http://schemas.openxmlformats.org/officeDocument/2006/relationships/worksheet"/><Relationship Id="rId154" Target="worksheets/sheet154.xml" Type="http://schemas.openxmlformats.org/officeDocument/2006/relationships/worksheet"/><Relationship Id="rId155" Target="worksheets/sheet155.xml" Type="http://schemas.openxmlformats.org/officeDocument/2006/relationships/worksheet"/><Relationship Id="rId156" Target="theme/theme1.xml" Type="http://schemas.openxmlformats.org/officeDocument/2006/relationships/theme"/><Relationship Id="rId157" Target="styles.xml" Type="http://schemas.openxmlformats.org/officeDocument/2006/relationships/styles"/><Relationship Id="rId158" Target="sharedStrings.xml" Type="http://schemas.openxmlformats.org/officeDocument/2006/relationships/sharedStrings"/><Relationship Id="rId159" Target="calcChain.xml" Type="http://schemas.openxmlformats.org/officeDocument/2006/relationships/calcChain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worksheets/sheet56.xml" Type="http://schemas.openxmlformats.org/officeDocument/2006/relationships/worksheet"/><Relationship Id="rId57" Target="worksheets/sheet57.xml" Type="http://schemas.openxmlformats.org/officeDocument/2006/relationships/worksheet"/><Relationship Id="rId58" Target="worksheets/sheet58.xml" Type="http://schemas.openxmlformats.org/officeDocument/2006/relationships/worksheet"/><Relationship Id="rId59" Target="worksheets/sheet59.xml" Type="http://schemas.openxmlformats.org/officeDocument/2006/relationships/worksheet"/><Relationship Id="rId6" Target="worksheets/sheet6.xml" Type="http://schemas.openxmlformats.org/officeDocument/2006/relationships/worksheet"/><Relationship Id="rId60" Target="worksheets/sheet60.xml" Type="http://schemas.openxmlformats.org/officeDocument/2006/relationships/worksheet"/><Relationship Id="rId61" Target="worksheets/sheet61.xml" Type="http://schemas.openxmlformats.org/officeDocument/2006/relationships/worksheet"/><Relationship Id="rId62" Target="worksheets/sheet62.xml" Type="http://schemas.openxmlformats.org/officeDocument/2006/relationships/worksheet"/><Relationship Id="rId63" Target="worksheets/sheet63.xml" Type="http://schemas.openxmlformats.org/officeDocument/2006/relationships/worksheet"/><Relationship Id="rId64" Target="worksheets/sheet64.xml" Type="http://schemas.openxmlformats.org/officeDocument/2006/relationships/worksheet"/><Relationship Id="rId65" Target="worksheets/sheet65.xml" Type="http://schemas.openxmlformats.org/officeDocument/2006/relationships/worksheet"/><Relationship Id="rId66" Target="worksheets/sheet66.xml" Type="http://schemas.openxmlformats.org/officeDocument/2006/relationships/worksheet"/><Relationship Id="rId67" Target="worksheets/sheet67.xml" Type="http://schemas.openxmlformats.org/officeDocument/2006/relationships/worksheet"/><Relationship Id="rId68" Target="worksheets/sheet68.xml" Type="http://schemas.openxmlformats.org/officeDocument/2006/relationships/worksheet"/><Relationship Id="rId69" Target="worksheets/sheet69.xml" Type="http://schemas.openxmlformats.org/officeDocument/2006/relationships/worksheet"/><Relationship Id="rId7" Target="worksheets/sheet7.xml" Type="http://schemas.openxmlformats.org/officeDocument/2006/relationships/worksheet"/><Relationship Id="rId70" Target="worksheets/sheet70.xml" Type="http://schemas.openxmlformats.org/officeDocument/2006/relationships/worksheet"/><Relationship Id="rId71" Target="worksheets/sheet71.xml" Type="http://schemas.openxmlformats.org/officeDocument/2006/relationships/worksheet"/><Relationship Id="rId72" Target="worksheets/sheet72.xml" Type="http://schemas.openxmlformats.org/officeDocument/2006/relationships/worksheet"/><Relationship Id="rId73" Target="worksheets/sheet73.xml" Type="http://schemas.openxmlformats.org/officeDocument/2006/relationships/worksheet"/><Relationship Id="rId74" Target="worksheets/sheet74.xml" Type="http://schemas.openxmlformats.org/officeDocument/2006/relationships/worksheet"/><Relationship Id="rId75" Target="worksheets/sheet75.xml" Type="http://schemas.openxmlformats.org/officeDocument/2006/relationships/worksheet"/><Relationship Id="rId76" Target="worksheets/sheet76.xml" Type="http://schemas.openxmlformats.org/officeDocument/2006/relationships/worksheet"/><Relationship Id="rId77" Target="worksheets/sheet77.xml" Type="http://schemas.openxmlformats.org/officeDocument/2006/relationships/worksheet"/><Relationship Id="rId78" Target="worksheets/sheet78.xml" Type="http://schemas.openxmlformats.org/officeDocument/2006/relationships/worksheet"/><Relationship Id="rId79" Target="worksheets/sheet79.xml" Type="http://schemas.openxmlformats.org/officeDocument/2006/relationships/worksheet"/><Relationship Id="rId8" Target="worksheets/sheet8.xml" Type="http://schemas.openxmlformats.org/officeDocument/2006/relationships/worksheet"/><Relationship Id="rId80" Target="worksheets/sheet80.xml" Type="http://schemas.openxmlformats.org/officeDocument/2006/relationships/worksheet"/><Relationship Id="rId81" Target="worksheets/sheet81.xml" Type="http://schemas.openxmlformats.org/officeDocument/2006/relationships/worksheet"/><Relationship Id="rId82" Target="worksheets/sheet82.xml" Type="http://schemas.openxmlformats.org/officeDocument/2006/relationships/worksheet"/><Relationship Id="rId83" Target="worksheets/sheet83.xml" Type="http://schemas.openxmlformats.org/officeDocument/2006/relationships/worksheet"/><Relationship Id="rId84" Target="worksheets/sheet84.xml" Type="http://schemas.openxmlformats.org/officeDocument/2006/relationships/worksheet"/><Relationship Id="rId85" Target="worksheets/sheet85.xml" Type="http://schemas.openxmlformats.org/officeDocument/2006/relationships/worksheet"/><Relationship Id="rId86" Target="worksheets/sheet86.xml" Type="http://schemas.openxmlformats.org/officeDocument/2006/relationships/worksheet"/><Relationship Id="rId87" Target="worksheets/sheet87.xml" Type="http://schemas.openxmlformats.org/officeDocument/2006/relationships/worksheet"/><Relationship Id="rId88" Target="worksheets/sheet88.xml" Type="http://schemas.openxmlformats.org/officeDocument/2006/relationships/worksheet"/><Relationship Id="rId89" Target="worksheets/sheet89.xml" Type="http://schemas.openxmlformats.org/officeDocument/2006/relationships/worksheet"/><Relationship Id="rId9" Target="worksheets/sheet9.xml" Type="http://schemas.openxmlformats.org/officeDocument/2006/relationships/worksheet"/><Relationship Id="rId90" Target="worksheets/sheet90.xml" Type="http://schemas.openxmlformats.org/officeDocument/2006/relationships/worksheet"/><Relationship Id="rId91" Target="worksheets/sheet91.xml" Type="http://schemas.openxmlformats.org/officeDocument/2006/relationships/worksheet"/><Relationship Id="rId92" Target="worksheets/sheet92.xml" Type="http://schemas.openxmlformats.org/officeDocument/2006/relationships/worksheet"/><Relationship Id="rId93" Target="worksheets/sheet93.xml" Type="http://schemas.openxmlformats.org/officeDocument/2006/relationships/worksheet"/><Relationship Id="rId94" Target="worksheets/sheet94.xml" Type="http://schemas.openxmlformats.org/officeDocument/2006/relationships/worksheet"/><Relationship Id="rId95" Target="worksheets/sheet95.xml" Type="http://schemas.openxmlformats.org/officeDocument/2006/relationships/worksheet"/><Relationship Id="rId96" Target="worksheets/sheet96.xml" Type="http://schemas.openxmlformats.org/officeDocument/2006/relationships/worksheet"/><Relationship Id="rId97" Target="worksheets/sheet97.xml" Type="http://schemas.openxmlformats.org/officeDocument/2006/relationships/worksheet"/><Relationship Id="rId98" Target="worksheets/sheet98.xml" Type="http://schemas.openxmlformats.org/officeDocument/2006/relationships/worksheet"/><Relationship Id="rId99" Target="worksheets/sheet99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2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2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2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26.xml.rels><?xml version="1.0" encoding="UTF-8" standalone="yes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27.xml.rels><?xml version="1.0" encoding="UTF-8" standalone="yes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28.xml.rels><?xml version="1.0" encoding="UTF-8" standalone="yes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29.xml.rels><?xml version="1.0" encoding="UTF-8" standalone="yes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30.xml.rels><?xml version="1.0" encoding="UTF-8" standalone="yes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31.xml.rels><?xml version="1.0" encoding="UTF-8" standalone="yes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32.xml.rels><?xml version="1.0" encoding="UTF-8" standalone="yes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33.xml.rels><?xml version="1.0" encoding="UTF-8" standalone="yes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34.xml.rels><?xml version="1.0" encoding="UTF-8" standalone="yes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35.xml.rels><?xml version="1.0" encoding="UTF-8" standalone="yes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36.xml.rels><?xml version="1.0" encoding="UTF-8" standalone="yes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37.xml.rels><?xml version="1.0" encoding="UTF-8" standalone="yes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38.xml.rels><?xml version="1.0" encoding="UTF-8" standalone="yes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39.xml.rels><?xml version="1.0" encoding="UTF-8" standalone="yes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40.xml.rels><?xml version="1.0" encoding="UTF-8" standalone="yes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41.xml.rels><?xml version="1.0" encoding="UTF-8" standalone="yes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42.xml.rels><?xml version="1.0" encoding="UTF-8" standalone="yes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43.xml.rels><?xml version="1.0" encoding="UTF-8" standalone="yes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44.xml.rels><?xml version="1.0" encoding="UTF-8" standalone="yes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45.xml.rels><?xml version="1.0" encoding="UTF-8" standalone="yes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46.xml.rels><?xml version="1.0" encoding="UTF-8" standalone="yes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47.xml.rels><?xml version="1.0" encoding="UTF-8" standalone="yes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48.xml.rels><?xml version="1.0" encoding="UTF-8" standalone="yes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49.xml.rels><?xml version="1.0" encoding="UTF-8" standalone="yes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50.xml.rels><?xml version="1.0" encoding="UTF-8" standalone="yes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51.xml.rels><?xml version="1.0" encoding="UTF-8" standalone="yes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52.xml.rels><?xml version="1.0" encoding="UTF-8" standalone="yes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53.xml.rels><?xml version="1.0" encoding="UTF-8" standalone="yes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54.xml.rels><?xml version="1.0" encoding="UTF-8" standalone="yes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55.xml.rels><?xml version="1.0" encoding="UTF-8" standalone="yes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56.xml.rels><?xml version="1.0" encoding="UTF-8" standalone="yes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57.xml.rels><?xml version="1.0" encoding="UTF-8" standalone="yes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58.xml.rels><?xml version="1.0" encoding="UTF-8" standalone="yes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59.xml.rels><?xml version="1.0" encoding="UTF-8" standalone="yes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60.xml.rels><?xml version="1.0" encoding="UTF-8" standalone="yes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61.xml.rels><?xml version="1.0" encoding="UTF-8" standalone="yes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62.xml.rels><?xml version="1.0" encoding="UTF-8" standalone="yes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63.xml.rels><?xml version="1.0" encoding="UTF-8" standalone="yes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64.xml.rels><?xml version="1.0" encoding="UTF-8" standalone="yes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65.xml.rels><?xml version="1.0" encoding="UTF-8" standalone="yes"?><Relationships xmlns="http://schemas.openxmlformats.org/package/2006/relationships"><Relationship Id="rId1" Target="../printerSettings/printerSettings45.bin" Type="http://schemas.openxmlformats.org/officeDocument/2006/relationships/printerSettings"/></Relationships>
</file>

<file path=xl/worksheets/_rels/sheet66.xml.rels><?xml version="1.0" encoding="UTF-8" standalone="yes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67.xml.rels><?xml version="1.0" encoding="UTF-8" standalone="yes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68.xml.rels><?xml version="1.0" encoding="UTF-8" standalone="yes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69.xml.rels><?xml version="1.0" encoding="UTF-8" standalone="yes"?><Relationships xmlns="http://schemas.openxmlformats.org/package/2006/relationships"><Relationship Id="rId1" Target="../printerSettings/printerSettings49.bin" Type="http://schemas.openxmlformats.org/officeDocument/2006/relationships/printerSettings"/></Relationships>
</file>

<file path=xl/worksheets/_rels/sheet70.xml.rels><?xml version="1.0" encoding="UTF-8" standalone="yes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71.xml.rels><?xml version="1.0" encoding="UTF-8" standalone="yes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72.xml.rels><?xml version="1.0" encoding="UTF-8" standalone="yes"?><Relationships xmlns="http://schemas.openxmlformats.org/package/2006/relationships"><Relationship Id="rId1" Target="../printerSettings/printerSettings52.bin" Type="http://schemas.openxmlformats.org/officeDocument/2006/relationships/printerSettings"/></Relationships>
</file>

<file path=xl/worksheets/_rels/sheet73.xml.rels><?xml version="1.0" encoding="UTF-8" standalone="yes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74.xml.rels><?xml version="1.0" encoding="UTF-8" standalone="yes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75.xml.rels><?xml version="1.0" encoding="UTF-8" standalone="yes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_rels/sheet76.xml.rels><?xml version="1.0" encoding="UTF-8" standalone="yes"?><Relationships xmlns="http://schemas.openxmlformats.org/package/2006/relationships"><Relationship Id="rId1" Target="../printerSettings/printerSettings56.bin" Type="http://schemas.openxmlformats.org/officeDocument/2006/relationships/printerSettings"/></Relationships>
</file>

<file path=xl/worksheets/_rels/sheet77.xml.rels><?xml version="1.0" encoding="UTF-8" standalone="yes"?><Relationships xmlns="http://schemas.openxmlformats.org/package/2006/relationships"><Relationship Id="rId1" Target="../printerSettings/printerSettings57.bin" Type="http://schemas.openxmlformats.org/officeDocument/2006/relationships/printerSettings"/></Relationships>
</file>

<file path=xl/worksheets/_rels/sheet78.xml.rels><?xml version="1.0" encoding="UTF-8" standalone="yes"?><Relationships xmlns="http://schemas.openxmlformats.org/package/2006/relationships"><Relationship Id="rId1" Target="../printerSettings/printerSettings58.bin" Type="http://schemas.openxmlformats.org/officeDocument/2006/relationships/printerSettings"/></Relationships>
</file>

<file path=xl/worksheets/_rels/sheet79.xml.rels><?xml version="1.0" encoding="UTF-8" standalone="yes"?><Relationships xmlns="http://schemas.openxmlformats.org/package/2006/relationships"><Relationship Id="rId1" Target="../printerSettings/printerSettings59.bin" Type="http://schemas.openxmlformats.org/officeDocument/2006/relationships/printerSettings"/></Relationships>
</file>

<file path=xl/worksheets/_rels/sheet80.xml.rels><?xml version="1.0" encoding="UTF-8" standalone="yes"?><Relationships xmlns="http://schemas.openxmlformats.org/package/2006/relationships"><Relationship Id="rId1" Target="../printerSettings/printerSettings60.bin" Type="http://schemas.openxmlformats.org/officeDocument/2006/relationships/printerSettings"/></Relationships>
</file>

<file path=xl/worksheets/_rels/sheet81.xml.rels><?xml version="1.0" encoding="UTF-8" standalone="yes"?><Relationships xmlns="http://schemas.openxmlformats.org/package/2006/relationships"><Relationship Id="rId1" Target="../printerSettings/printerSettings61.bin" Type="http://schemas.openxmlformats.org/officeDocument/2006/relationships/printerSettings"/></Relationships>
</file>

<file path=xl/worksheets/_rels/sheet82.xml.rels><?xml version="1.0" encoding="UTF-8" standalone="yes"?><Relationships xmlns="http://schemas.openxmlformats.org/package/2006/relationships"><Relationship Id="rId1" Target="../printerSettings/printerSettings62.bin" Type="http://schemas.openxmlformats.org/officeDocument/2006/relationships/printerSettings"/></Relationships>
</file>

<file path=xl/worksheets/_rels/sheet83.xml.rels><?xml version="1.0" encoding="UTF-8" standalone="yes"?><Relationships xmlns="http://schemas.openxmlformats.org/package/2006/relationships"><Relationship Id="rId1" Target="../printerSettings/printerSettings63.bin" Type="http://schemas.openxmlformats.org/officeDocument/2006/relationships/printerSettings"/></Relationships>
</file>

<file path=xl/worksheets/_rels/sheet84.xml.rels><?xml version="1.0" encoding="UTF-8" standalone="yes"?><Relationships xmlns="http://schemas.openxmlformats.org/package/2006/relationships"><Relationship Id="rId1" Target="../printerSettings/printerSettings64.bin" Type="http://schemas.openxmlformats.org/officeDocument/2006/relationships/printerSettings"/></Relationships>
</file>

<file path=xl/worksheets/_rels/sheet85.xml.rels><?xml version="1.0" encoding="UTF-8" standalone="yes"?><Relationships xmlns="http://schemas.openxmlformats.org/package/2006/relationships"><Relationship Id="rId1" Target="../printerSettings/printerSettings65.bin" Type="http://schemas.openxmlformats.org/officeDocument/2006/relationships/printerSettings"/></Relationships>
</file>

<file path=xl/worksheets/_rels/sheet86.xml.rels><?xml version="1.0" encoding="UTF-8" standalone="yes"?><Relationships xmlns="http://schemas.openxmlformats.org/package/2006/relationships"><Relationship Id="rId1" Target="../printerSettings/printerSettings66.bin" Type="http://schemas.openxmlformats.org/officeDocument/2006/relationships/printerSettings"/></Relationships>
</file>

<file path=xl/worksheets/_rels/sheet87.xml.rels><?xml version="1.0" encoding="UTF-8" standalone="yes"?><Relationships xmlns="http://schemas.openxmlformats.org/package/2006/relationships"><Relationship Id="rId1" Target="../printerSettings/printerSettings67.bin" Type="http://schemas.openxmlformats.org/officeDocument/2006/relationships/printerSettings"/></Relationships>
</file>

<file path=xl/worksheets/_rels/sheet88.xml.rels><?xml version="1.0" encoding="UTF-8" standalone="yes"?><Relationships xmlns="http://schemas.openxmlformats.org/package/2006/relationships"><Relationship Id="rId1" Target="../printerSettings/printerSettings68.bin" Type="http://schemas.openxmlformats.org/officeDocument/2006/relationships/printerSettings"/></Relationships>
</file>

<file path=xl/worksheets/_rels/sheet89.xml.rels><?xml version="1.0" encoding="UTF-8" standalone="yes"?><Relationships xmlns="http://schemas.openxmlformats.org/package/2006/relationships"><Relationship Id="rId1" Target="../printerSettings/printerSettings69.bin" Type="http://schemas.openxmlformats.org/officeDocument/2006/relationships/printerSettings"/></Relationships>
</file>

<file path=xl/worksheets/_rels/sheet90.xml.rels><?xml version="1.0" encoding="UTF-8" standalone="yes"?><Relationships xmlns="http://schemas.openxmlformats.org/package/2006/relationships"><Relationship Id="rId1" Target="../printerSettings/printerSettings70.bin" Type="http://schemas.openxmlformats.org/officeDocument/2006/relationships/printerSettings"/></Relationships>
</file>

<file path=xl/worksheets/_rels/sheet91.xml.rels><?xml version="1.0" encoding="UTF-8" standalone="yes"?><Relationships xmlns="http://schemas.openxmlformats.org/package/2006/relationships"><Relationship Id="rId1" Target="../printerSettings/printerSettings71.bin" Type="http://schemas.openxmlformats.org/officeDocument/2006/relationships/printerSettings"/></Relationships>
</file>

<file path=xl/worksheets/_rels/sheet92.xml.rels><?xml version="1.0" encoding="UTF-8" standalone="yes"?><Relationships xmlns="http://schemas.openxmlformats.org/package/2006/relationships"><Relationship Id="rId1" Target="../printerSettings/printerSettings72.bin" Type="http://schemas.openxmlformats.org/officeDocument/2006/relationships/printerSettings"/></Relationships>
</file>

<file path=xl/worksheets/_rels/sheet93.xml.rels><?xml version="1.0" encoding="UTF-8" standalone="yes"?><Relationships xmlns="http://schemas.openxmlformats.org/package/2006/relationships"><Relationship Id="rId1" Target="../printerSettings/printerSettings73.bin" Type="http://schemas.openxmlformats.org/officeDocument/2006/relationships/printerSettings"/></Relationships>
</file>

<file path=xl/worksheets/_rels/sheet94.xml.rels><?xml version="1.0" encoding="UTF-8" standalone="yes"?><Relationships xmlns="http://schemas.openxmlformats.org/package/2006/relationships"><Relationship Id="rId1" Target="../printerSettings/printerSettings74.bin" Type="http://schemas.openxmlformats.org/officeDocument/2006/relationships/printerSettings"/></Relationships>
</file>

<file path=xl/worksheets/_rels/sheet95.xml.rels><?xml version="1.0" encoding="UTF-8" standalone="yes"?><Relationships xmlns="http://schemas.openxmlformats.org/package/2006/relationships"><Relationship Id="rId1" Target="../printerSettings/printerSettings75.bin" Type="http://schemas.openxmlformats.org/officeDocument/2006/relationships/printerSettings"/></Relationships>
</file>

<file path=xl/worksheets/_rels/sheet96.xml.rels><?xml version="1.0" encoding="UTF-8" standalone="yes"?><Relationships xmlns="http://schemas.openxmlformats.org/package/2006/relationships"><Relationship Id="rId1" Target="../printerSettings/printerSettings76.bin" Type="http://schemas.openxmlformats.org/officeDocument/2006/relationships/printerSettings"/></Relationships>
</file>

<file path=xl/worksheets/_rels/sheet97.xml.rels><?xml version="1.0" encoding="UTF-8" standalone="yes"?><Relationships xmlns="http://schemas.openxmlformats.org/package/2006/relationships"><Relationship Id="rId1" Target="../printerSettings/printerSettings77.bin" Type="http://schemas.openxmlformats.org/officeDocument/2006/relationships/printerSettings"/></Relationships>
</file>

<file path=xl/worksheets/_rels/sheet98.xml.rels><?xml version="1.0" encoding="UTF-8" standalone="yes"?><Relationships xmlns="http://schemas.openxmlformats.org/package/2006/relationships"><Relationship Id="rId1" Target="../printerSettings/printerSettings78.bin" Type="http://schemas.openxmlformats.org/officeDocument/2006/relationships/printerSettings"/></Relationships>
</file>

<file path=xl/worksheets/_rels/sheet99.xml.rels><?xml version="1.0" encoding="UTF-8" standalone="yes"?><Relationships xmlns="http://schemas.openxmlformats.org/package/2006/relationships"><Relationship Id="rId1" Target="../printerSettings/printerSettings79.bin" Type="http://schemas.openxmlformats.org/officeDocument/2006/relationships/printerSettings"/></Relationships>
</file>

<file path=xl/worksheets/_rels/sheet100.xml.rels><?xml version="1.0" encoding="UTF-8" standalone="yes"?><Relationships xmlns="http://schemas.openxmlformats.org/package/2006/relationships"><Relationship Id="rId1" Target="../printerSettings/printerSettings80.bin" Type="http://schemas.openxmlformats.org/officeDocument/2006/relationships/printerSettings"/></Relationships>
</file>

<file path=xl/worksheets/_rels/sheet101.xml.rels><?xml version="1.0" encoding="UTF-8" standalone="yes"?><Relationships xmlns="http://schemas.openxmlformats.org/package/2006/relationships"><Relationship Id="rId1" Target="../printerSettings/printerSettings81.bin" Type="http://schemas.openxmlformats.org/officeDocument/2006/relationships/printerSettings"/></Relationships>
</file>

<file path=xl/worksheets/_rels/sheet102.xml.rels><?xml version="1.0" encoding="UTF-8" standalone="yes"?><Relationships xmlns="http://schemas.openxmlformats.org/package/2006/relationships"><Relationship Id="rId1" Target="../printerSettings/printerSettings82.bin" Type="http://schemas.openxmlformats.org/officeDocument/2006/relationships/printerSettings"/></Relationships>
</file>

<file path=xl/worksheets/_rels/sheet103.xml.rels><?xml version="1.0" encoding="UTF-8" standalone="yes"?><Relationships xmlns="http://schemas.openxmlformats.org/package/2006/relationships"><Relationship Id="rId1" Target="../printerSettings/printerSettings83.bin" Type="http://schemas.openxmlformats.org/officeDocument/2006/relationships/printerSettings"/></Relationships>
</file>

<file path=xl/worksheets/_rels/sheet104.xml.rels><?xml version="1.0" encoding="UTF-8" standalone="yes"?><Relationships xmlns="http://schemas.openxmlformats.org/package/2006/relationships"><Relationship Id="rId1" Target="../printerSettings/printerSettings84.bin" Type="http://schemas.openxmlformats.org/officeDocument/2006/relationships/printerSettings"/></Relationships>
</file>

<file path=xl/worksheets/_rels/sheet105.xml.rels><?xml version="1.0" encoding="UTF-8" standalone="yes"?><Relationships xmlns="http://schemas.openxmlformats.org/package/2006/relationships"><Relationship Id="rId1" Target="../printerSettings/printerSettings85.bin" Type="http://schemas.openxmlformats.org/officeDocument/2006/relationships/printerSettings"/></Relationships>
</file>

<file path=xl/worksheets/_rels/sheet106.xml.rels><?xml version="1.0" encoding="UTF-8" standalone="yes"?><Relationships xmlns="http://schemas.openxmlformats.org/package/2006/relationships"><Relationship Id="rId1" Target="../printerSettings/printerSettings86.bin" Type="http://schemas.openxmlformats.org/officeDocument/2006/relationships/printerSettings"/></Relationships>
</file>

<file path=xl/worksheets/_rels/sheet107.xml.rels><?xml version="1.0" encoding="UTF-8" standalone="yes"?><Relationships xmlns="http://schemas.openxmlformats.org/package/2006/relationships"><Relationship Id="rId1" Target="../printerSettings/printerSettings87.bin" Type="http://schemas.openxmlformats.org/officeDocument/2006/relationships/printerSettings"/></Relationships>
</file>

<file path=xl/worksheets/_rels/sheet108.xml.rels><?xml version="1.0" encoding="UTF-8" standalone="yes"?><Relationships xmlns="http://schemas.openxmlformats.org/package/2006/relationships"><Relationship Id="rId1" Target="../printerSettings/printerSettings88.bin" Type="http://schemas.openxmlformats.org/officeDocument/2006/relationships/printerSettings"/></Relationships>
</file>

<file path=xl/worksheets/_rels/sheet109.xml.rels><?xml version="1.0" encoding="UTF-8" standalone="yes"?><Relationships xmlns="http://schemas.openxmlformats.org/package/2006/relationships"><Relationship Id="rId1" Target="../printerSettings/printerSettings89.bin" Type="http://schemas.openxmlformats.org/officeDocument/2006/relationships/printerSettings"/></Relationships>
</file>

<file path=xl/worksheets/_rels/sheet110.xml.rels><?xml version="1.0" encoding="UTF-8" standalone="yes"?><Relationships xmlns="http://schemas.openxmlformats.org/package/2006/relationships"><Relationship Id="rId1" Target="../printerSettings/printerSettings90.bin" Type="http://schemas.openxmlformats.org/officeDocument/2006/relationships/printerSettings"/></Relationships>
</file>

<file path=xl/worksheets/_rels/sheet111.xml.rels><?xml version="1.0" encoding="UTF-8" standalone="yes"?><Relationships xmlns="http://schemas.openxmlformats.org/package/2006/relationships"><Relationship Id="rId1" Target="../printerSettings/printerSettings91.bin" Type="http://schemas.openxmlformats.org/officeDocument/2006/relationships/printerSettings"/></Relationships>
</file>

<file path=xl/worksheets/_rels/sheet112.xml.rels><?xml version="1.0" encoding="UTF-8" standalone="yes"?><Relationships xmlns="http://schemas.openxmlformats.org/package/2006/relationships"><Relationship Id="rId1" Target="../printerSettings/printerSettings92.bin" Type="http://schemas.openxmlformats.org/officeDocument/2006/relationships/printerSettings"/></Relationships>
</file>

<file path=xl/worksheets/_rels/sheet113.xml.rels><?xml version="1.0" encoding="UTF-8" standalone="yes"?><Relationships xmlns="http://schemas.openxmlformats.org/package/2006/relationships"><Relationship Id="rId1" Target="../printerSettings/printerSettings93.bin" Type="http://schemas.openxmlformats.org/officeDocument/2006/relationships/printerSettings"/></Relationships>
</file>

<file path=xl/worksheets/_rels/sheet114.xml.rels><?xml version="1.0" encoding="UTF-8" standalone="yes"?><Relationships xmlns="http://schemas.openxmlformats.org/package/2006/relationships"><Relationship Id="rId1" Target="../printerSettings/printerSettings94.bin" Type="http://schemas.openxmlformats.org/officeDocument/2006/relationships/printerSettings"/></Relationships>
</file>

<file path=xl/worksheets/_rels/sheet115.xml.rels><?xml version="1.0" encoding="UTF-8" standalone="yes"?><Relationships xmlns="http://schemas.openxmlformats.org/package/2006/relationships"><Relationship Id="rId1" Target="../printerSettings/printerSettings95.bin" Type="http://schemas.openxmlformats.org/officeDocument/2006/relationships/printerSettings"/></Relationships>
</file>

<file path=xl/worksheets/_rels/sheet116.xml.rels><?xml version="1.0" encoding="UTF-8" standalone="yes"?><Relationships xmlns="http://schemas.openxmlformats.org/package/2006/relationships"><Relationship Id="rId1" Target="../printerSettings/printerSettings96.bin" Type="http://schemas.openxmlformats.org/officeDocument/2006/relationships/printerSettings"/></Relationships>
</file>

<file path=xl/worksheets/_rels/sheet117.xml.rels><?xml version="1.0" encoding="UTF-8" standalone="yes"?><Relationships xmlns="http://schemas.openxmlformats.org/package/2006/relationships"><Relationship Id="rId1" Target="../printerSettings/printerSettings97.bin" Type="http://schemas.openxmlformats.org/officeDocument/2006/relationships/printerSettings"/></Relationships>
</file>

<file path=xl/worksheets/_rels/sheet118.xml.rels><?xml version="1.0" encoding="UTF-8" standalone="yes"?><Relationships xmlns="http://schemas.openxmlformats.org/package/2006/relationships"><Relationship Id="rId1" Target="../printerSettings/printerSettings98.bin" Type="http://schemas.openxmlformats.org/officeDocument/2006/relationships/printerSettings"/></Relationships>
</file>

<file path=xl/worksheets/_rels/sheet119.xml.rels><?xml version="1.0" encoding="UTF-8" standalone="yes"?><Relationships xmlns="http://schemas.openxmlformats.org/package/2006/relationships"><Relationship Id="rId1" Target="../printerSettings/printerSettings99.bin" Type="http://schemas.openxmlformats.org/officeDocument/2006/relationships/printerSettings"/></Relationships>
</file>

<file path=xl/worksheets/_rels/sheet120.xml.rels><?xml version="1.0" encoding="UTF-8" standalone="yes"?><Relationships xmlns="http://schemas.openxmlformats.org/package/2006/relationships"><Relationship Id="rId1" Target="../printerSettings/printerSettings100.bin" Type="http://schemas.openxmlformats.org/officeDocument/2006/relationships/printerSettings"/></Relationships>
</file>

<file path=xl/worksheets/_rels/sheet121.xml.rels><?xml version="1.0" encoding="UTF-8" standalone="yes"?><Relationships xmlns="http://schemas.openxmlformats.org/package/2006/relationships"><Relationship Id="rId1" Target="../printerSettings/printerSettings101.bin" Type="http://schemas.openxmlformats.org/officeDocument/2006/relationships/printerSettings"/></Relationships>
</file>

<file path=xl/worksheets/_rels/sheet122.xml.rels><?xml version="1.0" encoding="UTF-8" standalone="yes"?><Relationships xmlns="http://schemas.openxmlformats.org/package/2006/relationships"><Relationship Id="rId1" Target="../printerSettings/printerSettings102.bin" Type="http://schemas.openxmlformats.org/officeDocument/2006/relationships/printerSettings"/></Relationships>
</file>

<file path=xl/worksheets/_rels/sheet123.xml.rels><?xml version="1.0" encoding="UTF-8" standalone="yes"?><Relationships xmlns="http://schemas.openxmlformats.org/package/2006/relationships"><Relationship Id="rId1" Target="../printerSettings/printerSettings103.bin" Type="http://schemas.openxmlformats.org/officeDocument/2006/relationships/printerSettings"/></Relationships>
</file>

<file path=xl/worksheets/_rels/sheet124.xml.rels><?xml version="1.0" encoding="UTF-8" standalone="yes"?><Relationships xmlns="http://schemas.openxmlformats.org/package/2006/relationships"><Relationship Id="rId1" Target="../printerSettings/printerSettings104.bin" Type="http://schemas.openxmlformats.org/officeDocument/2006/relationships/printerSettings"/></Relationships>
</file>

<file path=xl/worksheets/_rels/sheet125.xml.rels><?xml version="1.0" encoding="UTF-8" standalone="yes"?><Relationships xmlns="http://schemas.openxmlformats.org/package/2006/relationships"><Relationship Id="rId1" Target="../printerSettings/printerSettings105.bin" Type="http://schemas.openxmlformats.org/officeDocument/2006/relationships/printerSettings"/></Relationships>
</file>

<file path=xl/worksheets/_rels/sheet126.xml.rels><?xml version="1.0" encoding="UTF-8" standalone="yes"?><Relationships xmlns="http://schemas.openxmlformats.org/package/2006/relationships"><Relationship Id="rId1" Target="../printerSettings/printerSettings106.bin" Type="http://schemas.openxmlformats.org/officeDocument/2006/relationships/printerSettings"/></Relationships>
</file>

<file path=xl/worksheets/_rels/sheet127.xml.rels><?xml version="1.0" encoding="UTF-8" standalone="yes"?><Relationships xmlns="http://schemas.openxmlformats.org/package/2006/relationships"><Relationship Id="rId1" Target="../printerSettings/printerSettings107.bin" Type="http://schemas.openxmlformats.org/officeDocument/2006/relationships/printerSettings"/></Relationships>
</file>

<file path=xl/worksheets/_rels/sheet128.xml.rels><?xml version="1.0" encoding="UTF-8" standalone="yes"?><Relationships xmlns="http://schemas.openxmlformats.org/package/2006/relationships"><Relationship Id="rId1" Target="../printerSettings/printerSettings108.bin" Type="http://schemas.openxmlformats.org/officeDocument/2006/relationships/printerSettings"/></Relationships>
</file>

<file path=xl/worksheets/_rels/sheet129.xml.rels><?xml version="1.0" encoding="UTF-8" standalone="yes"?><Relationships xmlns="http://schemas.openxmlformats.org/package/2006/relationships"><Relationship Id="rId1" Target="../printerSettings/printerSettings109.bin" Type="http://schemas.openxmlformats.org/officeDocument/2006/relationships/printerSettings"/></Relationships>
</file>

<file path=xl/worksheets/_rels/sheet130.xml.rels><?xml version="1.0" encoding="UTF-8" standalone="yes"?><Relationships xmlns="http://schemas.openxmlformats.org/package/2006/relationships"><Relationship Id="rId1" Target="../printerSettings/printerSettings110.bin" Type="http://schemas.openxmlformats.org/officeDocument/2006/relationships/printerSettings"/></Relationships>
</file>

<file path=xl/worksheets/_rels/sheet131.xml.rels><?xml version="1.0" encoding="UTF-8" standalone="yes"?><Relationships xmlns="http://schemas.openxmlformats.org/package/2006/relationships"><Relationship Id="rId1" Target="../printerSettings/printerSettings111.bin" Type="http://schemas.openxmlformats.org/officeDocument/2006/relationships/printerSettings"/></Relationships>
</file>

<file path=xl/worksheets/_rels/sheet132.xml.rels><?xml version="1.0" encoding="UTF-8" standalone="yes"?><Relationships xmlns="http://schemas.openxmlformats.org/package/2006/relationships"><Relationship Id="rId1" Target="../printerSettings/printerSettings112.bin" Type="http://schemas.openxmlformats.org/officeDocument/2006/relationships/printerSettings"/></Relationships>
</file>

<file path=xl/worksheets/_rels/sheet133.xml.rels><?xml version="1.0" encoding="UTF-8" standalone="yes"?><Relationships xmlns="http://schemas.openxmlformats.org/package/2006/relationships"><Relationship Id="rId1" Target="../printerSettings/printerSettings113.bin" Type="http://schemas.openxmlformats.org/officeDocument/2006/relationships/printerSettings"/></Relationships>
</file>

<file path=xl/worksheets/_rels/sheet134.xml.rels><?xml version="1.0" encoding="UTF-8" standalone="yes"?><Relationships xmlns="http://schemas.openxmlformats.org/package/2006/relationships"><Relationship Id="rId1" Target="../printerSettings/printerSettings114.bin" Type="http://schemas.openxmlformats.org/officeDocument/2006/relationships/printerSettings"/></Relationships>
</file>

<file path=xl/worksheets/_rels/sheet135.xml.rels><?xml version="1.0" encoding="UTF-8" standalone="yes"?><Relationships xmlns="http://schemas.openxmlformats.org/package/2006/relationships"><Relationship Id="rId1" Target="../printerSettings/printerSettings115.bin" Type="http://schemas.openxmlformats.org/officeDocument/2006/relationships/printerSettings"/></Relationships>
</file>

<file path=xl/worksheets/_rels/sheet136.xml.rels><?xml version="1.0" encoding="UTF-8" standalone="yes"?><Relationships xmlns="http://schemas.openxmlformats.org/package/2006/relationships"><Relationship Id="rId1" Target="../printerSettings/printerSettings116.bin" Type="http://schemas.openxmlformats.org/officeDocument/2006/relationships/printerSettings"/></Relationships>
</file>

<file path=xl/worksheets/_rels/sheet137.xml.rels><?xml version="1.0" encoding="UTF-8" standalone="yes"?><Relationships xmlns="http://schemas.openxmlformats.org/package/2006/relationships"><Relationship Id="rId1" Target="../printerSettings/printerSettings117.bin" Type="http://schemas.openxmlformats.org/officeDocument/2006/relationships/printerSettings"/></Relationships>
</file>

<file path=xl/worksheets/_rels/sheet138.xml.rels><?xml version="1.0" encoding="UTF-8" standalone="yes"?><Relationships xmlns="http://schemas.openxmlformats.org/package/2006/relationships"><Relationship Id="rId1" Target="../printerSettings/printerSettings118.bin" Type="http://schemas.openxmlformats.org/officeDocument/2006/relationships/printerSettings"/></Relationships>
</file>

<file path=xl/worksheets/_rels/sheet139.xml.rels><?xml version="1.0" encoding="UTF-8" standalone="yes"?><Relationships xmlns="http://schemas.openxmlformats.org/package/2006/relationships"><Relationship Id="rId1" Target="../printerSettings/printerSettings119.bin" Type="http://schemas.openxmlformats.org/officeDocument/2006/relationships/printerSettings"/></Relationships>
</file>

<file path=xl/worksheets/_rels/sheet140.xml.rels><?xml version="1.0" encoding="UTF-8" standalone="yes"?><Relationships xmlns="http://schemas.openxmlformats.org/package/2006/relationships"><Relationship Id="rId1" Target="../printerSettings/printerSettings120.bin" Type="http://schemas.openxmlformats.org/officeDocument/2006/relationships/printerSettings"/></Relationships>
</file>

<file path=xl/worksheets/_rels/sheet141.xml.rels><?xml version="1.0" encoding="UTF-8" standalone="yes"?><Relationships xmlns="http://schemas.openxmlformats.org/package/2006/relationships"><Relationship Id="rId1" Target="../printerSettings/printerSettings121.bin" Type="http://schemas.openxmlformats.org/officeDocument/2006/relationships/printerSettings"/></Relationships>
</file>

<file path=xl/worksheets/_rels/sheet142.xml.rels><?xml version="1.0" encoding="UTF-8" standalone="yes"?><Relationships xmlns="http://schemas.openxmlformats.org/package/2006/relationships"><Relationship Id="rId1" Target="../printerSettings/printerSettings122.bin" Type="http://schemas.openxmlformats.org/officeDocument/2006/relationships/printerSettings"/></Relationships>
</file>

<file path=xl/worksheets/_rels/sheet143.xml.rels><?xml version="1.0" encoding="UTF-8" standalone="yes"?><Relationships xmlns="http://schemas.openxmlformats.org/package/2006/relationships"><Relationship Id="rId1" Target="../printerSettings/printerSettings123.bin" Type="http://schemas.openxmlformats.org/officeDocument/2006/relationships/printerSettings"/></Relationships>
</file>

<file path=xl/worksheets/_rels/sheet144.xml.rels><?xml version="1.0" encoding="UTF-8" standalone="yes"?><Relationships xmlns="http://schemas.openxmlformats.org/package/2006/relationships"><Relationship Id="rId1" Target="../printerSettings/printerSettings124.bin" Type="http://schemas.openxmlformats.org/officeDocument/2006/relationships/printerSettings"/></Relationships>
</file>

<file path=xl/worksheets/_rels/sheet145.xml.rels><?xml version="1.0" encoding="UTF-8" standalone="yes"?><Relationships xmlns="http://schemas.openxmlformats.org/package/2006/relationships"><Relationship Id="rId1" Target="../printerSettings/printerSettings125.bin" Type="http://schemas.openxmlformats.org/officeDocument/2006/relationships/printerSettings"/></Relationships>
</file>

<file path=xl/worksheets/_rels/sheet146.xml.rels><?xml version="1.0" encoding="UTF-8" standalone="yes"?><Relationships xmlns="http://schemas.openxmlformats.org/package/2006/relationships"><Relationship Id="rId1" Target="../printerSettings/printerSettings126.bin" Type="http://schemas.openxmlformats.org/officeDocument/2006/relationships/printerSettings"/></Relationships>
</file>

<file path=xl/worksheets/_rels/sheet147.xml.rels><?xml version="1.0" encoding="UTF-8" standalone="yes"?><Relationships xmlns="http://schemas.openxmlformats.org/package/2006/relationships"><Relationship Id="rId1" Target="../printerSettings/printerSettings127.bin" Type="http://schemas.openxmlformats.org/officeDocument/2006/relationships/printerSettings"/></Relationships>
</file>

<file path=xl/worksheets/_rels/sheet148.xml.rels><?xml version="1.0" encoding="UTF-8" standalone="yes"?><Relationships xmlns="http://schemas.openxmlformats.org/package/2006/relationships"><Relationship Id="rId1" Target="../printerSettings/printerSettings128.bin" Type="http://schemas.openxmlformats.org/officeDocument/2006/relationships/printerSettings"/></Relationships>
</file>

<file path=xl/worksheets/_rels/sheet149.xml.rels><?xml version="1.0" encoding="UTF-8" standalone="yes"?><Relationships xmlns="http://schemas.openxmlformats.org/package/2006/relationships"><Relationship Id="rId1" Target="../printerSettings/printerSettings129.bin" Type="http://schemas.openxmlformats.org/officeDocument/2006/relationships/printerSettings"/></Relationships>
</file>

<file path=xl/worksheets/_rels/sheet150.xml.rels><?xml version="1.0" encoding="UTF-8" standalone="yes"?><Relationships xmlns="http://schemas.openxmlformats.org/package/2006/relationships"><Relationship Id="rId1" Target="../printerSettings/printerSettings130.bin" Type="http://schemas.openxmlformats.org/officeDocument/2006/relationships/printerSettings"/></Relationships>
</file>

<file path=xl/worksheets/_rels/sheet151.xml.rels><?xml version="1.0" encoding="UTF-8" standalone="yes"?><Relationships xmlns="http://schemas.openxmlformats.org/package/2006/relationships"><Relationship Id="rId1" Target="../printerSettings/printerSettings131.bin" Type="http://schemas.openxmlformats.org/officeDocument/2006/relationships/printerSettings"/></Relationships>
</file>

<file path=xl/worksheets/_rels/sheet152.xml.rels><?xml version="1.0" encoding="UTF-8" standalone="yes"?><Relationships xmlns="http://schemas.openxmlformats.org/package/2006/relationships"><Relationship Id="rId1" Target="../printerSettings/printerSettings132.bin" Type="http://schemas.openxmlformats.org/officeDocument/2006/relationships/printerSettings"/></Relationships>
</file>

<file path=xl/worksheets/_rels/sheet153.xml.rels><?xml version="1.0" encoding="UTF-8" standalone="yes"?><Relationships xmlns="http://schemas.openxmlformats.org/package/2006/relationships"><Relationship Id="rId1" Target="../printerSettings/printerSettings133.bin" Type="http://schemas.openxmlformats.org/officeDocument/2006/relationships/printerSettings"/></Relationships>
</file>

<file path=xl/worksheets/_rels/sheet154.xml.rels><?xml version="1.0" encoding="UTF-8" standalone="yes"?><Relationships xmlns="http://schemas.openxmlformats.org/package/2006/relationships"><Relationship Id="rId1" Target="../printerSettings/printerSettings13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20"/>
  <sheetViews>
    <sheetView workbookViewId="0">
      <selection activeCell="H8" sqref="H8"/>
    </sheetView>
  </sheetViews>
  <sheetFormatPr defaultColWidth="8.7109375" defaultRowHeight="15"/>
  <cols>
    <col min="1" max="1" customWidth="true" width="20.7109375"/>
    <col min="2" max="3" customWidth="true" width="12.7109375"/>
    <col min="4" max="4" customWidth="true" width="14.7109375"/>
    <col min="5" max="5" customWidth="true" width="9.85546875"/>
    <col min="6" max="6" customWidth="true" width="14.140625"/>
    <col min="7" max="7" customWidth="true" width="14.85546875"/>
    <col min="8" max="8" customWidth="true" width="22.28515625"/>
    <col min="9" max="9" customWidth="true" width="14.42578125"/>
    <col min="10" max="10" customWidth="true" width="13.0"/>
  </cols>
  <sheetData>
    <row r="1" spans="1:10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</row>
    <row r="2" spans="1:10" s="30" customFormat="1" ht="22.5">
      <c r="A2" s="32" t="s">
        <v>10</v>
      </c>
      <c r="B2" s="33" t="s">
        <v>11</v>
      </c>
      <c r="C2" s="33" t="s">
        <v>12</v>
      </c>
      <c r="D2" s="32" t="s">
        <v>13</v>
      </c>
      <c r="E2" s="32">
        <v>1</v>
      </c>
      <c r="F2" s="32" t="s">
        <v>14</v>
      </c>
      <c r="G2" s="32">
        <v>1010301033</v>
      </c>
      <c r="H2" s="32" t="s">
        <v>15</v>
      </c>
      <c r="I2" s="32" t="s">
        <v>16</v>
      </c>
      <c r="J2" s="32" t="s">
        <v>17</v>
      </c>
    </row>
    <row r="3" spans="1:10" ht="15" customHeight="1">
      <c r="A3" s="32" t="s">
        <v>18</v>
      </c>
      <c r="B3" s="33" t="s">
        <v>11</v>
      </c>
      <c r="C3" s="33" t="s">
        <v>12</v>
      </c>
      <c r="D3" s="32" t="s">
        <v>19</v>
      </c>
      <c r="E3" s="32">
        <v>6</v>
      </c>
      <c r="F3" s="33" t="s">
        <v>20</v>
      </c>
      <c r="G3" s="32">
        <v>1010301033</v>
      </c>
      <c r="H3" s="32" t="s">
        <v>15</v>
      </c>
      <c r="I3" s="32" t="s">
        <v>16</v>
      </c>
      <c r="J3" s="32" t="s">
        <v>17</v>
      </c>
    </row>
    <row r="4" spans="1:10" ht="22.5">
      <c r="A4" s="32" t="s">
        <v>21</v>
      </c>
      <c r="B4" s="33" t="s">
        <v>22</v>
      </c>
      <c r="C4" s="33" t="s">
        <v>22</v>
      </c>
      <c r="D4" s="32" t="s">
        <v>23</v>
      </c>
      <c r="E4" s="32">
        <v>1</v>
      </c>
      <c r="F4" s="33" t="s">
        <v>14</v>
      </c>
      <c r="G4" s="32">
        <v>5010100004</v>
      </c>
      <c r="H4" s="32" t="s">
        <v>24</v>
      </c>
      <c r="I4" s="32" t="s">
        <v>16</v>
      </c>
      <c r="J4" s="32" t="s">
        <v>17</v>
      </c>
    </row>
    <row r="5" spans="1:10">
      <c r="A5" s="34"/>
      <c r="B5" s="34"/>
      <c r="C5" s="34"/>
      <c r="D5" s="34"/>
      <c r="E5" s="34"/>
      <c r="F5" s="34"/>
      <c r="G5" s="34"/>
      <c r="H5" s="34"/>
      <c r="I5" s="34"/>
      <c r="J5" s="34"/>
    </row>
    <row r="6" spans="1:10">
      <c r="A6" s="34"/>
      <c r="B6" s="34"/>
      <c r="C6" s="34"/>
      <c r="D6" s="34"/>
      <c r="E6" s="34"/>
      <c r="F6" s="34"/>
      <c r="G6" s="34"/>
      <c r="H6" s="34"/>
      <c r="I6" s="34"/>
      <c r="J6" s="34"/>
    </row>
    <row r="7" spans="1:10">
      <c r="A7" s="34"/>
      <c r="B7" s="34"/>
      <c r="C7" s="34"/>
      <c r="D7" s="34"/>
      <c r="E7" s="34"/>
      <c r="F7" s="34"/>
      <c r="G7" s="34"/>
      <c r="H7" s="34"/>
      <c r="I7" s="34"/>
      <c r="J7" s="34"/>
    </row>
    <row r="8" spans="1:10">
      <c r="A8" s="34"/>
      <c r="B8" s="34"/>
      <c r="C8" s="34"/>
      <c r="D8" s="34"/>
      <c r="E8" s="34"/>
      <c r="F8" s="34"/>
      <c r="G8" s="34"/>
      <c r="H8" s="34"/>
      <c r="I8" s="34"/>
      <c r="J8" s="34"/>
    </row>
    <row r="9" spans="1:10">
      <c r="A9" s="34"/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/>
      <c r="B10" s="34"/>
      <c r="C10" s="34"/>
      <c r="D10" s="34"/>
      <c r="E10" s="34"/>
      <c r="F10" s="34"/>
      <c r="G10" s="34"/>
      <c r="H10" s="34"/>
      <c r="I10" s="34"/>
      <c r="J10" s="34"/>
    </row>
    <row r="11" spans="1:10">
      <c r="A11" s="34"/>
      <c r="B11" s="34"/>
      <c r="C11" s="34"/>
      <c r="D11" s="34"/>
      <c r="E11" s="34"/>
      <c r="F11" s="34"/>
      <c r="G11" s="34"/>
      <c r="H11" s="34"/>
      <c r="I11" s="34"/>
      <c r="J11" s="34"/>
    </row>
    <row r="12" spans="1:10">
      <c r="A12" s="34"/>
      <c r="B12" s="34"/>
      <c r="C12" s="34"/>
      <c r="D12" s="34"/>
      <c r="E12" s="34"/>
      <c r="F12" s="34"/>
      <c r="G12" s="34"/>
      <c r="H12" s="34"/>
      <c r="I12" s="34"/>
      <c r="J12" s="34"/>
    </row>
    <row r="13" spans="1:10">
      <c r="A13" s="34"/>
      <c r="B13" s="34"/>
      <c r="C13" s="34"/>
      <c r="D13" s="34"/>
      <c r="E13" s="34"/>
      <c r="F13" s="34"/>
      <c r="G13" s="34"/>
      <c r="H13" s="34"/>
      <c r="I13" s="34"/>
      <c r="J13" s="34"/>
    </row>
    <row r="14" spans="1:10">
      <c r="A14" s="34"/>
      <c r="B14" s="34"/>
      <c r="C14" s="34"/>
      <c r="D14" s="34"/>
      <c r="E14" s="34"/>
      <c r="F14" s="34"/>
      <c r="G14" s="34"/>
      <c r="H14" s="34"/>
      <c r="I14" s="34"/>
      <c r="J14" s="34"/>
    </row>
    <row r="15" spans="1:10">
      <c r="A15" s="34"/>
      <c r="B15" s="34"/>
      <c r="C15" s="34"/>
      <c r="D15" s="34"/>
      <c r="E15" s="34"/>
      <c r="F15" s="34"/>
      <c r="G15" s="34"/>
      <c r="H15" s="34"/>
      <c r="I15" s="34"/>
      <c r="J15" s="34"/>
    </row>
    <row r="16" spans="1:10">
      <c r="A16" s="34"/>
      <c r="B16" s="34"/>
      <c r="C16" s="34"/>
      <c r="D16" s="34"/>
      <c r="E16" s="34"/>
      <c r="F16" s="34"/>
      <c r="G16" s="34"/>
      <c r="H16" s="34"/>
      <c r="I16" s="34"/>
      <c r="J16" s="34"/>
    </row>
    <row r="17" spans="1:10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>
      <c r="A18" s="34"/>
      <c r="B18" s="34"/>
      <c r="C18" s="34"/>
      <c r="D18" s="34"/>
      <c r="E18" s="34"/>
      <c r="F18" s="34"/>
      <c r="G18" s="34"/>
      <c r="H18" s="34"/>
      <c r="I18" s="34"/>
      <c r="J18" s="34"/>
    </row>
    <row r="19" spans="1:10">
      <c r="A19" s="34"/>
      <c r="B19" s="34"/>
      <c r="C19" s="34"/>
      <c r="D19" s="34"/>
      <c r="E19" s="34"/>
      <c r="F19" s="34"/>
      <c r="G19" s="34"/>
      <c r="H19" s="34"/>
      <c r="I19" s="34"/>
      <c r="J19" s="34"/>
    </row>
    <row r="20" spans="1:10">
      <c r="A20" s="34"/>
      <c r="B20" s="34"/>
      <c r="C20" s="34"/>
      <c r="D20" s="34"/>
      <c r="E20" s="34"/>
      <c r="F20" s="34"/>
      <c r="G20" s="34"/>
      <c r="H20" s="34"/>
      <c r="I20" s="34"/>
      <c r="J20" s="3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T10"/>
  <sheetViews>
    <sheetView topLeftCell="G1" workbookViewId="0">
      <selection activeCell="M4" sqref="M4"/>
    </sheetView>
  </sheetViews>
  <sheetFormatPr defaultColWidth="8.7109375" defaultRowHeight="15"/>
  <cols>
    <col min="1" max="1" customWidth="true" width="30.0"/>
    <col min="2" max="2" customWidth="true" width="36.42578125"/>
    <col min="3" max="3" customWidth="true" width="6.0"/>
    <col min="4" max="4" customWidth="true" width="13.7109375"/>
    <col min="5" max="5" customWidth="true" width="5.28515625"/>
    <col min="6" max="6" customWidth="true" width="17.28515625"/>
    <col min="7" max="7" customWidth="true" width="30.28515625"/>
    <col min="8" max="8" customWidth="true" width="26.85546875"/>
    <col min="9" max="9" customWidth="true" width="17.28515625"/>
    <col min="10" max="10" customWidth="true" width="13.28515625"/>
    <col min="11" max="11" customWidth="true" width="22.7109375"/>
    <col min="12" max="12" customWidth="true" width="12.7109375"/>
    <col min="13" max="13" customWidth="true" width="29.5703125"/>
    <col min="14" max="14" customWidth="true" width="18.28515625"/>
    <col min="15" max="15" customWidth="true" width="16.28515625"/>
    <col min="16" max="16" customWidth="true" width="15.5703125"/>
    <col min="17" max="17" customWidth="true" width="17.7109375"/>
    <col min="18" max="18" customWidth="true" width="24.140625"/>
    <col min="19" max="19" customWidth="true" width="13.42578125"/>
    <col min="20" max="20" customWidth="true" width="13.5703125"/>
  </cols>
  <sheetData>
    <row r="1" spans="1:20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2</v>
      </c>
      <c r="G1" s="5" t="s">
        <v>1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34</v>
      </c>
      <c r="Q1" s="5" t="s">
        <v>35</v>
      </c>
      <c r="R1" s="5" t="s">
        <v>36</v>
      </c>
      <c r="S1" s="5" t="s">
        <v>37</v>
      </c>
      <c r="T1" s="5" t="s">
        <v>38</v>
      </c>
    </row>
    <row r="2" spans="1:20">
      <c r="A2" s="5" t="s">
        <v>18</v>
      </c>
      <c r="B2" s="5" t="s">
        <v>39</v>
      </c>
      <c r="C2" s="5" t="s">
        <v>20</v>
      </c>
      <c r="D2" s="5" t="s">
        <v>40</v>
      </c>
      <c r="E2" s="5">
        <v>12</v>
      </c>
      <c r="F2" s="25" t="s">
        <v>12</v>
      </c>
      <c r="G2" s="5" t="s">
        <v>11</v>
      </c>
      <c r="H2" s="5" t="s">
        <v>19</v>
      </c>
      <c r="I2" s="5" t="s">
        <v>41</v>
      </c>
      <c r="J2" s="5" t="s">
        <v>14</v>
      </c>
      <c r="K2" s="5">
        <v>6</v>
      </c>
      <c r="L2" s="5">
        <v>1010301033</v>
      </c>
      <c r="M2" s="5" t="s">
        <v>15</v>
      </c>
      <c r="N2" s="5" t="s">
        <v>16</v>
      </c>
      <c r="O2" s="5" t="s">
        <v>17</v>
      </c>
      <c r="P2" s="5"/>
      <c r="Q2" s="5"/>
      <c r="R2" s="5"/>
      <c r="S2" s="5">
        <v>0</v>
      </c>
      <c r="T2" s="5"/>
    </row>
    <row r="3" spans="1:20">
      <c r="A3" s="5" t="s">
        <v>10</v>
      </c>
      <c r="B3" s="5" t="s">
        <v>42</v>
      </c>
      <c r="C3" s="5" t="s">
        <v>14</v>
      </c>
      <c r="D3" s="26" t="s">
        <v>43</v>
      </c>
      <c r="E3" s="5">
        <v>5</v>
      </c>
      <c r="F3" s="5" t="s">
        <v>12</v>
      </c>
      <c r="G3" s="5" t="s">
        <v>11</v>
      </c>
      <c r="H3" s="5" t="s">
        <v>13</v>
      </c>
      <c r="I3" s="5" t="s">
        <v>44</v>
      </c>
      <c r="J3" s="5" t="s">
        <v>14</v>
      </c>
      <c r="K3" s="5">
        <v>1</v>
      </c>
      <c r="L3" s="5">
        <v>1010301033</v>
      </c>
      <c r="M3" s="5" t="s">
        <v>15</v>
      </c>
      <c r="N3" s="5" t="s">
        <v>16</v>
      </c>
      <c r="O3" s="5" t="s">
        <v>17</v>
      </c>
      <c r="P3" s="5"/>
      <c r="Q3" s="5"/>
      <c r="R3" s="5"/>
      <c r="S3" s="5">
        <v>0</v>
      </c>
      <c r="T3" s="5"/>
    </row>
    <row r="4" spans="1:20">
      <c r="A4" s="5" t="s">
        <v>21</v>
      </c>
      <c r="B4" s="5" t="s">
        <v>45</v>
      </c>
      <c r="C4" s="5" t="s">
        <v>14</v>
      </c>
      <c r="D4" s="5">
        <v>123562</v>
      </c>
      <c r="E4" s="5">
        <v>18</v>
      </c>
      <c r="F4" s="5" t="s">
        <v>22</v>
      </c>
      <c r="G4" s="5" t="s">
        <v>22</v>
      </c>
      <c r="H4" s="5" t="s">
        <v>23</v>
      </c>
      <c r="I4" s="5" t="s">
        <v>44</v>
      </c>
      <c r="J4" s="5" t="s">
        <v>14</v>
      </c>
      <c r="K4" s="5">
        <v>1</v>
      </c>
      <c r="L4" s="5">
        <v>1011134888</v>
      </c>
      <c r="M4" s="5" t="s">
        <v>46</v>
      </c>
      <c r="N4" s="5" t="s">
        <v>16</v>
      </c>
      <c r="O4" s="5" t="s">
        <v>17</v>
      </c>
      <c r="P4" s="5"/>
      <c r="Q4" s="5"/>
      <c r="R4" s="5"/>
      <c r="S4" s="5">
        <v>0</v>
      </c>
      <c r="T4" s="5"/>
    </row>
    <row r="5" spans="1:20">
      <c r="A5" s="1" t="s">
        <v>47</v>
      </c>
      <c r="B5" s="1" t="s">
        <v>47</v>
      </c>
      <c r="C5" s="5" t="s">
        <v>14</v>
      </c>
      <c r="D5" s="1" t="s">
        <v>40</v>
      </c>
      <c r="E5" s="1">
        <v>12</v>
      </c>
      <c r="F5" s="1" t="s">
        <v>48</v>
      </c>
      <c r="G5" s="1" t="s">
        <v>49</v>
      </c>
      <c r="H5" s="1" t="s">
        <v>50</v>
      </c>
      <c r="I5" s="1" t="s">
        <v>44</v>
      </c>
      <c r="J5" s="1" t="s">
        <v>14</v>
      </c>
      <c r="K5" s="1">
        <v>1</v>
      </c>
      <c r="L5" s="1">
        <v>1010301001</v>
      </c>
      <c r="M5" s="1" t="s">
        <v>51</v>
      </c>
      <c r="N5" s="1" t="s">
        <v>52</v>
      </c>
      <c r="O5" s="1" t="s">
        <v>53</v>
      </c>
      <c r="P5" s="1"/>
      <c r="Q5" s="1"/>
      <c r="R5" s="1"/>
      <c r="S5" s="5">
        <v>0</v>
      </c>
      <c r="T5" s="1"/>
    </row>
    <row r="6" spans="1:20">
      <c r="A6" s="1" t="s">
        <v>54</v>
      </c>
      <c r="B6" s="1" t="s">
        <v>54</v>
      </c>
      <c r="C6" s="1" t="s">
        <v>14</v>
      </c>
      <c r="D6" s="22" t="s">
        <v>43</v>
      </c>
      <c r="E6" s="0">
        <v>5</v>
      </c>
      <c r="F6" s="27" t="s">
        <v>12</v>
      </c>
      <c r="G6" s="27" t="s">
        <v>11</v>
      </c>
      <c r="H6" s="1" t="s">
        <v>19</v>
      </c>
      <c r="I6" s="1" t="s">
        <v>44</v>
      </c>
      <c r="J6" s="1" t="s">
        <v>14</v>
      </c>
      <c r="K6" s="1">
        <v>1</v>
      </c>
      <c r="L6" s="1">
        <v>1010301033</v>
      </c>
      <c r="M6" s="1" t="s">
        <v>15</v>
      </c>
      <c r="N6" s="1" t="s">
        <v>16</v>
      </c>
      <c r="O6" s="1" t="s">
        <v>17</v>
      </c>
      <c r="P6" s="1"/>
      <c r="Q6" s="1"/>
      <c r="R6" s="1"/>
      <c r="S6" s="5">
        <v>0</v>
      </c>
      <c r="T6" s="1"/>
    </row>
    <row r="7" spans="1:20">
      <c r="A7" s="28" t="s">
        <v>55</v>
      </c>
      <c r="B7" s="28" t="s">
        <v>56</v>
      </c>
      <c r="C7" s="28" t="s">
        <v>20</v>
      </c>
      <c r="D7" s="28" t="s">
        <v>40</v>
      </c>
      <c r="E7" s="28">
        <v>12</v>
      </c>
      <c r="F7" s="29" t="s">
        <v>12</v>
      </c>
      <c r="G7" s="28" t="s">
        <v>11</v>
      </c>
      <c r="H7" s="28" t="s">
        <v>57</v>
      </c>
      <c r="I7" s="28" t="s">
        <v>41</v>
      </c>
      <c r="J7" s="28" t="s">
        <v>14</v>
      </c>
      <c r="K7" s="28">
        <v>3</v>
      </c>
      <c r="L7" s="28">
        <v>1010301003</v>
      </c>
      <c r="M7" s="28" t="s">
        <v>58</v>
      </c>
      <c r="N7" s="28" t="s">
        <v>16</v>
      </c>
      <c r="O7" s="28" t="s">
        <v>17</v>
      </c>
      <c r="P7" s="28"/>
      <c r="Q7" s="28"/>
      <c r="R7" s="28"/>
      <c r="S7" s="28">
        <v>0</v>
      </c>
      <c r="T7" s="28"/>
    </row>
    <row r="8" spans="1:20">
      <c r="A8" s="28" t="s">
        <v>59</v>
      </c>
      <c r="B8" s="28" t="s">
        <v>60</v>
      </c>
      <c r="C8" s="28" t="s">
        <v>14</v>
      </c>
      <c r="D8" s="28" t="s">
        <v>43</v>
      </c>
      <c r="E8" s="28">
        <v>5</v>
      </c>
      <c r="F8" s="29" t="s">
        <v>12</v>
      </c>
      <c r="G8" s="28" t="s">
        <v>11</v>
      </c>
      <c r="H8" s="28" t="s">
        <v>57</v>
      </c>
      <c r="I8" s="28" t="s">
        <v>41</v>
      </c>
      <c r="J8" s="28" t="s">
        <v>14</v>
      </c>
      <c r="K8" s="28">
        <v>0</v>
      </c>
      <c r="L8" s="28">
        <v>1010301003</v>
      </c>
      <c r="M8" s="28" t="s">
        <v>58</v>
      </c>
      <c r="N8" s="28" t="s">
        <v>16</v>
      </c>
      <c r="O8" s="28" t="s">
        <v>17</v>
      </c>
      <c r="P8" s="28"/>
      <c r="Q8" s="28"/>
      <c r="R8" s="28"/>
      <c r="S8" s="28">
        <v>0</v>
      </c>
      <c r="T8" s="28"/>
    </row>
    <row r="9" spans="1:20">
      <c r="A9" s="28" t="s">
        <v>61</v>
      </c>
      <c r="B9" s="28" t="s">
        <v>61</v>
      </c>
      <c r="C9" s="28" t="s">
        <v>14</v>
      </c>
      <c r="D9" s="28" t="s">
        <v>43</v>
      </c>
      <c r="E9" s="28">
        <v>5</v>
      </c>
      <c r="F9" s="29" t="s">
        <v>12</v>
      </c>
      <c r="G9" s="28" t="s">
        <v>11</v>
      </c>
      <c r="H9" s="28" t="s">
        <v>57</v>
      </c>
      <c r="I9" s="28" t="s">
        <v>41</v>
      </c>
      <c r="J9" s="28" t="s">
        <v>14</v>
      </c>
      <c r="K9" s="28">
        <v>0</v>
      </c>
      <c r="L9" s="28">
        <v>1010301003</v>
      </c>
      <c r="M9" s="28" t="s">
        <v>58</v>
      </c>
      <c r="N9" s="28" t="s">
        <v>16</v>
      </c>
      <c r="O9" s="28" t="s">
        <v>17</v>
      </c>
      <c r="P9" s="28"/>
      <c r="Q9" s="28"/>
      <c r="R9" s="28"/>
      <c r="S9" s="28">
        <v>0</v>
      </c>
      <c r="T9" s="28"/>
    </row>
    <row r="10" spans="1:20">
      <c r="A10" s="1" t="s">
        <v>62</v>
      </c>
      <c r="B10" s="1" t="s">
        <v>62</v>
      </c>
      <c r="C10" s="1" t="s">
        <v>14</v>
      </c>
      <c r="D10" s="28" t="s">
        <v>43</v>
      </c>
      <c r="E10" s="28">
        <v>5</v>
      </c>
      <c r="F10" s="5" t="s">
        <v>22</v>
      </c>
      <c r="G10" s="5" t="s">
        <v>22</v>
      </c>
      <c r="H10" s="5" t="s">
        <v>63</v>
      </c>
      <c r="I10" s="5" t="s">
        <v>44</v>
      </c>
      <c r="J10" s="5" t="s">
        <v>14</v>
      </c>
      <c r="K10" s="5">
        <v>1</v>
      </c>
      <c r="L10" s="23">
        <v>1000000001</v>
      </c>
      <c r="M10" s="1" t="s">
        <v>64</v>
      </c>
      <c r="N10" s="1" t="s">
        <v>16</v>
      </c>
      <c r="O10" s="1" t="s">
        <v>17</v>
      </c>
      <c r="P10" s="28"/>
      <c r="Q10" s="28"/>
      <c r="R10" s="28"/>
      <c r="S10" s="28">
        <v>0</v>
      </c>
      <c r="T10" s="28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R3"/>
  <sheetViews>
    <sheetView workbookViewId="0">
      <selection activeCell="D3" sqref="D3:G3"/>
    </sheetView>
  </sheetViews>
  <sheetFormatPr defaultColWidth="8.85546875" defaultRowHeight="15"/>
  <cols>
    <col min="1" max="2" customWidth="true" width="21.0"/>
    <col min="3" max="3" customWidth="true" width="6.0"/>
    <col min="4" max="4" customWidth="true" width="12.7109375"/>
    <col min="5" max="5" customWidth="true" width="19.42578125"/>
    <col min="6" max="6" customWidth="true" width="15.140625"/>
    <col min="7" max="7" customWidth="true" width="15.42578125"/>
    <col min="8" max="8" customWidth="true" width="19.5703125"/>
    <col min="9" max="9" customWidth="true" width="10.85546875"/>
    <col min="10" max="10" customWidth="true" width="17.5703125"/>
    <col min="11" max="11" customWidth="true" width="11.28515625"/>
    <col min="12" max="12" customWidth="true" width="21.7109375"/>
  </cols>
  <sheetData>
    <row r="1" spans="1:18">
      <c r="A1" s="1" t="s">
        <v>25</v>
      </c>
      <c r="B1" s="1" t="s">
        <v>26</v>
      </c>
      <c r="C1" s="1" t="s">
        <v>27</v>
      </c>
      <c r="D1" s="5" t="s">
        <v>6</v>
      </c>
      <c r="E1" s="5" t="s">
        <v>7</v>
      </c>
      <c r="F1" s="5" t="s">
        <v>8</v>
      </c>
      <c r="G1" s="5" t="s">
        <v>9</v>
      </c>
      <c r="H1" s="1" t="s">
        <v>30</v>
      </c>
      <c r="I1" s="1" t="s">
        <v>28</v>
      </c>
      <c r="J1" s="1" t="s">
        <v>31</v>
      </c>
      <c r="K1" s="1" t="s">
        <v>65</v>
      </c>
      <c r="L1" s="1" t="s">
        <v>33</v>
      </c>
      <c r="M1" s="24"/>
      <c r="N1" s="24"/>
      <c r="O1" s="24"/>
      <c r="P1" s="24"/>
      <c r="Q1" s="24"/>
      <c r="R1" s="24"/>
    </row>
    <row r="2" spans="1:18">
      <c r="A2" s="1" t="s">
        <v>54</v>
      </c>
      <c r="B2" s="1" t="s">
        <v>54</v>
      </c>
      <c r="C2" s="1" t="s">
        <v>14</v>
      </c>
      <c r="D2" s="1">
        <v>1010301033</v>
      </c>
      <c r="E2" s="1" t="s">
        <v>15</v>
      </c>
      <c r="F2" s="1" t="s">
        <v>16</v>
      </c>
      <c r="G2" s="1" t="s">
        <v>17</v>
      </c>
      <c r="H2" s="1" t="s">
        <v>19</v>
      </c>
      <c r="I2" s="22" t="s">
        <v>43</v>
      </c>
      <c r="J2" s="1" t="s">
        <v>44</v>
      </c>
      <c r="K2" s="1" t="s">
        <v>14</v>
      </c>
      <c r="L2" s="1">
        <v>1</v>
      </c>
      <c r="M2" s="24"/>
      <c r="N2" s="24"/>
      <c r="O2" s="24"/>
      <c r="P2" s="24"/>
      <c r="Q2" s="24"/>
      <c r="R2" s="24"/>
    </row>
    <row r="3" spans="1:18">
      <c r="A3" s="1" t="s">
        <v>62</v>
      </c>
      <c r="B3" s="1" t="s">
        <v>62</v>
      </c>
      <c r="C3" s="1" t="s">
        <v>14</v>
      </c>
      <c r="D3" s="23">
        <v>1000000001</v>
      </c>
      <c r="E3" s="1" t="s">
        <v>64</v>
      </c>
      <c r="F3" s="1" t="s">
        <v>16</v>
      </c>
      <c r="G3" s="1" t="s">
        <v>17</v>
      </c>
      <c r="H3" s="1" t="s">
        <v>23</v>
      </c>
      <c r="I3" s="22" t="s">
        <v>43</v>
      </c>
      <c r="J3" s="1" t="s">
        <v>44</v>
      </c>
      <c r="K3" s="1" t="s">
        <v>14</v>
      </c>
      <c r="L3" s="1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F3"/>
  <sheetViews>
    <sheetView workbookViewId="0">
      <selection activeCell="B2" sqref="B2"/>
    </sheetView>
  </sheetViews>
  <sheetFormatPr defaultColWidth="8.85546875" defaultRowHeight="15"/>
  <cols>
    <col min="1" max="1" customWidth="true" width="27.140625"/>
    <col min="2" max="2" customWidth="true" width="10.42578125"/>
    <col min="3" max="3" customWidth="true" width="11.42578125"/>
    <col min="4" max="4" customWidth="true" width="11.7109375"/>
    <col min="5" max="5" customWidth="true" width="14.5703125"/>
    <col min="6" max="6" customWidth="true" width="17.7109375"/>
  </cols>
  <sheetData>
    <row r="1" spans="1:6">
      <c r="A1" s="3" t="s">
        <v>0</v>
      </c>
      <c r="B1" s="3" t="s">
        <v>66</v>
      </c>
      <c r="C1" s="3" t="s">
        <v>67</v>
      </c>
      <c r="D1" s="4" t="s">
        <v>68</v>
      </c>
      <c r="E1" s="5" t="s">
        <v>69</v>
      </c>
      <c r="F1" s="5" t="s">
        <v>70</v>
      </c>
    </row>
    <row r="2" spans="1:6">
      <c r="A2" s="1" t="s">
        <v>59</v>
      </c>
      <c r="B2" s="1">
        <v>2</v>
      </c>
      <c r="C2" s="1">
        <v>70</v>
      </c>
      <c r="D2" s="1" t="s">
        <v>71</v>
      </c>
      <c r="E2" s="1"/>
      <c r="F2" s="6" t="s">
        <v>72</v>
      </c>
    </row>
    <row r="3" spans="1:6">
      <c r="A3" s="1" t="s">
        <v>61</v>
      </c>
      <c r="B3" s="1">
        <v>40</v>
      </c>
      <c r="C3" s="1">
        <v>26</v>
      </c>
      <c r="D3" s="1" t="s">
        <v>73</v>
      </c>
      <c r="E3" s="6" t="s">
        <v>74</v>
      </c>
      <c r="F3" s="6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F4"/>
  <sheetViews>
    <sheetView workbookViewId="0">
      <selection activeCell="B2" sqref="B2"/>
    </sheetView>
  </sheetViews>
  <sheetFormatPr defaultColWidth="8.85546875" defaultRowHeight="15"/>
  <cols>
    <col min="1" max="1" customWidth="true" width="27.140625"/>
    <col min="2" max="2" customWidth="true" width="10.42578125"/>
    <col min="3" max="3" customWidth="true" width="11.42578125"/>
    <col min="4" max="4" customWidth="true" width="11.7109375"/>
    <col min="5" max="5" customWidth="true" width="14.5703125"/>
    <col min="6" max="6" customWidth="true" width="17.7109375"/>
  </cols>
  <sheetData>
    <row r="1" spans="1:6">
      <c r="A1" s="3" t="s">
        <v>0</v>
      </c>
      <c r="B1" s="3" t="s">
        <v>66</v>
      </c>
      <c r="C1" s="3" t="s">
        <v>67</v>
      </c>
      <c r="D1" s="4" t="s">
        <v>68</v>
      </c>
      <c r="E1" s="5" t="s">
        <v>69</v>
      </c>
      <c r="F1" s="5" t="s">
        <v>70</v>
      </c>
    </row>
    <row r="2" spans="1:6">
      <c r="A2" s="5" t="s">
        <v>59</v>
      </c>
      <c r="B2" s="1">
        <v>2</v>
      </c>
      <c r="C2" s="1">
        <v>45</v>
      </c>
      <c r="D2" s="1" t="s">
        <v>71</v>
      </c>
      <c r="E2" s="1"/>
      <c r="F2" s="6" t="s">
        <v>75</v>
      </c>
    </row>
    <row r="3" spans="1:6">
      <c r="A3" s="5" t="s">
        <v>76</v>
      </c>
      <c r="B3" s="1">
        <v>40</v>
      </c>
      <c r="C3" s="1">
        <v>26</v>
      </c>
      <c r="D3" s="1" t="s">
        <v>77</v>
      </c>
      <c r="E3" s="6" t="s">
        <v>74</v>
      </c>
      <c r="F3" s="6">
        <v>2</v>
      </c>
    </row>
    <row r="4" spans="1:6">
      <c r="A4" s="5" t="s">
        <v>61</v>
      </c>
      <c r="B4" s="1">
        <v>50</v>
      </c>
      <c r="C4" s="1">
        <v>70</v>
      </c>
      <c r="D4" s="1" t="s">
        <v>73</v>
      </c>
      <c r="E4" s="1" t="s">
        <v>75</v>
      </c>
      <c r="F4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/>
  <dimension ref="A1:C3"/>
  <sheetViews>
    <sheetView workbookViewId="0">
      <selection activeCell="F15" sqref="F15"/>
    </sheetView>
  </sheetViews>
  <sheetFormatPr defaultColWidth="8.85546875" defaultRowHeight="15"/>
  <cols>
    <col min="1" max="1" customWidth="true" width="28.7109375"/>
  </cols>
  <sheetData>
    <row r="1" spans="1:3">
      <c r="A1" t="s" s="0">
        <v>78</v>
      </c>
      <c r="B1" t="s" s="0">
        <v>79</v>
      </c>
      <c r="C1" t="s" s="0">
        <v>80</v>
      </c>
    </row>
    <row r="2" spans="1:3">
      <c r="A2" t="s" s="0">
        <v>81</v>
      </c>
      <c r="B2" s="0">
        <v>100</v>
      </c>
      <c r="C2" s="0">
        <v>34</v>
      </c>
    </row>
    <row r="3" spans="1:3">
      <c r="A3" t="s" s="0">
        <v>82</v>
      </c>
      <c r="B3" s="0">
        <v>50</v>
      </c>
      <c r="C3" s="0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/>
  <dimension ref="A1:G4"/>
  <sheetViews>
    <sheetView workbookViewId="0">
      <selection activeCell="B2" sqref="B2"/>
    </sheetView>
  </sheetViews>
  <sheetFormatPr defaultColWidth="8.85546875" defaultRowHeight="15"/>
  <cols>
    <col min="1" max="1" customWidth="true" width="19.7109375"/>
    <col min="2" max="2" customWidth="true" width="8.140625"/>
    <col min="3" max="3" customWidth="true" width="8.5703125"/>
    <col min="4" max="4" customWidth="true" width="17.85546875"/>
    <col min="5" max="5" customWidth="true" width="12.7109375"/>
    <col min="6" max="6" customWidth="true" width="14.5703125"/>
    <col min="7" max="7" customWidth="true" width="17.7109375"/>
  </cols>
  <sheetData>
    <row r="1" spans="1:7">
      <c r="A1" s="5" t="s">
        <v>83</v>
      </c>
      <c r="B1" s="5" t="s">
        <v>84</v>
      </c>
      <c r="C1" s="5" t="s">
        <v>80</v>
      </c>
      <c r="D1" s="5" t="s">
        <v>85</v>
      </c>
      <c r="E1" s="5" t="s">
        <v>68</v>
      </c>
      <c r="F1" s="5" t="s">
        <v>69</v>
      </c>
      <c r="G1" s="5" t="s">
        <v>70</v>
      </c>
    </row>
    <row r="2" spans="1:7">
      <c r="A2" s="5" t="s">
        <v>86</v>
      </c>
      <c r="B2" s="5">
        <v>2</v>
      </c>
      <c r="C2" s="5">
        <v>524</v>
      </c>
      <c r="D2" s="5">
        <v>2</v>
      </c>
      <c r="E2" s="6" t="s">
        <v>71</v>
      </c>
      <c r="F2" s="6" t="s">
        <v>74</v>
      </c>
      <c r="G2" s="6" t="s">
        <v>87</v>
      </c>
    </row>
    <row r="3" spans="1:7">
      <c r="A3" s="5" t="s">
        <v>88</v>
      </c>
      <c r="B3" s="5">
        <v>232</v>
      </c>
      <c r="C3" s="5">
        <v>232</v>
      </c>
      <c r="D3" s="5">
        <v>7.9</v>
      </c>
      <c r="E3" s="6" t="s">
        <v>73</v>
      </c>
      <c r="F3" s="6" t="s">
        <v>89</v>
      </c>
      <c r="G3" s="1"/>
    </row>
    <row r="4" spans="1:7">
      <c r="A4" s="1" t="s">
        <v>90</v>
      </c>
      <c r="B4" s="1">
        <v>232</v>
      </c>
      <c r="C4" s="1">
        <v>232</v>
      </c>
      <c r="D4" s="1">
        <v>2.3199999999999998</v>
      </c>
      <c r="E4" s="6" t="s">
        <v>77</v>
      </c>
      <c r="F4" s="1"/>
      <c r="G4" s="1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/>
  <dimension ref="A1:G4"/>
  <sheetViews>
    <sheetView workbookViewId="0">
      <selection activeCell="E5" sqref="E5"/>
    </sheetView>
  </sheetViews>
  <sheetFormatPr defaultColWidth="8.85546875" defaultRowHeight="15"/>
  <cols>
    <col min="1" max="1" customWidth="true" width="19.7109375"/>
    <col min="2" max="2" customWidth="true" width="8.140625"/>
    <col min="3" max="3" customWidth="true" width="8.5703125"/>
    <col min="4" max="4" customWidth="true" width="17.85546875"/>
    <col min="5" max="5" customWidth="true" width="12.7109375"/>
    <col min="6" max="6" customWidth="true" width="14.5703125"/>
    <col min="7" max="7" customWidth="true" width="17.7109375"/>
  </cols>
  <sheetData>
    <row r="1" spans="1:7">
      <c r="A1" s="5" t="s">
        <v>83</v>
      </c>
      <c r="B1" s="5" t="s">
        <v>84</v>
      </c>
      <c r="C1" s="5" t="s">
        <v>80</v>
      </c>
      <c r="D1" s="5" t="s">
        <v>85</v>
      </c>
      <c r="E1" s="5" t="s">
        <v>68</v>
      </c>
      <c r="F1" s="5" t="s">
        <v>69</v>
      </c>
      <c r="G1" s="5" t="s">
        <v>70</v>
      </c>
    </row>
    <row r="2" spans="1:7">
      <c r="A2" s="5" t="s">
        <v>86</v>
      </c>
      <c r="B2" s="5">
        <v>2</v>
      </c>
      <c r="C2" s="5">
        <v>524</v>
      </c>
      <c r="D2" s="5">
        <v>2</v>
      </c>
      <c r="E2" s="6" t="s">
        <v>71</v>
      </c>
      <c r="F2" s="6" t="s">
        <v>74</v>
      </c>
      <c r="G2" s="6" t="s">
        <v>87</v>
      </c>
    </row>
    <row r="3" spans="1:7">
      <c r="A3" s="5" t="s">
        <v>88</v>
      </c>
      <c r="B3" s="5">
        <v>34</v>
      </c>
      <c r="C3" s="5">
        <v>232</v>
      </c>
      <c r="D3" s="5">
        <v>7.9</v>
      </c>
      <c r="E3" s="6" t="s">
        <v>73</v>
      </c>
      <c r="F3" s="6" t="s">
        <v>89</v>
      </c>
      <c r="G3" s="1"/>
    </row>
    <row r="4" spans="1:7">
      <c r="A4" s="1" t="s">
        <v>90</v>
      </c>
      <c r="B4" s="1">
        <v>67</v>
      </c>
      <c r="C4" s="1">
        <v>232</v>
      </c>
      <c r="D4" s="1">
        <v>2.3199999999999998</v>
      </c>
      <c r="E4" s="6" t="s">
        <v>77</v>
      </c>
      <c r="F4" s="1"/>
      <c r="G4" s="1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/>
  <dimension ref="A1:S17"/>
  <sheetViews>
    <sheetView workbookViewId="0">
      <selection activeCell="D25" sqref="D25"/>
    </sheetView>
  </sheetViews>
  <sheetFormatPr defaultColWidth="8.85546875" defaultRowHeight="15"/>
  <cols>
    <col min="1" max="1" customWidth="true" width="39.7109375"/>
    <col min="2" max="2" customWidth="true" width="10.140625"/>
    <col min="3" max="3" customWidth="true" width="39.7109375"/>
    <col min="4" max="4" customWidth="true" width="11.0"/>
    <col min="5" max="5" customWidth="true" width="13.28515625"/>
    <col min="6" max="6" customWidth="true" width="8.85546875"/>
    <col min="7" max="7" customWidth="true" width="17.85546875"/>
    <col min="8" max="8" customWidth="true" width="19.5703125"/>
    <col min="9" max="9" customWidth="true" width="23.7109375"/>
    <col min="10" max="10" customWidth="true" width="12.7109375"/>
    <col min="11" max="11" customWidth="true" width="11.85546875"/>
    <col min="12" max="12" customWidth="true" width="17.42578125"/>
    <col min="13" max="14" customWidth="true" width="39.7109375"/>
    <col min="15" max="15" customWidth="true" width="25.7109375"/>
    <col min="16" max="17" customWidth="true" width="16.5703125"/>
    <col min="18" max="18" customWidth="true" width="11.5703125"/>
    <col min="19" max="19" customWidth="true" width="14.85546875"/>
  </cols>
  <sheetData>
    <row r="1" spans="1:19">
      <c r="A1" s="1" t="s">
        <v>91</v>
      </c>
      <c r="B1" s="1" t="s">
        <v>92</v>
      </c>
      <c r="C1" s="1" t="s">
        <v>93</v>
      </c>
      <c r="D1" s="1" t="s">
        <v>94</v>
      </c>
      <c r="E1" s="1" t="s">
        <v>28</v>
      </c>
      <c r="F1" s="1" t="s">
        <v>95</v>
      </c>
      <c r="G1" s="1" t="s">
        <v>96</v>
      </c>
      <c r="H1" s="1" t="s">
        <v>34</v>
      </c>
      <c r="I1" s="1" t="s">
        <v>97</v>
      </c>
      <c r="J1" s="1" t="s">
        <v>32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</v>
      </c>
      <c r="R1" s="1" t="s">
        <v>104</v>
      </c>
      <c r="S1" s="14" t="s">
        <v>105</v>
      </c>
    </row>
    <row r="2" spans="1:19">
      <c r="A2" s="19" t="s">
        <v>106</v>
      </c>
      <c r="B2" s="1">
        <v>0</v>
      </c>
      <c r="C2" s="19" t="s">
        <v>106</v>
      </c>
      <c r="D2" s="1" t="s">
        <v>14</v>
      </c>
      <c r="E2" s="1" t="s">
        <v>40</v>
      </c>
      <c r="F2" s="1">
        <v>12</v>
      </c>
      <c r="G2" s="1" t="s">
        <v>41</v>
      </c>
      <c r="H2" s="1"/>
      <c r="I2" s="1"/>
      <c r="J2" s="1" t="s">
        <v>14</v>
      </c>
      <c r="K2" s="1">
        <v>1</v>
      </c>
      <c r="L2" s="1" t="s">
        <v>107</v>
      </c>
      <c r="M2" s="1"/>
      <c r="N2" s="1"/>
      <c r="O2" s="6" t="s">
        <v>13</v>
      </c>
      <c r="P2" s="6" t="s">
        <v>15</v>
      </c>
      <c r="Q2" s="6" t="s">
        <v>15</v>
      </c>
      <c r="R2" s="1" t="s">
        <v>108</v>
      </c>
      <c r="S2" s="18" t="s">
        <v>109</v>
      </c>
    </row>
    <row r="3" spans="1:19">
      <c r="A3" s="19" t="s">
        <v>110</v>
      </c>
      <c r="B3" s="1">
        <v>0</v>
      </c>
      <c r="C3" s="19" t="s">
        <v>110</v>
      </c>
      <c r="D3" s="1" t="s">
        <v>14</v>
      </c>
      <c r="E3" s="19">
        <v>772213</v>
      </c>
      <c r="F3" s="1">
        <v>5</v>
      </c>
      <c r="G3" s="1" t="s">
        <v>41</v>
      </c>
      <c r="H3" s="1"/>
      <c r="I3" s="1"/>
      <c r="J3" s="1" t="s">
        <v>20</v>
      </c>
      <c r="K3" s="1">
        <v>3</v>
      </c>
      <c r="L3" s="1" t="s">
        <v>107</v>
      </c>
      <c r="M3" s="1"/>
      <c r="N3" s="1"/>
      <c r="O3" s="6" t="s">
        <v>13</v>
      </c>
      <c r="P3" s="6" t="s">
        <v>15</v>
      </c>
      <c r="Q3" s="6" t="s">
        <v>15</v>
      </c>
      <c r="R3" s="1" t="s">
        <v>108</v>
      </c>
      <c r="S3" s="18" t="s">
        <v>109</v>
      </c>
    </row>
    <row r="4" spans="1:19">
      <c r="A4" s="1" t="s">
        <v>111</v>
      </c>
      <c r="B4" s="1">
        <v>0</v>
      </c>
      <c r="C4" s="1" t="s">
        <v>111</v>
      </c>
      <c r="D4" s="14" t="s">
        <v>14</v>
      </c>
      <c r="E4" s="1" t="s">
        <v>40</v>
      </c>
      <c r="F4" s="1">
        <v>12</v>
      </c>
      <c r="G4" s="14" t="s">
        <v>112</v>
      </c>
      <c r="H4" s="1"/>
      <c r="I4" s="1"/>
      <c r="J4" s="1" t="s">
        <v>14</v>
      </c>
      <c r="K4" s="1">
        <v>1</v>
      </c>
      <c r="L4" s="1" t="s">
        <v>107</v>
      </c>
      <c r="M4" s="1" t="s">
        <v>111</v>
      </c>
      <c r="N4" s="1" t="s">
        <v>111</v>
      </c>
      <c r="O4" s="6" t="s">
        <v>13</v>
      </c>
      <c r="P4" s="6" t="s">
        <v>15</v>
      </c>
      <c r="Q4" s="6" t="s">
        <v>15</v>
      </c>
      <c r="R4" s="1" t="s">
        <v>108</v>
      </c>
      <c r="S4" s="18" t="s">
        <v>109</v>
      </c>
    </row>
    <row r="5" spans="1:19">
      <c r="A5" s="1" t="s">
        <v>113</v>
      </c>
      <c r="B5" s="14">
        <v>0</v>
      </c>
      <c r="C5" s="1" t="s">
        <v>113</v>
      </c>
      <c r="D5" s="14" t="s">
        <v>14</v>
      </c>
      <c r="E5" s="1" t="s">
        <v>40</v>
      </c>
      <c r="F5" s="1">
        <v>12</v>
      </c>
      <c r="G5" s="14" t="s">
        <v>112</v>
      </c>
      <c r="H5" s="1"/>
      <c r="I5" s="1"/>
      <c r="J5" s="14" t="s">
        <v>20</v>
      </c>
      <c r="K5" s="14">
        <v>2</v>
      </c>
      <c r="L5" s="1" t="s">
        <v>107</v>
      </c>
      <c r="M5" s="1" t="s">
        <v>113</v>
      </c>
      <c r="N5" s="1" t="s">
        <v>113</v>
      </c>
      <c r="O5" s="6" t="s">
        <v>13</v>
      </c>
      <c r="P5" s="6" t="s">
        <v>15</v>
      </c>
      <c r="Q5" s="6" t="s">
        <v>15</v>
      </c>
      <c r="R5" s="1" t="s">
        <v>108</v>
      </c>
      <c r="S5" s="18" t="s">
        <v>109</v>
      </c>
    </row>
    <row r="6" spans="1:19">
      <c r="A6" s="14" t="s">
        <v>114</v>
      </c>
      <c r="B6" s="14">
        <v>0</v>
      </c>
      <c r="C6" s="1" t="s">
        <v>114</v>
      </c>
      <c r="D6" s="14" t="s">
        <v>14</v>
      </c>
      <c r="E6" s="14" t="s">
        <v>40</v>
      </c>
      <c r="F6" s="14">
        <v>12</v>
      </c>
      <c r="G6" s="14" t="s">
        <v>115</v>
      </c>
      <c r="H6" s="14" t="s">
        <v>116</v>
      </c>
      <c r="I6" s="1"/>
      <c r="J6" s="14" t="s">
        <v>14</v>
      </c>
      <c r="K6" s="14">
        <v>1</v>
      </c>
      <c r="L6" s="1" t="s">
        <v>107</v>
      </c>
      <c r="M6" s="14" t="s">
        <v>114</v>
      </c>
      <c r="N6" s="14" t="s">
        <v>114</v>
      </c>
      <c r="O6" s="6" t="s">
        <v>13</v>
      </c>
      <c r="P6" s="6" t="s">
        <v>15</v>
      </c>
      <c r="Q6" s="6" t="s">
        <v>15</v>
      </c>
      <c r="R6" s="1" t="s">
        <v>108</v>
      </c>
      <c r="S6" s="18" t="s">
        <v>109</v>
      </c>
    </row>
    <row r="7" spans="1:19">
      <c r="A7" s="14" t="s">
        <v>117</v>
      </c>
      <c r="B7" s="14">
        <v>0</v>
      </c>
      <c r="C7" s="1" t="s">
        <v>117</v>
      </c>
      <c r="D7" s="14" t="s">
        <v>14</v>
      </c>
      <c r="E7" s="14" t="s">
        <v>40</v>
      </c>
      <c r="F7" s="14">
        <v>12</v>
      </c>
      <c r="G7" s="14" t="s">
        <v>115</v>
      </c>
      <c r="H7" s="14" t="s">
        <v>118</v>
      </c>
      <c r="I7" s="1"/>
      <c r="J7" s="14" t="s">
        <v>20</v>
      </c>
      <c r="K7" s="14">
        <v>4</v>
      </c>
      <c r="L7" s="1" t="s">
        <v>107</v>
      </c>
      <c r="M7" s="14" t="s">
        <v>117</v>
      </c>
      <c r="N7" s="14" t="s">
        <v>117</v>
      </c>
      <c r="O7" s="6" t="s">
        <v>13</v>
      </c>
      <c r="P7" s="6" t="s">
        <v>15</v>
      </c>
      <c r="Q7" s="6" t="s">
        <v>15</v>
      </c>
      <c r="R7" s="1" t="s">
        <v>108</v>
      </c>
      <c r="S7" s="18" t="s">
        <v>109</v>
      </c>
    </row>
    <row r="8" spans="1:19">
      <c r="A8" s="1" t="s">
        <v>119</v>
      </c>
      <c r="B8" s="14">
        <v>0</v>
      </c>
      <c r="C8" s="1" t="s">
        <v>119</v>
      </c>
      <c r="D8" s="14" t="s">
        <v>14</v>
      </c>
      <c r="E8" s="1" t="s">
        <v>120</v>
      </c>
      <c r="F8" s="14">
        <v>5</v>
      </c>
      <c r="G8" s="14" t="s">
        <v>121</v>
      </c>
      <c r="H8" s="1"/>
      <c r="I8" s="1">
        <v>95</v>
      </c>
      <c r="J8" s="14" t="s">
        <v>14</v>
      </c>
      <c r="K8" s="14">
        <v>1</v>
      </c>
      <c r="L8" s="1" t="s">
        <v>107</v>
      </c>
      <c r="M8" s="1" t="s">
        <v>119</v>
      </c>
      <c r="N8" s="1" t="s">
        <v>119</v>
      </c>
      <c r="O8" s="6" t="s">
        <v>13</v>
      </c>
      <c r="P8" s="6" t="s">
        <v>15</v>
      </c>
      <c r="Q8" s="6" t="s">
        <v>15</v>
      </c>
      <c r="R8" s="1" t="s">
        <v>108</v>
      </c>
      <c r="S8" s="18" t="s">
        <v>109</v>
      </c>
    </row>
    <row r="9" spans="1:19">
      <c r="A9" s="14" t="s">
        <v>122</v>
      </c>
      <c r="B9" s="14">
        <v>0</v>
      </c>
      <c r="C9" s="1" t="s">
        <v>122</v>
      </c>
      <c r="D9" s="14" t="s">
        <v>14</v>
      </c>
      <c r="E9" s="14" t="s">
        <v>40</v>
      </c>
      <c r="F9" s="14">
        <v>12</v>
      </c>
      <c r="G9" s="14" t="s">
        <v>121</v>
      </c>
      <c r="H9" s="1"/>
      <c r="I9" s="1">
        <v>97</v>
      </c>
      <c r="J9" s="14" t="s">
        <v>20</v>
      </c>
      <c r="K9" s="14">
        <v>4</v>
      </c>
      <c r="L9" s="1" t="s">
        <v>107</v>
      </c>
      <c r="M9" s="14" t="s">
        <v>122</v>
      </c>
      <c r="N9" s="14" t="s">
        <v>122</v>
      </c>
      <c r="O9" s="6" t="s">
        <v>13</v>
      </c>
      <c r="P9" s="6" t="s">
        <v>15</v>
      </c>
      <c r="Q9" s="6" t="s">
        <v>15</v>
      </c>
      <c r="R9" s="1" t="s">
        <v>108</v>
      </c>
      <c r="S9" s="18" t="s">
        <v>109</v>
      </c>
    </row>
    <row r="10" spans="1:19">
      <c r="A10" s="1" t="s">
        <v>123</v>
      </c>
      <c r="B10" s="1">
        <v>0</v>
      </c>
      <c r="C10" s="1" t="s">
        <v>123</v>
      </c>
      <c r="D10" s="1" t="s">
        <v>14</v>
      </c>
      <c r="E10" s="1" t="s">
        <v>40</v>
      </c>
      <c r="F10" s="1">
        <v>12</v>
      </c>
      <c r="G10" s="1" t="s">
        <v>124</v>
      </c>
      <c r="H10" s="1"/>
      <c r="I10" s="1"/>
      <c r="J10" s="1" t="s">
        <v>14</v>
      </c>
      <c r="K10" s="1">
        <v>1</v>
      </c>
      <c r="L10" s="1" t="s">
        <v>107</v>
      </c>
      <c r="M10" s="1" t="s">
        <v>123</v>
      </c>
      <c r="N10" s="1" t="s">
        <v>123</v>
      </c>
      <c r="O10" s="1" t="s">
        <v>13</v>
      </c>
      <c r="P10" s="1" t="s">
        <v>15</v>
      </c>
      <c r="Q10" s="1" t="s">
        <v>15</v>
      </c>
      <c r="R10" s="1" t="s">
        <v>108</v>
      </c>
      <c r="S10" s="1" t="s">
        <v>109</v>
      </c>
    </row>
    <row r="11" spans="1:19">
      <c r="A11" s="1" t="s">
        <v>125</v>
      </c>
      <c r="B11" s="1">
        <v>0</v>
      </c>
      <c r="C11" s="1" t="s">
        <v>125</v>
      </c>
      <c r="D11" s="1" t="s">
        <v>14</v>
      </c>
      <c r="E11" s="1" t="s">
        <v>40</v>
      </c>
      <c r="F11" s="1">
        <v>12</v>
      </c>
      <c r="G11" s="1" t="s">
        <v>124</v>
      </c>
      <c r="H11" s="1"/>
      <c r="I11" s="1"/>
      <c r="J11" s="1" t="s">
        <v>20</v>
      </c>
      <c r="K11" s="1">
        <v>4</v>
      </c>
      <c r="L11" s="1" t="s">
        <v>107</v>
      </c>
      <c r="M11" s="1" t="s">
        <v>125</v>
      </c>
      <c r="N11" s="1" t="s">
        <v>125</v>
      </c>
      <c r="O11" s="1" t="s">
        <v>13</v>
      </c>
      <c r="P11" s="1" t="s">
        <v>15</v>
      </c>
      <c r="Q11" s="1" t="s">
        <v>15</v>
      </c>
      <c r="R11" s="1" t="s">
        <v>108</v>
      </c>
      <c r="S11" s="1" t="s">
        <v>109</v>
      </c>
    </row>
    <row r="12" spans="1:19">
      <c r="A12" s="1" t="s">
        <v>126</v>
      </c>
      <c r="B12" s="14">
        <v>0</v>
      </c>
      <c r="C12" s="1" t="s">
        <v>126</v>
      </c>
      <c r="D12" s="1" t="s">
        <v>14</v>
      </c>
      <c r="E12" s="19">
        <v>772213</v>
      </c>
      <c r="F12" s="1">
        <v>5</v>
      </c>
      <c r="G12" s="1" t="s">
        <v>41</v>
      </c>
      <c r="H12" s="1"/>
      <c r="I12" s="1"/>
      <c r="J12" s="1" t="s">
        <v>14</v>
      </c>
      <c r="K12" s="14">
        <v>1</v>
      </c>
      <c r="L12" s="1" t="s">
        <v>107</v>
      </c>
      <c r="M12" s="1"/>
      <c r="N12" s="1"/>
      <c r="O12" s="1" t="s">
        <v>57</v>
      </c>
      <c r="P12" s="1" t="s">
        <v>127</v>
      </c>
      <c r="Q12" s="1" t="s">
        <v>127</v>
      </c>
      <c r="R12" s="1" t="s">
        <v>108</v>
      </c>
      <c r="S12" s="1" t="s">
        <v>109</v>
      </c>
    </row>
    <row r="13" spans="1:19">
      <c r="A13" s="1" t="s">
        <v>128</v>
      </c>
      <c r="B13" s="14">
        <v>0</v>
      </c>
      <c r="C13" s="1" t="s">
        <v>129</v>
      </c>
      <c r="D13" s="14" t="s">
        <v>14</v>
      </c>
      <c r="E13" s="19">
        <v>772213</v>
      </c>
      <c r="F13" s="14">
        <v>5</v>
      </c>
      <c r="G13" s="1" t="s">
        <v>41</v>
      </c>
      <c r="H13" s="1"/>
      <c r="I13" s="1"/>
      <c r="J13" s="1" t="s">
        <v>14</v>
      </c>
      <c r="K13" s="1">
        <v>1</v>
      </c>
      <c r="L13" s="1" t="s">
        <v>107</v>
      </c>
      <c r="M13" s="1"/>
      <c r="N13" s="1"/>
      <c r="O13" s="1"/>
      <c r="P13" s="1" t="s">
        <v>22</v>
      </c>
      <c r="Q13" s="1" t="s">
        <v>22</v>
      </c>
      <c r="R13" s="1" t="s">
        <v>108</v>
      </c>
      <c r="S13" s="1" t="s">
        <v>109</v>
      </c>
    </row>
    <row r="14" spans="1:19">
      <c r="A14" s="1" t="s">
        <v>130</v>
      </c>
      <c r="B14" s="14">
        <v>0</v>
      </c>
      <c r="C14" s="14" t="s">
        <v>131</v>
      </c>
      <c r="D14" s="14" t="s">
        <v>14</v>
      </c>
      <c r="E14" s="19">
        <v>772213</v>
      </c>
      <c r="F14" s="14">
        <v>5</v>
      </c>
      <c r="G14" s="1" t="s">
        <v>41</v>
      </c>
      <c r="H14" s="1"/>
      <c r="I14" s="1"/>
      <c r="J14" s="14" t="s">
        <v>14</v>
      </c>
      <c r="K14" s="14">
        <v>1</v>
      </c>
      <c r="L14" s="14" t="s">
        <v>107</v>
      </c>
      <c r="M14" s="1"/>
      <c r="N14" s="1"/>
      <c r="O14" s="1" t="s">
        <v>57</v>
      </c>
      <c r="P14" s="1" t="s">
        <v>12</v>
      </c>
      <c r="Q14" s="1" t="s">
        <v>11</v>
      </c>
      <c r="R14" s="1" t="s">
        <v>108</v>
      </c>
      <c r="S14" s="1" t="s">
        <v>132</v>
      </c>
    </row>
    <row r="15" spans="1:19">
      <c r="A15" s="1" t="s">
        <v>133</v>
      </c>
      <c r="B15" s="14">
        <v>0</v>
      </c>
      <c r="C15" s="1" t="s">
        <v>134</v>
      </c>
      <c r="D15" s="6" t="s">
        <v>14</v>
      </c>
      <c r="E15" s="21" t="s">
        <v>135</v>
      </c>
      <c r="F15" s="14">
        <v>12</v>
      </c>
      <c r="G15" s="1" t="s">
        <v>41</v>
      </c>
      <c r="H15" s="1"/>
      <c r="I15" s="1"/>
      <c r="J15" s="14" t="s">
        <v>14</v>
      </c>
      <c r="K15" s="14">
        <v>1</v>
      </c>
      <c r="L15" s="14" t="s">
        <v>107</v>
      </c>
      <c r="M15" s="1"/>
      <c r="N15" s="1"/>
      <c r="O15" s="6" t="s">
        <v>13</v>
      </c>
      <c r="P15" s="1" t="s">
        <v>12</v>
      </c>
      <c r="Q15" s="1" t="s">
        <v>11</v>
      </c>
      <c r="R15" s="1" t="s">
        <v>108</v>
      </c>
      <c r="S15" s="1" t="s">
        <v>109</v>
      </c>
    </row>
    <row r="16" spans="1:19">
      <c r="A16" s="1" t="s">
        <v>136</v>
      </c>
      <c r="B16" s="14">
        <v>0</v>
      </c>
      <c r="C16" s="1" t="s">
        <v>136</v>
      </c>
      <c r="D16" s="35" t="s">
        <v>137</v>
      </c>
      <c r="E16" s="1">
        <v>88363222</v>
      </c>
      <c r="F16" s="1">
        <v>18</v>
      </c>
      <c r="G16" s="1" t="s">
        <v>41</v>
      </c>
      <c r="H16" s="1"/>
      <c r="I16" s="1"/>
      <c r="J16" s="35" t="s">
        <v>14</v>
      </c>
      <c r="K16" s="22" t="s">
        <v>138</v>
      </c>
      <c r="L16" s="35" t="s">
        <v>107</v>
      </c>
      <c r="M16" s="1"/>
      <c r="N16" s="1"/>
      <c r="O16" s="1" t="s">
        <v>13</v>
      </c>
      <c r="P16" s="1" t="s">
        <v>15</v>
      </c>
      <c r="Q16" s="1" t="s">
        <v>15</v>
      </c>
      <c r="R16" s="1" t="s">
        <v>108</v>
      </c>
      <c r="S16" s="1" t="s">
        <v>109</v>
      </c>
    </row>
    <row r="17" spans="1:19">
      <c r="A17" s="35" t="s">
        <v>139</v>
      </c>
      <c r="B17" s="1">
        <v>0</v>
      </c>
      <c r="C17" s="35" t="s">
        <v>139</v>
      </c>
      <c r="D17" s="35" t="s">
        <v>137</v>
      </c>
      <c r="E17" s="1">
        <v>88363222</v>
      </c>
      <c r="F17" s="1">
        <v>18</v>
      </c>
      <c r="G17" s="1" t="s">
        <v>41</v>
      </c>
      <c r="H17" s="1"/>
      <c r="I17" s="1"/>
      <c r="J17" s="35" t="s">
        <v>14</v>
      </c>
      <c r="K17" s="22" t="s">
        <v>138</v>
      </c>
      <c r="L17" s="35" t="s">
        <v>107</v>
      </c>
      <c r="M17" s="1"/>
      <c r="N17" s="1"/>
      <c r="O17" s="1" t="s">
        <v>13</v>
      </c>
      <c r="P17" s="1" t="s">
        <v>15</v>
      </c>
      <c r="Q17" s="1" t="s">
        <v>15</v>
      </c>
      <c r="R17" s="1" t="s">
        <v>108</v>
      </c>
      <c r="S17" s="1" t="s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/>
  <dimension ref="A1:K6"/>
  <sheetViews>
    <sheetView workbookViewId="0">
      <selection activeCell="A6" sqref="A6:K6"/>
    </sheetView>
  </sheetViews>
  <sheetFormatPr defaultColWidth="8.85546875" defaultRowHeight="15"/>
  <cols>
    <col min="1" max="1" customWidth="true" width="9.0"/>
    <col min="2" max="2" customWidth="true" width="25.7109375"/>
    <col min="3" max="3" customWidth="true" width="12.42578125"/>
    <col min="4" max="4" customWidth="true" width="16.28515625"/>
    <col min="5" max="5" customWidth="true" width="20.28515625"/>
    <col min="6" max="6" customWidth="true" width="25.7109375"/>
    <col min="7" max="7" customWidth="true" width="12.28515625"/>
    <col min="8" max="8" customWidth="true" width="14.5703125"/>
    <col min="9" max="9" customWidth="true" width="28.5703125"/>
    <col min="10" max="10" customWidth="true" width="23.0"/>
    <col min="11" max="11" customWidth="true" width="14.7109375"/>
  </cols>
  <sheetData>
    <row r="1" spans="1:11">
      <c r="A1" s="6" t="s">
        <v>140</v>
      </c>
      <c r="B1" s="6" t="s">
        <v>141</v>
      </c>
      <c r="C1" s="6" t="s">
        <v>142</v>
      </c>
      <c r="D1" s="6" t="s">
        <v>143</v>
      </c>
      <c r="E1" s="6" t="s">
        <v>144</v>
      </c>
      <c r="F1" s="18" t="s">
        <v>145</v>
      </c>
      <c r="G1" s="18" t="s">
        <v>146</v>
      </c>
      <c r="H1" s="18" t="s">
        <v>147</v>
      </c>
      <c r="I1" s="18" t="s">
        <v>148</v>
      </c>
      <c r="J1" s="18" t="s">
        <v>149</v>
      </c>
      <c r="K1" s="18" t="s">
        <v>150</v>
      </c>
    </row>
    <row r="2" spans="1:11">
      <c r="A2" s="6" t="s">
        <v>151</v>
      </c>
      <c r="B2" s="6" t="s">
        <v>152</v>
      </c>
      <c r="C2" s="6" t="s">
        <v>153</v>
      </c>
      <c r="D2" s="6" t="s">
        <v>154</v>
      </c>
      <c r="E2" s="6" t="s">
        <v>155</v>
      </c>
      <c r="F2" s="1" t="s">
        <v>152</v>
      </c>
      <c r="G2" s="1" t="s">
        <v>156</v>
      </c>
      <c r="H2" s="1" t="s">
        <v>157</v>
      </c>
      <c r="I2" s="1" t="s">
        <v>158</v>
      </c>
      <c r="J2" s="1" t="s">
        <v>159</v>
      </c>
      <c r="K2" s="1" t="s">
        <v>160</v>
      </c>
    </row>
    <row r="3" spans="1:11">
      <c r="A3" s="19" t="s">
        <v>161</v>
      </c>
      <c r="B3" s="1" t="s">
        <v>162</v>
      </c>
      <c r="C3" s="6" t="s">
        <v>153</v>
      </c>
      <c r="D3" s="1" t="s">
        <v>163</v>
      </c>
      <c r="E3" s="1" t="s">
        <v>163</v>
      </c>
      <c r="F3" s="1" t="s">
        <v>162</v>
      </c>
      <c r="G3" s="1" t="s">
        <v>164</v>
      </c>
      <c r="H3" s="1" t="s">
        <v>164</v>
      </c>
      <c r="I3" s="1" t="s">
        <v>165</v>
      </c>
      <c r="J3" s="1" t="s">
        <v>159</v>
      </c>
      <c r="K3" s="1" t="s">
        <v>160</v>
      </c>
    </row>
    <row r="4" spans="1:11">
      <c r="A4" s="1" t="s">
        <v>166</v>
      </c>
      <c r="B4" s="1" t="s">
        <v>167</v>
      </c>
      <c r="C4" s="6" t="s">
        <v>168</v>
      </c>
      <c r="D4" s="6" t="s">
        <v>169</v>
      </c>
      <c r="E4" s="6" t="s">
        <v>169</v>
      </c>
      <c r="F4" s="1" t="s">
        <v>167</v>
      </c>
      <c r="G4" s="1" t="s">
        <v>170</v>
      </c>
      <c r="H4" s="1" t="s">
        <v>171</v>
      </c>
      <c r="I4" s="1" t="s">
        <v>172</v>
      </c>
      <c r="J4" s="1" t="s">
        <v>159</v>
      </c>
      <c r="K4" s="1" t="s">
        <v>173</v>
      </c>
    </row>
    <row r="5" spans="1:11">
      <c r="A5" s="1" t="s">
        <v>174</v>
      </c>
      <c r="B5" s="1" t="s">
        <v>175</v>
      </c>
      <c r="C5" s="6" t="s">
        <v>168</v>
      </c>
      <c r="D5" s="1" t="s">
        <v>176</v>
      </c>
      <c r="E5" s="1" t="s">
        <v>176</v>
      </c>
      <c r="F5" s="1" t="s">
        <v>175</v>
      </c>
      <c r="G5" s="1" t="s">
        <v>177</v>
      </c>
      <c r="H5" s="1" t="s">
        <v>178</v>
      </c>
      <c r="I5" s="1" t="s">
        <v>172</v>
      </c>
      <c r="J5" s="1" t="s">
        <v>159</v>
      </c>
      <c r="K5" s="1" t="s">
        <v>173</v>
      </c>
    </row>
    <row r="6" spans="1:11">
      <c r="A6" s="14" t="s">
        <v>179</v>
      </c>
      <c r="B6" s="14" t="s">
        <v>180</v>
      </c>
      <c r="C6" s="20" t="s">
        <v>168</v>
      </c>
      <c r="D6" s="20" t="s">
        <v>169</v>
      </c>
      <c r="E6" s="20" t="s">
        <v>169</v>
      </c>
      <c r="F6" s="14" t="s">
        <v>180</v>
      </c>
      <c r="G6" s="1" t="s">
        <v>181</v>
      </c>
      <c r="H6" s="1" t="s">
        <v>171</v>
      </c>
      <c r="I6" s="1" t="s">
        <v>165</v>
      </c>
      <c r="J6" s="1" t="s">
        <v>159</v>
      </c>
      <c r="K6" s="1" t="s">
        <v>160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/>
  <dimension ref="A1:E4"/>
  <sheetViews>
    <sheetView workbookViewId="0">
      <selection activeCell="D6" sqref="D6"/>
    </sheetView>
  </sheetViews>
  <sheetFormatPr defaultColWidth="8.85546875" defaultRowHeight="15"/>
  <cols>
    <col min="1" max="1" customWidth="true" width="13.5703125"/>
    <col min="2" max="2" customWidth="true" width="6.0"/>
    <col min="3" max="3" customWidth="true" width="14.42578125"/>
    <col min="4" max="4" customWidth="true" width="18.140625"/>
    <col min="5" max="5" customWidth="true" width="19.5703125"/>
  </cols>
  <sheetData>
    <row r="1" spans="1:5">
      <c r="A1" s="6" t="s">
        <v>182</v>
      </c>
      <c r="B1" s="1" t="s">
        <v>183</v>
      </c>
      <c r="C1" s="1" t="s">
        <v>184</v>
      </c>
      <c r="D1" s="1" t="s">
        <v>185</v>
      </c>
      <c r="E1" s="1" t="s">
        <v>186</v>
      </c>
    </row>
    <row r="2" spans="1:5" ht="30">
      <c r="A2" s="6" t="s">
        <v>187</v>
      </c>
      <c r="B2" s="6" t="s">
        <v>188</v>
      </c>
      <c r="C2" s="16" t="s">
        <v>151</v>
      </c>
      <c r="D2" s="17" t="s">
        <v>152</v>
      </c>
      <c r="E2" s="6" t="s">
        <v>189</v>
      </c>
    </row>
    <row r="3" spans="1:5">
      <c r="A3" s="1" t="s">
        <v>190</v>
      </c>
      <c r="B3" s="1" t="s">
        <v>191</v>
      </c>
      <c r="C3" s="1" t="s">
        <v>192</v>
      </c>
      <c r="D3" s="1" t="s">
        <v>193</v>
      </c>
      <c r="E3" s="1" t="s">
        <v>194</v>
      </c>
    </row>
    <row r="4" spans="1:5">
      <c r="A4" s="1" t="s">
        <v>195</v>
      </c>
      <c r="B4" s="1" t="s">
        <v>196</v>
      </c>
      <c r="C4" s="1" t="s">
        <v>197</v>
      </c>
      <c r="D4" s="1" t="s">
        <v>198</v>
      </c>
      <c r="E4" s="1" t="s">
        <v>199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/>
  <dimension ref="A1:G14"/>
  <sheetViews>
    <sheetView workbookViewId="0">
      <selection activeCell="A16" sqref="A16"/>
    </sheetView>
  </sheetViews>
  <sheetFormatPr defaultColWidth="8.85546875" defaultRowHeight="15"/>
  <cols>
    <col min="1" max="1" customWidth="true" width="25.7109375"/>
    <col min="2" max="2" customWidth="true" width="8.85546875"/>
    <col min="3" max="3" customWidth="true" width="12.28515625"/>
    <col min="4" max="4" customWidth="true" width="7.140625"/>
    <col min="5" max="5" customWidth="true" width="5.28515625"/>
    <col min="6" max="6" customWidth="true" width="17.42578125"/>
    <col min="7" max="7" customWidth="true" width="12.42578125"/>
  </cols>
  <sheetData>
    <row r="1" spans="1:7">
      <c r="A1" s="12" t="s">
        <v>200</v>
      </c>
      <c r="B1" s="12" t="s">
        <v>201</v>
      </c>
      <c r="C1" s="13" t="s">
        <v>202</v>
      </c>
      <c r="D1" s="13" t="s">
        <v>203</v>
      </c>
      <c r="E1" s="13" t="s">
        <v>204</v>
      </c>
      <c r="F1" s="12" t="s">
        <v>205</v>
      </c>
      <c r="G1" s="12" t="s">
        <v>206</v>
      </c>
    </row>
    <row r="2" spans="1:7">
      <c r="A2" s="14" t="s">
        <v>167</v>
      </c>
      <c r="B2" s="14" t="s">
        <v>207</v>
      </c>
      <c r="C2" s="15" t="s">
        <v>208</v>
      </c>
      <c r="D2" s="15" t="s">
        <v>187</v>
      </c>
      <c r="E2" s="15" t="s">
        <v>188</v>
      </c>
      <c r="F2" s="14" t="s">
        <v>169</v>
      </c>
      <c r="G2" s="14" t="s">
        <v>168</v>
      </c>
    </row>
    <row r="3" spans="1:7">
      <c r="A3" s="14" t="s">
        <v>162</v>
      </c>
      <c r="B3" s="14" t="s">
        <v>209</v>
      </c>
      <c r="C3" s="15" t="s">
        <v>208</v>
      </c>
      <c r="D3" s="15" t="s">
        <v>187</v>
      </c>
      <c r="E3" s="15" t="s">
        <v>188</v>
      </c>
      <c r="F3" s="14" t="s">
        <v>163</v>
      </c>
      <c r="G3" s="14" t="s">
        <v>153</v>
      </c>
    </row>
    <row r="4" spans="1:7">
      <c r="A4" s="14" t="s">
        <v>210</v>
      </c>
      <c r="B4" s="14" t="s">
        <v>207</v>
      </c>
      <c r="C4" s="15" t="s">
        <v>208</v>
      </c>
      <c r="D4" s="15" t="s">
        <v>187</v>
      </c>
      <c r="E4" s="15" t="s">
        <v>188</v>
      </c>
      <c r="F4" s="14" t="s">
        <v>169</v>
      </c>
      <c r="G4" s="14" t="s">
        <v>168</v>
      </c>
    </row>
    <row r="5" spans="1:7">
      <c r="A5" s="14" t="s">
        <v>152</v>
      </c>
      <c r="B5" s="14" t="s">
        <v>207</v>
      </c>
      <c r="C5" s="15" t="s">
        <v>208</v>
      </c>
      <c r="D5" s="15" t="s">
        <v>187</v>
      </c>
      <c r="E5" s="15" t="s">
        <v>188</v>
      </c>
      <c r="F5" s="14" t="s">
        <v>154</v>
      </c>
      <c r="G5" s="14" t="s">
        <v>153</v>
      </c>
    </row>
    <row r="6" spans="1:7">
      <c r="A6" s="14" t="s">
        <v>211</v>
      </c>
      <c r="B6" s="14" t="s">
        <v>207</v>
      </c>
      <c r="C6" s="15" t="s">
        <v>208</v>
      </c>
      <c r="D6" s="15" t="s">
        <v>187</v>
      </c>
      <c r="E6" s="15" t="s">
        <v>188</v>
      </c>
      <c r="F6" s="14" t="s">
        <v>154</v>
      </c>
      <c r="G6" s="14" t="s">
        <v>168</v>
      </c>
    </row>
    <row r="7" spans="1:7">
      <c r="A7" s="14" t="s">
        <v>212</v>
      </c>
      <c r="B7" s="14" t="s">
        <v>207</v>
      </c>
      <c r="C7" s="15" t="s">
        <v>208</v>
      </c>
      <c r="D7" s="15" t="s">
        <v>187</v>
      </c>
      <c r="E7" s="15" t="s">
        <v>188</v>
      </c>
      <c r="F7" s="14" t="s">
        <v>154</v>
      </c>
      <c r="G7" s="14" t="s">
        <v>168</v>
      </c>
    </row>
    <row r="8" spans="1:7">
      <c r="A8" s="14" t="s">
        <v>175</v>
      </c>
      <c r="B8" s="14" t="s">
        <v>207</v>
      </c>
      <c r="C8" s="15" t="s">
        <v>208</v>
      </c>
      <c r="D8" s="15" t="s">
        <v>187</v>
      </c>
      <c r="E8" s="15" t="s">
        <v>188</v>
      </c>
      <c r="F8" s="14" t="s">
        <v>176</v>
      </c>
      <c r="G8" s="14" t="s">
        <v>168</v>
      </c>
    </row>
    <row r="9" spans="1:7">
      <c r="A9" s="14" t="s">
        <v>213</v>
      </c>
      <c r="B9" s="14" t="s">
        <v>207</v>
      </c>
      <c r="C9" s="15" t="s">
        <v>214</v>
      </c>
      <c r="D9" s="15" t="s">
        <v>187</v>
      </c>
      <c r="E9" s="15" t="s">
        <v>188</v>
      </c>
      <c r="F9" s="14" t="s">
        <v>169</v>
      </c>
      <c r="G9" s="14" t="s">
        <v>168</v>
      </c>
    </row>
    <row r="10" spans="1:7">
      <c r="A10" s="14" t="s">
        <v>215</v>
      </c>
      <c r="B10" s="14" t="s">
        <v>207</v>
      </c>
      <c r="C10" s="15" t="s">
        <v>216</v>
      </c>
      <c r="D10" s="15" t="s">
        <v>187</v>
      </c>
      <c r="E10" s="15" t="s">
        <v>188</v>
      </c>
      <c r="F10" s="14" t="s">
        <v>169</v>
      </c>
      <c r="G10" s="14" t="s">
        <v>168</v>
      </c>
    </row>
    <row r="11" spans="1:7">
      <c r="A11" s="14" t="s">
        <v>217</v>
      </c>
      <c r="B11" s="14" t="s">
        <v>207</v>
      </c>
      <c r="C11" s="15" t="s">
        <v>218</v>
      </c>
      <c r="D11" s="15" t="s">
        <v>187</v>
      </c>
      <c r="E11" s="15" t="s">
        <v>188</v>
      </c>
      <c r="F11" s="14" t="s">
        <v>169</v>
      </c>
      <c r="G11" s="14" t="s">
        <v>168</v>
      </c>
    </row>
    <row r="12" spans="1:7">
      <c r="A12" s="1" t="s">
        <v>219</v>
      </c>
      <c r="B12" s="1" t="s">
        <v>207</v>
      </c>
      <c r="C12" s="1" t="s">
        <v>220</v>
      </c>
      <c r="D12" s="1" t="s">
        <v>187</v>
      </c>
      <c r="E12" s="1" t="s">
        <v>188</v>
      </c>
      <c r="F12" s="1" t="s">
        <v>169</v>
      </c>
      <c r="G12" s="1" t="s">
        <v>168</v>
      </c>
    </row>
    <row r="13" spans="1:7">
      <c r="A13" s="1" t="s">
        <v>221</v>
      </c>
      <c r="B13" s="1" t="s">
        <v>207</v>
      </c>
      <c r="C13" s="1" t="s">
        <v>208</v>
      </c>
      <c r="D13" s="1" t="s">
        <v>222</v>
      </c>
      <c r="E13" s="1" t="s">
        <v>223</v>
      </c>
      <c r="F13" s="1" t="s">
        <v>169</v>
      </c>
      <c r="G13" s="1" t="s">
        <v>168</v>
      </c>
    </row>
    <row r="14" spans="1:7">
      <c r="A14" s="1" t="s">
        <v>224</v>
      </c>
      <c r="B14" s="1" t="s">
        <v>209</v>
      </c>
      <c r="C14" s="1" t="s">
        <v>208</v>
      </c>
      <c r="D14" s="1" t="s">
        <v>222</v>
      </c>
      <c r="E14" s="1" t="s">
        <v>223</v>
      </c>
      <c r="F14" s="1" t="s">
        <v>163</v>
      </c>
      <c r="G14" s="1" t="s">
        <v>153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/>
  <dimension ref="A1:C3"/>
  <sheetViews>
    <sheetView workbookViewId="0">
      <selection activeCell="A8" sqref="A8"/>
    </sheetView>
  </sheetViews>
  <sheetFormatPr defaultColWidth="8.85546875" defaultRowHeight="15"/>
  <cols>
    <col min="1" max="1" customWidth="true" width="25.5703125"/>
    <col min="2" max="2" customWidth="true" width="15.140625"/>
    <col min="3" max="3" customWidth="true" width="16.42578125"/>
  </cols>
  <sheetData>
    <row r="1" spans="1:3">
      <c r="A1" s="2" t="s">
        <v>225</v>
      </c>
      <c r="B1" s="2" t="s">
        <v>226</v>
      </c>
      <c r="C1" s="2" t="s">
        <v>84</v>
      </c>
    </row>
    <row r="2" spans="1:3">
      <c r="A2" s="1" t="s">
        <v>227</v>
      </c>
      <c r="B2" s="1" t="s">
        <v>228</v>
      </c>
      <c r="C2" s="1">
        <v>2</v>
      </c>
    </row>
    <row r="3" spans="1:3">
      <c r="A3" s="1" t="s">
        <v>229</v>
      </c>
      <c r="B3" s="1" t="s">
        <v>228</v>
      </c>
      <c r="C3" s="1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F3"/>
  <sheetViews>
    <sheetView workbookViewId="0">
      <selection activeCell="E9" sqref="E9"/>
    </sheetView>
  </sheetViews>
  <sheetFormatPr defaultColWidth="8.85546875" defaultRowHeight="15"/>
  <cols>
    <col min="1" max="1" bestFit="true" customWidth="true" width="24.85546875"/>
    <col min="2" max="2" customWidth="true" width="11.5703125"/>
    <col min="3" max="3" customWidth="true" width="9.0"/>
    <col min="4" max="4" bestFit="true" customWidth="true" width="19.28515625"/>
    <col min="5" max="5" customWidth="true" width="19.28515625"/>
    <col min="6" max="6" bestFit="true" customWidth="true" width="12.28515625"/>
  </cols>
  <sheetData>
    <row r="1" spans="1:6">
      <c r="A1" s="2" t="s">
        <v>225</v>
      </c>
      <c r="B1" s="2" t="s">
        <v>226</v>
      </c>
      <c r="C1" s="2" t="s">
        <v>84</v>
      </c>
      <c r="D1" s="36" t="s">
        <v>250</v>
      </c>
      <c r="E1" s="36" t="s">
        <v>246</v>
      </c>
      <c r="F1" s="36" t="s">
        <v>247</v>
      </c>
    </row>
    <row r="2" spans="1:6">
      <c r="A2" s="1" t="s">
        <v>244</v>
      </c>
      <c r="B2" s="1" t="s">
        <v>228</v>
      </c>
      <c r="C2" s="1">
        <v>10</v>
      </c>
      <c r="D2" t="s" s="0">
        <v>249</v>
      </c>
      <c r="E2" t="s" s="0">
        <v>251</v>
      </c>
      <c r="F2" s="0">
        <f>ROUND(C2*E2,2)</f>
        <v>847.48</v>
      </c>
    </row>
    <row r="3" spans="1:6">
      <c r="A3" s="1" t="s">
        <v>114</v>
      </c>
      <c r="B3" s="1" t="s">
        <v>245</v>
      </c>
      <c r="C3" s="1">
        <v>12</v>
      </c>
      <c r="D3" t="s" s="0">
        <v>252</v>
      </c>
      <c r="E3" t="s" s="0">
        <v>248</v>
      </c>
      <c r="F3" s="0">
        <f>ROUND(C3*E3,2)</f>
        <v>159.26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C3"/>
  <sheetViews>
    <sheetView workbookViewId="0">
      <selection activeCell="B16" sqref="B16"/>
    </sheetView>
  </sheetViews>
  <sheetFormatPr defaultColWidth="8.85546875" defaultRowHeight="15"/>
  <cols>
    <col min="1" max="1" customWidth="true" width="21.42578125"/>
    <col min="2" max="2" customWidth="true" width="11.5703125"/>
    <col min="3" max="3" customWidth="true" width="9.0"/>
  </cols>
  <sheetData>
    <row r="1" spans="1:3">
      <c r="A1" s="2" t="s">
        <v>225</v>
      </c>
      <c r="B1" s="2" t="s">
        <v>226</v>
      </c>
      <c r="C1" s="2" t="s">
        <v>84</v>
      </c>
    </row>
    <row r="2" spans="1:3">
      <c r="A2" s="1" t="s">
        <v>230</v>
      </c>
      <c r="B2" s="1" t="s">
        <v>228</v>
      </c>
      <c r="C2" s="1">
        <v>2</v>
      </c>
    </row>
    <row r="3" spans="1:3">
      <c r="A3" s="1" t="s">
        <v>231</v>
      </c>
      <c r="B3" s="1" t="s">
        <v>228</v>
      </c>
      <c r="C3" s="1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B2"/>
  <sheetViews>
    <sheetView workbookViewId="0">
      <selection activeCell="J18" sqref="J18"/>
    </sheetView>
  </sheetViews>
  <sheetFormatPr defaultColWidth="8.7109375" defaultRowHeight="15"/>
  <cols>
    <col min="1" max="1" customWidth="true" width="20.42578125"/>
  </cols>
  <sheetData>
    <row r="1" spans="1:2">
      <c r="A1" s="8" t="s">
        <v>232</v>
      </c>
      <c r="B1" s="8" t="s">
        <v>84</v>
      </c>
    </row>
    <row r="2" spans="1:2">
      <c r="A2" s="8" t="s">
        <v>233</v>
      </c>
      <c r="B2" s="8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G3"/>
  <sheetViews>
    <sheetView workbookViewId="0">
      <selection activeCell="F12" sqref="F12"/>
    </sheetView>
  </sheetViews>
  <sheetFormatPr defaultColWidth="8.7109375" defaultRowHeight="15"/>
  <sheetData>
    <row r="1" spans="1:7">
      <c r="A1" s="7" t="s">
        <v>234</v>
      </c>
      <c r="B1" s="7" t="s">
        <v>84</v>
      </c>
      <c r="C1" s="7" t="s">
        <v>80</v>
      </c>
      <c r="D1" s="7" t="s">
        <v>85</v>
      </c>
      <c r="E1" s="7" t="s">
        <v>68</v>
      </c>
      <c r="F1" s="7" t="s">
        <v>69</v>
      </c>
      <c r="G1" s="7" t="s">
        <v>70</v>
      </c>
    </row>
    <row r="2" spans="1:7">
      <c r="A2" s="10" t="s">
        <v>235</v>
      </c>
      <c r="B2" s="7">
        <v>22</v>
      </c>
      <c r="C2" s="7">
        <v>524</v>
      </c>
      <c r="D2" s="7">
        <v>2</v>
      </c>
      <c r="E2" s="10" t="s">
        <v>73</v>
      </c>
      <c r="F2" s="10" t="s">
        <v>74</v>
      </c>
      <c r="G2" s="10" t="s">
        <v>87</v>
      </c>
    </row>
    <row r="3" spans="1:7">
      <c r="A3" s="10" t="s">
        <v>236</v>
      </c>
      <c r="B3" s="7">
        <v>34</v>
      </c>
      <c r="C3" s="7">
        <v>232</v>
      </c>
      <c r="D3" s="7">
        <v>7.9</v>
      </c>
      <c r="E3" s="10" t="s">
        <v>73</v>
      </c>
      <c r="F3" s="10" t="s">
        <v>89</v>
      </c>
      <c r="G3" s="11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C3"/>
  <sheetViews>
    <sheetView workbookViewId="0">
      <selection activeCell="G9" sqref="G9"/>
    </sheetView>
  </sheetViews>
  <sheetFormatPr defaultColWidth="8.7109375" defaultRowHeight="15"/>
  <sheetData>
    <row r="1" spans="1:3">
      <c r="A1" s="7" t="s">
        <v>234</v>
      </c>
      <c r="B1" s="7" t="s">
        <v>84</v>
      </c>
      <c r="C1" s="7" t="s">
        <v>80</v>
      </c>
    </row>
    <row r="2" spans="1:3">
      <c r="A2" s="9" t="s">
        <v>237</v>
      </c>
      <c r="B2" s="7">
        <v>22</v>
      </c>
      <c r="C2" s="7">
        <v>524</v>
      </c>
    </row>
    <row r="3" spans="1:3">
      <c r="A3" s="9" t="s">
        <v>238</v>
      </c>
      <c r="B3" s="7">
        <v>40</v>
      </c>
      <c r="C3" s="7">
        <v>450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B2"/>
  <sheetViews>
    <sheetView workbookViewId="0">
      <selection activeCell="E6" sqref="E6"/>
    </sheetView>
  </sheetViews>
  <sheetFormatPr defaultColWidth="8.7109375" defaultRowHeight="15"/>
  <sheetData>
    <row r="1" spans="1:2">
      <c r="A1" s="8" t="s">
        <v>239</v>
      </c>
      <c r="B1" s="8" t="s">
        <v>84</v>
      </c>
    </row>
    <row r="2" spans="1:2">
      <c r="A2" s="8" t="s">
        <v>240</v>
      </c>
      <c r="B2" s="8">
        <v>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C3"/>
  <sheetViews>
    <sheetView workbookViewId="0">
      <selection activeCell="E10" sqref="E10"/>
    </sheetView>
  </sheetViews>
  <sheetFormatPr defaultColWidth="8.7109375" defaultRowHeight="15"/>
  <sheetData>
    <row r="1" spans="1:3">
      <c r="A1" t="s" s="0">
        <v>234</v>
      </c>
      <c r="B1" s="7" t="s">
        <v>84</v>
      </c>
      <c r="C1" s="7" t="s">
        <v>80</v>
      </c>
    </row>
    <row r="2" spans="1:3">
      <c r="A2" t="s" s="0">
        <v>241</v>
      </c>
      <c r="B2" s="0">
        <v>23</v>
      </c>
    </row>
    <row r="3" spans="1:3">
      <c r="A3" t="s" s="0">
        <v>242</v>
      </c>
      <c r="B3" s="0">
        <v>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W5"/>
  <sheetViews>
    <sheetView topLeftCell="M1" workbookViewId="0">
      <selection activeCell="U17" sqref="U17"/>
    </sheetView>
  </sheetViews>
  <sheetFormatPr defaultRowHeight="15"/>
  <cols>
    <col min="1" max="1" bestFit="true" customWidth="true" width="4.85546875"/>
    <col min="2" max="2" bestFit="true" customWidth="true" width="22.140625"/>
    <col min="3" max="3" customWidth="true" width="22.140625"/>
    <col min="4" max="4" bestFit="true" customWidth="true" width="28.7109375"/>
    <col min="5" max="5" customWidth="true" width="28.7109375"/>
    <col min="6" max="6" bestFit="true" customWidth="true" width="9.28515625"/>
    <col min="7" max="7" bestFit="true" customWidth="true" width="28.7109375"/>
    <col min="8" max="8" bestFit="true" customWidth="true" width="18.42578125"/>
    <col min="9" max="9" bestFit="true" customWidth="true" width="13.5703125"/>
    <col min="10" max="10" bestFit="true" customWidth="true" width="13.140625"/>
    <col min="11" max="11" bestFit="true" customWidth="true" width="8.285156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22" max="22" bestFit="true" customWidth="true" width="17.42578125"/>
    <col min="23" max="23" bestFit="true" customWidth="true" width="14.140625"/>
  </cols>
  <sheetData>
    <row r="1" spans="1:2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</row>
    <row r="2" spans="1:23">
      <c r="A2" s="1">
        <v>1</v>
      </c>
      <c r="B2" t="s" s="0">
        <v>285</v>
      </c>
      <c r="C2" s="1" t="s">
        <v>283</v>
      </c>
      <c r="D2" t="s" s="0">
        <v>284</v>
      </c>
      <c r="E2" s="1" t="s">
        <v>282</v>
      </c>
      <c r="F2" t="s" s="0">
        <v>274</v>
      </c>
      <c r="G2" s="39" t="s">
        <v>17</v>
      </c>
      <c r="H2" s="22" t="s">
        <v>286</v>
      </c>
      <c r="I2" s="0">
        <v>2000</v>
      </c>
      <c r="J2" t="s" s="0">
        <v>276</v>
      </c>
      <c r="K2" t="s" s="0">
        <v>207</v>
      </c>
      <c r="L2" s="0">
        <v>1</v>
      </c>
    </row>
    <row r="3" spans="1:23">
      <c r="A3" s="1">
        <v>2</v>
      </c>
      <c r="B3" t="s" s="0">
        <v>285</v>
      </c>
      <c r="C3" s="1" t="s">
        <v>283</v>
      </c>
      <c r="D3" t="s" s="0">
        <v>284</v>
      </c>
      <c r="E3" s="1" t="s">
        <v>282</v>
      </c>
      <c r="F3" t="s" s="0">
        <v>274</v>
      </c>
      <c r="G3" s="39" t="s">
        <v>17</v>
      </c>
      <c r="H3" s="22" t="s">
        <v>286</v>
      </c>
      <c r="I3" s="0">
        <v>2000</v>
      </c>
      <c r="J3" t="s" s="0">
        <v>276</v>
      </c>
      <c r="K3" t="s" s="0">
        <v>207</v>
      </c>
      <c r="L3" s="0">
        <v>1</v>
      </c>
    </row>
    <row r="4" spans="1:23">
      <c r="A4" s="1">
        <v>3</v>
      </c>
      <c r="B4" s="39" t="s">
        <v>243</v>
      </c>
      <c r="C4" s="1" t="s">
        <v>280</v>
      </c>
      <c r="D4" s="1" t="s">
        <v>243</v>
      </c>
      <c r="E4" s="1" t="s">
        <v>281</v>
      </c>
      <c r="F4" s="1" t="s">
        <v>274</v>
      </c>
      <c r="G4" s="39" t="s">
        <v>17</v>
      </c>
      <c r="H4" s="22" t="s">
        <v>275</v>
      </c>
      <c r="I4" s="1">
        <v>1000</v>
      </c>
      <c r="J4" s="1" t="s">
        <v>276</v>
      </c>
      <c r="K4" s="1" t="s">
        <v>207</v>
      </c>
      <c r="L4" s="38">
        <v>1</v>
      </c>
      <c r="M4" s="38">
        <f>I4*L4</f>
        <v>1000</v>
      </c>
      <c r="N4" s="38">
        <f>I4</f>
        <v>1000</v>
      </c>
      <c r="O4" s="1"/>
      <c r="P4" s="1"/>
      <c r="Q4" s="1">
        <f>M4</f>
        <v>1000</v>
      </c>
      <c r="R4" s="1"/>
      <c r="S4" s="1"/>
      <c r="T4" s="1"/>
      <c r="U4" s="1"/>
      <c r="V4" s="1"/>
      <c r="W4" s="1"/>
    </row>
    <row r="5" spans="1:23">
      <c r="A5" s="1">
        <v>4</v>
      </c>
      <c r="B5" s="39" t="s">
        <v>243</v>
      </c>
      <c r="C5" s="1" t="s">
        <v>280</v>
      </c>
      <c r="D5" s="1" t="s">
        <v>243</v>
      </c>
      <c r="E5" s="1" t="s">
        <v>281</v>
      </c>
      <c r="F5" s="1" t="s">
        <v>274</v>
      </c>
      <c r="G5" s="39" t="s">
        <v>17</v>
      </c>
      <c r="H5" s="22" t="s">
        <v>275</v>
      </c>
      <c r="I5" s="1">
        <v>1000</v>
      </c>
      <c r="J5" s="1" t="s">
        <v>276</v>
      </c>
      <c r="K5" s="1" t="s">
        <v>207</v>
      </c>
      <c r="L5" s="38">
        <v>1</v>
      </c>
      <c r="M5" s="38">
        <f>I5*L5</f>
        <v>1000</v>
      </c>
      <c r="N5" s="38">
        <f>I5</f>
        <v>1000</v>
      </c>
      <c r="O5" s="1"/>
      <c r="P5" s="1"/>
      <c r="Q5" s="1">
        <f>M5</f>
        <v>1000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W3"/>
  <sheetViews>
    <sheetView topLeftCell="M1" workbookViewId="0">
      <selection activeCell="Y2" sqref="Y2"/>
    </sheetView>
  </sheetViews>
  <sheetFormatPr defaultRowHeight="15"/>
  <cols>
    <col min="1" max="1" bestFit="true" customWidth="true" width="4.85546875"/>
    <col min="2" max="2" bestFit="true" customWidth="true" width="22.140625"/>
    <col min="3" max="3" customWidth="true" width="22.140625"/>
    <col min="4" max="4" bestFit="true" customWidth="true" width="28.7109375"/>
    <col min="5" max="5" customWidth="true" width="28.7109375"/>
    <col min="6" max="6" bestFit="true" customWidth="true" width="9.28515625"/>
    <col min="7" max="7" bestFit="true" customWidth="true" width="28.7109375"/>
    <col min="8" max="8" bestFit="true" customWidth="true" width="18.42578125"/>
    <col min="9" max="9" bestFit="true" customWidth="true" width="13.5703125"/>
    <col min="10" max="10" bestFit="true" customWidth="true" width="13.140625"/>
    <col min="11" max="11" bestFit="true" customWidth="true" width="8.285156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22" max="22" bestFit="true" customWidth="true" width="17.42578125"/>
    <col min="23" max="23" bestFit="true" customWidth="true" width="14.140625"/>
  </cols>
  <sheetData>
    <row r="1" spans="1:2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</row>
    <row r="2" spans="1:23">
      <c r="A2" s="1">
        <v>1</v>
      </c>
      <c r="B2" t="s" s="0">
        <v>285</v>
      </c>
      <c r="C2" s="1" t="s">
        <v>283</v>
      </c>
      <c r="D2" t="s" s="0">
        <v>284</v>
      </c>
      <c r="E2" s="1" t="s">
        <v>289</v>
      </c>
      <c r="F2" t="s" s="0">
        <v>274</v>
      </c>
      <c r="G2" s="39" t="s">
        <v>17</v>
      </c>
      <c r="H2" s="22" t="s">
        <v>286</v>
      </c>
      <c r="I2" s="0">
        <v>2000</v>
      </c>
      <c r="J2" t="s" s="0">
        <v>276</v>
      </c>
      <c r="K2" t="s" s="0">
        <v>207</v>
      </c>
      <c r="L2" s="0">
        <v>1</v>
      </c>
    </row>
    <row r="3" spans="1:23">
      <c r="A3" s="1">
        <v>2</v>
      </c>
      <c r="B3" s="39" t="s">
        <v>243</v>
      </c>
      <c r="C3" s="1" t="s">
        <v>280</v>
      </c>
      <c r="D3" s="1" t="s">
        <v>243</v>
      </c>
      <c r="E3" s="1" t="s">
        <v>288</v>
      </c>
      <c r="F3" s="1" t="s">
        <v>274</v>
      </c>
      <c r="G3" s="39" t="s">
        <v>17</v>
      </c>
      <c r="H3" s="22" t="s">
        <v>275</v>
      </c>
      <c r="I3" s="1">
        <v>1000</v>
      </c>
      <c r="J3" s="1" t="s">
        <v>276</v>
      </c>
      <c r="K3" s="1" t="s">
        <v>207</v>
      </c>
      <c r="L3" s="38">
        <v>1</v>
      </c>
      <c r="M3" s="38">
        <f>I3*L3</f>
        <v>1000</v>
      </c>
      <c r="N3" s="38">
        <f>I3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3"/>
  <dimension ref="A1:W3"/>
  <sheetViews>
    <sheetView topLeftCell="O1" workbookViewId="0">
      <selection activeCell="AC2" sqref="AC2"/>
    </sheetView>
  </sheetViews>
  <sheetFormatPr defaultRowHeight="15"/>
  <cols>
    <col min="1" max="1" bestFit="true" customWidth="true" width="4.85546875"/>
    <col min="2" max="2" bestFit="true" customWidth="true" width="22.140625"/>
    <col min="3" max="3" customWidth="true" width="22.140625"/>
    <col min="4" max="4" bestFit="true" customWidth="true" width="28.7109375"/>
    <col min="5" max="5" customWidth="true" width="28.7109375"/>
    <col min="6" max="6" bestFit="true" customWidth="true" width="9.28515625"/>
    <col min="7" max="7" bestFit="true" customWidth="true" width="28.7109375"/>
    <col min="8" max="8" bestFit="true" customWidth="true" width="18.42578125"/>
    <col min="9" max="9" bestFit="true" customWidth="true" width="13.5703125"/>
    <col min="10" max="10" bestFit="true" customWidth="true" width="13.140625"/>
    <col min="11" max="11" bestFit="true" customWidth="true" width="8.285156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22" max="22" bestFit="true" customWidth="true" width="17.42578125"/>
    <col min="23" max="23" bestFit="true" customWidth="true" width="14.140625"/>
  </cols>
  <sheetData>
    <row r="1" spans="1:2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</row>
    <row r="2" spans="1:23">
      <c r="A2" s="1">
        <v>1</v>
      </c>
      <c r="B2" t="s" s="0">
        <v>285</v>
      </c>
      <c r="C2" s="1" t="s">
        <v>283</v>
      </c>
      <c r="D2" t="s" s="0">
        <v>284</v>
      </c>
      <c r="E2" s="1" t="s">
        <v>282</v>
      </c>
      <c r="F2" t="s" s="0">
        <v>274</v>
      </c>
      <c r="G2" s="39" t="s">
        <v>17</v>
      </c>
      <c r="H2" s="22" t="s">
        <v>286</v>
      </c>
      <c r="I2" s="0">
        <v>2000</v>
      </c>
      <c r="J2" t="s" s="0">
        <v>276</v>
      </c>
      <c r="K2" t="s" s="0">
        <v>207</v>
      </c>
      <c r="L2" s="0">
        <v>1</v>
      </c>
    </row>
    <row r="3" spans="1:23">
      <c r="A3" s="1">
        <v>2</v>
      </c>
      <c r="B3" s="39" t="s">
        <v>243</v>
      </c>
      <c r="C3" s="1" t="s">
        <v>280</v>
      </c>
      <c r="D3" s="1" t="s">
        <v>243</v>
      </c>
      <c r="E3" s="1" t="s">
        <v>281</v>
      </c>
      <c r="F3" s="1" t="s">
        <v>274</v>
      </c>
      <c r="G3" s="39" t="s">
        <v>17</v>
      </c>
      <c r="H3" s="22" t="s">
        <v>275</v>
      </c>
      <c r="I3" s="1">
        <v>1000</v>
      </c>
      <c r="J3" s="1" t="s">
        <v>276</v>
      </c>
      <c r="K3" s="1" t="s">
        <v>207</v>
      </c>
      <c r="L3" s="38">
        <v>1</v>
      </c>
      <c r="M3" s="38">
        <f>I3*L3</f>
        <v>1000</v>
      </c>
      <c r="N3" s="38">
        <f>I3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4"/>
  <dimension ref="A1:U3"/>
  <sheetViews>
    <sheetView topLeftCell="O1" workbookViewId="0">
      <selection activeCell="AE2" sqref="AE2"/>
    </sheetView>
  </sheetViews>
  <sheetFormatPr defaultRowHeight="15"/>
  <cols>
    <col min="1" max="1" bestFit="true" customWidth="true" width="4.85546875"/>
    <col min="2" max="2" bestFit="true" customWidth="true" width="22.140625"/>
    <col min="3" max="3" bestFit="true" customWidth="true" width="28.7109375"/>
    <col min="4" max="4" bestFit="true" customWidth="true" width="9.28515625"/>
    <col min="5" max="5" bestFit="true" customWidth="true" width="28.7109375"/>
    <col min="6" max="6" bestFit="true" customWidth="true" width="18.42578125"/>
    <col min="7" max="7" bestFit="true" customWidth="true" width="13.5703125"/>
    <col min="8" max="8" bestFit="true" customWidth="true" width="13.140625"/>
    <col min="9" max="9" bestFit="true" customWidth="true" width="8.285156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</cols>
  <sheetData>
    <row r="1" spans="1:21">
      <c r="A1" s="37" t="s">
        <v>253</v>
      </c>
      <c r="B1" s="37" t="s">
        <v>254</v>
      </c>
      <c r="C1" s="37" t="s">
        <v>255</v>
      </c>
      <c r="D1" s="37" t="s">
        <v>256</v>
      </c>
      <c r="E1" s="37" t="s">
        <v>257</v>
      </c>
      <c r="F1" s="37" t="s">
        <v>259</v>
      </c>
      <c r="G1" s="37" t="s">
        <v>258</v>
      </c>
      <c r="H1" s="37" t="s">
        <v>260</v>
      </c>
      <c r="I1" s="37" t="s">
        <v>261</v>
      </c>
      <c r="J1" s="37" t="s">
        <v>262</v>
      </c>
      <c r="K1" s="37" t="s">
        <v>273</v>
      </c>
      <c r="L1" s="37" t="s">
        <v>263</v>
      </c>
      <c r="M1" s="37" t="s">
        <v>264</v>
      </c>
      <c r="N1" s="37" t="s">
        <v>265</v>
      </c>
      <c r="O1" s="37" t="s">
        <v>266</v>
      </c>
      <c r="P1" s="37" t="s">
        <v>267</v>
      </c>
      <c r="Q1" s="37" t="s">
        <v>268</v>
      </c>
      <c r="R1" s="37" t="s">
        <v>269</v>
      </c>
      <c r="S1" s="37" t="s">
        <v>270</v>
      </c>
      <c r="T1" s="37" t="s">
        <v>271</v>
      </c>
      <c r="U1" s="37" t="s">
        <v>272</v>
      </c>
    </row>
    <row r="2" spans="1:21">
      <c r="A2" s="1">
        <v>1</v>
      </c>
      <c r="B2" s="39" t="s">
        <v>243</v>
      </c>
      <c r="C2" s="1" t="s">
        <v>243</v>
      </c>
      <c r="D2" s="1" t="s">
        <v>274</v>
      </c>
      <c r="E2" s="39" t="s">
        <v>17</v>
      </c>
      <c r="F2" s="22" t="s">
        <v>275</v>
      </c>
      <c r="G2" s="1">
        <v>1000</v>
      </c>
      <c r="H2" s="1" t="s">
        <v>276</v>
      </c>
      <c r="I2" s="1" t="s">
        <v>207</v>
      </c>
      <c r="J2" s="38">
        <v>1</v>
      </c>
      <c r="K2" s="38">
        <f>G2*J2</f>
        <v>1000</v>
      </c>
      <c r="L2" s="38">
        <f>G2</f>
        <v>1000</v>
      </c>
      <c r="M2" s="1"/>
      <c r="N2" s="1"/>
      <c r="O2" s="1">
        <f>K2</f>
        <v>1000</v>
      </c>
      <c r="P2" s="1"/>
      <c r="Q2" s="1"/>
      <c r="R2" s="1"/>
      <c r="S2" s="1"/>
      <c r="T2" s="1"/>
      <c r="U2" s="1"/>
    </row>
    <row r="3" spans="1:21">
      <c r="A3" s="1">
        <v>2</v>
      </c>
      <c r="B3" t="s" s="0">
        <v>285</v>
      </c>
      <c r="C3" s="1" t="s">
        <v>284</v>
      </c>
      <c r="D3" s="1" t="s">
        <v>274</v>
      </c>
      <c r="E3" s="39" t="s">
        <v>17</v>
      </c>
      <c r="F3" s="22" t="s">
        <v>290</v>
      </c>
      <c r="G3" s="1">
        <v>1000</v>
      </c>
      <c r="H3" s="1" t="s">
        <v>276</v>
      </c>
      <c r="I3" s="1" t="s">
        <v>207</v>
      </c>
      <c r="J3" s="38">
        <v>1</v>
      </c>
      <c r="K3" s="38">
        <f>G3*J3</f>
        <v>1000</v>
      </c>
      <c r="L3" s="38">
        <f>G3</f>
        <v>1000</v>
      </c>
      <c r="M3" s="1"/>
      <c r="N3" s="1"/>
      <c r="O3" s="1">
        <f>K3</f>
        <v>1000</v>
      </c>
      <c r="P3" s="1"/>
      <c r="Q3" s="1"/>
      <c r="R3" s="1"/>
      <c r="S3" s="1"/>
      <c r="T3" s="1"/>
      <c r="U3" s="1"/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5"/>
  <dimension ref="A1:AD2"/>
  <sheetViews>
    <sheetView topLeftCell="P1" workbookViewId="0">
      <selection activeCell="AE2" sqref="AE2"/>
    </sheetView>
  </sheetViews>
  <sheetFormatPr defaultRowHeight="15"/>
  <cols>
    <col min="1" max="1" bestFit="true" customWidth="true" width="4.85546875"/>
    <col min="2" max="2" bestFit="true" customWidth="true" width="17.7109375"/>
    <col min="3" max="3" bestFit="true" customWidth="true" width="28.7109375"/>
    <col min="4" max="4" bestFit="true" customWidth="true" width="15.7109375"/>
    <col min="5" max="5" bestFit="true" customWidth="true" width="28.7109375"/>
    <col min="6" max="6" bestFit="true" customWidth="true" width="18.42578125"/>
    <col min="7" max="7" bestFit="true" customWidth="true" width="14.5703125"/>
    <col min="8" max="8" bestFit="true" customWidth="true" width="13.1406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  <col min="25" max="25" bestFit="true" customWidth="true" width="11.7109375"/>
    <col min="26" max="26" bestFit="true" customWidth="true" width="12.85546875"/>
    <col min="28" max="28" bestFit="true" customWidth="true" width="13.42578125"/>
    <col min="30" max="30" bestFit="true" customWidth="true" width="16.140625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183</v>
      </c>
      <c r="Y1" s="40" t="s">
        <v>292</v>
      </c>
      <c r="Z1" s="40" t="s">
        <v>293</v>
      </c>
      <c r="AA1" s="40" t="s">
        <v>294</v>
      </c>
      <c r="AB1" s="40" t="s">
        <v>295</v>
      </c>
      <c r="AC1" s="40" t="s">
        <v>296</v>
      </c>
      <c r="AD1" s="40" t="s">
        <v>297</v>
      </c>
    </row>
    <row r="2" spans="1:30">
      <c r="A2" s="1">
        <v>1</v>
      </c>
      <c r="B2" s="39" t="s">
        <v>243</v>
      </c>
      <c r="C2" s="1" t="s">
        <v>280</v>
      </c>
      <c r="D2" s="1" t="s">
        <v>243</v>
      </c>
      <c r="E2" s="1" t="s">
        <v>289</v>
      </c>
      <c r="F2" s="1" t="s">
        <v>274</v>
      </c>
      <c r="G2" s="39" t="s">
        <v>17</v>
      </c>
      <c r="H2" s="22" t="s">
        <v>275</v>
      </c>
      <c r="I2" s="1">
        <v>1000</v>
      </c>
      <c r="J2" s="1" t="s">
        <v>276</v>
      </c>
      <c r="K2" s="1" t="s">
        <v>207</v>
      </c>
      <c r="L2" s="38">
        <v>1</v>
      </c>
      <c r="M2" s="38">
        <f>I2*L2</f>
        <v>1000</v>
      </c>
      <c r="N2" s="38">
        <f>I2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t="s" s="0">
        <v>188</v>
      </c>
      <c r="Y2" t="s" s="0">
        <v>298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26"/>
  <dimension ref="A1:AD2"/>
  <sheetViews>
    <sheetView workbookViewId="0">
      <selection activeCell="E2" sqref="E2"/>
    </sheetView>
  </sheetViews>
  <sheetFormatPr defaultRowHeight="15"/>
  <cols>
    <col min="1" max="1" bestFit="true" customWidth="true" width="4.85546875"/>
    <col min="2" max="2" bestFit="true" customWidth="true" width="17.7109375"/>
    <col min="3" max="3" bestFit="true" customWidth="true" width="28.7109375"/>
    <col min="4" max="4" bestFit="true" customWidth="true" width="15.7109375"/>
    <col min="5" max="5" bestFit="true" customWidth="true" width="28.7109375"/>
    <col min="6" max="6" bestFit="true" customWidth="true" width="18.42578125"/>
    <col min="7" max="7" bestFit="true" customWidth="true" width="14.5703125"/>
    <col min="8" max="8" bestFit="true" customWidth="true" width="13.1406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  <col min="25" max="25" bestFit="true" customWidth="true" width="11.7109375"/>
    <col min="26" max="26" bestFit="true" customWidth="true" width="12.85546875"/>
    <col min="28" max="28" bestFit="true" customWidth="true" width="13.42578125"/>
    <col min="30" max="30" bestFit="true" customWidth="true" width="16.140625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183</v>
      </c>
      <c r="Y1" s="40" t="s">
        <v>292</v>
      </c>
      <c r="Z1" s="40" t="s">
        <v>293</v>
      </c>
      <c r="AA1" s="40" t="s">
        <v>294</v>
      </c>
      <c r="AB1" s="40" t="s">
        <v>295</v>
      </c>
      <c r="AC1" s="40" t="s">
        <v>296</v>
      </c>
      <c r="AD1" s="40" t="s">
        <v>297</v>
      </c>
    </row>
    <row r="2" spans="1:30">
      <c r="A2" s="1">
        <v>1</v>
      </c>
      <c r="B2" s="39" t="s">
        <v>243</v>
      </c>
      <c r="C2" s="1" t="s">
        <v>280</v>
      </c>
      <c r="D2" s="1" t="s">
        <v>243</v>
      </c>
      <c r="E2" s="1" t="s">
        <v>281</v>
      </c>
      <c r="F2" s="1" t="s">
        <v>274</v>
      </c>
      <c r="G2" s="39" t="s">
        <v>17</v>
      </c>
      <c r="H2" s="22" t="s">
        <v>275</v>
      </c>
      <c r="I2" s="1">
        <v>1000</v>
      </c>
      <c r="J2" s="1" t="s">
        <v>276</v>
      </c>
      <c r="K2" s="1" t="s">
        <v>207</v>
      </c>
      <c r="L2" s="38">
        <v>1</v>
      </c>
      <c r="M2" s="38">
        <f>I2*L2</f>
        <v>1000</v>
      </c>
      <c r="N2" s="38">
        <f>I2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t="s" s="0">
        <v>188</v>
      </c>
      <c r="Y2" t="s" s="0">
        <v>298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34"/>
  <dimension ref="A1:AC3"/>
  <sheetViews>
    <sheetView workbookViewId="0">
      <selection activeCell="E7" sqref="E7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customWidth="true" width="2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78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35"/>
  <dimension ref="A1:AC4"/>
  <sheetViews>
    <sheetView workbookViewId="0">
      <selection activeCell="E2" sqref="E2: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9.28515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426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79" t="s">
        <v>423</v>
      </c>
      <c r="C3" s="79" t="s">
        <v>424</v>
      </c>
      <c r="D3" s="79" t="s">
        <v>425</v>
      </c>
      <c r="E3" s="1" t="s">
        <v>334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209</v>
      </c>
      <c r="L3" t="s" s="0">
        <v>369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426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6"/>
  <dimension ref="A1:AC4"/>
  <sheetViews>
    <sheetView workbookViewId="0">
      <selection activeCell="A2" sqref="A2: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4.140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426</v>
      </c>
      <c r="AB2" t="s" s="0">
        <v>426</v>
      </c>
      <c r="AC2" s="0">
        <f>ROUND(SUM((AA2*L2)+(AB2*L2)+(I2*L2)),2)</f>
        <v>0</v>
      </c>
    </row>
    <row r="3" spans="1:29">
      <c r="A3" s="1">
        <v>2</v>
      </c>
      <c r="B3" s="79" t="s">
        <v>423</v>
      </c>
      <c r="C3" s="79" t="s">
        <v>424</v>
      </c>
      <c r="D3" s="79" t="s">
        <v>425</v>
      </c>
      <c r="E3" s="1" t="s">
        <v>334</v>
      </c>
      <c r="F3" s="1" t="s">
        <v>316</v>
      </c>
      <c r="G3" s="47" t="s">
        <v>339</v>
      </c>
      <c r="H3" s="22" t="s">
        <v>330</v>
      </c>
      <c r="I3" s="1">
        <v>0</v>
      </c>
      <c r="J3" s="1" t="s">
        <v>276</v>
      </c>
      <c r="K3" s="1" t="s">
        <v>209</v>
      </c>
      <c r="L3" t="s" s="0">
        <v>369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426</v>
      </c>
      <c r="AB3" t="s" s="0">
        <v>426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7"/>
  <dimension ref="A1:AC4"/>
  <sheetViews>
    <sheetView workbookViewId="0">
      <selection activeCell="E3" sqref="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4.140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100</v>
      </c>
      <c r="J2" s="1" t="s">
        <v>276</v>
      </c>
      <c r="K2" s="1" t="s">
        <v>209</v>
      </c>
      <c r="L2" t="s" s="0">
        <v>369</v>
      </c>
      <c r="M2" s="38">
        <f>ROUND(SUM(AA2+AB2+I2),2)</f>
        <v>100</v>
      </c>
      <c r="N2" s="38">
        <f>AC2</f>
        <v>100</v>
      </c>
      <c r="O2" s="1"/>
      <c r="P2" s="1"/>
      <c r="Q2" s="1">
        <f>M2</f>
        <v>100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</v>
      </c>
    </row>
    <row r="3" spans="1:29">
      <c r="A3" s="1">
        <v>2</v>
      </c>
      <c r="B3" s="79" t="s">
        <v>423</v>
      </c>
      <c r="C3" s="79" t="s">
        <v>424</v>
      </c>
      <c r="D3" s="79" t="s">
        <v>425</v>
      </c>
      <c r="E3" s="1" t="s">
        <v>334</v>
      </c>
      <c r="F3" s="1" t="s">
        <v>316</v>
      </c>
      <c r="G3" s="47" t="s">
        <v>339</v>
      </c>
      <c r="H3" s="22" t="s">
        <v>326</v>
      </c>
      <c r="I3" s="1">
        <v>100</v>
      </c>
      <c r="J3" s="1" t="s">
        <v>276</v>
      </c>
      <c r="K3" s="1" t="s">
        <v>209</v>
      </c>
      <c r="L3" t="s" s="0">
        <v>369</v>
      </c>
      <c r="M3" s="38">
        <f>ROUND(SUM(AA3+AB3+I3),2)</f>
        <v>100</v>
      </c>
      <c r="N3" s="38">
        <f>AC3</f>
        <v>100</v>
      </c>
      <c r="O3" s="1"/>
      <c r="P3" s="1"/>
      <c r="Q3" s="1">
        <f>M3</f>
        <v>100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ROUND(SUM((AA3*L3)+(AB3*L3)+(I3*L3)),2)</f>
        <v>100</v>
      </c>
    </row>
    <row r="4" spans="1:29">
      <c r="I4" s="0">
        <f>SUM(I2:I3)</f>
        <v>200</v>
      </c>
      <c r="M4" s="0">
        <f>SUM(M2:M3)</f>
        <v>200</v>
      </c>
      <c r="N4" s="0">
        <f>SUM(N2:N3)</f>
        <v>200</v>
      </c>
      <c r="Q4" s="0">
        <f>SUM(Q2:Q3)</f>
        <v>200</v>
      </c>
      <c r="AC4" s="0">
        <f>SUM(AC2:AC3)</f>
        <v>200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E4"/>
  <sheetViews>
    <sheetView workbookViewId="0">
      <selection activeCell="A2" sqref="A2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47">
        <f>ROUND(SUM(G2+H2)*K1,2)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2000000124</v>
      </c>
      <c r="D3" s="79" t="s">
        <v>423</v>
      </c>
      <c r="E3" s="1"/>
      <c r="F3" s="1"/>
      <c r="G3" t="s" s="0">
        <v>310</v>
      </c>
      <c r="H3" t="s" s="0">
        <v>310</v>
      </c>
      <c r="I3" s="59">
        <f>ROUND(SUM(G3+H3)*K1,2)</f>
        <v>0</v>
      </c>
      <c r="J3" s="0">
        <v>0</v>
      </c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ROUND(SUM(G4+H4)*K1,2)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selection activeCell="A2" sqref="A2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>
        <v>85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59">
        <f>ROUND(SUM(G2+H2)*K1,2)</f>
        <v>0</v>
      </c>
      <c r="J2" s="0">
        <v>0</v>
      </c>
    </row>
    <row r="3" spans="1:30">
      <c r="A3" s="1">
        <v>2</v>
      </c>
      <c r="B3" s="58" t="s">
        <v>191</v>
      </c>
      <c r="C3" s="1">
        <v>2000000124</v>
      </c>
      <c r="D3" s="79" t="s">
        <v>423</v>
      </c>
      <c r="E3" s="1"/>
      <c r="F3" s="1"/>
      <c r="G3" t="s" s="0">
        <v>310</v>
      </c>
      <c r="H3" t="s" s="0">
        <v>310</v>
      </c>
      <c r="I3" s="59">
        <f>ROUND(SUM(G3+H3)*K1,2)</f>
        <v>0</v>
      </c>
      <c r="J3" s="0">
        <v>0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f>ROUND(SUM(G2+H2),2)</f>
        <v>0</v>
      </c>
      <c r="H4" s="0">
        <f>ROUND(SUM(G3+H3),2)</f>
        <v>0</v>
      </c>
      <c r="I4" s="0">
        <v>0</v>
      </c>
      <c r="J4" s="47">
        <f>ROUND(SUM(G4+H4)*K1,2)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D4"/>
  <sheetViews>
    <sheetView workbookViewId="0">
      <selection activeCell="A2" sqref="A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>
        <v>85</v>
      </c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59">
        <f>ROUND(SUM(G2+H2+K2)*L1,2)</f>
        <v>8500</v>
      </c>
      <c r="J2" s="0">
        <v>0</v>
      </c>
      <c r="K2" s="1">
        <f>BankPaymentUSDMPMBNR!I2</f>
        <v>100</v>
      </c>
      <c r="L2" t="s" s="0">
        <v>369</v>
      </c>
    </row>
    <row r="3" spans="1:30">
      <c r="A3" s="1">
        <v>2</v>
      </c>
      <c r="B3" s="58" t="s">
        <v>191</v>
      </c>
      <c r="C3" s="1">
        <v>2000000124</v>
      </c>
      <c r="D3" s="79" t="s">
        <v>423</v>
      </c>
      <c r="E3" s="1"/>
      <c r="F3" s="1"/>
      <c r="G3" t="s" s="0">
        <v>310</v>
      </c>
      <c r="H3" t="s" s="0">
        <v>310</v>
      </c>
      <c r="I3" s="59">
        <f>ROUND(SUM(G3+H3+K3)*L1,2)</f>
        <v>8500</v>
      </c>
      <c r="J3" s="0">
        <v>0</v>
      </c>
      <c r="K3" s="1">
        <f>BankPaymentUSDMPMBNR!I3</f>
        <v>100</v>
      </c>
      <c r="L3" t="s" s="0">
        <v>369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17000</v>
      </c>
      <c r="L4" t="s" s="0">
        <v>369</v>
      </c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3"/>
  <dimension ref="A1:AD4"/>
  <sheetViews>
    <sheetView topLeftCell="H1" workbookViewId="0">
      <selection activeCell="L2" sqref="L2"/>
    </sheetView>
  </sheetViews>
  <sheetFormatPr defaultRowHeight="15"/>
  <cols>
    <col min="1" max="1" bestFit="true" customWidth="true" width="4.85546875"/>
    <col min="2" max="2" bestFit="true" customWidth="true" width="23.8554687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56.46</v>
      </c>
      <c r="N2" s="38">
        <f>AC2</f>
        <v>4799.1000000000004</v>
      </c>
      <c r="O2" s="1"/>
      <c r="P2" s="1"/>
      <c r="Q2" s="1">
        <f>M2</f>
        <v>56.46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4799.1000000000004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</v>
      </c>
      <c r="J3" s="1" t="s">
        <v>276</v>
      </c>
      <c r="K3" s="1" t="s">
        <v>207</v>
      </c>
      <c r="L3" t="s" s="0">
        <v>319</v>
      </c>
      <c r="M3" s="38">
        <f>ROUND(SUM(AA3+AB3+I3),2)</f>
        <v>10</v>
      </c>
      <c r="N3" s="38">
        <f>AC3</f>
        <v>10</v>
      </c>
      <c r="O3" s="1"/>
      <c r="P3" s="1"/>
      <c r="Q3" s="1">
        <f>M3</f>
        <v>10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</v>
      </c>
      <c r="AD3" t="s" s="0">
        <v>338</v>
      </c>
    </row>
    <row r="4" spans="1:30">
      <c r="I4" s="0">
        <f>SUM(I2:I3)</f>
        <v>10</v>
      </c>
      <c r="M4" s="0">
        <f>ROUND(M2-M3,2)</f>
        <v>46.46</v>
      </c>
      <c r="N4" s="0">
        <f>ROUND(N2-N3,2)</f>
        <v>4789.1000000000004</v>
      </c>
      <c r="Q4" s="0">
        <f>SUM(Q2:Q3)</f>
        <v>66.460000000000008</v>
      </c>
      <c r="AC4" s="0">
        <f>ROUND(AC2-AC3,2)</f>
        <v>4789.1000000000004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E5"/>
  <sheetViews>
    <sheetView workbookViewId="0">
      <selection activeCell="D8" sqref="D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>
        <v>85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59">
        <f>ROUND(SUM(G2+H2)*K1,2)</f>
        <v>4799.1000000000004</v>
      </c>
      <c r="J2" s="0">
        <v>0</v>
      </c>
    </row>
    <row r="3" spans="1:31">
      <c r="A3" s="1">
        <v>2</v>
      </c>
      <c r="B3" s="58" t="s">
        <v>191</v>
      </c>
      <c r="C3" s="0">
        <v>5060101000</v>
      </c>
      <c r="D3" t="s" s="0">
        <v>335</v>
      </c>
      <c r="E3" s="1"/>
      <c r="F3" s="1"/>
      <c r="G3" s="0">
        <f>BankPaymentChargesUSD!I3</f>
        <v>10</v>
      </c>
      <c r="H3" t="s" s="0">
        <v>310</v>
      </c>
      <c r="I3" s="47">
        <f>ROUND(SUM(G3+H3),2)</f>
        <v>10</v>
      </c>
      <c r="J3" s="59">
        <v>0</v>
      </c>
    </row>
    <row r="4" spans="1:31">
      <c r="A4" s="1">
        <v>3</v>
      </c>
      <c r="B4" s="58" t="s">
        <v>191</v>
      </c>
      <c r="C4" s="0">
        <v>5050606001</v>
      </c>
      <c r="D4" t="s" s="0">
        <v>427</v>
      </c>
      <c r="E4" s="1"/>
      <c r="F4" s="1"/>
      <c r="G4" s="0">
        <f>G3</f>
        <v>10</v>
      </c>
      <c r="H4" s="0">
        <v>0</v>
      </c>
      <c r="I4" s="80">
        <v>0</v>
      </c>
      <c r="J4" s="59">
        <f>G4</f>
        <v>10</v>
      </c>
    </row>
    <row r="5" spans="1:31">
      <c r="A5" s="1">
        <v>4</v>
      </c>
      <c r="B5" s="58" t="s">
        <v>191</v>
      </c>
      <c r="C5" s="1">
        <v>1001002001</v>
      </c>
      <c r="D5" s="1" t="s">
        <v>356</v>
      </c>
      <c r="E5" s="1"/>
      <c r="F5" s="1"/>
      <c r="G5" s="0">
        <v>0</v>
      </c>
      <c r="H5" t="s" s="0">
        <v>310</v>
      </c>
      <c r="I5" s="0">
        <v>0</v>
      </c>
      <c r="J5" s="47">
        <f>ROUND(I2,2)</f>
        <v>4799.1000000000004</v>
      </c>
      <c r="K5" s="1"/>
      <c r="L5" s="1"/>
      <c r="M5" s="1"/>
      <c r="O5" s="38"/>
      <c r="P5" s="3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C3"/>
  <sheetViews>
    <sheetView topLeftCell="P1" workbookViewId="0">
      <selection activeCell="V11" sqref="V11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</v>
      </c>
    </row>
    <row r="3" spans="1:29">
      <c r="M3" s="0">
        <f>SUM(M2)</f>
        <v>1000</v>
      </c>
      <c r="N3" s="0">
        <f>SUM(N2)</f>
        <v>1000</v>
      </c>
      <c r="Q3" s="0">
        <f>SUM(Q2)</f>
        <v>1000</v>
      </c>
      <c r="AA3" t="s" s="0">
        <v>310</v>
      </c>
      <c r="AB3" s="0">
        <v>0</v>
      </c>
      <c r="AC3" s="0">
        <f>SUM(AC2)</f>
        <v>1000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20" sqref="C20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62" t="s">
        <v>366</v>
      </c>
      <c r="E2" s="1"/>
      <c r="F2" s="1"/>
      <c r="G2" s="0">
        <f>BankReceiptNewRef!I2</f>
        <v>1000</v>
      </c>
      <c r="H2" t="s" s="0">
        <v>310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s="0">
        <f>BankReceiptNewRef!I2</f>
        <v>1000</v>
      </c>
      <c r="H3" t="s" s="0">
        <v>310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27"/>
  <dimension ref="A1:AC3"/>
  <sheetViews>
    <sheetView workbookViewId="0">
      <selection activeCell="G2" sqref="G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28"/>
  <dimension ref="A1:AC3"/>
  <sheetViews>
    <sheetView workbookViewId="0">
      <selection activeCell="B2" sqref="B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29"/>
  <dimension ref="A1:AC4"/>
  <sheetViews>
    <sheetView workbookViewId="0">
      <selection activeCell="A2" sqref="A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370</v>
      </c>
      <c r="AB2" t="s" s="0">
        <v>370</v>
      </c>
      <c r="AC2" s="0">
        <f>ROUND(SUM((AA2*L2)+(AB2*L2)+(I2*L2)),2)</f>
        <v>1000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281</v>
      </c>
      <c r="F3" s="1" t="s">
        <v>316</v>
      </c>
      <c r="G3" s="47" t="s">
        <v>339</v>
      </c>
      <c r="H3" s="22" t="s">
        <v>326</v>
      </c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370</v>
      </c>
      <c r="AB3" t="s" s="0">
        <v>370</v>
      </c>
      <c r="AC3" s="0">
        <f>ROUND(SUM((AA3*L3)+(AB3*L3)+(I3*L3)),2)</f>
        <v>1000</v>
      </c>
    </row>
    <row r="4" spans="1:29">
      <c r="I4" s="0">
        <f>SUM(I2:I3)</f>
        <v>2000</v>
      </c>
      <c r="M4" s="0">
        <f>SUM(M2:M3)</f>
        <v>2000</v>
      </c>
      <c r="N4" s="0">
        <f>SUM(N2:N3)</f>
        <v>2000</v>
      </c>
      <c r="Q4" s="0">
        <f>SUM(Q2:Q3)</f>
        <v>2000</v>
      </c>
      <c r="AC4" s="0">
        <f>SUM(AC2:AC3)</f>
        <v>2000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110"/>
  <dimension ref="A1:AC4"/>
  <sheetViews>
    <sheetView workbookViewId="0">
      <selection activeCell="E3" sqref="E2: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370</v>
      </c>
      <c r="AB2" t="s" s="0">
        <v>370</v>
      </c>
      <c r="AC2" s="0">
        <f>ROUND(SUM((AA2*L2)+(AB2*L2)+(I2*L2)),2)</f>
        <v>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371</v>
      </c>
      <c r="F3" s="1" t="s">
        <v>316</v>
      </c>
      <c r="G3" s="47" t="s">
        <v>339</v>
      </c>
      <c r="H3" s="22" t="s">
        <v>330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372</v>
      </c>
      <c r="Y3" s="1" t="s">
        <v>373</v>
      </c>
      <c r="Z3" s="1" t="s">
        <v>303</v>
      </c>
      <c r="AA3" t="s" s="0">
        <v>370</v>
      </c>
      <c r="AB3" t="s" s="0">
        <v>370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C4"/>
  <sheetViews>
    <sheetView workbookViewId="0">
      <selection activeCell="F14" sqref="F14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62" t="s">
        <v>366</v>
      </c>
      <c r="C3" s="1" t="s">
        <v>367</v>
      </c>
      <c r="D3" s="1" t="s">
        <v>368</v>
      </c>
      <c r="E3" s="1" t="s">
        <v>371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372</v>
      </c>
      <c r="Y3" s="1" t="s">
        <v>373</v>
      </c>
      <c r="Z3" s="1" t="s">
        <v>303</v>
      </c>
      <c r="AA3" t="s" s="0">
        <v>310</v>
      </c>
      <c r="AB3" t="s" s="0">
        <v>310</v>
      </c>
      <c r="AC3" s="0">
        <f>ROUND(SUM((AA3*L3)+(AB3*L3)+(I3*L3)),2)</f>
        <v>0</v>
      </c>
    </row>
    <row r="4" spans="1:29">
      <c r="M4" s="0">
        <f>SUM(M2)</f>
        <v>0</v>
      </c>
      <c r="N4" s="0">
        <f>SUM(N2)</f>
        <v>0</v>
      </c>
      <c r="Q4" s="0">
        <f>SUM(Q2)</f>
        <v>0</v>
      </c>
      <c r="AC4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sheetPr codeName="Sheet30"/>
  <dimension ref="A1:AC4"/>
  <sheetViews>
    <sheetView workbookViewId="0">
      <selection activeCell="A2" sqref="A2:D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20.57031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370</v>
      </c>
      <c r="AB2" t="s" s="0">
        <v>370</v>
      </c>
      <c r="AC2" s="0">
        <f>ROUND(SUM((AA2*L2)+(AB2*L2)+(I2*L2)),2)</f>
        <v>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281</v>
      </c>
      <c r="F3" s="1" t="s">
        <v>316</v>
      </c>
      <c r="G3" s="47" t="s">
        <v>339</v>
      </c>
      <c r="H3" s="22" t="s">
        <v>330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370</v>
      </c>
      <c r="AB3" t="s" s="0">
        <v>370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31"/>
  <dimension ref="A1:AC4"/>
  <sheetViews>
    <sheetView workbookViewId="0">
      <selection activeCell="W21" sqref="W21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51" t="s">
        <v>325</v>
      </c>
      <c r="C3" s="1" t="s">
        <v>323</v>
      </c>
      <c r="D3" s="1" t="s">
        <v>324</v>
      </c>
      <c r="E3" s="1" t="s">
        <v>281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>
  <sheetPr codeName="Sheet32"/>
  <dimension ref="A1:AC3"/>
  <sheetViews>
    <sheetView workbookViewId="0">
      <selection activeCell="H2" sqref="H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9.28515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>
  <sheetPr codeName="Sheet38"/>
  <dimension ref="A1:D3"/>
  <sheetViews>
    <sheetView workbookViewId="0">
      <selection activeCell="E3" sqref="E3"/>
    </sheetView>
  </sheetViews>
  <sheetFormatPr defaultRowHeight="15"/>
  <cols>
    <col min="2" max="2" bestFit="true" customWidth="true" width="12.28515625"/>
    <col min="3" max="3" bestFit="true" customWidth="true" width="24.28515625"/>
    <col min="4" max="4" bestFit="true" customWidth="true" width="19.7109375"/>
  </cols>
  <sheetData>
    <row r="1" spans="1:4">
      <c r="A1" s="37" t="s">
        <v>253</v>
      </c>
      <c r="B1" s="37" t="s">
        <v>277</v>
      </c>
      <c r="C1" s="37" t="s">
        <v>278</v>
      </c>
      <c r="D1" s="37" t="s">
        <v>279</v>
      </c>
    </row>
    <row r="2" spans="1:4">
      <c r="A2" s="1">
        <v>1</v>
      </c>
      <c r="B2" s="1" t="s">
        <v>283</v>
      </c>
      <c r="C2" s="1" t="s">
        <v>284</v>
      </c>
      <c r="D2" s="1" t="s">
        <v>282</v>
      </c>
    </row>
    <row r="3" spans="1:4">
      <c r="A3" s="1">
        <v>2</v>
      </c>
      <c r="B3" s="1" t="s">
        <v>280</v>
      </c>
      <c r="C3" s="1" t="s">
        <v>243</v>
      </c>
      <c r="D3" s="1" t="s">
        <v>281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>
  <sheetPr codeName="Sheet39"/>
  <dimension ref="A1:AC3"/>
  <sheetViews>
    <sheetView topLeftCell="O1" workbookViewId="0">
      <selection activeCell="AB2" sqref="AB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I2*L2</f>
        <v>1000</v>
      </c>
      <c r="N2" s="38">
        <f>I2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s="0">
        <v>0</v>
      </c>
      <c r="AB2" s="0">
        <v>0</v>
      </c>
      <c r="AC2" s="0">
        <f>ROUND(SUM(AA2+AB2),2)</f>
        <v>0</v>
      </c>
    </row>
    <row r="3" spans="1:29"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>
  <sheetPr codeName="Sheet40"/>
  <dimension ref="A1:AC3"/>
  <sheetViews>
    <sheetView topLeftCell="D1" workbookViewId="0">
      <selection activeCell="M2" sqref="M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>
  <sheetPr codeName="Sheet41"/>
  <dimension ref="A1:AC4"/>
  <sheetViews>
    <sheetView topLeftCell="D1" workbookViewId="0">
      <selection activeCell="I2" sqref="I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41" t="s">
        <v>299</v>
      </c>
      <c r="F2" s="41" t="s">
        <v>316</v>
      </c>
      <c r="G2" s="47" t="s">
        <v>339</v>
      </c>
      <c r="H2" s="44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1000</v>
      </c>
    </row>
    <row r="3" spans="1:29" s="1" customFormat="1">
      <c r="A3" s="1">
        <v>2</v>
      </c>
      <c r="B3" s="1" t="s">
        <v>320</v>
      </c>
      <c r="C3" s="1" t="s">
        <v>179</v>
      </c>
      <c r="D3" s="1" t="s">
        <v>180</v>
      </c>
      <c r="E3" s="1" t="s">
        <v>302</v>
      </c>
      <c r="F3" s="1" t="s">
        <v>316</v>
      </c>
      <c r="G3" s="47" t="s">
        <v>339</v>
      </c>
      <c r="H3" s="22" t="s">
        <v>301</v>
      </c>
      <c r="I3" s="1">
        <v>1000</v>
      </c>
      <c r="J3" s="1" t="s">
        <v>303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Q3" s="1">
        <f>M3</f>
        <v>1000</v>
      </c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1000</v>
      </c>
    </row>
    <row r="4" spans="1:29">
      <c r="I4" s="0">
        <f>SUM(I2:I3)</f>
        <v>2000</v>
      </c>
      <c r="M4" s="0">
        <f>SUM(M2:M3)</f>
        <v>2000</v>
      </c>
      <c r="N4" s="0">
        <f>SUM(N2:N3)</f>
        <v>2000</v>
      </c>
      <c r="AC4" s="0">
        <f>SUM(AC2:AC3)</f>
        <v>2000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sheetPr codeName="Sheet42"/>
  <dimension ref="A1:AE3"/>
  <sheetViews>
    <sheetView workbookViewId="0">
      <selection activeCell="D8" sqref="D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0">
        <v>110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ROUND(SUM(ROUND(G2,2)+ROUND(H2,2))*K1,2)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ROUND(SUM(ROUND(G3,2)+ROUND(H3,2))*K1,2)</f>
        <v>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>
  <sheetPr codeName="Sheet43"/>
  <dimension ref="A1:AE4"/>
  <sheetViews>
    <sheetView topLeftCell="D1" workbookViewId="0">
      <selection activeCell="J4" sqref="J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312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ROUND(SUM(G2+H2)*K1,2)</f>
        <v>0</v>
      </c>
      <c r="J2" s="59">
        <v>0</v>
      </c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s="0">
        <v>0</v>
      </c>
      <c r="I3" s="59">
        <v>0</v>
      </c>
      <c r="J3" s="59">
        <f>ROUND(SUM(G3+H3)*K1,2)</f>
        <v>0</v>
      </c>
    </row>
    <row r="4" spans="1:31">
      <c r="A4" s="1">
        <v>3</v>
      </c>
      <c r="B4" s="58" t="s">
        <v>191</v>
      </c>
      <c r="C4" s="1">
        <v>1000000005</v>
      </c>
      <c r="D4" s="1" t="s">
        <v>322</v>
      </c>
      <c r="E4" s="1"/>
      <c r="F4" s="1"/>
      <c r="G4" t="s" s="0">
        <v>310</v>
      </c>
      <c r="H4" s="0">
        <v>0</v>
      </c>
      <c r="I4" s="59">
        <v>0</v>
      </c>
      <c r="J4" s="59">
        <f>ROUND(SUM(G4+H4)*K1,2)</f>
        <v>0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>
  <sheetPr codeName="Sheet44"/>
  <dimension ref="A1:AD4"/>
  <sheetViews>
    <sheetView topLeftCell="C1" workbookViewId="0">
      <selection activeCell="J5" sqref="J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ROUND(SUM(G3+H3)*K1,2)</f>
        <v>220000</v>
      </c>
      <c r="H2" s="0">
        <f>ROUND(SUM(G4+H4)*K1,2)</f>
        <v>220000</v>
      </c>
      <c r="I2" s="47">
        <f>ROUND(SUM(G2+H2),2)</f>
        <v>440000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s="0">
        <v>1000</v>
      </c>
      <c r="H3" s="0">
        <v>1000</v>
      </c>
      <c r="I3" s="59">
        <v>0</v>
      </c>
      <c r="J3" s="59">
        <f>ROUND(SUM(G3+H3)*K1,2)</f>
        <v>220000</v>
      </c>
    </row>
    <row r="4" spans="1:30">
      <c r="A4" s="1">
        <v>3</v>
      </c>
      <c r="B4" s="58" t="s">
        <v>191</v>
      </c>
      <c r="C4" s="1">
        <v>1000000005</v>
      </c>
      <c r="D4" s="1" t="s">
        <v>322</v>
      </c>
      <c r="E4" s="1"/>
      <c r="F4" s="1"/>
      <c r="G4" s="0">
        <v>1000</v>
      </c>
      <c r="H4" s="0">
        <v>1000</v>
      </c>
      <c r="I4" s="59">
        <v>0</v>
      </c>
      <c r="J4" s="59">
        <f>ROUND(SUM(G4+H4)*K1,2)</f>
        <v>220000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codeName="Sheet45"/>
  <dimension ref="A1:AD4"/>
  <sheetViews>
    <sheetView workbookViewId="0">
      <selection activeCell="D4" sqref="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t="s" s="0">
        <v>360</v>
      </c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v>0</v>
      </c>
      <c r="H2" s="0">
        <v>0</v>
      </c>
      <c r="I2" s="47">
        <f>ROUND(SUM(J4+J3),2)</f>
        <v>44000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ROUND(SUM(G3+H3+K4)*L1,2)</f>
        <v>22000</v>
      </c>
      <c r="K3" s="1">
        <f>BankReceiptMultiNewRefUSD!I2</f>
        <v>200</v>
      </c>
    </row>
    <row r="4" spans="1:30">
      <c r="A4" s="1">
        <v>3</v>
      </c>
      <c r="B4" s="58" t="s">
        <v>191</v>
      </c>
      <c r="C4" s="1">
        <v>1000000005</v>
      </c>
      <c r="D4" s="1" t="s">
        <v>322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ROUND(SUM(G4+H4+K4)*L1,2)</f>
        <v>22000</v>
      </c>
      <c r="K4" s="1">
        <f>BankReceiptMultiNewRefUSD!I3</f>
        <v>200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sheetPr codeName="Sheet46"/>
  <dimension ref="A1:AC4"/>
  <sheetViews>
    <sheetView workbookViewId="0">
      <selection activeCell="I2" sqref="I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42578125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50" t="s">
        <v>321</v>
      </c>
      <c r="C2" s="41" t="s">
        <v>161</v>
      </c>
      <c r="D2" s="41" t="s">
        <v>162</v>
      </c>
      <c r="E2" s="41" t="s">
        <v>311</v>
      </c>
      <c r="F2" s="41" t="s">
        <v>316</v>
      </c>
      <c r="G2" s="47" t="s">
        <v>339</v>
      </c>
      <c r="H2" s="44" t="s">
        <v>275</v>
      </c>
      <c r="I2" s="41">
        <v>200</v>
      </c>
      <c r="J2" s="41" t="s">
        <v>303</v>
      </c>
      <c r="K2" s="41" t="s">
        <v>209</v>
      </c>
      <c r="L2" t="s" s="0">
        <v>360</v>
      </c>
      <c r="M2" s="45">
        <f>ROUND(SUM(AA2+AB2+I2),2)</f>
        <v>200</v>
      </c>
      <c r="N2" s="45">
        <f>AC2</f>
        <v>283500</v>
      </c>
      <c r="O2" s="41"/>
      <c r="P2" s="41"/>
      <c r="Q2" s="41">
        <f>M2</f>
        <v>200</v>
      </c>
      <c r="R2" s="41"/>
      <c r="S2" s="41"/>
      <c r="T2" s="41"/>
      <c r="U2" s="41"/>
      <c r="V2" s="41"/>
      <c r="W2" s="41"/>
      <c r="X2" s="41" t="s">
        <v>190</v>
      </c>
      <c r="Y2" s="41" t="s">
        <v>191</v>
      </c>
      <c r="Z2" s="41" t="s">
        <v>276</v>
      </c>
      <c r="AA2" t="s" s="0">
        <v>310</v>
      </c>
      <c r="AB2" t="s" s="0">
        <v>310</v>
      </c>
      <c r="AC2" s="0">
        <f>ROUND(SUM((AA2*L2)+(AB2*L2)+(I2*L2)),2)</f>
        <v>16200</v>
      </c>
    </row>
    <row r="3" spans="1:29">
      <c r="A3" s="1">
        <v>2</v>
      </c>
      <c r="B3" s="1" t="s">
        <v>322</v>
      </c>
      <c r="C3" s="1" t="s">
        <v>315</v>
      </c>
      <c r="D3" s="1" t="s">
        <v>224</v>
      </c>
      <c r="E3" s="1" t="s">
        <v>311</v>
      </c>
      <c r="F3" s="1" t="s">
        <v>316</v>
      </c>
      <c r="G3" s="47" t="s">
        <v>339</v>
      </c>
      <c r="H3" s="22" t="s">
        <v>301</v>
      </c>
      <c r="I3" s="1">
        <v>200</v>
      </c>
      <c r="J3" s="1" t="s">
        <v>303</v>
      </c>
      <c r="K3" s="1" t="s">
        <v>209</v>
      </c>
      <c r="L3" t="s" s="0">
        <v>360</v>
      </c>
      <c r="M3" s="38">
        <f>ROUND(SUM(AA3+AB3+I3),2)</f>
        <v>200</v>
      </c>
      <c r="N3" s="38">
        <f>AC3</f>
        <v>16200</v>
      </c>
      <c r="O3" s="1"/>
      <c r="P3" s="1"/>
      <c r="Q3" s="1">
        <f>M3</f>
        <v>200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1">
        <f>ROUND(SUM((AA3*L3)+(AB3*L3)+(I3*L3)),2)</f>
        <v>16200</v>
      </c>
    </row>
    <row r="4" spans="1:29">
      <c r="I4" s="0">
        <f>SUM(I2:I3)</f>
        <v>400</v>
      </c>
      <c r="M4" s="0">
        <f>SUM(M2:M3)</f>
        <v>400</v>
      </c>
      <c r="N4" s="0">
        <f>SUM(N2:N3)</f>
        <v>299700</v>
      </c>
      <c r="Q4" s="0">
        <f>SUM(Q2:Q3)</f>
        <v>3700</v>
      </c>
      <c r="AA4" s="0">
        <f>SUM(AA2:AA3)</f>
        <v>0</v>
      </c>
      <c r="AB4" s="0">
        <f>SUM(AB2:AB3)</f>
        <v>0</v>
      </c>
      <c r="AC4" s="0">
        <f>SUM(AC2:AC3)</f>
        <v>32400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codeName="Sheet47"/>
  <dimension ref="A1:AE3"/>
  <sheetViews>
    <sheetView workbookViewId="0">
      <selection activeCell="C6" sqref="C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>
  <sheetPr codeName="Sheet48"/>
  <dimension ref="A1:AE4"/>
  <sheetViews>
    <sheetView topLeftCell="C1" workbookViewId="0">
      <selection activeCell="J3" sqref="J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>
  <sheetPr codeName="Sheet49"/>
  <dimension ref="A1:AD4"/>
  <sheetViews>
    <sheetView topLeftCell="D1" workbookViewId="0">
      <selection activeCell="I3" sqref="I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s="0">
        <f>ROUND(SUM(G3+H3),2)</f>
        <v>0</v>
      </c>
      <c r="H2" s="0">
        <f>ROUND(SUM(G4+H4),2)</f>
        <v>0</v>
      </c>
      <c r="I2" s="47">
        <f>ROUND(SUM(G2+H2),2)</f>
        <v>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>
  <sheetPr codeName="Sheet50"/>
  <dimension ref="A1:AD4"/>
  <sheetViews>
    <sheetView topLeftCell="D1" workbookViewId="0">
      <selection activeCell="H4" sqref="H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s="0">
        <v>0</v>
      </c>
      <c r="H2" s="0">
        <v>0</v>
      </c>
      <c r="I2" s="47">
        <f>ROUND(SUM(J4+J3),2)</f>
        <v>2000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ROUND(SUM(G3+H3+K4),2)</f>
        <v>1000</v>
      </c>
      <c r="K3" s="1">
        <f>BankReceiptMultiNewRef!I2</f>
        <v>1000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ROUND(SUM(G4+H4+K4),2)</f>
        <v>1000</v>
      </c>
      <c r="K4" s="1">
        <f>BankReceiptMultiNewRef!I3</f>
        <v>1000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>
  <sheetPr codeName="Sheet51"/>
  <dimension ref="A1:AE3"/>
  <sheetViews>
    <sheetView workbookViewId="0">
      <selection activeCell="D15" sqref="D1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2000000011</v>
      </c>
      <c r="D2" s="1" t="s">
        <v>317</v>
      </c>
      <c r="E2" s="1"/>
      <c r="F2" s="1"/>
      <c r="G2" s="0">
        <f>BankPaymentPDC!I2</f>
        <v>10000</v>
      </c>
      <c r="H2" t="s" s="0">
        <v>310</v>
      </c>
      <c r="I2" s="59">
        <f>ROUND(SUM(G2+H2),2)</f>
        <v>10000</v>
      </c>
      <c r="J2" s="0">
        <v>0</v>
      </c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BankPaymentPDC!I2</f>
        <v>10000</v>
      </c>
      <c r="H3" t="s" s="0">
        <v>310</v>
      </c>
      <c r="I3" s="0">
        <v>0</v>
      </c>
      <c r="J3" s="47">
        <f>ROUND(SUM(G3+H3),2)</f>
        <v>10000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>
  <sheetPr codeName="Sheet52"/>
  <dimension ref="A1:AE3"/>
  <sheetViews>
    <sheetView topLeftCell="D1" workbookViewId="0">
      <selection activeCell="E13" sqref="E1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BankReceiptPDC!I2</f>
        <v>10000</v>
      </c>
      <c r="H2" t="s" s="0">
        <v>310</v>
      </c>
      <c r="I2" s="47">
        <f>ROUND(SUM(G2+H2),2)</f>
        <v>10000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f>BankReceiptPDC!I2</f>
        <v>10000</v>
      </c>
      <c r="H3" t="s" s="0">
        <v>310</v>
      </c>
      <c r="I3" s="59">
        <v>0</v>
      </c>
      <c r="J3" s="59">
        <f>ROUND(SUM(G3+H3),2)</f>
        <v>10000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>
  <sheetPr codeName="Sheet53"/>
  <dimension ref="A1:AE6"/>
  <sheetViews>
    <sheetView workbookViewId="0">
      <selection activeCell="D5" sqref="D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1000000029</v>
      </c>
      <c r="D3" s="1" t="s">
        <v>349</v>
      </c>
      <c r="E3" s="1"/>
      <c r="F3" s="1"/>
      <c r="G3" s="1">
        <v>0</v>
      </c>
      <c r="H3" s="1">
        <v>0</v>
      </c>
      <c r="I3" s="1">
        <v>0</v>
      </c>
      <c r="J3" s="1">
        <f>ROUND(I2*1%,2)</f>
        <v>10</v>
      </c>
    </row>
    <row r="4" spans="1:31">
      <c r="A4" s="14">
        <v>2</v>
      </c>
      <c r="B4" s="58" t="s">
        <v>191</v>
      </c>
      <c r="C4" s="1">
        <v>2020102002</v>
      </c>
      <c r="D4" s="1" t="s">
        <v>362</v>
      </c>
      <c r="E4" s="1"/>
      <c r="F4" s="1"/>
      <c r="G4" s="1">
        <v>0</v>
      </c>
      <c r="H4" s="1">
        <v>0</v>
      </c>
      <c r="I4" s="1">
        <f>(I2)*9%</f>
        <v>90</v>
      </c>
      <c r="J4" s="1">
        <v>0</v>
      </c>
    </row>
    <row r="5" spans="1:31">
      <c r="A5" s="14">
        <v>3</v>
      </c>
      <c r="B5" s="58" t="s">
        <v>191</v>
      </c>
      <c r="C5" s="1">
        <v>2020102003</v>
      </c>
      <c r="D5" s="1" t="s">
        <v>363</v>
      </c>
      <c r="E5" s="1"/>
      <c r="F5" s="1"/>
      <c r="G5" s="1">
        <v>0</v>
      </c>
      <c r="H5" s="1">
        <v>0</v>
      </c>
      <c r="I5" s="1">
        <f>(I2)*9%</f>
        <v>90</v>
      </c>
      <c r="J5" s="1">
        <v>0</v>
      </c>
    </row>
    <row r="6" spans="1:31">
      <c r="A6" s="1">
        <v>5</v>
      </c>
      <c r="B6" s="58" t="s">
        <v>191</v>
      </c>
      <c r="C6" s="1">
        <v>1001002001</v>
      </c>
      <c r="D6" s="1" t="s">
        <v>356</v>
      </c>
      <c r="E6" s="1"/>
      <c r="F6" s="1"/>
      <c r="G6" s="1">
        <v>0</v>
      </c>
      <c r="H6" s="1">
        <v>0</v>
      </c>
      <c r="I6" s="1">
        <v>0</v>
      </c>
      <c r="J6" s="47">
        <f>ROUND(SUM(I4+I5+I2)-J3,2)</f>
        <v>1170</v>
      </c>
      <c r="K6" s="60"/>
      <c r="L6" s="1"/>
      <c r="M6" s="1"/>
      <c r="O6" s="38"/>
      <c r="P6" s="3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>
  <sheetPr codeName="Sheet54"/>
  <dimension ref="A1:AE5"/>
  <sheetViews>
    <sheetView topLeftCell="C1" workbookViewId="0">
      <selection activeCell="E10" sqref="E10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2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2020102002</v>
      </c>
      <c r="D3" s="1" t="s">
        <v>362</v>
      </c>
      <c r="E3" s="1"/>
      <c r="F3" s="1"/>
      <c r="G3" s="1">
        <v>0</v>
      </c>
      <c r="H3" s="1">
        <v>0</v>
      </c>
      <c r="I3" s="1">
        <f>(I2)*9%</f>
        <v>90</v>
      </c>
      <c r="J3" s="0">
        <v>0</v>
      </c>
    </row>
    <row r="4" spans="1:31">
      <c r="A4" s="14">
        <v>5</v>
      </c>
      <c r="B4" s="58" t="s">
        <v>191</v>
      </c>
      <c r="C4" s="1">
        <v>2020102003</v>
      </c>
      <c r="D4" s="1" t="s">
        <v>363</v>
      </c>
      <c r="E4" s="1"/>
      <c r="F4" s="1"/>
      <c r="G4" s="1">
        <v>0</v>
      </c>
      <c r="H4" s="1">
        <v>0</v>
      </c>
      <c r="I4" s="1">
        <f>(I2)*9%</f>
        <v>90</v>
      </c>
      <c r="J4" s="0">
        <v>0</v>
      </c>
    </row>
    <row r="5" spans="1:31">
      <c r="A5" s="1">
        <v>1</v>
      </c>
      <c r="B5" s="58" t="s">
        <v>191</v>
      </c>
      <c r="C5" s="1">
        <v>1001002001</v>
      </c>
      <c r="D5" s="1" t="s">
        <v>356</v>
      </c>
      <c r="E5" s="1"/>
      <c r="F5" s="1"/>
      <c r="G5" s="1">
        <v>0</v>
      </c>
      <c r="H5" s="1">
        <v>0</v>
      </c>
      <c r="I5" s="0">
        <v>0</v>
      </c>
      <c r="J5" s="47">
        <f>ROUND(SUM(I3+I4+I2),2)</f>
        <v>1180</v>
      </c>
      <c r="K5" s="60"/>
      <c r="L5" s="1"/>
      <c r="M5" s="1"/>
      <c r="O5" s="38"/>
      <c r="P5" s="3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>
  <sheetPr codeName="Sheet55"/>
  <dimension ref="A1:AE6"/>
  <sheetViews>
    <sheetView topLeftCell="C1" workbookViewId="0">
      <selection activeCell="D14" sqref="D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1" t="s">
        <v>310</v>
      </c>
      <c r="H2" s="1" t="s">
        <v>310</v>
      </c>
      <c r="I2" s="47">
        <f>ROUND(SUM(J5+J6)+(J3-I4),2)</f>
        <v>10620</v>
      </c>
      <c r="J2" s="59">
        <v>0</v>
      </c>
      <c r="K2" s="60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1">
        <f>BankReceiptRevExpGST!I2</f>
        <v>10000</v>
      </c>
      <c r="H3" s="1" t="s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1">
        <v>5050100000</v>
      </c>
      <c r="D4" s="1" t="s">
        <v>340</v>
      </c>
      <c r="E4" s="1"/>
      <c r="F4" s="1"/>
      <c r="G4" s="1">
        <f>BankReceiptRevExpGST!I3</f>
        <v>1000</v>
      </c>
      <c r="H4" s="1" t="s">
        <v>310</v>
      </c>
      <c r="I4" s="47">
        <f>ROUND(SUM(G4+H4),2)</f>
        <v>1000</v>
      </c>
      <c r="J4" s="59">
        <v>0</v>
      </c>
    </row>
    <row r="5" spans="1:31">
      <c r="A5" s="14">
        <v>4</v>
      </c>
      <c r="B5" s="58" t="s">
        <v>191</v>
      </c>
      <c r="C5" s="1">
        <v>2020102002</v>
      </c>
      <c r="D5" s="1" t="s">
        <v>362</v>
      </c>
      <c r="E5" s="1"/>
      <c r="F5" s="1"/>
      <c r="G5" s="1"/>
      <c r="H5" s="1"/>
      <c r="I5" s="1">
        <v>0</v>
      </c>
      <c r="J5" s="1">
        <f>(J3-I4)*9%</f>
        <v>810</v>
      </c>
    </row>
    <row r="6" spans="1:31">
      <c r="A6" s="14">
        <v>5</v>
      </c>
      <c r="B6" s="58" t="s">
        <v>191</v>
      </c>
      <c r="C6" s="1">
        <v>2020102003</v>
      </c>
      <c r="D6" s="1" t="s">
        <v>363</v>
      </c>
      <c r="E6" s="1"/>
      <c r="F6" s="1"/>
      <c r="G6" s="1"/>
      <c r="H6" s="1"/>
      <c r="I6" s="1">
        <v>0</v>
      </c>
      <c r="J6" s="1">
        <f>(J3-I4)*9%</f>
        <v>810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>
  <sheetPr codeName="Sheet56"/>
  <dimension ref="A1:AG4"/>
  <sheetViews>
    <sheetView topLeftCell="C1" workbookViewId="0">
      <selection activeCell="AC16" sqref="AC16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1</v>
      </c>
      <c r="AF1" s="55" t="s">
        <v>348</v>
      </c>
      <c r="AG1" s="54" t="s">
        <v>347</v>
      </c>
    </row>
    <row r="2" spans="1:33">
      <c r="A2" s="1">
        <v>1</v>
      </c>
      <c r="B2" s="48" t="s">
        <v>341</v>
      </c>
      <c r="C2" s="1"/>
      <c r="D2" s="1"/>
      <c r="E2" s="1"/>
      <c r="F2" s="1" t="s">
        <v>316</v>
      </c>
      <c r="G2" s="47" t="s">
        <v>339</v>
      </c>
      <c r="H2" s="22" t="s">
        <v>275</v>
      </c>
      <c r="I2" s="1">
        <v>10000</v>
      </c>
      <c r="J2" s="1" t="s">
        <v>303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11800</v>
      </c>
      <c r="O2" s="1">
        <v>88363222</v>
      </c>
      <c r="P2" s="53">
        <v>0.18</v>
      </c>
      <c r="Q2" s="1">
        <f>M2</f>
        <v>10000</v>
      </c>
      <c r="R2" s="1">
        <f>IF(OR($AE$1=1,$AE$1=4),ROUND((Q2*P2)/2,2),0)</f>
        <v>900</v>
      </c>
      <c r="S2" s="1">
        <f>IF($AE$1=1,ROUND(((Q2*P2)/2),2),0)</f>
        <v>900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343</v>
      </c>
      <c r="AA2" t="s" s="0">
        <v>310</v>
      </c>
      <c r="AB2" t="s" s="0">
        <v>310</v>
      </c>
      <c r="AC2" s="0">
        <f>ROUND(SUM((AA2*L2)+(AB2*L2)+(I2*L2)+R2+S2+T2+U2+W2),2)</f>
        <v>11800</v>
      </c>
      <c r="AD2" t="s" s="0">
        <v>337</v>
      </c>
      <c r="AE2" s="0">
        <v>34</v>
      </c>
      <c r="AF2" t="s" s="0">
        <v>180</v>
      </c>
      <c r="AG2" t="s" s="0">
        <v>346</v>
      </c>
    </row>
    <row r="3" spans="1:33">
      <c r="A3" s="1">
        <v>2</v>
      </c>
      <c r="B3" s="48" t="s">
        <v>340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1180</v>
      </c>
      <c r="O3" s="1">
        <v>88363222</v>
      </c>
      <c r="P3" s="53">
        <v>0.18</v>
      </c>
      <c r="Q3" s="1">
        <f>M3</f>
        <v>1000</v>
      </c>
      <c r="R3" s="1">
        <f>IF(OR($AE$1=1,$AE$1=4),ROUND((Q3*P3)/2,2),0)</f>
        <v>90</v>
      </c>
      <c r="S3" s="1">
        <f>IF($AE$1=1,ROUND(((Q3*P3)/2),2),0)</f>
        <v>90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t="s" s="0">
        <v>310</v>
      </c>
      <c r="AB3" t="s" s="0">
        <v>310</v>
      </c>
      <c r="AC3" s="0">
        <f>ROUND(SUM((AA3*L3)+(AB3*L3)+(I3*L3)+R3+S3+T3+U3+W3),2)</f>
        <v>1180</v>
      </c>
      <c r="AD3" t="s" s="0">
        <v>337</v>
      </c>
      <c r="AE3" s="0">
        <v>34</v>
      </c>
      <c r="AF3" t="s" s="0">
        <v>345</v>
      </c>
      <c r="AG3" t="s" s="0">
        <v>346</v>
      </c>
    </row>
    <row r="4" spans="1:33">
      <c r="I4" s="0">
        <f>SUM(I2:I3)</f>
        <v>11000</v>
      </c>
      <c r="M4" s="0">
        <f>ROUND(M2-M3,2)</f>
        <v>9000</v>
      </c>
      <c r="N4" s="0">
        <f>ROUND(N2-N3,2)</f>
        <v>10620</v>
      </c>
      <c r="Q4" s="0">
        <f>SUM(Q2:Q3)</f>
        <v>11000</v>
      </c>
      <c r="R4" s="0">
        <f>SUM(R2:R3)</f>
        <v>990</v>
      </c>
      <c r="S4" s="0">
        <f>SUM(S2:S3)</f>
        <v>990</v>
      </c>
      <c r="T4" s="0">
        <f>SUM(T2:T3)</f>
        <v>0</v>
      </c>
      <c r="U4" s="0">
        <f>SUM(U2:U3)</f>
        <v>0</v>
      </c>
      <c r="AC4" s="0">
        <f>ROUND(AC2-AC3,2)</f>
        <v>10620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>
  <sheetPr codeName="Sheet57"/>
  <dimension ref="A1:AE4"/>
  <sheetViews>
    <sheetView topLeftCell="D1" workbookViewId="0">
      <selection activeCell="G4" sqref="G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ROUND((J3-I4),2)</f>
        <v>990000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0">
        <f>BankReceiptRevExp!I2</f>
        <v>10000</v>
      </c>
      <c r="H3" t="s" s="0">
        <v>310</v>
      </c>
      <c r="I3" s="59">
        <v>0</v>
      </c>
      <c r="J3" s="59">
        <f>ROUND(SUM(G3+H3)*K1,2)</f>
        <v>1100000</v>
      </c>
    </row>
    <row r="4" spans="1:31">
      <c r="A4" s="1">
        <v>2</v>
      </c>
      <c r="B4" s="58" t="s">
        <v>191</v>
      </c>
      <c r="C4" s="0">
        <v>5050100000</v>
      </c>
      <c r="D4" t="s" s="0">
        <v>340</v>
      </c>
      <c r="E4" s="1"/>
      <c r="F4" s="1"/>
      <c r="G4" s="0">
        <f>BankReceiptRevExp!I3</f>
        <v>1000</v>
      </c>
      <c r="H4" t="s" s="0">
        <v>310</v>
      </c>
      <c r="I4" s="47">
        <f>ROUND(SUM(G4+H4)*K1,2)</f>
        <v>110000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>
  <sheetPr codeName="Sheet58"/>
  <dimension ref="A1:AE6"/>
  <sheetViews>
    <sheetView topLeftCell="C1" workbookViewId="0">
      <selection activeCell="G18" sqref="G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1" t="s">
        <v>310</v>
      </c>
      <c r="H2" s="1" t="s">
        <v>310</v>
      </c>
      <c r="I2" s="47">
        <f>ROUND(SUM(J5+J6)+(J3-I4),2)</f>
        <v>10620</v>
      </c>
      <c r="J2" s="59">
        <v>0</v>
      </c>
      <c r="K2" s="60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1">
        <f>BankReceiptRevExpGST!I2</f>
        <v>10000</v>
      </c>
      <c r="H3" s="1" t="s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1">
        <v>5050100000</v>
      </c>
      <c r="D4" s="1" t="s">
        <v>340</v>
      </c>
      <c r="E4" s="1"/>
      <c r="F4" s="1"/>
      <c r="G4" s="1">
        <f>BankReceiptRevExpGST!I3</f>
        <v>1000</v>
      </c>
      <c r="H4" s="1" t="s">
        <v>310</v>
      </c>
      <c r="I4" s="47">
        <f>ROUND(SUM(G4+H4),2)</f>
        <v>1000</v>
      </c>
      <c r="J4" s="59">
        <v>0</v>
      </c>
    </row>
    <row r="5" spans="1:31">
      <c r="A5" s="14">
        <v>4</v>
      </c>
      <c r="B5" s="58" t="s">
        <v>191</v>
      </c>
      <c r="C5" s="1">
        <v>2020102002</v>
      </c>
      <c r="D5" s="1" t="s">
        <v>362</v>
      </c>
      <c r="E5" s="1"/>
      <c r="F5" s="1"/>
      <c r="G5" s="1"/>
      <c r="H5" s="1"/>
      <c r="I5" s="1">
        <v>0</v>
      </c>
      <c r="J5" s="1">
        <f>(J3-I4)*9%</f>
        <v>810</v>
      </c>
    </row>
    <row r="6" spans="1:31">
      <c r="A6" s="14">
        <v>5</v>
      </c>
      <c r="B6" s="58" t="s">
        <v>191</v>
      </c>
      <c r="C6" s="1">
        <v>2020102003</v>
      </c>
      <c r="D6" s="1" t="s">
        <v>363</v>
      </c>
      <c r="E6" s="1"/>
      <c r="F6" s="1"/>
      <c r="G6" s="1"/>
      <c r="H6" s="1"/>
      <c r="I6" s="1">
        <v>0</v>
      </c>
      <c r="J6" s="1">
        <f>(J3-I4)*9%</f>
        <v>810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>
  <sheetPr codeName="Sheet59"/>
  <dimension ref="A1:AE4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t="s" s="0">
        <v>310</v>
      </c>
      <c r="H2" t="s" s="0">
        <v>310</v>
      </c>
      <c r="I2" s="47">
        <f>ROUND(J3-I4,2)</f>
        <v>9000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0">
        <f>BankReceiptRevExp!I2</f>
        <v>10000</v>
      </c>
      <c r="H3" t="s" s="0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0">
        <v>5050100000</v>
      </c>
      <c r="D4" t="s" s="0">
        <v>340</v>
      </c>
      <c r="E4" s="1"/>
      <c r="F4" s="1"/>
      <c r="G4" s="0">
        <f>BankReceiptRevExp!I3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>
  <sheetPr codeName="Sheet60"/>
  <dimension ref="A1:AE3"/>
  <sheetViews>
    <sheetView topLeftCell="C1"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ROUND(SUM(G2+H2),2)</f>
        <v>1000</v>
      </c>
      <c r="J2" s="59">
        <v>0</v>
      </c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ROUND(G3+H3,2)</f>
        <v>1000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>
  <sheetPr codeName="Sheet61"/>
  <dimension ref="A1:AE5"/>
  <sheetViews>
    <sheetView topLeftCell="C1" workbookViewId="0">
      <selection activeCell="C5" sqref="C5:D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2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2020102002</v>
      </c>
      <c r="D3" s="1" t="s">
        <v>362</v>
      </c>
      <c r="E3" s="1"/>
      <c r="F3" s="1"/>
      <c r="G3" s="1">
        <v>0</v>
      </c>
      <c r="H3" s="1">
        <v>0</v>
      </c>
      <c r="I3" s="1">
        <f>(I2)*9%</f>
        <v>90</v>
      </c>
      <c r="J3" s="0">
        <v>0</v>
      </c>
    </row>
    <row r="4" spans="1:31">
      <c r="A4" s="14">
        <v>5</v>
      </c>
      <c r="B4" s="58" t="s">
        <v>191</v>
      </c>
      <c r="C4" s="1">
        <v>2020102003</v>
      </c>
      <c r="D4" s="1" t="s">
        <v>363</v>
      </c>
      <c r="E4" s="1"/>
      <c r="F4" s="1"/>
      <c r="G4" s="1">
        <v>0</v>
      </c>
      <c r="H4" s="1">
        <v>0</v>
      </c>
      <c r="I4" s="1">
        <f>(I2)*9%</f>
        <v>90</v>
      </c>
      <c r="J4" s="0">
        <v>0</v>
      </c>
    </row>
    <row r="5" spans="1:31">
      <c r="A5" s="1">
        <v>1</v>
      </c>
      <c r="B5" s="58" t="s">
        <v>191</v>
      </c>
      <c r="C5" s="1">
        <v>1000000028</v>
      </c>
      <c r="D5" s="1" t="s">
        <v>365</v>
      </c>
      <c r="E5" s="1"/>
      <c r="F5" s="1"/>
      <c r="G5" s="1">
        <v>0</v>
      </c>
      <c r="H5" s="1">
        <v>0</v>
      </c>
      <c r="I5" s="0">
        <v>0</v>
      </c>
      <c r="J5" s="47">
        <f>ROUND(SUM(I3+I4+I2),2)</f>
        <v>1180</v>
      </c>
      <c r="K5" s="60"/>
      <c r="L5" s="1"/>
      <c r="M5" s="1"/>
      <c r="O5" s="38"/>
      <c r="P5" s="38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>
  <sheetPr codeName="Sheet62"/>
  <dimension ref="A1:AE6"/>
  <sheetViews>
    <sheetView workbookViewId="0">
      <selection activeCell="D14" sqref="D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61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5050100000</v>
      </c>
      <c r="D2" s="1" t="s">
        <v>340</v>
      </c>
      <c r="E2" s="1"/>
      <c r="F2" s="1"/>
      <c r="G2" s="1">
        <f>BankPaymentExpGST!I2</f>
        <v>1000</v>
      </c>
      <c r="H2" s="1" t="s">
        <v>310</v>
      </c>
      <c r="I2" s="47">
        <f>ROUND(SUM(G2+H2),2)</f>
        <v>1000</v>
      </c>
      <c r="J2" s="59">
        <v>0</v>
      </c>
    </row>
    <row r="3" spans="1:31">
      <c r="A3" s="14">
        <v>4</v>
      </c>
      <c r="B3" s="58" t="s">
        <v>191</v>
      </c>
      <c r="C3" s="1">
        <v>1000000029</v>
      </c>
      <c r="D3" s="1" t="s">
        <v>349</v>
      </c>
      <c r="E3" s="1"/>
      <c r="F3" s="1"/>
      <c r="G3" s="1">
        <v>0</v>
      </c>
      <c r="H3" s="1">
        <v>0</v>
      </c>
      <c r="I3" s="1">
        <v>0</v>
      </c>
      <c r="J3" s="1">
        <f>ROUND(I2*1%,2)</f>
        <v>10</v>
      </c>
    </row>
    <row r="4" spans="1:31">
      <c r="A4" s="14">
        <v>2</v>
      </c>
      <c r="B4" s="58" t="s">
        <v>191</v>
      </c>
      <c r="C4" s="1">
        <v>2020102002</v>
      </c>
      <c r="D4" s="1" t="s">
        <v>362</v>
      </c>
      <c r="E4" s="1"/>
      <c r="F4" s="1"/>
      <c r="G4" s="1">
        <v>0</v>
      </c>
      <c r="H4" s="1">
        <v>0</v>
      </c>
      <c r="I4" s="1">
        <f>(I2)*9%</f>
        <v>90</v>
      </c>
      <c r="J4" s="1">
        <v>0</v>
      </c>
    </row>
    <row r="5" spans="1:31">
      <c r="A5" s="14">
        <v>3</v>
      </c>
      <c r="B5" s="58" t="s">
        <v>191</v>
      </c>
      <c r="C5" s="1">
        <v>2020102003</v>
      </c>
      <c r="D5" s="1" t="s">
        <v>363</v>
      </c>
      <c r="E5" s="1"/>
      <c r="F5" s="1"/>
      <c r="G5" s="1">
        <v>0</v>
      </c>
      <c r="H5" s="1">
        <v>0</v>
      </c>
      <c r="I5" s="1">
        <f>(I2)*9%</f>
        <v>90</v>
      </c>
      <c r="J5" s="1">
        <v>0</v>
      </c>
    </row>
    <row r="6" spans="1:31">
      <c r="A6" s="1">
        <v>5</v>
      </c>
      <c r="B6" s="58" t="s">
        <v>191</v>
      </c>
      <c r="C6" s="1">
        <v>1000000028</v>
      </c>
      <c r="D6" s="1" t="s">
        <v>365</v>
      </c>
      <c r="E6" s="1"/>
      <c r="F6" s="1"/>
      <c r="G6" s="1">
        <v>0</v>
      </c>
      <c r="H6" s="1">
        <v>0</v>
      </c>
      <c r="I6" s="1">
        <v>0</v>
      </c>
      <c r="J6" s="47">
        <f>ROUND(SUM(I4+I5+I2)-J3,2)</f>
        <v>1170</v>
      </c>
      <c r="K6" s="60"/>
      <c r="L6" s="1"/>
      <c r="M6" s="1"/>
      <c r="O6" s="38"/>
      <c r="P6" s="38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>
  <sheetPr codeName="Sheet63"/>
  <dimension ref="A1:AE3"/>
  <sheetViews>
    <sheetView topLeftCell="C1" workbookViewId="0">
      <selection activeCell="D16" sqref="D1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ROUND(SUM(G2+H2),2)</f>
        <v>1000</v>
      </c>
      <c r="J2" s="59">
        <v>0</v>
      </c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ROUND(G3+H3,2)</f>
        <v>1000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>
  <sheetPr codeName="Sheet64"/>
  <dimension ref="A1:AE4"/>
  <sheetViews>
    <sheetView workbookViewId="0">
      <selection activeCell="E11" sqref="E11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ROUND(J3-I4,2)</f>
        <v>9000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4020102004</v>
      </c>
      <c r="D3" s="1" t="s">
        <v>341</v>
      </c>
      <c r="E3" s="1"/>
      <c r="F3" s="1"/>
      <c r="G3" s="0">
        <f>BankReceiptRevExp!I2</f>
        <v>10000</v>
      </c>
      <c r="H3" t="s" s="0">
        <v>310</v>
      </c>
      <c r="I3" s="59">
        <v>0</v>
      </c>
      <c r="J3" s="59">
        <f>ROUND(SUM(G3+H3),2)</f>
        <v>10000</v>
      </c>
    </row>
    <row r="4" spans="1:31">
      <c r="A4" s="1">
        <v>2</v>
      </c>
      <c r="B4" s="58" t="s">
        <v>191</v>
      </c>
      <c r="C4" s="0">
        <v>5050100000</v>
      </c>
      <c r="D4" t="s" s="0">
        <v>340</v>
      </c>
      <c r="E4" s="1"/>
      <c r="F4" s="1"/>
      <c r="G4" s="0">
        <f>BankReceiptRevExp!I3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>
  <sheetPr codeName="Sheet65"/>
  <dimension ref="A1:AE4"/>
  <sheetViews>
    <sheetView workbookViewId="0">
      <selection activeCell="I3" sqref="I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ROUND(J3-I4,2)</f>
        <v>-1000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1000000004</v>
      </c>
      <c r="D3" s="1" t="s">
        <v>321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ROUND(SUM(G3+H3)*K1,2)</f>
        <v>0</v>
      </c>
    </row>
    <row r="4" spans="1:31">
      <c r="A4" s="1">
        <v>2</v>
      </c>
      <c r="B4" s="58" t="s">
        <v>191</v>
      </c>
      <c r="C4" s="0">
        <v>5060101000</v>
      </c>
      <c r="D4" t="s" s="0">
        <v>335</v>
      </c>
      <c r="E4" s="1"/>
      <c r="F4" s="1"/>
      <c r="G4" s="0">
        <f>BankReceiptChargesUSD!I3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>
  <sheetPr codeName="Sheet66"/>
  <dimension ref="A1:AE4"/>
  <sheetViews>
    <sheetView workbookViewId="0">
      <selection activeCell="D6" sqref="D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ROUND(SUM(G2+H2),2)</f>
        <v>0</v>
      </c>
      <c r="J2" s="0">
        <v>0</v>
      </c>
    </row>
    <row r="3" spans="1:31">
      <c r="A3" s="1">
        <v>2</v>
      </c>
      <c r="B3" s="58" t="s">
        <v>191</v>
      </c>
      <c r="C3" s="0">
        <v>5060101000</v>
      </c>
      <c r="D3" t="s" s="0">
        <v>335</v>
      </c>
      <c r="E3" s="1"/>
      <c r="F3" s="1"/>
      <c r="G3" s="0">
        <f>BankPaymentCharges!I3</f>
        <v>100</v>
      </c>
      <c r="H3" t="s" s="0">
        <v>310</v>
      </c>
      <c r="I3" s="47">
        <f>ROUND(SUM(G3+H3),2)</f>
        <v>100</v>
      </c>
      <c r="J3" s="59">
        <v>0</v>
      </c>
    </row>
    <row r="4" spans="1:31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s="0">
        <v>0</v>
      </c>
      <c r="H4" t="s" s="0">
        <v>310</v>
      </c>
      <c r="I4" s="0">
        <v>0</v>
      </c>
      <c r="J4" s="47">
        <f>ROUND(I2+I3,2)</f>
        <v>100</v>
      </c>
      <c r="K4" s="1"/>
      <c r="L4" s="1"/>
      <c r="M4" s="1"/>
      <c r="O4" s="38"/>
      <c r="P4" s="3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>
  <sheetPr codeName="Sheet67"/>
  <dimension ref="A1:AE4"/>
  <sheetViews>
    <sheetView workbookViewId="0">
      <selection activeCell="D17" sqref="D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426</v>
      </c>
      <c r="H2" t="s" s="0">
        <v>310</v>
      </c>
      <c r="I2" s="59">
        <f>ROUND(SUM(G2+H2),2)</f>
        <v>0</v>
      </c>
      <c r="J2" s="0">
        <v>0</v>
      </c>
    </row>
    <row r="3" spans="1:31">
      <c r="A3" s="1">
        <v>2</v>
      </c>
      <c r="B3" s="58" t="s">
        <v>191</v>
      </c>
      <c r="C3" s="0">
        <v>5060101000</v>
      </c>
      <c r="D3" t="s" s="0">
        <v>335</v>
      </c>
      <c r="E3" s="1"/>
      <c r="F3" s="1"/>
      <c r="G3" s="0">
        <f>BankPaymentCharges!I3</f>
        <v>100</v>
      </c>
      <c r="H3" t="s" s="0">
        <v>310</v>
      </c>
      <c r="I3" s="47">
        <f>ROUND(SUM(G3+H3),2)</f>
        <v>100</v>
      </c>
      <c r="J3" s="59">
        <v>0</v>
      </c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v>0</v>
      </c>
      <c r="H4" t="s" s="0">
        <v>310</v>
      </c>
      <c r="I4" s="0">
        <v>0</v>
      </c>
      <c r="J4" s="47">
        <f>ROUND(I2+I3,2)</f>
        <v>100</v>
      </c>
      <c r="K4" s="1"/>
      <c r="L4" s="1"/>
      <c r="M4" s="1"/>
      <c r="O4" s="38"/>
      <c r="P4" s="38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>
  <sheetPr codeName="Sheet68"/>
  <dimension ref="A1:AE4"/>
  <sheetViews>
    <sheetView workbookViewId="0">
      <selection activeCell="D16" sqref="D1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ROUND(J3-I4,2)</f>
        <v>-1000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3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364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2</v>
      </c>
      <c r="B4" s="58" t="s">
        <v>191</v>
      </c>
      <c r="C4" s="0">
        <v>5060101000</v>
      </c>
      <c r="D4" t="s" s="0">
        <v>335</v>
      </c>
      <c r="E4" s="1"/>
      <c r="F4" s="1"/>
      <c r="G4" s="0">
        <f>BankReceiptCharges!I3</f>
        <v>1000</v>
      </c>
      <c r="H4" t="s" s="0">
        <v>310</v>
      </c>
      <c r="I4" s="47">
        <f>ROUND(SUM(G4+H4),2)</f>
        <v>1000</v>
      </c>
      <c r="J4" s="59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C8" sqref="C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69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6"/>
      <c r="P3" s="66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G3" sqref="G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AH4"/>
  <sheetViews>
    <sheetView workbookViewId="0">
      <selection activeCell="E3" sqref="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8.710937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  <col min="31" max="31" customWidth="true" width="16.28515625"/>
    <col min="32" max="32" bestFit="true" customWidth="true" width="14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  <c r="AD1" s="64" t="s">
        <v>385</v>
      </c>
      <c r="AE1" s="64" t="s">
        <v>389</v>
      </c>
      <c r="AF1" s="64" t="s">
        <v>390</v>
      </c>
      <c r="AG1" s="64" t="s">
        <v>391</v>
      </c>
      <c r="AH1" s="64" t="s">
        <v>392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24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221.25</v>
      </c>
      <c r="N2" s="38">
        <f>AC2</f>
        <v>221.25</v>
      </c>
      <c r="O2" s="1"/>
      <c r="P2" s="1"/>
      <c r="Q2" s="1">
        <f>AC2</f>
        <v>221.25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221.25</v>
      </c>
      <c r="AD2" t="s" s="0">
        <v>379</v>
      </c>
      <c r="AE2" s="0">
        <v>1000000029</v>
      </c>
      <c r="AF2" s="0">
        <v>1</v>
      </c>
      <c r="AG2" s="0">
        <f>AC2</f>
        <v>221.25</v>
      </c>
      <c r="AH2" s="0">
        <f>ROUND(AC2*AF2%,2)</f>
        <v>2.21</v>
      </c>
    </row>
    <row r="3" spans="1:34">
      <c r="A3" s="24">
        <v>2</v>
      </c>
      <c r="B3" s="67" t="s">
        <v>349</v>
      </c>
      <c r="C3" s="24"/>
      <c r="D3" s="24" t="s">
        <v>379</v>
      </c>
      <c r="E3" s="24"/>
      <c r="F3" s="1" t="s">
        <v>316</v>
      </c>
      <c r="G3" s="24" t="s">
        <v>339</v>
      </c>
      <c r="H3" s="65"/>
      <c r="I3" s="24"/>
      <c r="J3" s="24" t="s">
        <v>303</v>
      </c>
      <c r="K3" s="68" t="s">
        <v>207</v>
      </c>
      <c r="L3" t="s" s="0">
        <v>319</v>
      </c>
      <c r="M3" s="38">
        <f>AC3</f>
        <v>2.21</v>
      </c>
      <c r="N3" s="38">
        <f>AC3</f>
        <v>2.21</v>
      </c>
      <c r="O3" s="1"/>
      <c r="P3" s="1"/>
      <c r="Q3" s="1"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ROUND(AA2*1%,2)</f>
        <v>2.21</v>
      </c>
      <c r="AF3" s="1">
        <v>0</v>
      </c>
      <c r="AG3" s="1">
        <v>0</v>
      </c>
      <c r="AH3" s="1">
        <v>0</v>
      </c>
    </row>
    <row r="4" spans="1:34">
      <c r="M4" s="0">
        <f>SUM(M2)</f>
        <v>221.25</v>
      </c>
      <c r="N4" s="0">
        <f>SUM(N2)</f>
        <v>221.25</v>
      </c>
      <c r="Q4" s="0">
        <f>SUM(Q2)</f>
        <v>221.25</v>
      </c>
      <c r="AA4" t="s" s="0">
        <v>310</v>
      </c>
      <c r="AB4" s="0">
        <v>0</v>
      </c>
      <c r="AC4" s="0">
        <f>SUM(AC2)</f>
        <v>221.25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>
  <dimension ref="A1:AH4"/>
  <sheetViews>
    <sheetView topLeftCell="AA1" workbookViewId="0">
      <selection activeCell="AD1" sqref="AD1:AH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8.710937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  <col min="31" max="31" bestFit="true" customWidth="true" width="16.0"/>
    <col min="32" max="32" bestFit="true" customWidth="true" width="14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  <c r="AD1" s="64" t="s">
        <v>385</v>
      </c>
      <c r="AE1" s="64" t="s">
        <v>389</v>
      </c>
      <c r="AF1" s="64" t="s">
        <v>390</v>
      </c>
      <c r="AG1" s="64" t="s">
        <v>391</v>
      </c>
      <c r="AH1" s="64" t="s">
        <v>392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24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AC2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</v>
      </c>
      <c r="AD2" t="s" s="0">
        <v>379</v>
      </c>
      <c r="AE2" s="0">
        <v>1000000029</v>
      </c>
      <c r="AF2" s="0">
        <v>1</v>
      </c>
      <c r="AG2" s="0">
        <f>AC2</f>
        <v>1000</v>
      </c>
      <c r="AH2" s="0">
        <f>ROUND(AC2*AF2%,2)</f>
        <v>10</v>
      </c>
    </row>
    <row r="3" spans="1:34">
      <c r="A3" s="24">
        <v>2</v>
      </c>
      <c r="B3" s="1" t="s">
        <v>349</v>
      </c>
      <c r="C3" s="1" t="s">
        <v>379</v>
      </c>
      <c r="D3" s="1" t="s">
        <v>349</v>
      </c>
      <c r="E3" s="24"/>
      <c r="F3" s="1" t="s">
        <v>316</v>
      </c>
      <c r="G3" s="24" t="s">
        <v>339</v>
      </c>
      <c r="H3" s="65"/>
      <c r="I3" s="24"/>
      <c r="J3" s="24" t="s">
        <v>303</v>
      </c>
      <c r="K3" s="68" t="s">
        <v>207</v>
      </c>
      <c r="L3" t="s" s="0">
        <v>319</v>
      </c>
      <c r="M3" s="38">
        <f>AC3</f>
        <v>10</v>
      </c>
      <c r="N3" s="38">
        <f>AC3</f>
        <v>10</v>
      </c>
      <c r="O3" s="1"/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ROUND(AC2*AF2%,2)</f>
        <v>10</v>
      </c>
      <c r="AF3" s="1">
        <v>0</v>
      </c>
      <c r="AG3" s="1">
        <v>0</v>
      </c>
      <c r="AH3" s="1">
        <v>0</v>
      </c>
    </row>
    <row r="4" spans="1:34">
      <c r="M4" s="0">
        <f>M2-M3</f>
        <v>990</v>
      </c>
      <c r="N4" s="0">
        <f>N2-N3</f>
        <v>990</v>
      </c>
      <c r="Q4" s="0">
        <f>SUM(Q2)</f>
        <v>1000</v>
      </c>
      <c r="AA4" t="s" s="0">
        <v>310</v>
      </c>
      <c r="AB4" s="0">
        <v>0</v>
      </c>
      <c r="AC4" s="0">
        <f>AC2-AC3</f>
        <v>990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C13" sqref="C1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69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6"/>
      <c r="P3" s="66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>
  <dimension ref="A1:AH6"/>
  <sheetViews>
    <sheetView workbookViewId="0">
      <selection activeCell="I5" sqref="I5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  <col min="31" max="31" bestFit="true" customWidth="true" width="16.0"/>
    <col min="32" max="32" bestFit="true" customWidth="true" width="14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385</v>
      </c>
      <c r="AE1" s="64" t="s">
        <v>389</v>
      </c>
      <c r="AF1" s="64" t="s">
        <v>390</v>
      </c>
      <c r="AG1" s="64" t="s">
        <v>391</v>
      </c>
      <c r="AH1" s="64" t="s">
        <v>392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384</v>
      </c>
      <c r="F2" s="1" t="s">
        <v>316</v>
      </c>
      <c r="G2" s="47" t="s">
        <v>339</v>
      </c>
      <c r="H2" s="22" t="s">
        <v>275</v>
      </c>
      <c r="I2" s="1">
        <v>10000</v>
      </c>
      <c r="J2" s="1" t="s">
        <v>276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/>
      <c r="P2" s="1"/>
      <c r="Q2" s="1">
        <f>M2</f>
        <v>10000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10000</v>
      </c>
      <c r="AD2" t="s" s="0">
        <v>379</v>
      </c>
      <c r="AE2" s="0">
        <v>1000000029</v>
      </c>
      <c r="AF2" s="0">
        <v>1</v>
      </c>
      <c r="AG2" s="0">
        <f>AC2</f>
        <v>10000</v>
      </c>
      <c r="AH2" s="0">
        <f>ROUND(AC2*AF2%,2)</f>
        <v>100</v>
      </c>
    </row>
    <row r="3" spans="1:34">
      <c r="A3" s="41">
        <v>2</v>
      </c>
      <c r="B3" s="70" t="s">
        <v>381</v>
      </c>
      <c r="C3" s="41" t="s">
        <v>382</v>
      </c>
      <c r="D3" s="41" t="s">
        <v>383</v>
      </c>
      <c r="E3" s="41" t="s">
        <v>384</v>
      </c>
      <c r="F3" s="41" t="s">
        <v>316</v>
      </c>
      <c r="G3" s="71" t="s">
        <v>339</v>
      </c>
      <c r="H3" s="44" t="s">
        <v>393</v>
      </c>
      <c r="I3" s="41">
        <v>10000</v>
      </c>
      <c r="J3" s="41" t="s">
        <v>276</v>
      </c>
      <c r="K3" s="41" t="s">
        <v>207</v>
      </c>
      <c r="L3" t="s" s="0">
        <v>319</v>
      </c>
      <c r="M3" s="45">
        <f>ROUND(SUM(AA3+AB3+I3),2)</f>
        <v>10000</v>
      </c>
      <c r="N3" s="45">
        <f>AC3</f>
        <v>10000</v>
      </c>
      <c r="O3" s="41"/>
      <c r="P3" s="41"/>
      <c r="Q3" s="41">
        <f>M3</f>
        <v>10000</v>
      </c>
      <c r="R3" s="41"/>
      <c r="S3" s="41"/>
      <c r="T3" s="41"/>
      <c r="U3" s="41"/>
      <c r="V3" s="41"/>
      <c r="W3" s="41"/>
      <c r="X3" s="41" t="s">
        <v>190</v>
      </c>
      <c r="Y3" s="41" t="s">
        <v>191</v>
      </c>
      <c r="Z3" s="41" t="s">
        <v>303</v>
      </c>
      <c r="AA3" t="s" s="0">
        <v>310</v>
      </c>
      <c r="AB3" t="s" s="0">
        <v>310</v>
      </c>
      <c r="AC3" s="0">
        <f>ROUND(SUM((AA3*L3)+(AB3*L3)+(I3*L3)),2)</f>
        <v>10000</v>
      </c>
      <c r="AD3" t="s" s="0">
        <v>386</v>
      </c>
      <c r="AE3" s="0">
        <v>1000000047</v>
      </c>
      <c r="AF3" s="0">
        <v>0.1</v>
      </c>
      <c r="AG3" s="0">
        <f>AC3</f>
        <v>10000</v>
      </c>
      <c r="AH3" s="0">
        <f>ROUND(AC3*AF3%,2)</f>
        <v>10</v>
      </c>
    </row>
    <row r="4" spans="1:34">
      <c r="A4" s="1">
        <v>3</v>
      </c>
      <c r="B4" s="1" t="s">
        <v>349</v>
      </c>
      <c r="C4" s="1" t="s">
        <v>379</v>
      </c>
      <c r="D4" s="1" t="s">
        <v>349</v>
      </c>
      <c r="E4" s="1"/>
      <c r="F4" s="14" t="s">
        <v>316</v>
      </c>
      <c r="G4" s="47" t="s">
        <v>339</v>
      </c>
      <c r="H4" s="44" t="s">
        <v>394</v>
      </c>
      <c r="I4" s="1">
        <v>0</v>
      </c>
      <c r="J4" s="1" t="s">
        <v>303</v>
      </c>
      <c r="K4" s="14" t="s">
        <v>207</v>
      </c>
      <c r="L4" t="s" s="0">
        <v>319</v>
      </c>
      <c r="M4" s="38">
        <f>AH2</f>
        <v>100</v>
      </c>
      <c r="N4" s="38">
        <f>AH2</f>
        <v>100</v>
      </c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/>
      <c r="Y4" s="1"/>
      <c r="Z4" s="1"/>
      <c r="AA4" t="s" s="0">
        <v>310</v>
      </c>
      <c r="AB4" t="s" s="0">
        <v>310</v>
      </c>
      <c r="AC4" s="1">
        <f>AH2</f>
        <v>100</v>
      </c>
      <c r="AD4" s="1"/>
      <c r="AE4" s="1"/>
      <c r="AF4" s="1">
        <v>0</v>
      </c>
      <c r="AG4" s="1">
        <v>0</v>
      </c>
      <c r="AH4" s="1">
        <v>0</v>
      </c>
    </row>
    <row r="5" spans="1:34" ht="30">
      <c r="A5" s="14">
        <v>4</v>
      </c>
      <c r="B5" s="72" t="s">
        <v>387</v>
      </c>
      <c r="C5" s="14" t="s">
        <v>386</v>
      </c>
      <c r="D5" s="73" t="s">
        <v>388</v>
      </c>
      <c r="E5" s="1"/>
      <c r="F5" s="14" t="s">
        <v>316</v>
      </c>
      <c r="G5" s="47" t="s">
        <v>339</v>
      </c>
      <c r="H5" s="44" t="s">
        <v>395</v>
      </c>
      <c r="I5" s="1">
        <v>0</v>
      </c>
      <c r="J5" s="14" t="s">
        <v>303</v>
      </c>
      <c r="K5" s="14" t="s">
        <v>207</v>
      </c>
      <c r="L5" t="s" s="0">
        <v>319</v>
      </c>
      <c r="M5" s="38">
        <f>AH3</f>
        <v>10</v>
      </c>
      <c r="N5" s="38">
        <f>AH3</f>
        <v>10</v>
      </c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  <c r="Y5" s="1"/>
      <c r="Z5" s="1"/>
      <c r="AA5" t="s" s="0">
        <v>310</v>
      </c>
      <c r="AB5" t="s" s="0">
        <v>310</v>
      </c>
      <c r="AC5" s="1">
        <f>AH3</f>
        <v>10</v>
      </c>
      <c r="AD5" s="1"/>
      <c r="AE5" s="1"/>
      <c r="AF5" s="1">
        <v>0</v>
      </c>
      <c r="AG5" s="1">
        <v>0</v>
      </c>
      <c r="AH5" s="1">
        <v>0</v>
      </c>
    </row>
    <row r="6" spans="1:34">
      <c r="I6" s="0">
        <f>SUM(I2:I3)</f>
        <v>20000</v>
      </c>
      <c r="L6" t="s" s="0">
        <v>319</v>
      </c>
      <c r="M6" s="0">
        <f>ROUND((M2+M3)-M4-M5,2)</f>
        <v>19890</v>
      </c>
      <c r="N6" s="0">
        <f>ROUND((N2+N3)-N4-N5,2)</f>
        <v>19890</v>
      </c>
      <c r="Q6" s="0">
        <f>SUM(Q2:Q3)</f>
        <v>20000</v>
      </c>
      <c r="AC6" s="0">
        <f>ROUND((AC2+AC3)-AC4-AC5,2)</f>
        <v>19890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D4" sqref="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381</v>
      </c>
      <c r="E3" s="1"/>
      <c r="F3" s="1"/>
      <c r="G3" t="s" s="0">
        <v>310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69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6"/>
      <c r="P4" s="6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69" t="s">
        <v>191</v>
      </c>
      <c r="C5" s="1">
        <v>1000000047</v>
      </c>
      <c r="D5" s="1" t="s">
        <v>387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6"/>
      <c r="P5" s="66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1000000028</v>
      </c>
      <c r="D6" s="1" t="s">
        <v>365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>
  <dimension ref="A1:AH6"/>
  <sheetViews>
    <sheetView topLeftCell="W1" workbookViewId="0">
      <selection activeCell="AD1" sqref="AD1:AH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  <col min="31" max="31" bestFit="true" customWidth="true" width="16.0"/>
    <col min="32" max="32" bestFit="true" customWidth="true" width="14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385</v>
      </c>
      <c r="AE1" s="64" t="s">
        <v>389</v>
      </c>
      <c r="AF1" s="64" t="s">
        <v>390</v>
      </c>
      <c r="AG1" s="64" t="s">
        <v>391</v>
      </c>
      <c r="AH1" s="64" t="s">
        <v>392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384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  <c r="AD2" t="s" s="0">
        <v>379</v>
      </c>
      <c r="AE2" s="0">
        <v>1000000029</v>
      </c>
      <c r="AF2" s="0">
        <v>1</v>
      </c>
      <c r="AG2" s="0">
        <f>AC2</f>
        <v>0</v>
      </c>
      <c r="AH2" s="0">
        <f>ROUND(AC2*AF2%,2)</f>
        <v>0</v>
      </c>
    </row>
    <row r="3" spans="1:34">
      <c r="A3" s="41">
        <v>2</v>
      </c>
      <c r="B3" s="70" t="s">
        <v>381</v>
      </c>
      <c r="C3" s="41" t="s">
        <v>382</v>
      </c>
      <c r="D3" s="41" t="s">
        <v>383</v>
      </c>
      <c r="E3" s="41" t="s">
        <v>384</v>
      </c>
      <c r="F3" s="41" t="s">
        <v>316</v>
      </c>
      <c r="G3" s="71" t="s">
        <v>339</v>
      </c>
      <c r="H3" s="44" t="s">
        <v>275</v>
      </c>
      <c r="I3" s="41">
        <v>0</v>
      </c>
      <c r="J3" s="41" t="s">
        <v>276</v>
      </c>
      <c r="K3" s="41" t="s">
        <v>207</v>
      </c>
      <c r="L3" t="s" s="0">
        <v>319</v>
      </c>
      <c r="M3" s="45">
        <f>ROUND(SUM(AA3+AB3+I3),2)</f>
        <v>0</v>
      </c>
      <c r="N3" s="45">
        <f>AC3</f>
        <v>0</v>
      </c>
      <c r="O3" s="41"/>
      <c r="P3" s="41"/>
      <c r="Q3" s="41">
        <f>M3</f>
        <v>0</v>
      </c>
      <c r="R3" s="41"/>
      <c r="S3" s="41"/>
      <c r="T3" s="41"/>
      <c r="U3" s="41"/>
      <c r="V3" s="41"/>
      <c r="W3" s="41"/>
      <c r="X3" s="41" t="s">
        <v>190</v>
      </c>
      <c r="Y3" s="41" t="s">
        <v>191</v>
      </c>
      <c r="Z3" s="41" t="s">
        <v>303</v>
      </c>
      <c r="AA3" t="s" s="0">
        <v>310</v>
      </c>
      <c r="AB3" t="s" s="0">
        <v>310</v>
      </c>
      <c r="AC3" s="0">
        <f>ROUND(SUM((AA3*L3)+(AB3*L3)+(I3*L3)),2)</f>
        <v>0</v>
      </c>
      <c r="AD3" t="s" s="0">
        <v>386</v>
      </c>
      <c r="AE3" s="0">
        <v>1000000047</v>
      </c>
      <c r="AF3" s="0">
        <v>0.1</v>
      </c>
      <c r="AG3" s="0">
        <f>AC3</f>
        <v>0</v>
      </c>
      <c r="AH3" s="0">
        <f>ROUND(AC3*AF3%,2)</f>
        <v>0</v>
      </c>
    </row>
    <row r="4" spans="1:34">
      <c r="A4" s="1">
        <v>3</v>
      </c>
      <c r="B4" s="1" t="s">
        <v>349</v>
      </c>
      <c r="C4" s="1" t="s">
        <v>379</v>
      </c>
      <c r="D4" s="1" t="s">
        <v>349</v>
      </c>
      <c r="E4" s="1"/>
      <c r="F4" s="14" t="s">
        <v>316</v>
      </c>
      <c r="G4" s="47" t="s">
        <v>339</v>
      </c>
      <c r="H4" s="44" t="s">
        <v>275</v>
      </c>
      <c r="I4" s="1">
        <v>0</v>
      </c>
      <c r="J4" s="1" t="s">
        <v>303</v>
      </c>
      <c r="K4" s="14" t="s">
        <v>207</v>
      </c>
      <c r="L4" t="s" s="0">
        <v>319</v>
      </c>
      <c r="M4" s="38">
        <f>AH2</f>
        <v>0</v>
      </c>
      <c r="N4" s="38">
        <f>AH2</f>
        <v>0</v>
      </c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/>
      <c r="Y4" s="1"/>
      <c r="Z4" s="1"/>
      <c r="AA4" t="s" s="0">
        <v>310</v>
      </c>
      <c r="AB4" t="s" s="0">
        <v>310</v>
      </c>
      <c r="AC4" s="1">
        <f>AH2</f>
        <v>0</v>
      </c>
      <c r="AD4" s="1"/>
      <c r="AE4" s="1"/>
      <c r="AF4" s="1">
        <v>0</v>
      </c>
      <c r="AG4" s="1">
        <v>0</v>
      </c>
      <c r="AH4" s="1">
        <v>0</v>
      </c>
    </row>
    <row r="5" spans="1:34" ht="30">
      <c r="A5" s="14">
        <v>4</v>
      </c>
      <c r="B5" s="72" t="s">
        <v>387</v>
      </c>
      <c r="C5" s="14" t="s">
        <v>386</v>
      </c>
      <c r="D5" s="73" t="s">
        <v>388</v>
      </c>
      <c r="E5" s="1"/>
      <c r="F5" s="14" t="s">
        <v>316</v>
      </c>
      <c r="G5" s="47" t="s">
        <v>339</v>
      </c>
      <c r="H5" s="44" t="s">
        <v>275</v>
      </c>
      <c r="I5" s="1">
        <v>0</v>
      </c>
      <c r="J5" s="14" t="s">
        <v>303</v>
      </c>
      <c r="K5" s="14" t="s">
        <v>207</v>
      </c>
      <c r="L5" t="s" s="0">
        <v>319</v>
      </c>
      <c r="M5" s="38">
        <f>AH3</f>
        <v>0</v>
      </c>
      <c r="N5" s="38">
        <f>AH3</f>
        <v>0</v>
      </c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  <c r="Y5" s="1"/>
      <c r="Z5" s="1"/>
      <c r="AA5" t="s" s="0">
        <v>310</v>
      </c>
      <c r="AB5" t="s" s="0">
        <v>310</v>
      </c>
      <c r="AC5" s="1">
        <f>AH3</f>
        <v>0</v>
      </c>
      <c r="AD5" s="1"/>
      <c r="AE5" s="1"/>
      <c r="AF5" s="1">
        <v>0</v>
      </c>
      <c r="AG5" s="1">
        <v>0</v>
      </c>
      <c r="AH5" s="1">
        <v>0</v>
      </c>
    </row>
    <row r="6" spans="1:34">
      <c r="I6" s="0">
        <f>SUM(I2:I3)</f>
        <v>0</v>
      </c>
      <c r="L6" t="s" s="0">
        <v>319</v>
      </c>
      <c r="M6" s="0">
        <f>SUM(M2:M3)</f>
        <v>0</v>
      </c>
      <c r="N6" s="0">
        <f>SUM(N2:N3)</f>
        <v>0</v>
      </c>
      <c r="Q6" s="0">
        <f>SUM(Q2:Q3)</f>
        <v>0</v>
      </c>
      <c r="AC6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A2" sqref="A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381</v>
      </c>
      <c r="E3" s="1"/>
      <c r="F3" s="1"/>
      <c r="G3" t="s" s="0">
        <v>310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69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6"/>
      <c r="P4" s="6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69" t="s">
        <v>191</v>
      </c>
      <c r="C5" s="1">
        <v>1000000047</v>
      </c>
      <c r="D5" s="1" t="s">
        <v>387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6"/>
      <c r="P5" s="66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1000000028</v>
      </c>
      <c r="D6" s="1" t="s">
        <v>365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>
  <dimension ref="A1:AC4"/>
  <sheetViews>
    <sheetView workbookViewId="0">
      <selection activeCell="B3" sqref="B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63" t="s">
        <v>374</v>
      </c>
      <c r="C2" s="1" t="s">
        <v>376</v>
      </c>
      <c r="D2" s="1" t="s">
        <v>375</v>
      </c>
      <c r="E2" s="1" t="s">
        <v>384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221.25</v>
      </c>
      <c r="N2" s="38">
        <f>AC2</f>
        <v>221.25</v>
      </c>
      <c r="O2" s="1"/>
      <c r="P2" s="1"/>
      <c r="Q2" s="1">
        <f>M2</f>
        <v>221.25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380</v>
      </c>
      <c r="AB2" t="s" s="0">
        <v>310</v>
      </c>
      <c r="AC2" s="0">
        <f>ROUND(SUM((AA2*L2)+(AB2*L2)+(I2*L2)),2)</f>
        <v>221.25</v>
      </c>
    </row>
    <row r="3" spans="1:29">
      <c r="A3" s="1">
        <v>2</v>
      </c>
      <c r="B3" s="63" t="s">
        <v>381</v>
      </c>
      <c r="C3" s="1" t="s">
        <v>382</v>
      </c>
      <c r="D3" s="1" t="s">
        <v>383</v>
      </c>
      <c r="E3" s="1" t="s">
        <v>384</v>
      </c>
      <c r="F3" s="1" t="s">
        <v>316</v>
      </c>
      <c r="G3" s="47" t="s">
        <v>339</v>
      </c>
      <c r="H3" s="22" t="s">
        <v>275</v>
      </c>
      <c r="I3" s="1">
        <v>0</v>
      </c>
      <c r="J3" s="1" t="s">
        <v>276</v>
      </c>
      <c r="K3" s="1" t="s">
        <v>207</v>
      </c>
      <c r="L3" t="s" s="0">
        <v>319</v>
      </c>
      <c r="M3" s="38">
        <f>ROUND(SUM(AA3+AB3+I3),2)</f>
        <v>221.25</v>
      </c>
      <c r="N3" s="38">
        <f>AC3</f>
        <v>221.25</v>
      </c>
      <c r="O3" s="1"/>
      <c r="P3" s="1"/>
      <c r="Q3" s="1">
        <f>M3</f>
        <v>221.25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380</v>
      </c>
      <c r="AB3" s="0">
        <v>0</v>
      </c>
      <c r="AC3" s="0">
        <f>ROUND(SUM((AA3*L3)+(AB3*L3)+(I3*L3)),2)</f>
        <v>221.25</v>
      </c>
    </row>
    <row r="4" spans="1:29">
      <c r="I4" s="0">
        <f>SUM(I2:I3)</f>
        <v>0</v>
      </c>
      <c r="M4" s="0">
        <f>SUM(M2:M3)</f>
        <v>442.5</v>
      </c>
      <c r="N4" s="0">
        <f>SUM(N2:N3)</f>
        <v>442.5</v>
      </c>
      <c r="Q4" s="0">
        <f>SUM(Q2:Q3)</f>
        <v>442.5</v>
      </c>
      <c r="AC4" s="0">
        <f>SUM(AC2:AC3)</f>
        <v>442.5</v>
      </c>
    </row>
  </sheetData>
  <pageMargins left="0.7" right="0.7" top="0.75" bottom="0.75" header="0.3" footer="0.3"/>
  <pageSetup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>
  <dimension ref="A1:AD3"/>
  <sheetViews>
    <sheetView topLeftCell="D1" workbookViewId="0">
      <selection activeCell="AC2" sqref="AC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  <c r="AD1" s="64" t="s">
        <v>385</v>
      </c>
    </row>
    <row r="2" spans="1:30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</v>
      </c>
      <c r="AD2" t="s" s="0">
        <v>379</v>
      </c>
    </row>
    <row r="3" spans="1:30">
      <c r="M3" s="0">
        <f>SUM(M2)</f>
        <v>1000</v>
      </c>
      <c r="N3" s="0">
        <f>SUM(N2)</f>
        <v>1000</v>
      </c>
      <c r="Q3" s="0">
        <f>SUM(Q2)</f>
        <v>1000</v>
      </c>
      <c r="AA3" t="s" s="0">
        <v>310</v>
      </c>
      <c r="AB3" s="0">
        <v>0</v>
      </c>
      <c r="AC3" s="0">
        <f>SUM(AC2)</f>
        <v>1000</v>
      </c>
    </row>
  </sheetData>
  <pageMargins left="0.7" right="0.7" top="0.75" bottom="0.75" header="0.3" footer="0.3"/>
  <pageSetup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>
  <dimension ref="A1:AE3"/>
  <sheetViews>
    <sheetView topLeftCell="D1" workbookViewId="0">
      <selection activeCell="G15" sqref="G1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s="0">
        <v>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t="s" s="0">
        <v>310</v>
      </c>
      <c r="H3" s="0">
        <v>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E3" sqref="E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</row>
    <row r="2" spans="1:29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A6" sqref="A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381</v>
      </c>
      <c r="E3" s="1"/>
      <c r="F3" s="1"/>
      <c r="G3" t="s" s="0">
        <v>310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69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6"/>
      <c r="P4" s="6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69" t="s">
        <v>191</v>
      </c>
      <c r="C5" s="1">
        <v>1000000047</v>
      </c>
      <c r="D5" s="1" t="s">
        <v>387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6"/>
      <c r="P5" s="66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1001002001</v>
      </c>
      <c r="D6" s="1" t="s">
        <v>356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A3" sqref="A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69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6"/>
      <c r="P3" s="66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>
  <sheetPr codeName="Sheet69"/>
  <dimension ref="A1:AE3"/>
  <sheetViews>
    <sheetView workbookViewId="0">
      <selection activeCell="D17" sqref="D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1000000028</v>
      </c>
      <c r="D3" s="1" t="s">
        <v>365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>
  <sheetPr codeName="Sheet70"/>
  <dimension ref="A1:AE3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t="s" s="0">
        <v>428</v>
      </c>
      <c r="H2" s="0">
        <v>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428</v>
      </c>
      <c r="H3" s="0">
        <v>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>
  <sheetPr codeName="Sheet71"/>
  <dimension ref="A1:AE3"/>
  <sheetViews>
    <sheetView topLeftCell="C1"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>
  <sheetPr codeName="Sheet72"/>
  <dimension ref="A1:AE3"/>
  <sheetViews>
    <sheetView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>
  <sheetPr codeName="Sheet73"/>
  <dimension ref="A1:AE3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t="s" s="0">
        <v>310</v>
      </c>
      <c r="H2" t="s" s="0">
        <v>310</v>
      </c>
      <c r="I2" s="47">
        <f>ROUND(SUM(ROUND(G2,2)+ROUND(H2,2))*K1,2)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ROUND(SUM(ROUND(G3,2)+ROUND(H3,2))*K1,2)</f>
        <v>0</v>
      </c>
    </row>
  </sheetData>
  <pageMargins left="0.7" right="0.7" top="0.75" bottom="0.75" header="0.3" footer="0.3"/>
  <pageSetup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>
  <sheetPr codeName="Sheet74"/>
  <dimension ref="A1:AE3"/>
  <sheetViews>
    <sheetView workbookViewId="0">
      <selection activeCell="D26" sqref="D2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ROUND(SUM(G2+H2)*K1,2)</f>
        <v>85000</v>
      </c>
      <c r="J2" s="59">
        <v>0</v>
      </c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ROUND(SUM(G3+H3)*K1,2)</f>
        <v>85000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D2" sqref="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v>1000</v>
      </c>
      <c r="H2" s="0">
        <v>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1000</v>
      </c>
      <c r="H3" s="0">
        <v>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>
  <sheetPr codeName="Sheet75"/>
  <dimension ref="A1:AE3"/>
  <sheetViews>
    <sheetView workbookViewId="0">
      <selection activeCell="D2" sqref="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>
  <sheetPr codeName="Sheet76"/>
  <dimension ref="A1:AE4"/>
  <sheetViews>
    <sheetView workbookViewId="0">
      <selection activeCell="C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AE3"/>
  <sheetViews>
    <sheetView topLeftCell="C1" workbookViewId="0">
      <selection activeCell="I2" sqref="I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v>2000</v>
      </c>
      <c r="H2" s="0">
        <v>0</v>
      </c>
      <c r="I2" s="47">
        <f>ROUND(SUM(G2+H2),2)</f>
        <v>2000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2000</v>
      </c>
      <c r="H3" s="0">
        <v>0</v>
      </c>
      <c r="I3" s="59">
        <v>0</v>
      </c>
      <c r="J3" s="59">
        <f>ROUND(SUM(G3+H3),2)</f>
        <v>2000</v>
      </c>
    </row>
  </sheetData>
  <pageMargins left="0.7" right="0.7" top="0.75" bottom="0.75" header="0.3" footer="0.3"/>
  <pageSetup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AE3"/>
  <sheetViews>
    <sheetView topLeftCell="C1" workbookViewId="0">
      <selection activeCell="D9" sqref="D9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v>1000</v>
      </c>
      <c r="H2" s="0">
        <v>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1000</v>
      </c>
      <c r="H3" s="0">
        <v>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>
  <sheetPr codeName="Sheet77"/>
  <dimension ref="A1:AE4"/>
  <sheetViews>
    <sheetView workbookViewId="0">
      <selection activeCell="D4" sqref="C4: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1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>
  <sheetPr codeName="Sheet78"/>
  <dimension ref="A1:AD4"/>
  <sheetViews>
    <sheetView topLeftCell="D1" workbookViewId="0">
      <selection activeCell="H4" sqref="H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ROUND(SUM(G2+H2+K2),2)</f>
        <v>1000</v>
      </c>
      <c r="J2" s="0">
        <v>0</v>
      </c>
      <c r="K2" s="1">
        <f>BankPaymentINRMPMBNR!I2</f>
        <v>1000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ROUND(SUM(G3+H3+K3),2)</f>
        <v>1000</v>
      </c>
      <c r="J3" s="0">
        <v>0</v>
      </c>
      <c r="K3" s="1">
        <f>BankPaymentINRMPMBNR!I3</f>
        <v>1000</v>
      </c>
    </row>
    <row r="4" spans="1:30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2000</v>
      </c>
      <c r="L4" s="60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>
  <sheetPr codeName="Sheet79"/>
  <dimension ref="A1:AE4"/>
  <sheetViews>
    <sheetView workbookViewId="0">
      <selection activeCell="D7" sqref="D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1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>
  <sheetPr codeName="Sheet80"/>
  <dimension ref="A1:AE3"/>
  <sheetViews>
    <sheetView topLeftCell="C1" workbookViewId="0">
      <selection activeCell="C3" sqref="C3: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0">
        <v>5050100000</v>
      </c>
      <c r="D2" t="s" s="0">
        <v>340</v>
      </c>
      <c r="E2" s="1"/>
      <c r="F2" s="1"/>
      <c r="G2" s="0">
        <f>BankPaymentExp!I2</f>
        <v>1000</v>
      </c>
      <c r="H2" t="s" s="0">
        <v>310</v>
      </c>
      <c r="I2" s="47">
        <f>ROUND(SUM(G2+H2),2)</f>
        <v>1000</v>
      </c>
      <c r="J2" s="59">
        <v>0</v>
      </c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s="0">
        <f>BankPaymentExp!I2</f>
        <v>1000</v>
      </c>
      <c r="H3" t="s" s="0">
        <v>310</v>
      </c>
      <c r="I3" s="47">
        <v>0</v>
      </c>
      <c r="J3" s="59">
        <f>ROUND(G3+H3,2)</f>
        <v>1000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>
  <sheetPr codeName="Sheet81"/>
  <dimension ref="A1:AD4"/>
  <sheetViews>
    <sheetView workbookViewId="0">
      <selection activeCell="C4" sqref="C4: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370</v>
      </c>
      <c r="H2" t="s" s="0">
        <v>370</v>
      </c>
      <c r="I2" s="59">
        <f>ROUND(SUM(G2+H2),2)</f>
        <v>0</v>
      </c>
      <c r="J2" s="0">
        <v>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370</v>
      </c>
      <c r="H3" t="s" s="0">
        <v>370</v>
      </c>
      <c r="I3" s="59">
        <f>ROUND(SUM(G3+H3),2)</f>
        <v>0</v>
      </c>
      <c r="J3" s="0">
        <v>0</v>
      </c>
    </row>
    <row r="4" spans="1:30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s="0">
        <v>0</v>
      </c>
      <c r="H4" s="0">
        <f>ROUND(SUM(G3+H3),2)</f>
        <v>0</v>
      </c>
      <c r="I4" s="0">
        <v>0</v>
      </c>
      <c r="J4" s="47">
        <f>ROUND(SUM(I2+I3),2)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>
  <sheetPr codeName="Sheet82"/>
  <dimension ref="A1:AD4"/>
  <sheetViews>
    <sheetView topLeftCell="D1" workbookViewId="0">
      <selection activeCell="F15" sqref="F1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ROUND(SUM(G2+H2+K2),2)</f>
        <v>1000</v>
      </c>
      <c r="J2" s="0">
        <v>0</v>
      </c>
      <c r="K2" s="1">
        <f>BankPaymentINRMPMBNR!I2</f>
        <v>1000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ROUND(SUM(G3+H3+K3),2)</f>
        <v>1000</v>
      </c>
      <c r="J3" s="0">
        <v>0</v>
      </c>
      <c r="K3" s="1">
        <f>BankPaymentINRMPMBNR!I3</f>
        <v>1000</v>
      </c>
    </row>
    <row r="4" spans="1:30">
      <c r="A4" s="1">
        <v>3</v>
      </c>
      <c r="B4" s="58" t="s">
        <v>191</v>
      </c>
      <c r="C4" s="1">
        <v>1001002003</v>
      </c>
      <c r="D4" s="1" t="s">
        <v>361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2000</v>
      </c>
      <c r="L4" s="60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>
  <sheetPr codeName="Sheet83"/>
  <dimension ref="A1:AE4"/>
  <sheetViews>
    <sheetView workbookViewId="0">
      <selection activeCell="G17" sqref="G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>
  <sheetPr codeName="Sheet84"/>
  <dimension ref="A1:AE4"/>
  <sheetViews>
    <sheetView workbookViewId="0">
      <selection activeCell="F16" sqref="F1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1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>
  <sheetPr codeName="Sheet85"/>
  <dimension ref="A1:AD4"/>
  <sheetViews>
    <sheetView workbookViewId="0">
      <selection activeCell="D2" sqref="C2:D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f>ROUND(SUM(G3+H3),2)</f>
        <v>0</v>
      </c>
      <c r="H2" s="0">
        <f>ROUND(SUM(G4+H4),2)</f>
        <v>0</v>
      </c>
      <c r="I2" s="47">
        <f>ROUND(SUM(G2+H2),2)</f>
        <v>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>
  <sheetPr codeName="Sheet86"/>
  <dimension ref="A1:AD4"/>
  <sheetViews>
    <sheetView workbookViewId="0">
      <selection activeCell="D14" sqref="D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ROUND(SUM(G2+H2),2)</f>
        <v>0</v>
      </c>
      <c r="J2" s="0">
        <v>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0">
      <c r="A4" s="1">
        <v>3</v>
      </c>
      <c r="B4" s="58" t="s">
        <v>191</v>
      </c>
      <c r="C4" s="1">
        <v>1000000028</v>
      </c>
      <c r="D4" s="1" t="s">
        <v>365</v>
      </c>
      <c r="E4" s="1"/>
      <c r="F4" s="1"/>
      <c r="G4" s="0">
        <f>ROUND(SUM(G2+H2),2)</f>
        <v>0</v>
      </c>
      <c r="H4" s="0">
        <f>ROUND(SUM(G3+H3),2)</f>
        <v>0</v>
      </c>
      <c r="I4" s="0">
        <v>0</v>
      </c>
      <c r="J4" s="47">
        <f>ROUND(SUM(G4+H4),2)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>
  <sheetPr codeName="Sheet87"/>
  <dimension ref="A1:AD4"/>
  <sheetViews>
    <sheetView workbookViewId="0">
      <selection activeCell="F18" sqref="F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ROUND(SUM(G2+H2),2)</f>
        <v>0</v>
      </c>
      <c r="J2" s="0">
        <v>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ROUND(SUM(G3+H3),2)</f>
        <v>0</v>
      </c>
      <c r="J3" s="0">
        <v>0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f>ROUND(SUM(G2+H2),2)</f>
        <v>0</v>
      </c>
      <c r="H4" s="0">
        <f>ROUND(SUM(G3+H3),2)</f>
        <v>0</v>
      </c>
      <c r="I4" s="0">
        <v>0</v>
      </c>
      <c r="J4" s="47">
        <f>ROUND(SUM(G4+H4),2)</f>
        <v>0</v>
      </c>
      <c r="K4" s="1"/>
      <c r="L4" s="1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>
  <sheetPr codeName="Sheet88"/>
  <dimension ref="A1:AD4"/>
  <sheetViews>
    <sheetView workbookViewId="0">
      <selection activeCell="E14" sqref="E1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2000000098</v>
      </c>
      <c r="D2" s="1" t="s">
        <v>366</v>
      </c>
      <c r="E2" s="1"/>
      <c r="F2" s="1"/>
      <c r="G2" t="s" s="0">
        <v>310</v>
      </c>
      <c r="H2" t="s" s="0">
        <v>310</v>
      </c>
      <c r="I2" s="59">
        <f>ROUND(SUM(G2+H2+K2),2)</f>
        <v>1000</v>
      </c>
      <c r="J2" s="0">
        <v>0</v>
      </c>
      <c r="K2" s="1">
        <f>BankPaymentINRMPMBNR!I2</f>
        <v>1000</v>
      </c>
    </row>
    <row r="3" spans="1:30">
      <c r="A3" s="1">
        <v>2</v>
      </c>
      <c r="B3" s="58" t="s">
        <v>191</v>
      </c>
      <c r="C3" s="1">
        <v>2000000025</v>
      </c>
      <c r="D3" s="51" t="s">
        <v>325</v>
      </c>
      <c r="E3" s="1"/>
      <c r="F3" s="1"/>
      <c r="G3" t="s" s="0">
        <v>310</v>
      </c>
      <c r="H3" t="s" s="0">
        <v>310</v>
      </c>
      <c r="I3" s="59">
        <f>ROUND(SUM(G3+H3+K3),2)</f>
        <v>1000</v>
      </c>
      <c r="J3" s="0">
        <v>0</v>
      </c>
      <c r="K3" s="1">
        <f>BankPaymentINRMPMBNR!I3</f>
        <v>1000</v>
      </c>
    </row>
    <row r="4" spans="1:30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s="0">
        <v>0</v>
      </c>
      <c r="H4" s="0">
        <v>0</v>
      </c>
      <c r="I4" s="0">
        <v>0</v>
      </c>
      <c r="J4" s="47">
        <f>ROUND(SUM(I3+I2),2)</f>
        <v>2000</v>
      </c>
      <c r="L4" s="60"/>
      <c r="N4" s="38"/>
      <c r="O4" s="38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>
  <sheetPr codeName="Sheet89"/>
  <dimension ref="A1:AD4"/>
  <sheetViews>
    <sheetView workbookViewId="0">
      <selection activeCell="F2" sqref="A2:F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ROUND(SUM(G3+H3),2)</f>
        <v>0</v>
      </c>
      <c r="H2" s="0">
        <f>ROUND(SUM(G4+H4),2)</f>
        <v>0</v>
      </c>
      <c r="I2" s="47">
        <f>ROUND(SUM(G2+H2),2)</f>
        <v>0</v>
      </c>
      <c r="J2" s="59">
        <v>0</v>
      </c>
      <c r="K2" s="1"/>
      <c r="L2" s="1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t="s" s="0">
        <v>310</v>
      </c>
      <c r="H4" t="s" s="0">
        <v>310</v>
      </c>
      <c r="I4" s="59">
        <v>0</v>
      </c>
      <c r="J4" s="59">
        <f>ROUND(SUM(G4+H4),2)</f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>
  <sheetPr codeName="Sheet90"/>
  <dimension ref="A1:AD4"/>
  <sheetViews>
    <sheetView topLeftCell="E1" workbookViewId="0">
      <selection activeCell="J5" sqref="J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1000000028</v>
      </c>
      <c r="D2" s="1" t="s">
        <v>365</v>
      </c>
      <c r="E2" s="1"/>
      <c r="F2" s="1"/>
      <c r="G2" s="0">
        <v>0</v>
      </c>
      <c r="H2" s="0">
        <v>0</v>
      </c>
      <c r="I2" s="47">
        <f>ROUND(SUM(J4+J3),2)</f>
        <v>2000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0</v>
      </c>
      <c r="H3" s="0">
        <v>0</v>
      </c>
      <c r="I3" s="59">
        <v>0</v>
      </c>
      <c r="J3" s="59">
        <f>ROUND(SUM(G3+H3+K4),2)</f>
        <v>1000</v>
      </c>
      <c r="K3" s="1">
        <f>BankReceiptMultiNewRef!I2</f>
        <v>1000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s="0">
        <v>0</v>
      </c>
      <c r="H4" s="0">
        <v>0</v>
      </c>
      <c r="I4" s="59">
        <v>0</v>
      </c>
      <c r="J4" s="59">
        <f>ROUND(SUM(G4+H4+K4),2)</f>
        <v>1000</v>
      </c>
      <c r="K4" s="1">
        <f>BankReceiptMultiNewRef!I3</f>
        <v>1000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>
  <sheetPr codeName="Sheet91"/>
  <dimension ref="A1:AD4"/>
  <sheetViews>
    <sheetView workbookViewId="0">
      <selection activeCell="E17" sqref="E17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21.5703125"/>
    <col min="12" max="12" customWidth="true" width="21.5703125"/>
    <col min="13" max="13" bestFit="true" customWidth="true" width="16.0"/>
    <col min="14" max="14" bestFit="true" customWidth="true" width="18.140625"/>
    <col min="15" max="15" bestFit="true" customWidth="true" width="16.7109375"/>
    <col min="16" max="16" bestFit="true" customWidth="true" width="17.0"/>
    <col min="17" max="17" bestFit="true" customWidth="true" width="16.5703125"/>
    <col min="18" max="18" bestFit="true" customWidth="true" width="17.0"/>
    <col min="21" max="21" bestFit="true" customWidth="true" width="17.42578125"/>
    <col min="22" max="22" bestFit="true" customWidth="true" width="14.140625"/>
    <col min="24" max="24" bestFit="true" customWidth="true" width="14.140625"/>
    <col min="27" max="27" bestFit="true" customWidth="true" width="15.0"/>
    <col min="30" max="30" bestFit="true" customWidth="true" width="20.0"/>
  </cols>
  <sheetData>
    <row r="1" spans="1:30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56" t="s">
        <v>359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46"/>
      <c r="W1" s="46"/>
      <c r="X1" s="46"/>
      <c r="Y1" s="40"/>
      <c r="Z1" s="40"/>
      <c r="AA1" s="37"/>
      <c r="AB1" s="40"/>
      <c r="AC1" s="40"/>
      <c r="AD1" s="40"/>
    </row>
    <row r="2" spans="1:30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v>0</v>
      </c>
      <c r="H2" s="0">
        <v>0</v>
      </c>
      <c r="I2" s="47">
        <f>ROUND(SUM(J4+J3),2)</f>
        <v>2000</v>
      </c>
      <c r="J2" s="59">
        <v>0</v>
      </c>
      <c r="L2" s="60"/>
      <c r="N2" s="38"/>
      <c r="O2" s="38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30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v>0</v>
      </c>
      <c r="H3" s="0">
        <v>0</v>
      </c>
      <c r="I3" s="59">
        <v>0</v>
      </c>
      <c r="J3" s="59">
        <f>ROUND(SUM(G3+H3+K4),2)</f>
        <v>1000</v>
      </c>
      <c r="K3" s="1">
        <f>BankReceiptMultiNewRef!I2</f>
        <v>1000</v>
      </c>
    </row>
    <row r="4" spans="1:30">
      <c r="A4" s="1">
        <v>3</v>
      </c>
      <c r="B4" s="58" t="s">
        <v>191</v>
      </c>
      <c r="C4" s="1">
        <v>1000000010</v>
      </c>
      <c r="D4" s="1" t="s">
        <v>320</v>
      </c>
      <c r="E4" s="1"/>
      <c r="F4" s="1"/>
      <c r="G4" s="0">
        <v>0</v>
      </c>
      <c r="H4" s="0">
        <v>0</v>
      </c>
      <c r="I4" s="59">
        <v>0</v>
      </c>
      <c r="J4" s="59">
        <f>ROUND(SUM(G4+H4+K4),2)</f>
        <v>1000</v>
      </c>
      <c r="K4" s="1">
        <f>BankReceiptMultiNewRef!I3</f>
        <v>1000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E18" sqref="E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ROUND(SUM(AA2+AB2+I2),2)</f>
        <v>2000</v>
      </c>
      <c r="N2" s="38">
        <f>AC2</f>
        <v>2000</v>
      </c>
      <c r="O2" s="1"/>
      <c r="P2" s="1"/>
      <c r="Q2" s="1">
        <f>M2</f>
        <v>2000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s="0">
        <v>1000</v>
      </c>
      <c r="AB2" t="s" s="0">
        <v>310</v>
      </c>
      <c r="AC2" s="0">
        <f>ROUND(SUM((AA2*L2)+(AB2*L2)+(I2*L2)),2)</f>
        <v>2000</v>
      </c>
    </row>
    <row r="3" spans="1:29">
      <c r="M3" s="0">
        <f>SUM(M2)</f>
        <v>2000</v>
      </c>
      <c r="N3" s="0">
        <f>SUM(N2)</f>
        <v>2000</v>
      </c>
      <c r="Q3" s="0">
        <f>SUM(Q2)</f>
        <v>2000</v>
      </c>
      <c r="AA3" t="s" s="0">
        <v>310</v>
      </c>
      <c r="AB3" t="s" s="0">
        <v>310</v>
      </c>
      <c r="AC3" s="0">
        <f>SUM(AC2)</f>
        <v>2000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AD3"/>
  <sheetViews>
    <sheetView workbookViewId="0">
      <selection activeCell="E12" sqref="E1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396</v>
      </c>
    </row>
    <row r="2" spans="1:30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</v>
      </c>
      <c r="J2" s="1" t="s">
        <v>303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1000</v>
      </c>
      <c r="O2" s="1"/>
      <c r="P2" s="1"/>
      <c r="Q2" s="1">
        <f>M2</f>
        <v>1000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1000</v>
      </c>
      <c r="AD2" t="s" s="0">
        <v>337</v>
      </c>
    </row>
    <row r="3" spans="1:30">
      <c r="M3" s="0">
        <f>SUM(M2)</f>
        <v>1000</v>
      </c>
      <c r="N3" s="0">
        <f>SUM(N2)</f>
        <v>1000</v>
      </c>
      <c r="Q3" s="0">
        <f>SUM(Q2)</f>
        <v>1000</v>
      </c>
      <c r="AA3" t="s" s="0">
        <v>310</v>
      </c>
      <c r="AB3" t="s" s="0">
        <v>310</v>
      </c>
      <c r="AC3" s="0">
        <f>SUM(AC2)</f>
        <v>1000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E19" sqref="E19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42578125"/>
    <col min="4" max="4" bestFit="true" customWidth="true" width="25.0"/>
    <col min="5" max="5" bestFit="true" customWidth="true" width="19.2851562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327</v>
      </c>
      <c r="AB1" s="40" t="s">
        <v>328</v>
      </c>
      <c r="AC1" s="40" t="s">
        <v>329</v>
      </c>
    </row>
    <row r="2" spans="1:29">
      <c r="A2" s="1">
        <v>1</v>
      </c>
      <c r="B2" s="52" t="s">
        <v>333</v>
      </c>
      <c r="C2" s="1" t="s">
        <v>331</v>
      </c>
      <c r="D2" s="1" t="s">
        <v>332</v>
      </c>
      <c r="E2" s="1" t="s">
        <v>334</v>
      </c>
      <c r="F2" s="1" t="s">
        <v>316</v>
      </c>
      <c r="G2" s="47" t="s">
        <v>339</v>
      </c>
      <c r="H2" s="22" t="s">
        <v>275</v>
      </c>
      <c r="I2" s="1">
        <v>100</v>
      </c>
      <c r="J2" s="1" t="s">
        <v>276</v>
      </c>
      <c r="K2" s="1" t="s">
        <v>209</v>
      </c>
      <c r="L2" t="s" s="0">
        <v>369</v>
      </c>
      <c r="M2" s="38">
        <f>ROUND(SUM(AA2+AB2+I2),2)</f>
        <v>100</v>
      </c>
      <c r="N2" s="38">
        <f>AC2</f>
        <v>100</v>
      </c>
      <c r="O2" s="1"/>
      <c r="P2" s="1"/>
      <c r="Q2" s="1">
        <f>M2</f>
        <v>100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</v>
      </c>
    </row>
    <row r="3" spans="1:29">
      <c r="M3" s="0">
        <f>SUM(M2)</f>
        <v>100</v>
      </c>
      <c r="N3" s="0">
        <f>SUM(N2)</f>
        <v>100</v>
      </c>
      <c r="Q3" s="0">
        <f>SUM(Q2)</f>
        <v>100</v>
      </c>
      <c r="AA3" t="s" s="0">
        <v>310</v>
      </c>
      <c r="AB3" t="s" s="0">
        <v>310</v>
      </c>
      <c r="AC3" s="0">
        <f>SUM(AC2)</f>
        <v>100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11" sqref="C11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2000000018</v>
      </c>
      <c r="D2" s="52" t="s">
        <v>333</v>
      </c>
      <c r="E2" s="1"/>
      <c r="F2" s="1"/>
      <c r="G2" s="0">
        <f>BRAdvUSDNR!I2</f>
        <v>100</v>
      </c>
      <c r="H2" t="s" s="0">
        <v>310</v>
      </c>
      <c r="I2" s="47">
        <f>ROUND(SUM(ROUND(G2,2)+ROUND(H2,2))*K1,2)</f>
        <v>8500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s="0">
        <f>BRAdvUSDNR!I2</f>
        <v>100</v>
      </c>
      <c r="H3" t="s" s="0">
        <v>310</v>
      </c>
      <c r="I3" s="59">
        <v>0</v>
      </c>
      <c r="J3" s="59">
        <f>ROUND(SUM(ROUND(G3,2)+ROUND(H3,2))*K1,2)</f>
        <v>8500</v>
      </c>
    </row>
  </sheetData>
  <pageMargins left="0.7" right="0.7" top="0.75" bottom="0.75" header="0.3" footer="0.3"/>
  <pageSetup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D6" sqref="D6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1001002003</v>
      </c>
      <c r="D2" s="1" t="s">
        <v>361</v>
      </c>
      <c r="E2" s="1"/>
      <c r="F2" s="1"/>
      <c r="G2" s="0">
        <f>BankReceiptNewRef!I2</f>
        <v>1000</v>
      </c>
      <c r="H2" t="s" s="0">
        <v>310</v>
      </c>
      <c r="I2" s="47">
        <f>ROUND(SUM(G2+H2),2)</f>
        <v>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1000000003</v>
      </c>
      <c r="D3" s="1" t="s">
        <v>318</v>
      </c>
      <c r="E3" s="1"/>
      <c r="F3" s="1"/>
      <c r="G3" s="0">
        <f>BankReceiptNewRef!I2</f>
        <v>1000</v>
      </c>
      <c r="H3" t="s" s="0">
        <v>310</v>
      </c>
      <c r="I3" s="59">
        <v>0</v>
      </c>
      <c r="J3" s="59">
        <f>ROUND(SUM(G3+H3),2)</f>
        <v>1000</v>
      </c>
    </row>
  </sheetData>
  <pageMargins left="0.7" right="0.7" top="0.75" bottom="0.75" header="0.3" footer="0.3"/>
  <pageSetup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>
  <sheetPr codeName="Sheet92"/>
  <dimension ref="A1:AC3"/>
  <sheetViews>
    <sheetView topLeftCell="P1" workbookViewId="0">
      <selection activeCell="AB2" sqref="AB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428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>
  <sheetPr codeName="Sheet93"/>
  <dimension ref="A1:AC4"/>
  <sheetViews>
    <sheetView topLeftCell="N1" workbookViewId="0">
      <selection activeCell="AC2" sqref="AC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428</v>
      </c>
      <c r="AB2" t="s" s="0">
        <v>428</v>
      </c>
      <c r="AC2" s="0">
        <f>ROUND(SUM((AA2*L2)+(AB2*L2)+(I2*L2)),2)</f>
        <v>0</v>
      </c>
    </row>
    <row r="3" spans="1:29" s="1" customFormat="1">
      <c r="A3" s="1">
        <v>2</v>
      </c>
      <c r="B3" s="1" t="s">
        <v>320</v>
      </c>
      <c r="C3" s="1" t="s">
        <v>179</v>
      </c>
      <c r="D3" s="1" t="s">
        <v>180</v>
      </c>
      <c r="E3" s="1" t="s">
        <v>302</v>
      </c>
      <c r="F3" s="1" t="s">
        <v>316</v>
      </c>
      <c r="G3" s="47" t="s">
        <v>339</v>
      </c>
      <c r="H3" s="22" t="s">
        <v>301</v>
      </c>
      <c r="I3" s="1">
        <v>0</v>
      </c>
      <c r="J3" s="1" t="s">
        <v>303</v>
      </c>
      <c r="K3" s="1" t="s">
        <v>207</v>
      </c>
      <c r="L3" t="s" s="0">
        <v>319</v>
      </c>
      <c r="M3" s="38">
        <f>ROUND(SUM(AA3+AB3+I3),2)</f>
        <v>0</v>
      </c>
      <c r="N3" s="38">
        <f>AC3</f>
        <v>0</v>
      </c>
      <c r="Q3" s="1">
        <f>M3</f>
        <v>0</v>
      </c>
      <c r="X3" s="1" t="s">
        <v>190</v>
      </c>
      <c r="Y3" s="1" t="s">
        <v>191</v>
      </c>
      <c r="Z3" s="1" t="s">
        <v>276</v>
      </c>
      <c r="AA3" t="s" s="0">
        <v>428</v>
      </c>
      <c r="AB3" t="s" s="0">
        <v>428</v>
      </c>
      <c r="AC3" s="0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I9" sqref="I9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9" t="s">
        <v>321</v>
      </c>
      <c r="C2" s="1" t="s">
        <v>161</v>
      </c>
      <c r="D2" s="1" t="s">
        <v>162</v>
      </c>
      <c r="E2" s="1" t="s">
        <v>311</v>
      </c>
      <c r="F2" s="1" t="s">
        <v>316</v>
      </c>
      <c r="G2" s="47" t="s">
        <v>339</v>
      </c>
      <c r="H2" s="22" t="s">
        <v>275</v>
      </c>
      <c r="I2" s="1">
        <v>100</v>
      </c>
      <c r="J2" s="1" t="s">
        <v>303</v>
      </c>
      <c r="K2" s="1" t="s">
        <v>209</v>
      </c>
      <c r="L2" t="s" s="0">
        <v>360</v>
      </c>
      <c r="M2" s="38">
        <f>ROUND(SUM(AA2+AB2+I2),2)</f>
        <v>100</v>
      </c>
      <c r="N2" s="38">
        <f>AC2</f>
        <v>11000</v>
      </c>
      <c r="O2" s="1"/>
      <c r="P2" s="1"/>
      <c r="Q2" s="1">
        <f>M2</f>
        <v>100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ROUND(SUM((ROUND(AA2,2)*L2)+(ROUND(AB2,2)*L2)+(I2*L2)),2)</f>
        <v>11000</v>
      </c>
    </row>
    <row r="3" spans="1:29">
      <c r="M3" s="0">
        <f>SUM(M2)</f>
        <v>100</v>
      </c>
      <c r="N3" s="0">
        <f>SUM(N2)</f>
        <v>11000</v>
      </c>
      <c r="Q3" s="0">
        <f>SUM(Q2)</f>
        <v>100</v>
      </c>
      <c r="AA3" t="s" s="0">
        <v>310</v>
      </c>
      <c r="AB3" t="s" s="0">
        <v>310</v>
      </c>
      <c r="AC3" s="0">
        <f>SUM(AC2)</f>
        <v>11000</v>
      </c>
    </row>
  </sheetData>
  <pageMargins left="0.7" right="0.7" top="0.75" bottom="0.75" header="0.3" footer="0.3"/>
  <pageSetup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H20" sqref="H20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360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1001002001</v>
      </c>
      <c r="D2" s="1" t="s">
        <v>356</v>
      </c>
      <c r="E2" s="1"/>
      <c r="F2" s="1"/>
      <c r="G2" s="0">
        <f>BRAdvUSDNR!I2</f>
        <v>100</v>
      </c>
      <c r="H2" t="s" s="0">
        <v>310</v>
      </c>
      <c r="I2" s="47">
        <f>ROUND(SUM(ROUND(G2,2)+ROUND(H2,2))*K1,2)</f>
        <v>11000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1000000004</v>
      </c>
      <c r="D3" s="1" t="s">
        <v>321</v>
      </c>
      <c r="E3" s="1"/>
      <c r="F3" s="1"/>
      <c r="G3" s="0">
        <f>BRAdvUSDNR!I2</f>
        <v>100</v>
      </c>
      <c r="H3" t="s" s="0">
        <v>310</v>
      </c>
      <c r="I3" s="59">
        <v>0</v>
      </c>
      <c r="J3" s="59">
        <f>ROUND(SUM(ROUND(G3,2)+ROUND(H3,2))*K1,2)</f>
        <v>11000</v>
      </c>
    </row>
  </sheetData>
  <pageMargins left="0.7" right="0.7" top="0.75" bottom="0.75" header="0.3" footer="0.3"/>
  <pageSetup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>
  <sheetPr codeName="Sheet94"/>
  <dimension ref="A1:AC3"/>
  <sheetViews>
    <sheetView workbookViewId="0">
      <selection activeCell="H3" sqref="H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9.0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1">
        <v>1</v>
      </c>
      <c r="B2" s="49" t="s">
        <v>321</v>
      </c>
      <c r="C2" s="1" t="s">
        <v>161</v>
      </c>
      <c r="D2" s="1" t="s">
        <v>162</v>
      </c>
      <c r="E2" s="1" t="s">
        <v>311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209</v>
      </c>
      <c r="L2" t="s" s="0">
        <v>360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ROUND(SUM((ROUND(AA2,2)*L2)+(ROUND(AB2,2)*L2)+(I2*L2)),2)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t="s" s="0">
        <v>310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>
  <sheetPr codeName="Sheet95"/>
  <dimension ref="A1:AC4"/>
  <sheetViews>
    <sheetView workbookViewId="0">
      <selection activeCell="H16" sqref="H16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42578125"/>
    <col min="4" max="4" bestFit="true" customWidth="true" width="25.0"/>
    <col min="5" max="5" bestFit="true" customWidth="true" width="11.855468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50" t="s">
        <v>321</v>
      </c>
      <c r="C2" s="41" t="s">
        <v>161</v>
      </c>
      <c r="D2" s="41" t="s">
        <v>162</v>
      </c>
      <c r="E2" s="41" t="s">
        <v>311</v>
      </c>
      <c r="F2" s="41" t="s">
        <v>316</v>
      </c>
      <c r="G2" s="47" t="s">
        <v>339</v>
      </c>
      <c r="H2" s="44" t="s">
        <v>275</v>
      </c>
      <c r="I2" s="41">
        <v>0</v>
      </c>
      <c r="J2" s="41" t="s">
        <v>303</v>
      </c>
      <c r="K2" s="41" t="s">
        <v>209</v>
      </c>
      <c r="L2" t="s" s="0">
        <v>360</v>
      </c>
      <c r="M2" s="45">
        <f>ROUND(SUM(AA2+AB2+I2),2)</f>
        <v>0</v>
      </c>
      <c r="N2" s="45">
        <f>AC2</f>
        <v>0</v>
      </c>
      <c r="O2" s="41"/>
      <c r="P2" s="41"/>
      <c r="Q2" s="41">
        <f>M2</f>
        <v>0</v>
      </c>
      <c r="R2" s="41"/>
      <c r="S2" s="41"/>
      <c r="T2" s="41"/>
      <c r="U2" s="41"/>
      <c r="V2" s="41"/>
      <c r="W2" s="41"/>
      <c r="X2" s="41" t="s">
        <v>190</v>
      </c>
      <c r="Y2" s="41" t="s">
        <v>191</v>
      </c>
      <c r="Z2" s="41" t="s">
        <v>276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A3" s="1">
        <v>2</v>
      </c>
      <c r="B3" s="1" t="s">
        <v>322</v>
      </c>
      <c r="C3" s="1" t="s">
        <v>315</v>
      </c>
      <c r="D3" s="1" t="s">
        <v>224</v>
      </c>
      <c r="E3" s="1" t="s">
        <v>311</v>
      </c>
      <c r="F3" s="1" t="s">
        <v>316</v>
      </c>
      <c r="G3" s="47" t="s">
        <v>339</v>
      </c>
      <c r="H3" s="22" t="s">
        <v>301</v>
      </c>
      <c r="I3" s="1">
        <v>0</v>
      </c>
      <c r="J3" s="1" t="s">
        <v>303</v>
      </c>
      <c r="K3" s="1" t="s">
        <v>209</v>
      </c>
      <c r="L3" t="s" s="0">
        <v>360</v>
      </c>
      <c r="M3" s="38">
        <f>ROUND(SUM(AA3+AB3+I3),2)</f>
        <v>0</v>
      </c>
      <c r="N3" s="38">
        <f>AC3</f>
        <v>0</v>
      </c>
      <c r="O3" s="1"/>
      <c r="P3" s="1"/>
      <c r="Q3" s="1">
        <f>M3</f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1">
        <f>ROUND(SUM((AA3*L3)+(AB3*L3)+(I3*L3)),2)</f>
        <v>0</v>
      </c>
    </row>
    <row r="4" spans="1:29">
      <c r="I4" s="0">
        <f>SUM(I2:I3)</f>
        <v>0</v>
      </c>
      <c r="M4" s="0">
        <f>SUM(M2:M3)</f>
        <v>0</v>
      </c>
      <c r="N4" s="0">
        <f>SUM(N2:N3)</f>
        <v>0</v>
      </c>
      <c r="Q4" s="0">
        <f>SUM(Q2:Q3)</f>
        <v>0</v>
      </c>
      <c r="AA4" s="0">
        <f>SUM(AA2:AA3)</f>
        <v>0</v>
      </c>
      <c r="AB4" s="0">
        <f>SUM(AB2:AB3)</f>
        <v>0</v>
      </c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>
  <sheetPr codeName="Sheet96"/>
  <dimension ref="A1:AC4"/>
  <sheetViews>
    <sheetView topLeftCell="O1" workbookViewId="0">
      <selection activeCell="AB3" sqref="AB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42" t="s">
        <v>291</v>
      </c>
      <c r="C2" s="41" t="s">
        <v>151</v>
      </c>
      <c r="D2" s="41" t="s">
        <v>152</v>
      </c>
      <c r="E2" s="41" t="s">
        <v>299</v>
      </c>
      <c r="F2" s="41" t="s">
        <v>274</v>
      </c>
      <c r="G2" s="43" t="s">
        <v>17</v>
      </c>
      <c r="H2" s="44" t="s">
        <v>275</v>
      </c>
      <c r="I2" s="41">
        <v>1000</v>
      </c>
      <c r="J2" s="41" t="s">
        <v>303</v>
      </c>
      <c r="K2" s="41" t="s">
        <v>207</v>
      </c>
      <c r="L2" s="45">
        <v>1</v>
      </c>
      <c r="M2" s="45">
        <f>I2*L2</f>
        <v>1000</v>
      </c>
      <c r="N2" s="45">
        <f>I2</f>
        <v>1000</v>
      </c>
      <c r="O2" s="41"/>
      <c r="P2" s="41"/>
      <c r="Q2" s="41">
        <f>M2</f>
        <v>1000</v>
      </c>
      <c r="R2" s="41"/>
      <c r="S2" s="41"/>
      <c r="T2" s="41"/>
      <c r="U2" s="41"/>
      <c r="V2" s="41"/>
      <c r="W2" s="41"/>
      <c r="X2" s="1" t="s">
        <v>187</v>
      </c>
      <c r="Y2" s="1" t="s">
        <v>188</v>
      </c>
      <c r="Z2" s="1" t="s">
        <v>276</v>
      </c>
      <c r="AA2" s="0">
        <v>0</v>
      </c>
      <c r="AB2" s="0">
        <v>0</v>
      </c>
      <c r="AC2" s="0">
        <f>ROUND(SUM(AA2+AB2),2)</f>
        <v>0</v>
      </c>
    </row>
    <row r="3" spans="1:29" s="1" customFormat="1">
      <c r="A3" s="1">
        <v>2</v>
      </c>
      <c r="B3" s="1" t="s">
        <v>300</v>
      </c>
      <c r="C3" s="1" t="s">
        <v>179</v>
      </c>
      <c r="D3" s="1" t="s">
        <v>180</v>
      </c>
      <c r="E3" s="1" t="s">
        <v>302</v>
      </c>
      <c r="F3" s="1" t="s">
        <v>274</v>
      </c>
      <c r="G3" s="39" t="s">
        <v>17</v>
      </c>
      <c r="H3" s="22" t="s">
        <v>301</v>
      </c>
      <c r="I3" s="1">
        <v>1000</v>
      </c>
      <c r="J3" s="1" t="s">
        <v>303</v>
      </c>
      <c r="K3" s="1" t="s">
        <v>207</v>
      </c>
      <c r="L3" s="1">
        <v>1</v>
      </c>
      <c r="M3" s="1">
        <v>1000</v>
      </c>
      <c r="N3" s="1">
        <v>1000</v>
      </c>
      <c r="Q3" s="1">
        <v>1000</v>
      </c>
      <c r="X3" s="1" t="s">
        <v>187</v>
      </c>
      <c r="Y3" s="1" t="s">
        <v>188</v>
      </c>
      <c r="Z3" s="1" t="s">
        <v>276</v>
      </c>
      <c r="AA3" s="0">
        <v>0</v>
      </c>
      <c r="AB3" s="0">
        <v>0</v>
      </c>
      <c r="AC3" s="0">
        <f>ROUND(SUM(AA3+AB3),2)</f>
        <v>0</v>
      </c>
    </row>
    <row r="4" spans="1:29">
      <c r="AC4" s="0">
        <f>SUM(AC2:AC3)</f>
        <v>0</v>
      </c>
    </row>
  </sheetData>
  <pageMargins left="0.7" right="0.7" top="0.75" bottom="0.75" header="0.3" footer="0.3"/>
  <pageSetup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>
  <sheetPr codeName="Sheet97"/>
  <dimension ref="A1:AC4"/>
  <sheetViews>
    <sheetView topLeftCell="N1" workbookViewId="0">
      <selection activeCell="AC3" sqref="AC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11.28515625"/>
    <col min="4" max="4" bestFit="true" customWidth="true" width="19.0"/>
    <col min="5" max="5" bestFit="true" customWidth="true" width="11.85546875"/>
    <col min="6" max="6" bestFit="true" customWidth="true" width="7.140625"/>
    <col min="7" max="7" bestFit="true" customWidth="true" width="14.5703125"/>
    <col min="8" max="8" bestFit="true" customWidth="true" width="17.42578125"/>
    <col min="9" max="9" bestFit="true" customWidth="true" width="13.5703125"/>
    <col min="10" max="10" bestFit="true" customWidth="true" width="7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260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</row>
    <row r="2" spans="1:29">
      <c r="A2" s="41">
        <v>1</v>
      </c>
      <c r="B2" s="42" t="s">
        <v>291</v>
      </c>
      <c r="C2" s="41" t="s">
        <v>151</v>
      </c>
      <c r="D2" s="41" t="s">
        <v>152</v>
      </c>
      <c r="E2" s="41" t="s">
        <v>299</v>
      </c>
      <c r="F2" s="41" t="s">
        <v>274</v>
      </c>
      <c r="G2" s="43" t="s">
        <v>17</v>
      </c>
      <c r="H2" s="44" t="s">
        <v>275</v>
      </c>
      <c r="I2" s="41">
        <v>1000</v>
      </c>
      <c r="J2" s="41" t="s">
        <v>303</v>
      </c>
      <c r="K2" s="41" t="s">
        <v>207</v>
      </c>
      <c r="L2" s="45">
        <v>1</v>
      </c>
      <c r="M2" s="45">
        <f>I2*L2</f>
        <v>1000</v>
      </c>
      <c r="N2" s="45">
        <f>I2</f>
        <v>1000</v>
      </c>
      <c r="O2" s="41"/>
      <c r="P2" s="41"/>
      <c r="Q2" s="41">
        <f>M2</f>
        <v>1000</v>
      </c>
      <c r="R2" s="41"/>
      <c r="S2" s="41"/>
      <c r="T2" s="41"/>
      <c r="U2" s="41"/>
      <c r="V2" s="41"/>
      <c r="W2" s="41"/>
      <c r="X2" s="1" t="s">
        <v>187</v>
      </c>
      <c r="Y2" s="1" t="s">
        <v>188</v>
      </c>
      <c r="Z2" s="1" t="s">
        <v>276</v>
      </c>
      <c r="AA2" s="0">
        <v>0</v>
      </c>
      <c r="AB2" s="0">
        <v>0</v>
      </c>
      <c r="AC2" s="0">
        <f>ROUND(SUM(AA2+AB2+I2),2)</f>
        <v>1000</v>
      </c>
    </row>
    <row r="3" spans="1:29" s="1" customFormat="1">
      <c r="A3" s="1">
        <v>2</v>
      </c>
      <c r="B3" s="1" t="s">
        <v>300</v>
      </c>
      <c r="C3" s="1" t="s">
        <v>179</v>
      </c>
      <c r="D3" s="1" t="s">
        <v>180</v>
      </c>
      <c r="E3" s="1" t="s">
        <v>302</v>
      </c>
      <c r="F3" s="1" t="s">
        <v>274</v>
      </c>
      <c r="G3" s="39" t="s">
        <v>17</v>
      </c>
      <c r="H3" s="22" t="s">
        <v>301</v>
      </c>
      <c r="I3" s="1">
        <v>1000</v>
      </c>
      <c r="J3" s="1" t="s">
        <v>303</v>
      </c>
      <c r="K3" s="1" t="s">
        <v>207</v>
      </c>
      <c r="L3" s="1">
        <v>1</v>
      </c>
      <c r="M3" s="1">
        <v>1000</v>
      </c>
      <c r="N3" s="1">
        <v>1000</v>
      </c>
      <c r="Q3" s="1">
        <v>1000</v>
      </c>
      <c r="X3" s="1" t="s">
        <v>187</v>
      </c>
      <c r="Y3" s="1" t="s">
        <v>188</v>
      </c>
      <c r="Z3" s="1" t="s">
        <v>276</v>
      </c>
      <c r="AA3" s="0">
        <v>0</v>
      </c>
      <c r="AB3" s="0">
        <v>0</v>
      </c>
      <c r="AC3" s="0">
        <f>ROUND(SUM(AA3+AB3+I3),2)</f>
        <v>1000</v>
      </c>
    </row>
    <row r="4" spans="1:29">
      <c r="AC4" s="0">
        <f>SUM(AC2:AC3)</f>
        <v>2000</v>
      </c>
    </row>
  </sheetData>
  <pageMargins left="0.7" right="0.7" top="0.75" bottom="0.75" header="0.3" footer="0.3"/>
  <pageSetup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>
  <sheetPr codeName="Sheet98"/>
  <dimension ref="A1:AD3"/>
  <sheetViews>
    <sheetView topLeftCell="C1" workbookViewId="0">
      <selection activeCell="A2" sqref="A2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10000</v>
      </c>
      <c r="J2" s="1" t="s">
        <v>303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/>
      <c r="P2" s="1"/>
      <c r="Q2" s="1">
        <f>M2</f>
        <v>10000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310</v>
      </c>
      <c r="AB2" t="s" s="0">
        <v>310</v>
      </c>
      <c r="AC2" s="0">
        <f>ROUND(SUM((AA2*L2)+(AB2*L2)+(I2*L2)),2)</f>
        <v>10000</v>
      </c>
      <c r="AD2" t="s" s="0">
        <v>337</v>
      </c>
    </row>
    <row r="3" spans="1:30">
      <c r="M3" s="0">
        <f>SUM(M2)</f>
        <v>10000</v>
      </c>
      <c r="N3" s="0">
        <f>SUM(N2)</f>
        <v>10000</v>
      </c>
      <c r="Q3" s="0">
        <f>SUM(Q2)</f>
        <v>10000</v>
      </c>
      <c r="AA3" t="s" s="0">
        <v>310</v>
      </c>
      <c r="AB3" t="s" s="0">
        <v>310</v>
      </c>
      <c r="AC3" s="0">
        <f>SUM(AC2)</f>
        <v>10000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>
  <sheetPr codeName="Sheet99"/>
  <dimension ref="A1:AD4"/>
  <sheetViews>
    <sheetView topLeftCell="O1" workbookViewId="0">
      <selection activeCell="AA3" sqref="AA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41">
        <v>1</v>
      </c>
      <c r="B2" s="50" t="s">
        <v>321</v>
      </c>
      <c r="C2" s="41" t="s">
        <v>161</v>
      </c>
      <c r="D2" s="41" t="s">
        <v>162</v>
      </c>
      <c r="E2" s="41" t="s">
        <v>311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209</v>
      </c>
      <c r="L2" t="s" s="0">
        <v>360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t="s" s="0">
        <v>364</v>
      </c>
      <c r="AB2" t="s" s="0">
        <v>310</v>
      </c>
      <c r="AC2" s="0">
        <f>ROUND(SUM((AA2*L2)+(AB2*L2)+(I2*L2)),2)</f>
        <v>0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1000</v>
      </c>
      <c r="J3" s="1" t="s">
        <v>276</v>
      </c>
      <c r="K3" s="1" t="s">
        <v>209</v>
      </c>
      <c r="L3" t="s" s="0">
        <v>360</v>
      </c>
      <c r="M3" s="38">
        <f>ROUND(SUM(AA3+AB3+I3),2)</f>
        <v>1000</v>
      </c>
      <c r="N3" s="38">
        <f>AC3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ROUND(SUM((AA3)+(AB3)+(I3)),2)</f>
        <v>1000</v>
      </c>
      <c r="AD3" t="s" s="0">
        <v>338</v>
      </c>
    </row>
    <row r="4" spans="1:30">
      <c r="I4" s="0">
        <f>SUM(I2:I3)</f>
        <v>1000</v>
      </c>
      <c r="M4" s="0">
        <f>M2</f>
        <v>0</v>
      </c>
      <c r="N4" s="0">
        <f>N2</f>
        <v>0</v>
      </c>
      <c r="Q4" s="0">
        <f>SUM(Q2:Q3)</f>
        <v>1000</v>
      </c>
      <c r="AC4" s="0">
        <f>AC2</f>
        <v>0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>
  <sheetPr codeName="Sheet100"/>
  <dimension ref="A1:AD4"/>
  <sheetViews>
    <sheetView topLeftCell="G1" workbookViewId="0">
      <selection activeCell="M4" sqref="M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48" t="s">
        <v>318</v>
      </c>
      <c r="C2" s="1" t="s">
        <v>151</v>
      </c>
      <c r="D2" s="1" t="s">
        <v>152</v>
      </c>
      <c r="E2" s="1" t="s">
        <v>299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303</v>
      </c>
      <c r="K2" s="1" t="s">
        <v>207</v>
      </c>
      <c r="L2" t="s" s="0">
        <v>319</v>
      </c>
      <c r="M2" s="38">
        <f>ROUND(SUM(AA2+AB2+I2),2)</f>
        <v>26550</v>
      </c>
      <c r="N2" s="38">
        <f>AC2</f>
        <v>26550</v>
      </c>
      <c r="O2" s="1"/>
      <c r="P2" s="1"/>
      <c r="Q2" s="1">
        <f>M2</f>
        <v>26550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276</v>
      </c>
      <c r="AA2" s="0">
        <v>26550</v>
      </c>
      <c r="AB2" t="s" s="0">
        <v>310</v>
      </c>
      <c r="AC2" s="0">
        <f>ROUND(SUM((AA2*L2)+(AB2*L2)+(I2*L2)),2)</f>
        <v>26550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O3" s="1"/>
      <c r="P3" s="1"/>
      <c r="Q3" s="1">
        <f>M3</f>
        <v>1000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1000</v>
      </c>
      <c r="AD3" t="s" s="0">
        <v>338</v>
      </c>
    </row>
    <row r="4" spans="1:30">
      <c r="I4" s="0">
        <f>SUM(I2:I3)</f>
        <v>1000</v>
      </c>
      <c r="M4" s="0">
        <f>ROUND(M2-M3,2)</f>
        <v>25550</v>
      </c>
      <c r="N4" s="0">
        <f>ROUND(N2-N3,2)</f>
        <v>25550</v>
      </c>
      <c r="Q4" s="0">
        <f>SUM(Q2:Q3)</f>
        <v>27550</v>
      </c>
      <c r="AC4" s="0">
        <f>ROUND(AC2-AC3,2)</f>
        <v>25550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>
  <sheetPr codeName="Sheet101"/>
  <dimension ref="A1:AD4"/>
  <sheetViews>
    <sheetView topLeftCell="E1" workbookViewId="0">
      <selection activeCell="I18" sqref="I1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666.3</v>
      </c>
      <c r="N2" s="38">
        <f>AC2</f>
        <v>666.3</v>
      </c>
      <c r="O2" s="1"/>
      <c r="P2" s="1"/>
      <c r="Q2" s="1">
        <f>M2</f>
        <v>666.3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370</v>
      </c>
      <c r="AB2" t="s" s="0">
        <v>310</v>
      </c>
      <c r="AC2" s="0">
        <f>ROUND(SUM((AA2*L2)+(AB2*L2)+(I2*L2)),2)</f>
        <v>666.3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</v>
      </c>
      <c r="J3" s="1" t="s">
        <v>276</v>
      </c>
      <c r="K3" s="1" t="s">
        <v>207</v>
      </c>
      <c r="L3" t="s" s="0">
        <v>319</v>
      </c>
      <c r="M3" s="38">
        <f>ROUND(SUM(AA3+AB3+I3),2)</f>
        <v>100</v>
      </c>
      <c r="N3" s="38">
        <f>AC3</f>
        <v>100</v>
      </c>
      <c r="O3" s="1"/>
      <c r="P3" s="1"/>
      <c r="Q3" s="1">
        <f>M3</f>
        <v>100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</v>
      </c>
      <c r="AD3" t="s" s="0">
        <v>338</v>
      </c>
    </row>
    <row r="4" spans="1:30">
      <c r="I4" s="0">
        <f>SUM(I2:I3)</f>
        <v>100</v>
      </c>
      <c r="M4" s="0">
        <f>M2</f>
        <v>666.3</v>
      </c>
      <c r="N4" s="0">
        <f>N2</f>
        <v>666.3</v>
      </c>
      <c r="Q4" s="0">
        <f>SUM(Q2:Q3)</f>
        <v>766.3</v>
      </c>
      <c r="AC4" s="0">
        <f>ROUND(AC2+AC3,2)</f>
        <v>766.3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>
  <sheetPr codeName="Sheet102"/>
  <dimension ref="A1:AD4"/>
  <sheetViews>
    <sheetView workbookViewId="0">
      <selection activeCell="W3" sqref="W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62" t="s">
        <v>366</v>
      </c>
      <c r="C2" s="1" t="s">
        <v>367</v>
      </c>
      <c r="D2" s="1" t="s">
        <v>368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666.3</v>
      </c>
      <c r="N2" s="38">
        <f>AC2</f>
        <v>666.3</v>
      </c>
      <c r="O2" s="1"/>
      <c r="P2" s="1"/>
      <c r="Q2" s="1">
        <f>M2</f>
        <v>666.3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666.3</v>
      </c>
      <c r="AD2" t="s" s="0">
        <v>337</v>
      </c>
    </row>
    <row r="3" spans="1:30">
      <c r="A3" s="1">
        <v>2</v>
      </c>
      <c r="B3" s="48" t="s">
        <v>335</v>
      </c>
      <c r="C3" s="1"/>
      <c r="D3" s="1"/>
      <c r="E3" s="1"/>
      <c r="F3" s="1" t="s">
        <v>316</v>
      </c>
      <c r="G3" s="47" t="s">
        <v>339</v>
      </c>
      <c r="H3" s="22"/>
      <c r="I3" s="1">
        <v>100</v>
      </c>
      <c r="J3" s="1" t="s">
        <v>276</v>
      </c>
      <c r="K3" s="1" t="s">
        <v>207</v>
      </c>
      <c r="L3" t="s" s="0">
        <v>319</v>
      </c>
      <c r="M3" s="38">
        <f>ROUND(SUM(AA3+AB3+I3),2)</f>
        <v>100</v>
      </c>
      <c r="N3" s="38">
        <f>AC3</f>
        <v>100</v>
      </c>
      <c r="O3" s="1"/>
      <c r="P3" s="1"/>
      <c r="Q3" s="1">
        <f>M3</f>
        <v>100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276</v>
      </c>
      <c r="AA3" t="s" s="0">
        <v>310</v>
      </c>
      <c r="AB3" t="s" s="0">
        <v>310</v>
      </c>
      <c r="AC3" s="0">
        <f>ROUND(SUM((AA3*L3)+(AB3*L3)+(I3*L3)),2)</f>
        <v>100</v>
      </c>
      <c r="AD3" t="s" s="0">
        <v>338</v>
      </c>
    </row>
    <row r="4" spans="1:30">
      <c r="I4" s="0">
        <f>SUM(I2:I3)</f>
        <v>100</v>
      </c>
      <c r="M4" s="0">
        <f>M2</f>
        <v>666.3</v>
      </c>
      <c r="N4" s="0">
        <f>N2</f>
        <v>666.3</v>
      </c>
      <c r="Q4" s="0">
        <f>SUM(Q2:Q3)</f>
        <v>766.3</v>
      </c>
      <c r="AC4" s="0">
        <f>ROUND(AC2+AC3,2)</f>
        <v>766.3</v>
      </c>
      <c r="AD4" t="s" s="0">
        <v>338</v>
      </c>
    </row>
  </sheetData>
  <pageMargins left="0.7" right="0.7" top="0.75" bottom="0.75" header="0.3" footer="0.3"/>
  <pageSetup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>
  <sheetPr codeName="Sheet103"/>
  <dimension ref="A1:AG3"/>
  <sheetViews>
    <sheetView topLeftCell="U1" workbookViewId="0">
      <selection activeCell="AF12" sqref="AF1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1</v>
      </c>
      <c r="AF1" s="55" t="s">
        <v>348</v>
      </c>
      <c r="AG1" s="54" t="s">
        <v>347</v>
      </c>
    </row>
    <row r="2" spans="1:33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ROUND(SUM(AA2+AB2+I2),2)</f>
        <v>1000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90</v>
      </c>
      <c r="S2" s="1">
        <f>IF($AE$1=1,ROUND(((Q2*P2)/2),2),0)</f>
        <v>90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1180</v>
      </c>
      <c r="AD2" t="s" s="0">
        <v>337</v>
      </c>
      <c r="AE2" s="0">
        <v>34</v>
      </c>
      <c r="AF2" t="s" s="0">
        <v>345</v>
      </c>
      <c r="AG2" t="s" s="0">
        <v>346</v>
      </c>
    </row>
    <row r="3" spans="1:33">
      <c r="I3" s="0">
        <f>SUM(I2:I2)</f>
        <v>1000</v>
      </c>
      <c r="M3" s="0">
        <f>SUM(M2+R2+S2+T2+U2+W2)</f>
        <v>1180</v>
      </c>
      <c r="N3" s="0">
        <f>SUM(N2+R2+S2+T2+U2+W2)</f>
        <v>1180</v>
      </c>
      <c r="Q3" s="0">
        <f>SUM(Q2:Q2)</f>
        <v>1000</v>
      </c>
      <c r="R3" s="0">
        <f>SUM(R2:R2)</f>
        <v>90</v>
      </c>
      <c r="S3" s="0">
        <f>SUM(S2:S2)</f>
        <v>90</v>
      </c>
      <c r="T3" s="0">
        <f>SUM(T2:T2)</f>
        <v>0</v>
      </c>
      <c r="U3" s="0">
        <f>SUM(U2:U2)</f>
        <v>0</v>
      </c>
      <c r="AC3" s="0">
        <f>SUM(AC2)</f>
        <v>1180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>
  <sheetPr codeName="Sheet108"/>
  <dimension ref="A1:AL4"/>
  <sheetViews>
    <sheetView tabSelected="1" workbookViewId="0">
      <selection activeCell="H3" sqref="H3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9.0"/>
    <col min="4" max="4" bestFit="true" customWidth="true" width="12.7109375"/>
    <col min="5" max="5" bestFit="true" customWidth="true" width="11.85546875"/>
    <col min="6" max="6" bestFit="true" customWidth="true" width="7.140625"/>
    <col min="7" max="7" bestFit="true" customWidth="true" width="9.285156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4.85546875"/>
    <col min="26" max="26" bestFit="true" customWidth="true" width="15.0"/>
    <col min="27" max="28" bestFit="true" customWidth="true" width="8.85546875"/>
    <col min="29" max="29" bestFit="true" customWidth="true" width="20.0"/>
    <col min="30" max="30" bestFit="true" customWidth="true" width="12.0"/>
    <col min="31" max="31" bestFit="true" customWidth="true" width="3.0"/>
    <col min="32" max="32" bestFit="true" customWidth="true" width="19.42578125"/>
    <col min="33" max="33" bestFit="true" customWidth="true" width="17.7109375"/>
    <col min="34" max="34" bestFit="true" customWidth="true" width="5.140625"/>
    <col min="35" max="35" bestFit="true" customWidth="true" width="16.0"/>
    <col min="36" max="36" bestFit="true" customWidth="true" width="14.0"/>
    <col min="37" max="37" bestFit="true" customWidth="true" width="23.140625"/>
    <col min="38" max="38" bestFit="true" customWidth="true" width="16.5703125"/>
    <col min="39" max="39" bestFit="true" customWidth="true" width="19.42578125"/>
    <col min="40" max="40" bestFit="true" customWidth="true" width="17.7109375"/>
  </cols>
  <sheetData>
    <row r="1" spans="1:38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1</v>
      </c>
      <c r="AF1" s="55" t="s">
        <v>348</v>
      </c>
      <c r="AG1" s="54" t="s">
        <v>347</v>
      </c>
      <c r="AH1" s="64" t="s">
        <v>385</v>
      </c>
      <c r="AI1" s="64" t="s">
        <v>389</v>
      </c>
      <c r="AJ1" s="64" t="s">
        <v>390</v>
      </c>
      <c r="AK1" s="64" t="s">
        <v>391</v>
      </c>
      <c r="AL1" s="64" t="s">
        <v>392</v>
      </c>
    </row>
    <row r="2" spans="1:38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ROUND(SUM(AA2+AB2+I2),2)</f>
        <v>1000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90</v>
      </c>
      <c r="S2" s="1">
        <f>IF($AE$1=1,ROUND(((Q2*P2)/2),2),0)</f>
        <v>90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1180</v>
      </c>
      <c r="AD2" t="s" s="0">
        <v>337</v>
      </c>
      <c r="AE2" s="0">
        <v>34</v>
      </c>
      <c r="AF2" t="s" s="0">
        <v>345</v>
      </c>
      <c r="AG2" t="s" s="0">
        <v>346</v>
      </c>
      <c r="AH2" t="s" s="0">
        <v>379</v>
      </c>
      <c r="AI2" s="0">
        <v>1000000029</v>
      </c>
      <c r="AJ2" s="0">
        <v>1</v>
      </c>
      <c r="AK2" s="0">
        <f>I2</f>
        <v>1000</v>
      </c>
      <c r="AL2" s="0">
        <f>ROUND(M2*AJ2%,2)</f>
        <v>10</v>
      </c>
    </row>
    <row r="3" spans="1:38">
      <c r="A3" s="1">
        <v>2</v>
      </c>
      <c r="B3" s="57" t="s">
        <v>349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f>AK2</f>
        <v>1000</v>
      </c>
      <c r="J3" s="14" t="s">
        <v>303</v>
      </c>
      <c r="K3" s="14" t="s">
        <v>207</v>
      </c>
      <c r="L3" s="1">
        <v>1</v>
      </c>
      <c r="M3" s="38">
        <f>M2*1%</f>
        <v>10</v>
      </c>
      <c r="N3" s="38">
        <f>M2*1%</f>
        <v>10</v>
      </c>
      <c r="O3" s="1"/>
      <c r="P3" s="53">
        <v>0</v>
      </c>
      <c r="Q3" s="1">
        <v>0</v>
      </c>
      <c r="R3" s="1">
        <f>IF(OR($AE$1=1,$AE$1=4),ROUND((Q3*P3)/2,2),0)</f>
        <v>0</v>
      </c>
      <c r="S3" s="1">
        <f>IF($AE$1=1,ROUND(((Q3*P3)/2),2),0)</f>
        <v>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t="s" s="0">
        <v>310</v>
      </c>
      <c r="AB3" t="s" s="0">
        <v>310</v>
      </c>
      <c r="AC3" s="1">
        <f>ROUND(SUM((AA3*L3)+(AB3*L3)+(I3*L3)+R3+S3+T3+U3+W3),2)</f>
        <v>1000</v>
      </c>
      <c r="AD3" s="1" t="s">
        <v>337</v>
      </c>
      <c r="AE3" s="1"/>
      <c r="AF3" s="1"/>
      <c r="AG3" s="1"/>
      <c r="AH3" s="1"/>
      <c r="AI3" s="1"/>
      <c r="AJ3" s="1"/>
      <c r="AK3" s="1"/>
    </row>
    <row r="4" spans="1:38">
      <c r="I4" s="0">
        <f>SUM(I2:I2)</f>
        <v>1000</v>
      </c>
      <c r="M4" s="0">
        <f>SUM(M2+R2+S2+T2+U2+W2)-M3</f>
        <v>1170</v>
      </c>
      <c r="N4" s="0">
        <f>SUM(N2+R2+S2+T2+U2+W2)-N3</f>
        <v>1170</v>
      </c>
      <c r="Q4" s="0">
        <f>SUM(Q2:Q2)</f>
        <v>1000</v>
      </c>
      <c r="R4" s="0">
        <f>SUM(R2:R2)</f>
        <v>90</v>
      </c>
      <c r="S4" s="0">
        <f>SUM(S2:S2)</f>
        <v>90</v>
      </c>
      <c r="T4" s="0">
        <f>SUM(T2:T2)</f>
        <v>0</v>
      </c>
      <c r="U4" s="0">
        <f>SUM(U2:U2)</f>
        <v>0</v>
      </c>
      <c r="AC4" s="0">
        <f>AC2-AC3</f>
        <v>180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>
  <sheetPr codeName="Sheet104"/>
  <dimension ref="A1:AG3"/>
  <sheetViews>
    <sheetView topLeftCell="V1" workbookViewId="0">
      <selection activeCell="AE2" sqref="AE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3</v>
      </c>
      <c r="AF1" s="55" t="s">
        <v>348</v>
      </c>
      <c r="AG1" s="54" t="s">
        <v>347</v>
      </c>
    </row>
    <row r="2" spans="1:33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209</v>
      </c>
      <c r="L2" t="s" s="0">
        <v>369</v>
      </c>
      <c r="M2" s="38">
        <f>ROUND(SUM(AA2+AB2+I2),2)</f>
        <v>1000</v>
      </c>
      <c r="N2" s="38">
        <f>AC2</f>
        <v>85000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0</v>
      </c>
      <c r="S2" s="1">
        <f>IF($AE$1=1,ROUND(((Q2*P2)/2),2),0)</f>
        <v>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85000</v>
      </c>
      <c r="AD2" t="s" s="0">
        <v>337</v>
      </c>
      <c r="AE2" s="0">
        <v>34</v>
      </c>
      <c r="AF2" t="s" s="0">
        <v>345</v>
      </c>
      <c r="AG2" t="s" s="0">
        <v>346</v>
      </c>
    </row>
    <row r="3" spans="1:33">
      <c r="I3" s="0">
        <f>SUM(I2:I2)</f>
        <v>1000</v>
      </c>
      <c r="M3" s="0">
        <f>SUM(M2)</f>
        <v>1000</v>
      </c>
      <c r="N3" s="0">
        <f>SUM(N2)</f>
        <v>85000</v>
      </c>
      <c r="Q3" s="0">
        <f>SUM(Q2:Q2)</f>
        <v>1000</v>
      </c>
      <c r="R3" s="0">
        <f>SUM(R2:R2)</f>
        <v>0</v>
      </c>
      <c r="S3" s="0">
        <f>SUM(S2:S2)</f>
        <v>0</v>
      </c>
      <c r="T3" s="0">
        <f>SUM(T2:T2)</f>
        <v>0</v>
      </c>
      <c r="U3" s="0">
        <f>SUM(U2:U2)</f>
        <v>0</v>
      </c>
      <c r="AC3" s="0">
        <f>SUM(AC2)</f>
        <v>85000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40.xml><?xml version="1.0" encoding="utf-8"?>
<worksheet xmlns="http://schemas.openxmlformats.org/spreadsheetml/2006/main" xmlns:r="http://schemas.openxmlformats.org/officeDocument/2006/relationships">
  <sheetPr codeName="Sheet105"/>
  <dimension ref="A1:AG3"/>
  <sheetViews>
    <sheetView workbookViewId="0">
      <selection activeCell="K2" sqref="K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3</v>
      </c>
      <c r="AF1" s="55" t="s">
        <v>348</v>
      </c>
      <c r="AG1" s="54" t="s">
        <v>347</v>
      </c>
    </row>
    <row r="2" spans="1:33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t="s" s="0">
        <v>319</v>
      </c>
      <c r="M2" s="38">
        <f>ROUND(SUM(AA2+AB2+I2),2)</f>
        <v>1000</v>
      </c>
      <c r="N2" s="38">
        <f>AC2</f>
        <v>82500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0</v>
      </c>
      <c r="S2" s="1">
        <f>IF($AE$1=1,ROUND(((Q2*P2)/2),2),0)</f>
        <v>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t="s" s="0">
        <v>310</v>
      </c>
      <c r="AB2" t="s" s="0">
        <v>310</v>
      </c>
      <c r="AC2" s="0">
        <f>ROUND(SUM((AA2*L2)+(AB2*L2)+(I2*L2)+R2+S2+T2+U2+W2),2)</f>
        <v>82500</v>
      </c>
      <c r="AD2" t="s" s="0">
        <v>337</v>
      </c>
      <c r="AE2" s="0">
        <v>34</v>
      </c>
      <c r="AF2" t="s" s="0">
        <v>345</v>
      </c>
      <c r="AG2" t="s" s="0">
        <v>346</v>
      </c>
    </row>
    <row r="3" spans="1:33">
      <c r="I3" s="0">
        <f>SUM(I2:I2)</f>
        <v>1000</v>
      </c>
      <c r="M3" s="0">
        <f>SUM(M2)</f>
        <v>1000</v>
      </c>
      <c r="N3" s="0">
        <f>SUM(N2)</f>
        <v>82500</v>
      </c>
      <c r="Q3" s="0">
        <f>SUM(Q2:Q2)</f>
        <v>1000</v>
      </c>
      <c r="R3" s="0">
        <f>SUM(R2:R2)</f>
        <v>0</v>
      </c>
      <c r="S3" s="0">
        <f>SUM(S2:S2)</f>
        <v>0</v>
      </c>
      <c r="T3" s="0">
        <f>SUM(T2:T2)</f>
        <v>0</v>
      </c>
      <c r="U3" s="0">
        <f>SUM(U2:U2)</f>
        <v>0</v>
      </c>
      <c r="AC3" s="0">
        <f>SUM(AC2)</f>
        <v>82500</v>
      </c>
      <c r="AD3" t="s" s="0">
        <v>337</v>
      </c>
    </row>
  </sheetData>
  <pageMargins left="0.7" right="0.7" top="0.75" bottom="0.75" header="0.3" footer="0.3"/>
  <pageSetup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>
  <sheetPr codeName="Sheet106"/>
  <dimension ref="A1:AG4"/>
  <sheetViews>
    <sheetView workbookViewId="0">
      <selection activeCell="E2" sqref="E2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3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  <c r="AE1" s="0">
        <v>3</v>
      </c>
      <c r="AF1" s="55" t="s">
        <v>348</v>
      </c>
      <c r="AG1" s="54" t="s">
        <v>347</v>
      </c>
    </row>
    <row r="2" spans="1:33">
      <c r="A2" s="1">
        <v>1</v>
      </c>
      <c r="B2" s="48" t="s">
        <v>341</v>
      </c>
      <c r="C2" s="1"/>
      <c r="D2" s="1"/>
      <c r="E2" s="1"/>
      <c r="F2" s="1" t="s">
        <v>316</v>
      </c>
      <c r="G2" s="47" t="s">
        <v>339</v>
      </c>
      <c r="H2" s="22" t="s">
        <v>275</v>
      </c>
      <c r="I2" s="1">
        <v>10000</v>
      </c>
      <c r="J2" s="1" t="s">
        <v>303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>
        <v>88363222</v>
      </c>
      <c r="P2" s="53">
        <v>0.18</v>
      </c>
      <c r="Q2" s="1">
        <f>M2</f>
        <v>10000</v>
      </c>
      <c r="R2" s="1">
        <f>IF(OR($AE$1=1,$AE$1=4),ROUND((Q2*P2)/2,2),0)</f>
        <v>0</v>
      </c>
      <c r="S2" s="1">
        <f>IF($AE$1=1,ROUND(((Q2*P2)/2),2),0)</f>
        <v>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343</v>
      </c>
      <c r="AA2" t="s" s="0">
        <v>310</v>
      </c>
      <c r="AB2" t="s" s="0">
        <v>310</v>
      </c>
      <c r="AC2" s="0">
        <f>ROUND(SUM((AA2*L2)+(AB2*L2)+(I2*L2)+R2+S2+T2+U2+W2),2)</f>
        <v>10000</v>
      </c>
      <c r="AD2" t="s" s="0">
        <v>337</v>
      </c>
      <c r="AE2" s="0">
        <v>34</v>
      </c>
      <c r="AF2" t="s" s="0">
        <v>180</v>
      </c>
      <c r="AG2" t="s" s="0">
        <v>346</v>
      </c>
    </row>
    <row r="3" spans="1:33">
      <c r="A3" s="1">
        <v>2</v>
      </c>
      <c r="B3" s="48" t="s">
        <v>340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v>1000</v>
      </c>
      <c r="J3" s="1" t="s">
        <v>276</v>
      </c>
      <c r="K3" s="1" t="s">
        <v>207</v>
      </c>
      <c r="L3" t="s" s="0">
        <v>319</v>
      </c>
      <c r="M3" s="38">
        <f>ROUND(SUM(AA3+AB3+I3),2)</f>
        <v>1000</v>
      </c>
      <c r="N3" s="38">
        <f>AC3</f>
        <v>1000</v>
      </c>
      <c r="O3" s="1">
        <v>88363222</v>
      </c>
      <c r="P3" s="53">
        <v>0.18</v>
      </c>
      <c r="Q3" s="1">
        <f>M3</f>
        <v>1000</v>
      </c>
      <c r="R3" s="1">
        <f>IF(OR($AE$1=1,$AE$1=4),ROUND((Q3*P3)/2,2),0)</f>
        <v>0</v>
      </c>
      <c r="S3" s="1">
        <f>IF($AE$1=1,ROUND(((Q3*P3)/2),2),0)</f>
        <v>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t="s" s="0">
        <v>310</v>
      </c>
      <c r="AB3" t="s" s="0">
        <v>310</v>
      </c>
      <c r="AC3" s="0">
        <f>ROUND(SUM((AA3*L3)+(AB3*L3)+(I3*L3)+R3+S3+T3+U3+W3),2)</f>
        <v>1000</v>
      </c>
      <c r="AD3" t="s" s="0">
        <v>337</v>
      </c>
      <c r="AE3" s="0">
        <v>34</v>
      </c>
      <c r="AF3" t="s" s="0">
        <v>345</v>
      </c>
      <c r="AG3" t="s" s="0">
        <v>346</v>
      </c>
    </row>
    <row r="4" spans="1:33">
      <c r="I4" s="0">
        <f>SUM(I2:I3)</f>
        <v>11000</v>
      </c>
      <c r="M4" s="0">
        <f>ROUND(M2-M3,2)</f>
        <v>9000</v>
      </c>
      <c r="N4" s="0">
        <f>ROUND(N2-N3,2)</f>
        <v>9000</v>
      </c>
      <c r="Q4" s="0">
        <f>SUM(Q2:Q3)</f>
        <v>11000</v>
      </c>
      <c r="R4" s="0">
        <f>SUM(R2:R3)</f>
        <v>0</v>
      </c>
      <c r="S4" s="0">
        <f>SUM(S2:S3)</f>
        <v>0</v>
      </c>
      <c r="T4" s="0">
        <f>SUM(T2:T3)</f>
        <v>0</v>
      </c>
      <c r="U4" s="0">
        <f>SUM(U2:U3)</f>
        <v>0</v>
      </c>
      <c r="AC4" s="0">
        <f>ROUND(AC2-AC3,2)</f>
        <v>9000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>
  <sheetPr codeName="Sheet107"/>
  <dimension ref="A1:AI4"/>
  <sheetViews>
    <sheetView topLeftCell="V1" workbookViewId="0">
      <selection activeCell="F14" sqref="F14"/>
    </sheetView>
  </sheetViews>
  <sheetFormatPr defaultRowHeight="15"/>
  <cols>
    <col min="1" max="1" bestFit="true" customWidth="true" width="4.85546875"/>
    <col min="2" max="2" bestFit="true" customWidth="true" width="26.42578125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2" max="22" bestFit="true" customWidth="true" width="17.425781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  <col min="32" max="32" bestFit="true" customWidth="true" width="19.42578125"/>
    <col min="33" max="33" bestFit="true" customWidth="true" width="17.7109375"/>
  </cols>
  <sheetData>
    <row r="1" spans="1:35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37" t="s">
        <v>270</v>
      </c>
      <c r="V1" s="37" t="s">
        <v>271</v>
      </c>
      <c r="W1" s="37" t="s">
        <v>272</v>
      </c>
      <c r="X1" s="37" t="s">
        <v>304</v>
      </c>
      <c r="Y1" s="37" t="s">
        <v>204</v>
      </c>
      <c r="Z1" s="37" t="s">
        <v>306</v>
      </c>
      <c r="AA1" s="37" t="s">
        <v>307</v>
      </c>
      <c r="AB1" s="37" t="s">
        <v>308</v>
      </c>
      <c r="AC1" s="37" t="s">
        <v>309</v>
      </c>
      <c r="AD1" s="37" t="s">
        <v>336</v>
      </c>
      <c r="AE1" s="1">
        <v>1</v>
      </c>
      <c r="AF1" s="37" t="s">
        <v>348</v>
      </c>
      <c r="AG1" s="37" t="s">
        <v>347</v>
      </c>
      <c r="AH1" s="56" t="s">
        <v>350</v>
      </c>
      <c r="AI1" s="56" t="s">
        <v>351</v>
      </c>
    </row>
    <row r="2" spans="1:35">
      <c r="A2" s="1">
        <v>1</v>
      </c>
      <c r="B2" s="48" t="s">
        <v>340</v>
      </c>
      <c r="C2" s="1"/>
      <c r="D2" s="1"/>
      <c r="E2" s="1"/>
      <c r="F2" s="1" t="s">
        <v>316</v>
      </c>
      <c r="G2" s="47" t="s">
        <v>339</v>
      </c>
      <c r="H2" s="22" t="s">
        <v>342</v>
      </c>
      <c r="I2" s="1">
        <v>1000</v>
      </c>
      <c r="J2" s="1" t="s">
        <v>276</v>
      </c>
      <c r="K2" s="1" t="s">
        <v>207</v>
      </c>
      <c r="L2" s="1">
        <v>1</v>
      </c>
      <c r="M2" s="38">
        <f>ROUND(SUM(AA2+AB2+I2),2)</f>
        <v>1000</v>
      </c>
      <c r="N2" s="38">
        <f>AC2</f>
        <v>1180</v>
      </c>
      <c r="O2" s="1">
        <v>88363222</v>
      </c>
      <c r="P2" s="53">
        <v>0.18</v>
      </c>
      <c r="Q2" s="1">
        <f>M2</f>
        <v>1000</v>
      </c>
      <c r="R2" s="1">
        <f>IF(OR($AE$1=1,$AE$1=4),ROUND((Q2*P2)/2,2),0)</f>
        <v>90</v>
      </c>
      <c r="S2" s="1">
        <f>IF($AE$1=1,ROUND(((Q2*P2)/2),2),0)</f>
        <v>90</v>
      </c>
      <c r="T2" s="1">
        <f>IF($AE$1=2,ROUND(((Q2*P2)),2),0)</f>
        <v>0</v>
      </c>
      <c r="U2" s="1">
        <f>IF($AE$1=4,ROUND(((Q2*P2)/2),2),0)</f>
        <v>0</v>
      </c>
      <c r="V2" s="1">
        <v>0</v>
      </c>
      <c r="W2" s="1">
        <v>0</v>
      </c>
      <c r="X2" s="1" t="s">
        <v>190</v>
      </c>
      <c r="Y2" s="1" t="s">
        <v>191</v>
      </c>
      <c r="Z2" s="1" t="s">
        <v>344</v>
      </c>
      <c r="AA2" s="1" t="s">
        <v>310</v>
      </c>
      <c r="AB2" s="1" t="s">
        <v>310</v>
      </c>
      <c r="AC2" s="1">
        <f>ROUND(SUM((AA2*L2)+(AB2*L2)+(I2*L2)+R2+S2+T2+U2+W2),2)</f>
        <v>1180</v>
      </c>
      <c r="AD2" s="1" t="s">
        <v>337</v>
      </c>
      <c r="AE2" s="1">
        <v>34</v>
      </c>
      <c r="AF2" s="1" t="s">
        <v>345</v>
      </c>
      <c r="AG2" s="1" t="s">
        <v>346</v>
      </c>
      <c r="AH2" s="53">
        <v>0.01</v>
      </c>
      <c r="AI2" s="1">
        <f>Q2*AH2</f>
        <v>10</v>
      </c>
    </row>
    <row r="3" spans="1:35">
      <c r="A3" s="1">
        <v>2</v>
      </c>
      <c r="B3" s="57" t="s">
        <v>349</v>
      </c>
      <c r="C3" s="1"/>
      <c r="D3" s="1"/>
      <c r="E3" s="1"/>
      <c r="F3" s="1" t="s">
        <v>316</v>
      </c>
      <c r="G3" s="47" t="s">
        <v>339</v>
      </c>
      <c r="H3" s="22" t="s">
        <v>342</v>
      </c>
      <c r="I3" s="1">
        <f>AI2</f>
        <v>10</v>
      </c>
      <c r="J3" s="14" t="s">
        <v>303</v>
      </c>
      <c r="K3" s="14" t="s">
        <v>207</v>
      </c>
      <c r="L3" s="1">
        <v>1</v>
      </c>
      <c r="M3" s="38">
        <f>M2*1%</f>
        <v>10</v>
      </c>
      <c r="N3" s="38">
        <f>M2*1%</f>
        <v>10</v>
      </c>
      <c r="O3" s="1"/>
      <c r="P3" s="53">
        <v>0</v>
      </c>
      <c r="Q3" s="1">
        <v>0</v>
      </c>
      <c r="R3" s="1">
        <f>IF(OR($AE$1=1,$AE$1=4),ROUND((Q3*P3)/2,2),0)</f>
        <v>0</v>
      </c>
      <c r="S3" s="1">
        <f>IF($AE$1=1,ROUND(((Q3*P3)/2),2),0)</f>
        <v>0</v>
      </c>
      <c r="T3" s="1">
        <f>IF($AE$1=2,ROUND(((Q3*P3)),2),0)</f>
        <v>0</v>
      </c>
      <c r="U3" s="1">
        <f>IF($AE$1=4,ROUND(((Q3*P3)/2),2),0)</f>
        <v>0</v>
      </c>
      <c r="V3" s="1">
        <v>0</v>
      </c>
      <c r="W3" s="1">
        <v>0</v>
      </c>
      <c r="X3" s="1" t="s">
        <v>190</v>
      </c>
      <c r="Y3" s="1" t="s">
        <v>191</v>
      </c>
      <c r="Z3" s="1" t="s">
        <v>344</v>
      </c>
      <c r="AA3" s="1" t="s">
        <v>310</v>
      </c>
      <c r="AB3" s="1" t="s">
        <v>310</v>
      </c>
      <c r="AC3" s="1">
        <f>ROUND(SUM((AA3*L3)+(AB3*L3)+(I3*L3)+R3+S3+T3+U3+W3),2)</f>
        <v>10</v>
      </c>
      <c r="AD3" s="1" t="s">
        <v>337</v>
      </c>
      <c r="AE3" s="1"/>
      <c r="AF3" s="1"/>
      <c r="AG3" s="1"/>
      <c r="AH3" s="1"/>
      <c r="AI3" s="1"/>
    </row>
    <row r="4" spans="1:35">
      <c r="I4" s="0">
        <f>SUM(I2:I2)</f>
        <v>1000</v>
      </c>
      <c r="M4" s="0">
        <f>SUM(M2)</f>
        <v>1000</v>
      </c>
      <c r="N4" s="0">
        <f>SUM(N2)</f>
        <v>1180</v>
      </c>
      <c r="Q4" s="0">
        <f>SUM(Q2:Q3)</f>
        <v>1000</v>
      </c>
      <c r="R4" s="0">
        <f>SUM(R2:R3)</f>
        <v>90</v>
      </c>
      <c r="S4" s="0">
        <f>SUM(S2:S3)</f>
        <v>90</v>
      </c>
      <c r="T4" s="0">
        <f>SUM(T2:T3)</f>
        <v>0</v>
      </c>
      <c r="U4" s="0">
        <f>SUM(U2:U3)</f>
        <v>0</v>
      </c>
      <c r="AC4" s="0">
        <f>AC2-AC3</f>
        <v>1170</v>
      </c>
      <c r="AD4" t="s" s="0">
        <v>337</v>
      </c>
    </row>
  </sheetData>
  <pageMargins left="0.7" right="0.7" top="0.75" bottom="0.75" header="0.3" footer="0.3"/>
  <pageSetup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>
  <sheetPr codeName="Sheet109"/>
  <dimension ref="A1:AD3"/>
  <sheetViews>
    <sheetView workbookViewId="0">
      <selection activeCell="V4" sqref="V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19.0"/>
    <col min="5" max="5" bestFit="true" customWidth="true" width="28.7109375"/>
    <col min="6" max="6" bestFit="true" customWidth="true" width="18.425781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21.5703125"/>
    <col min="11" max="11" customWidth="true" width="21.5703125"/>
    <col min="12" max="12" bestFit="true" customWidth="true" width="16.0"/>
    <col min="13" max="13" bestFit="true" customWidth="true" width="18.140625"/>
    <col min="14" max="14" bestFit="true" customWidth="true" width="16.7109375"/>
    <col min="15" max="15" bestFit="true" customWidth="true" width="17.0"/>
    <col min="16" max="16" bestFit="true" customWidth="true" width="16.5703125"/>
    <col min="17" max="17" bestFit="true" customWidth="true" width="17.0"/>
    <col min="20" max="20" bestFit="true" customWidth="true" width="17.42578125"/>
    <col min="21" max="21" bestFit="true" customWidth="true" width="14.140625"/>
    <col min="23" max="23" bestFit="true" customWidth="true" width="14.140625"/>
    <col min="26" max="26" bestFit="true" customWidth="true" width="15.0"/>
    <col min="29" max="29" bestFit="true" customWidth="true" width="20.0"/>
    <col min="30" max="30" bestFit="true" customWidth="true" width="12.0"/>
  </cols>
  <sheetData>
    <row r="1" spans="1:30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273</v>
      </c>
      <c r="N1" s="37" t="s">
        <v>263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40" t="s">
        <v>336</v>
      </c>
    </row>
    <row r="2" spans="1:30">
      <c r="A2" s="1">
        <v>1</v>
      </c>
      <c r="B2" s="47" t="s">
        <v>317</v>
      </c>
      <c r="C2" s="1" t="s">
        <v>280</v>
      </c>
      <c r="D2" s="1" t="s">
        <v>243</v>
      </c>
      <c r="E2" s="1" t="s">
        <v>281</v>
      </c>
      <c r="F2" s="1" t="s">
        <v>316</v>
      </c>
      <c r="G2" s="47" t="s">
        <v>339</v>
      </c>
      <c r="H2" s="22" t="s">
        <v>275</v>
      </c>
      <c r="I2" s="1">
        <v>10000</v>
      </c>
      <c r="J2" s="1" t="s">
        <v>276</v>
      </c>
      <c r="K2" s="1" t="s">
        <v>207</v>
      </c>
      <c r="L2" t="s" s="0">
        <v>319</v>
      </c>
      <c r="M2" s="38">
        <f>ROUND(SUM(AA2+AB2+I2),2)</f>
        <v>10000</v>
      </c>
      <c r="N2" s="38">
        <f>AC2</f>
        <v>10000</v>
      </c>
      <c r="O2" s="1"/>
      <c r="P2" s="1"/>
      <c r="Q2" s="1">
        <f>M2</f>
        <v>10000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10000</v>
      </c>
      <c r="AD2" t="s" s="0">
        <v>337</v>
      </c>
    </row>
    <row r="3" spans="1:30">
      <c r="M3" s="0">
        <f>SUM(M2)</f>
        <v>10000</v>
      </c>
      <c r="N3" s="0">
        <f>SUM(N2)</f>
        <v>10000</v>
      </c>
      <c r="Q3" s="0">
        <f>SUM(Q2)</f>
        <v>10000</v>
      </c>
      <c r="AA3" t="s" s="0">
        <v>310</v>
      </c>
      <c r="AB3" t="s" s="0">
        <v>310</v>
      </c>
      <c r="AC3" s="0">
        <f>SUM(AC2)</f>
        <v>10000</v>
      </c>
      <c r="AD3" s="1" t="s">
        <v>337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A2" sqref="A2:D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</row>
    <row r="2" spans="1:29">
      <c r="A2" s="1">
        <v>1</v>
      </c>
      <c r="B2" s="75" t="s">
        <v>397</v>
      </c>
      <c r="C2" s="1" t="s">
        <v>398</v>
      </c>
      <c r="D2" s="1" t="s">
        <v>399</v>
      </c>
      <c r="E2" s="1" t="s">
        <v>281</v>
      </c>
      <c r="F2" s="1" t="s">
        <v>316</v>
      </c>
      <c r="G2" s="74" t="s">
        <v>339</v>
      </c>
      <c r="H2" s="22" t="s">
        <v>275</v>
      </c>
      <c r="I2" s="1">
        <v>0</v>
      </c>
      <c r="J2" s="1" t="s">
        <v>276</v>
      </c>
      <c r="K2" s="1" t="s">
        <v>209</v>
      </c>
      <c r="L2" t="s" s="0">
        <v>369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AC3"/>
  <sheetViews>
    <sheetView workbookViewId="0">
      <selection activeCell="D18" sqref="D18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4.7109375"/>
    <col min="29" max="29" bestFit="true" customWidth="true" width="25.0"/>
  </cols>
  <sheetData>
    <row r="1" spans="1:29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</row>
    <row r="2" spans="1:29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74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M2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</row>
    <row r="3" spans="1:29">
      <c r="M3" s="0">
        <f>SUM(M2)</f>
        <v>0</v>
      </c>
      <c r="N3" s="0">
        <f>SUM(N2)</f>
        <v>0</v>
      </c>
      <c r="Q3" s="0">
        <f>SUM(Q2)</f>
        <v>0</v>
      </c>
      <c r="AA3" t="s" s="0">
        <v>310</v>
      </c>
      <c r="AB3" s="0">
        <v>0</v>
      </c>
      <c r="AC3" s="0">
        <f>SUM(AC2)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C8" sqref="C7:C8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AH4"/>
  <sheetViews>
    <sheetView workbookViewId="0">
      <selection activeCell="E2" sqref="E2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bestFit="true" customWidth="true" width="15.7109375"/>
    <col min="6" max="6" bestFit="true" customWidth="true" width="8.710937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16.140625"/>
    <col min="29" max="29" bestFit="true" customWidth="true" width="25.0"/>
    <col min="31" max="31" bestFit="true" customWidth="true" width="16.0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64" t="s">
        <v>377</v>
      </c>
      <c r="AB1" s="64" t="s">
        <v>378</v>
      </c>
      <c r="AC1" s="40" t="s">
        <v>329</v>
      </c>
      <c r="AD1" s="64" t="s">
        <v>385</v>
      </c>
      <c r="AE1" s="64" t="s">
        <v>389</v>
      </c>
      <c r="AF1" s="64" t="s">
        <v>390</v>
      </c>
      <c r="AG1" s="64" t="s">
        <v>391</v>
      </c>
      <c r="AH1" s="64" t="s">
        <v>392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281</v>
      </c>
      <c r="F2" s="1" t="s">
        <v>316</v>
      </c>
      <c r="G2" s="24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0</v>
      </c>
      <c r="N2" s="38">
        <f>AC2</f>
        <v>0</v>
      </c>
      <c r="O2" s="1"/>
      <c r="P2" s="1"/>
      <c r="Q2" s="1">
        <f>AC2</f>
        <v>0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0</v>
      </c>
      <c r="AD2" t="s" s="0">
        <v>379</v>
      </c>
      <c r="AE2" s="0">
        <v>1000000029</v>
      </c>
      <c r="AF2" s="0">
        <v>1</v>
      </c>
      <c r="AG2" s="0">
        <f>AC2</f>
        <v>0</v>
      </c>
      <c r="AH2" s="0">
        <f>ROUND(AC2*AF2%,2)</f>
        <v>0</v>
      </c>
    </row>
    <row r="3" spans="1:34">
      <c r="A3" s="24">
        <v>2</v>
      </c>
      <c r="B3" s="67" t="s">
        <v>349</v>
      </c>
      <c r="C3" s="24"/>
      <c r="D3" s="24" t="s">
        <v>379</v>
      </c>
      <c r="E3" s="24"/>
      <c r="F3" s="1" t="s">
        <v>316</v>
      </c>
      <c r="G3" s="24" t="s">
        <v>339</v>
      </c>
      <c r="H3" s="65"/>
      <c r="I3" s="24"/>
      <c r="J3" s="24" t="s">
        <v>303</v>
      </c>
      <c r="K3" s="68" t="s">
        <v>207</v>
      </c>
      <c r="L3" t="s" s="0">
        <v>319</v>
      </c>
      <c r="M3" s="38">
        <f>AC3</f>
        <v>0</v>
      </c>
      <c r="N3" s="38">
        <f>AC3</f>
        <v>0</v>
      </c>
      <c r="O3" s="1"/>
      <c r="P3" s="1"/>
      <c r="Q3" s="1">
        <v>0</v>
      </c>
      <c r="R3" s="1"/>
      <c r="S3" s="1"/>
      <c r="T3" s="1"/>
      <c r="U3" s="1"/>
      <c r="V3" s="1"/>
      <c r="W3" s="1"/>
      <c r="X3" s="1" t="s">
        <v>190</v>
      </c>
      <c r="Y3" s="1" t="s">
        <v>191</v>
      </c>
      <c r="Z3" s="1" t="s">
        <v>303</v>
      </c>
      <c r="AA3" t="s" s="0">
        <v>310</v>
      </c>
      <c r="AB3" t="s" s="0">
        <v>310</v>
      </c>
      <c r="AC3" s="0">
        <f>ROUND(AA2*AF2%,2)</f>
        <v>0</v>
      </c>
    </row>
    <row r="4" spans="1:34">
      <c r="M4" s="0">
        <f>ROUND(M2-M3,2)</f>
        <v>0</v>
      </c>
      <c r="N4" s="0">
        <f>ROUND(N2-N3,2)</f>
        <v>0</v>
      </c>
      <c r="Q4" s="0">
        <f>SUM(Q2)</f>
        <v>0</v>
      </c>
      <c r="AA4" t="s" s="0">
        <v>310</v>
      </c>
      <c r="AB4" s="0">
        <v>0</v>
      </c>
      <c r="AC4" s="0">
        <f>ROUND(AC2-AC3,2)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AE9"/>
  <sheetViews>
    <sheetView workbookViewId="0">
      <selection activeCell="C4" sqref="C4:D4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69" t="s">
        <v>191</v>
      </c>
      <c r="C3" s="1">
        <v>1000000029</v>
      </c>
      <c r="D3" s="1" t="s">
        <v>349</v>
      </c>
      <c r="E3" s="1"/>
      <c r="F3" s="1"/>
      <c r="G3" t="s" s="0">
        <v>310</v>
      </c>
      <c r="H3" s="0">
        <v>0</v>
      </c>
      <c r="I3" s="47">
        <v>0</v>
      </c>
      <c r="J3" s="59">
        <f>ROUND(I2*1%,2)</f>
        <v>0</v>
      </c>
      <c r="K3" s="24"/>
      <c r="L3" s="24"/>
      <c r="M3" s="24"/>
      <c r="O3" s="66"/>
      <c r="P3" s="66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</row>
    <row r="4" spans="1:31">
      <c r="A4" s="1">
        <v>3</v>
      </c>
      <c r="B4" s="58" t="s">
        <v>191</v>
      </c>
      <c r="C4" s="1">
        <v>1001002001</v>
      </c>
      <c r="D4" s="1" t="s">
        <v>356</v>
      </c>
      <c r="E4" s="1"/>
      <c r="F4" s="1"/>
      <c r="G4" t="s" s="0">
        <v>310</v>
      </c>
      <c r="H4" t="s" s="0">
        <v>310</v>
      </c>
      <c r="I4" s="59">
        <v>0</v>
      </c>
      <c r="J4" s="59">
        <f>ROUND(I2-J3,2)</f>
        <v>0</v>
      </c>
    </row>
    <row r="9" spans="1:31" ht="9" customHeight="1"/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AH6"/>
  <sheetViews>
    <sheetView workbookViewId="0">
      <selection activeCell="J6" sqref="J6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2.0"/>
    <col min="4" max="4" bestFit="true" customWidth="true" width="25.0"/>
    <col min="5" max="5" bestFit="true" customWidth="true" width="15.7109375"/>
    <col min="6" max="6" bestFit="true" customWidth="true" width="7.140625"/>
    <col min="7" max="7" bestFit="true" customWidth="true" width="14.5703125"/>
    <col min="8" max="8" customWidth="true" width="17.42578125"/>
    <col min="9" max="9" bestFit="true" customWidth="true" width="13.5703125"/>
    <col min="10" max="10" bestFit="true" customWidth="true" width="12.140625"/>
    <col min="11" max="11" bestFit="true" customWidth="true" width="7.0"/>
    <col min="12" max="12" bestFit="true" customWidth="true" width="8.140625"/>
    <col min="13" max="13" bestFit="true" customWidth="true" width="17.0"/>
    <col min="14" max="14" bestFit="true" customWidth="true" width="15.5703125"/>
    <col min="15" max="15" bestFit="true" customWidth="true" width="10.0"/>
    <col min="16" max="16" bestFit="true" customWidth="true" width="16.5703125"/>
    <col min="17" max="17" bestFit="true" customWidth="true" width="17.0"/>
    <col min="18" max="18" bestFit="true" customWidth="true" width="5.5703125"/>
    <col min="19" max="19" bestFit="true" customWidth="true" width="5.42578125"/>
    <col min="20" max="20" bestFit="true" customWidth="true" width="5.0"/>
    <col min="21" max="21" bestFit="true" customWidth="true" width="6.85546875"/>
    <col min="22" max="22" bestFit="true" customWidth="true" width="17.42578125"/>
    <col min="23" max="23" bestFit="true" customWidth="true" width="14.140625"/>
    <col min="24" max="24" bestFit="true" customWidth="true" width="8.42578125"/>
    <col min="25" max="25" bestFit="true" customWidth="true" width="5.28515625"/>
    <col min="26" max="26" bestFit="true" customWidth="true" width="15.0"/>
    <col min="27" max="28" bestFit="true" customWidth="true" width="8.85546875"/>
    <col min="29" max="29" bestFit="true" customWidth="true" width="20.0"/>
    <col min="31" max="31" customWidth="true" width="17.7109375"/>
    <col min="32" max="32" customWidth="true" width="14.85546875"/>
    <col min="33" max="33" bestFit="true" customWidth="true" width="23.140625"/>
    <col min="34" max="34" bestFit="true" customWidth="true" width="16.5703125"/>
  </cols>
  <sheetData>
    <row r="1" spans="1:34">
      <c r="A1" s="37" t="s">
        <v>253</v>
      </c>
      <c r="B1" s="37" t="s">
        <v>254</v>
      </c>
      <c r="C1" s="37" t="s">
        <v>287</v>
      </c>
      <c r="D1" s="37" t="s">
        <v>255</v>
      </c>
      <c r="E1" s="37" t="s">
        <v>279</v>
      </c>
      <c r="F1" s="37" t="s">
        <v>256</v>
      </c>
      <c r="G1" s="37" t="s">
        <v>257</v>
      </c>
      <c r="H1" s="37" t="s">
        <v>259</v>
      </c>
      <c r="I1" s="37" t="s">
        <v>258</v>
      </c>
      <c r="J1" s="37" t="s">
        <v>305</v>
      </c>
      <c r="K1" s="37" t="s">
        <v>261</v>
      </c>
      <c r="L1" s="37" t="s">
        <v>262</v>
      </c>
      <c r="M1" s="37" t="s">
        <v>313</v>
      </c>
      <c r="N1" s="37" t="s">
        <v>314</v>
      </c>
      <c r="O1" s="37" t="s">
        <v>264</v>
      </c>
      <c r="P1" s="37" t="s">
        <v>265</v>
      </c>
      <c r="Q1" s="37" t="s">
        <v>266</v>
      </c>
      <c r="R1" s="37" t="s">
        <v>267</v>
      </c>
      <c r="S1" s="37" t="s">
        <v>268</v>
      </c>
      <c r="T1" s="37" t="s">
        <v>269</v>
      </c>
      <c r="U1" s="46" t="s">
        <v>270</v>
      </c>
      <c r="V1" s="46" t="s">
        <v>271</v>
      </c>
      <c r="W1" s="46" t="s">
        <v>272</v>
      </c>
      <c r="X1" s="40" t="s">
        <v>304</v>
      </c>
      <c r="Y1" s="40" t="s">
        <v>204</v>
      </c>
      <c r="Z1" s="37" t="s">
        <v>306</v>
      </c>
      <c r="AA1" s="40" t="s">
        <v>307</v>
      </c>
      <c r="AB1" s="40" t="s">
        <v>308</v>
      </c>
      <c r="AC1" s="40" t="s">
        <v>309</v>
      </c>
      <c r="AD1" s="64" t="s">
        <v>385</v>
      </c>
      <c r="AE1" s="64" t="s">
        <v>389</v>
      </c>
      <c r="AF1" s="64" t="s">
        <v>390</v>
      </c>
      <c r="AG1" s="64" t="s">
        <v>391</v>
      </c>
      <c r="AH1" s="64" t="s">
        <v>392</v>
      </c>
    </row>
    <row r="2" spans="1:34">
      <c r="A2" s="1">
        <v>1</v>
      </c>
      <c r="B2" s="63" t="s">
        <v>374</v>
      </c>
      <c r="C2" s="1" t="s">
        <v>376</v>
      </c>
      <c r="D2" s="1" t="s">
        <v>375</v>
      </c>
      <c r="E2" s="1" t="s">
        <v>384</v>
      </c>
      <c r="F2" s="1" t="s">
        <v>316</v>
      </c>
      <c r="G2" s="47" t="s">
        <v>339</v>
      </c>
      <c r="H2" s="22" t="s">
        <v>275</v>
      </c>
      <c r="I2" s="1">
        <v>0</v>
      </c>
      <c r="J2" s="1" t="s">
        <v>276</v>
      </c>
      <c r="K2" s="1" t="s">
        <v>207</v>
      </c>
      <c r="L2" t="s" s="0">
        <v>319</v>
      </c>
      <c r="M2" s="38">
        <f>ROUND(SUM(AA2+AB2+I2),2)</f>
        <v>221.25</v>
      </c>
      <c r="N2" s="38">
        <f>AC2</f>
        <v>221.25</v>
      </c>
      <c r="O2" s="1"/>
      <c r="P2" s="1"/>
      <c r="Q2" s="1">
        <f>M2</f>
        <v>221.25</v>
      </c>
      <c r="R2" s="1"/>
      <c r="S2" s="1"/>
      <c r="T2" s="1"/>
      <c r="U2" s="1"/>
      <c r="V2" s="1"/>
      <c r="W2" s="1"/>
      <c r="X2" s="1" t="s">
        <v>190</v>
      </c>
      <c r="Y2" s="1" t="s">
        <v>191</v>
      </c>
      <c r="Z2" s="1" t="s">
        <v>303</v>
      </c>
      <c r="AA2" t="s" s="0">
        <v>310</v>
      </c>
      <c r="AB2" t="s" s="0">
        <v>310</v>
      </c>
      <c r="AC2" s="0">
        <f>ROUND(SUM((AA2*L2)+(AB2*L2)+(I2*L2)),2)</f>
        <v>221.25</v>
      </c>
      <c r="AD2" t="s" s="0">
        <v>379</v>
      </c>
      <c r="AE2" s="0">
        <v>1000000029</v>
      </c>
      <c r="AF2" s="0">
        <v>1</v>
      </c>
      <c r="AG2" s="0">
        <f>AC2</f>
        <v>221.25</v>
      </c>
      <c r="AH2" s="0">
        <f>ROUND(AC2*AF2%,2)</f>
        <v>2.21</v>
      </c>
    </row>
    <row r="3" spans="1:34">
      <c r="A3" s="41">
        <v>2</v>
      </c>
      <c r="B3" s="70" t="s">
        <v>381</v>
      </c>
      <c r="C3" s="41" t="s">
        <v>382</v>
      </c>
      <c r="D3" s="41" t="s">
        <v>383</v>
      </c>
      <c r="E3" s="41" t="s">
        <v>384</v>
      </c>
      <c r="F3" s="41" t="s">
        <v>316</v>
      </c>
      <c r="G3" s="71" t="s">
        <v>339</v>
      </c>
      <c r="H3" s="44" t="s">
        <v>275</v>
      </c>
      <c r="I3" s="41">
        <v>0</v>
      </c>
      <c r="J3" s="41" t="s">
        <v>276</v>
      </c>
      <c r="K3" s="41" t="s">
        <v>207</v>
      </c>
      <c r="L3" t="s" s="0">
        <v>319</v>
      </c>
      <c r="M3" s="45">
        <f>ROUND(SUM(AA3+AB3+I3),2)</f>
        <v>221.25</v>
      </c>
      <c r="N3" s="45">
        <f>AC3</f>
        <v>221.25</v>
      </c>
      <c r="O3" s="41"/>
      <c r="P3" s="41"/>
      <c r="Q3" s="41">
        <f>M3</f>
        <v>221.25</v>
      </c>
      <c r="R3" s="41"/>
      <c r="S3" s="41"/>
      <c r="T3" s="41"/>
      <c r="U3" s="41"/>
      <c r="V3" s="41"/>
      <c r="W3" s="41"/>
      <c r="X3" s="41" t="s">
        <v>190</v>
      </c>
      <c r="Y3" s="41" t="s">
        <v>191</v>
      </c>
      <c r="Z3" s="41" t="s">
        <v>303</v>
      </c>
      <c r="AA3" t="s" s="0">
        <v>310</v>
      </c>
      <c r="AB3" t="s" s="0">
        <v>310</v>
      </c>
      <c r="AC3" s="0">
        <f>ROUND(SUM((AA3*L3)+(AB3*L3)+(I3*L3)),2)</f>
        <v>221.25</v>
      </c>
      <c r="AD3" t="s" s="0">
        <v>386</v>
      </c>
      <c r="AE3" s="0">
        <v>1000000047</v>
      </c>
      <c r="AF3" s="0">
        <v>0.1</v>
      </c>
      <c r="AG3" s="0">
        <f>AC3</f>
        <v>221.25</v>
      </c>
      <c r="AH3" s="0">
        <f>ROUND(AC3*AF3%,2)</f>
        <v>0.22</v>
      </c>
    </row>
    <row r="4" spans="1:34">
      <c r="A4" s="1">
        <v>3</v>
      </c>
      <c r="B4" s="1" t="s">
        <v>349</v>
      </c>
      <c r="C4" s="1" t="s">
        <v>379</v>
      </c>
      <c r="D4" s="1" t="s">
        <v>349</v>
      </c>
      <c r="E4" s="1"/>
      <c r="F4" s="14" t="s">
        <v>316</v>
      </c>
      <c r="G4" s="47" t="s">
        <v>339</v>
      </c>
      <c r="H4" s="44" t="s">
        <v>275</v>
      </c>
      <c r="I4" s="1">
        <v>0</v>
      </c>
      <c r="J4" s="1" t="s">
        <v>303</v>
      </c>
      <c r="K4" s="14" t="s">
        <v>207</v>
      </c>
      <c r="L4" t="s" s="0">
        <v>319</v>
      </c>
      <c r="M4" s="38">
        <f>AH2</f>
        <v>2.21</v>
      </c>
      <c r="N4" s="38">
        <f>AH2</f>
        <v>2.21</v>
      </c>
      <c r="O4" s="1"/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/>
      <c r="Y4" s="1"/>
      <c r="Z4" s="1"/>
      <c r="AA4" t="s" s="0">
        <v>310</v>
      </c>
      <c r="AB4" t="s" s="0">
        <v>310</v>
      </c>
      <c r="AC4" s="1">
        <f>AH2</f>
        <v>2.21</v>
      </c>
      <c r="AD4" s="1"/>
      <c r="AE4" s="1"/>
      <c r="AF4" s="1">
        <v>0</v>
      </c>
      <c r="AG4" s="1">
        <v>0</v>
      </c>
      <c r="AH4" s="1">
        <v>0</v>
      </c>
    </row>
    <row r="5" spans="1:34" ht="30">
      <c r="A5" s="14">
        <v>4</v>
      </c>
      <c r="B5" s="72" t="s">
        <v>387</v>
      </c>
      <c r="C5" s="14" t="s">
        <v>386</v>
      </c>
      <c r="D5" s="73" t="s">
        <v>388</v>
      </c>
      <c r="E5" s="1"/>
      <c r="F5" s="14" t="s">
        <v>316</v>
      </c>
      <c r="G5" s="47" t="s">
        <v>339</v>
      </c>
      <c r="H5" s="44" t="s">
        <v>275</v>
      </c>
      <c r="I5" s="1">
        <v>0</v>
      </c>
      <c r="J5" s="14" t="s">
        <v>303</v>
      </c>
      <c r="K5" s="14" t="s">
        <v>207</v>
      </c>
      <c r="L5" t="s" s="0">
        <v>319</v>
      </c>
      <c r="M5" s="38">
        <f>AH3</f>
        <v>0.22</v>
      </c>
      <c r="N5" s="38">
        <f>AH3</f>
        <v>0.22</v>
      </c>
      <c r="O5" s="1"/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/>
      <c r="Y5" s="1"/>
      <c r="Z5" s="1"/>
      <c r="AA5" t="s" s="0">
        <v>310</v>
      </c>
      <c r="AB5" t="s" s="0">
        <v>310</v>
      </c>
      <c r="AC5" s="1">
        <f>AH3</f>
        <v>0.22</v>
      </c>
      <c r="AD5" s="1"/>
      <c r="AE5" s="1"/>
      <c r="AF5" s="1">
        <v>0</v>
      </c>
      <c r="AG5" s="1">
        <v>0</v>
      </c>
      <c r="AH5" s="1">
        <v>0</v>
      </c>
    </row>
    <row r="6" spans="1:34">
      <c r="I6" s="0">
        <f>SUM(I2:I3)</f>
        <v>0</v>
      </c>
      <c r="L6" t="s" s="0">
        <v>319</v>
      </c>
      <c r="M6" s="0">
        <f>ROUND((M2+M3)-(M4+M5),2)</f>
        <v>440.07</v>
      </c>
      <c r="N6" s="0">
        <f>ROUND((N2+N3)-(N4+N5),2)</f>
        <v>440.07</v>
      </c>
      <c r="Q6" s="0">
        <f>SUM(Q2:Q3)</f>
        <v>442.5</v>
      </c>
      <c r="AC6" s="0">
        <f>ROUND((AC2+AC3)-(AC4+AC5),2)</f>
        <v>440.07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AE11"/>
  <sheetViews>
    <sheetView workbookViewId="0">
      <selection activeCell="D15" sqref="D15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1</v>
      </c>
      <c r="B3" s="58" t="s">
        <v>191</v>
      </c>
      <c r="C3" s="1">
        <v>2000000100</v>
      </c>
      <c r="D3" s="1" t="s">
        <v>381</v>
      </c>
      <c r="E3" s="1"/>
      <c r="F3" s="1"/>
      <c r="G3" t="s" s="0">
        <v>310</v>
      </c>
      <c r="H3" t="s" s="0">
        <v>310</v>
      </c>
      <c r="I3" s="47">
        <f>ROUND(SUM(G3+H3),2)</f>
        <v>0</v>
      </c>
      <c r="J3" s="59">
        <v>0</v>
      </c>
      <c r="K3" s="1"/>
      <c r="L3" s="1"/>
      <c r="M3" s="1"/>
      <c r="O3" s="38"/>
      <c r="P3" s="38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1">
      <c r="A4" s="1">
        <v>2</v>
      </c>
      <c r="B4" s="69" t="s">
        <v>191</v>
      </c>
      <c r="C4" s="1">
        <v>1000000029</v>
      </c>
      <c r="D4" s="1" t="s">
        <v>349</v>
      </c>
      <c r="E4" s="1"/>
      <c r="F4" s="1"/>
      <c r="G4" t="s" s="0">
        <v>310</v>
      </c>
      <c r="H4" s="0">
        <v>0</v>
      </c>
      <c r="I4" s="47">
        <v>0</v>
      </c>
      <c r="J4" s="59">
        <f>ROUND(I2*1%,2)</f>
        <v>0</v>
      </c>
      <c r="K4" s="24"/>
      <c r="L4" s="24"/>
      <c r="M4" s="24"/>
      <c r="O4" s="66"/>
      <c r="P4" s="66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31">
      <c r="A5" s="1">
        <v>2</v>
      </c>
      <c r="B5" s="69" t="s">
        <v>191</v>
      </c>
      <c r="C5" s="1">
        <v>1000000047</v>
      </c>
      <c r="D5" s="1" t="s">
        <v>387</v>
      </c>
      <c r="E5" s="1"/>
      <c r="F5" s="1"/>
      <c r="G5" t="s" s="0">
        <v>310</v>
      </c>
      <c r="H5" s="0">
        <v>0</v>
      </c>
      <c r="I5" s="47">
        <v>0</v>
      </c>
      <c r="J5" s="59">
        <f>ROUND(I3*0.1%,2)</f>
        <v>0</v>
      </c>
      <c r="K5" s="24"/>
      <c r="L5" s="24"/>
      <c r="M5" s="24"/>
      <c r="O5" s="66"/>
      <c r="P5" s="66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</row>
    <row r="6" spans="1:31">
      <c r="A6" s="1">
        <v>3</v>
      </c>
      <c r="B6" s="58" t="s">
        <v>191</v>
      </c>
      <c r="C6" s="1">
        <v>1001002001</v>
      </c>
      <c r="D6" s="1" t="s">
        <v>356</v>
      </c>
      <c r="E6" s="1"/>
      <c r="F6" s="1"/>
      <c r="G6" t="s" s="0">
        <v>310</v>
      </c>
      <c r="H6" t="s" s="0">
        <v>310</v>
      </c>
      <c r="I6" s="59">
        <v>0</v>
      </c>
      <c r="J6" s="59">
        <f>ROUND((I2-J4)+(I3-J5),2)</f>
        <v>0</v>
      </c>
    </row>
    <row r="11" spans="1:31" ht="9" customHeight="1"/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AE3"/>
  <sheetViews>
    <sheetView workbookViewId="0">
      <selection activeCell="D3" sqref="D3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2000000099</v>
      </c>
      <c r="D2" s="1" t="s">
        <v>374</v>
      </c>
      <c r="E2" s="1"/>
      <c r="F2" s="1"/>
      <c r="G2" t="s" s="0">
        <v>310</v>
      </c>
      <c r="H2" t="s" s="0">
        <v>310</v>
      </c>
      <c r="I2" s="47">
        <f>ROUND(SUM(G2+H2),2)</f>
        <v>0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1001002003</v>
      </c>
      <c r="D3" s="1" t="s">
        <v>361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ROUND(SUM(G3+H3),2)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AE3"/>
  <sheetViews>
    <sheetView topLeftCell="D1" workbookViewId="0">
      <selection activeCell="K1" sqref="K1"/>
    </sheetView>
  </sheetViews>
  <sheetFormatPr defaultRowHeight="15"/>
  <cols>
    <col min="1" max="1" bestFit="true" customWidth="true" width="4.85546875"/>
    <col min="2" max="2" bestFit="true" customWidth="true" width="23.0"/>
    <col min="3" max="3" bestFit="true" customWidth="true" width="28.7109375"/>
    <col min="4" max="4" bestFit="true" customWidth="true" width="33.42578125"/>
    <col min="5" max="5" bestFit="true" customWidth="true" width="28.7109375"/>
    <col min="6" max="6" bestFit="true" customWidth="true" width="18.42578125"/>
    <col min="7" max="8" customWidth="true" width="18.42578125"/>
    <col min="9" max="9" bestFit="true" customWidth="true" width="14.5703125"/>
    <col min="10" max="10" customWidth="true" width="17.42578125"/>
    <col min="11" max="11" bestFit="true" customWidth="true" width="13.5703125"/>
    <col min="12" max="12" bestFit="true" customWidth="true" width="21.5703125"/>
    <col min="13" max="13" customWidth="true" width="21.5703125"/>
    <col min="14" max="14" bestFit="true" customWidth="true" width="16.0"/>
    <col min="15" max="15" bestFit="true" customWidth="true" width="18.140625"/>
    <col min="16" max="16" bestFit="true" customWidth="true" width="16.7109375"/>
    <col min="17" max="17" bestFit="true" customWidth="true" width="17.0"/>
    <col min="18" max="18" bestFit="true" customWidth="true" width="16.5703125"/>
    <col min="19" max="19" bestFit="true" customWidth="true" width="17.0"/>
    <col min="22" max="22" bestFit="true" customWidth="true" width="17.42578125"/>
    <col min="23" max="23" bestFit="true" customWidth="true" width="14.140625"/>
    <col min="25" max="25" bestFit="true" customWidth="true" width="14.140625"/>
    <col min="28" max="28" bestFit="true" customWidth="true" width="15.0"/>
    <col min="31" max="31" bestFit="true" customWidth="true" width="20.0"/>
  </cols>
  <sheetData>
    <row r="1" spans="1:31">
      <c r="A1" s="56" t="s">
        <v>253</v>
      </c>
      <c r="B1" s="56" t="s">
        <v>183</v>
      </c>
      <c r="C1" s="56" t="s">
        <v>352</v>
      </c>
      <c r="D1" s="56" t="s">
        <v>254</v>
      </c>
      <c r="E1" s="56" t="s">
        <v>353</v>
      </c>
      <c r="F1" s="56" t="s">
        <v>257</v>
      </c>
      <c r="G1" s="56" t="s">
        <v>357</v>
      </c>
      <c r="H1" s="56" t="s">
        <v>358</v>
      </c>
      <c r="I1" s="56" t="s">
        <v>354</v>
      </c>
      <c r="J1" s="56" t="s">
        <v>355</v>
      </c>
      <c r="K1" t="s" s="0">
        <v>369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46"/>
      <c r="X1" s="46"/>
      <c r="Y1" s="46"/>
      <c r="Z1" s="40"/>
      <c r="AA1" s="40"/>
      <c r="AB1" s="37"/>
      <c r="AC1" s="40"/>
      <c r="AD1" s="40"/>
      <c r="AE1" s="40"/>
    </row>
    <row r="2" spans="1:31">
      <c r="A2" s="1">
        <v>1</v>
      </c>
      <c r="B2" s="58" t="s">
        <v>191</v>
      </c>
      <c r="C2" s="1">
        <v>2000000118</v>
      </c>
      <c r="D2" s="1" t="s">
        <v>397</v>
      </c>
      <c r="E2" s="1"/>
      <c r="F2" s="1"/>
      <c r="G2" t="s" s="0">
        <v>310</v>
      </c>
      <c r="H2" t="s" s="0">
        <v>310</v>
      </c>
      <c r="I2" s="47">
        <f>ROUND(SUM(G2+H2)*K1,2)</f>
        <v>15937.5</v>
      </c>
      <c r="J2" s="59">
        <v>0</v>
      </c>
      <c r="K2" s="1"/>
      <c r="L2" s="1"/>
      <c r="M2" s="1"/>
      <c r="O2" s="38"/>
      <c r="P2" s="38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1">
      <c r="A3" s="1">
        <v>2</v>
      </c>
      <c r="B3" s="58" t="s">
        <v>191</v>
      </c>
      <c r="C3" s="1">
        <v>1001002001</v>
      </c>
      <c r="D3" s="1" t="s">
        <v>356</v>
      </c>
      <c r="E3" s="1"/>
      <c r="F3" s="1"/>
      <c r="G3" t="s" s="0">
        <v>310</v>
      </c>
      <c r="H3" t="s" s="0">
        <v>310</v>
      </c>
      <c r="I3" s="59">
        <v>0</v>
      </c>
      <c r="J3" s="59">
        <f>ROUND(SUM(G3+H3)*K1,2)</f>
        <v>15937.5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AI4"/>
  <sheetViews>
    <sheetView topLeftCell="R1" workbookViewId="0">
      <selection activeCell="X3" sqref="X3"/>
    </sheetView>
  </sheetViews>
  <sheetFormatPr defaultRowHeight="15"/>
  <cols>
    <col min="1" max="1" bestFit="true" customWidth="true" width="4.85546875"/>
    <col min="2" max="2" bestFit="true" customWidth="true" width="29.0"/>
    <col min="3" max="3" bestFit="true" customWidth="true" width="10.85546875"/>
    <col min="4" max="4" bestFit="true" customWidth="true" width="25.0"/>
    <col min="5" max="5" customWidth="true" width="25.0"/>
    <col min="6" max="6" bestFit="true" customWidth="true" width="20.5703125"/>
    <col min="7" max="7" bestFit="true" customWidth="true" width="7.140625"/>
    <col min="8" max="8" bestFit="true" customWidth="true" width="14.5703125"/>
    <col min="9" max="9" customWidth="true" width="17.42578125"/>
    <col min="10" max="10" bestFit="true" customWidth="true" width="13.5703125"/>
    <col min="11" max="11" bestFit="true" customWidth="true" width="12.140625"/>
    <col min="12" max="12" bestFit="true" customWidth="true" width="7.0"/>
    <col min="13" max="13" bestFit="true" customWidth="true" width="8.140625"/>
    <col min="14" max="14" bestFit="true" customWidth="true" width="17.0"/>
    <col min="15" max="15" bestFit="true" customWidth="true" width="15.5703125"/>
    <col min="16" max="16" bestFit="true" customWidth="true" width="10.0"/>
    <col min="17" max="17" bestFit="true" customWidth="true" width="16.5703125"/>
    <col min="18" max="18" bestFit="true" customWidth="true" width="17.0"/>
    <col min="19" max="19" bestFit="true" customWidth="true" width="5.5703125"/>
    <col min="20" max="20" bestFit="true" customWidth="true" width="5.42578125"/>
    <col min="21" max="21" bestFit="true" customWidth="true" width="5.0"/>
    <col min="22" max="22" bestFit="true" customWidth="true" width="6.85546875"/>
    <col min="23" max="23" bestFit="true" customWidth="true" width="17.42578125"/>
    <col min="24" max="24" bestFit="true" customWidth="true" width="14.140625"/>
    <col min="25" max="25" bestFit="true" customWidth="true" width="8.42578125"/>
    <col min="26" max="26" bestFit="true" customWidth="true" width="5.28515625"/>
    <col min="27" max="27" bestFit="true" customWidth="true" width="15.0"/>
    <col min="28" max="28" bestFit="true" customWidth="true" width="8.85546875"/>
    <col min="29" max="29" bestFit="true" customWidth="true" width="9.28515625"/>
    <col min="30" max="31" customWidth="true" width="9.28515625"/>
    <col min="32" max="33" bestFit="true" customWidth="true" width="11.85546875"/>
    <col min="34" max="34" bestFit="true" customWidth="true" width="24.140625"/>
    <col min="35" max="35" bestFit="true" customWidth="true" width="16.28515625"/>
  </cols>
  <sheetData>
    <row r="1" spans="1:35">
      <c r="A1" s="37" t="s">
        <v>253</v>
      </c>
      <c r="B1" s="37" t="s">
        <v>254</v>
      </c>
      <c r="C1" s="37" t="s">
        <v>287</v>
      </c>
      <c r="D1" s="37" t="s">
        <v>255</v>
      </c>
      <c r="E1" s="56" t="s">
        <v>415</v>
      </c>
      <c r="F1" s="56" t="s">
        <v>414</v>
      </c>
      <c r="G1" s="37" t="s">
        <v>256</v>
      </c>
      <c r="H1" s="37" t="s">
        <v>257</v>
      </c>
      <c r="I1" s="37" t="s">
        <v>259</v>
      </c>
      <c r="J1" s="37" t="s">
        <v>258</v>
      </c>
      <c r="K1" s="37" t="s">
        <v>305</v>
      </c>
      <c r="L1" s="37" t="s">
        <v>261</v>
      </c>
      <c r="M1" s="37" t="s">
        <v>262</v>
      </c>
      <c r="N1" s="37" t="s">
        <v>313</v>
      </c>
      <c r="O1" s="37" t="s">
        <v>314</v>
      </c>
      <c r="P1" s="37" t="s">
        <v>264</v>
      </c>
      <c r="Q1" s="37" t="s">
        <v>265</v>
      </c>
      <c r="R1" s="37" t="s">
        <v>266</v>
      </c>
      <c r="S1" s="37" t="s">
        <v>267</v>
      </c>
      <c r="T1" s="37" t="s">
        <v>268</v>
      </c>
      <c r="U1" s="37" t="s">
        <v>269</v>
      </c>
      <c r="V1" s="46" t="s">
        <v>270</v>
      </c>
      <c r="W1" s="46" t="s">
        <v>271</v>
      </c>
      <c r="X1" s="46" t="s">
        <v>272</v>
      </c>
      <c r="Y1" s="40" t="s">
        <v>304</v>
      </c>
      <c r="Z1" s="40" t="s">
        <v>204</v>
      </c>
      <c r="AA1" s="37" t="s">
        <v>306</v>
      </c>
      <c r="AB1" s="64" t="s">
        <v>406</v>
      </c>
      <c r="AC1" s="64" t="s">
        <v>407</v>
      </c>
      <c r="AD1" s="64" t="s">
        <v>408</v>
      </c>
      <c r="AE1" s="64" t="s">
        <v>409</v>
      </c>
      <c r="AF1" s="64" t="s">
        <v>412</v>
      </c>
      <c r="AG1" s="64" t="s">
        <v>413</v>
      </c>
      <c r="AH1" s="64" t="s">
        <v>410</v>
      </c>
      <c r="AI1" s="64" t="s">
        <v>411</v>
      </c>
    </row>
    <row r="2" spans="1:35">
      <c r="A2" s="1">
        <v>1</v>
      </c>
      <c r="B2" s="76" t="s">
        <v>404</v>
      </c>
      <c r="C2" s="1" t="s">
        <v>400</v>
      </c>
      <c r="D2" s="1" t="s">
        <v>402</v>
      </c>
      <c r="E2" s="1" t="s">
        <v>384</v>
      </c>
      <c r="F2" s="1" t="s">
        <v>281</v>
      </c>
      <c r="G2" s="1" t="s">
        <v>316</v>
      </c>
      <c r="H2" s="47" t="s">
        <v>339</v>
      </c>
      <c r="I2" s="22" t="s">
        <v>275</v>
      </c>
      <c r="J2" s="1">
        <v>1000</v>
      </c>
      <c r="K2" s="1" t="s">
        <v>276</v>
      </c>
      <c r="L2" t="s" s="0">
        <v>207</v>
      </c>
      <c r="M2" t="s" s="0">
        <v>319</v>
      </c>
      <c r="N2" s="38">
        <f>ROUND(SUM(AB2+AC2+J2),2)</f>
        <v>1442.5</v>
      </c>
      <c r="O2" s="38">
        <f>AH2</f>
        <v>1442.5</v>
      </c>
      <c r="P2" s="1"/>
      <c r="Q2" s="1"/>
      <c r="R2" s="1">
        <f>N2</f>
        <v>1442.5</v>
      </c>
      <c r="S2" s="1"/>
      <c r="T2" s="1"/>
      <c r="U2" s="1"/>
      <c r="V2" s="1"/>
      <c r="W2" s="1"/>
      <c r="X2" s="1"/>
      <c r="Y2" s="1" t="s">
        <v>190</v>
      </c>
      <c r="Z2" s="1" t="s">
        <v>191</v>
      </c>
      <c r="AA2" s="1" t="s">
        <v>303</v>
      </c>
      <c r="AB2" t="s" s="0">
        <v>380</v>
      </c>
      <c r="AC2" t="s" s="0">
        <v>380</v>
      </c>
      <c r="AD2" t="s" s="0">
        <v>416</v>
      </c>
      <c r="AE2" t="s" s="0">
        <v>416</v>
      </c>
      <c r="AF2" s="0">
        <f>ROUND(AD2-AB2,2)</f>
        <v>663.75</v>
      </c>
      <c r="AG2" s="0">
        <f>ROUND(AE2-AC2,2)</f>
        <v>663.75</v>
      </c>
      <c r="AH2" s="0">
        <f>ROUND(SUM((AB2*M2)+(AC2*M2)+(J2*M2)),2)</f>
        <v>1442.5</v>
      </c>
      <c r="AI2" s="0">
        <f>ROUND((AE2+AD2+J2)-(AB2+AC2),2)</f>
        <v>2327.5</v>
      </c>
    </row>
    <row r="3" spans="1:35">
      <c r="A3" s="1">
        <v>2</v>
      </c>
      <c r="B3" s="76" t="s">
        <v>405</v>
      </c>
      <c r="C3" s="1" t="s">
        <v>401</v>
      </c>
      <c r="D3" s="1" t="s">
        <v>403</v>
      </c>
      <c r="E3" s="1" t="s">
        <v>384</v>
      </c>
      <c r="F3" s="1" t="s">
        <v>281</v>
      </c>
      <c r="G3" s="1" t="s">
        <v>316</v>
      </c>
      <c r="H3" s="47" t="s">
        <v>339</v>
      </c>
      <c r="I3" s="22" t="s">
        <v>326</v>
      </c>
      <c r="J3" s="1">
        <v>1000</v>
      </c>
      <c r="K3" s="1" t="s">
        <v>276</v>
      </c>
      <c r="L3" t="s" s="0">
        <v>207</v>
      </c>
      <c r="M3" t="s" s="0">
        <v>319</v>
      </c>
      <c r="N3" s="38">
        <f>ROUND(SUM(AB3+AC3+J3),2)</f>
        <v>1442.5</v>
      </c>
      <c r="O3" s="38">
        <f>AH3</f>
        <v>1442.5</v>
      </c>
      <c r="P3" s="1"/>
      <c r="Q3" s="1"/>
      <c r="R3" s="1">
        <f>N3</f>
        <v>1442.5</v>
      </c>
      <c r="S3" s="1"/>
      <c r="T3" s="1"/>
      <c r="U3" s="1"/>
      <c r="V3" s="1"/>
      <c r="W3" s="1"/>
      <c r="X3" s="1"/>
      <c r="Y3" s="1" t="s">
        <v>190</v>
      </c>
      <c r="Z3" s="1" t="s">
        <v>191</v>
      </c>
      <c r="AA3" s="1" t="s">
        <v>303</v>
      </c>
      <c r="AB3" t="s" s="0">
        <v>380</v>
      </c>
      <c r="AC3" t="s" s="0">
        <v>380</v>
      </c>
      <c r="AD3" t="s" s="0">
        <v>416</v>
      </c>
      <c r="AE3" t="s" s="0">
        <v>416</v>
      </c>
      <c r="AF3" s="0">
        <f>ROUND(AD3-AB3,2)</f>
        <v>663.75</v>
      </c>
      <c r="AG3" s="0">
        <f>ROUND(AE3-AC3,2)</f>
        <v>663.75</v>
      </c>
      <c r="AH3" s="0">
        <f>ROUND(SUM((AB3*M3)+(AC3*M3)+(J3*M3)),2)</f>
        <v>1442.5</v>
      </c>
      <c r="AI3" s="0">
        <f>ROUND((AE3+AD3+J3)-(AB3+AC3),2)</f>
        <v>2327.5</v>
      </c>
    </row>
    <row r="4" spans="1:35">
      <c r="J4" s="0">
        <f>SUM(J2:J3)</f>
        <v>2000</v>
      </c>
      <c r="N4" s="0">
        <f>SUM(N2:N3)</f>
        <v>2885</v>
      </c>
      <c r="O4" s="0">
        <f>SUM(O2:O3)</f>
        <v>2885</v>
      </c>
      <c r="R4" s="0">
        <f>SUM(R2:R3)</f>
        <v>2885</v>
      </c>
      <c r="AB4" s="0">
        <f t="shared" ref="AB4:AH4" si="0">SUM(AB2:AB3)</f>
        <v>0</v>
      </c>
      <c r="AC4" s="0">
        <f t="shared" si="0"/>
        <v>0</v>
      </c>
      <c r="AD4" s="0">
        <f t="shared" si="0"/>
        <v>0</v>
      </c>
      <c r="AE4" s="0">
        <f t="shared" si="0"/>
        <v>0</v>
      </c>
      <c r="AF4" s="0">
        <f t="shared" si="0"/>
        <v>0</v>
      </c>
      <c r="AG4" s="0">
        <f t="shared" si="0"/>
        <v>0</v>
      </c>
      <c r="AH4" s="0">
        <f t="shared" si="0"/>
        <v>2885</v>
      </c>
      <c r="AI4" s="0">
        <f>SUM(AI2:AI3)</f>
        <v>4655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AI4"/>
  <sheetViews>
    <sheetView workbookViewId="0">
      <selection activeCell="D2" sqref="D2"/>
    </sheetView>
  </sheetViews>
  <sheetFormatPr defaultRowHeight="15"/>
  <cols>
    <col min="1" max="1" bestFit="true" customWidth="true" width="4.85546875"/>
    <col min="2" max="2" bestFit="true" customWidth="true" width="37.140625"/>
    <col min="3" max="3" bestFit="true" customWidth="true" width="12.28515625"/>
    <col min="4" max="4" bestFit="true" customWidth="true" width="33.140625"/>
    <col min="5" max="5" customWidth="true" width="25.0"/>
    <col min="6" max="6" bestFit="true" customWidth="true" width="20.5703125"/>
    <col min="7" max="7" bestFit="true" customWidth="true" width="7.140625"/>
    <col min="8" max="8" bestFit="true" customWidth="true" width="14.5703125"/>
    <col min="9" max="9" customWidth="true" width="17.42578125"/>
    <col min="10" max="10" bestFit="true" customWidth="true" width="13.5703125"/>
    <col min="11" max="11" bestFit="true" customWidth="true" width="12.140625"/>
    <col min="12" max="12" bestFit="true" customWidth="true" width="7.0"/>
    <col min="13" max="13" bestFit="true" customWidth="true" width="8.140625"/>
    <col min="14" max="14" bestFit="true" customWidth="true" width="17.0"/>
    <col min="15" max="15" bestFit="true" customWidth="true" width="15.5703125"/>
    <col min="16" max="16" bestFit="true" customWidth="true" width="10.0"/>
    <col min="17" max="17" bestFit="true" customWidth="true" width="16.5703125"/>
    <col min="18" max="18" bestFit="true" customWidth="true" width="17.0"/>
    <col min="19" max="19" bestFit="true" customWidth="true" width="5.5703125"/>
    <col min="20" max="20" bestFit="true" customWidth="true" width="5.42578125"/>
    <col min="21" max="21" bestFit="true" customWidth="true" width="5.0"/>
    <col min="22" max="22" bestFit="true" customWidth="true" width="6.85546875"/>
    <col min="23" max="23" bestFit="true" customWidth="true" width="17.42578125"/>
    <col min="24" max="24" bestFit="true" customWidth="true" width="14.140625"/>
    <col min="25" max="25" bestFit="true" customWidth="true" width="8.42578125"/>
    <col min="26" max="26" bestFit="true" customWidth="true" width="5.28515625"/>
    <col min="27" max="27" bestFit="true" customWidth="true" width="15.0"/>
    <col min="28" max="28" bestFit="true" customWidth="true" width="8.85546875"/>
    <col min="29" max="29" bestFit="true" customWidth="true" width="9.28515625"/>
    <col min="30" max="31" customWidth="true" width="9.28515625"/>
    <col min="32" max="33" bestFit="true" customWidth="true" width="11.85546875"/>
    <col min="34" max="34" bestFit="true" customWidth="true" width="24.140625"/>
    <col min="35" max="35" bestFit="true" customWidth="true" width="16.28515625"/>
  </cols>
  <sheetData>
    <row r="1" spans="1:35">
      <c r="A1" s="37" t="s">
        <v>253</v>
      </c>
      <c r="B1" s="37" t="s">
        <v>254</v>
      </c>
      <c r="C1" s="37" t="s">
        <v>287</v>
      </c>
      <c r="D1" s="37" t="s">
        <v>255</v>
      </c>
      <c r="E1" s="56" t="s">
        <v>415</v>
      </c>
      <c r="F1" s="56" t="s">
        <v>414</v>
      </c>
      <c r="G1" s="37" t="s">
        <v>256</v>
      </c>
      <c r="H1" s="37" t="s">
        <v>257</v>
      </c>
      <c r="I1" s="37" t="s">
        <v>259</v>
      </c>
      <c r="J1" s="37" t="s">
        <v>258</v>
      </c>
      <c r="K1" s="37" t="s">
        <v>305</v>
      </c>
      <c r="L1" s="37" t="s">
        <v>261</v>
      </c>
      <c r="M1" s="37" t="s">
        <v>262</v>
      </c>
      <c r="N1" s="37" t="s">
        <v>313</v>
      </c>
      <c r="O1" s="37" t="s">
        <v>314</v>
      </c>
      <c r="P1" s="37" t="s">
        <v>264</v>
      </c>
      <c r="Q1" s="37" t="s">
        <v>265</v>
      </c>
      <c r="R1" s="37" t="s">
        <v>266</v>
      </c>
      <c r="S1" s="37" t="s">
        <v>267</v>
      </c>
      <c r="T1" s="37" t="s">
        <v>268</v>
      </c>
      <c r="U1" s="37" t="s">
        <v>269</v>
      </c>
      <c r="V1" s="46" t="s">
        <v>270</v>
      </c>
      <c r="W1" s="46" t="s">
        <v>271</v>
      </c>
      <c r="X1" s="46" t="s">
        <v>272</v>
      </c>
      <c r="Y1" s="40" t="s">
        <v>304</v>
      </c>
      <c r="Z1" s="40" t="s">
        <v>204</v>
      </c>
      <c r="AA1" s="37" t="s">
        <v>306</v>
      </c>
      <c r="AB1" s="64" t="s">
        <v>406</v>
      </c>
      <c r="AC1" s="64" t="s">
        <v>407</v>
      </c>
      <c r="AD1" s="64" t="s">
        <v>408</v>
      </c>
      <c r="AE1" s="64" t="s">
        <v>409</v>
      </c>
      <c r="AF1" s="64" t="s">
        <v>412</v>
      </c>
      <c r="AG1" s="64" t="s">
        <v>413</v>
      </c>
      <c r="AH1" s="64" t="s">
        <v>410</v>
      </c>
      <c r="AI1" s="64" t="s">
        <v>411</v>
      </c>
    </row>
    <row r="2" spans="1:35">
      <c r="A2" s="1">
        <v>1</v>
      </c>
      <c r="B2" s="75" t="s">
        <v>397</v>
      </c>
      <c r="C2" s="1" t="s">
        <v>398</v>
      </c>
      <c r="D2" s="1" t="s">
        <v>399</v>
      </c>
      <c r="E2" s="1" t="s">
        <v>419</v>
      </c>
      <c r="F2" s="1" t="s">
        <v>281</v>
      </c>
      <c r="G2" s="1" t="s">
        <v>316</v>
      </c>
      <c r="H2" s="47" t="s">
        <v>339</v>
      </c>
      <c r="I2" s="22" t="s">
        <v>275</v>
      </c>
      <c r="J2" s="1">
        <v>100</v>
      </c>
      <c r="K2" s="1" t="s">
        <v>276</v>
      </c>
      <c r="L2" t="s" s="0">
        <v>209</v>
      </c>
      <c r="M2" t="s" s="0">
        <v>369</v>
      </c>
      <c r="N2" s="38">
        <f>ROUND(SUM(AB2+AC2+J2),2)</f>
        <v>475</v>
      </c>
      <c r="O2" s="38">
        <f>AH2</f>
        <v>40375</v>
      </c>
      <c r="P2" s="1"/>
      <c r="Q2" s="1"/>
      <c r="R2" s="1">
        <f>N2</f>
        <v>475</v>
      </c>
      <c r="S2" s="1"/>
      <c r="T2" s="1"/>
      <c r="U2" s="1"/>
      <c r="V2" s="1"/>
      <c r="W2" s="1"/>
      <c r="X2" s="1"/>
      <c r="Y2" s="1" t="s">
        <v>190</v>
      </c>
      <c r="Z2" s="1" t="s">
        <v>191</v>
      </c>
      <c r="AA2" s="1" t="s">
        <v>303</v>
      </c>
      <c r="AB2" t="s" s="0">
        <v>421</v>
      </c>
      <c r="AC2" t="s" s="0">
        <v>421</v>
      </c>
      <c r="AD2" t="s" s="0">
        <v>422</v>
      </c>
      <c r="AE2" t="s" s="0">
        <v>422</v>
      </c>
      <c r="AF2" s="0">
        <f>ROUND(AD2-AB2,2)</f>
        <v>562.5</v>
      </c>
      <c r="AG2" s="0">
        <f>ROUND(AE2-AC2,2)</f>
        <v>562.5</v>
      </c>
      <c r="AH2" s="0">
        <f>ROUND(SUM((AB2*M2)+(AC2*M2)+(J2*M2)),2)</f>
        <v>40375</v>
      </c>
      <c r="AI2" s="0">
        <f>ROUND((AE2+AD2+J2)-(AB2+AC2),2)</f>
        <v>1225</v>
      </c>
    </row>
    <row r="3" spans="1:35">
      <c r="A3" s="1">
        <v>2</v>
      </c>
      <c r="B3" s="77" t="s">
        <v>420</v>
      </c>
      <c r="C3" s="1" t="s">
        <v>417</v>
      </c>
      <c r="D3" s="1" t="s">
        <v>418</v>
      </c>
      <c r="E3" s="1" t="s">
        <v>419</v>
      </c>
      <c r="F3" s="1" t="s">
        <v>281</v>
      </c>
      <c r="G3" s="1" t="s">
        <v>316</v>
      </c>
      <c r="H3" s="47" t="s">
        <v>339</v>
      </c>
      <c r="I3" s="22" t="s">
        <v>326</v>
      </c>
      <c r="J3" s="1">
        <v>100</v>
      </c>
      <c r="K3" s="1" t="s">
        <v>276</v>
      </c>
      <c r="L3" t="s" s="0">
        <v>209</v>
      </c>
      <c r="M3" t="s" s="0">
        <v>369</v>
      </c>
      <c r="N3" s="38">
        <f>ROUND(SUM(AB3+AC3+J3),2)</f>
        <v>475</v>
      </c>
      <c r="O3" s="38">
        <f>AH3</f>
        <v>40375</v>
      </c>
      <c r="P3" s="1"/>
      <c r="Q3" s="1"/>
      <c r="R3" s="1">
        <f>N3</f>
        <v>475</v>
      </c>
      <c r="S3" s="1"/>
      <c r="T3" s="1"/>
      <c r="U3" s="1"/>
      <c r="V3" s="1"/>
      <c r="W3" s="1"/>
      <c r="X3" s="1"/>
      <c r="Y3" s="1" t="s">
        <v>190</v>
      </c>
      <c r="Z3" s="1" t="s">
        <v>191</v>
      </c>
      <c r="AA3" s="1" t="s">
        <v>303</v>
      </c>
      <c r="AB3" t="s" s="0">
        <v>421</v>
      </c>
      <c r="AC3" t="s" s="0">
        <v>421</v>
      </c>
      <c r="AD3" t="s" s="0">
        <v>422</v>
      </c>
      <c r="AE3" t="s" s="0">
        <v>422</v>
      </c>
      <c r="AF3" s="0">
        <f>ROUND(AD3-AB3,2)</f>
        <v>562.5</v>
      </c>
      <c r="AG3" s="0">
        <f>ROUND(AE3-AC3,2)</f>
        <v>562.5</v>
      </c>
      <c r="AH3" s="0">
        <f>ROUND(SUM((AB3*M3)+(AC3*M3)+(J3*M3)),2)</f>
        <v>40375</v>
      </c>
      <c r="AI3" s="0">
        <f>ROUND((AE3+AD3+J3)-(AB3+AC3),2)</f>
        <v>1225</v>
      </c>
    </row>
    <row r="4" spans="1:35">
      <c r="J4" s="0">
        <f>SUM(J2:J3)</f>
        <v>200</v>
      </c>
      <c r="N4" s="0">
        <f>SUM(N2:N3)</f>
        <v>950</v>
      </c>
      <c r="O4" s="0">
        <f>SUM(O2:O3)</f>
        <v>80750</v>
      </c>
      <c r="R4" s="0">
        <f>SUM(R2:R3)</f>
        <v>1017.5</v>
      </c>
      <c r="AB4" s="0">
        <f t="shared" ref="AB4:AH4" si="0">SUM(AB2:AB3)</f>
        <v>0</v>
      </c>
      <c r="AC4" s="0">
        <f t="shared" si="0"/>
        <v>0</v>
      </c>
      <c r="AD4" s="0">
        <f t="shared" si="0"/>
        <v>0</v>
      </c>
      <c r="AE4" s="0">
        <f t="shared" si="0"/>
        <v>0</v>
      </c>
      <c r="AF4" s="0">
        <f t="shared" si="0"/>
        <v>1125</v>
      </c>
      <c r="AG4" s="0">
        <f t="shared" si="0"/>
        <v>1125</v>
      </c>
      <c r="AH4" s="0">
        <f t="shared" si="0"/>
        <v>80750</v>
      </c>
      <c r="AI4" s="0">
        <f>SUM(AI2:AI3)</f>
        <v>2450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155</vt:i4>
      </vt:variant>
    </vt:vector>
  </HeadingPairs>
  <TitlesOfParts>
    <vt:vector size="155" baseType="lpstr">
      <vt:lpstr>PR Details</vt:lpstr>
      <vt:lpstr>PO Details</vt:lpstr>
      <vt:lpstr>POA Details</vt:lpstr>
      <vt:lpstr>PO _ITEM_MATERIAL</vt:lpstr>
      <vt:lpstr>PO _ITEM_GEN</vt:lpstr>
      <vt:lpstr>StockTransferItem</vt:lpstr>
      <vt:lpstr>POwithRateContractItem</vt:lpstr>
      <vt:lpstr>POwithRateContractItem_Mat</vt:lpstr>
      <vt:lpstr>SO Details</vt:lpstr>
      <vt:lpstr>Customer SO Details</vt:lpstr>
      <vt:lpstr>Open Sales</vt:lpstr>
      <vt:lpstr>SI Details</vt:lpstr>
      <vt:lpstr>MRTOMRV Data</vt:lpstr>
      <vt:lpstr>MRCustomer</vt:lpstr>
      <vt:lpstr>MRTOMRVWip Data</vt:lpstr>
      <vt:lpstr>RateContract_SER</vt:lpstr>
      <vt:lpstr>PricelistItem</vt:lpstr>
      <vt:lpstr>ST_ITEM_RATECONTRACT</vt:lpstr>
      <vt:lpstr>ServiceItemPriceList</vt:lpstr>
      <vt:lpstr>ST_Item_PriceList</vt:lpstr>
      <vt:lpstr>BankPaymentMultiPartyMultiBills</vt:lpstr>
      <vt:lpstr>BankPaymentMPMB</vt:lpstr>
      <vt:lpstr>BankPaymentMultiParty</vt:lpstr>
      <vt:lpstr>BankPaymentMultiNewRef</vt:lpstr>
      <vt:lpstr>BPSPMB</vt:lpstr>
      <vt:lpstr>BankPayment</vt:lpstr>
      <vt:lpstr>BankPaymentUSDMulti</vt:lpstr>
      <vt:lpstr>BankPaymentUSDMPSB</vt:lpstr>
      <vt:lpstr>BankPaymentUSDMPMB</vt:lpstr>
      <vt:lpstr>BankPaymentUSDMPMBNR</vt:lpstr>
      <vt:lpstr>BPJournalMultiUSD</vt:lpstr>
      <vt:lpstr>BPJournalMPMIUSD</vt:lpstr>
      <vt:lpstr>BPJournalNRUSD</vt:lpstr>
      <vt:lpstr>BankPaymentChargesUSD</vt:lpstr>
      <vt:lpstr>BPJournalBankUSD</vt:lpstr>
      <vt:lpstr>BankPaymentAdv</vt:lpstr>
      <vt:lpstr>BPJournalINRAdvNR</vt:lpstr>
      <vt:lpstr>BankPaymentINR</vt:lpstr>
      <vt:lpstr>BankPaymentINRMulti</vt:lpstr>
      <vt:lpstr>BankPaymentINRMPMBNR</vt:lpstr>
      <vt:lpstr>BankPaymentINRMPMBMU</vt:lpstr>
      <vt:lpstr>BankPaymentINRMultiUnits</vt:lpstr>
      <vt:lpstr>BankPaymentINRMPMB</vt:lpstr>
      <vt:lpstr>BankPaymentINRMPSB</vt:lpstr>
      <vt:lpstr>BankPaymentUSD</vt:lpstr>
      <vt:lpstr>MultiGRN</vt:lpstr>
      <vt:lpstr>BankReceipt (2)</vt:lpstr>
      <vt:lpstr>BankReceiptAdv</vt:lpstr>
      <vt:lpstr>BankReceiptMultiNewRef</vt:lpstr>
      <vt:lpstr>JournalUSD</vt:lpstr>
      <vt:lpstr>JournalMultiUSD</vt:lpstr>
      <vt:lpstr>JournalMPMIUSD</vt:lpstr>
      <vt:lpstr>JournalNRUSD</vt:lpstr>
      <vt:lpstr>BankReceiptMultiNewRefUSD</vt:lpstr>
      <vt:lpstr>JournalINR</vt:lpstr>
      <vt:lpstr>JournalMultiINR</vt:lpstr>
      <vt:lpstr>JournalMPMIINR</vt:lpstr>
      <vt:lpstr>JournalNRINR</vt:lpstr>
      <vt:lpstr>BPJournalPDC</vt:lpstr>
      <vt:lpstr>JournalPDC</vt:lpstr>
      <vt:lpstr>BPJournalREVGSTTDS</vt:lpstr>
      <vt:lpstr>BPJournalREVGST</vt:lpstr>
      <vt:lpstr>JournalREVGST</vt:lpstr>
      <vt:lpstr>BankReceiptRevExpGST</vt:lpstr>
      <vt:lpstr>JournalREVUSD</vt:lpstr>
      <vt:lpstr>CRJournalREVGST</vt:lpstr>
      <vt:lpstr>CRJournalREV</vt:lpstr>
      <vt:lpstr>CPJournalREV</vt:lpstr>
      <vt:lpstr>CPJournalREVGST</vt:lpstr>
      <vt:lpstr>CPJournalREVGSTTDS</vt:lpstr>
      <vt:lpstr>BPJournalREV</vt:lpstr>
      <vt:lpstr>JournalREV</vt:lpstr>
      <vt:lpstr>JournalBankUSD</vt:lpstr>
      <vt:lpstr>BPJournalBankINR</vt:lpstr>
      <vt:lpstr>BPJournalBank</vt:lpstr>
      <vt:lpstr>JournalBank</vt:lpstr>
      <vt:lpstr>TDS CPJournalADV</vt:lpstr>
      <vt:lpstr>CPJournalADV</vt:lpstr>
      <vt:lpstr>TDS CPAdvance</vt:lpstr>
      <vt:lpstr>TDS CPAdvanceWithNewRef</vt:lpstr>
      <vt:lpstr>TDS CPJournalADVWithNewRef</vt:lpstr>
      <vt:lpstr>TDS CPAdvanceMultiNewRef</vt:lpstr>
      <vt:lpstr>TDS CPJournalADVMultiNewref</vt:lpstr>
      <vt:lpstr>TDS CPAdvanceMulti</vt:lpstr>
      <vt:lpstr>TDS CPJournalADVMulti</vt:lpstr>
      <vt:lpstr>CPAdvanceMulti</vt:lpstr>
      <vt:lpstr>CPAdvanceWithNewRef</vt:lpstr>
      <vt:lpstr>CPJournalADVWithNewRef</vt:lpstr>
      <vt:lpstr>CPAdvance</vt:lpstr>
      <vt:lpstr>BPJournalADVWithNewRef</vt:lpstr>
      <vt:lpstr>TDS BPJournalADVMultiNewref</vt:lpstr>
      <vt:lpstr>TDS BPJournalADVWithNewRef</vt:lpstr>
      <vt:lpstr>CPJournal</vt:lpstr>
      <vt:lpstr>CRJournal</vt:lpstr>
      <vt:lpstr>BPJournal</vt:lpstr>
      <vt:lpstr>BPJournalINR</vt:lpstr>
      <vt:lpstr>BPJournalUSD</vt:lpstr>
      <vt:lpstr>BPJournalREVUSD</vt:lpstr>
      <vt:lpstr>BRAdvJournalNR</vt:lpstr>
      <vt:lpstr>Journal</vt:lpstr>
      <vt:lpstr>CRJournalMulti</vt:lpstr>
      <vt:lpstr>CRJournalMultiRef</vt:lpstr>
      <vt:lpstr>CRJournalNewRef</vt:lpstr>
      <vt:lpstr>CPJournalMulti</vt:lpstr>
      <vt:lpstr>CPJournalNR</vt:lpstr>
      <vt:lpstr>BPJournalMultiINR</vt:lpstr>
      <vt:lpstr>BPJournalREVINR</vt:lpstr>
      <vt:lpstr>BPJournalMPMIINR</vt:lpstr>
      <vt:lpstr>BPJournalNRINR</vt:lpstr>
      <vt:lpstr>BPJournalMulti</vt:lpstr>
      <vt:lpstr>JournalMulti</vt:lpstr>
      <vt:lpstr>CRJournalMPMI</vt:lpstr>
      <vt:lpstr>CPJournalMPMI</vt:lpstr>
      <vt:lpstr>BPJournalMPMI</vt:lpstr>
      <vt:lpstr>BPJournalNR</vt:lpstr>
      <vt:lpstr>JournalMPMI</vt:lpstr>
      <vt:lpstr>CRJournalNR</vt:lpstr>
      <vt:lpstr>JournalNR</vt:lpstr>
      <vt:lpstr>BankReceiptAdvMultiNR</vt:lpstr>
      <vt:lpstr>BankReceiptNewRef</vt:lpstr>
      <vt:lpstr>BankPaymentAdvUSD</vt:lpstr>
      <vt:lpstr>BPAdvJournalUSDNR</vt:lpstr>
      <vt:lpstr>JournalINRAdvNR</vt:lpstr>
      <vt:lpstr>BankReceipt</vt:lpstr>
      <vt:lpstr>BankReceiptMulti</vt:lpstr>
      <vt:lpstr>BRAdvUSDNR</vt:lpstr>
      <vt:lpstr>BRAdvJournalUSDNR</vt:lpstr>
      <vt:lpstr>BankReceiptUSD</vt:lpstr>
      <vt:lpstr>BankReceiptMultiUSD</vt:lpstr>
      <vt:lpstr>BankReceiptMulti (2)</vt:lpstr>
      <vt:lpstr>BankReceiptMultiNewRef (2)</vt:lpstr>
      <vt:lpstr>BankReceiptPDC</vt:lpstr>
      <vt:lpstr>BankReceiptChargesUSD</vt:lpstr>
      <vt:lpstr>BankReceiptCharges</vt:lpstr>
      <vt:lpstr>BankPaymentChargesINR</vt:lpstr>
      <vt:lpstr>BankPaymentCharges</vt:lpstr>
      <vt:lpstr>BankPaymentExpGST</vt:lpstr>
      <vt:lpstr>BankPaymentExpGSTTDS</vt:lpstr>
      <vt:lpstr>BankPaymentExpUSD</vt:lpstr>
      <vt:lpstr>BankPaymentExp</vt:lpstr>
      <vt:lpstr>BankReceiptRevExp</vt:lpstr>
      <vt:lpstr>BankPaymentExpTDS</vt:lpstr>
      <vt:lpstr>BankPaymentPDC</vt:lpstr>
      <vt:lpstr>BPAdvanceUSD</vt:lpstr>
      <vt:lpstr>BPAdvance</vt:lpstr>
      <vt:lpstr>BPJournalADV</vt:lpstr>
      <vt:lpstr>TDS BPAdvance</vt:lpstr>
      <vt:lpstr>TDS BPJournalADV</vt:lpstr>
      <vt:lpstr>TDS BPAdvanceMulti</vt:lpstr>
      <vt:lpstr>TDS BPJournalADVMulti</vt:lpstr>
      <vt:lpstr>BPJournalADVINR</vt:lpstr>
      <vt:lpstr>BPJournalADVUSD</vt:lpstr>
      <vt:lpstr>BPMPMBADVNR</vt:lpstr>
      <vt:lpstr>BPMPMBADVNRUSD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2025-01-30T07:28:00Z</dcterms:created>
  <dc:creator>galaxy</dc:creator>
  <cp:lastModifiedBy>Harikrishna</cp:lastModifiedBy>
  <dcterms:modified xsi:type="dcterms:W3CDTF">2026-05-05T09:11:41Z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75277ABB799C4689AE15445D5C7DEC81_11</vt:lpwstr>
  </property>
  <property fmtid="{D5CDD505-2E9C-101B-9397-08002B2CF9AE}" pid="3" name="KSOProductBuildVer">
    <vt:lpwstr>1033-12.2.0.20795</vt:lpwstr>
  </property>
</Properties>
</file>