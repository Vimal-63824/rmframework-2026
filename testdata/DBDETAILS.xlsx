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10" activeTab="13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  <sheet name="LandedCostDB" sheetId="81" r:id="rId77"/>
    <sheet name="LandedCostWTDS" sheetId="82" r:id="rId78"/>
    <sheet name="LandedCostWTDSandESI" sheetId="83" r:id="rId79"/>
    <sheet name="LandedCostHSNCHanged" sheetId="84" r:id="rId80"/>
    <sheet name="LandedCostAdditem" sheetId="85" r:id="rId81"/>
    <sheet name="LandedCostAddition" sheetId="86" r:id="rId82"/>
    <sheet name="LandedCostDeduction" sheetId="87" r:id="rId83"/>
    <sheet name="RoundOFValue" sheetId="88" r:id="rId84"/>
    <sheet name="StocktransferAddItem" sheetId="89" r:id="rId85"/>
    <sheet name="StockTransferAddLocalRCM" sheetId="90" r:id="rId86"/>
    <sheet name="StockTransferAddLocalEXToIGST" sheetId="91" r:id="rId87"/>
    <sheet name="StockTransferAddIterstateEXWRCM" sheetId="92" r:id="rId88"/>
    <sheet name="StockTransferAddIterstateEX" sheetId="93" r:id="rId89"/>
    <sheet name="StockTransferAddLocalEX" sheetId="94" r:id="rId90"/>
    <sheet name="StocktransferInterstate" sheetId="95" r:id="rId91"/>
    <sheet name="StocktransferISForRCM" sheetId="96" r:id="rId92"/>
    <sheet name="StocktransferLC" sheetId="97" r:id="rId93"/>
    <sheet name="StocktransferAddItemWithEx" sheetId="98" r:id="rId94"/>
  </sheets>
  <externalReferences>
    <externalReference r:id="rId9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98"/>
  <c r="BN32"/>
  <c r="BM32"/>
  <c r="BM36" s="1"/>
  <c r="BN36" s="1"/>
  <c r="AH24"/>
  <c r="AD24"/>
  <c r="Z24"/>
  <c r="Y24"/>
  <c r="X24"/>
  <c r="AM23"/>
  <c r="AW23" s="1"/>
  <c r="AK23"/>
  <c r="AP23" s="1"/>
  <c r="AH23"/>
  <c r="AG23"/>
  <c r="AG24" s="1"/>
  <c r="AE23"/>
  <c r="AE24" s="1"/>
  <c r="Y23"/>
  <c r="X23"/>
  <c r="G23"/>
  <c r="H23" s="1"/>
  <c r="H18"/>
  <c r="H17"/>
  <c r="H16"/>
  <c r="H15"/>
  <c r="H14"/>
  <c r="H13"/>
  <c r="H12"/>
  <c r="H11"/>
  <c r="H10"/>
  <c r="H9"/>
  <c r="H8"/>
  <c r="H7"/>
  <c r="H6"/>
  <c r="H5"/>
  <c r="H4"/>
  <c r="H19" s="1"/>
  <c r="BM33" i="97"/>
  <c r="BN32"/>
  <c r="BM32"/>
  <c r="BM36" s="1"/>
  <c r="BN36" s="1"/>
  <c r="AG24"/>
  <c r="AD24"/>
  <c r="AH24" s="1"/>
  <c r="Z24"/>
  <c r="X24"/>
  <c r="AM23"/>
  <c r="AW23" s="1"/>
  <c r="AK23"/>
  <c r="AP23" s="1"/>
  <c r="AH23"/>
  <c r="AG23"/>
  <c r="AJ23" s="1"/>
  <c r="AE23"/>
  <c r="AE24" s="1"/>
  <c r="Y23"/>
  <c r="Y24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M33" i="96"/>
  <c r="BN32"/>
  <c r="BM32"/>
  <c r="BM36" s="1"/>
  <c r="BN36" s="1"/>
  <c r="AK24"/>
  <c r="AH24"/>
  <c r="AD24"/>
  <c r="AG23" s="1"/>
  <c r="Z24"/>
  <c r="Y24"/>
  <c r="AM23"/>
  <c r="AW23" s="1"/>
  <c r="AK23"/>
  <c r="AP23" s="1"/>
  <c r="AH23"/>
  <c r="AE23"/>
  <c r="AE24" s="1"/>
  <c r="Y23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95"/>
  <c r="BN32"/>
  <c r="BM32"/>
  <c r="BM36" s="1"/>
  <c r="BN36" s="1"/>
  <c r="AG24"/>
  <c r="AD24"/>
  <c r="AH24" s="1"/>
  <c r="Z24"/>
  <c r="AM23"/>
  <c r="AW23" s="1"/>
  <c r="AK23"/>
  <c r="AP23" s="1"/>
  <c r="AH23"/>
  <c r="AG23"/>
  <c r="AJ23" s="1"/>
  <c r="AE23"/>
  <c r="AE24" s="1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H19" s="1"/>
  <c r="BN40" i="94"/>
  <c r="BM40"/>
  <c r="BM37"/>
  <c r="BN36"/>
  <c r="BM36"/>
  <c r="AD28"/>
  <c r="AH28" s="1"/>
  <c r="Z28"/>
  <c r="X28"/>
  <c r="AM27"/>
  <c r="AW27" s="1"/>
  <c r="AK27"/>
  <c r="AP27" s="1"/>
  <c r="Y27"/>
  <c r="Y28" s="1"/>
  <c r="X27"/>
  <c r="M27"/>
  <c r="L27"/>
  <c r="H27"/>
  <c r="AM26"/>
  <c r="AW26" s="1"/>
  <c r="AK26"/>
  <c r="AP26" s="1"/>
  <c r="AH26"/>
  <c r="Y26"/>
  <c r="X26"/>
  <c r="L26"/>
  <c r="M26" s="1"/>
  <c r="H26"/>
  <c r="AO25"/>
  <c r="AM25"/>
  <c r="AW25" s="1"/>
  <c r="AK25"/>
  <c r="AP25" s="1"/>
  <c r="AJ25"/>
  <c r="AH25"/>
  <c r="AG25"/>
  <c r="AE25"/>
  <c r="Y25"/>
  <c r="X25"/>
  <c r="H25"/>
  <c r="L25" s="1"/>
  <c r="M25" s="1"/>
  <c r="BP24"/>
  <c r="AY24"/>
  <c r="AW24"/>
  <c r="AP24"/>
  <c r="AM24"/>
  <c r="AK24"/>
  <c r="AH24"/>
  <c r="AG24"/>
  <c r="AJ24" s="1"/>
  <c r="AO24" s="1"/>
  <c r="AE24"/>
  <c r="Y24"/>
  <c r="X24"/>
  <c r="L24"/>
  <c r="M24" s="1"/>
  <c r="H24"/>
  <c r="N24" s="1"/>
  <c r="AP23"/>
  <c r="AM23"/>
  <c r="AW23" s="1"/>
  <c r="AK23"/>
  <c r="AH23"/>
  <c r="AG23"/>
  <c r="AJ23" s="1"/>
  <c r="AO23" s="1"/>
  <c r="AE23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BM37" i="93"/>
  <c r="BN36"/>
  <c r="BM36"/>
  <c r="BM40" s="1"/>
  <c r="BN40" s="1"/>
  <c r="AK28"/>
  <c r="AH28"/>
  <c r="AD28"/>
  <c r="AG27" s="1"/>
  <c r="Z28"/>
  <c r="Y28"/>
  <c r="AM27"/>
  <c r="AW27" s="1"/>
  <c r="AK27"/>
  <c r="AP27" s="1"/>
  <c r="AH27"/>
  <c r="AE27"/>
  <c r="AE28" s="1"/>
  <c r="Y27"/>
  <c r="W27"/>
  <c r="W28" s="1"/>
  <c r="V27"/>
  <c r="V28" s="1"/>
  <c r="H27"/>
  <c r="AW26"/>
  <c r="BP26" s="1"/>
  <c r="AP26"/>
  <c r="AM26"/>
  <c r="AK26"/>
  <c r="AH26"/>
  <c r="AG26"/>
  <c r="AJ26" s="1"/>
  <c r="AO26" s="1"/>
  <c r="AE26"/>
  <c r="Y26"/>
  <c r="W26"/>
  <c r="V26"/>
  <c r="L26"/>
  <c r="M26" s="1"/>
  <c r="H26"/>
  <c r="AM25"/>
  <c r="AW25" s="1"/>
  <c r="AK25"/>
  <c r="AP25" s="1"/>
  <c r="AH25"/>
  <c r="AG25"/>
  <c r="AJ25" s="1"/>
  <c r="AO25" s="1"/>
  <c r="AE25"/>
  <c r="Y25"/>
  <c r="W25"/>
  <c r="V25"/>
  <c r="H25"/>
  <c r="L25" s="1"/>
  <c r="M25" s="1"/>
  <c r="AP24"/>
  <c r="AM24"/>
  <c r="AW24" s="1"/>
  <c r="AK24"/>
  <c r="AH24"/>
  <c r="AG24"/>
  <c r="AJ24" s="1"/>
  <c r="AO24" s="1"/>
  <c r="AE24"/>
  <c r="Y24"/>
  <c r="W24"/>
  <c r="V24"/>
  <c r="L24"/>
  <c r="M24" s="1"/>
  <c r="H24"/>
  <c r="AM23"/>
  <c r="AW23" s="1"/>
  <c r="AK23"/>
  <c r="AH23"/>
  <c r="AJ23" s="1"/>
  <c r="AO23" s="1"/>
  <c r="AG23"/>
  <c r="AE23"/>
  <c r="Y23"/>
  <c r="W23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7" i="92"/>
  <c r="BN36"/>
  <c r="BM36"/>
  <c r="BM40" s="1"/>
  <c r="BN40" s="1"/>
  <c r="AK28"/>
  <c r="AH28"/>
  <c r="AG28"/>
  <c r="AD28"/>
  <c r="Z28"/>
  <c r="Y28"/>
  <c r="AM27"/>
  <c r="AP27" s="1"/>
  <c r="AK27"/>
  <c r="AH27"/>
  <c r="AG27"/>
  <c r="AJ27" s="1"/>
  <c r="AE27"/>
  <c r="AE28" s="1"/>
  <c r="Y27"/>
  <c r="W27"/>
  <c r="W28" s="1"/>
  <c r="V27"/>
  <c r="V28" s="1"/>
  <c r="H27"/>
  <c r="AW26"/>
  <c r="BP26" s="1"/>
  <c r="AP26"/>
  <c r="AM26"/>
  <c r="AK26"/>
  <c r="AH26"/>
  <c r="AG26"/>
  <c r="AJ26" s="1"/>
  <c r="AO26" s="1"/>
  <c r="AE26"/>
  <c r="Y26"/>
  <c r="W26"/>
  <c r="V26"/>
  <c r="L26"/>
  <c r="M26" s="1"/>
  <c r="H26"/>
  <c r="BP25"/>
  <c r="AW25"/>
  <c r="AY25" s="1"/>
  <c r="AP25"/>
  <c r="AM25"/>
  <c r="AK25"/>
  <c r="AH25"/>
  <c r="AJ25" s="1"/>
  <c r="AO25" s="1"/>
  <c r="AG25"/>
  <c r="AE25"/>
  <c r="Y25"/>
  <c r="W25"/>
  <c r="V25"/>
  <c r="H25"/>
  <c r="L25" s="1"/>
  <c r="M25" s="1"/>
  <c r="AW24"/>
  <c r="AY24" s="1"/>
  <c r="AP24"/>
  <c r="AM24"/>
  <c r="AK24"/>
  <c r="AH24"/>
  <c r="AG24"/>
  <c r="AJ24" s="1"/>
  <c r="AO24" s="1"/>
  <c r="AE24"/>
  <c r="Y24"/>
  <c r="W24"/>
  <c r="V24"/>
  <c r="L24"/>
  <c r="M24" s="1"/>
  <c r="H24"/>
  <c r="AM23"/>
  <c r="AW23" s="1"/>
  <c r="AK23"/>
  <c r="AP23" s="1"/>
  <c r="AH23"/>
  <c r="AJ23" s="1"/>
  <c r="AO23" s="1"/>
  <c r="AG23"/>
  <c r="AE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BM40" i="91"/>
  <c r="BN40" s="1"/>
  <c r="BM37"/>
  <c r="BN36"/>
  <c r="BM36"/>
  <c r="AD28"/>
  <c r="AH28" s="1"/>
  <c r="Z28"/>
  <c r="W28"/>
  <c r="V28"/>
  <c r="AM27"/>
  <c r="AW27" s="1"/>
  <c r="AK27"/>
  <c r="AP27" s="1"/>
  <c r="Y27"/>
  <c r="Y28" s="1"/>
  <c r="W27"/>
  <c r="V27"/>
  <c r="L27"/>
  <c r="M27" s="1"/>
  <c r="H27"/>
  <c r="AM26"/>
  <c r="AW26" s="1"/>
  <c r="AK26"/>
  <c r="AP26" s="1"/>
  <c r="AH26"/>
  <c r="Y26"/>
  <c r="W26"/>
  <c r="V26"/>
  <c r="M26"/>
  <c r="L26"/>
  <c r="H26"/>
  <c r="AM25"/>
  <c r="AW25" s="1"/>
  <c r="AK25"/>
  <c r="AP25" s="1"/>
  <c r="AH25"/>
  <c r="AG25"/>
  <c r="AJ25" s="1"/>
  <c r="AO25" s="1"/>
  <c r="AE25"/>
  <c r="Y25"/>
  <c r="W25"/>
  <c r="V25"/>
  <c r="H25"/>
  <c r="L25" s="1"/>
  <c r="M25" s="1"/>
  <c r="AP24"/>
  <c r="AM24"/>
  <c r="AW24" s="1"/>
  <c r="AK24"/>
  <c r="AH24"/>
  <c r="AG24"/>
  <c r="AJ24" s="1"/>
  <c r="AO24" s="1"/>
  <c r="AE24"/>
  <c r="Y24"/>
  <c r="W24"/>
  <c r="V24"/>
  <c r="H24"/>
  <c r="AP23"/>
  <c r="AM23"/>
  <c r="AW23" s="1"/>
  <c r="AK23"/>
  <c r="AH23"/>
  <c r="AG23"/>
  <c r="AJ23" s="1"/>
  <c r="AO23" s="1"/>
  <c r="AE23"/>
  <c r="Y23"/>
  <c r="W23"/>
  <c r="V23"/>
  <c r="L23"/>
  <c r="M23" s="1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BM37" i="90"/>
  <c r="BN36"/>
  <c r="BM40" s="1"/>
  <c r="BN40" s="1"/>
  <c r="BM36"/>
  <c r="AH28"/>
  <c r="AD28"/>
  <c r="AG27" s="1"/>
  <c r="Z28"/>
  <c r="X28"/>
  <c r="AM27"/>
  <c r="AW27" s="1"/>
  <c r="AK27"/>
  <c r="AP27" s="1"/>
  <c r="AE27"/>
  <c r="AE28" s="1"/>
  <c r="Y27"/>
  <c r="Y28" s="1"/>
  <c r="X27"/>
  <c r="H27"/>
  <c r="AP26"/>
  <c r="AM26"/>
  <c r="AW26" s="1"/>
  <c r="AK26"/>
  <c r="AG26"/>
  <c r="AE26"/>
  <c r="Y26"/>
  <c r="X26"/>
  <c r="L26"/>
  <c r="M26" s="1"/>
  <c r="H26"/>
  <c r="AM25"/>
  <c r="AW25" s="1"/>
  <c r="AK25"/>
  <c r="AP25" s="1"/>
  <c r="AH25"/>
  <c r="AG25"/>
  <c r="AJ25" s="1"/>
  <c r="AO25" s="1"/>
  <c r="AE25"/>
  <c r="Y25"/>
  <c r="X25"/>
  <c r="H25"/>
  <c r="L25" s="1"/>
  <c r="M25" s="1"/>
  <c r="AP24"/>
  <c r="AM24"/>
  <c r="AW24" s="1"/>
  <c r="AK24"/>
  <c r="AH24"/>
  <c r="AG24"/>
  <c r="AJ24" s="1"/>
  <c r="AO24" s="1"/>
  <c r="Y24"/>
  <c r="X24"/>
  <c r="L24"/>
  <c r="M24" s="1"/>
  <c r="H24"/>
  <c r="AW23"/>
  <c r="AY23" s="1"/>
  <c r="AP23"/>
  <c r="AM23"/>
  <c r="AK23"/>
  <c r="AH23"/>
  <c r="AJ23" s="1"/>
  <c r="AO23" s="1"/>
  <c r="AG23"/>
  <c r="AE23"/>
  <c r="Y23"/>
  <c r="X23"/>
  <c r="H23"/>
  <c r="H18"/>
  <c r="H17"/>
  <c r="H16"/>
  <c r="H15"/>
  <c r="H14"/>
  <c r="H13"/>
  <c r="H12"/>
  <c r="H11"/>
  <c r="H10"/>
  <c r="H9"/>
  <c r="H8"/>
  <c r="H7"/>
  <c r="H6"/>
  <c r="H19" s="1"/>
  <c r="H5"/>
  <c r="H4"/>
  <c r="BM36" i="89"/>
  <c r="BN36" s="1"/>
  <c r="ED33"/>
  <c r="BM33"/>
  <c r="EE32"/>
  <c r="ED32"/>
  <c r="ED36" s="1"/>
  <c r="EE36" s="1"/>
  <c r="BN32"/>
  <c r="BM32"/>
  <c r="CY24"/>
  <c r="CU24"/>
  <c r="CQ24"/>
  <c r="CP24"/>
  <c r="AK24"/>
  <c r="AH24"/>
  <c r="AG24"/>
  <c r="AE24"/>
  <c r="AD24"/>
  <c r="Z24"/>
  <c r="DD23"/>
  <c r="DN23" s="1"/>
  <c r="DB23"/>
  <c r="DG23" s="1"/>
  <c r="CY23"/>
  <c r="CX23"/>
  <c r="DA23" s="1"/>
  <c r="CV23"/>
  <c r="CV24" s="1"/>
  <c r="CP23"/>
  <c r="CO23"/>
  <c r="CO24" s="1"/>
  <c r="BX23"/>
  <c r="BY23" s="1"/>
  <c r="AW23"/>
  <c r="AY23" s="1"/>
  <c r="AP23"/>
  <c r="AM23"/>
  <c r="AK23"/>
  <c r="AJ23"/>
  <c r="AJ24" s="1"/>
  <c r="AH23"/>
  <c r="AG23"/>
  <c r="AE23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BY19" s="1"/>
  <c r="H7"/>
  <c r="BY6"/>
  <c r="H6"/>
  <c r="BY5"/>
  <c r="H5"/>
  <c r="BY4"/>
  <c r="H4"/>
  <c r="H19" s="1"/>
  <c r="EJ33" i="88"/>
  <c r="BM33"/>
  <c r="EK32"/>
  <c r="EJ32"/>
  <c r="EJ36" s="1"/>
  <c r="EK36" s="1"/>
  <c r="BN32"/>
  <c r="BM36" s="1"/>
  <c r="BN36" s="1"/>
  <c r="BM32"/>
  <c r="DE24"/>
  <c r="DD24"/>
  <c r="DA24"/>
  <c r="CW24"/>
  <c r="CU24"/>
  <c r="AH24"/>
  <c r="AD24"/>
  <c r="Z24"/>
  <c r="EV23"/>
  <c r="ES23"/>
  <c r="DJ23"/>
  <c r="DT23" s="1"/>
  <c r="DH23"/>
  <c r="DH24" s="1"/>
  <c r="DE23"/>
  <c r="DG23" s="1"/>
  <c r="DD23"/>
  <c r="DB23"/>
  <c r="DB24" s="1"/>
  <c r="CV23"/>
  <c r="CV24" s="1"/>
  <c r="CU23"/>
  <c r="CE23"/>
  <c r="CE24" s="1"/>
  <c r="CF26" s="1"/>
  <c r="BV23"/>
  <c r="AW23"/>
  <c r="BP23" s="1"/>
  <c r="AP23"/>
  <c r="AM23"/>
  <c r="AK23"/>
  <c r="AK24" s="1"/>
  <c r="AH23"/>
  <c r="AG23"/>
  <c r="AJ23" s="1"/>
  <c r="AE23"/>
  <c r="AE24" s="1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CE19" s="1"/>
  <c r="H7"/>
  <c r="CE6"/>
  <c r="H6"/>
  <c r="CE5"/>
  <c r="H5"/>
  <c r="CE4"/>
  <c r="H4"/>
  <c r="H19" s="1"/>
  <c r="EJ33" i="87"/>
  <c r="BM33"/>
  <c r="EK32"/>
  <c r="EJ36" s="1"/>
  <c r="EK36" s="1"/>
  <c r="EJ32"/>
  <c r="BN32"/>
  <c r="BM32"/>
  <c r="BM36" s="1"/>
  <c r="BN36" s="1"/>
  <c r="DA24"/>
  <c r="DE24" s="1"/>
  <c r="CW24"/>
  <c r="AK24"/>
  <c r="AD24"/>
  <c r="AE23" s="1"/>
  <c r="AE24" s="1"/>
  <c r="Z24"/>
  <c r="EV23"/>
  <c r="ES23"/>
  <c r="DV23"/>
  <c r="DT23"/>
  <c r="DJ23"/>
  <c r="DH23"/>
  <c r="DH24" s="1"/>
  <c r="CV23"/>
  <c r="CV24" s="1"/>
  <c r="CU23"/>
  <c r="CU24" s="1"/>
  <c r="CI23"/>
  <c r="CJ23" s="1"/>
  <c r="CE23"/>
  <c r="CE24" s="1"/>
  <c r="CF26" s="1"/>
  <c r="BV23"/>
  <c r="AY23"/>
  <c r="AW23"/>
  <c r="AP23"/>
  <c r="AM23"/>
  <c r="AK23"/>
  <c r="AG23"/>
  <c r="AG24" s="1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CE19" s="1"/>
  <c r="H4"/>
  <c r="H19" s="1"/>
  <c r="EJ33" i="86"/>
  <c r="BM33"/>
  <c r="EK32"/>
  <c r="EJ32"/>
  <c r="EJ36" s="1"/>
  <c r="EK36" s="1"/>
  <c r="BN32"/>
  <c r="BM32"/>
  <c r="BM36" s="1"/>
  <c r="BN36" s="1"/>
  <c r="DA24"/>
  <c r="DE24" s="1"/>
  <c r="CW24"/>
  <c r="AH24"/>
  <c r="AG24"/>
  <c r="AD24"/>
  <c r="Z24"/>
  <c r="EV23"/>
  <c r="ES23"/>
  <c r="DT23"/>
  <c r="DV23" s="1"/>
  <c r="DJ23"/>
  <c r="DH23"/>
  <c r="DH24" s="1"/>
  <c r="DE23"/>
  <c r="DD23"/>
  <c r="DG23" s="1"/>
  <c r="DB23"/>
  <c r="DB24" s="1"/>
  <c r="CV23"/>
  <c r="CV24" s="1"/>
  <c r="CU23"/>
  <c r="CU24" s="1"/>
  <c r="CI23"/>
  <c r="CJ23" s="1"/>
  <c r="CE23"/>
  <c r="CE24" s="1"/>
  <c r="CF26" s="1"/>
  <c r="BV23"/>
  <c r="AY23"/>
  <c r="AW23"/>
  <c r="AM23"/>
  <c r="AK23"/>
  <c r="AK24" s="1"/>
  <c r="AH23"/>
  <c r="AG23"/>
  <c r="AJ23" s="1"/>
  <c r="AE23"/>
  <c r="AE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CE19" s="1"/>
  <c r="H5"/>
  <c r="CE4"/>
  <c r="H4"/>
  <c r="H19" s="1"/>
  <c r="EJ33" i="85"/>
  <c r="BM33"/>
  <c r="EK32"/>
  <c r="EJ36" s="1"/>
  <c r="EK36" s="1"/>
  <c r="EJ32"/>
  <c r="BN32"/>
  <c r="BM36" s="1"/>
  <c r="BN36" s="1"/>
  <c r="BM32"/>
  <c r="DH24"/>
  <c r="DD24"/>
  <c r="DA24"/>
  <c r="DE24" s="1"/>
  <c r="CW24"/>
  <c r="CU24"/>
  <c r="AK24"/>
  <c r="AH24"/>
  <c r="AE24"/>
  <c r="AD24"/>
  <c r="Z24"/>
  <c r="ES23"/>
  <c r="DM23"/>
  <c r="DJ23"/>
  <c r="DT23" s="1"/>
  <c r="DH23"/>
  <c r="DE23"/>
  <c r="DG23" s="1"/>
  <c r="DD23"/>
  <c r="DB23"/>
  <c r="DB24" s="1"/>
  <c r="CV23"/>
  <c r="CV24" s="1"/>
  <c r="CU23"/>
  <c r="CJ23"/>
  <c r="CI23"/>
  <c r="CE23"/>
  <c r="CK23" s="1"/>
  <c r="BV23"/>
  <c r="AM23"/>
  <c r="AP23" s="1"/>
  <c r="AK23"/>
  <c r="AJ23"/>
  <c r="AJ24" s="1"/>
  <c r="AH23"/>
  <c r="AG23"/>
  <c r="AG24" s="1"/>
  <c r="AE23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H19" s="1"/>
  <c r="CE5"/>
  <c r="H5"/>
  <c r="CE4"/>
  <c r="CE19" s="1"/>
  <c r="H4"/>
  <c r="EJ33" i="84"/>
  <c r="BM33"/>
  <c r="EK32"/>
  <c r="EJ32"/>
  <c r="EJ36" s="1"/>
  <c r="EK36" s="1"/>
  <c r="BN32"/>
  <c r="BM36" s="1"/>
  <c r="BN36" s="1"/>
  <c r="BM32"/>
  <c r="DA24"/>
  <c r="CW24"/>
  <c r="CV24"/>
  <c r="CU24"/>
  <c r="AD24"/>
  <c r="DE24" s="1"/>
  <c r="Z24"/>
  <c r="ES23"/>
  <c r="DT23"/>
  <c r="DV23" s="1"/>
  <c r="DM23"/>
  <c r="DJ23"/>
  <c r="DH23"/>
  <c r="DH24" s="1"/>
  <c r="DD23"/>
  <c r="CV23"/>
  <c r="CU23"/>
  <c r="CI23"/>
  <c r="CJ23" s="1"/>
  <c r="CE23"/>
  <c r="CE24" s="1"/>
  <c r="CF26" s="1"/>
  <c r="BV23"/>
  <c r="AW23"/>
  <c r="AY23" s="1"/>
  <c r="AM23"/>
  <c r="AK23"/>
  <c r="AK24" s="1"/>
  <c r="AE23"/>
  <c r="AE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CE19" s="1"/>
  <c r="H5"/>
  <c r="CE4"/>
  <c r="H4"/>
  <c r="H19" s="1"/>
  <c r="BN36" i="83"/>
  <c r="BM36"/>
  <c r="BM33"/>
  <c r="BN32"/>
  <c r="BM32"/>
  <c r="AD24"/>
  <c r="AH24" s="1"/>
  <c r="Z24"/>
  <c r="BV23"/>
  <c r="AY23"/>
  <c r="AW23"/>
  <c r="AM23"/>
  <c r="AK23"/>
  <c r="AP23" s="1"/>
  <c r="Y23"/>
  <c r="Y24" s="1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EH33" i="82"/>
  <c r="BM33"/>
  <c r="EI32"/>
  <c r="EH32"/>
  <c r="EH36" s="1"/>
  <c r="EI36" s="1"/>
  <c r="BN32"/>
  <c r="BM32"/>
  <c r="BM36" s="1"/>
  <c r="BN36" s="1"/>
  <c r="CD26"/>
  <c r="CY24"/>
  <c r="DC24" s="1"/>
  <c r="CU24"/>
  <c r="CS24"/>
  <c r="CC24"/>
  <c r="AD24"/>
  <c r="DC23" s="1"/>
  <c r="Z24"/>
  <c r="H24"/>
  <c r="I26" s="1"/>
  <c r="EQ23"/>
  <c r="DR23"/>
  <c r="DT23" s="1"/>
  <c r="DK23"/>
  <c r="DH23"/>
  <c r="DF23"/>
  <c r="DF24" s="1"/>
  <c r="DB23"/>
  <c r="DE23" s="1"/>
  <c r="CT23"/>
  <c r="CT24" s="1"/>
  <c r="CS23"/>
  <c r="CG23"/>
  <c r="CH23" s="1"/>
  <c r="CC23"/>
  <c r="BV23"/>
  <c r="AW23"/>
  <c r="AY23" s="1"/>
  <c r="AM23"/>
  <c r="AK23"/>
  <c r="AK24" s="1"/>
  <c r="AG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19" s="1"/>
  <c r="H6"/>
  <c r="H5"/>
  <c r="H4"/>
  <c r="BM33" i="81"/>
  <c r="EK32"/>
  <c r="EJ32"/>
  <c r="BN32"/>
  <c r="BM32"/>
  <c r="BM36" s="1"/>
  <c r="BN36" s="1"/>
  <c r="DE24"/>
  <c r="DA24"/>
  <c r="CW24"/>
  <c r="CE24"/>
  <c r="CF26" s="1"/>
  <c r="AH24"/>
  <c r="AD24"/>
  <c r="Z24"/>
  <c r="ES23"/>
  <c r="DJ23"/>
  <c r="DT23" s="1"/>
  <c r="DH23"/>
  <c r="DM23" s="1"/>
  <c r="DG23"/>
  <c r="DL23" s="1"/>
  <c r="DE23"/>
  <c r="DD23"/>
  <c r="DD24" s="1"/>
  <c r="DB23"/>
  <c r="DB24" s="1"/>
  <c r="CV23"/>
  <c r="CV24" s="1"/>
  <c r="CU23"/>
  <c r="CU24" s="1"/>
  <c r="CE23"/>
  <c r="BV23"/>
  <c r="AO23"/>
  <c r="AM23"/>
  <c r="AW23" s="1"/>
  <c r="AK23"/>
  <c r="AP23" s="1"/>
  <c r="AJ23"/>
  <c r="AJ24" s="1"/>
  <c r="AH23"/>
  <c r="AG23"/>
  <c r="AG24" s="1"/>
  <c r="AE23"/>
  <c r="AE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Y23" i="98" l="1"/>
  <c r="BP23"/>
  <c r="H24"/>
  <c r="I26" s="1"/>
  <c r="L23"/>
  <c r="M23" s="1"/>
  <c r="AJ23"/>
  <c r="AK24"/>
  <c r="AO23" i="97"/>
  <c r="AJ24"/>
  <c r="AY23"/>
  <c r="BP23"/>
  <c r="AK24"/>
  <c r="L23"/>
  <c r="M23" s="1"/>
  <c r="H24"/>
  <c r="I26" s="1"/>
  <c r="BP23" i="96"/>
  <c r="AY23"/>
  <c r="AG24"/>
  <c r="AJ23"/>
  <c r="L23"/>
  <c r="M23" s="1"/>
  <c r="H24"/>
  <c r="I26" s="1"/>
  <c r="AO23" i="95"/>
  <c r="AJ24"/>
  <c r="AY23"/>
  <c r="BP23"/>
  <c r="N23"/>
  <c r="AK24"/>
  <c r="L23"/>
  <c r="M23" s="1"/>
  <c r="H24"/>
  <c r="I26" s="1"/>
  <c r="O24" i="94"/>
  <c r="P24" s="1"/>
  <c r="Q24" s="1"/>
  <c r="R24" s="1"/>
  <c r="S24" s="1"/>
  <c r="N26"/>
  <c r="AY23"/>
  <c r="BP23"/>
  <c r="BP27"/>
  <c r="AY27"/>
  <c r="O23"/>
  <c r="AY25"/>
  <c r="BP25"/>
  <c r="BP26"/>
  <c r="AY26"/>
  <c r="N27"/>
  <c r="AH27"/>
  <c r="AK28"/>
  <c r="N25"/>
  <c r="AG27"/>
  <c r="H28"/>
  <c r="I30" s="1"/>
  <c r="AG26"/>
  <c r="AJ26" s="1"/>
  <c r="AO26" s="1"/>
  <c r="AE27"/>
  <c r="AE28" s="1"/>
  <c r="AE26"/>
  <c r="BP27" i="93"/>
  <c r="AY27"/>
  <c r="AY25"/>
  <c r="BP25"/>
  <c r="AY23"/>
  <c r="BP23"/>
  <c r="AG28"/>
  <c r="AJ27"/>
  <c r="N24"/>
  <c r="AY24"/>
  <c r="BP24"/>
  <c r="L23"/>
  <c r="M23" s="1"/>
  <c r="AP23"/>
  <c r="AY26"/>
  <c r="N27"/>
  <c r="N26"/>
  <c r="N25"/>
  <c r="L27"/>
  <c r="M27" s="1"/>
  <c r="H28"/>
  <c r="I30" s="1"/>
  <c r="N24" i="92"/>
  <c r="N26"/>
  <c r="AO27"/>
  <c r="AJ28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N24"/>
  <c r="AY25"/>
  <c r="BP25"/>
  <c r="AY23"/>
  <c r="BP23"/>
  <c r="O23"/>
  <c r="P23" s="1"/>
  <c r="Q23" s="1"/>
  <c r="BP26"/>
  <c r="AY26"/>
  <c r="L24"/>
  <c r="M24" s="1"/>
  <c r="N27"/>
  <c r="N26"/>
  <c r="AH27"/>
  <c r="AK28"/>
  <c r="N25"/>
  <c r="AG27"/>
  <c r="H28"/>
  <c r="I30" s="1"/>
  <c r="AG26"/>
  <c r="AJ26" s="1"/>
  <c r="AO26" s="1"/>
  <c r="AE27"/>
  <c r="AE28" s="1"/>
  <c r="AE26"/>
  <c r="AG28" i="90"/>
  <c r="N24"/>
  <c r="BP25"/>
  <c r="AY25"/>
  <c r="BP26"/>
  <c r="AY26"/>
  <c r="N23"/>
  <c r="AY24"/>
  <c r="BP24"/>
  <c r="BP27"/>
  <c r="AY27"/>
  <c r="L23"/>
  <c r="M23" s="1"/>
  <c r="AE24"/>
  <c r="BP23"/>
  <c r="N27"/>
  <c r="N26"/>
  <c r="AH27"/>
  <c r="AJ27" s="1"/>
  <c r="AK28"/>
  <c r="N25"/>
  <c r="AH26"/>
  <c r="AJ26" s="1"/>
  <c r="AO26" s="1"/>
  <c r="L27"/>
  <c r="M27" s="1"/>
  <c r="H28"/>
  <c r="I30" s="1"/>
  <c r="DP23" i="89"/>
  <c r="EG23"/>
  <c r="CC23"/>
  <c r="CD23" s="1"/>
  <c r="BY24"/>
  <c r="BZ26" s="1"/>
  <c r="DA24"/>
  <c r="DF23"/>
  <c r="CX24"/>
  <c r="L23"/>
  <c r="M23" s="1"/>
  <c r="N23" s="1"/>
  <c r="AO23"/>
  <c r="BP23"/>
  <c r="DB24"/>
  <c r="EM23" i="88"/>
  <c r="DV23"/>
  <c r="DG24"/>
  <c r="DL23"/>
  <c r="AJ24"/>
  <c r="AO23"/>
  <c r="AY23"/>
  <c r="AG24"/>
  <c r="N23"/>
  <c r="CI23"/>
  <c r="CJ23" s="1"/>
  <c r="CK23" s="1"/>
  <c r="DM23"/>
  <c r="CK23" i="87"/>
  <c r="N23"/>
  <c r="AJ23"/>
  <c r="DE23"/>
  <c r="AH24"/>
  <c r="DD23"/>
  <c r="DM23"/>
  <c r="AH23"/>
  <c r="DB23"/>
  <c r="DB24" s="1"/>
  <c r="EM23"/>
  <c r="BP23"/>
  <c r="DG24" i="86"/>
  <c r="DL23"/>
  <c r="AJ24"/>
  <c r="AO23"/>
  <c r="CK23"/>
  <c r="DD24"/>
  <c r="N23"/>
  <c r="DM23"/>
  <c r="EM23"/>
  <c r="L23"/>
  <c r="M23" s="1"/>
  <c r="AP23"/>
  <c r="BP23"/>
  <c r="DV23" i="85"/>
  <c r="EM23"/>
  <c r="CL23"/>
  <c r="CM23"/>
  <c r="CN23" s="1"/>
  <c r="CO23" s="1"/>
  <c r="DG24"/>
  <c r="DL23"/>
  <c r="N23"/>
  <c r="AW23"/>
  <c r="AO23"/>
  <c r="CE24"/>
  <c r="CF26" s="1"/>
  <c r="DG23" i="84"/>
  <c r="CK23"/>
  <c r="AH23"/>
  <c r="DB23"/>
  <c r="DB24" s="1"/>
  <c r="EM23"/>
  <c r="AH24"/>
  <c r="L23"/>
  <c r="M23" s="1"/>
  <c r="AG23"/>
  <c r="AP23"/>
  <c r="BP23"/>
  <c r="DD24"/>
  <c r="DE23"/>
  <c r="N23" i="83"/>
  <c r="AK24"/>
  <c r="AH23"/>
  <c r="H24"/>
  <c r="I26" s="1"/>
  <c r="AG23"/>
  <c r="AE23"/>
  <c r="AE24" s="1"/>
  <c r="BP23"/>
  <c r="DE24" i="82"/>
  <c r="DJ23"/>
  <c r="AJ23"/>
  <c r="CI23"/>
  <c r="N23"/>
  <c r="AH23"/>
  <c r="CZ23"/>
  <c r="CZ24" s="1"/>
  <c r="EK23"/>
  <c r="AH24"/>
  <c r="AP23"/>
  <c r="AG24"/>
  <c r="DB24"/>
  <c r="AE23"/>
  <c r="AE24" s="1"/>
  <c r="BP23"/>
  <c r="AY23" i="81"/>
  <c r="BP23"/>
  <c r="EM23"/>
  <c r="DV23"/>
  <c r="DH24"/>
  <c r="DG24"/>
  <c r="AK24"/>
  <c r="H24"/>
  <c r="I26" s="1"/>
  <c r="N23"/>
  <c r="CI23"/>
  <c r="CJ23" s="1"/>
  <c r="AO23" i="98" l="1"/>
  <c r="AJ24"/>
  <c r="N23"/>
  <c r="N23" i="97"/>
  <c r="AO23" i="96"/>
  <c r="AJ24"/>
  <c r="N23"/>
  <c r="O23" i="95"/>
  <c r="P23" s="1"/>
  <c r="Q23" s="1"/>
  <c r="W24" i="94"/>
  <c r="AI24"/>
  <c r="AN24" s="1"/>
  <c r="AR24" s="1"/>
  <c r="AX24" s="1"/>
  <c r="AZ24" s="1"/>
  <c r="BO24" s="1"/>
  <c r="AA24"/>
  <c r="V24"/>
  <c r="O25"/>
  <c r="P25"/>
  <c r="Q25" s="1"/>
  <c r="P23"/>
  <c r="Q23" s="1"/>
  <c r="R23" s="1"/>
  <c r="S23" s="1"/>
  <c r="AG28"/>
  <c r="AJ27"/>
  <c r="O26"/>
  <c r="P26"/>
  <c r="Q26" s="1"/>
  <c r="O27"/>
  <c r="P27" s="1"/>
  <c r="Q27" s="1"/>
  <c r="O26" i="93"/>
  <c r="P26" s="1"/>
  <c r="Q26" s="1"/>
  <c r="O25"/>
  <c r="O24"/>
  <c r="AO27"/>
  <c r="AJ28"/>
  <c r="R27"/>
  <c r="O27"/>
  <c r="P27"/>
  <c r="Q27" s="1"/>
  <c r="N23"/>
  <c r="O27" i="92"/>
  <c r="P27" s="1"/>
  <c r="Q27" s="1"/>
  <c r="R27" s="1"/>
  <c r="N23"/>
  <c r="O25"/>
  <c r="BP27"/>
  <c r="AY27"/>
  <c r="O24"/>
  <c r="O26"/>
  <c r="P27" i="91"/>
  <c r="Q27" s="1"/>
  <c r="O27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AJ24"/>
  <c r="AO23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AJ24"/>
  <c r="AO23"/>
  <c r="CJ23"/>
  <c r="O23" i="81"/>
  <c r="P23" s="1"/>
  <c r="Q23" s="1"/>
  <c r="CK23"/>
  <c r="P23" i="98" l="1"/>
  <c r="Q23" s="1"/>
  <c r="O23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R25" i="93"/>
  <c r="S25" s="1"/>
  <c r="R28"/>
  <c r="I31" s="1"/>
  <c r="S27"/>
  <c r="O23"/>
  <c r="P25"/>
  <c r="Q25" s="1"/>
  <c r="R26"/>
  <c r="S26" s="1"/>
  <c r="R24"/>
  <c r="S24" s="1"/>
  <c r="P24"/>
  <c r="Q24" s="1"/>
  <c r="R28" i="92"/>
  <c r="I31" s="1"/>
  <c r="S27"/>
  <c r="O23"/>
  <c r="P23"/>
  <c r="Q23" s="1"/>
  <c r="P24"/>
  <c r="Q24" s="1"/>
  <c r="R24" s="1"/>
  <c r="S24" s="1"/>
  <c r="P26"/>
  <c r="Q26" s="1"/>
  <c r="R26" s="1"/>
  <c r="S26" s="1"/>
  <c r="P25"/>
  <c r="Q25" s="1"/>
  <c r="R25" s="1"/>
  <c r="S25" s="1"/>
  <c r="R25" i="91"/>
  <c r="S25" s="1"/>
  <c r="P25"/>
  <c r="Q25" s="1"/>
  <c r="R24"/>
  <c r="S24" s="1"/>
  <c r="R27"/>
  <c r="AI23"/>
  <c r="AN23" s="1"/>
  <c r="AR23" s="1"/>
  <c r="AX23" s="1"/>
  <c r="AZ23" s="1"/>
  <c r="BO23" s="1"/>
  <c r="X23"/>
  <c r="AB23" s="1"/>
  <c r="AA23"/>
  <c r="R26"/>
  <c r="S26" s="1"/>
  <c r="AO27"/>
  <c r="AJ28"/>
  <c r="P26"/>
  <c r="Q26" s="1"/>
  <c r="R27" i="90"/>
  <c r="AI23"/>
  <c r="AN23" s="1"/>
  <c r="AR23" s="1"/>
  <c r="AX23" s="1"/>
  <c r="AZ23" s="1"/>
  <c r="BO23" s="1"/>
  <c r="AA23"/>
  <c r="AC23"/>
  <c r="W23"/>
  <c r="V23"/>
  <c r="R24"/>
  <c r="S24" s="1"/>
  <c r="P24"/>
  <c r="Q24" s="1"/>
  <c r="R26"/>
  <c r="S26" s="1"/>
  <c r="P26"/>
  <c r="Q26" s="1"/>
  <c r="R25"/>
  <c r="S25" s="1"/>
  <c r="P27"/>
  <c r="Q27" s="1"/>
  <c r="R23" i="89"/>
  <c r="P23"/>
  <c r="Q23" s="1"/>
  <c r="CF23"/>
  <c r="CO23" i="88"/>
  <c r="CM23"/>
  <c r="CN23" s="1"/>
  <c r="P23"/>
  <c r="Q23" s="1"/>
  <c r="R23" s="1"/>
  <c r="DG24" i="87"/>
  <c r="DL23"/>
  <c r="CO23"/>
  <c r="CM23"/>
  <c r="CN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R23" i="83"/>
  <c r="AO23"/>
  <c r="AJ24"/>
  <c r="P23"/>
  <c r="Q23" s="1"/>
  <c r="R23" i="82"/>
  <c r="CK23"/>
  <c r="CL23" s="1"/>
  <c r="CM23" s="1"/>
  <c r="CL23" i="81"/>
  <c r="R23"/>
  <c r="R23" i="98" l="1"/>
  <c r="R23" i="97"/>
  <c r="R23" i="96"/>
  <c r="P23"/>
  <c r="Q23" s="1"/>
  <c r="R24" i="95"/>
  <c r="I27" s="1"/>
  <c r="S23"/>
  <c r="R28" i="94"/>
  <c r="I31" s="1"/>
  <c r="S27"/>
  <c r="V25"/>
  <c r="AB25" s="1"/>
  <c r="AC25" s="1"/>
  <c r="W25"/>
  <c r="AI25"/>
  <c r="AN25" s="1"/>
  <c r="AR25" s="1"/>
  <c r="AX25" s="1"/>
  <c r="AZ25" s="1"/>
  <c r="BO25" s="1"/>
  <c r="AA25"/>
  <c r="AB23"/>
  <c r="V26"/>
  <c r="AB26" s="1"/>
  <c r="AC26" s="1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B25" s="1"/>
  <c r="AC25" s="1"/>
  <c r="AA25"/>
  <c r="AI24"/>
  <c r="AN24" s="1"/>
  <c r="AR24" s="1"/>
  <c r="AX24" s="1"/>
  <c r="AZ24" s="1"/>
  <c r="BO24" s="1"/>
  <c r="X24"/>
  <c r="AB24" s="1"/>
  <c r="AC24" s="1"/>
  <c r="AA24"/>
  <c r="S28"/>
  <c r="I32" s="1"/>
  <c r="AI27"/>
  <c r="AN27" s="1"/>
  <c r="AR27" s="1"/>
  <c r="AX27" s="1"/>
  <c r="AZ27" s="1"/>
  <c r="BO27" s="1"/>
  <c r="X27"/>
  <c r="AA27"/>
  <c r="AA28" s="1"/>
  <c r="AI26"/>
  <c r="AN26" s="1"/>
  <c r="AR26" s="1"/>
  <c r="AX26" s="1"/>
  <c r="AZ26" s="1"/>
  <c r="BO26" s="1"/>
  <c r="X26"/>
  <c r="AA26"/>
  <c r="R23"/>
  <c r="S23" s="1"/>
  <c r="P23"/>
  <c r="Q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B26" s="1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B25" s="1"/>
  <c r="AC25" s="1"/>
  <c r="AA25"/>
  <c r="AI24"/>
  <c r="AN24" s="1"/>
  <c r="AR24" s="1"/>
  <c r="AX24" s="1"/>
  <c r="AZ24" s="1"/>
  <c r="BO24" s="1"/>
  <c r="X24"/>
  <c r="AB24" s="1"/>
  <c r="AC24" s="1"/>
  <c r="AA24"/>
  <c r="R28"/>
  <c r="I31" s="1"/>
  <c r="S27"/>
  <c r="AI26"/>
  <c r="AN26" s="1"/>
  <c r="AR26" s="1"/>
  <c r="AX26" s="1"/>
  <c r="AZ26" s="1"/>
  <c r="BO26" s="1"/>
  <c r="X26"/>
  <c r="AB26" s="1"/>
  <c r="AC26" s="1"/>
  <c r="AA26"/>
  <c r="AC23"/>
  <c r="W24" i="90"/>
  <c r="AI24"/>
  <c r="AN24" s="1"/>
  <c r="AR24" s="1"/>
  <c r="AX24" s="1"/>
  <c r="AZ24" s="1"/>
  <c r="BO24" s="1"/>
  <c r="AA24"/>
  <c r="AC24"/>
  <c r="V24"/>
  <c r="R28"/>
  <c r="I31" s="1"/>
  <c r="S27"/>
  <c r="V26"/>
  <c r="AB26" s="1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I23"/>
  <c r="CG23"/>
  <c r="CH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R24" i="98" l="1"/>
  <c r="I27" s="1"/>
  <c r="S23"/>
  <c r="R24" i="97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B27" i="93"/>
  <c r="AC27" s="1"/>
  <c r="X28"/>
  <c r="AI23"/>
  <c r="X23"/>
  <c r="AB23" s="1"/>
  <c r="AA23"/>
  <c r="AC23"/>
  <c r="AC28" s="1"/>
  <c r="AT28" s="1"/>
  <c r="AU28" s="1"/>
  <c r="AB26"/>
  <c r="AC26" s="1"/>
  <c r="AI23" i="92"/>
  <c r="X23"/>
  <c r="AB23" s="1"/>
  <c r="AA23"/>
  <c r="AC23"/>
  <c r="AC28" s="1"/>
  <c r="AT28" s="1"/>
  <c r="AU28" s="1"/>
  <c r="AB25"/>
  <c r="AB24"/>
  <c r="X28"/>
  <c r="AB27"/>
  <c r="S28" i="91"/>
  <c r="I32" s="1"/>
  <c r="AI27"/>
  <c r="X27"/>
  <c r="AA27"/>
  <c r="AA28" s="1"/>
  <c r="AC28" i="90"/>
  <c r="AT28" s="1"/>
  <c r="AU28" s="1"/>
  <c r="AB25"/>
  <c r="AB24"/>
  <c r="AC27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A23" i="98" l="1"/>
  <c r="AA24" s="1"/>
  <c r="AC23"/>
  <c r="AC24" s="1"/>
  <c r="V23"/>
  <c r="W23"/>
  <c r="W24" s="1"/>
  <c r="S24"/>
  <c r="I28" s="1"/>
  <c r="AI23"/>
  <c r="AA23" i="97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B28" i="93"/>
  <c r="I33" s="1"/>
  <c r="I34" s="1"/>
  <c r="AI28"/>
  <c r="AN23"/>
  <c r="AR23" s="1"/>
  <c r="AX23" s="1"/>
  <c r="AZ23" s="1"/>
  <c r="BO23" s="1"/>
  <c r="AB28" i="92"/>
  <c r="I33" s="1"/>
  <c r="I34" s="1"/>
  <c r="AI28"/>
  <c r="AN23"/>
  <c r="AR23" s="1"/>
  <c r="AX23" s="1"/>
  <c r="AZ23" s="1"/>
  <c r="BO23" s="1"/>
  <c r="AN27" i="91"/>
  <c r="AR27" s="1"/>
  <c r="AX27" s="1"/>
  <c r="AZ27" s="1"/>
  <c r="BO27" s="1"/>
  <c r="AI28"/>
  <c r="X28"/>
  <c r="AB27"/>
  <c r="AB28" i="90"/>
  <c r="I33" s="1"/>
  <c r="I34" s="1"/>
  <c r="AB27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S24"/>
  <c r="CF30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B23" i="98" l="1"/>
  <c r="AB24" s="1"/>
  <c r="I29" s="1"/>
  <c r="I30" s="1"/>
  <c r="V24"/>
  <c r="AN23"/>
  <c r="AR23" s="1"/>
  <c r="AX23" s="1"/>
  <c r="AZ23" s="1"/>
  <c r="BO23" s="1"/>
  <c r="AI24"/>
  <c r="AB23" i="97"/>
  <c r="AB24" s="1"/>
  <c r="I29" s="1"/>
  <c r="I30" s="1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AT28" s="1"/>
  <c r="AU28" s="1"/>
  <c r="BZ30" i="89"/>
  <c r="CM24"/>
  <c r="CS23"/>
  <c r="CS24" s="1"/>
  <c r="BZ29" s="1"/>
  <c r="CZ24"/>
  <c r="DE23"/>
  <c r="DI23" s="1"/>
  <c r="DO23" s="1"/>
  <c r="DQ23" s="1"/>
  <c r="EF23" s="1"/>
  <c r="AB24" i="87"/>
  <c r="I29" s="1"/>
  <c r="I30" s="1"/>
  <c r="AC23"/>
  <c r="AC24" s="1"/>
  <c r="EU23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EU23" i="86" l="1"/>
  <c r="AB24" i="84"/>
  <c r="I29" s="1"/>
  <c r="I30" s="1"/>
  <c r="AC23"/>
  <c r="AC24" s="1"/>
  <c r="CY24" i="81"/>
  <c r="CF29" s="1"/>
  <c r="CF30" s="1"/>
  <c r="CZ23"/>
  <c r="CZ24" s="1"/>
  <c r="AK24" i="75" l="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8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4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8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7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3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4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8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7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1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9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9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2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6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3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3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0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3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</calcChain>
</file>

<file path=xl/sharedStrings.xml><?xml version="1.0" encoding="utf-8"?>
<sst xmlns="http://schemas.openxmlformats.org/spreadsheetml/2006/main" count="19029" uniqueCount="573">
  <si>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</si>
  <si>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</si>
  <si>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</si>
  <si>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</si>
  <si>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</si>
  <si>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</si>
  <si>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</si>
  <si>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</si>
  <si>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</si>
  <si>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</si>
  <si>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</si>
  <si>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</si>
  <si>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</si>
  <si>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</si>
  <si>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</si>
  <si>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</si>
  <si>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</si>
  <si>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</si>
  <si>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</si>
  <si>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</si>
  <si>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</si>
  <si>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</si>
  <si>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</si>
  <si>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</si>
  <si>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</si>
  <si>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</si>
  <si>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</si>
  <si>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</si>
  <si>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</si>
  <si>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</si>
  <si>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</si>
  <si>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</si>
  <si>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</si>
  <si>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</si>
  <si>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</si>
  <si>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</si>
  <si>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</si>
  <si>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</si>
  <si>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</si>
  <si>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</si>
  <si>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</si>
  <si>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</si>
  <si>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</si>
  <si>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</si>
  <si>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</si>
  <si>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</si>
  <si>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</si>
  <si>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</si>
  <si>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</si>
  <si>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</si>
  <si>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</si>
  <si>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</si>
  <si>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</si>
  <si>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</si>
  <si>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</si>
  <si>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</si>
  <si>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</si>
  <si>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</si>
  <si>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</si>
  <si>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</si>
  <si>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</si>
  <si>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</si>
  <si>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</si>
  <si>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</si>
  <si>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</si>
  <si>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</si>
  <si>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</si>
  <si>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</si>
  <si>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</si>
  <si>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</si>
  <si>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</si>
  <si>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</si>
  <si>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</si>
  <si>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</si>
  <si>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</si>
  <si>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</si>
  <si>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</si>
  <si>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</si>
  <si>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</si>
  <si>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</si>
  <si>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</si>
  <si>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</si>
  <si>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</si>
  <si>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</si>
  <si>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</si>
  <si>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</si>
  <si>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</si>
  <si>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</si>
  <si>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</si>
  <si>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</si>
  <si>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</si>
  <si>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</si>
  <si>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</si>
  <si>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</si>
  <si>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</si>
  <si>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</si>
  <si>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</si>
  <si>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</si>
  <si>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</si>
  <si>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</si>
  <si>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</si>
  <si>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</si>
  <si>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</si>
  <si>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</si>
  <si>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</si>
  <si>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</si>
  <si>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</si>
  <si>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</si>
  <si>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</si>
  <si>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</si>
  <si>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</si>
  <si>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</si>
  <si>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</si>
  <si>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</si>
  <si>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</si>
  <si>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</si>
  <si>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</si>
  <si>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</si>
  <si>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</si>
  <si>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</si>
  <si>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</si>
  <si>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</si>
  <si>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</si>
  <si>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</si>
  <si>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</si>
  <si>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</si>
  <si>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</si>
  <si>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</si>
  <si>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</si>
  <si>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</si>
  <si>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</si>
  <si>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</si>
  <si>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</si>
  <si>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</si>
  <si>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</si>
  <si>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</si>
  <si>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</si>
  <si>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</si>
  <si>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</si>
  <si>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</si>
  <si>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</si>
  <si>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</si>
  <si>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</si>
  <si>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</si>
  <si>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</si>
  <si>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</si>
  <si>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</si>
  <si>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</si>
  <si>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</si>
  <si>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</si>
  <si>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</si>
  <si>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</si>
  <si>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</si>
  <si>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</si>
  <si>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</si>
  <si>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</si>
  <si>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</si>
  <si>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</si>
  <si>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</si>
  <si>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</si>
  <si>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</si>
  <si>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</si>
  <si>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</si>
  <si>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</si>
  <si>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</si>
  <si>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</si>
  <si>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</si>
  <si>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</si>
  <si>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</si>
  <si>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</si>
  <si>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</si>
  <si>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</si>
  <si>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</si>
  <si>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</si>
  <si>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</si>
  <si>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</si>
  <si>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</si>
  <si>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</si>
  <si>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</si>
  <si>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</si>
  <si>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</si>
  <si>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</si>
  <si>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</si>
  <si>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</si>
  <si>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</si>
  <si>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</si>
  <si>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</si>
  <si>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</si>
  <si>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</si>
  <si>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</si>
  <si>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</si>
  <si>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</si>
  <si>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</si>
  <si>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</si>
  <si>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</si>
  <si>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</si>
  <si>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</si>
  <si>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</si>
  <si>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</si>
  <si>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</si>
  <si>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</si>
  <si>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</si>
  <si>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</si>
  <si>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</si>
  <si>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</si>
  <si>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</si>
  <si>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</si>
  <si>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</si>
  <si>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</si>
  <si>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</si>
  <si>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</si>
  <si>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</si>
  <si>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</si>
  <si>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</si>
  <si>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</si>
  <si>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</si>
  <si>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</si>
  <si>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</si>
  <si>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</si>
  <si>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</si>
  <si>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</si>
  <si>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</si>
  <si>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</si>
  <si>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</si>
  <si>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</si>
  <si>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</si>
  <si>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</si>
  <si>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</si>
  <si>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</si>
  <si>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</si>
  <si>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</si>
  <si>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</si>
  <si>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</si>
  <si>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</si>
  <si>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</si>
  <si>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</si>
  <si>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</si>
  <si>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</si>
  <si>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</si>
  <si>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</si>
  <si>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</si>
  <si>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</si>
  <si>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</si>
  <si>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</si>
  <si>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</si>
  <si>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</si>
  <si>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</si>
  <si>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</si>
  <si>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</si>
  <si>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</si>
  <si>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</si>
  <si>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</si>
  <si>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</si>
  <si>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</si>
  <si>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</si>
  <si>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</si>
  <si>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</si>
  <si>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</si>
  <si>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</si>
  <si>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</si>
  <si>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</si>
  <si>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</si>
  <si>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</si>
  <si>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</si>
  <si>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</si>
  <si>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</si>
  <si>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</si>
  <si>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</si>
  <si>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</si>
  <si>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</si>
  <si>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</si>
  <si>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</si>
  <si>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</si>
  <si>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</si>
  <si>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</si>
  <si>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</si>
  <si>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</si>
  <si>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</si>
  <si>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</si>
  <si>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</si>
  <si>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</si>
  <si>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</si>
  <si>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</si>
  <si>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</si>
  <si>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</si>
  <si>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</si>
  <si>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</si>
  <si>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</si>
  <si>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</si>
  <si>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</si>
  <si>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</si>
  <si>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</si>
  <si>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</si>
  <si>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</si>
  <si>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</si>
  <si>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</si>
  <si>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</si>
  <si>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</si>
  <si>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</si>
  <si>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</si>
  <si>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</si>
  <si>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</si>
  <si>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</si>
  <si>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</si>
  <si>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</si>
  <si>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</si>
  <si>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</si>
  <si>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</si>
  <si>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</si>
  <si>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</si>
  <si>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</si>
  <si>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</si>
  <si>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</si>
  <si>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</si>
  <si>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</si>
  <si>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</si>
  <si>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</si>
  <si>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</si>
  <si>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</si>
  <si>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</si>
  <si>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</si>
  <si>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</si>
  <si>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</si>
  <si>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</si>
  <si>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</si>
  <si>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</si>
  <si>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</si>
  <si>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</si>
  <si>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</si>
  <si>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</si>
  <si>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</si>
  <si>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</si>
  <si>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</si>
  <si>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</si>
  <si>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</si>
  <si>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</si>
  <si>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</si>
  <si>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</si>
  <si>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</si>
  <si>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</si>
  <si>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</si>
  <si>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</si>
  <si>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</si>
  <si>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</si>
  <si>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</si>
  <si>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</si>
  <si>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</si>
  <si>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</si>
  <si>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</si>
  <si>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</si>
  <si>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</si>
  <si>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</si>
  <si>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</si>
  <si>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</si>
  <si>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</si>
  <si>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</si>
  <si>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</si>
  <si>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</si>
  <si>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</si>
  <si>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</si>
  <si>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</si>
  <si>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</si>
  <si>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</si>
  <si>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</si>
  <si>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</si>
  <si>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</si>
  <si>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</si>
  <si>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</si>
  <si>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</si>
  <si>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</si>
  <si>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</si>
  <si>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</si>
  <si>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</si>
  <si>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</si>
  <si>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</si>
  <si>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</si>
  <si>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</si>
  <si>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</si>
  <si>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</si>
  <si>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</si>
  <si>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</si>
  <si>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</si>
  <si>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</si>
  <si>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</si>
  <si>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</si>
  <si>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</si>
  <si>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</si>
  <si>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</si>
  <si>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</si>
  <si>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</si>
  <si>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</si>
  <si>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</si>
  <si>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</si>
  <si>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</si>
  <si>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</si>
  <si>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</si>
  <si>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</si>
  <si>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</si>
  <si>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</si>
  <si>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</si>
  <si>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</si>
  <si>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</si>
  <si>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</si>
  <si>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</si>
  <si>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</si>
  <si>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</si>
  <si>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</si>
  <si>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</si>
  <si>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</si>
  <si>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</si>
  <si>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</si>
  <si>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</si>
  <si>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</si>
  <si>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</si>
  <si>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</si>
  <si>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</si>
  <si>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</si>
  <si>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</si>
  <si>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</si>
  <si>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</si>
  <si>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</si>
  <si>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</si>
  <si>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</si>
  <si>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</si>
  <si>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</si>
  <si>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</si>
  <si>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</si>
  <si>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</si>
  <si>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</si>
  <si>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</si>
  <si>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</si>
  <si>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</si>
  <si>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</si>
  <si>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</si>
  <si>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</si>
  <si>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</si>
  <si>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</si>
  <si>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</si>
  <si>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</si>
  <si>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</si>
  <si>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</si>
  <si>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</si>
  <si>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</si>
  <si>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</si>
  <si>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</si>
  <si>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</si>
  <si>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</si>
  <si>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</si>
  <si>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</si>
  <si>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</si>
  <si>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</si>
  <si>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</si>
  <si>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</si>
  <si>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</si>
  <si>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</si>
  <si>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</si>
  <si>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</si>
  <si>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</si>
  <si>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</si>
  <si>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</si>
  <si>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</si>
  <si>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</si>
  <si>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</si>
  <si>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</si>
  <si>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</si>
  <si>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</si>
  <si>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</si>
  <si>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</si>
  <si>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</si>
  <si>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</si>
  <si>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</si>
  <si>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</si>
  <si>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</si>
  <si>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</si>
  <si>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</si>
  <si>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</si>
  <si>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</si>
  <si>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</si>
  <si>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</si>
  <si>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</si>
  <si>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</si>
  <si>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</si>
  <si>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</si>
  <si>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</si>
  <si>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</si>
  <si>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</si>
  <si>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</si>
  <si>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</si>
  <si>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</si>
  <si>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</si>
  <si>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</si>
  <si>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</si>
  <si>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</si>
  <si>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</si>
  <si>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</si>
  <si>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</si>
  <si>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</si>
  <si>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</si>
  <si>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</si>
  <si>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</si>
  <si>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</si>
  <si>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</si>
  <si>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</si>
  <si>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</si>
  <si>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</si>
  <si>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</si>
  <si>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</si>
  <si>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</si>
  <si>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</si>
  <si>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</si>
  <si>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</si>
  <si>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</si>
  <si>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</si>
  <si>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</si>
  <si>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</si>
  <si>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</si>
  <si>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</si>
  <si>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</si>
  <si>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</si>
  <si>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</si>
  <si>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</si>
  <si>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</si>
  <si>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</si>
  <si>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</si>
  <si>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</si>
  <si>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</si>
  <si>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</si>
  <si>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</si>
  <si>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</si>
  <si>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</si>
  <si>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</si>
  <si>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</si>
  <si>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</si>
  <si>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</si>
  <si>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</si>
  <si>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</si>
  <si>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</si>
  <si>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</si>
  <si>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</si>
  <si>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</si>
  <si>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</si>
  <si>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</si>
  <si>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</si>
  <si>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</si>
  <si>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</si>
  <si>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</si>
  <si>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</si>
  <si>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</si>
  <si>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</si>
  <si>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</si>
  <si>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3300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</si>
  <si>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</si>
  <si>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</si>
  <si>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</si>
  <si>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</si>
  <si>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</si>
  <si>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</si>
  <si>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</si>
  <si>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</si>
  <si>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3200</t>
  </si>
  <si>
    <t>3000</t>
  </si>
  <si>
    <t>576.3</t>
  </si>
  <si>
    <t>571.3275</t>
  </si>
  <si>
    <t>48</t>
  </si>
  <si>
    <t>571.64108</t>
  </si>
  <si>
    <t>74</t>
  </si>
  <si>
    <t>3104.96</t>
  </si>
  <si>
    <t>704.22729</t>
  </si>
  <si>
    <t>213</t>
  </si>
  <si>
    <t>ROAU-RM-KPK-WOQE-UD-01</t>
  </si>
  <si>
    <t>ROAU-RM-KPK-WOQE-UD-02</t>
  </si>
  <si>
    <t>ROAU-RM-KPK-WOQE-RC-01</t>
  </si>
  <si>
    <t>ROAU-RM-KPK-WOQE-RC-02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</si>
</sst>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3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4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7" borderId="13" xfId="0" applyFont="1" applyFill="1" applyBorder="1" applyAlignment="1">
      <alignment horizontal="right"/>
    </xf>
    <xf numFmtId="0" fontId="2" fillId="0" borderId="13" xfId="0" applyFont="1" applyBorder="1" applyAlignment="1">
      <alignment horizontal="righ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3" fillId="0" borderId="23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top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1" fillId="7" borderId="13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externalLink" Target="externalLinks/externalLink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04"/>
      <c r="J33" s="204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04"/>
      <c r="J34" s="204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04"/>
      <c r="J35" s="204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05"/>
      <c r="H36" s="205"/>
      <c r="I36" s="204"/>
      <c r="J36" s="204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05"/>
      <c r="H37" s="205"/>
      <c r="I37" s="204"/>
      <c r="J37" s="204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13" t="s">
        <v>154</v>
      </c>
      <c r="B21" s="213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1709.64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4901.01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104.76964657962699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262.10845232486002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2777.98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10485.43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2507.6799999999998</v>
      </c>
      <c r="I32" s="69">
        <v>1</v>
      </c>
      <c r="J32" s="69">
        <v>2</v>
      </c>
      <c r="K32" s="69">
        <v>2.5</v>
      </c>
      <c r="L32" s="69">
        <f t="shared" si="7"/>
        <v>2507.6799999999998</v>
      </c>
      <c r="M32" s="69">
        <f t="shared" si="1"/>
        <v>25.08</v>
      </c>
      <c r="N32" s="69">
        <f t="shared" si="8"/>
        <v>2482.6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</v>
      </c>
      <c r="I34" s="69">
        <v>1</v>
      </c>
      <c r="J34" s="69">
        <v>2</v>
      </c>
      <c r="K34" s="69">
        <v>2.5</v>
      </c>
      <c r="L34" s="69">
        <f t="shared" si="7"/>
        <v>1372.8</v>
      </c>
      <c r="M34" s="69">
        <f t="shared" si="1"/>
        <v>13.73</v>
      </c>
      <c r="N34" s="69">
        <f t="shared" si="8"/>
        <v>1359.07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13978.35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6212.63</v>
      </c>
      <c r="W37" s="69">
        <f>ROUND(G37*$O$43,2)</f>
        <v>7.0000000000000007E-2</v>
      </c>
    </row>
    <row r="38" spans="1:23">
      <c r="A38" s="66"/>
      <c r="B38" s="214" t="s">
        <v>87</v>
      </c>
      <c r="C38" s="214"/>
      <c r="D38" s="214"/>
      <c r="E38" s="214"/>
      <c r="F38" s="214"/>
      <c r="G38" s="214"/>
      <c r="H38" s="71">
        <f>SUM(H23:H37)</f>
        <v>75435.259999999995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09" t="s">
        <v>194</v>
      </c>
      <c r="H40" s="210"/>
      <c r="I40" s="212">
        <f>H38</f>
        <v>75435.259999999995</v>
      </c>
      <c r="J40" s="212"/>
      <c r="K40" s="100"/>
      <c r="L40" s="66"/>
      <c r="M40" s="215" t="s">
        <v>195</v>
      </c>
      <c r="N40" s="216"/>
      <c r="O40" s="216"/>
      <c r="P40" s="217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09" t="s">
        <v>196</v>
      </c>
      <c r="H41" s="210"/>
      <c r="I41" s="212">
        <f>R38</f>
        <v>4077.7</v>
      </c>
      <c r="J41" s="212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09" t="s">
        <v>197</v>
      </c>
      <c r="H42" s="210"/>
      <c r="I42" s="212">
        <f>S38</f>
        <v>71357.56</v>
      </c>
      <c r="J42" s="212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09" t="s">
        <v>198</v>
      </c>
      <c r="H43" s="210"/>
      <c r="I43" s="212">
        <f>U38</f>
        <v>12844.37</v>
      </c>
      <c r="J43" s="212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09" t="s">
        <v>199</v>
      </c>
      <c r="H44" s="210"/>
      <c r="I44" s="211">
        <f>I42+I43</f>
        <v>84201.93</v>
      </c>
      <c r="J44" s="211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13" t="s">
        <v>200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4901.01</v>
      </c>
      <c r="V7" s="68">
        <f t="shared" ref="V7:V20" si="0">U7*$T$4</f>
        <v>406391.74920000002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10394.851199999999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2777.98</v>
      </c>
      <c r="V9" s="68">
        <f t="shared" si="0"/>
        <v>230350.10159999999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252679.62839999999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10485.43</v>
      </c>
      <c r="V11" s="68">
        <f t="shared" si="0"/>
        <v>869451.85560000001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173289.53279999999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2507.6799999999998</v>
      </c>
      <c r="H15" s="109">
        <v>0.01</v>
      </c>
      <c r="I15" s="109">
        <v>0.02</v>
      </c>
      <c r="J15" s="117">
        <v>2.5000000000000001E-2</v>
      </c>
      <c r="K15" s="68">
        <f t="shared" si="3"/>
        <v>2507.6799999999998</v>
      </c>
      <c r="L15" s="68">
        <f t="shared" si="4"/>
        <v>25.08</v>
      </c>
      <c r="M15" s="68">
        <f t="shared" si="5"/>
        <v>2482.6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7424.6567999999997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354652.98599999998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6212.63</v>
      </c>
      <c r="V20" s="68">
        <f t="shared" si="0"/>
        <v>515151.27960000001</v>
      </c>
      <c r="W20" s="68">
        <f t="shared" si="1"/>
        <v>5429.6016</v>
      </c>
    </row>
    <row r="21" spans="1:23">
      <c r="A21" s="66"/>
      <c r="B21" s="214" t="s">
        <v>87</v>
      </c>
      <c r="C21" s="214"/>
      <c r="D21" s="214"/>
      <c r="E21" s="214"/>
      <c r="F21" s="214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20" t="s">
        <v>206</v>
      </c>
      <c r="G23" s="220"/>
      <c r="H23" s="220"/>
      <c r="I23" s="220"/>
      <c r="J23" s="66"/>
      <c r="K23" s="220" t="s">
        <v>207</v>
      </c>
      <c r="L23" s="220"/>
      <c r="M23" s="220"/>
      <c r="N23" s="22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09" t="s">
        <v>194</v>
      </c>
      <c r="G24" s="210"/>
      <c r="H24" s="218">
        <f>G21</f>
        <v>71856.759999999995</v>
      </c>
      <c r="I24" s="218"/>
      <c r="J24" s="100"/>
      <c r="K24" s="209" t="s">
        <v>194</v>
      </c>
      <c r="L24" s="210"/>
      <c r="M24" s="218">
        <f>H24*$T$4</f>
        <v>5958362.5392000005</v>
      </c>
      <c r="N24" s="218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09" t="s">
        <v>196</v>
      </c>
      <c r="G25" s="210"/>
      <c r="H25" s="218">
        <f>Q21</f>
        <v>3884.27</v>
      </c>
      <c r="I25" s="218"/>
      <c r="J25" s="66"/>
      <c r="K25" s="209" t="s">
        <v>196</v>
      </c>
      <c r="L25" s="210"/>
      <c r="M25" s="218">
        <f t="shared" ref="M25:M28" si="14">H25*$T$4</f>
        <v>322083.66840000002</v>
      </c>
      <c r="N25" s="218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09" t="s">
        <v>197</v>
      </c>
      <c r="G26" s="210"/>
      <c r="H26" s="218">
        <f>R21</f>
        <v>67972.490000000005</v>
      </c>
      <c r="I26" s="218"/>
      <c r="J26" s="66"/>
      <c r="K26" s="209" t="s">
        <v>197</v>
      </c>
      <c r="L26" s="210"/>
      <c r="M26" s="218">
        <f t="shared" si="14"/>
        <v>5636278.8707999997</v>
      </c>
      <c r="N26" s="218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09" t="s">
        <v>198</v>
      </c>
      <c r="G27" s="210"/>
      <c r="H27" s="218">
        <f>T21</f>
        <v>12235.06</v>
      </c>
      <c r="I27" s="218"/>
      <c r="J27" s="66"/>
      <c r="K27" s="209" t="s">
        <v>198</v>
      </c>
      <c r="L27" s="210"/>
      <c r="M27" s="218">
        <f t="shared" si="14"/>
        <v>1014531.1752000001</v>
      </c>
      <c r="N27" s="218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09" t="s">
        <v>199</v>
      </c>
      <c r="G28" s="210"/>
      <c r="H28" s="219">
        <f>H26+H27</f>
        <v>80207.55</v>
      </c>
      <c r="I28" s="219"/>
      <c r="J28" s="66"/>
      <c r="K28" s="209" t="s">
        <v>199</v>
      </c>
      <c r="L28" s="210"/>
      <c r="M28" s="219">
        <f t="shared" si="14"/>
        <v>6650810.0460000001</v>
      </c>
      <c r="N28" s="219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13" t="s">
        <v>208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4901.01</v>
      </c>
      <c r="V4" s="68">
        <f t="shared" ref="V4:V17" si="1">U4*$T$1</f>
        <v>406391.74920000002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2777.98</v>
      </c>
      <c r="V6" s="68">
        <f t="shared" si="1"/>
        <v>230350.10159999999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252679.62839999999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10485.43</v>
      </c>
      <c r="V8" s="68">
        <f t="shared" si="1"/>
        <v>869451.85560000001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173289.53279999999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2507.6799999999998</v>
      </c>
      <c r="H12" s="109">
        <v>0.01</v>
      </c>
      <c r="I12" s="109">
        <v>0.02</v>
      </c>
      <c r="J12" s="79">
        <v>2.5000000000000001E-2</v>
      </c>
      <c r="K12" s="68">
        <f t="shared" si="3"/>
        <v>2507.6799999999998</v>
      </c>
      <c r="L12" s="68">
        <f t="shared" si="4"/>
        <v>25.08</v>
      </c>
      <c r="M12" s="68">
        <f t="shared" si="5"/>
        <v>2482.6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</v>
      </c>
      <c r="H14" s="109">
        <v>0.01</v>
      </c>
      <c r="I14" s="109">
        <v>0.02</v>
      </c>
      <c r="J14" s="79">
        <v>2.5000000000000001E-2</v>
      </c>
      <c r="K14" s="68">
        <f t="shared" si="3"/>
        <v>1372.8</v>
      </c>
      <c r="L14" s="68">
        <f t="shared" si="4"/>
        <v>13.73</v>
      </c>
      <c r="M14" s="68">
        <f t="shared" si="5"/>
        <v>1359.07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127061.63280000001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13978.35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6212.63</v>
      </c>
      <c r="V17" s="68">
        <f t="shared" si="1"/>
        <v>515151.27960000001</v>
      </c>
      <c r="W17" s="68">
        <f>ROUND(F17*$S$23*$T$1,2)</f>
        <v>5.43</v>
      </c>
    </row>
    <row r="18" spans="1:23">
      <c r="A18" s="66"/>
      <c r="B18" s="214" t="s">
        <v>87</v>
      </c>
      <c r="C18" s="214"/>
      <c r="D18" s="214"/>
      <c r="E18" s="214"/>
      <c r="F18" s="214"/>
      <c r="G18" s="71">
        <f>SUM(G3:G17)</f>
        <v>71570.81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67701.990000000005</v>
      </c>
      <c r="S18" s="71"/>
      <c r="T18" s="71">
        <f>SUM(T3:T17)</f>
        <v>12186.37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20" t="s">
        <v>206</v>
      </c>
      <c r="G20" s="220"/>
      <c r="H20" s="220"/>
      <c r="I20" s="220"/>
      <c r="J20" s="66"/>
      <c r="K20" s="220" t="s">
        <v>207</v>
      </c>
      <c r="L20" s="220"/>
      <c r="M20" s="220"/>
      <c r="N20" s="220"/>
      <c r="O20" s="66"/>
      <c r="P20" s="66"/>
      <c r="Q20" s="215" t="s">
        <v>195</v>
      </c>
      <c r="R20" s="216"/>
      <c r="S20" s="216"/>
      <c r="T20" s="217"/>
      <c r="U20" s="66"/>
      <c r="V20" s="66"/>
      <c r="W20" s="66"/>
    </row>
    <row r="21" spans="1:23">
      <c r="A21" s="66"/>
      <c r="B21" s="66"/>
      <c r="C21" s="66"/>
      <c r="D21" s="66"/>
      <c r="E21" s="66"/>
      <c r="F21" s="209" t="s">
        <v>194</v>
      </c>
      <c r="G21" s="210"/>
      <c r="H21" s="218">
        <f>G18</f>
        <v>71570.81</v>
      </c>
      <c r="I21" s="218"/>
      <c r="J21" s="100"/>
      <c r="K21" s="209" t="s">
        <v>194</v>
      </c>
      <c r="L21" s="210"/>
      <c r="M21" s="218">
        <f>H21*$T$1</f>
        <v>5934651.5652000001</v>
      </c>
      <c r="N21" s="218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09" t="s">
        <v>196</v>
      </c>
      <c r="G22" s="210"/>
      <c r="H22" s="218">
        <f>Q18</f>
        <v>3868.82</v>
      </c>
      <c r="I22" s="218"/>
      <c r="J22" s="66"/>
      <c r="K22" s="209" t="s">
        <v>196</v>
      </c>
      <c r="L22" s="210"/>
      <c r="M22" s="218">
        <f t="shared" ref="M22:M25" si="14">H22*$T$1</f>
        <v>320802.55440000002</v>
      </c>
      <c r="N22" s="218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09" t="s">
        <v>197</v>
      </c>
      <c r="G23" s="210"/>
      <c r="H23" s="218">
        <f>R18</f>
        <v>67701.990000000005</v>
      </c>
      <c r="I23" s="218"/>
      <c r="J23" s="66"/>
      <c r="K23" s="209" t="s">
        <v>197</v>
      </c>
      <c r="L23" s="210"/>
      <c r="M23" s="218">
        <f t="shared" si="14"/>
        <v>5613849.0108000003</v>
      </c>
      <c r="N23" s="218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09" t="s">
        <v>198</v>
      </c>
      <c r="G24" s="210"/>
      <c r="H24" s="218">
        <f>T18</f>
        <v>12186.37</v>
      </c>
      <c r="I24" s="218"/>
      <c r="J24" s="66"/>
      <c r="K24" s="209" t="s">
        <v>198</v>
      </c>
      <c r="L24" s="210"/>
      <c r="M24" s="218">
        <f t="shared" si="14"/>
        <v>1010493.8003999999</v>
      </c>
      <c r="N24" s="218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09" t="s">
        <v>199</v>
      </c>
      <c r="G25" s="210"/>
      <c r="H25" s="219">
        <f>H23+H24</f>
        <v>79888.36</v>
      </c>
      <c r="I25" s="219"/>
      <c r="J25" s="66"/>
      <c r="K25" s="209" t="s">
        <v>199</v>
      </c>
      <c r="L25" s="210"/>
      <c r="M25" s="219">
        <f t="shared" si="14"/>
        <v>6624342.8112000003</v>
      </c>
      <c r="N25" s="219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555.29999999999995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555.29999999999995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570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56.06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abSelected="1"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572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262</v>
      </c>
      <c r="H24" s="69">
        <f>F24*G24</f>
        <v>486</v>
      </c>
      <c r="I24" t="s">
        <v>263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264</v>
      </c>
      <c r="AV24" t="s">
        <v>265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266</v>
      </c>
      <c r="BN24" t="s">
        <v>267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271</v>
      </c>
      <c r="AV23" t="s">
        <v>272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273</v>
      </c>
      <c r="BN23" t="s">
        <v>274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277</v>
      </c>
      <c r="AV24" t="s">
        <v>278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279</v>
      </c>
      <c r="BN24" t="s">
        <v>280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282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283</v>
      </c>
      <c r="AS23" t="s">
        <v>284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285</v>
      </c>
      <c r="BK23" t="s">
        <v>286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287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288</v>
      </c>
      <c r="H24" s="69">
        <f>F24*G24</f>
        <v>696</v>
      </c>
      <c r="I24" t="s">
        <v>289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290</v>
      </c>
      <c r="AS24" t="s">
        <v>291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293</v>
      </c>
      <c r="BK24" t="s">
        <v>294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295</v>
      </c>
      <c r="AT27" t="s">
        <v>296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297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299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299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300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301</v>
      </c>
      <c r="H24" s="69">
        <f>F24*G24</f>
        <v>468</v>
      </c>
      <c r="I24" t="s">
        <v>302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303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304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80.95</v>
      </c>
      <c r="W25" s="78">
        <f>SUM(W23:W24)</f>
        <v>80.95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161.9</v>
      </c>
      <c r="AC25" s="80">
        <f>SUM(AC23:AC24)</f>
        <v>983.87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306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307</v>
      </c>
      <c r="BN23" t="s">
        <v>308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309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310</v>
      </c>
      <c r="AT23" s="83" t="s">
        <v>58</v>
      </c>
      <c r="AU23" t="s">
        <v>223</v>
      </c>
      <c r="AV23" t="s">
        <v>311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311</v>
      </c>
      <c r="BN23" t="s">
        <v>302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310</v>
      </c>
      <c r="AT24" s="83" t="s">
        <v>58</v>
      </c>
      <c r="AU24" t="s">
        <v>302</v>
      </c>
      <c r="AV24" t="s">
        <v>313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313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314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310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300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310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313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317</v>
      </c>
      <c r="BN23" t="s">
        <v>318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302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320</v>
      </c>
      <c r="AV23" t="s">
        <v>321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322</v>
      </c>
      <c r="BN23" t="s">
        <v>308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264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267</v>
      </c>
      <c r="AV23" t="s">
        <v>325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326</v>
      </c>
      <c r="BN23" t="s">
        <v>308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302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302</v>
      </c>
      <c r="AV24" t="s">
        <v>328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328</v>
      </c>
      <c r="BN24" t="s">
        <v>308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1478.45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333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336</v>
      </c>
      <c r="BN24" t="s">
        <v>267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337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337</v>
      </c>
      <c r="BN23" t="s">
        <v>338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261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339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339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341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330</v>
      </c>
      <c r="AT23" s="83" t="s">
        <v>58</v>
      </c>
      <c r="AU23" t="s">
        <v>239</v>
      </c>
      <c r="AV23" t="s">
        <v>342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342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344</v>
      </c>
      <c r="H24" s="69">
        <f>F24*G24</f>
        <v>688</v>
      </c>
      <c r="I24" t="s">
        <v>264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330</v>
      </c>
      <c r="AT24" s="83" t="s">
        <v>58</v>
      </c>
      <c r="AU24" t="s">
        <v>239</v>
      </c>
      <c r="AV24" t="s">
        <v>345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346</v>
      </c>
      <c r="BN24" t="s">
        <v>267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1179.3900000000001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348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349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351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353</v>
      </c>
      <c r="BN24" t="s">
        <v>338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341</v>
      </c>
      <c r="H23" s="69">
        <f>F23*G23</f>
        <v>488</v>
      </c>
      <c r="I23" t="s">
        <v>355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351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301</v>
      </c>
      <c r="H24" s="69">
        <f>F24*G24</f>
        <v>468</v>
      </c>
      <c r="I24" t="s">
        <v>357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353</v>
      </c>
      <c r="BN24" t="s">
        <v>338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358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1073.4100000000001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310</v>
      </c>
      <c r="AT23" s="83" t="s">
        <v>58</v>
      </c>
      <c r="AU23" t="s">
        <v>239</v>
      </c>
      <c r="AV23" t="s">
        <v>309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359</v>
      </c>
      <c r="BN23" t="s">
        <v>360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361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310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911.34</v>
      </c>
      <c r="I23" t="s">
        <v>270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431.96499999999997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431.96499999999997</v>
      </c>
      <c r="AS23" s="83" t="s">
        <v>310</v>
      </c>
      <c r="AT23" s="83" t="s">
        <v>58</v>
      </c>
      <c r="AU23" t="s">
        <v>239</v>
      </c>
      <c r="AV23" t="s">
        <v>364</v>
      </c>
      <c r="AW23" s="83">
        <f>AM23</f>
        <v>2</v>
      </c>
      <c r="AX23" s="83">
        <f>AR23</f>
        <v>431.96499999999997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364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367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310</v>
      </c>
      <c r="AT24" s="83" t="s">
        <v>58</v>
      </c>
      <c r="AU24" t="s">
        <v>239</v>
      </c>
      <c r="AV24" t="s">
        <v>368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368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348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349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370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371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371</v>
      </c>
      <c r="BN23" t="s">
        <v>264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372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373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374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374</v>
      </c>
      <c r="BN24" t="s">
        <v>264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3474.61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3673.17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198.56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3474.61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625.44000000000005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4100.05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385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361</v>
      </c>
      <c r="H23" s="69">
        <f>F23*G23</f>
        <v>14400</v>
      </c>
      <c r="I23" t="s">
        <v>302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386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09" t="s">
        <v>194</v>
      </c>
      <c r="H26" s="210"/>
      <c r="I26" s="212">
        <f>H24</f>
        <v>14400</v>
      </c>
      <c r="J26" s="212"/>
      <c r="K26" s="100"/>
      <c r="L26" s="66"/>
      <c r="M26" s="215" t="s">
        <v>195</v>
      </c>
      <c r="N26" s="216"/>
      <c r="O26" s="216"/>
      <c r="P26" s="21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375</v>
      </c>
      <c r="BI26" s="135" t="s">
        <v>376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196</v>
      </c>
      <c r="H27" s="210"/>
      <c r="I27" s="212">
        <f>R24</f>
        <v>1123.43</v>
      </c>
      <c r="J27" s="21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197</v>
      </c>
      <c r="H28" s="210"/>
      <c r="I28" s="212">
        <f>S24</f>
        <v>13276.57</v>
      </c>
      <c r="J28" s="21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198</v>
      </c>
      <c r="H29" s="210"/>
      <c r="I29" s="212">
        <f>AB24</f>
        <v>2389.7800000000002</v>
      </c>
      <c r="J29" s="21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199</v>
      </c>
      <c r="H30" s="210"/>
      <c r="I30" s="211">
        <f>I28+I29</f>
        <v>15666.35</v>
      </c>
      <c r="J30" s="21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379</v>
      </c>
      <c r="BN31" s="66" t="s">
        <v>380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381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382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383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384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8329.5400000000009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389</v>
      </c>
      <c r="BN23" t="s">
        <v>390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8329.5400000000009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09" t="s">
        <v>194</v>
      </c>
      <c r="H26" s="210"/>
      <c r="I26" s="212">
        <f>H24</f>
        <v>7500</v>
      </c>
      <c r="J26" s="212"/>
      <c r="K26" s="100"/>
      <c r="L26" s="66"/>
      <c r="M26" s="215" t="s">
        <v>195</v>
      </c>
      <c r="N26" s="216"/>
      <c r="O26" s="216"/>
      <c r="P26" s="21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375</v>
      </c>
      <c r="BI26" s="135" t="s">
        <v>376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196</v>
      </c>
      <c r="H27" s="210"/>
      <c r="I27" s="212">
        <f>R24</f>
        <v>441.06</v>
      </c>
      <c r="J27" s="21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197</v>
      </c>
      <c r="H28" s="210"/>
      <c r="I28" s="212">
        <f>S24</f>
        <v>7058.94</v>
      </c>
      <c r="J28" s="21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198</v>
      </c>
      <c r="H29" s="210"/>
      <c r="I29" s="212">
        <f>AB24</f>
        <v>1270.5999999999999</v>
      </c>
      <c r="J29" s="21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199</v>
      </c>
      <c r="H30" s="210"/>
      <c r="I30" s="211">
        <f>I28+I29</f>
        <v>8329.5400000000009</v>
      </c>
      <c r="J30" s="21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379</v>
      </c>
      <c r="BN31" s="66" t="s">
        <v>380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381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382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383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384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391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392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393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274</v>
      </c>
      <c r="H24" s="69">
        <f t="shared" ref="H24" si="3">F24*G24</f>
        <v>6608</v>
      </c>
      <c r="I24" t="s">
        <v>395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373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396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12358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842.29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11515.71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2072.8200000000002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13588.53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361</v>
      </c>
      <c r="H23" s="69">
        <f>F23*G23</f>
        <v>10800</v>
      </c>
      <c r="I23" t="s">
        <v>264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310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312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310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312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21300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1458.09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19841.91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3571.55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23413.46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399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344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400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400</v>
      </c>
      <c r="BN23" t="s">
        <v>401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402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301</v>
      </c>
      <c r="H24" s="69">
        <f t="shared" ref="H24" si="3">F24*G24</f>
        <v>6552</v>
      </c>
      <c r="I24" t="s">
        <v>403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373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404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404</v>
      </c>
      <c r="BN24" t="s">
        <v>405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15152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944.18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14207.82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2557.4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16765.22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361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9944.4599999999991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310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312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407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310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312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1526.64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24000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1526.64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22473.360000000001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4045.2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26518.560000000001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312</v>
      </c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408</v>
      </c>
      <c r="H23" s="69">
        <f>F23*G23</f>
        <v>3555</v>
      </c>
      <c r="I23" t="s">
        <v>409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410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410</v>
      </c>
      <c r="BN23" t="s">
        <v>411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412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413</v>
      </c>
      <c r="H24" s="69">
        <f t="shared" ref="H24" si="3">F24*G24</f>
        <v>10944</v>
      </c>
      <c r="I24" t="s">
        <v>357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373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414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415</v>
      </c>
      <c r="BN24" t="s">
        <v>416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14499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1001.74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13497.26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2429.5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15926.76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417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418</v>
      </c>
      <c r="BN23" t="s">
        <v>419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420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264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373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422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422</v>
      </c>
      <c r="BN24" t="s">
        <v>423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9000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615.49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8384.51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1509.22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9893.73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424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425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425</v>
      </c>
      <c r="BN23" t="s">
        <v>426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427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373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428</v>
      </c>
      <c r="BN24" t="s">
        <v>429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348.29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6443.34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348.29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6095.05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1097.0999999999999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7192.15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430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431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431</v>
      </c>
      <c r="BN23" t="s">
        <v>411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367</v>
      </c>
      <c r="H24" s="69">
        <f t="shared" ref="H24" si="3">F24*G24</f>
        <v>4140</v>
      </c>
      <c r="I24" t="s">
        <v>264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373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432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432</v>
      </c>
      <c r="BN24" t="s">
        <v>433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379.47</v>
      </c>
      <c r="W25" s="77">
        <f t="shared" si="24"/>
        <v>379.47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4545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328.67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4216.33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758.94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4975.2700000000004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264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310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365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435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310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365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9300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637.44000000000005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8662.56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1559.27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10221.83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264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310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365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310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365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9300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637.44000000000005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8662.56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1559.27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10221.83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439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310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312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440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264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310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312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9836.7800000000007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10076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710.49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9365.51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1685.79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11051.3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309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441</v>
      </c>
      <c r="AV23" t="s">
        <v>442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442</v>
      </c>
      <c r="BN23" t="s">
        <v>443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309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373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444</v>
      </c>
      <c r="AV24" t="s">
        <v>445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445</v>
      </c>
      <c r="BN24" t="s">
        <v>446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2700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171.75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2528.25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455.08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2983.33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372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310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312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370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310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312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5349.06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289.16000000000003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5059.8999999999996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910.78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5970.68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448</v>
      </c>
      <c r="AS23" t="s">
        <v>449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452</v>
      </c>
      <c r="BK23" t="s">
        <v>453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373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455</v>
      </c>
      <c r="AS24" t="s">
        <v>456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458</v>
      </c>
      <c r="BK24" t="s">
        <v>459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10654.75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575.95000000000005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10078.799999999999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1814.19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11892.99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425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349</v>
      </c>
      <c r="BJ23" t="s">
        <v>425</v>
      </c>
      <c r="BK23" t="s">
        <v>309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373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462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349</v>
      </c>
      <c r="BJ24" t="s">
        <v>462</v>
      </c>
      <c r="BK24" t="s">
        <v>463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10654.75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575.95000000000005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10078.799999999999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1814.19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11892.99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466</v>
      </c>
      <c r="AS23" t="s">
        <v>467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469</v>
      </c>
      <c r="H24" s="69">
        <f t="shared" ref="H24" si="4">F24*G24</f>
        <v>2380</v>
      </c>
      <c r="I24" t="s">
        <v>264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373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470</v>
      </c>
      <c r="AS24" t="s">
        <v>471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</v>
      </c>
      <c r="W25" s="77">
        <f t="shared" si="26"/>
        <v>364.34</v>
      </c>
      <c r="X25" s="77">
        <f t="shared" si="26"/>
        <v>0</v>
      </c>
      <c r="Y25" s="71">
        <f t="shared" si="26"/>
        <v>728.68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4347.5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299.27999999999997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4048.22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728.68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4776.8999999999996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832.84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235.26666666666699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235.26666666666699</v>
      </c>
      <c r="AP24" s="83" t="s">
        <v>222</v>
      </c>
      <c r="AQ24" s="83" t="s">
        <v>58</v>
      </c>
      <c r="AR24" t="s">
        <v>239</v>
      </c>
      <c r="AS24" t="s">
        <v>474</v>
      </c>
      <c r="AT24" s="83">
        <f t="shared" ref="AT24" si="23">AJ24</f>
        <v>3</v>
      </c>
      <c r="AU24" s="83">
        <f t="shared" ref="AU24" si="24">AO24</f>
        <v>235.26666666666699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474</v>
      </c>
      <c r="BK24" t="s">
        <v>264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476</v>
      </c>
      <c r="H23" s="69">
        <f>F23*G23</f>
        <v>1572</v>
      </c>
      <c r="I23" t="s">
        <v>314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479</v>
      </c>
      <c r="H24" s="69">
        <f t="shared" ref="H24" si="6">F24*G24</f>
        <v>1305</v>
      </c>
      <c r="I24" t="s">
        <v>355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407.40666666666698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407.40666666666698</v>
      </c>
      <c r="AP24" s="83" t="s">
        <v>222</v>
      </c>
      <c r="AQ24" s="83" t="s">
        <v>58</v>
      </c>
      <c r="AR24" t="s">
        <v>239</v>
      </c>
      <c r="AS24" t="s">
        <v>480</v>
      </c>
      <c r="AT24" s="83">
        <f t="shared" ref="AT24" si="18">AJ24</f>
        <v>3</v>
      </c>
      <c r="AU24" s="83">
        <f>AO24</f>
        <v>407.40666666666698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480</v>
      </c>
      <c r="BK24" t="s">
        <v>264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361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310</v>
      </c>
      <c r="AT23" s="83" t="s">
        <v>58</v>
      </c>
      <c r="AU23" t="s">
        <v>239</v>
      </c>
      <c r="AV23" t="s">
        <v>482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482</v>
      </c>
      <c r="BN23" t="s">
        <v>302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310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256</v>
      </c>
      <c r="BN24" t="s">
        <v>302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135.52000000000001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361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310</v>
      </c>
      <c r="AT23" s="83" t="s">
        <v>58</v>
      </c>
      <c r="AU23" t="s">
        <v>239</v>
      </c>
      <c r="AV23" t="s">
        <v>482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482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486</v>
      </c>
      <c r="H24" s="69">
        <f>F24*G24</f>
        <v>1400</v>
      </c>
      <c r="I24" t="s">
        <v>264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310</v>
      </c>
      <c r="AT24" s="83" t="s">
        <v>58</v>
      </c>
      <c r="AU24" t="s">
        <v>239</v>
      </c>
      <c r="AV24" t="s">
        <v>487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487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08" t="s">
        <v>89</v>
      </c>
      <c r="B21" s="20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489</v>
      </c>
      <c r="H23" s="69">
        <f>F23*G23</f>
        <v>86325</v>
      </c>
      <c r="I23" t="s">
        <v>264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6144.52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348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349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6144.52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490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491</v>
      </c>
      <c r="BK23" t="s">
        <v>492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</v>
      </c>
      <c r="AP24" s="83" t="s">
        <v>222</v>
      </c>
      <c r="AQ24" s="83" t="s">
        <v>58</v>
      </c>
      <c r="AR24" t="s">
        <v>239</v>
      </c>
      <c r="AS24" t="s">
        <v>494</v>
      </c>
      <c r="AT24" s="83">
        <f t="shared" ref="AT24" si="21">AJ24</f>
        <v>3</v>
      </c>
      <c r="AU24" s="83">
        <f>AO24</f>
        <v>123.303333333333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495</v>
      </c>
      <c r="BK24" t="s">
        <v>496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5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491</v>
      </c>
      <c r="BN23" t="s">
        <v>492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500</v>
      </c>
      <c r="BN23" t="s">
        <v>267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95.105000000000004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320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95.105000000000004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500</v>
      </c>
      <c r="BN23" t="s">
        <v>267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</v>
      </c>
      <c r="AS23" s="48" t="s">
        <v>229</v>
      </c>
      <c r="AT23" s="48" t="s">
        <v>58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315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316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313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317</v>
      </c>
      <c r="BN23" s="27" t="s">
        <v>318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</v>
      </c>
      <c r="AS23" s="48" t="s">
        <v>229</v>
      </c>
      <c r="AT23" s="48" t="s">
        <v>58</v>
      </c>
      <c r="AU23" s="27" t="s">
        <v>239</v>
      </c>
      <c r="AV23" s="27" t="s">
        <v>313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317</v>
      </c>
      <c r="BN23" s="27" t="s">
        <v>318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302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511</v>
      </c>
      <c r="C23" s="25" t="s">
        <v>511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320</v>
      </c>
      <c r="AV23" s="27" t="s">
        <v>321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322</v>
      </c>
      <c r="BN23" s="27" t="s">
        <v>308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</row>
    <row r="23" spans="1:150" ht="15.75" thickBot="1">
      <c r="A23" s="170">
        <v>1</v>
      </c>
      <c r="B23" s="170" t="s">
        <v>518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518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512</v>
      </c>
      <c r="EN22" s="167" t="s">
        <v>513</v>
      </c>
      <c r="EO22" s="167" t="s">
        <v>514</v>
      </c>
      <c r="EP22" s="167" t="s">
        <v>515</v>
      </c>
      <c r="EQ22" s="167" t="s">
        <v>516</v>
      </c>
      <c r="ER22" s="167" t="s">
        <v>517</v>
      </c>
    </row>
    <row r="23" spans="1:148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373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523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373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310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312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523</v>
      </c>
      <c r="EN23" s="85" t="s">
        <v>520</v>
      </c>
      <c r="EO23" s="85" t="s">
        <v>521</v>
      </c>
      <c r="EP23" s="85" t="s">
        <v>522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33" t="s">
        <v>194</v>
      </c>
      <c r="CC26" s="234"/>
      <c r="CD26" s="235">
        <f>CC24</f>
        <v>1000</v>
      </c>
      <c r="CE26" s="235"/>
      <c r="CF26" s="186"/>
      <c r="CG26" s="137"/>
      <c r="CH26" s="236" t="s">
        <v>195</v>
      </c>
      <c r="CI26" s="237"/>
      <c r="CJ26" s="237"/>
      <c r="CK26" s="238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375</v>
      </c>
      <c r="ED26" s="187" t="s">
        <v>376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33" t="s">
        <v>196</v>
      </c>
      <c r="CC27" s="234"/>
      <c r="CD27" s="235">
        <f>CM24</f>
        <v>0</v>
      </c>
      <c r="CE27" s="235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377</v>
      </c>
      <c r="ED27" s="187" t="s">
        <v>378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33" t="s">
        <v>197</v>
      </c>
      <c r="CC28" s="234"/>
      <c r="CD28" s="235">
        <f>CN24</f>
        <v>1000</v>
      </c>
      <c r="CE28" s="235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33" t="s">
        <v>198</v>
      </c>
      <c r="CC29" s="234"/>
      <c r="CD29" s="235">
        <f>CW24</f>
        <v>180</v>
      </c>
      <c r="CE29" s="235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33" t="s">
        <v>199</v>
      </c>
      <c r="CC30" s="234"/>
      <c r="CD30" s="239">
        <f>CD28+CD29</f>
        <v>1180</v>
      </c>
      <c r="CE30" s="239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379</v>
      </c>
      <c r="EI31" s="137" t="s">
        <v>380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381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382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383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384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  <mergeCell ref="CB26:CC26"/>
    <mergeCell ref="CD26:CE26"/>
    <mergeCell ref="CH26:CK26"/>
    <mergeCell ref="G27:H27"/>
    <mergeCell ref="I27:J27"/>
    <mergeCell ref="CB27:CC27"/>
    <mergeCell ref="CD27:CE27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</row>
    <row r="23" spans="1:75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373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524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</row>
    <row r="23" spans="1:150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373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518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280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1280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</row>
    <row r="23" spans="1:151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373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96" t="s">
        <v>527</v>
      </c>
    </row>
    <row r="23" spans="1:152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373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1800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1800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324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2124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96" t="s">
        <v>527</v>
      </c>
    </row>
    <row r="23" spans="1:152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529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373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1500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1500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270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1770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67" t="s">
        <v>527</v>
      </c>
      <c r="EW22" s="167" t="s">
        <v>530</v>
      </c>
      <c r="EX22" s="167" t="s">
        <v>531</v>
      </c>
    </row>
    <row r="23" spans="1:154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373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532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150.27000000000001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150.27000000000001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27.04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177.31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30" t="s">
        <v>154</v>
      </c>
      <c r="BS1" s="230"/>
      <c r="BT1" s="230"/>
      <c r="BU1" s="230"/>
      <c r="BV1" s="230"/>
      <c r="BW1" s="230"/>
      <c r="BX1" s="230"/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31" t="s">
        <v>87</v>
      </c>
      <c r="BT19" s="231"/>
      <c r="BU19" s="231"/>
      <c r="BV19" s="231"/>
      <c r="BW19" s="231"/>
      <c r="BX19" s="231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32" t="s">
        <v>89</v>
      </c>
      <c r="BS21" s="232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533</v>
      </c>
      <c r="EJ22" s="197" t="s">
        <v>512</v>
      </c>
      <c r="EK22" s="197" t="s">
        <v>534</v>
      </c>
      <c r="EL22" s="197" t="s">
        <v>535</v>
      </c>
      <c r="EM22" s="197" t="s">
        <v>513</v>
      </c>
      <c r="EN22" s="197" t="s">
        <v>514</v>
      </c>
      <c r="EO22" s="197" t="s">
        <v>515</v>
      </c>
      <c r="EP22" s="197" t="s">
        <v>516</v>
      </c>
      <c r="EQ22" s="197" t="s">
        <v>536</v>
      </c>
      <c r="ER22" s="198" t="s">
        <v>53</v>
      </c>
    </row>
    <row r="23" spans="1:148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361</v>
      </c>
      <c r="H23" s="171">
        <f>F23*G23</f>
        <v>7200</v>
      </c>
      <c r="I23" t="s">
        <v>264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538</v>
      </c>
      <c r="AT23" s="176" t="s">
        <v>58</v>
      </c>
      <c r="AU23" t="s">
        <v>239</v>
      </c>
      <c r="AV23" t="s">
        <v>539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541</v>
      </c>
      <c r="BN23" t="s">
        <v>542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537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264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538</v>
      </c>
      <c r="DK23" s="176" t="s">
        <v>58</v>
      </c>
      <c r="DL23" t="s">
        <v>239</v>
      </c>
      <c r="DM23" t="s">
        <v>543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540</v>
      </c>
      <c r="ED23" t="s">
        <v>544</v>
      </c>
      <c r="EE23" t="s">
        <v>470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545</v>
      </c>
      <c r="EJ23" s="199" t="s">
        <v>519</v>
      </c>
      <c r="EK23" s="199">
        <v>10100</v>
      </c>
      <c r="EL23" s="199" t="s">
        <v>546</v>
      </c>
      <c r="EM23" s="200" t="s">
        <v>547</v>
      </c>
      <c r="EN23" s="199" t="s">
        <v>521</v>
      </c>
      <c r="EO23" s="201" t="s">
        <v>548</v>
      </c>
      <c r="EP23" s="199">
        <v>450</v>
      </c>
      <c r="EQ23" s="199" t="s">
        <v>549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7200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33" t="s">
        <v>194</v>
      </c>
      <c r="BY26" s="234"/>
      <c r="BZ26" s="235">
        <f>BY24</f>
        <v>13200</v>
      </c>
      <c r="CA26" s="235"/>
      <c r="CB26" s="186"/>
      <c r="CC26" s="137"/>
      <c r="CD26" s="236" t="s">
        <v>195</v>
      </c>
      <c r="CE26" s="237"/>
      <c r="CF26" s="237"/>
      <c r="CG26" s="238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375</v>
      </c>
      <c r="DZ26" s="187" t="s">
        <v>376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526.79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33" t="s">
        <v>196</v>
      </c>
      <c r="BY27" s="234"/>
      <c r="BZ27" s="235">
        <f>CI24</f>
        <v>965.78</v>
      </c>
      <c r="CA27" s="235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377</v>
      </c>
      <c r="DZ27" s="187" t="s">
        <v>378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6673.21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33" t="s">
        <v>197</v>
      </c>
      <c r="BY28" s="234"/>
      <c r="BZ28" s="235">
        <f>CJ24</f>
        <v>12234.22</v>
      </c>
      <c r="CA28" s="235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1201.18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33" t="s">
        <v>198</v>
      </c>
      <c r="BY29" s="234"/>
      <c r="BZ29" s="235">
        <f>CS24</f>
        <v>2202.16</v>
      </c>
      <c r="CA29" s="235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7874.39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33" t="s">
        <v>199</v>
      </c>
      <c r="BY30" s="234"/>
      <c r="BZ30" s="239">
        <f>BZ28+BZ29</f>
        <v>14436.38</v>
      </c>
      <c r="CA30" s="239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379</v>
      </c>
      <c r="EE31" s="137" t="s">
        <v>380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381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382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383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384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550</v>
      </c>
      <c r="H23" s="171">
        <f>F23*G23</f>
        <v>3300</v>
      </c>
      <c r="I23">
        <v>1</v>
      </c>
      <c r="J23" s="171">
        <v>1</v>
      </c>
      <c r="K23" s="171">
        <v>1</v>
      </c>
      <c r="L23" s="171">
        <f>H23</f>
        <v>3300</v>
      </c>
      <c r="M23" s="171">
        <f>ROUND(L23*I23%,2)</f>
        <v>33</v>
      </c>
      <c r="N23" s="171">
        <f>H23-M23</f>
        <v>3267</v>
      </c>
      <c r="O23" s="171">
        <f>ROUND(N23*J23%,2)</f>
        <v>32.67</v>
      </c>
      <c r="P23" s="171">
        <f>ROUND(N23-O23,2)</f>
        <v>3234.33</v>
      </c>
      <c r="Q23" s="171">
        <f>ROUND(P23*K23%,2)</f>
        <v>32.340000000000003</v>
      </c>
      <c r="R23" s="171">
        <f>ROUND((M23+O23+Q23),2)</f>
        <v>98.01</v>
      </c>
      <c r="S23" s="171">
        <f>ROUND((H23-R23),2)</f>
        <v>3201.99</v>
      </c>
      <c r="T23" s="172" t="s">
        <v>146</v>
      </c>
      <c r="U23" s="173">
        <v>0.18</v>
      </c>
      <c r="V23" s="171">
        <f>IF(OR($C$21=1,$C$21=4),ROUND(((S23*U23)/2),2),0)</f>
        <v>288.18</v>
      </c>
      <c r="W23" s="171">
        <f>IF($C$21=1,ROUND(((S23*U23)/2),2),0)</f>
        <v>288.18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576.36</v>
      </c>
      <c r="AC23" s="170">
        <f>IF($V21=1,S23+AB23,S23)</f>
        <v>3201.99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3201.99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3201.99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3201.99</v>
      </c>
      <c r="AS23" s="176" t="s">
        <v>538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3201.99</v>
      </c>
      <c r="AY23" s="176">
        <f>AU23+AW23</f>
        <v>1</v>
      </c>
      <c r="AZ23" s="176">
        <f>ROUND(((AU23*AV23)+(AW23*AX23))/(AU23+AW23),5)</f>
        <v>3201.99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552</v>
      </c>
      <c r="BN23" t="s">
        <v>553</v>
      </c>
      <c r="BO23" s="176">
        <f>ROUND((((AW23*AZ23)+(BN23*BM23))/(AW23+BN23)),5)</f>
        <v>487.19382999999999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554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550</v>
      </c>
      <c r="H24" s="171">
        <f>F24*G24</f>
        <v>3300</v>
      </c>
      <c r="I24">
        <v>0</v>
      </c>
      <c r="J24" s="171">
        <v>0</v>
      </c>
      <c r="K24" s="171">
        <v>0</v>
      </c>
      <c r="L24" s="171">
        <f>H24</f>
        <v>3300</v>
      </c>
      <c r="M24" s="171">
        <f>ROUND(L24*I24%,2)</f>
        <v>0</v>
      </c>
      <c r="N24" s="171">
        <f>H24-M24</f>
        <v>3300</v>
      </c>
      <c r="O24" s="171">
        <f>ROUND(N24*J24%,2)</f>
        <v>0</v>
      </c>
      <c r="P24" s="171">
        <f>ROUND(N24-O24,2)</f>
        <v>3300</v>
      </c>
      <c r="Q24" s="171">
        <f>ROUND(P24*K24%,2)</f>
        <v>0</v>
      </c>
      <c r="R24" s="171">
        <f>ROUND((M24+O24+Q24),2)</f>
        <v>0</v>
      </c>
      <c r="S24" s="171">
        <f>ROUND((H24-R24),2)</f>
        <v>3300</v>
      </c>
      <c r="T24" s="172" t="s">
        <v>146</v>
      </c>
      <c r="U24" s="173">
        <v>0.18</v>
      </c>
      <c r="V24" s="171">
        <f>IF(OR($C$21=1,$C$21=4),ROUND(((S24*U24)/2),2),0)</f>
        <v>297</v>
      </c>
      <c r="W24" s="171">
        <f>IF($C$21=1,ROUND(((S24*U24)/2),2),0)</f>
        <v>297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594</v>
      </c>
      <c r="AC24" s="170">
        <f>IF($V21=1,S24+AB24,S24)</f>
        <v>3300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3300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3300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3300</v>
      </c>
      <c r="AS24" s="176" t="s">
        <v>538</v>
      </c>
      <c r="AT24" s="176" t="s">
        <v>58</v>
      </c>
      <c r="AU24" t="s">
        <v>239</v>
      </c>
      <c r="AV24" t="s">
        <v>551</v>
      </c>
      <c r="AW24" s="176">
        <f>AM24</f>
        <v>1</v>
      </c>
      <c r="AX24" s="176">
        <f>AR24</f>
        <v>3300</v>
      </c>
      <c r="AY24" s="176">
        <f>AU24+AW24</f>
        <v>1</v>
      </c>
      <c r="AZ24" s="176">
        <f>ROUND(((AU24*AV24)+(AW24*AX24))/(AU24+AW24),5)</f>
        <v>3300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552</v>
      </c>
      <c r="BN24" t="s">
        <v>553</v>
      </c>
      <c r="BO24" s="176">
        <f>ROUND((((AW24*AZ24)+(BN24*BM24))/(AW24+BN24)),5)</f>
        <v>487.72077000000002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554</v>
      </c>
      <c r="CA24" s="202">
        <v>70</v>
      </c>
    </row>
    <row r="25" spans="1:79" ht="15.75" thickBot="1">
      <c r="A25" s="170">
        <v>1</v>
      </c>
      <c r="B25" s="170" t="s">
        <v>555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551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552</v>
      </c>
      <c r="BN25" t="s">
        <v>553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556</v>
      </c>
      <c r="BS25" s="199" t="s">
        <v>557</v>
      </c>
      <c r="BT25" s="199">
        <v>10101</v>
      </c>
      <c r="BU25" s="199" t="s">
        <v>558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554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551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552</v>
      </c>
      <c r="BN26" t="s">
        <v>553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556</v>
      </c>
      <c r="BS26" s="199" t="s">
        <v>557</v>
      </c>
      <c r="BT26" s="199">
        <v>10101</v>
      </c>
      <c r="BU26" s="199" t="s">
        <v>558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554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551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552</v>
      </c>
      <c r="BN27" t="s">
        <v>553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556</v>
      </c>
      <c r="BS27" s="199" t="s">
        <v>557</v>
      </c>
      <c r="BT27" s="199">
        <v>10101</v>
      </c>
      <c r="BU27" s="199" t="s">
        <v>558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554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2304.36</v>
      </c>
      <c r="AC28" s="184">
        <f>SUM(AC23:AC27)</f>
        <v>12801.99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12802</v>
      </c>
      <c r="AU28">
        <f>AT28-AC28</f>
        <v>1.0000000000218279E-2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2304.36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4404.3600000000006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559</v>
      </c>
      <c r="H23" s="171">
        <f>F23*G23</f>
        <v>3200</v>
      </c>
      <c r="I23">
        <v>1</v>
      </c>
      <c r="J23" s="171">
        <v>1</v>
      </c>
      <c r="K23" s="171">
        <v>1</v>
      </c>
      <c r="L23" s="171">
        <f>H23</f>
        <v>3200</v>
      </c>
      <c r="M23" s="171">
        <f>ROUND(L23*I23%,2)</f>
        <v>32</v>
      </c>
      <c r="N23" s="171">
        <f>H23-M23</f>
        <v>3168</v>
      </c>
      <c r="O23" s="171">
        <f>ROUND(N23*J23%,2)</f>
        <v>31.68</v>
      </c>
      <c r="P23" s="171">
        <f>ROUND(N23-O23,2)</f>
        <v>3136.32</v>
      </c>
      <c r="Q23" s="171">
        <f>ROUND(P23*K23%,2)</f>
        <v>31.36</v>
      </c>
      <c r="R23" s="171">
        <f>ROUND((M23+O23+Q23),2)</f>
        <v>95.04</v>
      </c>
      <c r="S23" s="171">
        <f>ROUND((H23-R23),2)</f>
        <v>3104.96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558.89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558.89</v>
      </c>
      <c r="AC23" s="170">
        <f>IF($V21=1,S23+AB23,S23)</f>
        <v>3663.85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3104.96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3104.96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3104.96</v>
      </c>
      <c r="AS23" s="176" t="s">
        <v>538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3104.96</v>
      </c>
      <c r="AY23" s="176">
        <f>AU23+AW23</f>
        <v>1</v>
      </c>
      <c r="AZ23" s="176">
        <f>ROUND(((AU23*AV23)+(AW23*AX23))/(AU23+AW23),5)</f>
        <v>3104.96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552</v>
      </c>
      <c r="BN23" t="s">
        <v>553</v>
      </c>
      <c r="BO23" s="176">
        <f>ROUND((((AW23*AZ23)+(BN23*BM23))/(AW23+BN23)),5)</f>
        <v>486.67216999999999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554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559</v>
      </c>
      <c r="H24" s="171">
        <f>F24*G24</f>
        <v>3200</v>
      </c>
      <c r="I24">
        <v>0</v>
      </c>
      <c r="J24" s="171">
        <v>0</v>
      </c>
      <c r="K24" s="171">
        <v>0</v>
      </c>
      <c r="L24" s="171">
        <f>H24</f>
        <v>3200</v>
      </c>
      <c r="M24" s="171">
        <f>ROUND(L24*I24%,2)</f>
        <v>0</v>
      </c>
      <c r="N24" s="171">
        <f>H24-M24</f>
        <v>3200</v>
      </c>
      <c r="O24" s="171">
        <f>ROUND(N24*J24%,2)</f>
        <v>0</v>
      </c>
      <c r="P24" s="171">
        <f>ROUND(N24-O24,2)</f>
        <v>3200</v>
      </c>
      <c r="Q24" s="171">
        <f>ROUND(P24*K24%,2)</f>
        <v>0</v>
      </c>
      <c r="R24" s="171">
        <f>ROUND((M24+O24+Q24),2)</f>
        <v>0</v>
      </c>
      <c r="S24" s="171">
        <f>ROUND((H24-R24),2)</f>
        <v>3200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576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576</v>
      </c>
      <c r="AC24" s="170">
        <f>IF($V21=1,S24+AB24,S24)</f>
        <v>3776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3200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3200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3200</v>
      </c>
      <c r="AS24" s="176" t="s">
        <v>538</v>
      </c>
      <c r="AT24" s="176" t="s">
        <v>58</v>
      </c>
      <c r="AU24" t="s">
        <v>239</v>
      </c>
      <c r="AV24" t="s">
        <v>551</v>
      </c>
      <c r="AW24" s="176">
        <f>AM24</f>
        <v>1</v>
      </c>
      <c r="AX24" s="176">
        <f>AR24</f>
        <v>3200</v>
      </c>
      <c r="AY24" s="176">
        <f>AU24+AW24</f>
        <v>1</v>
      </c>
      <c r="AZ24" s="176">
        <f>ROUND(((AU24*AV24)+(AW24*AX24))/(AU24+AW24),5)</f>
        <v>3200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552</v>
      </c>
      <c r="BN24" t="s">
        <v>553</v>
      </c>
      <c r="BO24" s="176">
        <f>ROUND((((AW24*AZ24)+(BN24*BM24))/(AW24+BN24)),5)</f>
        <v>487.18313000000001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554</v>
      </c>
      <c r="CA24" s="202">
        <v>70</v>
      </c>
    </row>
    <row r="25" spans="1:79" ht="15.75" thickBot="1">
      <c r="A25" s="170">
        <v>1</v>
      </c>
      <c r="B25" s="170" t="s">
        <v>555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551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552</v>
      </c>
      <c r="BN25" t="s">
        <v>553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556</v>
      </c>
      <c r="BS25" s="199" t="s">
        <v>557</v>
      </c>
      <c r="BT25" s="199">
        <v>10101</v>
      </c>
      <c r="BU25" s="199" t="s">
        <v>558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554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551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552</v>
      </c>
      <c r="BN26" t="s">
        <v>553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556</v>
      </c>
      <c r="BS26" s="199" t="s">
        <v>557</v>
      </c>
      <c r="BT26" s="199">
        <v>10101</v>
      </c>
      <c r="BU26" s="199" t="s">
        <v>558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554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551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552</v>
      </c>
      <c r="BN27" t="s">
        <v>553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556</v>
      </c>
      <c r="BS27" s="199" t="s">
        <v>557</v>
      </c>
      <c r="BT27" s="199">
        <v>10101</v>
      </c>
      <c r="BU27" s="199" t="s">
        <v>558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554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2268.89</v>
      </c>
      <c r="AC28" s="184">
        <f>SUM(AC23:AC27)</f>
        <v>14873.85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14874</v>
      </c>
      <c r="AU28">
        <f>AT28-AC28</f>
        <v>0.1499999999996362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2268.89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4368.8899999999994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4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270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361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538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552</v>
      </c>
      <c r="BN23" t="s">
        <v>553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554</v>
      </c>
      <c r="CA23" s="202">
        <v>60</v>
      </c>
    </row>
    <row r="24" spans="1:79" ht="15.75" thickBot="1">
      <c r="A24" s="170">
        <v>1</v>
      </c>
      <c r="B24" s="170" t="s">
        <v>481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361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538</v>
      </c>
      <c r="AT24" s="176" t="s">
        <v>58</v>
      </c>
      <c r="AU24" t="s">
        <v>239</v>
      </c>
      <c r="AV24" t="s">
        <v>551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552</v>
      </c>
      <c r="BN24" t="s">
        <v>553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554</v>
      </c>
      <c r="CA24" s="202">
        <v>70</v>
      </c>
    </row>
    <row r="25" spans="1:79" ht="15.75" thickBot="1">
      <c r="A25" s="170">
        <v>1</v>
      </c>
      <c r="B25" s="170" t="s">
        <v>555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551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552</v>
      </c>
      <c r="BN25" t="s">
        <v>553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556</v>
      </c>
      <c r="BS25" s="199" t="s">
        <v>557</v>
      </c>
      <c r="BT25" s="199">
        <v>10101</v>
      </c>
      <c r="BU25" s="199" t="s">
        <v>558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554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551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552</v>
      </c>
      <c r="BN26" t="s">
        <v>553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556</v>
      </c>
      <c r="BS26" s="199" t="s">
        <v>557</v>
      </c>
      <c r="BT26" s="199">
        <v>10101</v>
      </c>
      <c r="BU26" s="199" t="s">
        <v>558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554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551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552</v>
      </c>
      <c r="BN27" t="s">
        <v>553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556</v>
      </c>
      <c r="BS27" s="199" t="s">
        <v>557</v>
      </c>
      <c r="BT27" s="199">
        <v>10101</v>
      </c>
      <c r="BU27" s="199" t="s">
        <v>558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554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1345.73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3445.73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4" workbookViewId="0">
      <selection activeCell="D24" sqref="D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361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538</v>
      </c>
      <c r="AT23" s="176" t="s">
        <v>58</v>
      </c>
      <c r="AU23" t="s">
        <v>239</v>
      </c>
      <c r="AV23" t="s">
        <v>551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552</v>
      </c>
      <c r="BN23" t="s">
        <v>553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554</v>
      </c>
      <c r="CA23" s="202">
        <v>60</v>
      </c>
    </row>
    <row r="24" spans="1:79" ht="15.75" thickBot="1">
      <c r="A24" s="170">
        <v>1</v>
      </c>
      <c r="B24" s="170" t="s">
        <v>481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361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538</v>
      </c>
      <c r="AT24" s="176" t="s">
        <v>58</v>
      </c>
      <c r="AU24" t="s">
        <v>239</v>
      </c>
      <c r="AV24" t="s">
        <v>551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552</v>
      </c>
      <c r="BN24" t="s">
        <v>553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554</v>
      </c>
      <c r="CA24" s="202">
        <v>70</v>
      </c>
    </row>
    <row r="25" spans="1:79" ht="15.75" thickBot="1">
      <c r="A25" s="170">
        <v>1</v>
      </c>
      <c r="B25" s="170" t="s">
        <v>555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551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552</v>
      </c>
      <c r="BN25" t="s">
        <v>553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556</v>
      </c>
      <c r="BS25" s="199" t="s">
        <v>557</v>
      </c>
      <c r="BT25" s="199">
        <v>10101</v>
      </c>
      <c r="BU25" s="199" t="s">
        <v>558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554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551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552</v>
      </c>
      <c r="BN26" t="s">
        <v>553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556</v>
      </c>
      <c r="BS26" s="199" t="s">
        <v>557</v>
      </c>
      <c r="BT26" s="199">
        <v>10101</v>
      </c>
      <c r="BU26" s="199" t="s">
        <v>558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554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551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552</v>
      </c>
      <c r="BN27" t="s">
        <v>553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556</v>
      </c>
      <c r="BS27" s="199" t="s">
        <v>557</v>
      </c>
      <c r="BT27" s="199">
        <v>10101</v>
      </c>
      <c r="BU27" s="199" t="s">
        <v>558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554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1449.47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3549.4700000000003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560</v>
      </c>
      <c r="H23" s="171">
        <f>F23*G23</f>
        <v>3000</v>
      </c>
      <c r="I23">
        <v>1</v>
      </c>
      <c r="J23" s="171">
        <v>1</v>
      </c>
      <c r="K23" s="171">
        <v>1</v>
      </c>
      <c r="L23" s="171">
        <f>H23</f>
        <v>3000</v>
      </c>
      <c r="M23" s="171">
        <f>ROUND(L23*I23%,2)</f>
        <v>30</v>
      </c>
      <c r="N23" s="171">
        <f>H23-M23</f>
        <v>2970</v>
      </c>
      <c r="O23" s="171">
        <f>ROUND(N23*J23%,2)</f>
        <v>29.7</v>
      </c>
      <c r="P23" s="171">
        <f>ROUND(N23-O23,2)</f>
        <v>2940.3</v>
      </c>
      <c r="Q23" s="171">
        <f>ROUND(P23*K23%,2)</f>
        <v>29.4</v>
      </c>
      <c r="R23" s="171">
        <f>ROUND((M23+O23+Q23),2)</f>
        <v>89.1</v>
      </c>
      <c r="S23" s="171">
        <f>ROUND((H23-R23),2)</f>
        <v>2910.9</v>
      </c>
      <c r="T23" s="172" t="s">
        <v>146</v>
      </c>
      <c r="U23" s="173">
        <v>0.18</v>
      </c>
      <c r="V23" s="171">
        <f>IF(OR($C$21=1,$C$21=4),ROUND(((S23*U23)/2),2),0)</f>
        <v>261.98</v>
      </c>
      <c r="W23" s="171">
        <f>IF($C$21=1,ROUND(((S23*U23)/2),2),0)</f>
        <v>261.98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523.96</v>
      </c>
      <c r="AC23" s="170">
        <f>IF($V21=1,S23+AB23,S23)</f>
        <v>3434.86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2910.9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2910.9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2910.9</v>
      </c>
      <c r="AS23" s="176" t="s">
        <v>538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2910.9</v>
      </c>
      <c r="AY23" s="176">
        <f>AU23+AW23</f>
        <v>1</v>
      </c>
      <c r="AZ23" s="176">
        <f>ROUND(((AU23*AV23)+(AW23*AX23))/(AU23+AW23),5)</f>
        <v>2910.9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552</v>
      </c>
      <c r="BN23" t="s">
        <v>553</v>
      </c>
      <c r="BO23" s="176">
        <f>ROUND((((AW23*AZ23)+(BN23*BM23))/(AW23+BN23)),5)</f>
        <v>485.62882999999999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554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560</v>
      </c>
      <c r="H24" s="171">
        <f>F24*G24</f>
        <v>3000</v>
      </c>
      <c r="I24">
        <v>0</v>
      </c>
      <c r="J24" s="171">
        <v>0</v>
      </c>
      <c r="K24" s="171">
        <v>0</v>
      </c>
      <c r="L24" s="171">
        <f>H24</f>
        <v>3000</v>
      </c>
      <c r="M24" s="171">
        <f>ROUND(L24*I24%,2)</f>
        <v>0</v>
      </c>
      <c r="N24" s="171">
        <f>H24-M24</f>
        <v>3000</v>
      </c>
      <c r="O24" s="171">
        <f>ROUND(N24*J24%,2)</f>
        <v>0</v>
      </c>
      <c r="P24" s="171">
        <f>ROUND(N24-O24,2)</f>
        <v>3000</v>
      </c>
      <c r="Q24" s="171">
        <f>ROUND(P24*K24%,2)</f>
        <v>0</v>
      </c>
      <c r="R24" s="171">
        <f>ROUND((M24+O24+Q24),2)</f>
        <v>0</v>
      </c>
      <c r="S24" s="171">
        <f>ROUND((H24-R24),2)</f>
        <v>3000</v>
      </c>
      <c r="T24" s="172" t="s">
        <v>146</v>
      </c>
      <c r="U24" s="173">
        <v>0.18</v>
      </c>
      <c r="V24" s="171">
        <f>IF(OR($C$21=1,$C$21=4),ROUND(((S24*U24)/2),2),0)</f>
        <v>270</v>
      </c>
      <c r="W24" s="171">
        <f>IF($C$21=1,ROUND(((S24*U24)/2),2),0)</f>
        <v>270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540</v>
      </c>
      <c r="AC24" s="170">
        <f>IF($V21=1,S24+AB24,S24)</f>
        <v>3540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3000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3000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3000</v>
      </c>
      <c r="AS24" s="176" t="s">
        <v>538</v>
      </c>
      <c r="AT24" s="176" t="s">
        <v>58</v>
      </c>
      <c r="AU24" t="s">
        <v>239</v>
      </c>
      <c r="AV24" t="s">
        <v>551</v>
      </c>
      <c r="AW24" s="176">
        <f>AM24</f>
        <v>1</v>
      </c>
      <c r="AX24" s="176">
        <f>AR24</f>
        <v>3000</v>
      </c>
      <c r="AY24" s="176">
        <f>AU24+AW24</f>
        <v>1</v>
      </c>
      <c r="AZ24" s="176">
        <f>ROUND(((AU24*AV24)+(AW24*AX24))/(AU24+AW24),5)</f>
        <v>3000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552</v>
      </c>
      <c r="BN24" t="s">
        <v>553</v>
      </c>
      <c r="BO24" s="176">
        <f>ROUND((((AW24*AZ24)+(BN24*BM24))/(AW24+BN24)),5)</f>
        <v>486.10786999999999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554</v>
      </c>
      <c r="CA24" s="202">
        <v>70</v>
      </c>
    </row>
    <row r="25" spans="1:79" ht="15.75" thickBot="1">
      <c r="A25" s="170">
        <v>1</v>
      </c>
      <c r="B25" s="170" t="s">
        <v>555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551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552</v>
      </c>
      <c r="BN25" t="s">
        <v>553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556</v>
      </c>
      <c r="BS25" s="199" t="s">
        <v>557</v>
      </c>
      <c r="BT25" s="199">
        <v>10101</v>
      </c>
      <c r="BU25" s="199" t="s">
        <v>558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554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551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552</v>
      </c>
      <c r="BN26" t="s">
        <v>553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556</v>
      </c>
      <c r="BS26" s="199" t="s">
        <v>557</v>
      </c>
      <c r="BT26" s="199">
        <v>10101</v>
      </c>
      <c r="BU26" s="199" t="s">
        <v>558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554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551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552</v>
      </c>
      <c r="BN27" t="s">
        <v>553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556</v>
      </c>
      <c r="BS27" s="199" t="s">
        <v>557</v>
      </c>
      <c r="BT27" s="199">
        <v>10101</v>
      </c>
      <c r="BU27" s="199" t="s">
        <v>558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554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2197.96</v>
      </c>
      <c r="AC28" s="184">
        <f>SUM(AC23:AC27)</f>
        <v>14408.86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14409</v>
      </c>
      <c r="AU28">
        <f>AT28-AC28</f>
        <v>0.13999999999941792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2197.96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4297.96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15" sqref="D1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361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310</v>
      </c>
      <c r="AT23" s="176" t="s">
        <v>58</v>
      </c>
      <c r="AU23" t="s">
        <v>239</v>
      </c>
      <c r="AV23" t="s">
        <v>561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365</v>
      </c>
      <c r="BM23" t="s">
        <v>562</v>
      </c>
      <c r="BN23" t="s">
        <v>563</v>
      </c>
      <c r="BO23" s="176">
        <f>ROUND((((AW23*AZ23)+(BN23*BM23))/(AW23+BN23)),5)</f>
        <v>571.52639999999997</v>
      </c>
      <c r="BP23" s="87">
        <f>BN23+AW23</f>
        <v>50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1200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47.4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1152.5999999999999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207.47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1360.07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270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361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310</v>
      </c>
      <c r="AT23" s="176" t="s">
        <v>58</v>
      </c>
      <c r="AU23" t="s">
        <v>239</v>
      </c>
      <c r="AV23" t="s">
        <v>561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365</v>
      </c>
      <c r="BM23" t="s">
        <v>564</v>
      </c>
      <c r="BN23" t="s">
        <v>565</v>
      </c>
      <c r="BO23" s="176">
        <f>ROUND((((AW23*AZ23)+(BN23*BM23))/(AW23+BN23)),5)</f>
        <v>571.70320000000004</v>
      </c>
      <c r="BP23" s="87">
        <f>BN23+AW23</f>
        <v>75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600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23.7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576.29999999999995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103.73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680.03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D13" sqref="D1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550</v>
      </c>
      <c r="H23" s="171">
        <f>F23*G23</f>
        <v>3300</v>
      </c>
      <c r="I23">
        <v>1</v>
      </c>
      <c r="J23" s="171">
        <v>1</v>
      </c>
      <c r="K23" s="171">
        <v>1</v>
      </c>
      <c r="L23" s="171">
        <f>H23</f>
        <v>3300</v>
      </c>
      <c r="M23" s="171">
        <f>ROUND(L23*I23%,2)</f>
        <v>33</v>
      </c>
      <c r="N23" s="171">
        <f>H23-M23</f>
        <v>3267</v>
      </c>
      <c r="O23" s="171">
        <f>ROUND(N23*J23%,2)</f>
        <v>32.67</v>
      </c>
      <c r="P23" s="171">
        <f>ROUND(N23-O23,2)</f>
        <v>3234.33</v>
      </c>
      <c r="Q23" s="171">
        <f>ROUND(P23*K23%,2)</f>
        <v>32.340000000000003</v>
      </c>
      <c r="R23" s="171">
        <f>ROUND((M23+O23+Q23),2)</f>
        <v>98.01</v>
      </c>
      <c r="S23" s="171">
        <f>ROUND((H23-R23),2)</f>
        <v>3201.99</v>
      </c>
      <c r="T23" s="172" t="s">
        <v>146</v>
      </c>
      <c r="U23" s="173">
        <v>0.18</v>
      </c>
      <c r="V23" s="171">
        <f>IF(OR($C$21=1,$C$21=4),ROUND(((S23*U23)/2),2),0)</f>
        <v>288.18</v>
      </c>
      <c r="W23" s="171">
        <f>IF($C$21=1,ROUND(((S23*U23)/2),2),0)</f>
        <v>288.18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576.36</v>
      </c>
      <c r="AC23" s="170">
        <f>IF($V20=1,S23+AB23,S23)</f>
        <v>3201.99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3201.99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3201.99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3201.99</v>
      </c>
      <c r="AS23" s="176" t="s">
        <v>538</v>
      </c>
      <c r="AT23" s="176" t="s">
        <v>58</v>
      </c>
      <c r="AU23" t="s">
        <v>239</v>
      </c>
      <c r="AV23" t="s">
        <v>566</v>
      </c>
      <c r="AW23" s="176">
        <f>AM23</f>
        <v>1</v>
      </c>
      <c r="AX23" s="176">
        <f>AR23</f>
        <v>3201.99</v>
      </c>
      <c r="AY23" s="176">
        <f>AU23+AW23</f>
        <v>1</v>
      </c>
      <c r="AZ23" s="176">
        <f>ROUND(((AU23*AV23)+(AW23*AX23))/(AU23+AW23),5)</f>
        <v>3201.99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567</v>
      </c>
      <c r="BN23" t="s">
        <v>568</v>
      </c>
      <c r="BO23" s="176">
        <f>ROUND((((AW23*AZ23)+(BN23*BM23))/(AW23+BN23)),5)</f>
        <v>715.89908000000003</v>
      </c>
      <c r="BP23" s="87">
        <f>BN23+AW23</f>
        <v>214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3300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98.01</v>
      </c>
      <c r="S24" s="181">
        <f>SUM(S23)</f>
        <v>3201.99</v>
      </c>
      <c r="T24" s="181"/>
      <c r="U24" s="181"/>
      <c r="V24" s="182">
        <f t="shared" ref="V24:AE24" si="1">SUM(V23)</f>
        <v>288.18</v>
      </c>
      <c r="W24" s="182">
        <f t="shared" si="1"/>
        <v>288.18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576.36</v>
      </c>
      <c r="AC24" s="184">
        <f t="shared" si="1"/>
        <v>3201.99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3201.99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3300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98.01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3201.99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576.36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3778.35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A38"/>
  <sheetViews>
    <sheetView topLeftCell="A13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264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538</v>
      </c>
      <c r="AT23" s="176" t="s">
        <v>58</v>
      </c>
      <c r="AU23" t="s">
        <v>239</v>
      </c>
      <c r="AV23" t="s">
        <v>543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544</v>
      </c>
      <c r="BN23" t="s">
        <v>470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549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45600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3336.32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42263.68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7607.46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49871.14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</vt:lpstr>
      <vt:lpstr>StocktransferInterstate</vt:lpstr>
      <vt:lpstr>StocktransferISForRCM</vt:lpstr>
      <vt:lpstr>StocktransferLC</vt:lpstr>
      <vt:lpstr>StocktransferAddItemWithEx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2025-12-24T12:05:46Z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