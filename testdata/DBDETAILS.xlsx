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71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69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7.xml" ContentType="application/vnd.openxmlformats-officedocument.spreadsheetml.worksheet+xml"/>
  <Override PartName="/xl/worksheets/sheet76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72.xml" ContentType="application/vnd.openxmlformats-officedocument.spreadsheetml.worksheet+xml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200" windowHeight="6915" firstSheet="47" activeTab="49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UDFreePass" sheetId="69" r:id="rId49"/>
    <sheet name="StockTransferRCFreePass" sheetId="68" r:id="rId50"/>
    <sheet name="StockTransferPricelistFreePass" sheetId="53" r:id="rId51"/>
    <sheet name="DifferentUOMPriceListGen" sheetId="29" r:id="rId52"/>
    <sheet name="StockTransferUDDifferentUOM" sheetId="67" r:id="rId53"/>
    <sheet name="DifferentUOMMATUD" sheetId="19" r:id="rId54"/>
    <sheet name="DifferentUOMStocktransferUD" sheetId="20" r:id="rId55"/>
    <sheet name="DifferentUOMRateMat" sheetId="22" r:id="rId56"/>
    <sheet name="POwithGrnWithoutQEMaterial" sheetId="24" r:id="rId57"/>
    <sheet name="POwithoutQualityRateMat" sheetId="26" r:id="rId58"/>
    <sheet name="StockTransferPORateContract" sheetId="55" r:id="rId59"/>
    <sheet name="StockTransferPOpriceList" sheetId="56" r:id="rId60"/>
    <sheet name="StocktransferPriceListPO" sheetId="58" r:id="rId61"/>
    <sheet name="TvsMrvApplicationControl" sheetId="60" r:id="rId62"/>
    <sheet name="MrvLineWiseCancel" sheetId="61" r:id="rId63"/>
    <sheet name="LocalUnregisterSuplier" sheetId="63" r:id="rId64"/>
    <sheet name="InterstateSupplierUnregister" sheetId="64" r:id="rId65"/>
    <sheet name="CESS" sheetId="66" r:id="rId66"/>
    <sheet name="WithoutDiscount" sheetId="65" r:id="rId67"/>
    <sheet name="ImportDirectGRNUDGeneralSameUOM" sheetId="70" r:id="rId68"/>
    <sheet name="ImportDirectGRNUDGeneralDiffUOM" sheetId="80" r:id="rId69"/>
    <sheet name="ImportDirectGRNUDServiceSameUOM" sheetId="71" r:id="rId70"/>
    <sheet name="ImportDirectGRNRCGeneralSameUOM" sheetId="72" r:id="rId71"/>
    <sheet name="ImportDirectGRNRCGeneralDiffUOM" sheetId="77" r:id="rId72"/>
    <sheet name="ImportDirectGRNRCServiceSameUOM" sheetId="73" r:id="rId73"/>
    <sheet name="ImportDirectGRNPLGeneralSameUOM" sheetId="74" r:id="rId74"/>
    <sheet name="ImportDirectGRNPLGeneralDiffUOM" sheetId="78" r:id="rId75"/>
    <sheet name="ImportDirectGRNPLServiceSameUOM" sheetId="75" r:id="rId76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4" i="75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8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4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7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2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1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80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70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5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1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60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4" i="58"/>
  <c r="AG24"/>
  <c r="AF24"/>
  <c r="AE24"/>
  <c r="AD24"/>
  <c r="AB24"/>
  <c r="AA24"/>
  <c r="Z24"/>
  <c r="Y24"/>
  <c r="X24"/>
  <c r="W24"/>
  <c r="V24"/>
  <c r="S24"/>
  <c r="R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6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4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7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2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3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8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6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2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0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2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3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2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0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51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49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6" i="48"/>
  <c r="BM36"/>
  <c r="BM33"/>
  <c r="BN32"/>
  <c r="BM32"/>
  <c r="I30"/>
  <c r="I29"/>
  <c r="I28"/>
  <c r="I27"/>
  <c r="I26"/>
  <c r="AK24"/>
  <c r="AJ24"/>
  <c r="AI24"/>
  <c r="AH24"/>
  <c r="AG24"/>
  <c r="AE24"/>
  <c r="AD24"/>
  <c r="AC24"/>
  <c r="AB24"/>
  <c r="AA24"/>
  <c r="Z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6" i="47"/>
  <c r="BM36"/>
  <c r="BM33"/>
  <c r="BN32"/>
  <c r="BM32"/>
  <c r="I30"/>
  <c r="I29"/>
  <c r="I28"/>
  <c r="I27"/>
  <c r="I26"/>
  <c r="AK24"/>
  <c r="AJ24"/>
  <c r="AI24"/>
  <c r="AH24"/>
  <c r="AG24"/>
  <c r="AE24"/>
  <c r="AD24"/>
  <c r="AC24"/>
  <c r="AB24"/>
  <c r="AA24"/>
  <c r="Z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N37" i="18"/>
  <c r="BM37"/>
  <c r="BM34"/>
  <c r="BN33"/>
  <c r="BM33"/>
  <c r="I31"/>
  <c r="I30"/>
  <c r="I29"/>
  <c r="I28"/>
  <c r="I27"/>
  <c r="AK25"/>
  <c r="AJ25"/>
  <c r="AI25"/>
  <c r="AH25"/>
  <c r="AG25"/>
  <c r="AE25"/>
  <c r="AD25"/>
  <c r="AC25"/>
  <c r="AB25"/>
  <c r="AA25"/>
  <c r="Z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59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5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15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9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57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6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3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2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11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6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5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3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2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37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4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3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2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10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V33" i="9"/>
  <c r="AU28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5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8"/>
  <c r="AJ25"/>
  <c r="AI25"/>
  <c r="AH25"/>
  <c r="AG25"/>
  <c r="AE25"/>
  <c r="AD25"/>
  <c r="AC25"/>
  <c r="AB25"/>
  <c r="AA25"/>
  <c r="Y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7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23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40"/>
  <c r="AJ24"/>
  <c r="AI24"/>
  <c r="AH24"/>
  <c r="AG24"/>
  <c r="AE24"/>
  <c r="AD24"/>
  <c r="AC24"/>
  <c r="AB24"/>
  <c r="AA24"/>
  <c r="Y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3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5" i="7"/>
  <c r="AJ25"/>
  <c r="AI25"/>
  <c r="AH25"/>
  <c r="AG25"/>
  <c r="AE25"/>
  <c r="AD25"/>
  <c r="AC25"/>
  <c r="AB25"/>
  <c r="X25"/>
  <c r="W25"/>
  <c r="V25"/>
  <c r="S25"/>
  <c r="R25"/>
  <c r="H25"/>
  <c r="BP24"/>
  <c r="BO24"/>
  <c r="AZ24"/>
  <c r="AY24"/>
  <c r="AX24"/>
  <c r="AW24"/>
  <c r="AR24"/>
  <c r="AP24"/>
  <c r="AO24"/>
  <c r="AN24"/>
  <c r="AM24"/>
  <c r="AK24"/>
  <c r="AJ24"/>
  <c r="AI24"/>
  <c r="AH24"/>
  <c r="AG24"/>
  <c r="AE24"/>
  <c r="AC24"/>
  <c r="AB24"/>
  <c r="AA24"/>
  <c r="Y24"/>
  <c r="X24"/>
  <c r="W24"/>
  <c r="V24"/>
  <c r="S24"/>
  <c r="R24"/>
  <c r="Q24"/>
  <c r="P24"/>
  <c r="O24"/>
  <c r="N24"/>
  <c r="M24"/>
  <c r="L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8" i="4"/>
  <c r="H28"/>
  <c r="M27"/>
  <c r="H27"/>
  <c r="M26"/>
  <c r="H26"/>
  <c r="M25"/>
  <c r="H25"/>
  <c r="M24"/>
  <c r="H24"/>
  <c r="V21"/>
  <c r="U21"/>
  <c r="T21"/>
  <c r="R21"/>
  <c r="Q21"/>
  <c r="G21"/>
  <c r="W20"/>
  <c r="V20"/>
  <c r="U20"/>
  <c r="T20"/>
  <c r="R20"/>
  <c r="Q20"/>
  <c r="P20"/>
  <c r="O20"/>
  <c r="N20"/>
  <c r="M20"/>
  <c r="L20"/>
  <c r="K20"/>
  <c r="G20"/>
  <c r="W19"/>
  <c r="V19"/>
  <c r="U19"/>
  <c r="T19"/>
  <c r="R19"/>
  <c r="Q19"/>
  <c r="P19"/>
  <c r="O19"/>
  <c r="N19"/>
  <c r="M19"/>
  <c r="L19"/>
  <c r="K19"/>
  <c r="G19"/>
  <c r="W18"/>
  <c r="V18"/>
  <c r="U18"/>
  <c r="T18"/>
  <c r="R18"/>
  <c r="Q18"/>
  <c r="P18"/>
  <c r="O18"/>
  <c r="N18"/>
  <c r="M18"/>
  <c r="L18"/>
  <c r="K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I44" i="3"/>
  <c r="I43"/>
  <c r="I42"/>
  <c r="I41"/>
  <c r="I40"/>
  <c r="V38"/>
  <c r="U38"/>
  <c r="S38"/>
  <c r="R38"/>
  <c r="H38"/>
  <c r="W37"/>
  <c r="V37"/>
  <c r="U37"/>
  <c r="S37"/>
  <c r="R37"/>
  <c r="Q37"/>
  <c r="P37"/>
  <c r="O37"/>
  <c r="N37"/>
  <c r="M37"/>
  <c r="L37"/>
  <c r="H37"/>
  <c r="W36"/>
  <c r="V36"/>
  <c r="U36"/>
  <c r="S36"/>
  <c r="R36"/>
  <c r="Q36"/>
  <c r="P36"/>
  <c r="O36"/>
  <c r="N36"/>
  <c r="M36"/>
  <c r="L36"/>
  <c r="H36"/>
  <c r="W35"/>
  <c r="V35"/>
  <c r="U35"/>
  <c r="S35"/>
  <c r="R35"/>
  <c r="Q35"/>
  <c r="P35"/>
  <c r="O35"/>
  <c r="N35"/>
  <c r="M35"/>
  <c r="L35"/>
  <c r="H35"/>
  <c r="W34"/>
  <c r="V34"/>
  <c r="U34"/>
  <c r="S34"/>
  <c r="R34"/>
  <c r="Q34"/>
  <c r="P34"/>
  <c r="O34"/>
  <c r="N34"/>
  <c r="M34"/>
  <c r="L34"/>
  <c r="H34"/>
  <c r="W33"/>
  <c r="V33"/>
  <c r="U33"/>
  <c r="S33"/>
  <c r="R33"/>
  <c r="Q33"/>
  <c r="P33"/>
  <c r="O33"/>
  <c r="N33"/>
  <c r="M33"/>
  <c r="L33"/>
  <c r="H33"/>
  <c r="W32"/>
  <c r="V32"/>
  <c r="U32"/>
  <c r="S32"/>
  <c r="R32"/>
  <c r="Q32"/>
  <c r="P32"/>
  <c r="O32"/>
  <c r="N32"/>
  <c r="M32"/>
  <c r="L32"/>
  <c r="H32"/>
  <c r="W31"/>
  <c r="V31"/>
  <c r="U31"/>
  <c r="S31"/>
  <c r="R31"/>
  <c r="Q31"/>
  <c r="P31"/>
  <c r="O31"/>
  <c r="N31"/>
  <c r="M31"/>
  <c r="L31"/>
  <c r="H31"/>
  <c r="W30"/>
  <c r="V30"/>
  <c r="U30"/>
  <c r="S30"/>
  <c r="R30"/>
  <c r="Q30"/>
  <c r="P30"/>
  <c r="O30"/>
  <c r="N30"/>
  <c r="M30"/>
  <c r="L30"/>
  <c r="H30"/>
  <c r="W29"/>
  <c r="V29"/>
  <c r="U29"/>
  <c r="S29"/>
  <c r="R29"/>
  <c r="Q29"/>
  <c r="P29"/>
  <c r="O29"/>
  <c r="N29"/>
  <c r="M29"/>
  <c r="L29"/>
  <c r="H29"/>
  <c r="W28"/>
  <c r="V28"/>
  <c r="U28"/>
  <c r="S28"/>
  <c r="R28"/>
  <c r="Q28"/>
  <c r="P28"/>
  <c r="O28"/>
  <c r="N28"/>
  <c r="M28"/>
  <c r="L28"/>
  <c r="H28"/>
  <c r="W27"/>
  <c r="V27"/>
  <c r="U27"/>
  <c r="S27"/>
  <c r="R27"/>
  <c r="Q27"/>
  <c r="P27"/>
  <c r="O27"/>
  <c r="N27"/>
  <c r="M27"/>
  <c r="L27"/>
  <c r="H27"/>
  <c r="W26"/>
  <c r="V26"/>
  <c r="U26"/>
  <c r="S26"/>
  <c r="R26"/>
  <c r="Q26"/>
  <c r="P26"/>
  <c r="O26"/>
  <c r="N26"/>
  <c r="M26"/>
  <c r="L26"/>
  <c r="H26"/>
  <c r="AE25"/>
  <c r="AD25"/>
  <c r="AC25"/>
  <c r="AB25"/>
  <c r="W25"/>
  <c r="V25"/>
  <c r="U25"/>
  <c r="S25"/>
  <c r="R25"/>
  <c r="Q25"/>
  <c r="P25"/>
  <c r="O25"/>
  <c r="N25"/>
  <c r="M25"/>
  <c r="L25"/>
  <c r="H25"/>
  <c r="AE24"/>
  <c r="AD24"/>
  <c r="AC24"/>
  <c r="AB24"/>
  <c r="W24"/>
  <c r="V24"/>
  <c r="U24"/>
  <c r="S24"/>
  <c r="R24"/>
  <c r="Q24"/>
  <c r="P24"/>
  <c r="O24"/>
  <c r="N24"/>
  <c r="M24"/>
  <c r="L24"/>
  <c r="H24"/>
  <c r="AE23"/>
  <c r="AD23"/>
  <c r="AC23"/>
  <c r="AB23"/>
  <c r="W23"/>
  <c r="V23"/>
  <c r="U23"/>
  <c r="S23"/>
  <c r="R23"/>
  <c r="Q23"/>
  <c r="P23"/>
  <c r="O23"/>
  <c r="N23"/>
  <c r="M23"/>
  <c r="L23"/>
  <c r="H23"/>
  <c r="G29" i="2"/>
  <c r="AH26"/>
  <c r="AG26"/>
  <c r="AF26"/>
  <c r="AE26"/>
  <c r="AD26"/>
  <c r="AB26"/>
  <c r="AA26"/>
  <c r="Z26"/>
  <c r="Y26"/>
  <c r="X26"/>
  <c r="W26"/>
  <c r="V26"/>
  <c r="S26"/>
  <c r="R26"/>
  <c r="H26"/>
  <c r="AW25"/>
  <c r="AV25"/>
  <c r="AU25"/>
  <c r="AT25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</calcChain>
</file>

<file path=xl/sharedStrings.xml><?xml version="1.0" encoding="utf-8"?>
<sst xmlns="http://schemas.openxmlformats.org/spreadsheetml/2006/main" count="13549" uniqueCount="514">
  <si>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</si>
  <si>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</si>
  <si>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</si>
  <si>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</si>
  <si>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</si>
  <si>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</si>
  <si>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</si>
  <si>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</si>
  <si>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</si>
  <si>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</si>
  <si>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</si>
  <si>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</si>
  <si>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</si>
  <si>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</si>
  <si>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</si>
  <si>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</si>
  <si>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</si>
  <si>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</si>
  <si>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</si>
  <si>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</si>
  <si>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</si>
  <si>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</si>
  <si>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</si>
  <si>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</si>
  <si>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</si>
  <si>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</si>
  <si>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</si>
  <si>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</si>
  <si>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</si>
  <si>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</si>
  <si>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</si>
  <si>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</si>
  <si>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</si>
  <si>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</si>
  <si>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</si>
  <si>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</si>
  <si>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</si>
  <si>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</si>
  <si>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</si>
  <si>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</si>
  <si>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</si>
  <si>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</si>
  <si>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</si>
  <si>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</si>
  <si>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</si>
  <si>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</si>
  <si>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</si>
  <si>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</si>
  <si>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</si>
  <si>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</si>
  <si>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</si>
  <si>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</si>
  <si>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</si>
  <si>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</si>
  <si>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</si>
  <si>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</si>
  <si>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</si>
  <si>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</si>
  <si>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</si>
  <si>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</si>
  <si>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</si>
  <si>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</si>
  <si>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</si>
  <si>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</si>
  <si>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</si>
  <si>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</si>
  <si>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</si>
  <si>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</si>
  <si>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</si>
  <si>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</si>
  <si>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</si>
  <si>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</si>
  <si>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</si>
  <si>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</si>
  <si>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</si>
  <si>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</si>
  <si>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</si>
  <si>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</si>
  <si>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</si>
  <si>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</si>
  <si>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</si>
  <si>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</si>
  <si>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</si>
  <si>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</si>
  <si>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</si>
  <si>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</si>
  <si>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</si>
  <si>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</si>
  <si>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</si>
  <si>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</si>
  <si>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</si>
  <si>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</si>
  <si>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</si>
  <si>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</si>
  <si>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</si>
  <si>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</si>
  <si>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</si>
  <si>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</si>
  <si>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</si>
  <si>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</si>
  <si>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</si>
  <si>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</si>
  <si>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</si>
  <si>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</si>
  <si>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</si>
  <si>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</si>
  <si>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</si>
  <si>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</si>
  <si>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</si>
  <si>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</si>
  <si>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</si>
  <si>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</si>
  <si>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</si>
  <si>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</si>
  <si>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</si>
  <si>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</si>
  <si>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</si>
  <si>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</si>
  <si>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</si>
  <si>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</si>
  <si>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</si>
  <si>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</si>
  <si>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</si>
  <si>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</si>
  <si>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</si>
  <si>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</si>
  <si>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</si>
  <si>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</si>
  <si>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</si>
  <si>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</si>
  <si>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</si>
  <si>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</si>
  <si>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</si>
  <si>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</si>
  <si>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</si>
  <si>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</si>
  <si>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</si>
  <si>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</si>
  <si>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</si>
  <si>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</si>
  <si>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</si>
  <si>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</si>
  <si>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</si>
  <si>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</si>
  <si>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</si>
  <si>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</si>
  <si>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</si>
  <si>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</si>
  <si>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</si>
  <si>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</si>
  <si>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</si>
  <si>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</si>
  <si>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</si>
  <si>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</si>
  <si>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</si>
  <si>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</si>
  <si>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</si>
  <si>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</si>
  <si>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</si>
  <si>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</si>
  <si>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</si>
  <si>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</si>
  <si>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</si>
  <si>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</si>
  <si>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</si>
  <si>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</si>
  <si>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</si>
  <si>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</si>
  <si>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</si>
  <si>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</si>
  <si>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</si>
  <si>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</si>
  <si>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</si>
  <si>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</si>
  <si>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</si>
  <si>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</si>
  <si>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</si>
  <si>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</si>
  <si>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</si>
  <si>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</si>
  <si>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</si>
  <si>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</si>
  <si>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</si>
  <si>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</si>
  <si>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</si>
  <si>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</si>
  <si>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</si>
  <si>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</si>
  <si>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</si>
  <si>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</si>
  <si>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</si>
  <si>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</si>
  <si>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</si>
  <si>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</si>
  <si>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</si>
  <si>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</si>
  <si>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</si>
  <si>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</si>
  <si>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</si>
  <si>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</si>
  <si>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</si>
  <si>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</si>
  <si>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</si>
  <si>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</si>
  <si>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</si>
  <si>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</si>
  <si>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</si>
  <si>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</si>
  <si>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</si>
  <si>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</si>
  <si>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</si>
  <si>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</si>
  <si>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</si>
  <si>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</si>
  <si>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</si>
  <si>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</si>
  <si>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</si>
  <si>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</si>
  <si>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</si>
  <si>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</si>
  <si>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</si>
  <si>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</si>
  <si>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</si>
  <si>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</si>
  <si>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</si>
  <si>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</si>
  <si>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</si>
  <si>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</si>
  <si>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</si>
  <si>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</si>
  <si>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</si>
  <si>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</si>
  <si>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</si>
  <si>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</si>
  <si>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</si>
  <si>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</si>
  <si>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</si>
  <si>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</si>
  <si>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</si>
  <si>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ROAU-RM-KDK-01</t>
  </si>
  <si>
    <t>0</t>
  </si>
  <si>
    <t>376.48</t>
  </si>
  <si>
    <t>282.33</t>
  </si>
  <si>
    <t>24</t>
  </si>
  <si>
    <t>ROAU-RM-KDK-02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</si>
  <si>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</si>
  <si>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</si>
  <si>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</si>
  <si>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</si>
  <si>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</si>
  <si>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</si>
  <si>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</si>
  <si>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</si>
  <si>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</si>
  <si>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</si>
  <si>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</si>
  <si>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</si>
  <si>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</si>
  <si>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</si>
  <si>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</si>
  <si>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</si>
  <si>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</si>
  <si>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</si>
  <si>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ROAU-RM-KDK-02 RateContract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</si>
  <si>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</si>
  <si>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</si>
  <si>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</si>
  <si>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</si>
  <si>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</si>
  <si>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</si>
  <si>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</si>
  <si>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</si>
  <si>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</si>
  <si>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</si>
  <si>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</si>
  <si>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</si>
  <si>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</si>
  <si>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</si>
  <si>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</si>
  <si>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</si>
  <si>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</si>
  <si>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</si>
  <si>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</si>
  <si>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</si>
  <si>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</si>
  <si>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</si>
  <si>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</si>
  <si>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</si>
  <si>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</si>
  <si>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</si>
  <si>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</si>
  <si>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</si>
  <si>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</si>
  <si>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</si>
  <si>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</si>
  <si>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</si>
  <si>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</si>
  <si>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</si>
  <si>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</si>
  <si>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</si>
  <si>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</si>
  <si>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</si>
  <si>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</si>
  <si>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</si>
  <si>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</si>
  <si>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</si>
  <si>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</si>
  <si>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</si>
  <si>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</si>
  <si>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</si>
  <si>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</si>
  <si>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</si>
  <si>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</si>
  <si>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</si>
  <si>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</si>
  <si>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</si>
  <si>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</si>
  <si>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</si>
  <si>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</si>
  <si>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</si>
  <si>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</si>
  <si>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</si>
  <si>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</si>
  <si>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</si>
  <si>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</si>
  <si>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</si>
  <si>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</si>
  <si>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</si>
  <si>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</si>
  <si>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</si>
  <si>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</si>
  <si>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</si>
  <si>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</si>
  <si>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</si>
  <si>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</si>
  <si>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</si>
  <si>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</si>
  <si>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</si>
  <si>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</si>
  <si>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</si>
  <si>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</si>
  <si>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</si>
  <si>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</si>
  <si>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</si>
  <si>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</si>
  <si>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</si>
  <si>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</si>
  <si>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</si>
  <si>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</si>
  <si>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</si>
  <si>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</si>
  <si>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</si>
  <si>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</si>
  <si>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</si>
  <si>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</si>
  <si>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</si>
  <si>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</si>
  <si>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</si>
  <si>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</si>
  <si>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</si>
  <si>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</si>
  <si>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</si>
  <si>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</si>
  <si>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</si>
  <si>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</si>
  <si>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</si>
  <si>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</si>
  <si>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</si>
  <si>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</si>
  <si>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</si>
  <si>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</si>
  <si>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</si>
  <si>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</si>
  <si>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</si>
  <si>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</si>
  <si>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</si>
  <si>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</si>
  <si>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</si>
  <si>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</si>
  <si>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</si>
  <si>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</si>
  <si>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</si>
  <si>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</si>
  <si>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</si>
  <si>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</si>
  <si>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</si>
  <si>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</si>
  <si>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</si>
  <si>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</si>
  <si>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</si>
  <si>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</si>
  <si>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</si>
  <si>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</si>
  <si>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</si>
  <si>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</si>
  <si>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</si>
  <si>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</si>
  <si>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</si>
  <si>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</si>
  <si>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</si>
  <si>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</si>
  <si>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</si>
  <si>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</si>
  <si>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</si>
  <si>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</si>
  <si>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</si>
  <si>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</si>
  <si>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</si>
  <si>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</si>
  <si>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</si>
  <si>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</si>
  <si>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</si>
  <si>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</si>
  <si>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</si>
  <si>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</si>
  <si>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</si>
  <si>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</si>
  <si>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</si>
  <si>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</si>
  <si>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</si>
  <si>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</si>
  <si>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</si>
  <si>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</si>
  <si>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</si>
  <si>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</si>
  <si>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</si>
  <si>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</si>
  <si>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</si>
  <si>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</si>
  <si>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</si>
  <si>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</si>
  <si>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</si>
  <si>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</si>
  <si>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</si>
  <si>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</si>
  <si>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</si>
  <si>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</si>
  <si>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</si>
  <si>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</si>
  <si>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</si>
  <si>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</si>
  <si>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</si>
  <si>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</si>
  <si>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25</t>
  </si>
  <si>
    <t>187.2776</t>
  </si>
  <si>
    <t>112.5</t>
  </si>
  <si>
    <t>28</t>
  </si>
  <si>
    <t>187.27786</t>
  </si>
  <si>
    <t>126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</si>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</sst>
</file>

<file path=xl/styles.xml><?xml version="1.0" encoding="utf-8"?>
<styleSheet xmlns="http://schemas.openxmlformats.org/spreadsheetml/2006/main">
  <numFmts count="2">
    <numFmt numFmtId="168" formatCode="0.000"/>
    <numFmt numFmtId="169" formatCode="0.0%"/>
  </numFmts>
  <fonts count="9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">
    <xf numFmtId="0" fontId="0" fillId="0" borderId="0"/>
    <xf numFmtId="0" fontId="8" fillId="0" borderId="0">
      <alignment vertical="center"/>
    </xf>
    <xf numFmtId="0" fontId="8" fillId="0" borderId="0">
      <alignment vertical="center"/>
    </xf>
  </cellStyleXfs>
  <cellXfs count="162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68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68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1" fillId="0" borderId="0" xfId="0" applyFont="1" applyBorder="1" applyAlignment="1">
      <alignment horizontal="left" vertical="top"/>
    </xf>
    <xf numFmtId="0" fontId="3" fillId="0" borderId="4" xfId="0" applyFont="1" applyBorder="1"/>
    <xf numFmtId="0" fontId="3" fillId="0" borderId="5" xfId="0" applyFont="1" applyBorder="1"/>
    <xf numFmtId="168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8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0" borderId="0" xfId="0" applyFont="1" applyFill="1" applyBorder="1"/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4" fillId="0" borderId="0" xfId="0" applyFont="1"/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21" xfId="0" applyFont="1" applyFill="1" applyBorder="1"/>
    <xf numFmtId="0" fontId="3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22" xfId="0" applyFont="1" applyFill="1" applyBorder="1"/>
    <xf numFmtId="0" fontId="5" fillId="10" borderId="22" xfId="0" applyFont="1" applyFill="1" applyBorder="1"/>
    <xf numFmtId="0" fontId="0" fillId="0" borderId="17" xfId="0" applyNumberFormat="1" applyBorder="1"/>
    <xf numFmtId="0" fontId="2" fillId="2" borderId="13" xfId="0" applyFont="1" applyFill="1" applyBorder="1" applyAlignment="1">
      <alignment horizontal="center" vertical="center"/>
    </xf>
    <xf numFmtId="0" fontId="2" fillId="3" borderId="24" xfId="0" applyFont="1" applyFill="1" applyBorder="1" applyAlignment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2" xfId="0" applyFont="1" applyBorder="1"/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8" fontId="3" fillId="0" borderId="13" xfId="0" applyNumberFormat="1" applyFont="1" applyBorder="1"/>
    <xf numFmtId="9" fontId="3" fillId="0" borderId="13" xfId="0" applyNumberFormat="1" applyFont="1" applyBorder="1"/>
    <xf numFmtId="9" fontId="2" fillId="3" borderId="13" xfId="0" applyNumberFormat="1" applyFont="1" applyFill="1" applyBorder="1"/>
    <xf numFmtId="0" fontId="3" fillId="0" borderId="5" xfId="1" applyFont="1" applyBorder="1" applyAlignment="1"/>
    <xf numFmtId="0" fontId="6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69" fontId="3" fillId="0" borderId="13" xfId="0" applyNumberFormat="1" applyFont="1" applyBorder="1"/>
    <xf numFmtId="0" fontId="2" fillId="7" borderId="13" xfId="0" applyNumberFormat="1" applyFont="1" applyFill="1" applyBorder="1"/>
    <xf numFmtId="0" fontId="3" fillId="0" borderId="2" xfId="0" applyFont="1" applyBorder="1"/>
    <xf numFmtId="0" fontId="0" fillId="0" borderId="17" xfId="0" applyBorder="1"/>
    <xf numFmtId="0" fontId="0" fillId="0" borderId="25" xfId="0" applyBorder="1"/>
    <xf numFmtId="0" fontId="3" fillId="0" borderId="3" xfId="0" applyFont="1" applyBorder="1"/>
    <xf numFmtId="0" fontId="3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7" fillId="0" borderId="0" xfId="0" applyNumberFormat="1" applyFont="1" applyFill="1" applyBorder="1"/>
    <xf numFmtId="0" fontId="7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0" xfId="0" quotePrefix="1" applyFont="1"/>
    <xf numFmtId="0" fontId="1" fillId="0" borderId="0" xfId="0" applyFont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2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1" fillId="0" borderId="23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0" borderId="13" xfId="0" applyFont="1" applyBorder="1" applyAlignment="1">
      <alignment horizontal="right"/>
    </xf>
    <xf numFmtId="0" fontId="2" fillId="11" borderId="2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7" borderId="13" xfId="0" applyFont="1" applyFill="1" applyBorder="1" applyAlignment="1">
      <alignment horizontal="right"/>
    </xf>
    <xf numFmtId="0" fontId="2" fillId="12" borderId="13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3" fillId="0" borderId="23" xfId="0" applyFont="1" applyFill="1" applyBorder="1" applyAlignment="1">
      <alignment horizontal="left" vertical="center"/>
    </xf>
    <xf numFmtId="0" fontId="2" fillId="0" borderId="24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2" fillId="7" borderId="24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  <xf numFmtId="0" fontId="1" fillId="0" borderId="0" xfId="0" applyFont="1" applyFill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7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138" t="s">
        <v>89</v>
      </c>
      <c r="B21" s="13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139"/>
      <c r="J33" s="139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139"/>
      <c r="J34" s="139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139"/>
      <c r="J35" s="139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140"/>
      <c r="H36" s="140"/>
      <c r="I36" s="139"/>
      <c r="J36" s="139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140"/>
      <c r="H37" s="140"/>
      <c r="I37" s="139"/>
      <c r="J37" s="139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141" t="s">
        <v>154</v>
      </c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1709.64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4901.01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104.76964657962699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262.10845232486002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2777.98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10485.43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2507.6799999999998</v>
      </c>
      <c r="I32" s="69">
        <v>1</v>
      </c>
      <c r="J32" s="69">
        <v>2</v>
      </c>
      <c r="K32" s="69">
        <v>2.5</v>
      </c>
      <c r="L32" s="69">
        <f t="shared" si="7"/>
        <v>2507.6799999999998</v>
      </c>
      <c r="M32" s="69">
        <f t="shared" si="1"/>
        <v>25.08</v>
      </c>
      <c r="N32" s="69">
        <f t="shared" si="8"/>
        <v>2482.6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</v>
      </c>
      <c r="I34" s="69">
        <v>1</v>
      </c>
      <c r="J34" s="69">
        <v>2</v>
      </c>
      <c r="K34" s="69">
        <v>2.5</v>
      </c>
      <c r="L34" s="69">
        <f t="shared" si="7"/>
        <v>1372.8</v>
      </c>
      <c r="M34" s="69">
        <f t="shared" si="1"/>
        <v>13.73</v>
      </c>
      <c r="N34" s="69">
        <f t="shared" si="8"/>
        <v>1359.07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13978.35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6212.63</v>
      </c>
      <c r="W37" s="69">
        <f>ROUND(G37*$O$43,2)</f>
        <v>7.0000000000000007E-2</v>
      </c>
    </row>
    <row r="38" spans="1:23">
      <c r="A38" s="66"/>
      <c r="B38" s="142" t="s">
        <v>87</v>
      </c>
      <c r="C38" s="142"/>
      <c r="D38" s="142"/>
      <c r="E38" s="142"/>
      <c r="F38" s="142"/>
      <c r="G38" s="142"/>
      <c r="H38" s="71">
        <f>SUM(H23:H37)</f>
        <v>75435.259999999995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143" t="s">
        <v>194</v>
      </c>
      <c r="H40" s="144"/>
      <c r="I40" s="145">
        <f>H38</f>
        <v>75435.259999999995</v>
      </c>
      <c r="J40" s="145"/>
      <c r="K40" s="100"/>
      <c r="L40" s="66"/>
      <c r="M40" s="146" t="s">
        <v>195</v>
      </c>
      <c r="N40" s="147"/>
      <c r="O40" s="147"/>
      <c r="P40" s="148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143" t="s">
        <v>196</v>
      </c>
      <c r="H41" s="144"/>
      <c r="I41" s="145">
        <f>R38</f>
        <v>4077.7</v>
      </c>
      <c r="J41" s="145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143" t="s">
        <v>197</v>
      </c>
      <c r="H42" s="144"/>
      <c r="I42" s="145">
        <f>S38</f>
        <v>71357.56</v>
      </c>
      <c r="J42" s="145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143" t="s">
        <v>198</v>
      </c>
      <c r="H43" s="144"/>
      <c r="I43" s="145">
        <f>U38</f>
        <v>12844.37</v>
      </c>
      <c r="J43" s="145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143" t="s">
        <v>199</v>
      </c>
      <c r="H44" s="144"/>
      <c r="I44" s="149">
        <f>I42+I43</f>
        <v>84201.93</v>
      </c>
      <c r="J44" s="149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141" t="s">
        <v>200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4901.01</v>
      </c>
      <c r="V7" s="68">
        <f t="shared" ref="V7:V20" si="0">U7*$T$4</f>
        <v>406391.74920000002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10394.851199999999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2777.98</v>
      </c>
      <c r="V9" s="68">
        <f t="shared" si="0"/>
        <v>230350.10159999999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252679.62839999999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10485.43</v>
      </c>
      <c r="V11" s="68">
        <f t="shared" si="0"/>
        <v>869451.85560000001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173289.53279999999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2507.6799999999998</v>
      </c>
      <c r="H15" s="109">
        <v>0.01</v>
      </c>
      <c r="I15" s="109">
        <v>0.02</v>
      </c>
      <c r="J15" s="117">
        <v>2.5000000000000001E-2</v>
      </c>
      <c r="K15" s="68">
        <f t="shared" si="3"/>
        <v>2507.6799999999998</v>
      </c>
      <c r="L15" s="68">
        <f t="shared" si="4"/>
        <v>25.08</v>
      </c>
      <c r="M15" s="68">
        <f t="shared" si="5"/>
        <v>2482.6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7424.6567999999997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354652.98599999998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6212.63</v>
      </c>
      <c r="V20" s="68">
        <f t="shared" si="0"/>
        <v>515151.27960000001</v>
      </c>
      <c r="W20" s="68">
        <f t="shared" si="1"/>
        <v>5429.6016</v>
      </c>
    </row>
    <row r="21" spans="1:23">
      <c r="A21" s="66"/>
      <c r="B21" s="142" t="s">
        <v>87</v>
      </c>
      <c r="C21" s="142"/>
      <c r="D21" s="142"/>
      <c r="E21" s="142"/>
      <c r="F21" s="142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150" t="s">
        <v>206</v>
      </c>
      <c r="G23" s="150"/>
      <c r="H23" s="150"/>
      <c r="I23" s="150"/>
      <c r="J23" s="66"/>
      <c r="K23" s="150" t="s">
        <v>207</v>
      </c>
      <c r="L23" s="150"/>
      <c r="M23" s="150"/>
      <c r="N23" s="150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143" t="s">
        <v>194</v>
      </c>
      <c r="G24" s="144"/>
      <c r="H24" s="151">
        <f>G21</f>
        <v>71856.759999999995</v>
      </c>
      <c r="I24" s="151"/>
      <c r="J24" s="100"/>
      <c r="K24" s="143" t="s">
        <v>194</v>
      </c>
      <c r="L24" s="144"/>
      <c r="M24" s="151">
        <f>H24*$T$4</f>
        <v>5958362.5392000005</v>
      </c>
      <c r="N24" s="151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143" t="s">
        <v>196</v>
      </c>
      <c r="G25" s="144"/>
      <c r="H25" s="151">
        <f>Q21</f>
        <v>3884.27</v>
      </c>
      <c r="I25" s="151"/>
      <c r="J25" s="66"/>
      <c r="K25" s="143" t="s">
        <v>196</v>
      </c>
      <c r="L25" s="144"/>
      <c r="M25" s="151">
        <f t="shared" ref="M25:M28" si="14">H25*$T$4</f>
        <v>322083.66840000002</v>
      </c>
      <c r="N25" s="151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143" t="s">
        <v>197</v>
      </c>
      <c r="G26" s="144"/>
      <c r="H26" s="151">
        <f>R21</f>
        <v>67972.490000000005</v>
      </c>
      <c r="I26" s="151"/>
      <c r="J26" s="66"/>
      <c r="K26" s="143" t="s">
        <v>197</v>
      </c>
      <c r="L26" s="144"/>
      <c r="M26" s="151">
        <f t="shared" si="14"/>
        <v>5636278.8707999997</v>
      </c>
      <c r="N26" s="151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143" t="s">
        <v>198</v>
      </c>
      <c r="G27" s="144"/>
      <c r="H27" s="151">
        <f>T21</f>
        <v>12235.06</v>
      </c>
      <c r="I27" s="151"/>
      <c r="J27" s="66"/>
      <c r="K27" s="143" t="s">
        <v>198</v>
      </c>
      <c r="L27" s="144"/>
      <c r="M27" s="151">
        <f t="shared" si="14"/>
        <v>1014531.1752000001</v>
      </c>
      <c r="N27" s="151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143" t="s">
        <v>199</v>
      </c>
      <c r="G28" s="144"/>
      <c r="H28" s="152">
        <f>H26+H27</f>
        <v>80207.55</v>
      </c>
      <c r="I28" s="152"/>
      <c r="J28" s="66"/>
      <c r="K28" s="143" t="s">
        <v>199</v>
      </c>
      <c r="L28" s="144"/>
      <c r="M28" s="152">
        <f t="shared" si="14"/>
        <v>6650810.0460000001</v>
      </c>
      <c r="N28" s="152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141" t="s">
        <v>208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4901.01</v>
      </c>
      <c r="V4" s="68">
        <f t="shared" ref="V4:V17" si="1">U4*$T$1</f>
        <v>406391.74920000002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2777.98</v>
      </c>
      <c r="V6" s="68">
        <f t="shared" si="1"/>
        <v>230350.10159999999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252679.62839999999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10485.43</v>
      </c>
      <c r="V8" s="68">
        <f t="shared" si="1"/>
        <v>869451.85560000001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173289.53279999999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2507.6799999999998</v>
      </c>
      <c r="H12" s="109">
        <v>0.01</v>
      </c>
      <c r="I12" s="109">
        <v>0.02</v>
      </c>
      <c r="J12" s="79">
        <v>2.5000000000000001E-2</v>
      </c>
      <c r="K12" s="68">
        <f t="shared" si="3"/>
        <v>2507.6799999999998</v>
      </c>
      <c r="L12" s="68">
        <f t="shared" si="4"/>
        <v>25.08</v>
      </c>
      <c r="M12" s="68">
        <f t="shared" si="5"/>
        <v>2482.6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</v>
      </c>
      <c r="H14" s="109">
        <v>0.01</v>
      </c>
      <c r="I14" s="109">
        <v>0.02</v>
      </c>
      <c r="J14" s="79">
        <v>2.5000000000000001E-2</v>
      </c>
      <c r="K14" s="68">
        <f t="shared" si="3"/>
        <v>1372.8</v>
      </c>
      <c r="L14" s="68">
        <f t="shared" si="4"/>
        <v>13.73</v>
      </c>
      <c r="M14" s="68">
        <f t="shared" si="5"/>
        <v>1359.07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127061.63280000001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13978.35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6212.63</v>
      </c>
      <c r="V17" s="68">
        <f t="shared" si="1"/>
        <v>515151.27960000001</v>
      </c>
      <c r="W17" s="68">
        <f>ROUND(F17*$S$23*$T$1,2)</f>
        <v>5.43</v>
      </c>
    </row>
    <row r="18" spans="1:23">
      <c r="A18" s="66"/>
      <c r="B18" s="142" t="s">
        <v>87</v>
      </c>
      <c r="C18" s="142"/>
      <c r="D18" s="142"/>
      <c r="E18" s="142"/>
      <c r="F18" s="142"/>
      <c r="G18" s="71">
        <f>SUM(G3:G17)</f>
        <v>71570.81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67701.990000000005</v>
      </c>
      <c r="S18" s="71"/>
      <c r="T18" s="71">
        <f>SUM(T3:T17)</f>
        <v>12186.37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150" t="s">
        <v>206</v>
      </c>
      <c r="G20" s="150"/>
      <c r="H20" s="150"/>
      <c r="I20" s="150"/>
      <c r="J20" s="66"/>
      <c r="K20" s="150" t="s">
        <v>207</v>
      </c>
      <c r="L20" s="150"/>
      <c r="M20" s="150"/>
      <c r="N20" s="150"/>
      <c r="O20" s="66"/>
      <c r="P20" s="66"/>
      <c r="Q20" s="146" t="s">
        <v>195</v>
      </c>
      <c r="R20" s="147"/>
      <c r="S20" s="147"/>
      <c r="T20" s="148"/>
      <c r="U20" s="66"/>
      <c r="V20" s="66"/>
      <c r="W20" s="66"/>
    </row>
    <row r="21" spans="1:23">
      <c r="A21" s="66"/>
      <c r="B21" s="66"/>
      <c r="C21" s="66"/>
      <c r="D21" s="66"/>
      <c r="E21" s="66"/>
      <c r="F21" s="143" t="s">
        <v>194</v>
      </c>
      <c r="G21" s="144"/>
      <c r="H21" s="151">
        <f>G18</f>
        <v>71570.81</v>
      </c>
      <c r="I21" s="151"/>
      <c r="J21" s="100"/>
      <c r="K21" s="143" t="s">
        <v>194</v>
      </c>
      <c r="L21" s="144"/>
      <c r="M21" s="151">
        <f>H21*$T$1</f>
        <v>5934651.5652000001</v>
      </c>
      <c r="N21" s="151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143" t="s">
        <v>196</v>
      </c>
      <c r="G22" s="144"/>
      <c r="H22" s="151">
        <f>Q18</f>
        <v>3868.82</v>
      </c>
      <c r="I22" s="151"/>
      <c r="J22" s="66"/>
      <c r="K22" s="143" t="s">
        <v>196</v>
      </c>
      <c r="L22" s="144"/>
      <c r="M22" s="151">
        <f t="shared" ref="M22:M25" si="14">H22*$T$1</f>
        <v>320802.55440000002</v>
      </c>
      <c r="N22" s="151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143" t="s">
        <v>197</v>
      </c>
      <c r="G23" s="144"/>
      <c r="H23" s="151">
        <f>R18</f>
        <v>67701.990000000005</v>
      </c>
      <c r="I23" s="151"/>
      <c r="J23" s="66"/>
      <c r="K23" s="143" t="s">
        <v>197</v>
      </c>
      <c r="L23" s="144"/>
      <c r="M23" s="151">
        <f t="shared" si="14"/>
        <v>5613849.0108000003</v>
      </c>
      <c r="N23" s="151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143" t="s">
        <v>198</v>
      </c>
      <c r="G24" s="144"/>
      <c r="H24" s="151">
        <f>T18</f>
        <v>12186.37</v>
      </c>
      <c r="I24" s="151"/>
      <c r="J24" s="66"/>
      <c r="K24" s="143" t="s">
        <v>198</v>
      </c>
      <c r="L24" s="144"/>
      <c r="M24" s="151">
        <f t="shared" si="14"/>
        <v>1010493.8003999999</v>
      </c>
      <c r="N24" s="151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143" t="s">
        <v>199</v>
      </c>
      <c r="G25" s="144"/>
      <c r="H25" s="152">
        <f>H23+H24</f>
        <v>79888.36</v>
      </c>
      <c r="I25" s="152"/>
      <c r="J25" s="66"/>
      <c r="K25" s="143" t="s">
        <v>199</v>
      </c>
      <c r="L25" s="144"/>
      <c r="M25" s="152">
        <f t="shared" si="14"/>
        <v>6624342.8112000003</v>
      </c>
      <c r="N25" s="152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555.29999999999995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555.29999999999995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53" t="s">
        <v>87</v>
      </c>
      <c r="C19" s="154"/>
      <c r="D19" s="154"/>
      <c r="E19" s="154"/>
      <c r="F19" s="154"/>
      <c r="G19" s="15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Q13" workbookViewId="0">
      <selection activeCell="AR23" sqref="AR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53" t="s">
        <v>87</v>
      </c>
      <c r="C19" s="154"/>
      <c r="D19" s="154"/>
      <c r="E19" s="154"/>
      <c r="F19" s="154"/>
      <c r="G19" s="15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240</v>
      </c>
      <c r="AV23" t="s">
        <v>241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242</v>
      </c>
      <c r="BN23" t="s">
        <v>243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244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240</v>
      </c>
      <c r="AV24" t="s">
        <v>245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240</v>
      </c>
      <c r="BN24" t="s">
        <v>240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240</v>
      </c>
      <c r="AV23" t="s">
        <v>247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248</v>
      </c>
      <c r="BN23" t="s">
        <v>249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250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240</v>
      </c>
      <c r="AV24" t="s">
        <v>251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251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253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56.06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223</v>
      </c>
      <c r="AV23" t="s">
        <v>254</v>
      </c>
      <c r="AW23" s="83">
        <f>AM23</f>
        <v>2</v>
      </c>
      <c r="AX23" s="83">
        <f>AR23</f>
        <v>426.97</v>
      </c>
      <c r="AY23" s="83">
        <f>AU23+AW23</f>
        <v>4</v>
      </c>
      <c r="AZ23" s="83">
        <f>ROUND(((AU23*AV23)+(AW23*AX23))/(AU23+AW23),5)</f>
        <v>426.97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254</v>
      </c>
      <c r="BN23" t="s">
        <v>223</v>
      </c>
      <c r="BO23" s="83">
        <f>ROUND((((AW23*AZ23)+(BN23*BM23))/(AW23+BN23)),5)</f>
        <v>426.97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256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61.6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257</v>
      </c>
      <c r="AV24" t="s">
        <v>258</v>
      </c>
      <c r="AW24" s="83">
        <f>AM24</f>
        <v>2</v>
      </c>
      <c r="AX24" s="83">
        <f>AR24</f>
        <v>469.2</v>
      </c>
      <c r="AY24" s="83">
        <f>AU24+AW24</f>
        <v>8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258</v>
      </c>
      <c r="BN24" t="s">
        <v>223</v>
      </c>
      <c r="BO24" s="83">
        <f>ROUND((((AW24*AZ24)+(BN24*BM24))/(AW24+BN24)),5)</f>
        <v>469.2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260</v>
      </c>
      <c r="H23" s="69">
        <f>F23*G23</f>
        <v>1756</v>
      </c>
      <c r="I23" t="s">
        <v>261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240</v>
      </c>
      <c r="AV23" t="s">
        <v>262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262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263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264</v>
      </c>
      <c r="H24" s="69">
        <f>F24*G24</f>
        <v>486</v>
      </c>
      <c r="I24" t="s">
        <v>265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266</v>
      </c>
      <c r="AV24" t="s">
        <v>267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268</v>
      </c>
      <c r="BN24" t="s">
        <v>269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270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272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273</v>
      </c>
      <c r="AV23" t="s">
        <v>274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275</v>
      </c>
      <c r="BN23" t="s">
        <v>276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278</v>
      </c>
      <c r="H24" s="69">
        <f>F24*G24</f>
        <v>506</v>
      </c>
      <c r="I24" t="s">
        <v>272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279</v>
      </c>
      <c r="AV24" t="s">
        <v>280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281</v>
      </c>
      <c r="BN24" t="s">
        <v>282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138" t="s">
        <v>89</v>
      </c>
      <c r="B21" s="13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284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285</v>
      </c>
      <c r="AS23" t="s">
        <v>286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287</v>
      </c>
      <c r="BK23" t="s">
        <v>288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289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290</v>
      </c>
      <c r="H24" s="69">
        <f>F24*G24</f>
        <v>696</v>
      </c>
      <c r="I24" t="s">
        <v>291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292</v>
      </c>
      <c r="AS24" t="s">
        <v>293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294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295</v>
      </c>
      <c r="BK24" t="s">
        <v>296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297</v>
      </c>
      <c r="AT27" t="s">
        <v>298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299</v>
      </c>
    </row>
    <row r="32" spans="1:66">
      <c r="AV32">
        <v>513.38841000000002</v>
      </c>
    </row>
    <row r="33" spans="48:48">
      <c r="AV33">
        <f>AV31-AV32</f>
        <v>3.2499999999799898E-3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30.8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301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301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302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303</v>
      </c>
      <c r="H24" s="69">
        <f>F24*G24</f>
        <v>468</v>
      </c>
      <c r="I24" t="s">
        <v>304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305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306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80.95</v>
      </c>
      <c r="W25" s="78">
        <f>SUM(W23:W24)</f>
        <v>80.95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161.9</v>
      </c>
      <c r="AC25" s="80">
        <f>SUM(AC23:AC24)</f>
        <v>983.87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30.8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308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309</v>
      </c>
      <c r="BN23" t="s">
        <v>310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30.8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311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312</v>
      </c>
      <c r="AT23" s="83" t="s">
        <v>58</v>
      </c>
      <c r="AU23" t="s">
        <v>223</v>
      </c>
      <c r="AV23" t="s">
        <v>313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314</v>
      </c>
      <c r="BM23" t="s">
        <v>313</v>
      </c>
      <c r="BN23" t="s">
        <v>304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312</v>
      </c>
      <c r="AT24" s="83" t="s">
        <v>58</v>
      </c>
      <c r="AU24" t="s">
        <v>304</v>
      </c>
      <c r="AV24" t="s">
        <v>315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314</v>
      </c>
      <c r="BM24" t="s">
        <v>315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316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312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314</v>
      </c>
      <c r="BM23" t="s">
        <v>240</v>
      </c>
      <c r="BN23" t="s">
        <v>240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302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312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314</v>
      </c>
      <c r="BM24" t="s">
        <v>240</v>
      </c>
      <c r="BN24" t="s">
        <v>240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317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318</v>
      </c>
      <c r="BN23" t="s">
        <v>243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253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317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318</v>
      </c>
      <c r="BN23" t="s">
        <v>243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259</v>
      </c>
      <c r="C23" s="68" t="s">
        <v>259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240</v>
      </c>
      <c r="AV23" t="s">
        <v>315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319</v>
      </c>
      <c r="BN23" t="s">
        <v>320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240</v>
      </c>
      <c r="AV23" t="s">
        <v>247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247</v>
      </c>
      <c r="BN23" t="s">
        <v>304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322</v>
      </c>
      <c r="AV23" t="s">
        <v>323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324</v>
      </c>
      <c r="BN23" t="s">
        <v>310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30.8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317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318</v>
      </c>
      <c r="BN23" t="s">
        <v>243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30.8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266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269</v>
      </c>
      <c r="AV23" t="s">
        <v>327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328</v>
      </c>
      <c r="BN23" t="s">
        <v>310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304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304</v>
      </c>
      <c r="AV24" t="s">
        <v>330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330</v>
      </c>
      <c r="BN24" t="s">
        <v>310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1478.45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272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332</v>
      </c>
      <c r="AT23" s="83" t="s">
        <v>58</v>
      </c>
      <c r="AU23" t="s">
        <v>240</v>
      </c>
      <c r="AV23" t="s">
        <v>333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334</v>
      </c>
      <c r="BM23" t="s">
        <v>335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278</v>
      </c>
      <c r="H24" s="69">
        <f>F24*G24</f>
        <v>506</v>
      </c>
      <c r="I24" t="s">
        <v>272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332</v>
      </c>
      <c r="AT24" s="83" t="s">
        <v>58</v>
      </c>
      <c r="AU24" t="s">
        <v>240</v>
      </c>
      <c r="AV24" t="s">
        <v>337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334</v>
      </c>
      <c r="BM24" t="s">
        <v>338</v>
      </c>
      <c r="BN24" t="s">
        <v>269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zoomScale="115" zoomScaleNormal="115" workbookViewId="0">
      <selection activeCell="AQ24" sqref="AQ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272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240</v>
      </c>
      <c r="AV23" t="s">
        <v>339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339</v>
      </c>
      <c r="BN23" t="s">
        <v>340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263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278</v>
      </c>
      <c r="H24" s="69">
        <f>F24*G24</f>
        <v>506</v>
      </c>
      <c r="I24" t="s">
        <v>272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240</v>
      </c>
      <c r="AV24" t="s">
        <v>341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341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343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332</v>
      </c>
      <c r="AT23" s="83" t="s">
        <v>58</v>
      </c>
      <c r="AU23" t="s">
        <v>240</v>
      </c>
      <c r="AV23" t="s">
        <v>344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334</v>
      </c>
      <c r="BM23" t="s">
        <v>344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346</v>
      </c>
      <c r="H24" s="69">
        <f>F24*G24</f>
        <v>688</v>
      </c>
      <c r="I24" t="s">
        <v>266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332</v>
      </c>
      <c r="AT24" s="83" t="s">
        <v>58</v>
      </c>
      <c r="AU24" t="s">
        <v>240</v>
      </c>
      <c r="AV24" t="s">
        <v>347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334</v>
      </c>
      <c r="BM24" t="s">
        <v>348</v>
      </c>
      <c r="BN24" t="s">
        <v>269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1179.3900000000001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272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350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351</v>
      </c>
      <c r="BM23" t="s">
        <v>240</v>
      </c>
      <c r="BN23" t="s">
        <v>240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271</v>
      </c>
      <c r="H23" s="69">
        <f>F23*G23</f>
        <v>2460</v>
      </c>
      <c r="I23" t="s">
        <v>272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332</v>
      </c>
      <c r="AT23" s="83" t="s">
        <v>58</v>
      </c>
      <c r="AU23" t="s">
        <v>240</v>
      </c>
      <c r="AV23" t="s">
        <v>333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334</v>
      </c>
      <c r="BM23" t="s">
        <v>353</v>
      </c>
      <c r="BN23" t="s">
        <v>257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278</v>
      </c>
      <c r="H24" s="69">
        <f>F24*G24</f>
        <v>506</v>
      </c>
      <c r="I24" t="s">
        <v>272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332</v>
      </c>
      <c r="AT24" s="83" t="s">
        <v>58</v>
      </c>
      <c r="AU24" t="s">
        <v>240</v>
      </c>
      <c r="AV24" t="s">
        <v>337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334</v>
      </c>
      <c r="BM24" t="s">
        <v>355</v>
      </c>
      <c r="BN24" t="s">
        <v>340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343</v>
      </c>
      <c r="H23" s="69">
        <f>F23*G23</f>
        <v>488</v>
      </c>
      <c r="I23" t="s">
        <v>357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332</v>
      </c>
      <c r="AT23" s="83" t="s">
        <v>58</v>
      </c>
      <c r="AU23" t="s">
        <v>240</v>
      </c>
      <c r="AV23" t="s">
        <v>333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334</v>
      </c>
      <c r="BM23" t="s">
        <v>353</v>
      </c>
      <c r="BN23" t="s">
        <v>257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303</v>
      </c>
      <c r="H24" s="69">
        <f>F24*G24</f>
        <v>468</v>
      </c>
      <c r="I24" t="s">
        <v>359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332</v>
      </c>
      <c r="AT24" s="83" t="s">
        <v>58</v>
      </c>
      <c r="AU24" t="s">
        <v>240</v>
      </c>
      <c r="AV24" t="s">
        <v>337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334</v>
      </c>
      <c r="BM24" t="s">
        <v>355</v>
      </c>
      <c r="BN24" t="s">
        <v>340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317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318</v>
      </c>
      <c r="BN23" t="s">
        <v>243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256</v>
      </c>
      <c r="H23" s="69">
        <f>F23*G23</f>
        <v>1000</v>
      </c>
      <c r="I23" t="s">
        <v>360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1073.4100000000001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312</v>
      </c>
      <c r="AT23" s="83" t="s">
        <v>58</v>
      </c>
      <c r="AU23" t="s">
        <v>240</v>
      </c>
      <c r="AV23" t="s">
        <v>311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314</v>
      </c>
      <c r="BM23" t="s">
        <v>361</v>
      </c>
      <c r="BN23" t="s">
        <v>362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363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312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314</v>
      </c>
      <c r="BM24" t="s">
        <v>240</v>
      </c>
      <c r="BN24" t="s">
        <v>240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365</v>
      </c>
      <c r="H23" s="69">
        <f>F23*G23</f>
        <v>911.34</v>
      </c>
      <c r="I23" t="s">
        <v>272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431.96499999999997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431.96499999999997</v>
      </c>
      <c r="AS23" s="83" t="s">
        <v>312</v>
      </c>
      <c r="AT23" s="83" t="s">
        <v>58</v>
      </c>
      <c r="AU23" t="s">
        <v>240</v>
      </c>
      <c r="AV23" t="s">
        <v>366</v>
      </c>
      <c r="AW23" s="83">
        <f>AM23</f>
        <v>2</v>
      </c>
      <c r="AX23" s="83">
        <f>AR23</f>
        <v>431.96499999999997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367</v>
      </c>
      <c r="BM23" t="s">
        <v>366</v>
      </c>
      <c r="BN23" t="s">
        <v>257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369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312</v>
      </c>
      <c r="AT24" s="83" t="s">
        <v>58</v>
      </c>
      <c r="AU24" t="s">
        <v>240</v>
      </c>
      <c r="AV24" t="s">
        <v>370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367</v>
      </c>
      <c r="BM24" t="s">
        <v>370</v>
      </c>
      <c r="BN24" t="s">
        <v>257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371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350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351</v>
      </c>
      <c r="BM23" t="s">
        <v>240</v>
      </c>
      <c r="BN23" t="s">
        <v>240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372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240</v>
      </c>
      <c r="AV23" t="s">
        <v>373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373</v>
      </c>
      <c r="BN23" t="s">
        <v>266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374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375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240</v>
      </c>
      <c r="AV24" t="s">
        <v>376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376</v>
      </c>
      <c r="BN24" t="s">
        <v>266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3474.61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3673.17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198.56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3474.61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AB25</f>
        <v>625.44000000000005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4100.05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opLeftCell="AP13" workbookViewId="0">
      <selection activeCell="AS28" sqref="AS28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363</v>
      </c>
      <c r="H23" s="69">
        <f>F23*G23</f>
        <v>14400</v>
      </c>
      <c r="I23" t="s">
        <v>304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1659.57125</v>
      </c>
      <c r="AS23" s="83" t="s">
        <v>229</v>
      </c>
      <c r="AT23" s="83" t="s">
        <v>58</v>
      </c>
      <c r="AU23" t="s">
        <v>240</v>
      </c>
      <c r="AV23" t="s">
        <v>388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ROUND(((AU23*AV23)+(AW23*AX23))/(AU23+AW23),1)</f>
        <v>1659.6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240</v>
      </c>
      <c r="BN23" t="s">
        <v>240</v>
      </c>
      <c r="BO23" s="83">
        <f>ROUND((((AW23*AZ23)+(BN23*BM23))/(AW23+BN23)),5)</f>
        <v>1659.6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143" t="s">
        <v>194</v>
      </c>
      <c r="H26" s="144"/>
      <c r="I26" s="145">
        <f>H24</f>
        <v>14400</v>
      </c>
      <c r="J26" s="145"/>
      <c r="K26" s="100"/>
      <c r="L26" s="66"/>
      <c r="M26" s="146" t="s">
        <v>195</v>
      </c>
      <c r="N26" s="147"/>
      <c r="O26" s="147"/>
      <c r="P26" s="14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377</v>
      </c>
      <c r="BI26" s="135" t="s">
        <v>378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196</v>
      </c>
      <c r="H27" s="144"/>
      <c r="I27" s="145">
        <f>R24</f>
        <v>1123.43</v>
      </c>
      <c r="J27" s="14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379</v>
      </c>
      <c r="BI27" s="135" t="s">
        <v>380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197</v>
      </c>
      <c r="H28" s="144"/>
      <c r="I28" s="145">
        <f>S24</f>
        <v>13276.57</v>
      </c>
      <c r="J28" s="14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198</v>
      </c>
      <c r="H29" s="144"/>
      <c r="I29" s="145">
        <f>AB24</f>
        <v>2389.7800000000002</v>
      </c>
      <c r="J29" s="14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199</v>
      </c>
      <c r="H30" s="144"/>
      <c r="I30" s="149">
        <f>I28+I29</f>
        <v>15666.35</v>
      </c>
      <c r="J30" s="14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381</v>
      </c>
      <c r="BN31" s="66" t="s">
        <v>382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383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384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385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386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E10" workbookViewId="0">
      <selection activeCell="AS23" sqref="AS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389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256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8329.5400000000009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1411.788</v>
      </c>
      <c r="AS23" s="83" t="s">
        <v>229</v>
      </c>
      <c r="AT23" s="83" t="s">
        <v>58</v>
      </c>
      <c r="AU23" t="s">
        <v>240</v>
      </c>
      <c r="AV23" t="s">
        <v>390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ROUND(((AU23*AV23)+(AW23*AX23))/(AU23+AW23),1)</f>
        <v>1411.8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391</v>
      </c>
      <c r="BN23" t="s">
        <v>392</v>
      </c>
      <c r="BO23" s="83">
        <f>ROUND((((AW23*AZ23)+(BN23*BM23))/(AW23+BN23)),5)</f>
        <v>1407.6939600000001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8329.5400000000009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143" t="s">
        <v>194</v>
      </c>
      <c r="H26" s="144"/>
      <c r="I26" s="145">
        <f>H24</f>
        <v>7500</v>
      </c>
      <c r="J26" s="145"/>
      <c r="K26" s="100"/>
      <c r="L26" s="66"/>
      <c r="M26" s="146" t="s">
        <v>195</v>
      </c>
      <c r="N26" s="147"/>
      <c r="O26" s="147"/>
      <c r="P26" s="148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377</v>
      </c>
      <c r="BI26" s="135" t="s">
        <v>378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196</v>
      </c>
      <c r="H27" s="144"/>
      <c r="I27" s="145">
        <f>R24</f>
        <v>441.06</v>
      </c>
      <c r="J27" s="145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379</v>
      </c>
      <c r="BI27" s="135" t="s">
        <v>380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197</v>
      </c>
      <c r="H28" s="144"/>
      <c r="I28" s="145">
        <f>S24</f>
        <v>7058.94</v>
      </c>
      <c r="J28" s="145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198</v>
      </c>
      <c r="H29" s="144"/>
      <c r="I29" s="145">
        <f>AB24</f>
        <v>1270.5999999999999</v>
      </c>
      <c r="J29" s="145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199</v>
      </c>
      <c r="H30" s="144"/>
      <c r="I30" s="149">
        <f>I28+I29</f>
        <v>8329.5400000000009</v>
      </c>
      <c r="J30" s="14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381</v>
      </c>
      <c r="BN31" s="66" t="s">
        <v>382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383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384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385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386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394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240</v>
      </c>
      <c r="AV23" t="s">
        <v>395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396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276</v>
      </c>
      <c r="H24" s="69">
        <f t="shared" ref="H24" si="3">F24*G24</f>
        <v>6608</v>
      </c>
      <c r="I24" t="s">
        <v>397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375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240</v>
      </c>
      <c r="AV24" t="s">
        <v>398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240</v>
      </c>
      <c r="BN24" t="s">
        <v>240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12484.87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12358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842.29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11515.71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AB25</f>
        <v>2072.8200000000002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13588.53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399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363</v>
      </c>
      <c r="H23" s="69">
        <f>F23*G23</f>
        <v>10800</v>
      </c>
      <c r="I23" t="s">
        <v>266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312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314</v>
      </c>
      <c r="BM23" t="s">
        <v>240</v>
      </c>
      <c r="BN23" t="s">
        <v>240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400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256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312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314</v>
      </c>
      <c r="BM24" t="s">
        <v>240</v>
      </c>
      <c r="BN24" t="s">
        <v>240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21300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1458.09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19841.91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AB25</f>
        <v>3571.55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23413.46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401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346</v>
      </c>
      <c r="H23" s="69">
        <f>F23*G23</f>
        <v>8600</v>
      </c>
      <c r="I23" t="s">
        <v>261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240</v>
      </c>
      <c r="AV23" t="s">
        <v>402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402</v>
      </c>
      <c r="BN23" t="s">
        <v>403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404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303</v>
      </c>
      <c r="H24" s="69">
        <f t="shared" ref="H24" si="3">F24*G24</f>
        <v>6552</v>
      </c>
      <c r="I24" t="s">
        <v>405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375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240</v>
      </c>
      <c r="AV24" t="s">
        <v>406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406</v>
      </c>
      <c r="BN24" t="s">
        <v>407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15152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944.18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14207.82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AB25</f>
        <v>2557.4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16765.22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408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363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9944.4599999999991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312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314</v>
      </c>
      <c r="BM23" t="s">
        <v>240</v>
      </c>
      <c r="BN23" t="s">
        <v>240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409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256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312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314</v>
      </c>
      <c r="BM24" t="s">
        <v>240</v>
      </c>
      <c r="BN24" t="s">
        <v>240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1526.64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24000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1526.64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22473.360000000001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AB25</f>
        <v>4045.2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26518.560000000001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314</v>
      </c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23" sqref="B23:B24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53" t="s">
        <v>87</v>
      </c>
      <c r="C19" s="154"/>
      <c r="D19" s="154"/>
      <c r="E19" s="154"/>
      <c r="F19" s="154"/>
      <c r="G19" s="15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56" t="s">
        <v>89</v>
      </c>
      <c r="B21" s="15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410</v>
      </c>
      <c r="H23" s="69">
        <f>F23*G23</f>
        <v>3555</v>
      </c>
      <c r="I23" t="s">
        <v>411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240</v>
      </c>
      <c r="AV23" t="s">
        <v>412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412</v>
      </c>
      <c r="BN23" t="s">
        <v>413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414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415</v>
      </c>
      <c r="H24" s="69">
        <f t="shared" ref="H24" si="3">F24*G24</f>
        <v>10944</v>
      </c>
      <c r="I24" t="s">
        <v>359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375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240</v>
      </c>
      <c r="AV24" t="s">
        <v>416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417</v>
      </c>
      <c r="BN24" t="s">
        <v>418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57">
        <f>H25</f>
        <v>14499</v>
      </c>
      <c r="J27" s="158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57">
        <f>R25</f>
        <v>1001.74</v>
      </c>
      <c r="J28" s="15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57">
        <f>S25</f>
        <v>13497.26</v>
      </c>
      <c r="J29" s="15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57">
        <f>AB25</f>
        <v>2429.5</v>
      </c>
      <c r="J30" s="15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59">
        <f>I29+I30</f>
        <v>15926.76</v>
      </c>
      <c r="J31" s="16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53" t="s">
        <v>87</v>
      </c>
      <c r="C19" s="154"/>
      <c r="D19" s="154"/>
      <c r="E19" s="154"/>
      <c r="F19" s="154"/>
      <c r="G19" s="15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56" t="s">
        <v>89</v>
      </c>
      <c r="B21" s="15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389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256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240</v>
      </c>
      <c r="AV23" t="s">
        <v>419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420</v>
      </c>
      <c r="BN23" t="s">
        <v>421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422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423</v>
      </c>
      <c r="H24" s="69">
        <f t="shared" ref="H24" si="3">F24*G24</f>
        <v>4500</v>
      </c>
      <c r="I24" t="s">
        <v>266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375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240</v>
      </c>
      <c r="AV24" t="s">
        <v>424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424</v>
      </c>
      <c r="BN24" t="s">
        <v>425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57">
        <f>H25</f>
        <v>9000</v>
      </c>
      <c r="J27" s="158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57">
        <f>R25</f>
        <v>615.49</v>
      </c>
      <c r="J28" s="15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57">
        <f>S25</f>
        <v>8384.51</v>
      </c>
      <c r="J29" s="15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57">
        <f>AB25</f>
        <v>1509.22</v>
      </c>
      <c r="J30" s="15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59">
        <f>I29+I30</f>
        <v>9893.73</v>
      </c>
      <c r="J31" s="16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53" t="s">
        <v>87</v>
      </c>
      <c r="C19" s="154"/>
      <c r="D19" s="154"/>
      <c r="E19" s="154"/>
      <c r="F19" s="154"/>
      <c r="G19" s="15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56" t="s">
        <v>89</v>
      </c>
      <c r="B21" s="15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426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240</v>
      </c>
      <c r="AV23" t="s">
        <v>427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427</v>
      </c>
      <c r="BN23" t="s">
        <v>428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429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375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240</v>
      </c>
      <c r="AV24" t="s">
        <v>430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430</v>
      </c>
      <c r="BN24" t="s">
        <v>431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348.29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57">
        <f>H25</f>
        <v>6443.34</v>
      </c>
      <c r="J27" s="158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57">
        <f>R25</f>
        <v>348.29</v>
      </c>
      <c r="J28" s="158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57">
        <f>S25</f>
        <v>6095.05</v>
      </c>
      <c r="J29" s="158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57">
        <f>AB25</f>
        <v>1097.0999999999999</v>
      </c>
      <c r="J30" s="158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59">
        <f>I29+I30</f>
        <v>7192.15</v>
      </c>
      <c r="J31" s="160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400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432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240</v>
      </c>
      <c r="AV23" t="s">
        <v>433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433</v>
      </c>
      <c r="BN23" t="s">
        <v>413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399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369</v>
      </c>
      <c r="H24" s="69">
        <f t="shared" ref="H24" si="3">F24*G24</f>
        <v>4140</v>
      </c>
      <c r="I24" t="s">
        <v>266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375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240</v>
      </c>
      <c r="AV24" t="s">
        <v>434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434</v>
      </c>
      <c r="BN24" t="s">
        <v>435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379.47</v>
      </c>
      <c r="W25" s="77">
        <f t="shared" si="24"/>
        <v>379.47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4545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328.67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4216.33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AB25</f>
        <v>758.94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4975.2700000000004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436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266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312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367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437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423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312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367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9300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637.44000000000005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8662.56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AB25</f>
        <v>1559.27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10221.83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abSelected="1" topLeftCell="BE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438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266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312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367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439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423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312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367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9300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637.44000000000005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8662.56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AB25</f>
        <v>1559.27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10221.83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440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441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312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314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442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253</v>
      </c>
      <c r="H24" s="69">
        <f t="shared" ref="H24" si="3">F24*G24</f>
        <v>7280</v>
      </c>
      <c r="I24" t="s">
        <v>266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312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314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9836.7800000000007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10076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710.49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9365.51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AB25</f>
        <v>1685.79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11051.3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408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311</v>
      </c>
      <c r="H23" s="69">
        <f>F23*G23</f>
        <v>1200</v>
      </c>
      <c r="I23" t="s">
        <v>223</v>
      </c>
      <c r="J23" s="69">
        <v>2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23.52</v>
      </c>
      <c r="P23" s="69">
        <f>ROUND(N23-O23,2)</f>
        <v>1152.48</v>
      </c>
      <c r="Q23" s="69">
        <f>ROUND(P23*K23%,2)</f>
        <v>28.81</v>
      </c>
      <c r="R23" s="69">
        <f>ROUND((M23+O23+Q23),2)</f>
        <v>76.33</v>
      </c>
      <c r="S23" s="69">
        <f>ROUND((H23-R23),2)</f>
        <v>1123.67</v>
      </c>
      <c r="T23" s="89" t="s">
        <v>146</v>
      </c>
      <c r="U23" s="79">
        <v>0.18</v>
      </c>
      <c r="V23" s="69">
        <f>IF(OR($C$21=1,$C$21=4),ROUND(((S23*U23)/2),2),0)</f>
        <v>101.13</v>
      </c>
      <c r="W23" s="69">
        <f>IF($C$21=1,ROUND(((S23*U23)/2),2),0)</f>
        <v>101.13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202.26</v>
      </c>
      <c r="AC23" s="68">
        <f>IF($V21=1,S23+AB23,S23)</f>
        <v>1325.93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1123.67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280.91750000000002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280.91750000000002</v>
      </c>
      <c r="AS23" s="83" t="s">
        <v>229</v>
      </c>
      <c r="AT23" s="83" t="s">
        <v>58</v>
      </c>
      <c r="AU23" t="s">
        <v>443</v>
      </c>
      <c r="AV23" t="s">
        <v>444</v>
      </c>
      <c r="AW23" s="83">
        <f>AM23</f>
        <v>4</v>
      </c>
      <c r="AX23" s="83">
        <f>AR23</f>
        <v>280.91750000000002</v>
      </c>
      <c r="AY23" s="83">
        <f>AU23+AW23</f>
        <v>29</v>
      </c>
      <c r="AZ23" s="83">
        <f>ROUND(((AU23*AV23)+(AW23*AX23))/(AU23+AW23),5)</f>
        <v>200.19345000000001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444</v>
      </c>
      <c r="BN23" t="s">
        <v>445</v>
      </c>
      <c r="BO23" s="83">
        <f>ROUND((((AW23*AZ23)+(BN23*BM23))/(AW23+BN23)),5)</f>
        <v>187.72105999999999</v>
      </c>
      <c r="BP23" s="87">
        <f>BN23+AW23</f>
        <v>116.5</v>
      </c>
      <c r="BQ23" s="88">
        <v>88363222</v>
      </c>
    </row>
    <row r="24" spans="1:69">
      <c r="A24" s="68">
        <v>2</v>
      </c>
      <c r="B24" s="68" t="s">
        <v>409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311</v>
      </c>
      <c r="H24" s="69">
        <f t="shared" ref="H24" si="3">F24*G24</f>
        <v>1500</v>
      </c>
      <c r="I24" t="s">
        <v>223</v>
      </c>
      <c r="J24" s="69">
        <v>2</v>
      </c>
      <c r="K24" s="69">
        <v>2.5</v>
      </c>
      <c r="L24" s="69">
        <f t="shared" ref="L24" si="4">H24</f>
        <v>1500</v>
      </c>
      <c r="M24" s="69">
        <f t="shared" ref="M24" si="5">ROUND(L24*I24%,2)</f>
        <v>30</v>
      </c>
      <c r="N24" s="69">
        <f t="shared" ref="N24" si="6">H24-M24</f>
        <v>1470</v>
      </c>
      <c r="O24" s="69">
        <f t="shared" ref="O24" si="7">ROUND(N24*J24%,2)</f>
        <v>29.4</v>
      </c>
      <c r="P24" s="69">
        <f t="shared" ref="P24" si="8">ROUND(N24-O24,2)</f>
        <v>1440.6</v>
      </c>
      <c r="Q24" s="69">
        <f t="shared" ref="Q24" si="9">ROUND(P24*K24%,2)</f>
        <v>36.020000000000003</v>
      </c>
      <c r="R24" s="69">
        <f t="shared" ref="R24" si="10">ROUND((M24+O24+Q24),2)</f>
        <v>95.42</v>
      </c>
      <c r="S24" s="69">
        <f t="shared" ref="S24" si="11">ROUND((H24-R24),2)</f>
        <v>1404.58</v>
      </c>
      <c r="T24" s="89" t="s">
        <v>375</v>
      </c>
      <c r="U24" s="79">
        <v>0.18</v>
      </c>
      <c r="V24" s="69">
        <f t="shared" ref="V24" si="12">IF(OR($C$21=1,$C$21=4),ROUND(((S24*U24)/2),2),0)</f>
        <v>126.41</v>
      </c>
      <c r="W24" s="69">
        <f t="shared" ref="W24" si="13">IF($C$21=1,ROUND(((S24*U24)/2),2),0)</f>
        <v>126.41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252.82</v>
      </c>
      <c r="AC24" s="68">
        <f t="shared" ref="AC24" si="18">IF($V22=1,S24+AB24,S24)</f>
        <v>1404.58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1404.58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280.916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280.916</v>
      </c>
      <c r="AS24" s="83" t="s">
        <v>229</v>
      </c>
      <c r="AT24" s="83" t="s">
        <v>58</v>
      </c>
      <c r="AU24" t="s">
        <v>446</v>
      </c>
      <c r="AV24" t="s">
        <v>447</v>
      </c>
      <c r="AW24" s="83">
        <f>AM24</f>
        <v>5</v>
      </c>
      <c r="AX24" s="83">
        <f>AR24</f>
        <v>280.916</v>
      </c>
      <c r="AY24" s="83">
        <f>AU24+AW24</f>
        <v>33</v>
      </c>
      <c r="AZ24" s="83">
        <f>ROUND(((AU24*AV24)+(AW24*AX24))/(AU24+AW24),5)</f>
        <v>201.46546000000001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447</v>
      </c>
      <c r="BN24" t="s">
        <v>448</v>
      </c>
      <c r="BO24" s="83">
        <f>ROUND((((AW24*AZ24)+(BN24*BM24))/(AW24+BN24)),5)</f>
        <v>187.81936999999999</v>
      </c>
      <c r="BP24" s="87">
        <f>BN24+AW24</f>
        <v>131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2700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171.75</v>
      </c>
      <c r="S25" s="71">
        <f>SUM(S23:S24)</f>
        <v>2528.25</v>
      </c>
      <c r="T25" s="71"/>
      <c r="U25" s="71"/>
      <c r="V25" s="77">
        <f t="shared" ref="V25:AE25" si="24">SUM(V23:V24)</f>
        <v>227.54</v>
      </c>
      <c r="W25" s="77">
        <f t="shared" si="24"/>
        <v>227.54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455.08</v>
      </c>
      <c r="AC25" s="80">
        <f t="shared" si="24"/>
        <v>2730.51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2528.25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2700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171.75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2528.25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AB25</f>
        <v>455.08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2983.33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374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312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314</v>
      </c>
      <c r="BM23" t="s">
        <v>240</v>
      </c>
      <c r="BN23" t="s">
        <v>240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372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375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312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314</v>
      </c>
      <c r="BM24" t="s">
        <v>240</v>
      </c>
      <c r="BN24" t="s">
        <v>240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5349.06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377</v>
      </c>
      <c r="BI27" s="135" t="s">
        <v>378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289.16000000000003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379</v>
      </c>
      <c r="BI28" s="135" t="s">
        <v>380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5059.8999999999996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AB25</f>
        <v>910.78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5970.68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381</v>
      </c>
      <c r="BN32" s="66" t="s">
        <v>382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383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384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385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386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138" t="s">
        <v>89</v>
      </c>
      <c r="B21" s="13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449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450</v>
      </c>
      <c r="AS23" t="s">
        <v>451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452</v>
      </c>
      <c r="BB23" s="107" t="s">
        <v>453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454</v>
      </c>
      <c r="BK23" t="s">
        <v>455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456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375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457</v>
      </c>
      <c r="AS24" t="s">
        <v>458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459</v>
      </c>
      <c r="BB24" s="107" t="s">
        <v>453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460</v>
      </c>
      <c r="BK24" t="s">
        <v>461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10654.75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377</v>
      </c>
      <c r="BF27" s="135" t="s">
        <v>378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575.95000000000005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379</v>
      </c>
      <c r="BF28" s="135" t="s">
        <v>380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10078.799999999999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Y25</f>
        <v>1814.19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11892.99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381</v>
      </c>
      <c r="BK32" s="66" t="s">
        <v>382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383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384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138" t="s">
        <v>89</v>
      </c>
      <c r="B21" s="13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462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240</v>
      </c>
      <c r="AS23" t="s">
        <v>427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452</v>
      </c>
      <c r="BB23" s="107" t="s">
        <v>453</v>
      </c>
      <c r="BC23" s="106"/>
      <c r="BD23" s="106"/>
      <c r="BE23" s="106"/>
      <c r="BF23" s="57"/>
      <c r="BG23" s="57"/>
      <c r="BH23" s="57"/>
      <c r="BI23" s="57" t="s">
        <v>351</v>
      </c>
      <c r="BJ23" t="s">
        <v>427</v>
      </c>
      <c r="BK23" t="s">
        <v>311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463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375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240</v>
      </c>
      <c r="AS24" t="s">
        <v>464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459</v>
      </c>
      <c r="BB24" s="107" t="s">
        <v>453</v>
      </c>
      <c r="BC24" s="106"/>
      <c r="BD24" s="106"/>
      <c r="BE24" s="106"/>
      <c r="BF24" s="57"/>
      <c r="BG24" s="57"/>
      <c r="BH24" s="57"/>
      <c r="BI24" s="57" t="s">
        <v>351</v>
      </c>
      <c r="BJ24" t="s">
        <v>464</v>
      </c>
      <c r="BK24" t="s">
        <v>465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10654.75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377</v>
      </c>
      <c r="BF27" s="135" t="s">
        <v>378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575.95000000000005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379</v>
      </c>
      <c r="BF28" s="135" t="s">
        <v>380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10078.799999999999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Y25</f>
        <v>1814.19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11892.99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381</v>
      </c>
      <c r="BK32" s="66" t="s">
        <v>382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383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384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141" t="s">
        <v>154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138" t="s">
        <v>89</v>
      </c>
      <c r="B21" s="13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466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467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468</v>
      </c>
      <c r="AS23" t="s">
        <v>469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452</v>
      </c>
      <c r="BB23" s="107" t="s">
        <v>453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240</v>
      </c>
      <c r="BK23" t="s">
        <v>240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470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471</v>
      </c>
      <c r="H24" s="69">
        <f t="shared" ref="H24" si="4">F24*G24</f>
        <v>2380</v>
      </c>
      <c r="I24" t="s">
        <v>266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375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472</v>
      </c>
      <c r="AS24" t="s">
        <v>473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459</v>
      </c>
      <c r="BB24" s="107" t="s">
        <v>453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240</v>
      </c>
      <c r="BK24" t="s">
        <v>240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</v>
      </c>
      <c r="W25" s="77">
        <f t="shared" si="26"/>
        <v>364.34</v>
      </c>
      <c r="X25" s="77">
        <f t="shared" si="26"/>
        <v>0</v>
      </c>
      <c r="Y25" s="71">
        <f t="shared" si="26"/>
        <v>728.68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143" t="s">
        <v>194</v>
      </c>
      <c r="H27" s="144"/>
      <c r="I27" s="145">
        <f>H25</f>
        <v>4347.5</v>
      </c>
      <c r="J27" s="145"/>
      <c r="K27" s="100"/>
      <c r="L27" s="66"/>
      <c r="M27" s="146" t="s">
        <v>195</v>
      </c>
      <c r="N27" s="147"/>
      <c r="O27" s="147"/>
      <c r="P27" s="148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377</v>
      </c>
      <c r="BF27" s="135" t="s">
        <v>378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143" t="s">
        <v>196</v>
      </c>
      <c r="H28" s="144"/>
      <c r="I28" s="145">
        <f>R25</f>
        <v>299.27999999999997</v>
      </c>
      <c r="J28" s="14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379</v>
      </c>
      <c r="BF28" s="135" t="s">
        <v>380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143" t="s">
        <v>197</v>
      </c>
      <c r="H29" s="144"/>
      <c r="I29" s="145">
        <f>S25</f>
        <v>4048.22</v>
      </c>
      <c r="J29" s="14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143" t="s">
        <v>198</v>
      </c>
      <c r="H30" s="144"/>
      <c r="I30" s="145">
        <f>Y25</f>
        <v>728.68</v>
      </c>
      <c r="J30" s="14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143" t="s">
        <v>199</v>
      </c>
      <c r="H31" s="144"/>
      <c r="I31" s="149">
        <f>I29+I30</f>
        <v>4776.8999999999996</v>
      </c>
      <c r="J31" s="14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381</v>
      </c>
      <c r="BK32" s="66" t="s">
        <v>382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383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384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138" t="s">
        <v>89</v>
      </c>
      <c r="B21" s="13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240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475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832.84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235.26666666666699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235.26666666666699</v>
      </c>
      <c r="AP24" s="83" t="s">
        <v>222</v>
      </c>
      <c r="AQ24" s="83" t="s">
        <v>58</v>
      </c>
      <c r="AR24" t="s">
        <v>240</v>
      </c>
      <c r="AS24" t="s">
        <v>476</v>
      </c>
      <c r="AT24" s="83">
        <f t="shared" ref="AT24" si="23">AJ24</f>
        <v>3</v>
      </c>
      <c r="AU24" s="83">
        <f t="shared" ref="AU24" si="24">AO24</f>
        <v>235.26666666666699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476</v>
      </c>
      <c r="BK24" t="s">
        <v>266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138" t="s">
        <v>89</v>
      </c>
      <c r="B21" s="13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477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478</v>
      </c>
      <c r="H23" s="69">
        <f>F23*G23</f>
        <v>1572</v>
      </c>
      <c r="I23" t="s">
        <v>316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240</v>
      </c>
      <c r="AS23" t="s">
        <v>479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479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480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481</v>
      </c>
      <c r="H24" s="69">
        <f t="shared" ref="H24" si="6">F24*G24</f>
        <v>1305</v>
      </c>
      <c r="I24" t="s">
        <v>357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407.40666666666698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407.40666666666698</v>
      </c>
      <c r="AP24" s="83" t="s">
        <v>222</v>
      </c>
      <c r="AQ24" s="83" t="s">
        <v>58</v>
      </c>
      <c r="AR24" t="s">
        <v>240</v>
      </c>
      <c r="AS24" t="s">
        <v>482</v>
      </c>
      <c r="AT24" s="83">
        <f t="shared" ref="AT24" si="18">AJ24</f>
        <v>3</v>
      </c>
      <c r="AU24" s="83">
        <f>AO24</f>
        <v>407.40666666666698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294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482</v>
      </c>
      <c r="BK24" t="s">
        <v>266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363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312</v>
      </c>
      <c r="AT23" s="83" t="s">
        <v>58</v>
      </c>
      <c r="AU23" t="s">
        <v>240</v>
      </c>
      <c r="AV23" t="s">
        <v>484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367</v>
      </c>
      <c r="BM23" t="s">
        <v>484</v>
      </c>
      <c r="BN23" t="s">
        <v>304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485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256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61.6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312</v>
      </c>
      <c r="AT24" s="83" t="s">
        <v>58</v>
      </c>
      <c r="AU24" t="s">
        <v>240</v>
      </c>
      <c r="AV24" t="s">
        <v>258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367</v>
      </c>
      <c r="BM24" t="s">
        <v>258</v>
      </c>
      <c r="BN24" t="s">
        <v>304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135.52000000000001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486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363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312</v>
      </c>
      <c r="AT23" s="83" t="s">
        <v>58</v>
      </c>
      <c r="AU23" t="s">
        <v>240</v>
      </c>
      <c r="AV23" t="s">
        <v>484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367</v>
      </c>
      <c r="BM23" t="s">
        <v>484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487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488</v>
      </c>
      <c r="H24" s="69">
        <f>F24*G24</f>
        <v>1400</v>
      </c>
      <c r="I24" t="s">
        <v>266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312</v>
      </c>
      <c r="AT24" s="83" t="s">
        <v>58</v>
      </c>
      <c r="AU24" t="s">
        <v>240</v>
      </c>
      <c r="AV24" t="s">
        <v>489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367</v>
      </c>
      <c r="BM24" t="s">
        <v>489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138" t="s">
        <v>89</v>
      </c>
      <c r="B21" s="138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490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491</v>
      </c>
      <c r="H23" s="69">
        <f>F23*G23</f>
        <v>86325</v>
      </c>
      <c r="I23" t="s">
        <v>266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6144.52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350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351</v>
      </c>
      <c r="BJ23" t="s">
        <v>240</v>
      </c>
      <c r="BK23" t="s">
        <v>240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6144.52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138" t="s">
        <v>89</v>
      </c>
      <c r="B21" s="138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492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240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493</v>
      </c>
      <c r="BK23" t="s">
        <v>494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495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</v>
      </c>
      <c r="AP24" s="83" t="s">
        <v>222</v>
      </c>
      <c r="AQ24" s="83" t="s">
        <v>58</v>
      </c>
      <c r="AR24" t="s">
        <v>240</v>
      </c>
      <c r="AS24" t="s">
        <v>496</v>
      </c>
      <c r="AT24" s="83">
        <f t="shared" ref="AT24" si="21">AJ24</f>
        <v>3</v>
      </c>
      <c r="AU24" s="83">
        <f>AO24</f>
        <v>123.303333333333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294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497</v>
      </c>
      <c r="BK24" t="s">
        <v>498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5</v>
      </c>
      <c r="D21" s="21" t="s">
        <v>499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495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240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493</v>
      </c>
      <c r="BN23" t="s">
        <v>494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500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307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501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502</v>
      </c>
      <c r="BN23" t="s">
        <v>269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307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1</v>
      </c>
      <c r="D21" s="21" t="s">
        <v>500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307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95.105000000000004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503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504</v>
      </c>
      <c r="BN23" t="s">
        <v>322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95.105000000000004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36" t="s">
        <v>46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2507.6799999999998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138" t="s">
        <v>89</v>
      </c>
      <c r="B21" s="138"/>
      <c r="C21" s="20">
        <v>2</v>
      </c>
      <c r="D21" s="21" t="s">
        <v>500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307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502</v>
      </c>
      <c r="BN23" t="s">
        <v>269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Q24"/>
  <sheetViews>
    <sheetView topLeftCell="A6" workbookViewId="0">
      <selection activeCell="J18" sqref="J18"/>
    </sheetView>
  </sheetViews>
  <sheetFormatPr defaultColWidth="8.7109375" defaultRowHeight="15"/>
  <sheetData>
    <row r="1" spans="1:69" ht="18">
      <c r="A1" s="161" t="s">
        <v>46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38" t="s">
        <v>89</v>
      </c>
      <c r="B21" s="13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505</v>
      </c>
      <c r="C23" s="25" t="s">
        <v>505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240</v>
      </c>
      <c r="BN23" s="27" t="s">
        <v>240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161" t="s">
        <v>46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38" t="s">
        <v>89</v>
      </c>
      <c r="B21" s="13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506</v>
      </c>
      <c r="C23" s="25" t="s">
        <v>506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705.9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</v>
      </c>
      <c r="AS23" s="48" t="s">
        <v>229</v>
      </c>
      <c r="AT23" s="48" t="s">
        <v>58</v>
      </c>
      <c r="AU23" s="27"/>
      <c r="AV23" s="27"/>
      <c r="AW23" s="48">
        <f>AM23</f>
        <v>0.66666666666666696</v>
      </c>
      <c r="AX23" s="48">
        <f>AR23</f>
        <v>705.9</v>
      </c>
      <c r="AY23" s="48">
        <f>AU23+AW23</f>
        <v>0.66666666666666696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240</v>
      </c>
      <c r="BN23" s="27" t="s">
        <v>240</v>
      </c>
      <c r="BO23" s="48">
        <f>ROUND((((AW23*AZ23)+(BN23*BM23))/(AW23+BN23)),5)</f>
        <v>705.9</v>
      </c>
      <c r="BP23" s="53">
        <f>BN23+AW23</f>
        <v>0.66666666666666696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161" t="s">
        <v>46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38" t="s">
        <v>89</v>
      </c>
      <c r="B21" s="13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507</v>
      </c>
      <c r="C23" s="25" t="s">
        <v>507</v>
      </c>
      <c r="D23" s="25" t="s">
        <v>58</v>
      </c>
      <c r="E23" s="25" t="s">
        <v>58</v>
      </c>
      <c r="F23" s="26">
        <v>2</v>
      </c>
      <c r="G23" s="27" t="s">
        <v>253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317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318</v>
      </c>
      <c r="BN23" s="27" t="s">
        <v>243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161" t="s">
        <v>46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38" t="s">
        <v>89</v>
      </c>
      <c r="B21" s="13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508</v>
      </c>
      <c r="C23" s="25" t="s">
        <v>508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240</v>
      </c>
      <c r="AV23" s="27" t="s">
        <v>315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319</v>
      </c>
      <c r="BN23" s="27" t="s">
        <v>320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161" t="s">
        <v>46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38" t="s">
        <v>89</v>
      </c>
      <c r="B21" s="13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509</v>
      </c>
      <c r="C23" s="25" t="s">
        <v>509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563.04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</v>
      </c>
      <c r="AS23" s="48" t="s">
        <v>229</v>
      </c>
      <c r="AT23" s="48" t="s">
        <v>58</v>
      </c>
      <c r="AU23" s="27" t="s">
        <v>240</v>
      </c>
      <c r="AV23" s="27" t="s">
        <v>315</v>
      </c>
      <c r="AW23" s="48">
        <f>AM23</f>
        <v>0.66666666666666696</v>
      </c>
      <c r="AX23" s="48">
        <f>AR23</f>
        <v>563.04</v>
      </c>
      <c r="AY23" s="48">
        <f>AU23+AW23</f>
        <v>0.66666666666666696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319</v>
      </c>
      <c r="BN23" s="27" t="s">
        <v>320</v>
      </c>
      <c r="BO23" s="48">
        <f>ROUND((((AW23*AZ23)+(BN23*BM23))/(AW23+BN23)),5)</f>
        <v>190.00659999999999</v>
      </c>
      <c r="BP23" s="53">
        <f>BN23+AW23</f>
        <v>80.6666666666667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161" t="s">
        <v>46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53" t="s">
        <v>87</v>
      </c>
      <c r="C19" s="154"/>
      <c r="D19" s="154"/>
      <c r="E19" s="154"/>
      <c r="F19" s="154"/>
      <c r="G19" s="15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38" t="s">
        <v>89</v>
      </c>
      <c r="B21" s="13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510</v>
      </c>
      <c r="C23" s="25" t="s">
        <v>510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161" t="s">
        <v>46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38" t="s">
        <v>89</v>
      </c>
      <c r="B21" s="13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511</v>
      </c>
      <c r="C23" s="25" t="s">
        <v>511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240</v>
      </c>
      <c r="AV23" s="27" t="s">
        <v>247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247</v>
      </c>
      <c r="BN23" s="27" t="s">
        <v>304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161" t="s">
        <v>46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38" t="s">
        <v>89</v>
      </c>
      <c r="B21" s="13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512</v>
      </c>
      <c r="C23" s="25" t="s">
        <v>512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0.66666666666666696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240</v>
      </c>
      <c r="AV23" s="27" t="s">
        <v>247</v>
      </c>
      <c r="AW23" s="48">
        <f>AM23</f>
        <v>0.66666666666666696</v>
      </c>
      <c r="AX23" s="48">
        <f>AR23</f>
        <v>564.72</v>
      </c>
      <c r="AY23" s="48">
        <f>AU23+AW23</f>
        <v>0.66666666666666696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247</v>
      </c>
      <c r="BN23" s="27" t="s">
        <v>304</v>
      </c>
      <c r="BO23" s="48">
        <f>ROUND((((AW23*AZ23)+(BN23*BM23))/(AW23+BN23)),5)</f>
        <v>240.37714</v>
      </c>
      <c r="BP23" s="53">
        <f>BN23+AW23</f>
        <v>4.6666666666666696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161" t="s">
        <v>46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137" t="s">
        <v>87</v>
      </c>
      <c r="C19" s="137"/>
      <c r="D19" s="137"/>
      <c r="E19" s="137"/>
      <c r="F19" s="137"/>
      <c r="G19" s="13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138" t="s">
        <v>89</v>
      </c>
      <c r="B21" s="138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513</v>
      </c>
      <c r="C23" s="25" t="s">
        <v>513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322</v>
      </c>
      <c r="AV23" s="27" t="s">
        <v>323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324</v>
      </c>
      <c r="BN23" s="27" t="s">
        <v>310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76</vt:i4>
      </vt:variant>
    </vt:vector>
  </HeadingPairs>
  <TitlesOfParts>
    <vt:vector size="76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KOWSHIKAN</cp:lastModifiedBy>
  <dcterms:created xsi:type="dcterms:W3CDTF">2024-08-28T12:59:00Z</dcterms:created>
  <dcterms:modified xsi:type="dcterms:W3CDTF">2025-12-17T11:58:15Z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