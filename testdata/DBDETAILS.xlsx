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640" windowHeight="9120" firstSheet="10" activeTab="13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" i="40"/>
  <c r="AM23"/>
  <c r="AW23" s="1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23" i="33"/>
  <c r="BM33" i="48"/>
  <c r="BN32"/>
  <c r="BM32"/>
  <c r="BM36" s="1"/>
  <c r="BN36" s="1"/>
  <c r="AH24"/>
  <c r="AD24"/>
  <c r="Z24"/>
  <c r="AM23"/>
  <c r="AW23" s="1"/>
  <c r="AK23"/>
  <c r="AP23" s="1"/>
  <c r="AH23"/>
  <c r="AG23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BM33" i="47"/>
  <c r="BN32"/>
  <c r="BM32"/>
  <c r="AH24"/>
  <c r="AD24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4"/>
  <c r="AD24"/>
  <c r="X24"/>
  <c r="AM23"/>
  <c r="AW23" s="1"/>
  <c r="AK23"/>
  <c r="AP23" s="1"/>
  <c r="Y23"/>
  <c r="X23"/>
  <c r="L23"/>
  <c r="M23" s="1"/>
  <c r="H23"/>
  <c r="H18"/>
  <c r="H17"/>
  <c r="H16"/>
  <c r="H15"/>
  <c r="H14"/>
  <c r="H13"/>
  <c r="H12"/>
  <c r="H11"/>
  <c r="H19" s="1"/>
  <c r="H10"/>
  <c r="H9"/>
  <c r="H8"/>
  <c r="H7"/>
  <c r="H6"/>
  <c r="H5"/>
  <c r="H4"/>
  <c r="AY23" i="43"/>
  <c r="AK24"/>
  <c r="AD24"/>
  <c r="H24"/>
  <c r="AP23"/>
  <c r="AM23"/>
  <c r="AW23" s="1"/>
  <c r="AK23"/>
  <c r="Y23"/>
  <c r="Y24" s="1"/>
  <c r="W23"/>
  <c r="W24" s="1"/>
  <c r="V23"/>
  <c r="V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AI23" i="27"/>
  <c r="H4" i="23"/>
  <c r="H5"/>
  <c r="H19" s="1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K25" s="1"/>
  <c r="AM23"/>
  <c r="AW23"/>
  <c r="AY23"/>
  <c r="H24"/>
  <c r="X24"/>
  <c r="Y24"/>
  <c r="AK24"/>
  <c r="AP24" s="1"/>
  <c r="AM24"/>
  <c r="AW24" s="1"/>
  <c r="H25"/>
  <c r="AD25"/>
  <c r="AD24" i="42"/>
  <c r="AW23"/>
  <c r="AY23" s="1"/>
  <c r="AM23"/>
  <c r="AK23"/>
  <c r="AK24" s="1"/>
  <c r="Y23"/>
  <c r="Y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0"/>
  <c r="BN33"/>
  <c r="BM37" s="1"/>
  <c r="BN37" s="1"/>
  <c r="BM33"/>
  <c r="AH25"/>
  <c r="AD25"/>
  <c r="Z25"/>
  <c r="H25"/>
  <c r="I27" s="1"/>
  <c r="AM24"/>
  <c r="AK24"/>
  <c r="AH24"/>
  <c r="AG24"/>
  <c r="AG25" s="1"/>
  <c r="AE24"/>
  <c r="Y24"/>
  <c r="W24"/>
  <c r="V24"/>
  <c r="L24"/>
  <c r="M24" s="1"/>
  <c r="H24"/>
  <c r="AM23"/>
  <c r="AW23" s="1"/>
  <c r="AK23"/>
  <c r="AP23" s="1"/>
  <c r="AH23"/>
  <c r="AG23"/>
  <c r="AJ23" s="1"/>
  <c r="AE23"/>
  <c r="AE25" s="1"/>
  <c r="Y23"/>
  <c r="Y25" s="1"/>
  <c r="W23"/>
  <c r="W25" s="1"/>
  <c r="V23"/>
  <c r="H23"/>
  <c r="H18"/>
  <c r="H17"/>
  <c r="H16"/>
  <c r="H15"/>
  <c r="H14"/>
  <c r="H13"/>
  <c r="H12"/>
  <c r="H11"/>
  <c r="H10"/>
  <c r="H9"/>
  <c r="H8"/>
  <c r="H7"/>
  <c r="H6"/>
  <c r="H19" s="1"/>
  <c r="H5"/>
  <c r="H4"/>
  <c r="BM33" i="53"/>
  <c r="BN32"/>
  <c r="BM32"/>
  <c r="AH24"/>
  <c r="AD24"/>
  <c r="Z24"/>
  <c r="AM23"/>
  <c r="AW23" s="1"/>
  <c r="BP23" s="1"/>
  <c r="AK23"/>
  <c r="AK24" s="1"/>
  <c r="AH23"/>
  <c r="AG23"/>
  <c r="AG24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AH24"/>
  <c r="AJ24" s="1"/>
  <c r="AO24" s="1"/>
  <c r="AG24"/>
  <c r="Y24"/>
  <c r="X24"/>
  <c r="H24"/>
  <c r="AM23"/>
  <c r="AW23" s="1"/>
  <c r="AK23"/>
  <c r="AK25" s="1"/>
  <c r="AG23"/>
  <c r="AG25" s="1"/>
  <c r="AE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Y25" s="1"/>
  <c r="W23"/>
  <c r="W25" s="1"/>
  <c r="V23"/>
  <c r="H23"/>
  <c r="H18"/>
  <c r="H17"/>
  <c r="H16"/>
  <c r="H15"/>
  <c r="H14"/>
  <c r="H13"/>
  <c r="H12"/>
  <c r="H11"/>
  <c r="H10"/>
  <c r="H9"/>
  <c r="H19" s="1"/>
  <c r="H8"/>
  <c r="H7"/>
  <c r="H6"/>
  <c r="H5"/>
  <c r="H4"/>
  <c r="AD25" i="38"/>
  <c r="AW24"/>
  <c r="AY24" s="1"/>
  <c r="AM24"/>
  <c r="AK24"/>
  <c r="AP24" s="1"/>
  <c r="Y24"/>
  <c r="W24"/>
  <c r="V24"/>
  <c r="H24"/>
  <c r="AM23"/>
  <c r="AW23" s="1"/>
  <c r="AK23"/>
  <c r="AP23" s="1"/>
  <c r="Y23"/>
  <c r="Y25" s="1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AW24"/>
  <c r="AY24" s="1"/>
  <c r="AM24"/>
  <c r="AK24"/>
  <c r="AP24" s="1"/>
  <c r="Y24"/>
  <c r="W24"/>
  <c r="V24"/>
  <c r="H24"/>
  <c r="AM23"/>
  <c r="AW23" s="1"/>
  <c r="AK23"/>
  <c r="AP23" s="1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W25"/>
  <c r="AY24"/>
  <c r="AW24"/>
  <c r="AM24"/>
  <c r="AK24"/>
  <c r="AP24" s="1"/>
  <c r="Y24"/>
  <c r="W24"/>
  <c r="V24"/>
  <c r="H24"/>
  <c r="AM23"/>
  <c r="AW23" s="1"/>
  <c r="AK23"/>
  <c r="AK25" s="1"/>
  <c r="Y23"/>
  <c r="Y25" s="1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4"/>
  <c r="AW24"/>
  <c r="AY24" s="1"/>
  <c r="AM24"/>
  <c r="AK24"/>
  <c r="AP24" s="1"/>
  <c r="Y24"/>
  <c r="X24"/>
  <c r="H24"/>
  <c r="AP23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Y24"/>
  <c r="AW24"/>
  <c r="AM24"/>
  <c r="AK24"/>
  <c r="AP24" s="1"/>
  <c r="Y24"/>
  <c r="W24"/>
  <c r="V24"/>
  <c r="H24"/>
  <c r="AP23"/>
  <c r="AM23"/>
  <c r="AW23" s="1"/>
  <c r="AK23"/>
  <c r="AK25" s="1"/>
  <c r="Y23"/>
  <c r="Y25" s="1"/>
  <c r="W23"/>
  <c r="W25" s="1"/>
  <c r="V23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7" s="1"/>
  <c r="BN33"/>
  <c r="BM33"/>
  <c r="AH25"/>
  <c r="AG25"/>
  <c r="AD25"/>
  <c r="Z25"/>
  <c r="Y25"/>
  <c r="AM24"/>
  <c r="AW24" s="1"/>
  <c r="AK24"/>
  <c r="AP24" s="1"/>
  <c r="AH24"/>
  <c r="AG24"/>
  <c r="AJ24" s="1"/>
  <c r="AO24" s="1"/>
  <c r="AE24"/>
  <c r="Y24"/>
  <c r="W24"/>
  <c r="W25" s="1"/>
  <c r="V24"/>
  <c r="H24"/>
  <c r="AM23"/>
  <c r="AP23" s="1"/>
  <c r="AK23"/>
  <c r="AH23"/>
  <c r="AG23"/>
  <c r="AJ23" s="1"/>
  <c r="AE23"/>
  <c r="AE25" s="1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L24"/>
  <c r="M24" s="1"/>
  <c r="H24"/>
  <c r="AW23"/>
  <c r="AM23"/>
  <c r="AK23"/>
  <c r="AP23" s="1"/>
  <c r="AH23"/>
  <c r="AJ23" s="1"/>
  <c r="AG23"/>
  <c r="AE23"/>
  <c r="AE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AK23"/>
  <c r="AP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4"/>
  <c r="H18"/>
  <c r="H17"/>
  <c r="H16"/>
  <c r="H15"/>
  <c r="H14"/>
  <c r="H13"/>
  <c r="H12"/>
  <c r="H11"/>
  <c r="H10"/>
  <c r="H9"/>
  <c r="H8"/>
  <c r="H7"/>
  <c r="H6"/>
  <c r="H5"/>
  <c r="H4"/>
  <c r="BM37" i="32"/>
  <c r="BN37" s="1"/>
  <c r="BM34"/>
  <c r="BN33"/>
  <c r="BM33"/>
  <c r="AH25"/>
  <c r="AD25"/>
  <c r="Z25"/>
  <c r="AM24"/>
  <c r="AP24" s="1"/>
  <c r="AK24"/>
  <c r="AH24"/>
  <c r="AG24"/>
  <c r="AJ24" s="1"/>
  <c r="AE24"/>
  <c r="Y24"/>
  <c r="X24"/>
  <c r="H24"/>
  <c r="L24" s="1"/>
  <c r="M24" s="1"/>
  <c r="N24" s="1"/>
  <c r="AM23"/>
  <c r="AP23" s="1"/>
  <c r="AK23"/>
  <c r="AK25" s="1"/>
  <c r="AH23"/>
  <c r="AG23"/>
  <c r="AG25" s="1"/>
  <c r="AE23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BM34" i="31"/>
  <c r="BN33"/>
  <c r="BM37" s="1"/>
  <c r="BN37" s="1"/>
  <c r="BM33"/>
  <c r="AH25"/>
  <c r="AD25"/>
  <c r="Z25"/>
  <c r="AM24"/>
  <c r="AK24"/>
  <c r="AH24"/>
  <c r="AG24"/>
  <c r="AE24"/>
  <c r="Y24"/>
  <c r="X24"/>
  <c r="H24"/>
  <c r="L24" s="1"/>
  <c r="M24" s="1"/>
  <c r="AW23"/>
  <c r="AM23"/>
  <c r="AK23"/>
  <c r="AK25" s="1"/>
  <c r="AH23"/>
  <c r="AG23"/>
  <c r="AE23"/>
  <c r="AE25" s="1"/>
  <c r="Y23"/>
  <c r="X23"/>
  <c r="X25" s="1"/>
  <c r="H23"/>
  <c r="H18"/>
  <c r="H17"/>
  <c r="H16"/>
  <c r="H15"/>
  <c r="H14"/>
  <c r="H13"/>
  <c r="H12"/>
  <c r="H11"/>
  <c r="H10"/>
  <c r="H9"/>
  <c r="H8"/>
  <c r="H7"/>
  <c r="H19" s="1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Y23"/>
  <c r="AK23"/>
  <c r="AM23"/>
  <c r="AW23" s="1"/>
  <c r="H24"/>
  <c r="X24"/>
  <c r="Y24"/>
  <c r="AK24"/>
  <c r="AM24"/>
  <c r="AW24" s="1"/>
  <c r="Z25"/>
  <c r="AD25"/>
  <c r="BM33"/>
  <c r="BM37" s="1"/>
  <c r="BN37" s="1"/>
  <c r="BN33"/>
  <c r="BM34"/>
  <c r="AD25" i="27"/>
  <c r="H25"/>
  <c r="AP24"/>
  <c r="AM24"/>
  <c r="AW24" s="1"/>
  <c r="AK24"/>
  <c r="Y24"/>
  <c r="X24"/>
  <c r="L24"/>
  <c r="M24" s="1"/>
  <c r="H24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W24"/>
  <c r="AY24" s="1"/>
  <c r="AM24"/>
  <c r="AK24"/>
  <c r="AP24" s="1"/>
  <c r="Y24"/>
  <c r="X24"/>
  <c r="H24"/>
  <c r="BP23"/>
  <c r="AY23"/>
  <c r="AW23"/>
  <c r="AM23"/>
  <c r="AK23"/>
  <c r="AP23" s="1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9"/>
  <c r="BN37" s="1"/>
  <c r="BM34"/>
  <c r="BN33"/>
  <c r="BM33"/>
  <c r="AD25"/>
  <c r="AH25" s="1"/>
  <c r="Z25"/>
  <c r="AM24"/>
  <c r="AW24" s="1"/>
  <c r="AK24"/>
  <c r="AP24" s="1"/>
  <c r="AH24"/>
  <c r="Y24"/>
  <c r="X24"/>
  <c r="H24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19" s="1"/>
  <c r="H6"/>
  <c r="H5"/>
  <c r="H4"/>
  <c r="AD25" i="28"/>
  <c r="AM24"/>
  <c r="AW24" s="1"/>
  <c r="AK24"/>
  <c r="AP24" s="1"/>
  <c r="Y24"/>
  <c r="X24"/>
  <c r="H24"/>
  <c r="BP23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1"/>
  <c r="BN37" s="1"/>
  <c r="BM34"/>
  <c r="BN33"/>
  <c r="BM33"/>
  <c r="AH25"/>
  <c r="AD25"/>
  <c r="Z25"/>
  <c r="AM24"/>
  <c r="AW24" s="1"/>
  <c r="AK24"/>
  <c r="AH24"/>
  <c r="AG24"/>
  <c r="AJ24" s="1"/>
  <c r="AE24"/>
  <c r="Y24"/>
  <c r="H24"/>
  <c r="AM23"/>
  <c r="AK23"/>
  <c r="AH23"/>
  <c r="AG23"/>
  <c r="AG25" s="1"/>
  <c r="AE23"/>
  <c r="Y23"/>
  <c r="H23"/>
  <c r="H18"/>
  <c r="H17"/>
  <c r="H16"/>
  <c r="H15"/>
  <c r="H14"/>
  <c r="H13"/>
  <c r="H12"/>
  <c r="H11"/>
  <c r="H10"/>
  <c r="H9"/>
  <c r="H8"/>
  <c r="H19" s="1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X24"/>
  <c r="H24"/>
  <c r="L24" s="1"/>
  <c r="M24" s="1"/>
  <c r="AW23"/>
  <c r="AM23"/>
  <c r="AK23"/>
  <c r="AK25" s="1"/>
  <c r="AH23"/>
  <c r="AG23"/>
  <c r="AE23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Z25" i="18"/>
  <c r="Y24"/>
  <c r="X24"/>
  <c r="Y23"/>
  <c r="X23"/>
  <c r="V23" i="12"/>
  <c r="AK25" i="16"/>
  <c r="AD25"/>
  <c r="Y25"/>
  <c r="H25"/>
  <c r="AP24"/>
  <c r="AM24"/>
  <c r="AW24" s="1"/>
  <c r="AK24"/>
  <c r="Y24"/>
  <c r="W24"/>
  <c r="V24"/>
  <c r="L24"/>
  <c r="M24" s="1"/>
  <c r="H24"/>
  <c r="N24" s="1"/>
  <c r="AP23"/>
  <c r="AM23"/>
  <c r="AW23" s="1"/>
  <c r="AK23"/>
  <c r="Y23"/>
  <c r="W23"/>
  <c r="W25" s="1"/>
  <c r="V23"/>
  <c r="V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K24" i="1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14"/>
  <c r="AW24"/>
  <c r="AY24" s="1"/>
  <c r="AM24"/>
  <c r="AK24"/>
  <c r="AP24" s="1"/>
  <c r="Y24"/>
  <c r="Y25" s="1"/>
  <c r="W24"/>
  <c r="V24"/>
  <c r="V25" s="1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AD25" i="13"/>
  <c r="AW24"/>
  <c r="AY24" s="1"/>
  <c r="AM24"/>
  <c r="AK24"/>
  <c r="AP24" s="1"/>
  <c r="Y24"/>
  <c r="X24"/>
  <c r="H24"/>
  <c r="AP23"/>
  <c r="AM23"/>
  <c r="AW23" s="1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H24" i="12"/>
  <c r="L24" s="1"/>
  <c r="M24" s="1"/>
  <c r="H23"/>
  <c r="X23"/>
  <c r="Y23"/>
  <c r="AK23"/>
  <c r="AK25" s="1"/>
  <c r="AM23"/>
  <c r="AW23" s="1"/>
  <c r="X24"/>
  <c r="X25" s="1"/>
  <c r="Y24"/>
  <c r="Y25" s="1"/>
  <c r="AK24"/>
  <c r="AP24" s="1"/>
  <c r="AM24"/>
  <c r="AW24" s="1"/>
  <c r="AD25"/>
  <c r="H18"/>
  <c r="H17"/>
  <c r="H16"/>
  <c r="H15"/>
  <c r="H14"/>
  <c r="H13"/>
  <c r="H12"/>
  <c r="H11"/>
  <c r="H10"/>
  <c r="H9"/>
  <c r="H8"/>
  <c r="H7"/>
  <c r="H6"/>
  <c r="H5"/>
  <c r="H4"/>
  <c r="H19" s="1"/>
  <c r="AD24" i="37"/>
  <c r="AM23"/>
  <c r="AW23" s="1"/>
  <c r="AK23"/>
  <c r="AP23" s="1"/>
  <c r="Y23"/>
  <c r="Y24" s="1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K24" i="11"/>
  <c r="AD24"/>
  <c r="BP23"/>
  <c r="AW23"/>
  <c r="AY23" s="1"/>
  <c r="AM23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A24" i="10"/>
  <c r="AA23"/>
  <c r="AK25"/>
  <c r="AD25"/>
  <c r="AW24"/>
  <c r="AY24" s="1"/>
  <c r="AP24"/>
  <c r="AM24"/>
  <c r="AK24"/>
  <c r="Y24"/>
  <c r="X24"/>
  <c r="X25" s="1"/>
  <c r="L24"/>
  <c r="M24" s="1"/>
  <c r="H24"/>
  <c r="AM23"/>
  <c r="AW23" s="1"/>
  <c r="AK23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Y24" i="8"/>
  <c r="AW24"/>
  <c r="AY23"/>
  <c r="H25"/>
  <c r="AD25"/>
  <c r="AM24"/>
  <c r="AK24"/>
  <c r="AP24" s="1"/>
  <c r="Y24"/>
  <c r="X24"/>
  <c r="L24"/>
  <c r="M24" s="1"/>
  <c r="H24"/>
  <c r="AM23"/>
  <c r="AW23" s="1"/>
  <c r="AK23"/>
  <c r="AK25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I24" i="7"/>
  <c r="AM24"/>
  <c r="AW24" s="1"/>
  <c r="AK24"/>
  <c r="AP24" s="1"/>
  <c r="Y24"/>
  <c r="X24"/>
  <c r="M24"/>
  <c r="L24"/>
  <c r="H24"/>
  <c r="N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AJ23"/>
  <c r="AJ24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6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5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H25" s="1"/>
  <c r="AM24"/>
  <c r="AW24" s="1"/>
  <c r="AK24"/>
  <c r="H24"/>
  <c r="L24" s="1"/>
  <c r="M24" s="1"/>
  <c r="AM23"/>
  <c r="AW23" s="1"/>
  <c r="AK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AY23" i="40" l="1"/>
  <c r="BP23"/>
  <c r="H19"/>
  <c r="AP23"/>
  <c r="H24"/>
  <c r="L23"/>
  <c r="M23" s="1"/>
  <c r="N23" s="1"/>
  <c r="AP23" i="23"/>
  <c r="AJ23" i="48"/>
  <c r="AO23" s="1"/>
  <c r="AG24"/>
  <c r="Y25" i="36"/>
  <c r="X25" i="32"/>
  <c r="AJ23"/>
  <c r="AO23" s="1"/>
  <c r="AE25"/>
  <c r="AW24"/>
  <c r="AY24" s="1"/>
  <c r="AO24"/>
  <c r="AW23"/>
  <c r="BP23" s="1"/>
  <c r="Y25" i="31"/>
  <c r="AP24"/>
  <c r="AG25"/>
  <c r="AJ23"/>
  <c r="AO23" s="1"/>
  <c r="AJ24"/>
  <c r="AO24" s="1"/>
  <c r="AP23"/>
  <c r="Y25" i="30"/>
  <c r="X25"/>
  <c r="AP23"/>
  <c r="Y25" i="29"/>
  <c r="AP23"/>
  <c r="AJ23" i="21"/>
  <c r="AO23" s="1"/>
  <c r="AE25"/>
  <c r="AK25"/>
  <c r="AP24"/>
  <c r="AO24"/>
  <c r="BP23" i="18"/>
  <c r="AY23"/>
  <c r="AY24"/>
  <c r="BP24"/>
  <c r="AE23"/>
  <c r="BM37"/>
  <c r="BN37" s="1"/>
  <c r="Y25"/>
  <c r="AE24"/>
  <c r="AK24" i="37"/>
  <c r="AY23" i="48"/>
  <c r="BP23"/>
  <c r="AJ24"/>
  <c r="AK24"/>
  <c r="L23"/>
  <c r="M23" s="1"/>
  <c r="N23" s="1"/>
  <c r="H24"/>
  <c r="I26" s="1"/>
  <c r="AP23" i="47"/>
  <c r="BM36"/>
  <c r="BN36" s="1"/>
  <c r="AJ23"/>
  <c r="AO23" s="1"/>
  <c r="Y24"/>
  <c r="H19"/>
  <c r="N23"/>
  <c r="AW23"/>
  <c r="BP23" s="1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N23" i="23"/>
  <c r="AY24"/>
  <c r="BP24"/>
  <c r="BP23"/>
  <c r="L24"/>
  <c r="M24" s="1"/>
  <c r="N23" i="42"/>
  <c r="AP23"/>
  <c r="H24"/>
  <c r="BP23"/>
  <c r="AK25" i="50"/>
  <c r="AP24"/>
  <c r="BP23"/>
  <c r="AY23"/>
  <c r="AO23"/>
  <c r="AJ24"/>
  <c r="AO24" s="1"/>
  <c r="V25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E24"/>
  <c r="AE25" s="1"/>
  <c r="Y25"/>
  <c r="AY24"/>
  <c r="AY23"/>
  <c r="AJ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N23"/>
  <c r="L24"/>
  <c r="M24" s="1"/>
  <c r="H25"/>
  <c r="AK25"/>
  <c r="L23"/>
  <c r="M23" s="1"/>
  <c r="BP24"/>
  <c r="AY23" i="36"/>
  <c r="BP23"/>
  <c r="N23"/>
  <c r="L24"/>
  <c r="M24" s="1"/>
  <c r="H25"/>
  <c r="AK25"/>
  <c r="L23"/>
  <c r="M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X25" i="34"/>
  <c r="Y25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K24"/>
  <c r="AP23" i="33"/>
  <c r="H19"/>
  <c r="AY23"/>
  <c r="BP23"/>
  <c r="O23"/>
  <c r="P23" s="1"/>
  <c r="Q23" s="1"/>
  <c r="R23" s="1"/>
  <c r="AK24"/>
  <c r="AJ25" i="32"/>
  <c r="O24"/>
  <c r="P24" s="1"/>
  <c r="Q24" s="1"/>
  <c r="H25"/>
  <c r="I27" s="1"/>
  <c r="L23"/>
  <c r="M23" s="1"/>
  <c r="N23" s="1"/>
  <c r="BP24"/>
  <c r="AJ25" i="31"/>
  <c r="AY23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AW23"/>
  <c r="L24"/>
  <c r="M24" s="1"/>
  <c r="H25"/>
  <c r="I27" s="1"/>
  <c r="L23"/>
  <c r="M23" s="1"/>
  <c r="N23" s="1"/>
  <c r="AO24" i="67"/>
  <c r="AE25"/>
  <c r="BM37"/>
  <c r="BN37" s="1"/>
  <c r="H19"/>
  <c r="AP23"/>
  <c r="AG25"/>
  <c r="N23"/>
  <c r="AY24"/>
  <c r="AY23"/>
  <c r="AJ23"/>
  <c r="N24"/>
  <c r="H25"/>
  <c r="I27" s="1"/>
  <c r="BP23"/>
  <c r="AK25" i="18"/>
  <c r="H19"/>
  <c r="X25"/>
  <c r="AP24"/>
  <c r="AH23"/>
  <c r="AH24"/>
  <c r="H25"/>
  <c r="I27" s="1"/>
  <c r="AG23"/>
  <c r="AG24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AO23" i="6"/>
  <c r="AB23"/>
  <c r="AB24" s="1"/>
  <c r="N23"/>
  <c r="AW23"/>
  <c r="H24"/>
  <c r="O23" i="40" l="1"/>
  <c r="P23" s="1"/>
  <c r="Q23" s="1"/>
  <c r="R23" s="1"/>
  <c r="AY23" i="32"/>
  <c r="AJ25" i="21"/>
  <c r="AE25" i="18"/>
  <c r="P23" i="48"/>
  <c r="Q23" s="1"/>
  <c r="O23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R24" s="1"/>
  <c r="S24" s="1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4"/>
  <c r="S24" s="1"/>
  <c r="P24" i="31"/>
  <c r="Q24" s="1"/>
  <c r="O24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R24" s="1"/>
  <c r="S24" s="1"/>
  <c r="P24"/>
  <c r="Q24" s="1"/>
  <c r="O23"/>
  <c r="AG25" i="29"/>
  <c r="AJ23"/>
  <c r="AE25"/>
  <c r="O23"/>
  <c r="P23" s="1"/>
  <c r="Q23" s="1"/>
  <c r="N24"/>
  <c r="O23" i="28"/>
  <c r="N24"/>
  <c r="O23" i="21"/>
  <c r="P23" s="1"/>
  <c r="Q23" s="1"/>
  <c r="R23" s="1"/>
  <c r="BP23"/>
  <c r="AY23"/>
  <c r="N24"/>
  <c r="O24" i="67"/>
  <c r="AO23"/>
  <c r="AJ25"/>
  <c r="O23"/>
  <c r="P23" s="1"/>
  <c r="Q23" s="1"/>
  <c r="AG25" i="18"/>
  <c r="AJ24"/>
  <c r="AO24" s="1"/>
  <c r="AJ23"/>
  <c r="O24"/>
  <c r="P24" s="1"/>
  <c r="Q24" s="1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P24"/>
  <c r="Q24" s="1"/>
  <c r="O23"/>
  <c r="O23" i="6"/>
  <c r="BP23"/>
  <c r="AY23"/>
  <c r="R24" i="40" l="1"/>
  <c r="S23"/>
  <c r="R23" i="48"/>
  <c r="S23" s="1"/>
  <c r="P23" i="32"/>
  <c r="Q23" s="1"/>
  <c r="R23" s="1"/>
  <c r="R23" i="47"/>
  <c r="R23" i="46"/>
  <c r="R23" i="45"/>
  <c r="R23" i="44"/>
  <c r="AI23" i="43"/>
  <c r="X23"/>
  <c r="AA23"/>
  <c r="O24" i="23"/>
  <c r="P24" s="1"/>
  <c r="Q24" s="1"/>
  <c r="R23"/>
  <c r="P23" i="42"/>
  <c r="Q23" s="1"/>
  <c r="R23" s="1"/>
  <c r="S23" i="50"/>
  <c r="R24"/>
  <c r="S24" s="1"/>
  <c r="R23" i="53"/>
  <c r="S23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R24" i="39"/>
  <c r="S24" s="1"/>
  <c r="O23"/>
  <c r="P24"/>
  <c r="Q24" s="1"/>
  <c r="R23" i="38"/>
  <c r="O24"/>
  <c r="P23"/>
  <c r="Q23" s="1"/>
  <c r="R23" i="36"/>
  <c r="O24"/>
  <c r="P23"/>
  <c r="Q23" s="1"/>
  <c r="R23" i="57"/>
  <c r="S23" i="35"/>
  <c r="O24"/>
  <c r="P24" s="1"/>
  <c r="Q24" s="1"/>
  <c r="O24" i="34"/>
  <c r="P24"/>
  <c r="Q24" s="1"/>
  <c r="O23"/>
  <c r="AI24" i="54"/>
  <c r="AN24" s="1"/>
  <c r="X24"/>
  <c r="AB24" s="1"/>
  <c r="AA24"/>
  <c r="AC24"/>
  <c r="R23"/>
  <c r="AI23" i="59"/>
  <c r="X23"/>
  <c r="AA23"/>
  <c r="R24" i="52"/>
  <c r="S24" s="1"/>
  <c r="R23"/>
  <c r="P23"/>
  <c r="Q23" s="1"/>
  <c r="P24"/>
  <c r="Q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AA24" i="32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AB24" s="1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P24"/>
  <c r="Q24" s="1"/>
  <c r="O24"/>
  <c r="R23" i="67"/>
  <c r="R24"/>
  <c r="S24" s="1"/>
  <c r="P24"/>
  <c r="Q24" s="1"/>
  <c r="AO23" i="18"/>
  <c r="AJ25"/>
  <c r="R24"/>
  <c r="S24" s="1"/>
  <c r="P23"/>
  <c r="Q23" s="1"/>
  <c r="R23" s="1"/>
  <c r="AI24" i="16"/>
  <c r="AN24" s="1"/>
  <c r="X24"/>
  <c r="AB24" s="1"/>
  <c r="AA24"/>
  <c r="AC24"/>
  <c r="R25"/>
  <c r="S23"/>
  <c r="P23" i="15"/>
  <c r="Q23" s="1"/>
  <c r="R23" s="1"/>
  <c r="R23" i="14"/>
  <c r="P23"/>
  <c r="Q23" s="1"/>
  <c r="R24"/>
  <c r="S24" s="1"/>
  <c r="P24"/>
  <c r="Q24" s="1"/>
  <c r="O23" i="13"/>
  <c r="R24"/>
  <c r="S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R23" i="8"/>
  <c r="R25" s="1"/>
  <c r="R24"/>
  <c r="S24" s="1"/>
  <c r="P24"/>
  <c r="Q24" s="1"/>
  <c r="AG24" i="7"/>
  <c r="AJ24" s="1"/>
  <c r="AO24" s="1"/>
  <c r="V24"/>
  <c r="AB24" s="1"/>
  <c r="AH24"/>
  <c r="W24"/>
  <c r="AN24"/>
  <c r="AA24"/>
  <c r="AC24"/>
  <c r="AE24"/>
  <c r="R23"/>
  <c r="P23"/>
  <c r="Q23" s="1"/>
  <c r="R23" i="6"/>
  <c r="P23"/>
  <c r="Q23" s="1"/>
  <c r="AI23" i="40" l="1"/>
  <c r="S24"/>
  <c r="AH23" s="1"/>
  <c r="AH24" s="1"/>
  <c r="AA23"/>
  <c r="AA24" s="1"/>
  <c r="V23"/>
  <c r="W23"/>
  <c r="W24" s="1"/>
  <c r="R24" i="48"/>
  <c r="I27" s="1"/>
  <c r="S23" i="32"/>
  <c r="R25"/>
  <c r="I28" s="1"/>
  <c r="V23" i="21"/>
  <c r="W23"/>
  <c r="AA24" i="18"/>
  <c r="AC24"/>
  <c r="AI24"/>
  <c r="V24"/>
  <c r="W24"/>
  <c r="AA23" i="48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AB24" s="1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AC24"/>
  <c r="V24"/>
  <c r="W24"/>
  <c r="AI24"/>
  <c r="AN24" s="1"/>
  <c r="AR24" s="1"/>
  <c r="AX24" s="1"/>
  <c r="AZ24" s="1"/>
  <c r="BO24" s="1"/>
  <c r="AA24"/>
  <c r="AN24" i="18"/>
  <c r="AR24" s="1"/>
  <c r="AX24" s="1"/>
  <c r="AZ24" s="1"/>
  <c r="BO24" s="1"/>
  <c r="R25"/>
  <c r="I28" s="1"/>
  <c r="S23"/>
  <c r="AI23" i="16"/>
  <c r="X23"/>
  <c r="S25"/>
  <c r="AA23"/>
  <c r="AA25" s="1"/>
  <c r="AG23"/>
  <c r="AE23"/>
  <c r="AE25" s="1"/>
  <c r="R24" i="15"/>
  <c r="S23"/>
  <c r="AI24" i="14"/>
  <c r="AN24" s="1"/>
  <c r="X24"/>
  <c r="AA24"/>
  <c r="AC24"/>
  <c r="R25"/>
  <c r="S23"/>
  <c r="W24" i="13"/>
  <c r="AI24"/>
  <c r="AN24" s="1"/>
  <c r="AA24"/>
  <c r="AC24"/>
  <c r="V24"/>
  <c r="R23"/>
  <c r="P23"/>
  <c r="Q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V24" i="8"/>
  <c r="W24"/>
  <c r="AC24"/>
  <c r="AI24"/>
  <c r="AN24" s="1"/>
  <c r="AA24"/>
  <c r="S23"/>
  <c r="S25" s="1"/>
  <c r="AR24" i="7"/>
  <c r="AX24" s="1"/>
  <c r="AZ24" s="1"/>
  <c r="BO24" s="1"/>
  <c r="R25"/>
  <c r="S23"/>
  <c r="R24" i="6"/>
  <c r="S23"/>
  <c r="V24" i="40" l="1"/>
  <c r="AB23"/>
  <c r="AN23"/>
  <c r="AI24"/>
  <c r="AE23"/>
  <c r="AE24" s="1"/>
  <c r="AG23"/>
  <c r="AB24" i="18"/>
  <c r="V23"/>
  <c r="W23"/>
  <c r="W25" s="1"/>
  <c r="AA23"/>
  <c r="AA25" s="1"/>
  <c r="AB23" i="48"/>
  <c r="V24"/>
  <c r="AN23"/>
  <c r="AR23" s="1"/>
  <c r="AX23" s="1"/>
  <c r="AZ23" s="1"/>
  <c r="BO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AH23" i="45"/>
  <c r="AH24" s="1"/>
  <c r="W23"/>
  <c r="W24" s="1"/>
  <c r="S24"/>
  <c r="AE23" s="1"/>
  <c r="AE24" s="1"/>
  <c r="AI23"/>
  <c r="V23"/>
  <c r="AA23"/>
  <c r="AA24" s="1"/>
  <c r="AE23" i="44"/>
  <c r="AE24" s="1"/>
  <c r="AG23"/>
  <c r="V23"/>
  <c r="AH23"/>
  <c r="AH24" s="1"/>
  <c r="W23"/>
  <c r="W24" s="1"/>
  <c r="S24"/>
  <c r="AI23"/>
  <c r="AA23"/>
  <c r="AA24" i="43"/>
  <c r="S24"/>
  <c r="AC23"/>
  <c r="AC24" s="1"/>
  <c r="V23" i="42"/>
  <c r="V24" s="1"/>
  <c r="W23"/>
  <c r="W24" s="1"/>
  <c r="AA24" i="23"/>
  <c r="AI24"/>
  <c r="AN24" s="1"/>
  <c r="W24"/>
  <c r="V24"/>
  <c r="AC24"/>
  <c r="AA23"/>
  <c r="S25"/>
  <c r="AE24" s="1"/>
  <c r="AI23"/>
  <c r="W23"/>
  <c r="W25" s="1"/>
  <c r="V23"/>
  <c r="AH23" i="42"/>
  <c r="AH24" s="1"/>
  <c r="S24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A23"/>
  <c r="AE23"/>
  <c r="AE25" s="1"/>
  <c r="AG23"/>
  <c r="AH23"/>
  <c r="AH25" s="1"/>
  <c r="AH24"/>
  <c r="AI24"/>
  <c r="AN24" s="1"/>
  <c r="X24"/>
  <c r="AB24" s="1"/>
  <c r="AA24"/>
  <c r="AC24"/>
  <c r="AE24"/>
  <c r="AG24"/>
  <c r="AJ24" s="1"/>
  <c r="AO24" s="1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A23"/>
  <c r="AA25" s="1"/>
  <c r="AG23"/>
  <c r="V23"/>
  <c r="AH23"/>
  <c r="AH25" s="1"/>
  <c r="W23"/>
  <c r="W25" s="1"/>
  <c r="V23" i="29"/>
  <c r="W23"/>
  <c r="AI23"/>
  <c r="S25"/>
  <c r="I29" s="1"/>
  <c r="AA23"/>
  <c r="R25"/>
  <c r="I28" s="1"/>
  <c r="AA24"/>
  <c r="AC24"/>
  <c r="V24"/>
  <c r="W24"/>
  <c r="AI24"/>
  <c r="AN24" s="1"/>
  <c r="AR24" s="1"/>
  <c r="AX24" s="1"/>
  <c r="AZ24" s="1"/>
  <c r="BO24" s="1"/>
  <c r="S24" i="28"/>
  <c r="R25"/>
  <c r="AI23"/>
  <c r="S25"/>
  <c r="AA23"/>
  <c r="AE23"/>
  <c r="AE25" s="1"/>
  <c r="AG23"/>
  <c r="V23"/>
  <c r="AH23"/>
  <c r="AH25" s="1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S25"/>
  <c r="I29" s="1"/>
  <c r="V25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AH23" i="15"/>
  <c r="AH24" s="1"/>
  <c r="W23"/>
  <c r="W24" s="1"/>
  <c r="S24"/>
  <c r="AG23" s="1"/>
  <c r="AI23"/>
  <c r="V23"/>
  <c r="AA23"/>
  <c r="AA24" s="1"/>
  <c r="AE23"/>
  <c r="AE24" s="1"/>
  <c r="AB24" i="14"/>
  <c r="AI23"/>
  <c r="X23"/>
  <c r="S25"/>
  <c r="AE23" s="1"/>
  <c r="AE25" s="1"/>
  <c r="AA23"/>
  <c r="AA25" s="1"/>
  <c r="AH23"/>
  <c r="AH25" s="1"/>
  <c r="AB24" i="13"/>
  <c r="R25"/>
  <c r="S23"/>
  <c r="R25" i="12"/>
  <c r="S23"/>
  <c r="AB24"/>
  <c r="AE23" i="37"/>
  <c r="AE24" s="1"/>
  <c r="AJ23"/>
  <c r="AG24"/>
  <c r="AI24"/>
  <c r="AN23"/>
  <c r="V24"/>
  <c r="AB23"/>
  <c r="AI23" i="11"/>
  <c r="S24"/>
  <c r="AE23" s="1"/>
  <c r="AE24" s="1"/>
  <c r="AH23"/>
  <c r="AH24" s="1"/>
  <c r="AA23"/>
  <c r="AA24" s="1"/>
  <c r="W23"/>
  <c r="W24" s="1"/>
  <c r="AG23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H23" s="1"/>
  <c r="AH25" s="1"/>
  <c r="AI23"/>
  <c r="AA23"/>
  <c r="AE23" i="6"/>
  <c r="AG23"/>
  <c r="AG24" s="1"/>
  <c r="AH23"/>
  <c r="AH24" s="1"/>
  <c r="S24"/>
  <c r="AI23"/>
  <c r="AC23"/>
  <c r="AC24" s="1"/>
  <c r="AJ23" i="40" l="1"/>
  <c r="AG24"/>
  <c r="AB24"/>
  <c r="AC23"/>
  <c r="AC24" s="1"/>
  <c r="AG23" i="23"/>
  <c r="AG25" s="1"/>
  <c r="AA25" i="29"/>
  <c r="AB24"/>
  <c r="V24" i="21"/>
  <c r="V25" s="1"/>
  <c r="W24"/>
  <c r="W25" s="1"/>
  <c r="AB23" i="18"/>
  <c r="AB24" i="48"/>
  <c r="I29" s="1"/>
  <c r="I30" s="1"/>
  <c r="AC23"/>
  <c r="AC24" s="1"/>
  <c r="W24" i="47"/>
  <c r="AB23"/>
  <c r="V24"/>
  <c r="AI24"/>
  <c r="AN23"/>
  <c r="AR23" s="1"/>
  <c r="AX23" s="1"/>
  <c r="AZ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E23" i="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E23"/>
  <c r="AE25" s="1"/>
  <c r="AI24" i="38"/>
  <c r="AN24" s="1"/>
  <c r="X24"/>
  <c r="AB24" s="1"/>
  <c r="AA24"/>
  <c r="AC24"/>
  <c r="AG24"/>
  <c r="AA25"/>
  <c r="AN23"/>
  <c r="AI25"/>
  <c r="X25"/>
  <c r="AB23"/>
  <c r="S25"/>
  <c r="AH24" s="1"/>
  <c r="X25" i="36"/>
  <c r="AB23"/>
  <c r="AR24"/>
  <c r="AX24" s="1"/>
  <c r="AZ24" s="1"/>
  <c r="BO24" s="1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AE24"/>
  <c r="AG24"/>
  <c r="S25"/>
  <c r="AC23"/>
  <c r="AB24" i="34"/>
  <c r="AI23"/>
  <c r="AG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J24" s="1"/>
  <c r="AO24" s="1"/>
  <c r="AR24" s="1"/>
  <c r="AX24" s="1"/>
  <c r="AZ24" s="1"/>
  <c r="BO24" s="1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AJ24" s="1"/>
  <c r="AO24" s="1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AN23" i="18"/>
  <c r="AR23" s="1"/>
  <c r="AX23" s="1"/>
  <c r="AZ23" s="1"/>
  <c r="BO23" s="1"/>
  <c r="AI25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5"/>
  <c r="AG24"/>
  <c r="AJ24" s="1"/>
  <c r="AO24" s="1"/>
  <c r="AR24" s="1"/>
  <c r="AX24" s="1"/>
  <c r="AZ24" s="1"/>
  <c r="BO24" s="1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O23" i="40" l="1"/>
  <c r="AR23" s="1"/>
  <c r="AX23" s="1"/>
  <c r="AZ23" s="1"/>
  <c r="BO23" s="1"/>
  <c r="AJ24"/>
  <c r="AB25" i="18"/>
  <c r="I30" s="1"/>
  <c r="I31" s="1"/>
  <c r="AC23"/>
  <c r="AC25" s="1"/>
  <c r="AB24" i="47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R23" i="44"/>
  <c r="AX23" s="1"/>
  <c r="AZ23" s="1"/>
  <c r="BO23" s="1"/>
  <c r="AB24"/>
  <c r="AC23"/>
  <c r="AC24" s="1"/>
  <c r="AO23"/>
  <c r="AJ24"/>
  <c r="AJ23" i="43"/>
  <c r="AG24"/>
  <c r="AB25" i="23"/>
  <c r="AC23"/>
  <c r="AC25" s="1"/>
  <c r="AJ23"/>
  <c r="AJ24"/>
  <c r="AO24" s="1"/>
  <c r="AR24" s="1"/>
  <c r="AX24" s="1"/>
  <c r="AZ24" s="1"/>
  <c r="BO24" s="1"/>
  <c r="AR23" i="42"/>
  <c r="AX23" s="1"/>
  <c r="AZ23" s="1"/>
  <c r="BO23" s="1"/>
  <c r="AJ24"/>
  <c r="AO23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J24" i="38"/>
  <c r="AO24" s="1"/>
  <c r="AR24" s="1"/>
  <c r="AX24" s="1"/>
  <c r="AZ24" s="1"/>
  <c r="BO24" s="1"/>
  <c r="AB25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E24" s="1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J25"/>
  <c r="AR24"/>
  <c r="AX24" s="1"/>
  <c r="AZ24" s="1"/>
  <c r="BO24" s="1"/>
  <c r="AC23"/>
  <c r="AC25" s="1"/>
  <c r="AB24"/>
  <c r="AB25" s="1"/>
  <c r="AR23"/>
  <c r="AX23" s="1"/>
  <c r="AZ23" s="1"/>
  <c r="BO23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R23"/>
  <c r="AX23" s="1"/>
  <c r="AZ23" s="1"/>
  <c r="BO23" s="1"/>
  <c r="AO23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J23" s="1"/>
  <c r="AG24"/>
  <c r="AH24"/>
  <c r="AE24"/>
  <c r="AB23"/>
  <c r="V25"/>
  <c r="AN23"/>
  <c r="AI25"/>
  <c r="AH23"/>
  <c r="AH25" s="1"/>
  <c r="AR23" i="11"/>
  <c r="AX23" s="1"/>
  <c r="AZ23" s="1"/>
  <c r="BO23" s="1"/>
  <c r="AB24"/>
  <c r="AC23"/>
  <c r="AC24" s="1"/>
  <c r="AO23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J24" i="46" l="1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O23"/>
  <c r="AR23" s="1"/>
  <c r="AX23" s="1"/>
  <c r="AZ23" s="1"/>
  <c r="BO23" s="1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O23" i="39" l="1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<sst xmlns="http://schemas.openxmlformats.org/spreadsheetml/2006/main" count="11599" uniqueCount="524">
  <si>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</si>
  <si>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</si>
  <si>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</si>
  <si>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</si>
  <si>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</si>
  <si>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</si>
  <si>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</si>
  <si>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</si>
  <si>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</si>
  <si>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</si>
  <si>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</si>
  <si>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</si>
  <si>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</si>
  <si>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</si>
  <si>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</si>
  <si>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</si>
  <si>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</si>
  <si>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</si>
  <si>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</si>
  <si>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</si>
  <si>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</si>
  <si>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</si>
  <si>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</si>
  <si>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</si>
  <si>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</si>
  <si>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</si>
  <si>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</si>
  <si>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</si>
  <si>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</si>
  <si>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</si>
  <si>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</si>
  <si>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</si>
  <si>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</si>
  <si>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</si>
  <si>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</si>
  <si>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</si>
  <si>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</si>
  <si>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</si>
  <si>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</si>
  <si>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</si>
  <si>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</si>
  <si>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</si>
  <si>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</si>
  <si>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</si>
  <si>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</si>
  <si>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</si>
  <si>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</si>
  <si>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</si>
  <si>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</si>
  <si>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</si>
  <si>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</si>
  <si>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</si>
  <si>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</si>
  <si>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</si>
  <si>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</si>
  <si>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</si>
  <si>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</si>
  <si>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</si>
  <si>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</si>
  <si>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</si>
  <si>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</si>
  <si>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</si>
  <si>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</si>
  <si>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</si>
  <si>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</si>
  <si>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</si>
  <si>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</si>
  <si>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</si>
  <si>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</si>
  <si>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</si>
  <si>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</si>
  <si>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</si>
  <si>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</si>
  <si>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</si>
  <si>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</si>
  <si>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</si>
  <si>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</si>
  <si>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</si>
  <si>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</si>
  <si>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</si>
  <si>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</si>
  <si>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</si>
  <si>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</si>
  <si>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</si>
  <si>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</si>
  <si>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</si>
  <si>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</si>
  <si>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</si>
  <si>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</si>
  <si>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</si>
  <si>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</si>
  <si>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</si>
  <si>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</si>
  <si>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</si>
  <si>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</si>
  <si>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</si>
  <si>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</si>
  <si>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</si>
  <si>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</si>
  <si>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</si>
  <si>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</si>
  <si>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</si>
  <si>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</si>
  <si>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</si>
  <si>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</si>
  <si>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</si>
  <si>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</si>
  <si>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</si>
  <si>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</si>
  <si>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</si>
  <si>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</si>
  <si>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</si>
  <si>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</si>
  <si>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</si>
  <si>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</si>
  <si>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</si>
  <si>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</si>
  <si>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</si>
  <si>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</si>
  <si>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</si>
  <si>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</si>
  <si>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</si>
  <si>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</si>
  <si>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</si>
  <si>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</si>
  <si>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</si>
  <si>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</si>
  <si>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</si>
  <si>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</si>
  <si>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</si>
  <si>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</si>
  <si>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</si>
  <si>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</si>
  <si>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</si>
  <si>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</si>
  <si>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</si>
  <si>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</si>
  <si>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</si>
  <si>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</si>
  <si>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</si>
  <si>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</si>
  <si>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</si>
  <si>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</si>
  <si>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</si>
  <si>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</si>
  <si>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</si>
  <si>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</si>
  <si>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</si>
  <si>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</si>
  <si>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</si>
  <si>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</si>
  <si>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</si>
  <si>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</si>
  <si>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</si>
  <si>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</si>
  <si>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</si>
  <si>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</si>
  <si>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</si>
  <si>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</si>
  <si>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</si>
  <si>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</si>
  <si>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</si>
  <si>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</si>
  <si>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</si>
  <si>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</si>
  <si>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</si>
  <si>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</si>
  <si>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</si>
  <si>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</si>
  <si>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</si>
  <si>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</si>
  <si>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</si>
  <si>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</si>
  <si>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</si>
  <si>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</si>
  <si>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</si>
  <si>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</si>
  <si>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</si>
  <si>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</si>
  <si>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</si>
  <si>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</si>
  <si>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</si>
  <si>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</si>
  <si>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</si>
  <si>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</si>
  <si>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</si>
  <si>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</si>
  <si>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</si>
  <si>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</si>
  <si>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</si>
  <si>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</si>
  <si>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</si>
  <si>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</si>
  <si>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</si>
  <si>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</si>
  <si>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</si>
  <si>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</si>
  <si>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</si>
  <si>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</si>
  <si>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</si>
  <si>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</si>
  <si>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</si>
  <si>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</si>
  <si>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</si>
  <si>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</si>
  <si>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</si>
  <si>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</si>
  <si>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</si>
  <si>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</si>
  <si>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</si>
  <si>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</si>
  <si>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</si>
  <si>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</si>
  <si>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</si>
  <si>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</si>
  <si>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</si>
  <si>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</si>
  <si>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</si>
  <si>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</si>
  <si>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</si>
  <si>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</si>
  <si>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</si>
  <si>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</si>
  <si>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</si>
  <si>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</si>
  <si>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</si>
  <si>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</si>
  <si>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</si>
  <si>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</si>
  <si>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</si>
  <si>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</si>
  <si>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</si>
  <si>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</si>
  <si>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</si>
  <si>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</si>
  <si>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</si>
  <si>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</si>
  <si>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</si>
  <si>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234.33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</si>
  <si>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</si>
  <si>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</si>
  <si>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</si>
  <si>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</si>
  <si>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</si>
  <si>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</si>
  <si>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</si>
  <si>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</si>
  <si>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</si>
  <si>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</si>
  <si>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</si>
  <si>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</si>
  <si>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</si>
  <si>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</si>
  <si>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</si>
  <si>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</si>
  <si>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</si>
  <si>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TVS-SIM-599803</t>
  </si>
  <si>
    <t>TVS-SIM-050035</t>
  </si>
  <si>
    <t>345</t>
  </si>
  <si>
    <t>487.4072</t>
  </si>
  <si>
    <t>RM KD</t>
  </si>
  <si>
    <t>HSN2</t>
  </si>
  <si>
    <t>355.91161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</si>
  <si>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</si>
  <si>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</si>
  <si>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</si>
  <si>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</si>
  <si>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</si>
  <si>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</si>
  <si>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</si>
  <si>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</si>
  <si>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</si>
  <si>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</si>
  <si>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</si>
  <si>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</si>
  <si>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</si>
  <si>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</si>
  <si>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</si>
  <si>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</si>
  <si>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</si>
  <si>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</si>
  <si>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</si>
  <si>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</si>
  <si>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</si>
  <si>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</si>
  <si>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</si>
  <si>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</si>
  <si>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</si>
  <si>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</si>
  <si>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12.5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</si>
  <si>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</si>
  <si>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</si>
  <si>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</si>
  <si>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</si>
  <si>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</si>
  <si>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</si>
  <si>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</si>
  <si>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</si>
  <si>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</si>
  <si>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10</t>
  </si>
  <si>
    <t>TVS-SIM-135400</t>
  </si>
  <si>
    <t>235.26667</t>
  </si>
  <si>
    <t>2.34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</si>
  <si>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</si>
  <si>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</si>
  <si>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</si>
  <si>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</si>
  <si>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</si>
  <si>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</si>
  <si>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</si>
  <si>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</si>
  <si>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187.2776</t>
  </si>
  <si>
    <t>28</t>
  </si>
  <si>
    <t>187.27786</t>
  </si>
  <si>
    <t>2.5</t>
  </si>
  <si>
    <t>TVS-SIM-741823</t>
  </si>
  <si>
    <t>INS.WH7</t>
  </si>
  <si>
    <t>RM7</t>
  </si>
  <si>
    <t>TVS-SIM-743669</t>
  </si>
  <si>
    <t>TVS-SIM-975953</t>
  </si>
  <si>
    <t>TVS-SIM-003386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</si>
  <si>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</si>
  <si>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</si>
  <si>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</si>
  <si>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</si>
  <si>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</si>
  <si>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</si>
  <si>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</si>
  <si>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</si>
  <si>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</si>
  <si>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</si>
  <si>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</si>
  <si>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</si>
  <si>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</si>
  <si>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</si>
  <si>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</si>
  <si>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</si>
  <si>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</si>
  <si>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</si>
  <si>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</si>
  <si>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</si>
  <si>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</si>
  <si>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</si>
  <si>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</si>
  <si>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</si>
  <si>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</si>
  <si>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</si>
  <si>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</si>
  <si>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</si>
  <si>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</si>
  <si>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</si>
  <si>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</si>
  <si>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</si>
  <si>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</si>
  <si>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</si>
  <si>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</si>
  <si>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</si>
  <si>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</si>
  <si>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</si>
  <si>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</si>
  <si>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</si>
  <si>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</si>
  <si>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</si>
  <si>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</si>
  <si>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</si>
  <si>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</si>
  <si>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</si>
  <si>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250</t>
  </si>
  <si>
    <t>330.98625</t>
  </si>
  <si>
    <t>24</t>
  </si>
  <si>
    <t>269.19614</t>
  </si>
  <si>
    <t>455</t>
  </si>
  <si>
    <t>1243</t>
  </si>
  <si>
    <t>74</t>
  </si>
  <si>
    <t>1142</t>
  </si>
  <si>
    <t>104</t>
  </si>
  <si>
    <t>52</t>
  </si>
  <si>
    <t>323.75</t>
  </si>
  <si>
    <t>455.67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</si>
  <si>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</si>
  <si>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</si>
  <si>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</si>
  <si>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</si>
  <si>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</si>
  <si>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</si>
  <si>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</si>
  <si>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</si>
  <si>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</si>
  <si>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</si>
  <si>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</si>
  <si>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</si>
  <si>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</si>
  <si>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</si>
  <si>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</si>
  <si>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</si>
  <si>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</si>
  <si>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</si>
  <si>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</si>
  <si>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</si>
  <si>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</si>
  <si>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</si>
  <si>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</si>
  <si>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</si>
  <si>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</si>
  <si>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</si>
  <si>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</si>
  <si>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</si>
  <si>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</si>
  <si>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</si>
  <si>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</si>
  <si>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</si>
  <si>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</si>
  <si>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</si>
  <si>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</si>
  <si>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</si>
  <si>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</si>
  <si>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</si>
  <si>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</si>
  <si>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</si>
  <si>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</si>
  <si>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</si>
  <si>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</si>
  <si>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</si>
  <si>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</si>
  <si>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</si>
  <si>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</si>
  <si>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</si>
  <si>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</si>
  <si>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</si>
  <si>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</si>
  <si>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</si>
  <si>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26</t>
  </si>
  <si>
    <t>56</t>
  </si>
  <si>
    <t>75</t>
  </si>
  <si>
    <t>84</t>
  </si>
  <si>
    <t>87.5</t>
  </si>
  <si>
    <t>98</t>
  </si>
  <si>
    <t>319.51</t>
  </si>
  <si>
    <t>319.81167</t>
  </si>
  <si>
    <t>236</t>
  </si>
  <si>
    <t>2.89</t>
  </si>
  <si>
    <t>453</t>
  </si>
  <si>
    <t>293</t>
  </si>
  <si>
    <t>3453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</si>
  <si>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</si>
  <si>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</si>
  <si>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</si>
  <si>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</si>
  <si>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</si>
  <si>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</si>
  <si>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</si>
  <si>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</si>
  <si>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</si>
  <si>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</si>
  <si>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</si>
  <si>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</si>
  <si>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</si>
  <si>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</si>
  <si>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</si>
  <si>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1186.87507</t>
  </si>
  <si>
    <t>248.12541</t>
  </si>
  <si>
    <t>1162.57255</t>
  </si>
  <si>
    <t>357</t>
  </si>
  <si>
    <t>247.59472</t>
  </si>
  <si>
    <t>112.5</t>
  </si>
  <si>
    <t>126</t>
  </si>
  <si>
    <t>224.82864</t>
  </si>
  <si>
    <t>224.94784</t>
  </si>
  <si>
    <t>214.89615</t>
  </si>
  <si>
    <t>88.667</t>
  </si>
  <si>
    <t>939.07079</t>
  </si>
  <si>
    <t>793.335</t>
  </si>
  <si>
    <t>181.56917</t>
  </si>
  <si>
    <t>14090</t>
  </si>
  <si>
    <t>121.18128</t>
  </si>
  <si>
    <t>687</t>
  </si>
  <si>
    <t>147.00901</t>
  </si>
  <si>
    <t>200</t>
  </si>
  <si>
    <t>185.81481</t>
  </si>
  <si>
    <t>184.66239</t>
  </si>
  <si>
    <t>ROAU-KDK-SERVICE-01</t>
  </si>
  <si>
    <t>ROAU-RM-KDK-QC-WIP-RC-01</t>
  </si>
  <si>
    <t>ROAU-RM-KDK-QC-WOIP-RC-01</t>
  </si>
  <si>
    <t>500</t>
  </si>
  <si>
    <t>INS</t>
  </si>
  <si>
    <t>426.97</t>
  </si>
  <si>
    <t>469.2</t>
  </si>
  <si>
    <t>ROAU-RM-KDK-QC-WOIP-UD-01</t>
  </si>
  <si>
    <t>ROAU-RM-KDK-QC-WIP-UD-01</t>
  </si>
  <si>
    <t>ROAU-KDK-SERVICE-RATECONTRACT-01</t>
  </si>
  <si>
    <t>ROAU-RM-KDK-QC-WOIP-PL-01</t>
  </si>
  <si>
    <t>ROAU-RM-KDK-QC-WIP-PL-01</t>
  </si>
  <si>
    <t>282.33</t>
  </si>
  <si>
    <t>ROAU-KDK-SERVICE-PRICELIST-01</t>
  </si>
  <si>
    <t>ROAU-RM-KDK-QC-WOIP-DISS-UD-01</t>
  </si>
  <si>
    <t>ROAU-RM-KDK-QC-WIP-DISS-UD-01</t>
  </si>
  <si>
    <t>731.11</t>
  </si>
  <si>
    <t>427.09333</t>
  </si>
  <si>
    <t>ROAU-RM-KDK-QC-WIP-DISS-RC-01</t>
  </si>
  <si>
    <t>ROAU-RM-KDK-QC-WOIP-DISS-RC-01</t>
  </si>
  <si>
    <t>ROAU-RM-KDK-QC-WIP-DISS-PL-01</t>
  </si>
  <si>
    <t>ROAU-RM-KDK-QC-WOIP-DISS-PL-01</t>
  </si>
  <si>
    <t>ROAU-RM-KDK-01</t>
  </si>
  <si>
    <t>ROAU-RM-KDK-02</t>
  </si>
  <si>
    <t>ROAU-RM-KDK-02 PriceList</t>
  </si>
  <si>
    <t>ROAU-RM-KDK-01 PriceList</t>
  </si>
  <si>
    <t>ROAU-DISSIMILAR-KDK-03</t>
  </si>
  <si>
    <t>ROAU-DISSIMILAR-KDK-02</t>
  </si>
  <si>
    <t>ROAU-RM-KDK-DIS-08 RateContract</t>
  </si>
  <si>
    <t>ROAU-RM-KDK-DIS-09 RateContract</t>
  </si>
  <si>
    <t>ROAU-RM-KDK-DIS-08 PriceList</t>
  </si>
  <si>
    <t>ROAU-RM-KDK-DIS-09 PriceList</t>
  </si>
  <si>
    <t>ROAU-RM-KDK-01 RateContract</t>
  </si>
  <si>
    <t>ROAU-RM-KDK-02 RateContract</t>
  </si>
  <si>
    <t>ROAU-RM-KDK-NA-05</t>
  </si>
  <si>
    <t>376.48</t>
  </si>
  <si>
    <t>233.6334</t>
  </si>
  <si>
    <t>234.6</t>
  </si>
  <si>
    <t>215.105</t>
  </si>
  <si>
    <t>215.1162</t>
  </si>
  <si>
    <t>ROAU-RM-KDK-FP-001</t>
  </si>
  <si>
    <t>186.32</t>
  </si>
  <si>
    <t>600</t>
  </si>
  <si>
    <t>1659.6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</si>
</sst>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mbria"/>
      <family val="1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7" fillId="0" borderId="0">
      <alignment vertical="center"/>
    </xf>
    <xf numFmtId="0" fontId="7" fillId="0" borderId="0">
      <alignment vertical="center"/>
    </xf>
  </cellStyleXfs>
  <cellXfs count="174">
    <xf numFmtId="0" fontId="0" fillId="0" borderId="0" xfId="0"/>
    <xf numFmtId="0" fontId="2" fillId="0" borderId="0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4" fillId="0" borderId="0" xfId="0" applyFont="1"/>
    <xf numFmtId="0" fontId="3" fillId="3" borderId="11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0" borderId="13" xfId="0" applyNumberFormat="1" applyFont="1" applyBorder="1"/>
    <xf numFmtId="0" fontId="0" fillId="0" borderId="0" xfId="0" applyBorder="1" applyAlignment="1"/>
    <xf numFmtId="0" fontId="3" fillId="3" borderId="14" xfId="0" applyFont="1" applyFill="1" applyBorder="1" applyAlignment="1"/>
    <xf numFmtId="0" fontId="3" fillId="3" borderId="15" xfId="0" applyFont="1" applyFill="1" applyBorder="1" applyAlignment="1"/>
    <xf numFmtId="0" fontId="3" fillId="3" borderId="13" xfId="0" applyFont="1" applyFill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Border="1"/>
    <xf numFmtId="0" fontId="4" fillId="0" borderId="0" xfId="0" applyFont="1" applyFill="1" applyBorder="1"/>
    <xf numFmtId="0" fontId="3" fillId="4" borderId="12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" fillId="0" borderId="0" xfId="0" applyFont="1"/>
    <xf numFmtId="0" fontId="3" fillId="6" borderId="12" xfId="0" applyFont="1" applyFill="1" applyBorder="1" applyAlignment="1">
      <alignment horizontal="center" vertical="center"/>
    </xf>
    <xf numFmtId="0" fontId="3" fillId="3" borderId="13" xfId="0" applyNumberFormat="1" applyFont="1" applyFill="1" applyBorder="1"/>
    <xf numFmtId="2" fontId="3" fillId="3" borderId="13" xfId="0" applyNumberFormat="1" applyFont="1" applyFill="1" applyBorder="1"/>
    <xf numFmtId="0" fontId="3" fillId="7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10" fontId="4" fillId="0" borderId="13" xfId="0" applyNumberFormat="1" applyFont="1" applyBorder="1"/>
    <xf numFmtId="0" fontId="3" fillId="7" borderId="13" xfId="0" applyFont="1" applyFill="1" applyBorder="1"/>
    <xf numFmtId="2" fontId="3" fillId="7" borderId="13" xfId="0" applyNumberFormat="1" applyFont="1" applyFill="1" applyBorder="1"/>
    <xf numFmtId="0" fontId="3" fillId="8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0" borderId="5" xfId="0" applyNumberFormat="1" applyFont="1" applyBorder="1"/>
    <xf numFmtId="0" fontId="4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4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4" fillId="0" borderId="13" xfId="0" applyNumberFormat="1" applyFont="1" applyBorder="1"/>
    <xf numFmtId="0" fontId="4" fillId="2" borderId="18" xfId="0" applyFont="1" applyFill="1" applyBorder="1"/>
    <xf numFmtId="0" fontId="4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6" fillId="9" borderId="19" xfId="0" applyFont="1" applyFill="1" applyBorder="1"/>
    <xf numFmtId="0" fontId="6" fillId="10" borderId="19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/>
    <xf numFmtId="0" fontId="3" fillId="4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4" fillId="0" borderId="0" xfId="0" applyFont="1" applyAlignment="1"/>
    <xf numFmtId="0" fontId="4" fillId="0" borderId="12" xfId="0" applyFont="1" applyBorder="1"/>
    <xf numFmtId="0" fontId="3" fillId="6" borderId="13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4" fillId="0" borderId="13" xfId="0" applyNumberFormat="1" applyFont="1" applyBorder="1"/>
    <xf numFmtId="0" fontId="7" fillId="0" borderId="17" xfId="0" applyFont="1" applyBorder="1"/>
    <xf numFmtId="0" fontId="0" fillId="0" borderId="17" xfId="0" applyBorder="1"/>
    <xf numFmtId="0" fontId="0" fillId="0" borderId="17" xfId="0" applyBorder="1" applyAlignment="1">
      <alignment vertical="center"/>
    </xf>
    <xf numFmtId="0" fontId="4" fillId="0" borderId="2" xfId="0" applyFont="1" applyBorder="1"/>
    <xf numFmtId="0" fontId="0" fillId="0" borderId="22" xfId="0" applyBorder="1"/>
    <xf numFmtId="0" fontId="4" fillId="0" borderId="3" xfId="0" applyFont="1" applyBorder="1"/>
    <xf numFmtId="0" fontId="4" fillId="0" borderId="6" xfId="0" applyFont="1" applyBorder="1"/>
    <xf numFmtId="9" fontId="4" fillId="0" borderId="13" xfId="0" applyNumberFormat="1" applyFont="1" applyBorder="1"/>
    <xf numFmtId="0" fontId="8" fillId="0" borderId="13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7" borderId="13" xfId="0" applyFont="1" applyFill="1" applyBorder="1" applyAlignment="1">
      <alignment horizontal="center" vertical="center" wrapText="1"/>
    </xf>
    <xf numFmtId="165" fontId="4" fillId="0" borderId="13" xfId="0" applyNumberFormat="1" applyFont="1" applyBorder="1"/>
    <xf numFmtId="0" fontId="3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4" fillId="0" borderId="0" xfId="0" applyNumberFormat="1" applyFont="1"/>
    <xf numFmtId="0" fontId="4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4" fillId="0" borderId="0" xfId="0" quotePrefix="1" applyFo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0" fillId="10" borderId="19" xfId="0" applyFont="1" applyFill="1" applyBorder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9" fontId="3" fillId="3" borderId="13" xfId="0" applyNumberFormat="1" applyFont="1" applyFill="1" applyBorder="1"/>
    <xf numFmtId="0" fontId="2" fillId="0" borderId="0" xfId="0" applyFont="1" applyBorder="1" applyAlignment="1">
      <alignment horizontal="left" vertical="top"/>
    </xf>
    <xf numFmtId="0" fontId="4" fillId="0" borderId="5" xfId="1" applyFont="1" applyBorder="1" applyAlignme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1" fillId="0" borderId="13" xfId="0" applyFont="1" applyBorder="1"/>
    <xf numFmtId="0" fontId="11" fillId="0" borderId="5" xfId="0" applyNumberFormat="1" applyFont="1" applyBorder="1"/>
    <xf numFmtId="0" fontId="1" fillId="0" borderId="17" xfId="0" applyNumberFormat="1" applyFont="1" applyBorder="1" applyAlignment="1">
      <alignment vertical="center"/>
    </xf>
    <xf numFmtId="0" fontId="2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left"/>
    </xf>
    <xf numFmtId="0" fontId="2" fillId="0" borderId="0" xfId="0" applyFont="1" applyBorder="1" applyAlignment="1">
      <alignment horizontal="left" vertical="top"/>
    </xf>
    <xf numFmtId="0" fontId="3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4" fillId="0" borderId="2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3" fillId="7" borderId="13" xfId="0" applyFont="1" applyFill="1" applyBorder="1" applyAlignment="1">
      <alignment horizontal="right"/>
    </xf>
    <xf numFmtId="0" fontId="3" fillId="0" borderId="13" xfId="0" applyFont="1" applyBorder="1" applyAlignment="1">
      <alignment horizontal="right"/>
    </xf>
    <xf numFmtId="0" fontId="2" fillId="0" borderId="2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11" borderId="21" xfId="0" applyFont="1" applyFill="1" applyBorder="1" applyAlignment="1">
      <alignment horizontal="center"/>
    </xf>
    <xf numFmtId="0" fontId="3" fillId="11" borderId="14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12" borderId="13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 vertical="top"/>
    </xf>
    <xf numFmtId="0" fontId="3" fillId="3" borderId="24" xfId="0" applyFont="1" applyFill="1" applyBorder="1" applyAlignment="1">
      <alignment horizontal="center" vertical="top"/>
    </xf>
    <xf numFmtId="0" fontId="3" fillId="3" borderId="25" xfId="0" applyFont="1" applyFill="1" applyBorder="1" applyAlignment="1">
      <alignment horizontal="center" vertical="top"/>
    </xf>
    <xf numFmtId="0" fontId="3" fillId="7" borderId="21" xfId="0" applyFont="1" applyFill="1" applyBorder="1" applyAlignment="1">
      <alignment horizontal="right"/>
    </xf>
    <xf numFmtId="0" fontId="3" fillId="7" borderId="15" xfId="0" applyFont="1" applyFill="1" applyBorder="1" applyAlignment="1">
      <alignment horizontal="right"/>
    </xf>
    <xf numFmtId="0" fontId="3" fillId="0" borderId="21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4" fillId="0" borderId="20" xfId="0" applyFont="1" applyFill="1" applyBorder="1" applyAlignment="1">
      <alignment horizontal="left"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95" t="s">
        <v>0</v>
      </c>
      <c r="B1" s="95" t="s">
        <v>1</v>
      </c>
      <c r="C1" s="95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11</v>
      </c>
      <c r="M1" s="96" t="s">
        <v>12</v>
      </c>
      <c r="N1" s="96" t="s">
        <v>13</v>
      </c>
      <c r="O1" s="96" t="s">
        <v>14</v>
      </c>
      <c r="P1" s="96" t="s">
        <v>15</v>
      </c>
      <c r="Q1" s="96" t="s">
        <v>16</v>
      </c>
      <c r="R1" s="96" t="s">
        <v>17</v>
      </c>
      <c r="S1" s="96" t="s">
        <v>18</v>
      </c>
      <c r="T1" s="96" t="s">
        <v>19</v>
      </c>
      <c r="U1" s="96" t="s">
        <v>20</v>
      </c>
      <c r="V1" s="96" t="s">
        <v>21</v>
      </c>
      <c r="W1" s="98" t="s">
        <v>22</v>
      </c>
      <c r="X1" s="98" t="s">
        <v>23</v>
      </c>
      <c r="Y1" s="98" t="s">
        <v>24</v>
      </c>
      <c r="Z1" s="98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7" t="s">
        <v>32</v>
      </c>
      <c r="X2" s="77" t="s">
        <v>33</v>
      </c>
      <c r="Y2" s="77">
        <v>5</v>
      </c>
      <c r="Z2" s="77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7" t="s">
        <v>40</v>
      </c>
      <c r="X3" s="77" t="s">
        <v>41</v>
      </c>
      <c r="Y3" s="77">
        <v>100</v>
      </c>
      <c r="Z3" s="77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7"/>
      <c r="B5" s="97"/>
      <c r="C5" s="97"/>
    </row>
    <row r="6" spans="1:26">
      <c r="A6" s="97"/>
      <c r="B6" s="97"/>
      <c r="C6" s="97"/>
    </row>
    <row r="7" spans="1:26">
      <c r="A7" s="97"/>
      <c r="B7" s="97"/>
      <c r="C7" s="97"/>
    </row>
    <row r="8" spans="1:26">
      <c r="A8" s="97"/>
      <c r="B8" s="97"/>
      <c r="C8" s="97"/>
    </row>
    <row r="9" spans="1:26">
      <c r="A9" s="97"/>
      <c r="B9" s="97"/>
      <c r="C9" s="97"/>
    </row>
    <row r="10" spans="1:26">
      <c r="A10" s="97"/>
      <c r="B10" s="97"/>
      <c r="C10" s="97"/>
    </row>
    <row r="11" spans="1:26">
      <c r="A11" s="97"/>
      <c r="B11" s="97"/>
      <c r="C11" s="97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8" t="s">
        <v>133</v>
      </c>
      <c r="AU22" s="78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8" t="s">
        <v>142</v>
      </c>
      <c r="BF22" s="78" t="s">
        <v>143</v>
      </c>
      <c r="BG22" s="78" t="s">
        <v>144</v>
      </c>
      <c r="BH22" s="80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79"/>
      <c r="BD23" s="71"/>
      <c r="BE23" s="7"/>
      <c r="BF23" s="7"/>
      <c r="BG23" s="7"/>
      <c r="BH23" s="81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79"/>
      <c r="BD24" s="71"/>
      <c r="BE24" s="7"/>
      <c r="BF24" s="7"/>
      <c r="BG24" s="7"/>
      <c r="BH24" s="81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79"/>
      <c r="BD25" s="71"/>
      <c r="BE25" s="7"/>
      <c r="BF25" s="7"/>
      <c r="BG25" s="7"/>
      <c r="BH25" s="81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0"/>
      <c r="C30" s="91"/>
      <c r="D30" s="9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0"/>
      <c r="C31" s="91"/>
      <c r="D31" s="92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0"/>
      <c r="C32" s="91"/>
      <c r="D32" s="9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0"/>
      <c r="C33" s="91"/>
      <c r="D33" s="92"/>
      <c r="E33" s="16"/>
      <c r="F33" s="16"/>
      <c r="G33" s="16"/>
      <c r="H33" s="93"/>
      <c r="I33" s="149"/>
      <c r="J33" s="149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0"/>
      <c r="C34" s="53"/>
      <c r="D34" s="94"/>
      <c r="E34" s="16"/>
      <c r="F34" s="16"/>
      <c r="G34" s="16"/>
      <c r="H34" s="93"/>
      <c r="I34" s="149"/>
      <c r="J34" s="149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3"/>
      <c r="I35" s="149"/>
      <c r="J35" s="149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0"/>
      <c r="H36" s="150"/>
      <c r="I36" s="149"/>
      <c r="J36" s="149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0"/>
      <c r="H37" s="150"/>
      <c r="I37" s="149"/>
      <c r="J37" s="149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58" t="s">
        <v>154</v>
      </c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8" t="s">
        <v>133</v>
      </c>
      <c r="AC22" s="78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8" t="s">
        <v>142</v>
      </c>
      <c r="AN22" s="78" t="s">
        <v>143</v>
      </c>
      <c r="AO22" s="78" t="s">
        <v>144</v>
      </c>
      <c r="AP22" s="80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1709.64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79"/>
      <c r="AL23" s="71"/>
      <c r="AM23" s="7"/>
      <c r="AN23" s="7"/>
      <c r="AO23" s="7"/>
      <c r="AP23" s="81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4901.01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104.76964657962699</v>
      </c>
      <c r="AF24" s="71"/>
      <c r="AG24" s="71"/>
      <c r="AH24" s="76" t="s">
        <v>38</v>
      </c>
      <c r="AI24" s="71" t="s">
        <v>152</v>
      </c>
      <c r="AJ24" s="71"/>
      <c r="AK24" s="79"/>
      <c r="AL24" s="71"/>
      <c r="AM24" s="7"/>
      <c r="AN24" s="7"/>
      <c r="AO24" s="7"/>
      <c r="AP24" s="81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262.10845232486002</v>
      </c>
      <c r="AF25" s="71"/>
      <c r="AG25" s="71"/>
      <c r="AH25" s="76" t="s">
        <v>45</v>
      </c>
      <c r="AI25" s="71"/>
      <c r="AJ25" s="71" t="s">
        <v>39</v>
      </c>
      <c r="AK25" s="79"/>
      <c r="AL25" s="71"/>
      <c r="AM25" s="7"/>
      <c r="AN25" s="7"/>
      <c r="AO25" s="7"/>
      <c r="AP25" s="81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2777.98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10485.43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2507.6799999999998</v>
      </c>
      <c r="I32" s="26">
        <v>1</v>
      </c>
      <c r="J32" s="26">
        <v>2</v>
      </c>
      <c r="K32" s="26">
        <v>2.5</v>
      </c>
      <c r="L32" s="26">
        <f t="shared" si="7"/>
        <v>2507.6799999999998</v>
      </c>
      <c r="M32" s="26">
        <f t="shared" si="1"/>
        <v>25.08</v>
      </c>
      <c r="N32" s="26">
        <f t="shared" si="8"/>
        <v>2482.6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</v>
      </c>
      <c r="I34" s="26">
        <v>1</v>
      </c>
      <c r="J34" s="26">
        <v>2</v>
      </c>
      <c r="K34" s="26">
        <v>2.5</v>
      </c>
      <c r="L34" s="26">
        <f t="shared" si="7"/>
        <v>1372.8</v>
      </c>
      <c r="M34" s="26">
        <f t="shared" si="1"/>
        <v>13.73</v>
      </c>
      <c r="N34" s="26">
        <f t="shared" si="8"/>
        <v>1359.07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13978.35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6212.63</v>
      </c>
      <c r="W37" s="26">
        <f>ROUND(G37*$O$43,2)</f>
        <v>7.0000000000000007E-2</v>
      </c>
    </row>
    <row r="38" spans="1:23">
      <c r="A38" s="16"/>
      <c r="B38" s="159" t="s">
        <v>87</v>
      </c>
      <c r="C38" s="159"/>
      <c r="D38" s="159"/>
      <c r="E38" s="159"/>
      <c r="F38" s="159"/>
      <c r="G38" s="159"/>
      <c r="H38" s="30">
        <f>SUM(H23:H37)</f>
        <v>75435.259999999995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</v>
      </c>
      <c r="V38" s="89">
        <f t="shared" ref="V38" si="14">SUM(V23:V37)</f>
        <v>84201.93</v>
      </c>
      <c r="W38" s="89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4" t="s">
        <v>194</v>
      </c>
      <c r="H40" s="155"/>
      <c r="I40" s="157">
        <f>H38</f>
        <v>75435.259999999995</v>
      </c>
      <c r="J40" s="157"/>
      <c r="K40" s="65"/>
      <c r="L40" s="16"/>
      <c r="M40" s="160" t="s">
        <v>195</v>
      </c>
      <c r="N40" s="161"/>
      <c r="O40" s="161"/>
      <c r="P40" s="162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4" t="s">
        <v>196</v>
      </c>
      <c r="H41" s="155"/>
      <c r="I41" s="157">
        <f>R38</f>
        <v>4077.7</v>
      </c>
      <c r="J41" s="157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4" t="s">
        <v>197</v>
      </c>
      <c r="H42" s="155"/>
      <c r="I42" s="157">
        <f>S38</f>
        <v>71357.56</v>
      </c>
      <c r="J42" s="157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4" t="s">
        <v>198</v>
      </c>
      <c r="H43" s="155"/>
      <c r="I43" s="157">
        <f>U38</f>
        <v>12844.37</v>
      </c>
      <c r="J43" s="157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4" t="s">
        <v>199</v>
      </c>
      <c r="H44" s="155"/>
      <c r="I44" s="156">
        <f>I42+I43</f>
        <v>84201.93</v>
      </c>
      <c r="J44" s="15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58" t="s">
        <v>200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83" t="s">
        <v>201</v>
      </c>
      <c r="R4" s="83" t="s">
        <v>202</v>
      </c>
      <c r="S4" s="84"/>
      <c r="T4" s="83">
        <v>82.92</v>
      </c>
      <c r="U4" s="85"/>
      <c r="V4" s="86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2">
        <v>0.01</v>
      </c>
      <c r="I6" s="82">
        <v>0.02</v>
      </c>
      <c r="J6" s="88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2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2">
        <v>0.01</v>
      </c>
      <c r="I7" s="82">
        <v>0.02</v>
      </c>
      <c r="J7" s="88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2">
        <v>0.18</v>
      </c>
      <c r="T7" s="25">
        <f>ROUND((R7*18%),2)</f>
        <v>747.61</v>
      </c>
      <c r="U7" s="25">
        <f>R7+T7</f>
        <v>4901.01</v>
      </c>
      <c r="V7" s="25">
        <f t="shared" ref="V7:V20" si="0">U7*$T$4</f>
        <v>406391.74920000002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2">
        <v>0.01</v>
      </c>
      <c r="I8" s="82">
        <v>0.02</v>
      </c>
      <c r="J8" s="88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2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10394.851199999999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2">
        <v>0.01</v>
      </c>
      <c r="I9" s="82">
        <v>0.02</v>
      </c>
      <c r="J9" s="88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2">
        <v>0.18</v>
      </c>
      <c r="T9" s="25">
        <f t="shared" ref="T9:T20" si="11">ROUND((R9*18%),2)</f>
        <v>423.76</v>
      </c>
      <c r="U9" s="25">
        <f t="shared" ref="U9:U20" si="12">R9+T9</f>
        <v>2777.98</v>
      </c>
      <c r="V9" s="25">
        <f t="shared" si="0"/>
        <v>230350.10159999999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2">
        <v>0.01</v>
      </c>
      <c r="I10" s="82">
        <v>0.02</v>
      </c>
      <c r="J10" s="88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2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252679.62839999999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2">
        <v>0.01</v>
      </c>
      <c r="I11" s="82">
        <v>0.02</v>
      </c>
      <c r="J11" s="88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2">
        <v>0.18</v>
      </c>
      <c r="T11" s="25">
        <f t="shared" si="11"/>
        <v>1599.47</v>
      </c>
      <c r="U11" s="25">
        <f t="shared" si="12"/>
        <v>10485.43</v>
      </c>
      <c r="V11" s="25">
        <f t="shared" si="0"/>
        <v>869451.85560000001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2">
        <v>0.01</v>
      </c>
      <c r="I12" s="82">
        <v>0.02</v>
      </c>
      <c r="J12" s="88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2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2">
        <v>0.01</v>
      </c>
      <c r="I13" s="82">
        <v>0.02</v>
      </c>
      <c r="J13" s="88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2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2">
        <v>0.01</v>
      </c>
      <c r="I14" s="82">
        <v>0.02</v>
      </c>
      <c r="J14" s="88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2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173289.53279999999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2507.6799999999998</v>
      </c>
      <c r="H15" s="82">
        <v>0.01</v>
      </c>
      <c r="I15" s="82">
        <v>0.02</v>
      </c>
      <c r="J15" s="88">
        <v>2.5000000000000001E-2</v>
      </c>
      <c r="K15" s="25">
        <f t="shared" si="3"/>
        <v>2507.6799999999998</v>
      </c>
      <c r="L15" s="25">
        <f t="shared" si="4"/>
        <v>25.08</v>
      </c>
      <c r="M15" s="25">
        <f t="shared" si="5"/>
        <v>2482.6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2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2">
        <v>0.01</v>
      </c>
      <c r="I16" s="82">
        <v>0.02</v>
      </c>
      <c r="J16" s="88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2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7424.6567999999997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2">
        <v>0.01</v>
      </c>
      <c r="I17" s="82">
        <v>0.02</v>
      </c>
      <c r="J17" s="88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2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354652.98599999998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2">
        <v>0.01</v>
      </c>
      <c r="I18" s="82">
        <v>0.02</v>
      </c>
      <c r="J18" s="88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2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2">
        <v>0.01</v>
      </c>
      <c r="I19" s="82">
        <v>0.02</v>
      </c>
      <c r="J19" s="88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2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2">
        <v>0.01</v>
      </c>
      <c r="I20" s="82">
        <v>0.02</v>
      </c>
      <c r="J20" s="88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2">
        <v>0.18</v>
      </c>
      <c r="T20" s="25">
        <f t="shared" si="11"/>
        <v>947.69</v>
      </c>
      <c r="U20" s="25">
        <f t="shared" si="12"/>
        <v>6212.63</v>
      </c>
      <c r="V20" s="25">
        <f t="shared" si="0"/>
        <v>515151.27960000001</v>
      </c>
      <c r="W20" s="25">
        <f t="shared" si="1"/>
        <v>5429.6016</v>
      </c>
    </row>
    <row r="21" spans="1:23">
      <c r="A21" s="16"/>
      <c r="B21" s="159" t="s">
        <v>87</v>
      </c>
      <c r="C21" s="159"/>
      <c r="D21" s="159"/>
      <c r="E21" s="159"/>
      <c r="F21" s="159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5" t="s">
        <v>206</v>
      </c>
      <c r="G23" s="165"/>
      <c r="H23" s="165"/>
      <c r="I23" s="165"/>
      <c r="J23" s="16"/>
      <c r="K23" s="165" t="s">
        <v>207</v>
      </c>
      <c r="L23" s="165"/>
      <c r="M23" s="165"/>
      <c r="N23" s="165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4" t="s">
        <v>194</v>
      </c>
      <c r="G24" s="155"/>
      <c r="H24" s="163">
        <f>G21</f>
        <v>71856.759999999995</v>
      </c>
      <c r="I24" s="163"/>
      <c r="J24" s="65"/>
      <c r="K24" s="154" t="s">
        <v>194</v>
      </c>
      <c r="L24" s="155"/>
      <c r="M24" s="163">
        <f>H24*$T$4</f>
        <v>5958362.5392000005</v>
      </c>
      <c r="N24" s="163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4" t="s">
        <v>196</v>
      </c>
      <c r="G25" s="155"/>
      <c r="H25" s="163">
        <f>Q21</f>
        <v>3884.27</v>
      </c>
      <c r="I25" s="163"/>
      <c r="J25" s="16"/>
      <c r="K25" s="154" t="s">
        <v>196</v>
      </c>
      <c r="L25" s="155"/>
      <c r="M25" s="163">
        <f t="shared" ref="M25:M28" si="14">H25*$T$4</f>
        <v>322083.66840000002</v>
      </c>
      <c r="N25" s="163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4" t="s">
        <v>197</v>
      </c>
      <c r="G26" s="155"/>
      <c r="H26" s="163">
        <f>R21</f>
        <v>67972.490000000005</v>
      </c>
      <c r="I26" s="163"/>
      <c r="J26" s="16"/>
      <c r="K26" s="154" t="s">
        <v>197</v>
      </c>
      <c r="L26" s="155"/>
      <c r="M26" s="163">
        <f t="shared" si="14"/>
        <v>5636278.8707999997</v>
      </c>
      <c r="N26" s="163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4" t="s">
        <v>198</v>
      </c>
      <c r="G27" s="155"/>
      <c r="H27" s="163">
        <f>T21</f>
        <v>12235.06</v>
      </c>
      <c r="I27" s="163"/>
      <c r="J27" s="16"/>
      <c r="K27" s="154" t="s">
        <v>198</v>
      </c>
      <c r="L27" s="155"/>
      <c r="M27" s="163">
        <f t="shared" si="14"/>
        <v>1014531.1752000001</v>
      </c>
      <c r="N27" s="163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4" t="s">
        <v>199</v>
      </c>
      <c r="G28" s="155"/>
      <c r="H28" s="164">
        <f>H26+H27</f>
        <v>80207.55</v>
      </c>
      <c r="I28" s="164"/>
      <c r="J28" s="16"/>
      <c r="K28" s="154" t="s">
        <v>199</v>
      </c>
      <c r="L28" s="155"/>
      <c r="M28" s="164">
        <f t="shared" si="14"/>
        <v>6650810.0460000001</v>
      </c>
      <c r="N28" s="164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58" t="s">
        <v>208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83" t="s">
        <v>201</v>
      </c>
      <c r="R1" s="83" t="s">
        <v>202</v>
      </c>
      <c r="S1" s="84"/>
      <c r="T1" s="83">
        <v>82.92</v>
      </c>
      <c r="U1" s="85"/>
      <c r="V1" s="86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7" t="s">
        <v>209</v>
      </c>
      <c r="V2" s="87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2">
        <v>0.01</v>
      </c>
      <c r="I3" s="82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2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2">
        <v>0.01</v>
      </c>
      <c r="I4" s="82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2">
        <v>0.18</v>
      </c>
      <c r="T4" s="25">
        <f>ROUND((R4*18%),2)</f>
        <v>747.61</v>
      </c>
      <c r="U4" s="25">
        <f>R4+T4</f>
        <v>4901.01</v>
      </c>
      <c r="V4" s="25">
        <f t="shared" ref="V4:V17" si="1">U4*$T$1</f>
        <v>406391.74920000002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2">
        <v>0.01</v>
      </c>
      <c r="I5" s="82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2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2">
        <v>0.01</v>
      </c>
      <c r="I6" s="82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2">
        <v>0.18</v>
      </c>
      <c r="T6" s="25">
        <f t="shared" ref="T6:T17" si="11">ROUND((R6*18%),2)</f>
        <v>423.76</v>
      </c>
      <c r="U6" s="25">
        <f t="shared" ref="U6:U17" si="12">R6+T6</f>
        <v>2777.98</v>
      </c>
      <c r="V6" s="25">
        <f t="shared" si="1"/>
        <v>230350.10159999999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2">
        <v>0.01</v>
      </c>
      <c r="I7" s="82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2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252679.62839999999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2">
        <v>0.01</v>
      </c>
      <c r="I8" s="82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2">
        <v>0.18</v>
      </c>
      <c r="T8" s="25">
        <f t="shared" si="11"/>
        <v>1599.47</v>
      </c>
      <c r="U8" s="25">
        <f t="shared" si="12"/>
        <v>10485.43</v>
      </c>
      <c r="V8" s="25">
        <f t="shared" si="1"/>
        <v>869451.85560000001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2">
        <v>0.01</v>
      </c>
      <c r="I9" s="82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2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2">
        <v>0.01</v>
      </c>
      <c r="I10" s="82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2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2">
        <v>0.01</v>
      </c>
      <c r="I11" s="82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2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173289.53279999999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2507.6799999999998</v>
      </c>
      <c r="H12" s="82">
        <v>0.01</v>
      </c>
      <c r="I12" s="82">
        <v>0.02</v>
      </c>
      <c r="J12" s="43">
        <v>2.5000000000000001E-2</v>
      </c>
      <c r="K12" s="25">
        <f t="shared" si="3"/>
        <v>2507.6799999999998</v>
      </c>
      <c r="L12" s="25">
        <f t="shared" si="4"/>
        <v>25.08</v>
      </c>
      <c r="M12" s="25">
        <f t="shared" si="5"/>
        <v>2482.6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2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2">
        <v>0.01</v>
      </c>
      <c r="I13" s="82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2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</v>
      </c>
      <c r="H14" s="82">
        <v>0.01</v>
      </c>
      <c r="I14" s="82">
        <v>0.02</v>
      </c>
      <c r="J14" s="43">
        <v>2.5000000000000001E-2</v>
      </c>
      <c r="K14" s="25">
        <f t="shared" si="3"/>
        <v>1372.8</v>
      </c>
      <c r="L14" s="25">
        <f t="shared" si="4"/>
        <v>13.73</v>
      </c>
      <c r="M14" s="25">
        <f t="shared" si="5"/>
        <v>1359.07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2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127061.63280000001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2">
        <v>0.01</v>
      </c>
      <c r="I15" s="82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2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2">
        <v>0.01</v>
      </c>
      <c r="I16" s="82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2">
        <v>0.18</v>
      </c>
      <c r="T16" s="25">
        <f t="shared" si="11"/>
        <v>2132.29</v>
      </c>
      <c r="U16" s="25">
        <f t="shared" si="12"/>
        <v>13978.35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2">
        <v>0.01</v>
      </c>
      <c r="I17" s="82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2">
        <v>0.18</v>
      </c>
      <c r="T17" s="25">
        <f t="shared" si="11"/>
        <v>947.69</v>
      </c>
      <c r="U17" s="25">
        <f t="shared" si="12"/>
        <v>6212.63</v>
      </c>
      <c r="V17" s="25">
        <f t="shared" si="1"/>
        <v>515151.27960000001</v>
      </c>
      <c r="W17" s="25">
        <f>ROUND(F17*$S$23*$T$1,2)</f>
        <v>5.43</v>
      </c>
    </row>
    <row r="18" spans="1:23">
      <c r="A18" s="16"/>
      <c r="B18" s="159" t="s">
        <v>87</v>
      </c>
      <c r="C18" s="159"/>
      <c r="D18" s="159"/>
      <c r="E18" s="159"/>
      <c r="F18" s="159"/>
      <c r="G18" s="30">
        <f>SUM(G3:G17)</f>
        <v>71570.81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67701.990000000005</v>
      </c>
      <c r="S18" s="30"/>
      <c r="T18" s="30">
        <f>SUM(T3:T17)</f>
        <v>12186.37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5" t="s">
        <v>206</v>
      </c>
      <c r="G20" s="165"/>
      <c r="H20" s="165"/>
      <c r="I20" s="165"/>
      <c r="J20" s="16"/>
      <c r="K20" s="165" t="s">
        <v>207</v>
      </c>
      <c r="L20" s="165"/>
      <c r="M20" s="165"/>
      <c r="N20" s="165"/>
      <c r="O20" s="16"/>
      <c r="P20" s="16"/>
      <c r="Q20" s="160" t="s">
        <v>195</v>
      </c>
      <c r="R20" s="161"/>
      <c r="S20" s="161"/>
      <c r="T20" s="162"/>
      <c r="U20" s="16"/>
      <c r="V20" s="16"/>
      <c r="W20" s="16"/>
    </row>
    <row r="21" spans="1:23">
      <c r="A21" s="16"/>
      <c r="B21" s="16"/>
      <c r="C21" s="16"/>
      <c r="D21" s="16"/>
      <c r="E21" s="16"/>
      <c r="F21" s="154" t="s">
        <v>194</v>
      </c>
      <c r="G21" s="155"/>
      <c r="H21" s="163">
        <f>G18</f>
        <v>71570.81</v>
      </c>
      <c r="I21" s="163"/>
      <c r="J21" s="65"/>
      <c r="K21" s="154" t="s">
        <v>194</v>
      </c>
      <c r="L21" s="155"/>
      <c r="M21" s="163">
        <f>H21*$T$1</f>
        <v>5934651.5652000001</v>
      </c>
      <c r="N21" s="163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4" t="s">
        <v>196</v>
      </c>
      <c r="G22" s="155"/>
      <c r="H22" s="163">
        <f>Q18</f>
        <v>3868.82</v>
      </c>
      <c r="I22" s="163"/>
      <c r="J22" s="16"/>
      <c r="K22" s="154" t="s">
        <v>196</v>
      </c>
      <c r="L22" s="155"/>
      <c r="M22" s="163">
        <f t="shared" ref="M22:M25" si="14">H22*$T$1</f>
        <v>320802.55440000002</v>
      </c>
      <c r="N22" s="163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4" t="s">
        <v>197</v>
      </c>
      <c r="G23" s="155"/>
      <c r="H23" s="163">
        <f>R18</f>
        <v>67701.990000000005</v>
      </c>
      <c r="I23" s="163"/>
      <c r="J23" s="16"/>
      <c r="K23" s="154" t="s">
        <v>197</v>
      </c>
      <c r="L23" s="155"/>
      <c r="M23" s="163">
        <f t="shared" si="14"/>
        <v>5613849.0108000003</v>
      </c>
      <c r="N23" s="163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4" t="s">
        <v>198</v>
      </c>
      <c r="G24" s="155"/>
      <c r="H24" s="163">
        <f>T18</f>
        <v>12186.37</v>
      </c>
      <c r="I24" s="163"/>
      <c r="J24" s="16"/>
      <c r="K24" s="154" t="s">
        <v>198</v>
      </c>
      <c r="L24" s="155"/>
      <c r="M24" s="163">
        <f t="shared" si="14"/>
        <v>1010493.8003999999</v>
      </c>
      <c r="N24" s="163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4" t="s">
        <v>199</v>
      </c>
      <c r="G25" s="155"/>
      <c r="H25" s="164">
        <f>H23+H24</f>
        <v>79888.36</v>
      </c>
      <c r="I25" s="164"/>
      <c r="J25" s="16"/>
      <c r="K25" s="154" t="s">
        <v>199</v>
      </c>
      <c r="L25" s="155"/>
      <c r="M25" s="164">
        <f t="shared" si="14"/>
        <v>6624342.8112000003</v>
      </c>
      <c r="N25" s="164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6"/>
      <c r="AS1" s="16"/>
    </row>
    <row r="2" spans="1:45" ht="18.75" thickBot="1">
      <c r="A2" s="100" t="s">
        <v>47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3577.4380000000001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216</v>
      </c>
      <c r="AT24" s="48" t="s">
        <v>58</v>
      </c>
      <c r="AU24" t="s">
        <v>223</v>
      </c>
      <c r="AV24" t="s">
        <v>238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363</v>
      </c>
      <c r="BN24" t="s">
        <v>299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6"/>
      <c r="AS1" s="16"/>
    </row>
    <row r="2" spans="1:45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770.57</v>
      </c>
      <c r="T23" s="26" t="s">
        <v>146</v>
      </c>
      <c r="U23" s="26">
        <v>0.18</v>
      </c>
      <c r="V23" s="26">
        <f>IF(OR($C$21=1,$C$21=4),ROUND(((S23*U23)/2),2),0)</f>
        <v>69.349999999999994</v>
      </c>
      <c r="W23" s="26">
        <f>IF($C$21=1,ROUND(((S23*U23)/2),2),0)</f>
        <v>69.349999999999994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138.69999999999999</v>
      </c>
      <c r="AC23" s="26">
        <f>IF($V21=1,S23+AB23,S23)</f>
        <v>909.27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38528.5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19264.25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19264.25</v>
      </c>
      <c r="AS23" s="48" t="s">
        <v>484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19264.25</v>
      </c>
      <c r="AY23" s="48">
        <f>AU23+AW23</f>
        <v>4</v>
      </c>
      <c r="AZ23" s="48">
        <f>ROUND(((AU23*AV23)+(AW23*AX23))/(AU23+AW23),5)</f>
        <v>9749.2900000000009</v>
      </c>
      <c r="BA23" s="50"/>
      <c r="BB23" s="50" t="s">
        <v>149</v>
      </c>
      <c r="BC23" s="147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363</v>
      </c>
      <c r="BN23" t="s">
        <v>299</v>
      </c>
      <c r="BO23" s="48">
        <f>ROUND((((AW23*AZ23)+(BN23*BM23))/(AW23+BN23)),5)</f>
        <v>5163.2646699999996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770.57</v>
      </c>
      <c r="T24" s="30"/>
      <c r="U24" s="30"/>
      <c r="V24" s="40">
        <f t="shared" ref="V24:AE24" si="5">SUM(V23:V23)</f>
        <v>69.349999999999994</v>
      </c>
      <c r="W24" s="40">
        <f t="shared" si="5"/>
        <v>69.349999999999994</v>
      </c>
      <c r="X24" s="40">
        <f t="shared" si="5"/>
        <v>0</v>
      </c>
      <c r="Y24" s="40"/>
      <c r="Z24" s="40"/>
      <c r="AA24" s="40"/>
      <c r="AB24" s="30">
        <f t="shared" si="5"/>
        <v>138.69999999999999</v>
      </c>
      <c r="AC24" s="44">
        <f t="shared" si="5"/>
        <v>909.27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38528.5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6"/>
      <c r="AS1" s="16"/>
    </row>
    <row r="2" spans="1:45" ht="18.75" thickBot="1">
      <c r="A2" s="148" t="s">
        <v>47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520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234.6</v>
      </c>
      <c r="BP23" s="53">
        <f>BN23+AW23</f>
        <v>4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500.5</v>
      </c>
      <c r="I23" t="s">
        <v>223</v>
      </c>
      <c r="J23" s="26">
        <v>2</v>
      </c>
      <c r="K23" s="26">
        <v>2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9.81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471.07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216</v>
      </c>
      <c r="AT23" s="48" t="s">
        <v>58</v>
      </c>
      <c r="AU23" t="s">
        <v>473</v>
      </c>
      <c r="AV23" t="s">
        <v>474</v>
      </c>
      <c r="AW23" s="48">
        <f>AM23</f>
        <v>2</v>
      </c>
      <c r="AX23" s="48">
        <f>AR23</f>
        <v>235.535</v>
      </c>
      <c r="AY23" s="48">
        <f>AU23+AW23</f>
        <v>14092</v>
      </c>
      <c r="AZ23" s="48">
        <f>ROUND(((AU23*AV23)+(AW23*AX23))/(AU23+AW23),5)</f>
        <v>121.19750999999999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476</v>
      </c>
      <c r="BN23" t="s">
        <v>475</v>
      </c>
      <c r="BO23" s="48">
        <f>ROUND((((AW23*AZ23)+(BN23*BM23))/(AW23+BN23)),5)</f>
        <v>146.93409</v>
      </c>
      <c r="BP23" s="53">
        <f>BN23+AW23</f>
        <v>689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471.07</v>
      </c>
      <c r="T24" s="30"/>
      <c r="U24" s="30"/>
      <c r="V24" s="40">
        <f t="shared" ref="V24:AE24" si="5">SUM(V23:V23)</f>
        <v>42.4</v>
      </c>
      <c r="W24" s="40">
        <f t="shared" si="5"/>
        <v>42.4</v>
      </c>
      <c r="X24" s="40">
        <f t="shared" si="5"/>
        <v>0</v>
      </c>
      <c r="Y24" s="40"/>
      <c r="Z24" s="40"/>
      <c r="AA24" s="40"/>
      <c r="AB24" s="30">
        <f t="shared" si="5"/>
        <v>84.8</v>
      </c>
      <c r="AC24" s="44">
        <f t="shared" si="5"/>
        <v>555.87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471.07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502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471.07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484</v>
      </c>
      <c r="AT23" s="48" t="s">
        <v>58</v>
      </c>
      <c r="AU23" t="s">
        <v>218</v>
      </c>
      <c r="AV23" t="s">
        <v>515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235.535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492</v>
      </c>
      <c r="BN23" t="s">
        <v>369</v>
      </c>
      <c r="BO23" s="48">
        <f>ROUND((((AW23*AZ23)+(BN23*BM23))/(AW23+BN23)),5)</f>
        <v>278.73038000000003</v>
      </c>
      <c r="BP23" s="53">
        <f>BN23+AW23</f>
        <v>24</v>
      </c>
      <c r="BQ23" s="54">
        <v>88363222</v>
      </c>
      <c r="BR23" s="53"/>
    </row>
    <row r="24" spans="1:70" ht="15.75" thickBot="1">
      <c r="A24" s="25">
        <v>2</v>
      </c>
      <c r="B24" s="25" t="s">
        <v>503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9.61</v>
      </c>
      <c r="R24" s="26">
        <f>M24+O24+Q24</f>
        <v>29.43</v>
      </c>
      <c r="S24" s="26">
        <f>(H24-R24)</f>
        <v>471.07</v>
      </c>
      <c r="T24" s="26" t="s">
        <v>146</v>
      </c>
      <c r="U24" s="26">
        <v>0.18</v>
      </c>
      <c r="V24" s="26">
        <f>IF(OR($C$21=1,$C$21=4),ROUND(((S24*U24)/2),2),0)</f>
        <v>42.4</v>
      </c>
      <c r="W24" s="26">
        <f>IF($C$21=1,ROUND(((S24*U24)/2),2),0)</f>
        <v>42.4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84.8</v>
      </c>
      <c r="AC24" s="26">
        <f>IF($V22=1,S24+AB24,S24)</f>
        <v>471.07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471.07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235.535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235.535</v>
      </c>
      <c r="AS24" s="48" t="s">
        <v>484</v>
      </c>
      <c r="AT24" s="48" t="s">
        <v>58</v>
      </c>
      <c r="AU24" t="s">
        <v>218</v>
      </c>
      <c r="AV24" t="s">
        <v>516</v>
      </c>
      <c r="AW24" s="48">
        <f>AM24</f>
        <v>2</v>
      </c>
      <c r="AX24" s="48">
        <f>AR24</f>
        <v>235.535</v>
      </c>
      <c r="AY24" s="48">
        <f>AU24+AW24</f>
        <v>2</v>
      </c>
      <c r="AZ24" s="48">
        <f>ROUND(((AU24*AV24)+(AW24*AX24))/(AU24+AW24),5)</f>
        <v>235.535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235.535</v>
      </c>
      <c r="BP24" s="53">
        <f>BN24+AW24</f>
        <v>37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29.43</v>
      </c>
      <c r="S25" s="39">
        <f>SUM(S23:S23)</f>
        <v>471.07</v>
      </c>
      <c r="T25" s="30"/>
      <c r="U25" s="30"/>
      <c r="V25" s="40">
        <f t="shared" ref="V25:AE25" si="5">SUM(V23:V23)</f>
        <v>42.4</v>
      </c>
      <c r="W25" s="40">
        <f t="shared" si="5"/>
        <v>42.4</v>
      </c>
      <c r="X25" s="40">
        <f t="shared" si="5"/>
        <v>0</v>
      </c>
      <c r="Y25" s="40"/>
      <c r="Z25" s="40"/>
      <c r="AA25" s="40"/>
      <c r="AB25" s="30">
        <f t="shared" si="5"/>
        <v>84.8</v>
      </c>
      <c r="AC25" s="44">
        <f t="shared" si="5"/>
        <v>555.87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471.07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390</v>
      </c>
      <c r="H23" s="26">
        <f>F23*G23</f>
        <v>500.5</v>
      </c>
      <c r="I23" t="s">
        <v>391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468.66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146" t="s">
        <v>484</v>
      </c>
      <c r="AT23" s="48" t="s">
        <v>58</v>
      </c>
      <c r="AU23" t="s">
        <v>218</v>
      </c>
      <c r="AV23" t="s">
        <v>389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389</v>
      </c>
      <c r="BN23" t="s">
        <v>394</v>
      </c>
      <c r="BO23" s="48">
        <f>ROUND((((AW23*AZ23)+(BN23*BM23))/(AW23+BN23)),5)</f>
        <v>234.33</v>
      </c>
      <c r="BP23" s="53">
        <f>BN23+AW23</f>
        <v>16</v>
      </c>
      <c r="BQ23" s="54">
        <v>88363222</v>
      </c>
      <c r="BR23" s="53"/>
    </row>
    <row r="24" spans="1:70" ht="15.75" thickBot="1">
      <c r="A24" s="25">
        <v>2</v>
      </c>
      <c r="B24" s="25" t="s">
        <v>504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226</v>
      </c>
      <c r="H24" s="26">
        <f>F24*G24</f>
        <v>500.5</v>
      </c>
      <c r="I24" t="s">
        <v>392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468.66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146" t="s">
        <v>484</v>
      </c>
      <c r="AT24" s="48" t="s">
        <v>58</v>
      </c>
      <c r="AU24" t="s">
        <v>218</v>
      </c>
      <c r="AV24" t="s">
        <v>393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468</v>
      </c>
      <c r="BN24" t="s">
        <v>431</v>
      </c>
      <c r="BO24" s="48">
        <f>ROUND((((AW24*AZ24)+(BN24*BM24))/(AW24+BN24)),5)</f>
        <v>193.00550999999999</v>
      </c>
      <c r="BP24" s="53">
        <f>BN24+AW24</f>
        <v>29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5">SUM(V23:V23)</f>
        <v>42.18</v>
      </c>
      <c r="W25" s="40">
        <f t="shared" si="5"/>
        <v>42.18</v>
      </c>
      <c r="X25" s="40">
        <f t="shared" si="5"/>
        <v>0</v>
      </c>
      <c r="Y25" s="40"/>
      <c r="Z25" s="40"/>
      <c r="AA25" s="40"/>
      <c r="AB25" s="30">
        <f t="shared" si="5"/>
        <v>84.36</v>
      </c>
      <c r="AC25" s="44">
        <f t="shared" si="5"/>
        <v>553.02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468.66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500.5</v>
      </c>
      <c r="I23" t="s">
        <v>223</v>
      </c>
      <c r="J23" s="26">
        <v>1.79</v>
      </c>
      <c r="K23" s="26">
        <v>2.5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8.7799999999999994</v>
      </c>
      <c r="P23" s="26">
        <f>ROUND(N23-O23,2)</f>
        <v>481.71</v>
      </c>
      <c r="Q23" s="26">
        <f>ROUND(P23*K23%,2)</f>
        <v>12.04</v>
      </c>
      <c r="R23" s="26">
        <f>M23+O23+Q23</f>
        <v>30.83</v>
      </c>
      <c r="S23" s="26">
        <f>(H23-R23)</f>
        <v>469.67</v>
      </c>
      <c r="T23" s="26" t="s">
        <v>146</v>
      </c>
      <c r="U23" s="26">
        <v>0.18</v>
      </c>
      <c r="V23" s="26">
        <f>IF(OR($C$21=1,$C$21=4),ROUND(((S23*U23)/2),2),0)</f>
        <v>42.27</v>
      </c>
      <c r="W23" s="26">
        <f>IF($C$21=1,ROUND(((S23*U23)/2),2),0)</f>
        <v>42.27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84.54</v>
      </c>
      <c r="AC23" s="26">
        <f>IF($V21=1,S23+AB23,S23)</f>
        <v>554.21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469.67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234.83500000000001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234.83500000000001</v>
      </c>
      <c r="AS23" s="48" t="s">
        <v>484</v>
      </c>
      <c r="AT23" s="48" t="s">
        <v>58</v>
      </c>
      <c r="AU23" t="s">
        <v>223</v>
      </c>
      <c r="AV23" t="s">
        <v>485</v>
      </c>
      <c r="AW23" s="48">
        <f>AM23</f>
        <v>2</v>
      </c>
      <c r="AX23" s="48">
        <f>AR23</f>
        <v>234.83500000000001</v>
      </c>
      <c r="AY23" s="48">
        <f>AU23+AW23</f>
        <v>2</v>
      </c>
      <c r="AZ23" s="48">
        <f>ROUND(((AU23*AV23)+(AW23*AX23))/(AU23+AW23),5)</f>
        <v>234.83500000000001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485</v>
      </c>
      <c r="BN23" t="s">
        <v>223</v>
      </c>
      <c r="BO23" s="48">
        <f>ROUND((((AW23*AZ23)+(BN23*BM23))/(AW23+BN23)),5)</f>
        <v>234.7175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483</v>
      </c>
      <c r="H24" s="26">
        <f>F24*G24</f>
        <v>500.5</v>
      </c>
      <c r="I24" t="s">
        <v>223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468.66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484</v>
      </c>
      <c r="AT24" s="48" t="s">
        <v>58</v>
      </c>
      <c r="AU24" t="s">
        <v>357</v>
      </c>
      <c r="AV24" t="s">
        <v>486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8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486</v>
      </c>
      <c r="BN24" t="s">
        <v>223</v>
      </c>
      <c r="BO24" s="48">
        <f>ROUND((((AW24*AZ24)+(BN24*BM24))/(AW24+BN24)),5)</f>
        <v>224.7175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62.67</v>
      </c>
      <c r="S25" s="39">
        <f>SUM(S23:S24)</f>
        <v>938.33</v>
      </c>
      <c r="T25" s="30"/>
      <c r="U25" s="30"/>
      <c r="V25" s="40">
        <f>SUM(V23:V24)</f>
        <v>84.45</v>
      </c>
      <c r="W25" s="40">
        <f>SUM(W23:W24)</f>
        <v>84.45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168.9</v>
      </c>
      <c r="AC25" s="44">
        <f>SUM(AC23:AC24)</f>
        <v>1022.8700000000001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938.33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abSelected="1" topLeftCell="A16" workbookViewId="0">
      <selection activeCell="B24" sqref="B24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6"/>
      <c r="AS1" s="16"/>
    </row>
    <row r="2" spans="1:45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387</v>
      </c>
      <c r="H23" s="26">
        <f>F23*G23</f>
        <v>500</v>
      </c>
      <c r="I23" t="s">
        <v>302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218</v>
      </c>
      <c r="AV23" t="s">
        <v>386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386</v>
      </c>
      <c r="BN23" t="s">
        <v>299</v>
      </c>
      <c r="BO23" s="48">
        <f>ROUND((((AW23*AZ23)+(BN23*BM23))/(AW23+BN23)),5)</f>
        <v>234.6</v>
      </c>
      <c r="BP23" s="53">
        <f>BN23+AW23</f>
        <v>6</v>
      </c>
      <c r="BQ23" s="54">
        <v>88363222</v>
      </c>
      <c r="BR23" s="53"/>
    </row>
    <row r="24" spans="1:70" ht="15.75" thickBot="1">
      <c r="A24" s="25">
        <v>2</v>
      </c>
      <c r="B24" s="25" t="s">
        <v>512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388</v>
      </c>
      <c r="H24" s="26">
        <f>F24*G24</f>
        <v>468</v>
      </c>
      <c r="I24" t="s">
        <v>303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290</v>
      </c>
      <c r="AV24" t="s">
        <v>466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467</v>
      </c>
      <c r="BN24" t="s">
        <v>360</v>
      </c>
      <c r="BO24" s="48">
        <f>ROUND((((AW24*AZ24)+(BN24*BM24))/(AW24+BN24)),5)</f>
        <v>215.10499999999999</v>
      </c>
      <c r="BP24" s="53">
        <f>BN24+AW24</f>
        <v>6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6"/>
      <c r="AS1" s="16"/>
    </row>
    <row r="2" spans="1:45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500</v>
      </c>
      <c r="I23" t="s">
        <v>242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243</v>
      </c>
      <c r="AV23" t="s">
        <v>459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31</v>
      </c>
      <c r="BM23" t="s">
        <v>461</v>
      </c>
      <c r="BN23" t="s">
        <v>439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244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468</v>
      </c>
      <c r="I24" t="s">
        <v>242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0.05</v>
      </c>
      <c r="V24" s="26">
        <f>IF(OR($C$21=1,$C$21=4),ROUND(((S24*U24)/2),2),0)</f>
        <v>10.76</v>
      </c>
      <c r="W24" s="26">
        <f>IF($C$21=1,ROUND(((S24*U24)/2),2),0)</f>
        <v>10.76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21.52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216</v>
      </c>
      <c r="AT24" s="48" t="s">
        <v>58</v>
      </c>
      <c r="AU24" t="s">
        <v>246</v>
      </c>
      <c r="AV24" t="s">
        <v>460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31</v>
      </c>
      <c r="BM24" t="s">
        <v>463</v>
      </c>
      <c r="BN24" t="s">
        <v>462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52.989999999999995</v>
      </c>
      <c r="W25" s="40">
        <f>SUM(W23:W24)</f>
        <v>52.989999999999995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105.97999999999999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6">
      <c r="A23" s="25">
        <v>1</v>
      </c>
      <c r="B23" s="25" t="s">
        <v>221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222</v>
      </c>
      <c r="H23" s="26">
        <f>F23*G23</f>
        <v>1048</v>
      </c>
      <c r="I23" t="s">
        <v>223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216</v>
      </c>
      <c r="AQ23" s="48" t="s">
        <v>58</v>
      </c>
      <c r="AR23" t="s">
        <v>224</v>
      </c>
      <c r="AS23" t="s">
        <v>232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233</v>
      </c>
      <c r="BK23" t="s">
        <v>234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225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226</v>
      </c>
      <c r="H24" s="26">
        <f>F24*G24</f>
        <v>696</v>
      </c>
      <c r="I24" t="s">
        <v>227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216</v>
      </c>
      <c r="AQ24" s="48" t="s">
        <v>58</v>
      </c>
      <c r="AR24" t="s">
        <v>228</v>
      </c>
      <c r="AS24" t="s">
        <v>235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236</v>
      </c>
      <c r="BK24" t="s">
        <v>237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229</v>
      </c>
      <c r="AT27" t="s">
        <v>230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231</v>
      </c>
    </row>
    <row r="32" spans="1:66">
      <c r="AV32">
        <v>513.38841000000002</v>
      </c>
    </row>
    <row r="33" spans="48:48">
      <c r="AV33">
        <f>AV31-AV32</f>
        <v>3.2499999999799898E-3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6"/>
      <c r="AS1" s="16"/>
    </row>
    <row r="2" spans="1:45" ht="18.75" thickBot="1">
      <c r="A2" s="103" t="s">
        <v>47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517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517</v>
      </c>
      <c r="BN23" t="s">
        <v>223</v>
      </c>
      <c r="BO23" s="48">
        <f>ROUND((((AW23*AZ23)+(BN23*BM23))/(AW23+BN23)),5)</f>
        <v>234.6</v>
      </c>
      <c r="BP23" s="53">
        <f>BN23+AW23</f>
        <v>6</v>
      </c>
      <c r="BQ23" s="54">
        <v>88363222</v>
      </c>
      <c r="BR23" s="53"/>
    </row>
    <row r="24" spans="1:70" ht="15.75" thickBot="1">
      <c r="A24" s="25">
        <v>2</v>
      </c>
      <c r="B24" s="25" t="s">
        <v>488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217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223</v>
      </c>
      <c r="AV24" t="s">
        <v>519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518</v>
      </c>
      <c r="BN24" t="s">
        <v>223</v>
      </c>
      <c r="BO24" s="48">
        <f>ROUND((((AW24*AZ24)+(BN24*BM24))/(AW24+BN24)),5)</f>
        <v>215.10499999999999</v>
      </c>
      <c r="BP24" s="53">
        <f>BN24+AW24</f>
        <v>6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27.75" customHeight="1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216</v>
      </c>
      <c r="AT23" s="48" t="s">
        <v>58</v>
      </c>
      <c r="AU23" t="s">
        <v>223</v>
      </c>
      <c r="AV23" t="s">
        <v>407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409</v>
      </c>
      <c r="BN23" t="s">
        <v>408</v>
      </c>
      <c r="BO23" s="48">
        <f>ROUND((((AW23*AZ23)+(BN23*BM23))/(AW23+BN23)),5)</f>
        <v>3121.1477500000001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500</v>
      </c>
      <c r="I23" t="s">
        <v>248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84.46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249</v>
      </c>
      <c r="AT23" s="48" t="s">
        <v>58</v>
      </c>
      <c r="AU23" t="s">
        <v>373</v>
      </c>
      <c r="AV23" t="s">
        <v>444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447</v>
      </c>
      <c r="BN23" t="s">
        <v>446</v>
      </c>
      <c r="BO23" s="48">
        <f>ROUND((((AW23*AZ23)+(BN23*BM23))/(AW23+BN23)),5)</f>
        <v>1200.30663</v>
      </c>
      <c r="BP23" s="53">
        <f>BN23+AW23</f>
        <v>26</v>
      </c>
      <c r="BQ23" s="54">
        <v>123562</v>
      </c>
      <c r="BR23" s="53"/>
    </row>
    <row r="24" spans="1:70" ht="15.75" thickBot="1">
      <c r="A24" s="25">
        <v>2</v>
      </c>
      <c r="B24" s="25" t="s">
        <v>251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372</v>
      </c>
      <c r="H24" s="26">
        <f>F24*G24</f>
        <v>468</v>
      </c>
      <c r="I24" t="s">
        <v>223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77.44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249</v>
      </c>
      <c r="AT24" s="48" t="s">
        <v>58</v>
      </c>
      <c r="AU24" t="s">
        <v>374</v>
      </c>
      <c r="AV24" t="s">
        <v>445</v>
      </c>
      <c r="AW24" s="48">
        <f>AM24</f>
        <v>2</v>
      </c>
      <c r="AX24" s="48">
        <f>AR24</f>
        <v>215.10499999999999</v>
      </c>
      <c r="AY24" s="48">
        <f>AU24+AW24</f>
        <v>32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448</v>
      </c>
      <c r="BN24" t="s">
        <v>376</v>
      </c>
      <c r="BO24" s="48">
        <f>ROUND((((AW24*AZ24)+(BN24*BM24))/(AW24+BN24)),5)</f>
        <v>1177.8868399999999</v>
      </c>
      <c r="BP24" s="53">
        <f>BN24+AW24</f>
        <v>338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161.89999999999998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375</v>
      </c>
      <c r="AV23" t="s">
        <v>449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115.60767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451</v>
      </c>
      <c r="BN23" t="s">
        <v>432</v>
      </c>
      <c r="BO23" s="48">
        <f>ROUND((((AW23*AZ23)+(BN23*BM23))/(AW23+BN23)),5)</f>
        <v>37.913170000000001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255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373</v>
      </c>
      <c r="AV24" t="s">
        <v>450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145.94893999999999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453</v>
      </c>
      <c r="BN24" t="s">
        <v>452</v>
      </c>
      <c r="BO24" s="48">
        <f>ROUND((((AW24*AZ24)+(BN24*BM24))/(AW24+BN24)),5)</f>
        <v>32.512779999999999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910</v>
      </c>
      <c r="I23" t="s">
        <v>223</v>
      </c>
      <c r="J23" s="26">
        <v>1.79</v>
      </c>
      <c r="K23" s="26">
        <v>2.5</v>
      </c>
      <c r="L23" s="26">
        <f>H23</f>
        <v>910</v>
      </c>
      <c r="M23" s="26">
        <f>ROUND(L23*I23%,2)</f>
        <v>29.12</v>
      </c>
      <c r="N23" s="26">
        <f>H23-M23</f>
        <v>880.88</v>
      </c>
      <c r="O23" s="26">
        <f>ROUND(N23*J23%,2)</f>
        <v>15.77</v>
      </c>
      <c r="P23" s="26">
        <f>ROUND(N23-O23,2)</f>
        <v>865.11</v>
      </c>
      <c r="Q23" s="26">
        <f>ROUND(P23*K23%,2)</f>
        <v>21.63</v>
      </c>
      <c r="R23" s="26">
        <f>M23+O23+Q23</f>
        <v>66.52</v>
      </c>
      <c r="S23" s="26">
        <f>(H23-R23)</f>
        <v>843.48</v>
      </c>
      <c r="T23" s="26" t="s">
        <v>146</v>
      </c>
      <c r="U23" s="26">
        <v>0.18</v>
      </c>
      <c r="V23" s="26">
        <f>IF(OR($C$21=1,$C$21=4),ROUND(((S23*U23)/2),2),0)</f>
        <v>75.91</v>
      </c>
      <c r="W23" s="26">
        <f>IF($C$21=1,ROUND(((S23*U23)/2),2),0)</f>
        <v>75.91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151.82</v>
      </c>
      <c r="AC23" s="26">
        <f>IF($V21=1,S23+AB23,S23)</f>
        <v>995.3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843.48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421.74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421.74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421.74</v>
      </c>
      <c r="AY23" s="48">
        <f>AU23+AW23</f>
        <v>4</v>
      </c>
      <c r="AZ23" s="48">
        <f>ROUND(((AU23*AV23)+(AW23*AX23))/(AU23+AW23),5)</f>
        <v>376.36313000000001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277.43975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66.52</v>
      </c>
      <c r="S24" s="39">
        <f>SUM(S23:S23)</f>
        <v>843.48</v>
      </c>
      <c r="T24" s="30"/>
      <c r="U24" s="30"/>
      <c r="V24" s="40">
        <f>SUM(V23:V23)</f>
        <v>75.91</v>
      </c>
      <c r="W24" s="40">
        <f>SUM(W23:W23)</f>
        <v>75.91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151.82</v>
      </c>
      <c r="AC24" s="44">
        <f>SUM(AC23:AC23)</f>
        <v>995.3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843.48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6"/>
      <c r="AS1" s="16"/>
    </row>
    <row r="2" spans="1:45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512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2460</v>
      </c>
      <c r="I23" t="s">
        <v>223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1166.0050000000001</v>
      </c>
      <c r="AY23" s="48">
        <f>AU23+AW23</f>
        <v>35</v>
      </c>
      <c r="AZ23" s="48">
        <f>ROUND(((AU23*AV23)+(AW23*AX23))/(AU23+AW23),5)</f>
        <v>243.71806000000001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291</v>
      </c>
      <c r="BO23" s="48">
        <f>ROUND((((AW23*AZ23)+(BN23*BM23))/(AW23+BN23)),5)</f>
        <v>203.74879999999999</v>
      </c>
      <c r="BP23" s="53">
        <f>BN23+AW23</f>
        <v>8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209.88</v>
      </c>
      <c r="W24" s="40">
        <f>SUM(W23:W23)</f>
        <v>209.88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188.24</v>
      </c>
      <c r="AY23" s="48">
        <f>AU23+AW23</f>
        <v>35</v>
      </c>
      <c r="AZ23" s="48">
        <f>ROUND(((AU23*AV23)+(AW23*AX23))/(AU23+AW23),5)</f>
        <v>185.51166000000001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217</v>
      </c>
      <c r="BO23" s="48">
        <f>ROUND((((AW23*AZ23)+(BN23*BM23))/(AW23+BN23)),5)</f>
        <v>184.51833999999999</v>
      </c>
      <c r="BP23" s="53">
        <f>BN23+AW23</f>
        <v>10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366</v>
      </c>
      <c r="AV23" t="s">
        <v>478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479</v>
      </c>
      <c r="BN23" t="s">
        <v>408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500</v>
      </c>
      <c r="I23" t="s">
        <v>290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421</v>
      </c>
      <c r="AV23" t="s">
        <v>492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1182.9540099999999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1161.67688</v>
      </c>
      <c r="BP23" s="53">
        <f>BN23+AW23</f>
        <v>26</v>
      </c>
      <c r="BQ23" s="54">
        <v>88363222</v>
      </c>
      <c r="BR23" s="53"/>
    </row>
    <row r="24" spans="1:70" ht="15.75" thickBot="1">
      <c r="A24" s="25">
        <v>2</v>
      </c>
      <c r="B24" s="25" t="s">
        <v>491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416</v>
      </c>
      <c r="H24" s="26">
        <f>F24*G24</f>
        <v>506</v>
      </c>
      <c r="I24" t="s">
        <v>217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484</v>
      </c>
      <c r="AT24" s="48" t="s">
        <v>58</v>
      </c>
      <c r="AW24" s="48">
        <f>AM24</f>
        <v>2</v>
      </c>
      <c r="AX24" s="48">
        <f>AR24</f>
        <v>239.83500000000001</v>
      </c>
      <c r="AY24" s="48">
        <f>AU24+AW24</f>
        <v>32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247.58087</v>
      </c>
      <c r="BP24" s="53">
        <f>BN24+AW24</f>
        <v>338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57.129999999999995</v>
      </c>
      <c r="S25" s="39">
        <f>SUM(S23:S24)</f>
        <v>948.87</v>
      </c>
      <c r="T25" s="30"/>
      <c r="U25" s="30"/>
      <c r="V25" s="40">
        <f>SUM(V23:V24)</f>
        <v>85.4</v>
      </c>
      <c r="W25" s="40">
        <f>SUM(W23:W24)</f>
        <v>85.4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170.8</v>
      </c>
      <c r="AC25" s="44">
        <f>SUM(AC23:AC24)</f>
        <v>1033.33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948.87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1187.2660699999999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471</v>
      </c>
      <c r="BN23" t="s">
        <v>299</v>
      </c>
      <c r="BO23" s="48">
        <f>ROUND((((AW23*AZ23)+(BN23*BM23))/(AW23+BN23)),5)</f>
        <v>1161.71471</v>
      </c>
      <c r="BP23" s="53">
        <f>BN23+AW23</f>
        <v>228</v>
      </c>
      <c r="BQ23" s="54">
        <v>123562</v>
      </c>
      <c r="BR23" s="53"/>
    </row>
    <row r="24" spans="1:70" ht="15.75" thickBot="1">
      <c r="A24" s="25">
        <v>2</v>
      </c>
      <c r="B24" s="25" t="s">
        <v>318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472</v>
      </c>
      <c r="BN24" t="s">
        <v>360</v>
      </c>
      <c r="BO24" s="48">
        <f>ROUND((((AW24*AZ24)+(BN24*BM24))/(AW24+BN24)),5)</f>
        <v>247.58087</v>
      </c>
      <c r="BP24" s="53">
        <f>BN24+AW24</f>
        <v>349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bestFit="1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146" t="s">
        <v>484</v>
      </c>
      <c r="AT23" s="48" t="s">
        <v>58</v>
      </c>
      <c r="AU23" t="s">
        <v>218</v>
      </c>
      <c r="AV23" t="s">
        <v>423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423</v>
      </c>
      <c r="BN23" t="s">
        <v>421</v>
      </c>
      <c r="BO23" s="48">
        <f>ROUND((((AW23*AZ23)+(BN23*BM23))/(AW23+BN23)),5)</f>
        <v>567.67899999999997</v>
      </c>
      <c r="BP23" s="53">
        <f>BN23+AW23</f>
        <v>8</v>
      </c>
      <c r="BQ23" s="54">
        <v>88363222</v>
      </c>
      <c r="BR23" s="53"/>
    </row>
    <row r="24" spans="1:70" ht="15.7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146" t="s">
        <v>484</v>
      </c>
      <c r="AT24" s="48" t="s">
        <v>58</v>
      </c>
      <c r="AU24" t="s">
        <v>218</v>
      </c>
      <c r="AV24" t="s">
        <v>424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424</v>
      </c>
      <c r="BN24" t="s">
        <v>299</v>
      </c>
      <c r="BO24" s="48">
        <f>ROUND((((AW24*AZ24)+(BN24*BM24))/(AW24+BN24)),5)</f>
        <v>305.25749999999999</v>
      </c>
      <c r="BP24" s="53">
        <f>BN24+AW24</f>
        <v>10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253.05</v>
      </c>
      <c r="W25" s="40">
        <f>SUM(W23:W24)</f>
        <v>253.05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2460</v>
      </c>
      <c r="I23" t="s">
        <v>223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323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323</v>
      </c>
      <c r="BN23" t="s">
        <v>299</v>
      </c>
      <c r="BO23" s="48">
        <f>ROUND((((AW23*AZ23)+(BN23*BM23))/(AW23+BN23)),5)</f>
        <v>567.67899999999997</v>
      </c>
      <c r="BP23" s="53">
        <f>BN23+AW23</f>
        <v>10</v>
      </c>
      <c r="BQ23" s="54">
        <v>123562</v>
      </c>
      <c r="BR23" s="53"/>
    </row>
    <row r="24" spans="1:70" ht="15.75" thickBot="1">
      <c r="A24" s="25">
        <v>2</v>
      </c>
      <c r="B24" s="25" t="s">
        <v>324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325</v>
      </c>
      <c r="H24" s="26">
        <f>F24*G24</f>
        <v>506</v>
      </c>
      <c r="I24" t="s">
        <v>290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437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438</v>
      </c>
      <c r="BN24" t="s">
        <v>360</v>
      </c>
      <c r="BO24" s="48">
        <f>ROUND((((AW24*AZ24)+(BN24*BM24))/(AW24+BN24)),5)</f>
        <v>305.25749999999999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249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2460</v>
      </c>
      <c r="I23" t="s">
        <v>309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506</v>
      </c>
      <c r="I24" t="s">
        <v>314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223</v>
      </c>
      <c r="AV23" t="s">
        <v>454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1190.44831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456</v>
      </c>
      <c r="BN23" t="s">
        <v>455</v>
      </c>
      <c r="BO23" s="48">
        <f>ROUND((((AW23*AZ23)+(BN23*BM23))/(AW23+BN23)),5)</f>
        <v>1203.9971700000001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257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2486</v>
      </c>
      <c r="I24" t="s">
        <v>223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1216.8588099999999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458</v>
      </c>
      <c r="BN24" t="s">
        <v>457</v>
      </c>
      <c r="BO24" s="48">
        <f>ROUND((((AW24*AZ24)+(BN24*BM24))/(AW24+BN24)),5)</f>
        <v>1217.9569899999999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S22" sqref="AS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417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25">
        <v>2</v>
      </c>
      <c r="B24" s="25" t="s">
        <v>341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223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218</v>
      </c>
      <c r="BN24" t="s">
        <v>218</v>
      </c>
      <c r="BO24" s="48">
        <f>ROUND((((AW24*AZ24)+(BN24*BM24))/(AW24+BN24)),5)</f>
        <v>337.97127999999998</v>
      </c>
      <c r="BP24" s="53">
        <f>BN24+AW24</f>
        <v>772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6"/>
      <c r="AS1" s="16"/>
    </row>
    <row r="2" spans="1:45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911.34</v>
      </c>
      <c r="I23" t="s">
        <v>223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863.93000000000006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911.34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47.41</v>
      </c>
      <c r="S24" s="39">
        <f>SUM(S23:S23)</f>
        <v>863.93000000000006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155.51</v>
      </c>
      <c r="Y24" s="40">
        <f>SUM(Y23:Y23)</f>
        <v>0</v>
      </c>
      <c r="Z24" s="40"/>
      <c r="AA24" s="40">
        <f>SUM(AA23:AA23)</f>
        <v>0</v>
      </c>
      <c r="AB24" s="30">
        <f>SUM(AB23:AB23)</f>
        <v>155.51</v>
      </c>
      <c r="AC24" s="44">
        <f>SUM(AC23:AC23)</f>
        <v>1019.44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863.93000000000006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494</v>
      </c>
      <c r="C23" s="25" t="s">
        <v>162</v>
      </c>
      <c r="D23" s="25" t="s">
        <v>58</v>
      </c>
      <c r="E23" s="25" t="s">
        <v>163</v>
      </c>
      <c r="F23" s="26">
        <v>9</v>
      </c>
      <c r="G23" s="26">
        <v>257.63</v>
      </c>
      <c r="H23" s="26">
        <f>F23*G23</f>
        <v>2318.67</v>
      </c>
      <c r="I23" s="26">
        <v>1</v>
      </c>
      <c r="J23" s="26">
        <v>2</v>
      </c>
      <c r="K23" s="26">
        <v>2.5</v>
      </c>
      <c r="L23" s="26">
        <f>H23</f>
        <v>2318.67</v>
      </c>
      <c r="M23" s="26">
        <f>ROUND(L23*I23%,2)</f>
        <v>23.19</v>
      </c>
      <c r="N23" s="26">
        <f>H23-M23</f>
        <v>2295.48</v>
      </c>
      <c r="O23" s="26">
        <f>ROUND(N23*J23%,2)</f>
        <v>45.91</v>
      </c>
      <c r="P23" s="26">
        <f>ROUND(N23-O23,2)</f>
        <v>2249.5700000000002</v>
      </c>
      <c r="Q23" s="26">
        <f>ROUND(P23*K23%,2)</f>
        <v>56.24</v>
      </c>
      <c r="R23" s="26">
        <f>ROUND((M23+O23+Q23),2)</f>
        <v>125.34</v>
      </c>
      <c r="S23" s="26">
        <f>ROUND((H23-R23),2)</f>
        <v>2193.33</v>
      </c>
      <c r="T23" s="55" t="s">
        <v>146</v>
      </c>
      <c r="U23" s="43">
        <v>0.18</v>
      </c>
      <c r="V23" s="26">
        <f>IF(OR($C$21=1,$C$21=4),ROUND(((S23*U23)/2),2),0)</f>
        <v>197.4</v>
      </c>
      <c r="W23" s="26">
        <f>IF($C$21=1,ROUND(((S23*U23)/2),2),0)</f>
        <v>197.4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394.8</v>
      </c>
      <c r="AC23" s="25">
        <f>IF($V21=1,S23+AB23,S23)</f>
        <v>2588.13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2193.33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484</v>
      </c>
      <c r="AT23" s="48" t="s">
        <v>58</v>
      </c>
      <c r="AU23" t="s">
        <v>218</v>
      </c>
      <c r="AV23" t="s">
        <v>496</v>
      </c>
      <c r="AW23" s="48">
        <f>AM23</f>
        <v>3</v>
      </c>
      <c r="AX23" s="48">
        <f>AR23</f>
        <v>731.11</v>
      </c>
      <c r="AY23" s="48">
        <f>AU23+AW23</f>
        <v>3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496</v>
      </c>
      <c r="BN23" t="s">
        <v>290</v>
      </c>
      <c r="BO23" s="48">
        <f>ROUND((((AW23*AZ23)+(BN23*BM23))/(AW23+BN23)),5)</f>
        <v>731.11</v>
      </c>
      <c r="BP23" s="53">
        <f>BN23+AW23</f>
        <v>3</v>
      </c>
      <c r="BQ23" s="54">
        <v>88363222</v>
      </c>
    </row>
    <row r="24" spans="1:69" ht="15.75" thickBot="1">
      <c r="A24" s="25">
        <v>2</v>
      </c>
      <c r="B24" s="25" t="s">
        <v>495</v>
      </c>
      <c r="C24" s="25" t="s">
        <v>175</v>
      </c>
      <c r="D24" s="25" t="s">
        <v>58</v>
      </c>
      <c r="E24" s="25" t="s">
        <v>163</v>
      </c>
      <c r="F24" s="26">
        <v>9</v>
      </c>
      <c r="G24" s="26">
        <v>150.5</v>
      </c>
      <c r="H24" s="26">
        <f t="shared" ref="H24" si="3">F24*G24</f>
        <v>1354.5</v>
      </c>
      <c r="I24" s="26">
        <v>1</v>
      </c>
      <c r="J24" s="26">
        <v>2</v>
      </c>
      <c r="K24" s="26">
        <v>2.5</v>
      </c>
      <c r="L24" s="26">
        <f t="shared" ref="L24" si="4">H24</f>
        <v>1354.5</v>
      </c>
      <c r="M24" s="26">
        <f t="shared" ref="M24" si="5">ROUND(L24*I24%,2)</f>
        <v>13.55</v>
      </c>
      <c r="N24" s="26">
        <f t="shared" ref="N24" si="6">H24-M24</f>
        <v>1340.95</v>
      </c>
      <c r="O24" s="26">
        <f t="shared" ref="O24" si="7">ROUND(N24*J24%,2)</f>
        <v>26.82</v>
      </c>
      <c r="P24" s="26">
        <f t="shared" ref="P24" si="8">ROUND(N24-O24,2)</f>
        <v>1314.13</v>
      </c>
      <c r="Q24" s="26">
        <f t="shared" ref="Q24" si="9">ROUND(P24*K24%,2)</f>
        <v>32.85</v>
      </c>
      <c r="R24" s="26">
        <f t="shared" ref="R24" si="10">ROUND((M24+O24+Q24),2)</f>
        <v>73.22</v>
      </c>
      <c r="S24" s="26">
        <f t="shared" ref="S24" si="11">ROUND((H24-R24),2)</f>
        <v>1281.28</v>
      </c>
      <c r="T24" s="55" t="s">
        <v>261</v>
      </c>
      <c r="U24" s="43">
        <v>0.18</v>
      </c>
      <c r="V24" s="26">
        <f t="shared" ref="V24" si="12">IF(OR($C$21=1,$C$21=4),ROUND(((S24*U24)/2),2),0)</f>
        <v>115.32</v>
      </c>
      <c r="W24" s="26">
        <f t="shared" ref="W24" si="13">IF($C$21=1,ROUND(((S24*U24)/2),2),0)</f>
        <v>115.32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230.64</v>
      </c>
      <c r="AC24" s="25">
        <f t="shared" ref="AC24" si="18">IF($V22=1,S24+AB24,S24)</f>
        <v>1281.28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1281.28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3</v>
      </c>
      <c r="AN24" s="55">
        <f t="shared" ref="AN24" si="20">ROUND(AI24/AM24,5)</f>
        <v>427.09332999999998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427.09332999999998</v>
      </c>
      <c r="AS24" s="48" t="s">
        <v>484</v>
      </c>
      <c r="AT24" s="48" t="s">
        <v>58</v>
      </c>
      <c r="AU24" t="s">
        <v>218</v>
      </c>
      <c r="AV24" t="s">
        <v>497</v>
      </c>
      <c r="AW24" s="48">
        <f>AM24</f>
        <v>3</v>
      </c>
      <c r="AX24" s="48">
        <f>AR24</f>
        <v>427.09332999999998</v>
      </c>
      <c r="AY24" s="48">
        <f>AU24+AW24</f>
        <v>3</v>
      </c>
      <c r="AZ24" s="48">
        <f>ROUND(((AU24*AV24)+(AW24*AX24))/(AU24+AW24),5)</f>
        <v>427.09332999999998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497</v>
      </c>
      <c r="BN24" t="s">
        <v>290</v>
      </c>
      <c r="BO24" s="48">
        <f>ROUND((((AW24*AZ24)+(BN24*BM24))/(AW24+BN24)),5)</f>
        <v>427.09332999999998</v>
      </c>
      <c r="BP24" s="53">
        <f>BN24+AW24</f>
        <v>3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3673.17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198.56</v>
      </c>
      <c r="S25" s="30">
        <f>SUM(S23:S24)</f>
        <v>3474.6099999999997</v>
      </c>
      <c r="T25" s="30"/>
      <c r="U25" s="30"/>
      <c r="V25" s="39">
        <f t="shared" ref="V25:AE25" si="24">SUM(V23:V24)</f>
        <v>312.72000000000003</v>
      </c>
      <c r="W25" s="39">
        <f t="shared" si="24"/>
        <v>312.72000000000003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625.44000000000005</v>
      </c>
      <c r="AC25" s="44">
        <f t="shared" si="24"/>
        <v>3869.41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3474.6099999999997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3673.17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198.56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3474.6099999999997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625.44000000000005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4100.0499999999993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F23" sqref="F23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24</v>
      </c>
      <c r="G23" t="s">
        <v>522</v>
      </c>
      <c r="H23" s="26">
        <f>F23*G23</f>
        <v>480</v>
      </c>
      <c r="I23" t="s">
        <v>217</v>
      </c>
      <c r="J23" s="26">
        <v>2</v>
      </c>
      <c r="K23" s="26">
        <v>2</v>
      </c>
      <c r="L23" s="26">
        <f>H23</f>
        <v>480</v>
      </c>
      <c r="M23" s="26">
        <f>ROUND(L23*I23%,2)</f>
        <v>9.6</v>
      </c>
      <c r="N23" s="26">
        <f>H23-M23</f>
        <v>470.4</v>
      </c>
      <c r="O23" s="26">
        <f>ROUND(N23*J23%,2)</f>
        <v>9.41</v>
      </c>
      <c r="P23" s="26">
        <f>ROUND(N23-O23,2)</f>
        <v>460.99</v>
      </c>
      <c r="Q23" s="26">
        <f>ROUND(P23*K23%,2)</f>
        <v>9.2200000000000006</v>
      </c>
      <c r="R23" s="26">
        <f>ROUND((M23+O23+Q23),2)</f>
        <v>28.23</v>
      </c>
      <c r="S23" s="26">
        <f>ROUND((H23-R23),2)</f>
        <v>451.77</v>
      </c>
      <c r="T23" s="55" t="s">
        <v>146</v>
      </c>
      <c r="U23" s="43">
        <v>0.18</v>
      </c>
      <c r="V23" s="26">
        <f>IF(OR($C$21=1,$C$21=4),ROUND(((S23*U23)/2),2),0)</f>
        <v>40.659999999999997</v>
      </c>
      <c r="W23" s="26">
        <f>IF($C$21=1,ROUND(((S23*U23)/2),2),0)</f>
        <v>40.659999999999997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81.319999999999993</v>
      </c>
      <c r="AC23" s="25">
        <f>IF($V21=1,S23+AB23,S23)</f>
        <v>533.08999999999992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451.77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</v>
      </c>
      <c r="AN23" s="55">
        <f>ROUND(AI23/AM23,5)</f>
        <v>56.471249999999998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56.471249999999998</v>
      </c>
      <c r="AS23" s="48" t="s">
        <v>484</v>
      </c>
      <c r="AT23" s="48" t="s">
        <v>58</v>
      </c>
      <c r="AU23" t="s">
        <v>218</v>
      </c>
      <c r="AV23" t="s">
        <v>523</v>
      </c>
      <c r="AW23" s="48">
        <f>AM23</f>
        <v>8</v>
      </c>
      <c r="AX23" s="48">
        <f>AR23</f>
        <v>56.471249999999998</v>
      </c>
      <c r="AY23" s="48">
        <f>AU23+AW23</f>
        <v>8</v>
      </c>
      <c r="AZ23" s="48">
        <f>ROUND(((AU23*AV23)+(AW23*AX23))/(AU23+AW23),5)</f>
        <v>56.471249999999998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56.829790000000003</v>
      </c>
      <c r="BP23" s="53">
        <f>ROUND(BN23+AW23,3)</f>
        <v>179.667</v>
      </c>
      <c r="BQ23" s="54">
        <v>88363221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480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28.23</v>
      </c>
      <c r="S24" s="30">
        <f>SUM(S23:S23)</f>
        <v>451.77</v>
      </c>
      <c r="T24" s="30"/>
      <c r="U24" s="30"/>
      <c r="V24" s="39">
        <f t="shared" ref="V24:AE24" si="3">SUM(V23:V23)</f>
        <v>40.659999999999997</v>
      </c>
      <c r="W24" s="39">
        <f t="shared" si="3"/>
        <v>40.659999999999997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81.319999999999993</v>
      </c>
      <c r="AC24" s="44">
        <f t="shared" si="3"/>
        <v>533.08999999999992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451.77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480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28.23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451.77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81.319999999999993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533.08999999999992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B10" workbookViewId="0">
      <selection activeCell="F23" sqref="F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4" t="s">
        <v>47</v>
      </c>
      <c r="B2" s="144"/>
      <c r="C2" s="144"/>
      <c r="D2" s="144"/>
      <c r="E2" s="144"/>
      <c r="F2" s="144"/>
      <c r="G2" s="144"/>
      <c r="H2" s="14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394</v>
      </c>
      <c r="H23" s="26">
        <f>F23*G23</f>
        <v>300</v>
      </c>
      <c r="I23" t="s">
        <v>242</v>
      </c>
      <c r="J23" s="26">
        <v>2</v>
      </c>
      <c r="K23" s="26">
        <v>2</v>
      </c>
      <c r="L23" s="26">
        <f>H23</f>
        <v>300</v>
      </c>
      <c r="M23" s="26">
        <f>ROUND(L23*I23%,2)</f>
        <v>3</v>
      </c>
      <c r="N23" s="26">
        <f>H23-M23</f>
        <v>297</v>
      </c>
      <c r="O23" s="26">
        <f>ROUND(N23*J23%,2)</f>
        <v>5.94</v>
      </c>
      <c r="P23" s="26">
        <f>ROUND(N23-O23,2)</f>
        <v>291.06</v>
      </c>
      <c r="Q23" s="26">
        <f>ROUND(P23*K23%,2)</f>
        <v>5.82</v>
      </c>
      <c r="R23" s="26">
        <f>ROUND((M23+O23+Q23),2)</f>
        <v>14.76</v>
      </c>
      <c r="S23" s="26">
        <f>ROUND((H23-R23),2)</f>
        <v>285.24</v>
      </c>
      <c r="T23" s="55" t="s">
        <v>146</v>
      </c>
      <c r="U23" s="43">
        <v>0.18</v>
      </c>
      <c r="V23" s="26">
        <f>IF(OR($C$21=1,$C$21=4),ROUND(((S23*U23)/2),2),0)</f>
        <v>25.67</v>
      </c>
      <c r="W23" s="26">
        <f>IF($C$21=1,ROUND(((S23*U23)/2),2),0)</f>
        <v>25.67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51.34</v>
      </c>
      <c r="AC23" s="25">
        <f>IF($V21=1,S23+AB23,S23)</f>
        <v>336.58000000000004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285.24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5</v>
      </c>
      <c r="AN23" s="55">
        <f>ROUND(AI23/AM23,5)</f>
        <v>57.048000000000002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57.048000000000002</v>
      </c>
      <c r="AS23" s="48" t="s">
        <v>216</v>
      </c>
      <c r="AT23" s="48" t="s">
        <v>58</v>
      </c>
      <c r="AW23" s="48">
        <f>AM23</f>
        <v>5</v>
      </c>
      <c r="AX23" s="48">
        <f>AR23</f>
        <v>57.048000000000002</v>
      </c>
      <c r="AY23" s="48">
        <f>AU23+AW23</f>
        <v>5</v>
      </c>
      <c r="AZ23" s="48">
        <f>ROUND(((AU23*AV23)+(AW23*AX23))/(AU23+AW23),5)</f>
        <v>57.048000000000002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57.041699999999999</v>
      </c>
      <c r="BP23" s="53">
        <f>ROUND(BN23+AW23,3)</f>
        <v>47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300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14.76</v>
      </c>
      <c r="S24" s="30">
        <f>SUM(S23:S23)</f>
        <v>285.24</v>
      </c>
      <c r="T24" s="30"/>
      <c r="U24" s="30"/>
      <c r="V24" s="39">
        <f t="shared" ref="V24:AE24" si="3">SUM(V23:V23)</f>
        <v>25.67</v>
      </c>
      <c r="W24" s="39">
        <f t="shared" si="3"/>
        <v>25.67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51.34</v>
      </c>
      <c r="AC24" s="44">
        <f t="shared" si="3"/>
        <v>336.58000000000004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285.24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300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14.76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285.24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51.34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336.58000000000004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B19:G19"/>
    <mergeCell ref="A21:B21"/>
    <mergeCell ref="G27:H27"/>
    <mergeCell ref="I27:J27"/>
    <mergeCell ref="A1:AC1"/>
    <mergeCell ref="G26:H26"/>
    <mergeCell ref="I26:J26"/>
    <mergeCell ref="M26:P26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335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427</v>
      </c>
      <c r="H23" s="26">
        <f>F23*G23</f>
        <v>6440.75</v>
      </c>
      <c r="I23" t="s">
        <v>223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218</v>
      </c>
      <c r="AV23" t="s">
        <v>425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487.40719999999999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336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439</v>
      </c>
      <c r="H24" s="26">
        <f t="shared" ref="H24" si="3">F24*G24</f>
        <v>4214</v>
      </c>
      <c r="I24" t="s">
        <v>440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218</v>
      </c>
      <c r="AV24" t="s">
        <v>426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218</v>
      </c>
      <c r="BN24" t="s">
        <v>218</v>
      </c>
      <c r="BO24" s="48">
        <f>ROUND((((AW24*AZ24)+(BN24*BM24))/(AW24+BN24)),5)</f>
        <v>352.24241999999998</v>
      </c>
      <c r="BP24" s="53">
        <f>BN24+AW24</f>
        <v>271.60000000000002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1814.18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11892.98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4" t="s">
        <v>47</v>
      </c>
      <c r="B2" s="124"/>
      <c r="C2" s="124"/>
      <c r="D2" s="124"/>
      <c r="E2" s="124"/>
      <c r="F2" s="124"/>
      <c r="G2" s="124"/>
      <c r="H2" s="12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410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328</v>
      </c>
      <c r="H23" s="26">
        <f>F23*G23</f>
        <v>10875</v>
      </c>
      <c r="I23" t="s">
        <v>223</v>
      </c>
      <c r="J23" s="26">
        <v>2</v>
      </c>
      <c r="K23" s="26">
        <v>2.5</v>
      </c>
      <c r="L23" s="26">
        <f>H23</f>
        <v>10875</v>
      </c>
      <c r="M23" s="26">
        <f>ROUND(L23*I23%,2)</f>
        <v>435</v>
      </c>
      <c r="N23" s="26">
        <f>H23-M23</f>
        <v>10440</v>
      </c>
      <c r="O23" s="26">
        <f>ROUND(N23*J23%,2)</f>
        <v>208.8</v>
      </c>
      <c r="P23" s="26">
        <f>ROUND(N23-O23,2)</f>
        <v>10231.200000000001</v>
      </c>
      <c r="Q23" s="26">
        <f>ROUND(P23*K23%,2)</f>
        <v>255.78</v>
      </c>
      <c r="R23" s="26">
        <f>ROUND((M23+O23+Q23),2)</f>
        <v>899.58</v>
      </c>
      <c r="S23" s="26">
        <f>ROUND((H23-R23),2)</f>
        <v>9975.42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1795.58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1795.58</v>
      </c>
      <c r="AC23" s="25">
        <f>IF($V21=1,S23+AB23,S23)</f>
        <v>11771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9975.42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798.03359999999998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798.03359999999998</v>
      </c>
      <c r="AS23" s="48" t="s">
        <v>249</v>
      </c>
      <c r="AT23" s="48" t="s">
        <v>58</v>
      </c>
      <c r="AW23" s="48">
        <f>AM23</f>
        <v>12.5</v>
      </c>
      <c r="AX23" s="48">
        <f>AR23</f>
        <v>798.03359999999998</v>
      </c>
      <c r="AY23" s="48">
        <f>AU23+AW23</f>
        <v>12.5</v>
      </c>
      <c r="AZ23" s="48">
        <f>ROUND(((AU23*AV23)+(AW23*AX23))/(AU23+AW23),5)</f>
        <v>798.03359999999998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798.03359999999998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411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325</v>
      </c>
      <c r="H24" s="26">
        <f t="shared" ref="H24" si="3">F24*G24</f>
        <v>4214</v>
      </c>
      <c r="I24" t="s">
        <v>223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355.91161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355.91161</v>
      </c>
      <c r="AS24" s="48" t="s">
        <v>249</v>
      </c>
      <c r="AT24" s="48" t="s">
        <v>58</v>
      </c>
      <c r="AW24" s="48">
        <f>AM24</f>
        <v>11.2</v>
      </c>
      <c r="AX24" s="48">
        <f>AR24</f>
        <v>355.91161</v>
      </c>
      <c r="AY24" s="48">
        <f>AU24+AW24</f>
        <v>11.2</v>
      </c>
      <c r="AZ24" s="48">
        <f>ROUND(((AU24*AV24)+(AW24*AX24))/(AU24+AW24),5)</f>
        <v>355.91161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355.91161</v>
      </c>
      <c r="BP24" s="53">
        <f>BN24+AW24</f>
        <v>268.8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15089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1127.3700000000001</v>
      </c>
      <c r="S25" s="30">
        <f>SUM(S23:S24)</f>
        <v>13961.630000000001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2513.1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2513.1</v>
      </c>
      <c r="AC25" s="44">
        <f t="shared" si="24"/>
        <v>15757.21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13961.630000000001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15089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1127.3700000000001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13961.630000000001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2513.1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16474.73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325</v>
      </c>
      <c r="H23" s="26">
        <f>F23*G23</f>
        <v>5850</v>
      </c>
      <c r="I23" t="s">
        <v>302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493.01</v>
      </c>
      <c r="W23" s="26">
        <f>IF($C$21=1,ROUND(((S23*U23)/2),2),0)</f>
        <v>493.01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216</v>
      </c>
      <c r="AT23" s="48" t="s">
        <v>58</v>
      </c>
      <c r="AU23" t="s">
        <v>218</v>
      </c>
      <c r="AV23" t="s">
        <v>429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429</v>
      </c>
      <c r="BN23" t="s">
        <v>384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328</v>
      </c>
      <c r="H24" s="26">
        <f t="shared" ref="H24" si="3">F24*G24</f>
        <v>9632</v>
      </c>
      <c r="I24" t="s">
        <v>428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811.74</v>
      </c>
      <c r="W24" s="26">
        <f t="shared" ref="W24" si="13">IF($C$21=1,ROUND(((S24*U24)/2),2),0)</f>
        <v>811.74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644.23643000000004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644.23643000000004</v>
      </c>
      <c r="AS24" s="48" t="s">
        <v>216</v>
      </c>
      <c r="AT24" s="48" t="s">
        <v>58</v>
      </c>
      <c r="AU24" t="s">
        <v>218</v>
      </c>
      <c r="AV24" t="s">
        <v>430</v>
      </c>
      <c r="AW24" s="48">
        <f>AM24</f>
        <v>14</v>
      </c>
      <c r="AX24" s="48">
        <f>AR24</f>
        <v>644.23643000000004</v>
      </c>
      <c r="AY24" s="48">
        <f>AU24+AW24</f>
        <v>14</v>
      </c>
      <c r="AZ24" s="48">
        <f>ROUND(((AU24*AV24)+(AW24*AX24))/(AU24+AW24),5)</f>
        <v>644.23643000000004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430</v>
      </c>
      <c r="BN24" t="s">
        <v>385</v>
      </c>
      <c r="BO24" s="48">
        <f>ROUND((((AW24*AZ24)+(BN24*BM24))/(AW24+BN24)),5)</f>
        <v>644.23643000000004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1304.75</v>
      </c>
      <c r="W25" s="39">
        <f t="shared" si="24"/>
        <v>1304.75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15482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984.81000000000006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14497.189999999999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2609.5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17106.689999999999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258</v>
      </c>
      <c r="H23" s="26">
        <f>F23*G23</f>
        <v>5850</v>
      </c>
      <c r="I23" t="s">
        <v>223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413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414</v>
      </c>
      <c r="H24" s="26">
        <f t="shared" ref="H24" si="3">F24*G24</f>
        <v>9632</v>
      </c>
      <c r="I24" t="s">
        <v>223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249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15482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984.81000000000006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14497.189999999999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2609.5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17106.689999999999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:B24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398</v>
      </c>
      <c r="H23" s="26">
        <f>F23*G23</f>
        <v>3555</v>
      </c>
      <c r="I23" t="s">
        <v>399</v>
      </c>
      <c r="J23" s="26">
        <v>2</v>
      </c>
      <c r="K23" s="26">
        <v>2.5</v>
      </c>
      <c r="L23" s="26">
        <f>H23</f>
        <v>3555</v>
      </c>
      <c r="M23" s="26">
        <f>ROUND(L23*I23%,2)</f>
        <v>99.54</v>
      </c>
      <c r="N23" s="26">
        <f>H23-M23</f>
        <v>3455.46</v>
      </c>
      <c r="O23" s="26">
        <f>ROUND(N23*J23%,2)</f>
        <v>69.11</v>
      </c>
      <c r="P23" s="26">
        <f>ROUND(N23-O23,2)</f>
        <v>3386.35</v>
      </c>
      <c r="Q23" s="26">
        <f>ROUND(P23*K23%,2)</f>
        <v>84.66</v>
      </c>
      <c r="R23" s="26">
        <f>ROUND((M23+O23+Q23),2)</f>
        <v>253.31</v>
      </c>
      <c r="S23" s="26">
        <f>ROUND((H23-R23),2)</f>
        <v>3301.69</v>
      </c>
      <c r="T23" s="55" t="s">
        <v>146</v>
      </c>
      <c r="U23" s="43">
        <v>0.18</v>
      </c>
      <c r="V23" s="26">
        <f>IF(OR($C$21=1,$C$21=4),ROUND(((S23*U23)/2),2),0)</f>
        <v>297.14999999999998</v>
      </c>
      <c r="W23" s="26">
        <f>IF($C$21=1,ROUND(((S23*U23)/2),2),0)</f>
        <v>297.14999999999998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594.29999999999995</v>
      </c>
      <c r="AC23" s="25">
        <f>IF($V21=1,S23+AB23,S23)</f>
        <v>3895.99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3301.69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660.33799999999997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660.33799999999997</v>
      </c>
      <c r="AS23" s="146" t="s">
        <v>484</v>
      </c>
      <c r="AT23" s="48" t="s">
        <v>58</v>
      </c>
      <c r="AU23" t="s">
        <v>218</v>
      </c>
      <c r="AV23" t="s">
        <v>396</v>
      </c>
      <c r="AW23" s="48">
        <f>AM23</f>
        <v>5</v>
      </c>
      <c r="AX23" s="48">
        <f>AR23</f>
        <v>660.33799999999997</v>
      </c>
      <c r="AY23" s="48">
        <f>AU23+AW23</f>
        <v>5</v>
      </c>
      <c r="AZ23" s="48">
        <f>ROUND(((AU23*AV23)+(AW23*AX23))/(AU23+AW23),5)</f>
        <v>660.33799999999997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396</v>
      </c>
      <c r="BN23" t="s">
        <v>435</v>
      </c>
      <c r="BO23" s="48">
        <f>ROUND((((AW23*AZ23)+(BN23*BM23))/(AW23+BN23)),5)</f>
        <v>452.12356999999997</v>
      </c>
      <c r="BP23" s="53">
        <f>BN23+AW23</f>
        <v>92.5</v>
      </c>
      <c r="BQ23" s="54">
        <v>88363222</v>
      </c>
    </row>
    <row r="24" spans="1:69" ht="15.75" thickBot="1">
      <c r="A24" s="25">
        <v>2</v>
      </c>
      <c r="B24" s="25" t="s">
        <v>509</v>
      </c>
      <c r="C24" s="25" t="s">
        <v>175</v>
      </c>
      <c r="D24" s="25" t="s">
        <v>58</v>
      </c>
      <c r="E24" s="25" t="s">
        <v>163</v>
      </c>
      <c r="F24" s="26">
        <v>24</v>
      </c>
      <c r="G24" t="s">
        <v>400</v>
      </c>
      <c r="H24" s="26">
        <f t="shared" ref="H24" si="3">F24*G24</f>
        <v>10944</v>
      </c>
      <c r="I24" t="s">
        <v>314</v>
      </c>
      <c r="J24" s="26">
        <v>2</v>
      </c>
      <c r="K24" s="26">
        <v>2.5</v>
      </c>
      <c r="L24" s="26">
        <f t="shared" ref="L24" si="4">H24</f>
        <v>10944</v>
      </c>
      <c r="M24" s="26">
        <f t="shared" ref="M24" si="5">ROUND(L24*I24%,2)</f>
        <v>273.60000000000002</v>
      </c>
      <c r="N24" s="26">
        <f t="shared" ref="N24" si="6">H24-M24</f>
        <v>10670.4</v>
      </c>
      <c r="O24" s="26">
        <f t="shared" ref="O24" si="7">ROUND(N24*J24%,2)</f>
        <v>213.41</v>
      </c>
      <c r="P24" s="26">
        <f t="shared" ref="P24" si="8">ROUND(N24-O24,2)</f>
        <v>10456.99</v>
      </c>
      <c r="Q24" s="26">
        <f t="shared" ref="Q24" si="9">ROUND(P24*K24%,2)</f>
        <v>261.42</v>
      </c>
      <c r="R24" s="26">
        <f t="shared" ref="R24" si="10">ROUND((M24+O24+Q24),2)</f>
        <v>748.43</v>
      </c>
      <c r="S24" s="26">
        <f t="shared" ref="S24" si="11">ROUND((H24-R24),2)</f>
        <v>10195.57</v>
      </c>
      <c r="T24" s="55" t="s">
        <v>261</v>
      </c>
      <c r="U24" s="43">
        <v>0.18</v>
      </c>
      <c r="V24" s="26">
        <f t="shared" ref="V24" si="12">IF(OR($C$21=1,$C$21=4),ROUND(((S24*U24)/2),2),0)</f>
        <v>917.6</v>
      </c>
      <c r="W24" s="26">
        <f t="shared" ref="W24" si="13">IF($C$21=1,ROUND(((S24*U24)/2),2),0)</f>
        <v>917.6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1835.2</v>
      </c>
      <c r="AC24" s="25">
        <f t="shared" ref="AC24" si="18">IF($V22=1,S24+AB24,S24)</f>
        <v>10195.57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10195.57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8</v>
      </c>
      <c r="AN24" s="55">
        <f t="shared" ref="AN24" si="20">ROUND(AI24/AM24,5)</f>
        <v>1274.44625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1274.44625</v>
      </c>
      <c r="AS24" s="146" t="s">
        <v>484</v>
      </c>
      <c r="AT24" s="48" t="s">
        <v>58</v>
      </c>
      <c r="AU24" t="s">
        <v>218</v>
      </c>
      <c r="AV24" t="s">
        <v>397</v>
      </c>
      <c r="AW24" s="48">
        <f>AM24</f>
        <v>8</v>
      </c>
      <c r="AX24" s="48">
        <f>AR24</f>
        <v>1274.44625</v>
      </c>
      <c r="AY24" s="48">
        <f>AU24+AW24</f>
        <v>8</v>
      </c>
      <c r="AZ24" s="48">
        <f>ROUND(((AU24*AV24)+(AW24*AX24))/(AU24+AW24),5)</f>
        <v>1274.44625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470</v>
      </c>
      <c r="BN24" t="s">
        <v>469</v>
      </c>
      <c r="BO24" s="48">
        <f>ROUND((((AW24*AZ24)+(BN24*BM24))/(AW24+BN24)),5)</f>
        <v>966.82590000000005</v>
      </c>
      <c r="BP24" s="53">
        <f>BN24+AW24</f>
        <v>96.667000000000002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14499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1001.74</v>
      </c>
      <c r="S25" s="30">
        <f>SUM(S23:S24)</f>
        <v>13497.26</v>
      </c>
      <c r="T25" s="30"/>
      <c r="U25" s="30"/>
      <c r="V25" s="39">
        <f t="shared" ref="V25:AE25" si="24">SUM(V23:V24)</f>
        <v>1214.75</v>
      </c>
      <c r="W25" s="39">
        <f t="shared" si="24"/>
        <v>1214.75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2429.5</v>
      </c>
      <c r="AC25" s="44">
        <f t="shared" si="24"/>
        <v>14091.56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13497.26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14499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1001.74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13497.26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2429.5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15926.76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403</v>
      </c>
      <c r="H23" s="26">
        <f>F23*G23</f>
        <v>6511.95</v>
      </c>
      <c r="I23" t="s">
        <v>404</v>
      </c>
      <c r="J23" s="26">
        <v>2</v>
      </c>
      <c r="K23" s="26">
        <v>2.5</v>
      </c>
      <c r="L23" s="26">
        <f>H23</f>
        <v>6511.95</v>
      </c>
      <c r="M23" s="26">
        <f>ROUND(L23*I23%,2)</f>
        <v>146.52000000000001</v>
      </c>
      <c r="N23" s="26">
        <f>H23-M23</f>
        <v>6365.4299999999994</v>
      </c>
      <c r="O23" s="26">
        <f>ROUND(N23*J23%,2)</f>
        <v>127.31</v>
      </c>
      <c r="P23" s="26">
        <f>ROUND(N23-O23,2)</f>
        <v>6238.12</v>
      </c>
      <c r="Q23" s="26">
        <f>ROUND(P23*K23%,2)</f>
        <v>155.94999999999999</v>
      </c>
      <c r="R23" s="26">
        <f>ROUND((M23+O23+Q23),2)</f>
        <v>429.78</v>
      </c>
      <c r="S23" s="26">
        <f>ROUND((H23-R23),2)</f>
        <v>6082.17</v>
      </c>
      <c r="T23" s="55" t="s">
        <v>146</v>
      </c>
      <c r="U23" s="43">
        <v>0.18</v>
      </c>
      <c r="V23" s="26">
        <f>IF(OR($C$21=1,$C$21=4),ROUND(((S23*U23)/2),2),0)</f>
        <v>547.4</v>
      </c>
      <c r="W23" s="26">
        <f>IF($C$21=1,ROUND(((S23*U23)/2),2),0)</f>
        <v>547.4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1094.8</v>
      </c>
      <c r="AC23" s="25">
        <f>IF($V21=1,S23+AB23,S23)</f>
        <v>7176.97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6082.17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2027.39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2027.39</v>
      </c>
      <c r="AS23" s="146" t="s">
        <v>484</v>
      </c>
      <c r="AT23" s="48" t="s">
        <v>58</v>
      </c>
      <c r="AU23" t="s">
        <v>218</v>
      </c>
      <c r="AV23" t="s">
        <v>401</v>
      </c>
      <c r="AW23" s="48">
        <f>AM23</f>
        <v>3</v>
      </c>
      <c r="AX23" s="48">
        <f>AR23</f>
        <v>2027.39</v>
      </c>
      <c r="AY23" s="48">
        <f>AU23+AW23</f>
        <v>3</v>
      </c>
      <c r="AZ23" s="48">
        <f>ROUND(((AU23*AV23)+(AW23*AX23))/(AU23+AW23),5)</f>
        <v>2027.39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401</v>
      </c>
      <c r="BN23" t="s">
        <v>433</v>
      </c>
      <c r="BO23" s="48">
        <f>ROUND((((AW23*AZ23)+(BN23*BM23))/(AW23+BN23)),5)</f>
        <v>1377.585</v>
      </c>
      <c r="BP23" s="53">
        <f>BN23+AW23</f>
        <v>78</v>
      </c>
      <c r="BQ23" s="54">
        <v>88363222</v>
      </c>
    </row>
    <row r="24" spans="1:69" ht="15.75" thickBot="1">
      <c r="A24" s="25">
        <v>2</v>
      </c>
      <c r="B24" s="25" t="s">
        <v>511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405</v>
      </c>
      <c r="H24" s="26">
        <f t="shared" ref="H24" si="3">F24*G24</f>
        <v>5340</v>
      </c>
      <c r="I24" t="s">
        <v>406</v>
      </c>
      <c r="J24" s="26">
        <v>2</v>
      </c>
      <c r="K24" s="26">
        <v>2.5</v>
      </c>
      <c r="L24" s="26">
        <f t="shared" ref="L24" si="4">H24</f>
        <v>5340</v>
      </c>
      <c r="M24" s="26">
        <f t="shared" ref="M24" si="5">ROUND(L24*I24%,2)</f>
        <v>240.3</v>
      </c>
      <c r="N24" s="26">
        <f t="shared" ref="N24" si="6">H24-M24</f>
        <v>5099.7</v>
      </c>
      <c r="O24" s="26">
        <f t="shared" ref="O24" si="7">ROUND(N24*J24%,2)</f>
        <v>101.99</v>
      </c>
      <c r="P24" s="26">
        <f t="shared" ref="P24" si="8">ROUND(N24-O24,2)</f>
        <v>4997.71</v>
      </c>
      <c r="Q24" s="26">
        <f t="shared" ref="Q24" si="9">ROUND(P24*K24%,2)</f>
        <v>124.94</v>
      </c>
      <c r="R24" s="26">
        <f t="shared" ref="R24" si="10">ROUND((M24+O24+Q24),2)</f>
        <v>467.23</v>
      </c>
      <c r="S24" s="26">
        <f t="shared" ref="S24" si="11">ROUND((H24-R24),2)</f>
        <v>4872.7700000000004</v>
      </c>
      <c r="T24" s="55" t="s">
        <v>261</v>
      </c>
      <c r="U24" s="43">
        <v>0.18</v>
      </c>
      <c r="V24" s="26">
        <f t="shared" ref="V24" si="12">IF(OR($C$21=1,$C$21=4),ROUND(((S24*U24)/2),2),0)</f>
        <v>438.55</v>
      </c>
      <c r="W24" s="26">
        <f t="shared" ref="W24" si="13">IF($C$21=1,ROUND(((S24*U24)/2),2),0)</f>
        <v>438.55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877.1</v>
      </c>
      <c r="AC24" s="25">
        <f t="shared" ref="AC24" si="18">IF($V22=1,S24+AB24,S24)</f>
        <v>4872.7700000000004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4872.7700000000004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974.55399999999997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974.55399999999997</v>
      </c>
      <c r="AS24" s="146" t="s">
        <v>484</v>
      </c>
      <c r="AT24" s="48" t="s">
        <v>58</v>
      </c>
      <c r="AU24" t="s">
        <v>218</v>
      </c>
      <c r="AV24" t="s">
        <v>402</v>
      </c>
      <c r="AW24" s="48">
        <f>AM24</f>
        <v>5</v>
      </c>
      <c r="AX24" s="48">
        <f>AR24</f>
        <v>974.55399999999997</v>
      </c>
      <c r="AY24" s="48">
        <f>AU24+AW24</f>
        <v>5</v>
      </c>
      <c r="AZ24" s="48">
        <f>ROUND(((AU24*AV24)+(AW24*AX24))/(AU24+AW24),5)</f>
        <v>974.55399999999997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402</v>
      </c>
      <c r="BN24" t="s">
        <v>434</v>
      </c>
      <c r="BO24" s="48">
        <f>ROUND((((AW24*AZ24)+(BN24*BM24))/(AW24+BN24)),5)</f>
        <v>667.95156999999995</v>
      </c>
      <c r="BP24" s="53">
        <f>BN24+AW24</f>
        <v>89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11851.95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897.01</v>
      </c>
      <c r="S25" s="30">
        <f>SUM(S23:S24)</f>
        <v>10954.94</v>
      </c>
      <c r="T25" s="30"/>
      <c r="U25" s="30"/>
      <c r="V25" s="39">
        <f t="shared" ref="V25:AE25" si="24">SUM(V23:V24)</f>
        <v>985.95</v>
      </c>
      <c r="W25" s="39">
        <f t="shared" si="24"/>
        <v>985.95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1971.9</v>
      </c>
      <c r="AC25" s="44">
        <f t="shared" si="24"/>
        <v>12049.740000000002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10954.94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11851.95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897.01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10954.94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1971.9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12926.84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3" t="s">
        <v>89</v>
      </c>
      <c r="B21" s="17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506</v>
      </c>
      <c r="C23" s="25" t="s">
        <v>162</v>
      </c>
      <c r="D23" s="25" t="s">
        <v>58</v>
      </c>
      <c r="E23" s="25" t="s">
        <v>163</v>
      </c>
      <c r="F23" s="26">
        <v>18</v>
      </c>
      <c r="G23" s="26">
        <v>257.63</v>
      </c>
      <c r="H23" s="26">
        <f>F23*G23</f>
        <v>4637.34</v>
      </c>
      <c r="I23" s="26">
        <v>1</v>
      </c>
      <c r="J23" s="26">
        <v>2</v>
      </c>
      <c r="K23" s="26">
        <v>2.5</v>
      </c>
      <c r="L23" s="26">
        <f>H23</f>
        <v>4637.34</v>
      </c>
      <c r="M23" s="26">
        <f>ROUND(L23*I23%,2)</f>
        <v>46.37</v>
      </c>
      <c r="N23" s="26">
        <f>H23-M23</f>
        <v>4590.97</v>
      </c>
      <c r="O23" s="26">
        <f>ROUND(N23*J23%,2)</f>
        <v>91.82</v>
      </c>
      <c r="P23" s="26">
        <f>ROUND(N23-O23,2)</f>
        <v>4499.1499999999996</v>
      </c>
      <c r="Q23" s="26">
        <f>ROUND(P23*K23%,2)</f>
        <v>112.48</v>
      </c>
      <c r="R23" s="26">
        <f>ROUND((M23+O23+Q23),2)</f>
        <v>250.67</v>
      </c>
      <c r="S23" s="26">
        <f>ROUND((H23-R23),2)</f>
        <v>4386.67</v>
      </c>
      <c r="T23" s="55" t="s">
        <v>146</v>
      </c>
      <c r="U23" s="43">
        <v>0.18</v>
      </c>
      <c r="V23" s="26">
        <f>IF(OR($C$21=1,$C$21=4),ROUND(((S23*U23)/2),2),0)</f>
        <v>394.8</v>
      </c>
      <c r="W23" s="26">
        <f>IF($C$21=1,ROUND(((S23*U23)/2),2),0)</f>
        <v>394.8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789.6</v>
      </c>
      <c r="AC23" s="25">
        <f>IF($V21=1,S23+AB23,S23)</f>
        <v>5176.2700000000004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4386.67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731.11167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731.11167</v>
      </c>
      <c r="AS23" s="146" t="s">
        <v>484</v>
      </c>
      <c r="AT23" s="48" t="s">
        <v>58</v>
      </c>
      <c r="AU23" t="s">
        <v>218</v>
      </c>
      <c r="AV23" t="s">
        <v>259</v>
      </c>
      <c r="AW23" s="48">
        <f>AM23</f>
        <v>6</v>
      </c>
      <c r="AX23" s="48">
        <f>AR23</f>
        <v>731.11167</v>
      </c>
      <c r="AY23" s="48">
        <f>AU23+AW23</f>
        <v>6</v>
      </c>
      <c r="AZ23" s="48">
        <f>ROUND(((AU23*AV23)+(AW23*AX23))/(AU23+AW23),5)</f>
        <v>731.11167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259</v>
      </c>
      <c r="BN23" t="s">
        <v>433</v>
      </c>
      <c r="BO23" s="48">
        <f>ROUND((((AW23*AZ23)+(BN23*BM23))/(AW23+BN23)),5)</f>
        <v>505.45938000000001</v>
      </c>
      <c r="BP23" s="53">
        <f>BN23+AW23</f>
        <v>81</v>
      </c>
      <c r="BQ23" s="54">
        <v>88363222</v>
      </c>
    </row>
    <row r="24" spans="1:69" ht="15.75" thickBot="1">
      <c r="A24" s="25">
        <v>2</v>
      </c>
      <c r="B24" s="145" t="s">
        <v>507</v>
      </c>
      <c r="C24" s="25" t="s">
        <v>175</v>
      </c>
      <c r="D24" s="25" t="s">
        <v>58</v>
      </c>
      <c r="E24" s="25" t="s">
        <v>163</v>
      </c>
      <c r="F24" s="26">
        <v>12</v>
      </c>
      <c r="G24" s="26">
        <v>150.5</v>
      </c>
      <c r="H24" s="26">
        <f t="shared" ref="H24" si="3">F24*G24</f>
        <v>1806</v>
      </c>
      <c r="I24" s="26">
        <v>1</v>
      </c>
      <c r="J24" s="26">
        <v>2</v>
      </c>
      <c r="K24" s="26">
        <v>2.5</v>
      </c>
      <c r="L24" s="26">
        <f t="shared" ref="L24" si="4">H24</f>
        <v>1806</v>
      </c>
      <c r="M24" s="26">
        <f t="shared" ref="M24" si="5">ROUND(L24*I24%,2)</f>
        <v>18.059999999999999</v>
      </c>
      <c r="N24" s="26">
        <f t="shared" ref="N24" si="6">H24-M24</f>
        <v>1787.94</v>
      </c>
      <c r="O24" s="26">
        <f t="shared" ref="O24" si="7">ROUND(N24*J24%,2)</f>
        <v>35.76</v>
      </c>
      <c r="P24" s="26">
        <f t="shared" ref="P24" si="8">ROUND(N24-O24,2)</f>
        <v>1752.18</v>
      </c>
      <c r="Q24" s="26">
        <f t="shared" ref="Q24" si="9">ROUND(P24*K24%,2)</f>
        <v>43.8</v>
      </c>
      <c r="R24" s="26">
        <f t="shared" ref="R24" si="10">ROUND((M24+O24+Q24),2)</f>
        <v>97.62</v>
      </c>
      <c r="S24" s="26">
        <f t="shared" ref="S24" si="11">ROUND((H24-R24),2)</f>
        <v>1708.38</v>
      </c>
      <c r="T24" s="55" t="s">
        <v>261</v>
      </c>
      <c r="U24" s="43">
        <v>0.18</v>
      </c>
      <c r="V24" s="26">
        <f t="shared" ref="V24" si="12">IF(OR($C$21=1,$C$21=4),ROUND(((S24*U24)/2),2),0)</f>
        <v>153.75</v>
      </c>
      <c r="W24" s="26">
        <f t="shared" ref="W24" si="13">IF($C$21=1,ROUND(((S24*U24)/2),2),0)</f>
        <v>153.75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307.5</v>
      </c>
      <c r="AC24" s="25">
        <f t="shared" ref="AC24" si="18">IF($V22=1,S24+AB24,S24)</f>
        <v>1708.38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1708.38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427.09500000000003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427.09500000000003</v>
      </c>
      <c r="AS24" s="146" t="s">
        <v>484</v>
      </c>
      <c r="AT24" s="48" t="s">
        <v>58</v>
      </c>
      <c r="AU24" t="s">
        <v>218</v>
      </c>
      <c r="AV24" t="s">
        <v>395</v>
      </c>
      <c r="AW24" s="48">
        <f>AM24</f>
        <v>4</v>
      </c>
      <c r="AX24" s="48">
        <f>AR24</f>
        <v>427.09500000000003</v>
      </c>
      <c r="AY24" s="48">
        <f>AU24+AW24</f>
        <v>4</v>
      </c>
      <c r="AZ24" s="48">
        <f>ROUND(((AU24*AV24)+(AW24*AX24))/(AU24+AW24),5)</f>
        <v>427.09500000000003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395</v>
      </c>
      <c r="BN24" t="s">
        <v>434</v>
      </c>
      <c r="BO24" s="48">
        <f>ROUND((((AW24*AZ24)+(BN24*BM24))/(AW24+BN24)),5)</f>
        <v>291.20046000000002</v>
      </c>
      <c r="BP24" s="53">
        <f>BN24+AW24</f>
        <v>88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6443.34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348.28999999999996</v>
      </c>
      <c r="S25" s="30">
        <f>SUM(S23:S24)</f>
        <v>6095.05</v>
      </c>
      <c r="T25" s="30"/>
      <c r="U25" s="30"/>
      <c r="V25" s="39">
        <f t="shared" ref="V25:AE25" si="24">SUM(V23:V24)</f>
        <v>548.54999999999995</v>
      </c>
      <c r="W25" s="39">
        <f t="shared" si="24"/>
        <v>548.54999999999995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1097.0999999999999</v>
      </c>
      <c r="AC25" s="44">
        <f t="shared" si="24"/>
        <v>6884.6500000000005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6095.05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71">
        <f>H25</f>
        <v>6443.34</v>
      </c>
      <c r="J27" s="172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71">
        <f>R25</f>
        <v>348.28999999999996</v>
      </c>
      <c r="J28" s="172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71">
        <f>S25</f>
        <v>6095.05</v>
      </c>
      <c r="J29" s="172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71">
        <f>AB25</f>
        <v>1097.0999999999999</v>
      </c>
      <c r="J30" s="172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69">
        <f>I29+I30</f>
        <v>7192.15</v>
      </c>
      <c r="J31" s="170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4" t="s">
        <v>47</v>
      </c>
      <c r="B2" s="114"/>
      <c r="C2" s="114"/>
      <c r="D2" s="114"/>
      <c r="E2" s="114"/>
      <c r="F2" s="114"/>
      <c r="G2" s="114"/>
      <c r="H2" s="11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498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383</v>
      </c>
      <c r="H23" s="26">
        <f>F23*G23</f>
        <v>405</v>
      </c>
      <c r="I23" t="s">
        <v>223</v>
      </c>
      <c r="J23" s="26">
        <v>2</v>
      </c>
      <c r="K23" s="26">
        <v>2.5</v>
      </c>
      <c r="L23" s="26">
        <f>H23</f>
        <v>405</v>
      </c>
      <c r="M23" s="26">
        <f>ROUND(L23*I23%,2)</f>
        <v>8.1</v>
      </c>
      <c r="N23" s="26">
        <f>H23-M23</f>
        <v>396.9</v>
      </c>
      <c r="O23" s="26">
        <f>ROUND(N23*J23%,2)</f>
        <v>7.94</v>
      </c>
      <c r="P23" s="26">
        <f>ROUND(N23-O23,2)</f>
        <v>388.96</v>
      </c>
      <c r="Q23" s="26">
        <f>ROUND(P23*K23%,2)</f>
        <v>9.7200000000000006</v>
      </c>
      <c r="R23" s="26">
        <f>ROUND((M23+O23+Q23),2)</f>
        <v>25.76</v>
      </c>
      <c r="S23" s="26">
        <f>ROUND((H23-R23),2)</f>
        <v>379.24</v>
      </c>
      <c r="T23" s="55" t="s">
        <v>146</v>
      </c>
      <c r="U23" s="43">
        <v>0.18</v>
      </c>
      <c r="V23" s="26">
        <f>IF(OR($C$21=1,$C$21=4),ROUND(((S23*U23)/2),2),0)</f>
        <v>34.130000000000003</v>
      </c>
      <c r="W23" s="26">
        <f>IF($C$21=1,ROUND(((S23*U23)/2),2),0)</f>
        <v>34.130000000000003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68.260000000000005</v>
      </c>
      <c r="AC23" s="25">
        <f>IF($V21=1,S23+AB23,S23)</f>
        <v>447.5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379.24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126.41333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126.41333</v>
      </c>
      <c r="AS23" s="48" t="s">
        <v>484</v>
      </c>
      <c r="AT23" s="48" t="s">
        <v>58</v>
      </c>
      <c r="AU23" t="s">
        <v>218</v>
      </c>
      <c r="AV23" t="s">
        <v>381</v>
      </c>
      <c r="AW23" s="48">
        <f>AM23</f>
        <v>3</v>
      </c>
      <c r="AX23" s="48">
        <f>AR23</f>
        <v>126.41333</v>
      </c>
      <c r="AY23" s="48">
        <f>AU23+AW23</f>
        <v>3</v>
      </c>
      <c r="AZ23" s="48">
        <f>ROUND(((AU23*AV23)+(AW23*AX23))/(AU23+AW23),5)</f>
        <v>126.41333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381</v>
      </c>
      <c r="BN23" t="s">
        <v>435</v>
      </c>
      <c r="BO23" s="48">
        <f>ROUND((((AW23*AZ23)+(BN23*BM23))/(AW23+BN23)),5)</f>
        <v>85.672039999999996</v>
      </c>
      <c r="BP23" s="53">
        <f>BN23+AW23</f>
        <v>90.5</v>
      </c>
      <c r="BQ23" s="54">
        <v>88363222</v>
      </c>
    </row>
    <row r="24" spans="1:69" ht="15.75" thickBot="1">
      <c r="A24" s="25">
        <v>2</v>
      </c>
      <c r="B24" s="25" t="s">
        <v>499</v>
      </c>
      <c r="C24" s="25" t="s">
        <v>175</v>
      </c>
      <c r="D24" s="25" t="s">
        <v>58</v>
      </c>
      <c r="E24" s="25" t="s">
        <v>163</v>
      </c>
      <c r="F24" s="26">
        <v>12</v>
      </c>
      <c r="G24" t="s">
        <v>258</v>
      </c>
      <c r="H24" s="26">
        <f t="shared" ref="H24" si="3">F24*G24</f>
        <v>4140</v>
      </c>
      <c r="I24" t="s">
        <v>290</v>
      </c>
      <c r="J24" s="26">
        <v>2</v>
      </c>
      <c r="K24" s="26">
        <v>2.5</v>
      </c>
      <c r="L24" s="26">
        <f t="shared" ref="L24" si="4">H24</f>
        <v>4140</v>
      </c>
      <c r="M24" s="26">
        <f t="shared" ref="M24" si="5">ROUND(L24*I24%,2)</f>
        <v>124.2</v>
      </c>
      <c r="N24" s="26">
        <f t="shared" ref="N24" si="6">H24-M24</f>
        <v>4015.8</v>
      </c>
      <c r="O24" s="26">
        <f t="shared" ref="O24" si="7">ROUND(N24*J24%,2)</f>
        <v>80.319999999999993</v>
      </c>
      <c r="P24" s="26">
        <f t="shared" ref="P24" si="8">ROUND(N24-O24,2)</f>
        <v>3935.48</v>
      </c>
      <c r="Q24" s="26">
        <f t="shared" ref="Q24" si="9">ROUND(P24*K24%,2)</f>
        <v>98.39</v>
      </c>
      <c r="R24" s="26">
        <f t="shared" ref="R24" si="10">ROUND((M24+O24+Q24),2)</f>
        <v>302.91000000000003</v>
      </c>
      <c r="S24" s="26">
        <f t="shared" ref="S24" si="11">ROUND((H24-R24),2)</f>
        <v>3837.09</v>
      </c>
      <c r="T24" s="55" t="s">
        <v>261</v>
      </c>
      <c r="U24" s="43">
        <v>0.18</v>
      </c>
      <c r="V24" s="26">
        <f t="shared" ref="V24" si="12">IF(OR($C$21=1,$C$21=4),ROUND(((S24*U24)/2),2),0)</f>
        <v>345.34</v>
      </c>
      <c r="W24" s="26">
        <f t="shared" ref="W24" si="13">IF($C$21=1,ROUND(((S24*U24)/2),2),0)</f>
        <v>345.34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690.68</v>
      </c>
      <c r="AC24" s="25">
        <f t="shared" ref="AC24" si="18">IF($V22=1,S24+AB24,S24)</f>
        <v>3837.09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3837.09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959.27250000000004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959.27250000000004</v>
      </c>
      <c r="AS24" s="48" t="s">
        <v>484</v>
      </c>
      <c r="AT24" s="48" t="s">
        <v>58</v>
      </c>
      <c r="AU24" t="s">
        <v>218</v>
      </c>
      <c r="AV24" t="s">
        <v>382</v>
      </c>
      <c r="AW24" s="48">
        <f>AM24</f>
        <v>4</v>
      </c>
      <c r="AX24" s="48">
        <f>AR24</f>
        <v>959.27250000000004</v>
      </c>
      <c r="AY24" s="48">
        <f>AU24+AW24</f>
        <v>4</v>
      </c>
      <c r="AZ24" s="48">
        <f>ROUND(((AU24*AV24)+(AW24*AX24))/(AU24+AW24),5)</f>
        <v>959.27250000000004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382</v>
      </c>
      <c r="BN24" t="s">
        <v>436</v>
      </c>
      <c r="BO24" s="48">
        <f>ROUND((((AW24*AZ24)+(BN24*BM24))/(AW24+BN24)),5)</f>
        <v>652.05588</v>
      </c>
      <c r="BP24" s="53">
        <f>BN24+AW24</f>
        <v>102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4545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328.67</v>
      </c>
      <c r="S25" s="30">
        <f>SUM(S23:S24)</f>
        <v>4216.33</v>
      </c>
      <c r="T25" s="30"/>
      <c r="U25" s="30"/>
      <c r="V25" s="39">
        <f t="shared" ref="V25:AE25" si="24">SUM(V23:V24)</f>
        <v>379.46999999999997</v>
      </c>
      <c r="W25" s="39">
        <f t="shared" si="24"/>
        <v>379.46999999999997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758.93999999999994</v>
      </c>
      <c r="AC25" s="44">
        <f t="shared" si="24"/>
        <v>4284.59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4216.33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4545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328.67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4216.33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758.93999999999994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4975.2699999999995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441</v>
      </c>
      <c r="H23" s="26">
        <f>F23*G23</f>
        <v>1125</v>
      </c>
      <c r="I23" t="s">
        <v>290</v>
      </c>
      <c r="J23" s="26">
        <v>2</v>
      </c>
      <c r="K23" s="26">
        <v>2.5</v>
      </c>
      <c r="L23" s="26">
        <f>H23</f>
        <v>1125</v>
      </c>
      <c r="M23" s="26">
        <f>ROUND(L23*I23%,2)</f>
        <v>22.5</v>
      </c>
      <c r="N23" s="26">
        <f>H23-M23</f>
        <v>1102.5</v>
      </c>
      <c r="O23" s="26">
        <f>ROUND(N23*J23%,2)</f>
        <v>22.05</v>
      </c>
      <c r="P23" s="26">
        <f>ROUND(N23-O23,2)</f>
        <v>1080.45</v>
      </c>
      <c r="Q23" s="26">
        <f>ROUND(P23*K23%,2)</f>
        <v>27.01</v>
      </c>
      <c r="R23" s="26">
        <f>ROUND((M23+O23+Q23),2)</f>
        <v>71.56</v>
      </c>
      <c r="S23" s="26">
        <f>ROUND((H23-R23),2)</f>
        <v>1053.44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189.62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189.62</v>
      </c>
      <c r="AC23" s="25">
        <f>IF($V21=1,S23+AB23,S23)</f>
        <v>1243.06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1053.44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84.275199999999998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84.275199999999998</v>
      </c>
      <c r="AS23" s="48" t="s">
        <v>216</v>
      </c>
      <c r="AT23" s="48" t="s">
        <v>58</v>
      </c>
      <c r="AW23" s="48">
        <f>AM23</f>
        <v>12.5</v>
      </c>
      <c r="AX23" s="48">
        <f>AR23</f>
        <v>84.275199999999998</v>
      </c>
      <c r="AY23" s="48">
        <f>AU23+AW23</f>
        <v>12.5</v>
      </c>
      <c r="AZ23" s="48">
        <f>ROUND(((AU23*AV23)+(AW23*AX23))/(AU23+AW23),5)</f>
        <v>84.275199999999998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84.275199999999998</v>
      </c>
      <c r="BP23" s="53">
        <f>BN23+AW23</f>
        <v>50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1125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71.56</v>
      </c>
      <c r="S24" s="30">
        <f>SUM(S23:S23)</f>
        <v>1053.44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189.62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189.62</v>
      </c>
      <c r="AC24" s="44">
        <f t="shared" si="3"/>
        <v>1243.06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1053.44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4" t="s">
        <v>194</v>
      </c>
      <c r="H26" s="155"/>
      <c r="I26" s="157">
        <f>H24</f>
        <v>1125</v>
      </c>
      <c r="J26" s="157"/>
      <c r="K26" s="65"/>
      <c r="L26" s="16"/>
      <c r="M26" s="160" t="s">
        <v>195</v>
      </c>
      <c r="N26" s="161"/>
      <c r="O26" s="161"/>
      <c r="P26" s="162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196</v>
      </c>
      <c r="H27" s="155"/>
      <c r="I27" s="157">
        <f>R24</f>
        <v>71.56</v>
      </c>
      <c r="J27" s="157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197</v>
      </c>
      <c r="H28" s="155"/>
      <c r="I28" s="157">
        <f>S24</f>
        <v>1053.44</v>
      </c>
      <c r="J28" s="157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198</v>
      </c>
      <c r="H29" s="155"/>
      <c r="I29" s="157">
        <f>AB24</f>
        <v>189.62</v>
      </c>
      <c r="J29" s="157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199</v>
      </c>
      <c r="H30" s="155"/>
      <c r="I30" s="156">
        <f>I28+I29</f>
        <v>1243.06</v>
      </c>
      <c r="J30" s="15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C19" workbookViewId="0">
      <selection activeCell="AJ24" sqref="AJ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500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253</v>
      </c>
      <c r="H23" s="26">
        <f>F23*G23</f>
        <v>1200</v>
      </c>
      <c r="I23" t="s">
        <v>223</v>
      </c>
      <c r="J23" s="26">
        <v>2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23.52</v>
      </c>
      <c r="P23" s="26">
        <f>ROUND(N23-O23,2)</f>
        <v>1152.48</v>
      </c>
      <c r="Q23" s="26">
        <f>ROUND(P23*K23%,2)</f>
        <v>28.81</v>
      </c>
      <c r="R23" s="26">
        <f>ROUND((M23+O23+Q23),2)</f>
        <v>76.33</v>
      </c>
      <c r="S23" s="26">
        <f>ROUND((H23-R23),2)</f>
        <v>1123.67</v>
      </c>
      <c r="T23" s="55" t="s">
        <v>146</v>
      </c>
      <c r="U23" s="43">
        <v>0.18</v>
      </c>
      <c r="V23" s="26">
        <f>IF(OR($C$21=1,$C$21=4),ROUND(((S23*U23)/2),2),0)</f>
        <v>101.13</v>
      </c>
      <c r="W23" s="26">
        <f>IF($C$21=1,ROUND(((S23*U23)/2),2),0)</f>
        <v>101.13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202.26</v>
      </c>
      <c r="AC23" s="25">
        <f>IF($V21=1,S23+AB23,S23)</f>
        <v>1325.93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1123.67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280.91750000000002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280.91750000000002</v>
      </c>
      <c r="AS23" s="48" t="s">
        <v>484</v>
      </c>
      <c r="AT23" s="48" t="s">
        <v>58</v>
      </c>
      <c r="AU23" t="s">
        <v>254</v>
      </c>
      <c r="AV23" t="s">
        <v>311</v>
      </c>
      <c r="AW23" s="48">
        <f>AM23</f>
        <v>4</v>
      </c>
      <c r="AX23" s="48">
        <f>AR23</f>
        <v>280.91750000000002</v>
      </c>
      <c r="AY23" s="48">
        <f>AU23+AW23</f>
        <v>29</v>
      </c>
      <c r="AZ23" s="48">
        <f>ROUND(((AU23*AV23)+(AW23*AX23))/(AU23+AW23),5)</f>
        <v>200.19345000000001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311</v>
      </c>
      <c r="BN23" t="s">
        <v>464</v>
      </c>
      <c r="BO23" s="48">
        <f>ROUND((((AW23*AZ23)+(BN23*BM23))/(AW23+BN23)),5)</f>
        <v>187.72105999999999</v>
      </c>
      <c r="BP23" s="53">
        <f>BN23+AW23</f>
        <v>116.5</v>
      </c>
      <c r="BQ23" s="54">
        <v>88363222</v>
      </c>
    </row>
    <row r="24" spans="1:69" ht="15.75" thickBot="1">
      <c r="A24" s="25">
        <v>2</v>
      </c>
      <c r="B24" s="25" t="s">
        <v>501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253</v>
      </c>
      <c r="H24" s="26">
        <f t="shared" ref="H24" si="3">F24*G24</f>
        <v>1500</v>
      </c>
      <c r="I24" t="s">
        <v>223</v>
      </c>
      <c r="J24" s="26">
        <v>2</v>
      </c>
      <c r="K24" s="26">
        <v>2.5</v>
      </c>
      <c r="L24" s="26">
        <f t="shared" ref="L24" si="4">H24</f>
        <v>1500</v>
      </c>
      <c r="M24" s="26">
        <f t="shared" ref="M24" si="5">ROUND(L24*I24%,2)</f>
        <v>30</v>
      </c>
      <c r="N24" s="26">
        <f t="shared" ref="N24" si="6">H24-M24</f>
        <v>1470</v>
      </c>
      <c r="O24" s="26">
        <f t="shared" ref="O24" si="7">ROUND(N24*J24%,2)</f>
        <v>29.4</v>
      </c>
      <c r="P24" s="26">
        <f t="shared" ref="P24" si="8">ROUND(N24-O24,2)</f>
        <v>1440.6</v>
      </c>
      <c r="Q24" s="26">
        <f t="shared" ref="Q24" si="9">ROUND(P24*K24%,2)</f>
        <v>36.020000000000003</v>
      </c>
      <c r="R24" s="26">
        <f t="shared" ref="R24" si="10">ROUND((M24+O24+Q24),2)</f>
        <v>95.42</v>
      </c>
      <c r="S24" s="26">
        <f t="shared" ref="S24" si="11">ROUND((H24-R24),2)</f>
        <v>1404.58</v>
      </c>
      <c r="T24" s="55" t="s">
        <v>261</v>
      </c>
      <c r="U24" s="43">
        <v>0.18</v>
      </c>
      <c r="V24" s="26">
        <f t="shared" ref="V24" si="12">IF(OR($C$21=1,$C$21=4),ROUND(((S24*U24)/2),2),0)</f>
        <v>126.41</v>
      </c>
      <c r="W24" s="26">
        <f t="shared" ref="W24" si="13">IF($C$21=1,ROUND(((S24*U24)/2),2),0)</f>
        <v>126.41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252.82</v>
      </c>
      <c r="AC24" s="25">
        <f t="shared" ref="AC24" si="18">IF($V22=1,S24+AB24,S24)</f>
        <v>1404.58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1404.58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280.916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280.916</v>
      </c>
      <c r="AS24" s="48" t="s">
        <v>484</v>
      </c>
      <c r="AT24" s="48" t="s">
        <v>58</v>
      </c>
      <c r="AU24" t="s">
        <v>312</v>
      </c>
      <c r="AV24" t="s">
        <v>313</v>
      </c>
      <c r="AW24" s="48">
        <f>AM24</f>
        <v>5</v>
      </c>
      <c r="AX24" s="48">
        <f>AR24</f>
        <v>280.916</v>
      </c>
      <c r="AY24" s="48">
        <f>AU24+AW24</f>
        <v>33</v>
      </c>
      <c r="AZ24" s="48">
        <f>ROUND(((AU24*AV24)+(AW24*AX24))/(AU24+AW24),5)</f>
        <v>201.46546000000001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313</v>
      </c>
      <c r="BN24" t="s">
        <v>465</v>
      </c>
      <c r="BO24" s="48">
        <f>ROUND((((AW24*AZ24)+(BN24*BM24))/(AW24+BN24)),5)</f>
        <v>187.81936999999999</v>
      </c>
      <c r="BP24" s="53">
        <f>BN24+AW24</f>
        <v>131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2700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171.75</v>
      </c>
      <c r="S25" s="30">
        <f>SUM(S23:S24)</f>
        <v>2528.25</v>
      </c>
      <c r="T25" s="30"/>
      <c r="U25" s="30"/>
      <c r="V25" s="39">
        <f t="shared" ref="V25:AE25" si="24">SUM(V23:V24)</f>
        <v>227.54</v>
      </c>
      <c r="W25" s="39">
        <f t="shared" si="24"/>
        <v>227.54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455.08</v>
      </c>
      <c r="AC25" s="44">
        <f t="shared" si="24"/>
        <v>2730.51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2528.25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2700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171.75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2528.25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455.08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2983.33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13" workbookViewId="0">
      <selection activeCell="E27" sqref="E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2" t="s">
        <v>47</v>
      </c>
      <c r="B2" s="112"/>
      <c r="C2" s="112"/>
      <c r="D2" s="112"/>
      <c r="E2" s="112"/>
      <c r="F2" s="112"/>
      <c r="G2" s="112"/>
      <c r="H2" s="11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3" t="s">
        <v>89</v>
      </c>
      <c r="B21" s="153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333</v>
      </c>
      <c r="AV23" t="s">
        <v>379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1220.52478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334</v>
      </c>
      <c r="AV24" t="s">
        <v>380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250</v>
      </c>
      <c r="BM24" t="s">
        <v>218</v>
      </c>
      <c r="BN24" t="s">
        <v>218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AB25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273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274</v>
      </c>
      <c r="AS23" t="s">
        <v>275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278</v>
      </c>
      <c r="BK23" t="s">
        <v>279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280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216</v>
      </c>
      <c r="AQ24" s="7" t="s">
        <v>58</v>
      </c>
      <c r="AR24" t="s">
        <v>281</v>
      </c>
      <c r="AS24" t="s">
        <v>282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284</v>
      </c>
      <c r="BK24" t="s">
        <v>285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218</v>
      </c>
      <c r="AS23" t="s">
        <v>259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250</v>
      </c>
      <c r="BJ23" t="s">
        <v>259</v>
      </c>
      <c r="BK23" t="s">
        <v>253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216</v>
      </c>
      <c r="AQ24" s="7" t="s">
        <v>58</v>
      </c>
      <c r="AR24" t="s">
        <v>218</v>
      </c>
      <c r="AS24" t="s">
        <v>262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250</v>
      </c>
      <c r="BJ24" t="s">
        <v>262</v>
      </c>
      <c r="BK24" t="s">
        <v>288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10654.75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575.95000000000005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10078.799999999999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1814.19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11892.99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58" t="s">
        <v>154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292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293</v>
      </c>
      <c r="H23" s="26">
        <f>F23*G23</f>
        <v>1967.5</v>
      </c>
      <c r="I23" t="s">
        <v>223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216</v>
      </c>
      <c r="AQ23" s="7" t="s">
        <v>58</v>
      </c>
      <c r="AR23" t="s">
        <v>289</v>
      </c>
      <c r="AS23" t="s">
        <v>294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218</v>
      </c>
      <c r="BK23" t="s">
        <v>218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295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296</v>
      </c>
      <c r="H24" s="26">
        <f t="shared" ref="H24" si="4">F24*G24</f>
        <v>2380</v>
      </c>
      <c r="I24" t="s">
        <v>290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261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216</v>
      </c>
      <c r="AQ24" s="7" t="s">
        <v>58</v>
      </c>
      <c r="AR24" t="s">
        <v>291</v>
      </c>
      <c r="AS24" t="s">
        <v>297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218</v>
      </c>
      <c r="BK24" t="s">
        <v>218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</v>
      </c>
      <c r="W25" s="39">
        <f t="shared" si="26"/>
        <v>364.34</v>
      </c>
      <c r="X25" s="39">
        <f t="shared" si="26"/>
        <v>0</v>
      </c>
      <c r="Y25" s="30">
        <f t="shared" si="26"/>
        <v>728.68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4" t="s">
        <v>194</v>
      </c>
      <c r="H27" s="155"/>
      <c r="I27" s="157">
        <f>H25</f>
        <v>4347.5</v>
      </c>
      <c r="J27" s="157"/>
      <c r="K27" s="65"/>
      <c r="L27" s="16"/>
      <c r="M27" s="160" t="s">
        <v>195</v>
      </c>
      <c r="N27" s="161"/>
      <c r="O27" s="161"/>
      <c r="P27" s="162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4" t="s">
        <v>196</v>
      </c>
      <c r="H28" s="155"/>
      <c r="I28" s="157">
        <f>R25</f>
        <v>299.27999999999997</v>
      </c>
      <c r="J28" s="157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4" t="s">
        <v>197</v>
      </c>
      <c r="H29" s="155"/>
      <c r="I29" s="157">
        <f>S25</f>
        <v>4048.22</v>
      </c>
      <c r="J29" s="157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4" t="s">
        <v>198</v>
      </c>
      <c r="H30" s="155"/>
      <c r="I30" s="157">
        <f>Y25</f>
        <v>728.68</v>
      </c>
      <c r="J30" s="157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4" t="s">
        <v>199</v>
      </c>
      <c r="H31" s="155"/>
      <c r="I31" s="156">
        <f>I29+I30</f>
        <v>4776.8999999999996</v>
      </c>
      <c r="J31" s="15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238</v>
      </c>
      <c r="BK23" t="s">
        <v>299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300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832.84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235.26666666666699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235.26666666666699</v>
      </c>
      <c r="AP24" s="48" t="s">
        <v>216</v>
      </c>
      <c r="AQ24" s="48" t="s">
        <v>58</v>
      </c>
      <c r="AR24" t="s">
        <v>218</v>
      </c>
      <c r="AS24" t="s">
        <v>301</v>
      </c>
      <c r="AT24" s="48">
        <f t="shared" ref="AT24" si="23">AJ24</f>
        <v>3</v>
      </c>
      <c r="AU24" s="48">
        <f t="shared" ref="AU24" si="24">AO24</f>
        <v>235.26666666666699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301</v>
      </c>
      <c r="BK24" t="s">
        <v>290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304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305</v>
      </c>
      <c r="H23" s="26">
        <f>F23*G23</f>
        <v>1572</v>
      </c>
      <c r="I23" t="s">
        <v>248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216</v>
      </c>
      <c r="AQ23" s="48" t="s">
        <v>58</v>
      </c>
      <c r="AR23" t="s">
        <v>218</v>
      </c>
      <c r="AS23" t="s">
        <v>306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306</v>
      </c>
      <c r="BK23" t="s">
        <v>223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307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308</v>
      </c>
      <c r="H24" s="26">
        <f t="shared" ref="H24" si="6">F24*G24</f>
        <v>1305</v>
      </c>
      <c r="I24" t="s">
        <v>309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407.40666666666698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407.40666666666698</v>
      </c>
      <c r="AP24" s="48" t="s">
        <v>216</v>
      </c>
      <c r="AQ24" s="48" t="s">
        <v>58</v>
      </c>
      <c r="AR24" t="s">
        <v>218</v>
      </c>
      <c r="AS24" t="s">
        <v>310</v>
      </c>
      <c r="AT24" s="48">
        <f t="shared" ref="AT24" si="18">AJ24</f>
        <v>3</v>
      </c>
      <c r="AU24" s="48">
        <f>AO24</f>
        <v>407.40666666666698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310</v>
      </c>
      <c r="BK24" t="s">
        <v>290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342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442</v>
      </c>
      <c r="H23" s="26">
        <f>F23*G23</f>
        <v>850</v>
      </c>
      <c r="I23" t="s">
        <v>223</v>
      </c>
      <c r="J23" s="26">
        <v>1.79</v>
      </c>
      <c r="K23" s="26">
        <v>2.5</v>
      </c>
      <c r="L23" s="26">
        <f>H23</f>
        <v>850</v>
      </c>
      <c r="M23" s="26">
        <f>ROUND(L23*I23%,2)</f>
        <v>18.79</v>
      </c>
      <c r="N23" s="26">
        <f>H23-M23</f>
        <v>831.21</v>
      </c>
      <c r="O23" s="26">
        <f>ROUND(N23*J23%,2)</f>
        <v>14.88</v>
      </c>
      <c r="P23" s="26">
        <f>ROUND(N23-O23,2)</f>
        <v>816.33</v>
      </c>
      <c r="Q23" s="26">
        <f>ROUND(P23*K23%,2)</f>
        <v>20.41</v>
      </c>
      <c r="R23" s="26">
        <f>M23+O23+Q23</f>
        <v>54.08</v>
      </c>
      <c r="S23" s="26">
        <f>(H23-R23)</f>
        <v>795.92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143.27000000000001</v>
      </c>
      <c r="Y23" s="26">
        <f>V23+W23+X23</f>
        <v>143.27000000000001</v>
      </c>
      <c r="Z23" s="26">
        <f t="shared" ref="Z23:Z24" si="1">S23+Y23</f>
        <v>939.19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795.92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31.8368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31.8368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31.8368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31.8368</v>
      </c>
    </row>
    <row r="24" spans="1:65">
      <c r="A24" s="25">
        <v>2</v>
      </c>
      <c r="B24" s="25" t="s">
        <v>343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1172.8699999999999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28.398859999999999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28.398859999999999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110.12</v>
      </c>
      <c r="S25" s="39">
        <f>SUM(S23:S24)</f>
        <v>1789.88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322.18</v>
      </c>
      <c r="Y25" s="30">
        <f t="shared" si="22"/>
        <v>322.18</v>
      </c>
      <c r="Z25" s="44">
        <f t="shared" si="22"/>
        <v>2112.06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1789.88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344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345</v>
      </c>
      <c r="H23" s="26">
        <f>F23*G23</f>
        <v>17200</v>
      </c>
      <c r="I23" t="s">
        <v>223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645.61680000000001</v>
      </c>
    </row>
    <row r="24" spans="1:65">
      <c r="A24" s="25">
        <v>2</v>
      </c>
      <c r="B24" s="25" t="s">
        <v>346</v>
      </c>
      <c r="C24" s="25" t="s">
        <v>60</v>
      </c>
      <c r="D24" s="25" t="s">
        <v>163</v>
      </c>
      <c r="E24" s="25" t="s">
        <v>163</v>
      </c>
      <c r="F24" s="26">
        <v>35</v>
      </c>
      <c r="G24" t="s">
        <v>308</v>
      </c>
      <c r="H24" s="26">
        <f t="shared" ref="H24" si="6">F24*G24</f>
        <v>15225</v>
      </c>
      <c r="I24" t="s">
        <v>217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400.31971428571399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400.31971428571399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400.31970999999999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400.31970999999999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</v>
      </c>
      <c r="Y25" s="30">
        <f t="shared" si="22"/>
        <v>5427.29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3" t="s">
        <v>89</v>
      </c>
      <c r="B21" s="153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348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443</v>
      </c>
      <c r="H23" s="26">
        <f>F23*G23</f>
        <v>17200</v>
      </c>
      <c r="I23" t="s">
        <v>290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" si="1">S23+Y23</f>
        <v>19045.7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16140.42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645.61680000000001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17200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1059.58</v>
      </c>
      <c r="S24" s="39">
        <f>SUM(S23:S23)</f>
        <v>16140.42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2905.28</v>
      </c>
      <c r="Y24" s="30">
        <f t="shared" si="6"/>
        <v>2905.28</v>
      </c>
      <c r="Z24" s="44">
        <f t="shared" si="6"/>
        <v>19045.7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16140.42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3" t="s">
        <v>89</v>
      </c>
      <c r="B21" s="153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  <c r="BN22" s="57" t="s">
        <v>108</v>
      </c>
    </row>
    <row r="23" spans="1:67">
      <c r="A23" s="25">
        <v>1</v>
      </c>
      <c r="B23" s="25" t="s">
        <v>349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329</v>
      </c>
      <c r="BK23" t="s">
        <v>330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350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</v>
      </c>
      <c r="AP24" s="48" t="s">
        <v>216</v>
      </c>
      <c r="AQ24" s="48" t="s">
        <v>58</v>
      </c>
      <c r="AR24" t="s">
        <v>218</v>
      </c>
      <c r="AS24" t="s">
        <v>219</v>
      </c>
      <c r="AT24" s="48">
        <f t="shared" ref="AT24" si="21">AJ24</f>
        <v>3</v>
      </c>
      <c r="AU24" s="48">
        <f>AO24</f>
        <v>123.303333333333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331</v>
      </c>
      <c r="BK24" t="s">
        <v>332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5</v>
      </c>
      <c r="D21" s="21" t="s">
        <v>351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56" t="s">
        <v>215</v>
      </c>
      <c r="BQ22" s="57" t="s">
        <v>108</v>
      </c>
    </row>
    <row r="23" spans="1:70">
      <c r="A23" s="25">
        <v>1</v>
      </c>
      <c r="B23" s="25" t="s">
        <v>350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218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329</v>
      </c>
      <c r="BN23" t="s">
        <v>330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358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95.105000000000004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364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365</v>
      </c>
      <c r="BN23" t="s">
        <v>366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95.105000000000004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51" t="s">
        <v>46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2" t="s">
        <v>87</v>
      </c>
      <c r="C19" s="152"/>
      <c r="D19" s="152"/>
      <c r="E19" s="152"/>
      <c r="F19" s="152"/>
      <c r="G19" s="152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3" t="s">
        <v>89</v>
      </c>
      <c r="B21" s="153"/>
      <c r="C21" s="20">
        <v>2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Harikrishna</cp:lastModifiedBy>
  <dcterms:created xsi:type="dcterms:W3CDTF">2024-08-28T12:59:00Z</dcterms:created>
  <dcterms:modified xsi:type="dcterms:W3CDTF">2025-11-19T07:00:23Z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