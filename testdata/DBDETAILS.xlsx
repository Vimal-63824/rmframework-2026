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0" yWindow="0" windowWidth="19200" windowHeight="6915" firstSheet="11" activeTab="14"/>
  </bookViews>
  <sheets>
    <sheet name="test" sheetId="1" r:id="rId1"/>
    <sheet name="DBDetails2" sheetId="2" r:id="rId2"/>
    <sheet name="Sheet3" sheetId="3" r:id="rId3"/>
    <sheet name="Sheet1" sheetId="4" r:id="rId4"/>
    <sheet name="Sheet4" sheetId="5" r:id="rId5"/>
    <sheet name="POSER" sheetId="6" r:id="rId6"/>
    <sheet name="POGENUD" sheetId="7" r:id="rId7"/>
    <sheet name="POWithRateContractGen" sheetId="8" r:id="rId8"/>
    <sheet name="POwithRateContractMat" sheetId="9" r:id="rId9"/>
    <sheet name="POMATUD" sheetId="10" r:id="rId10"/>
    <sheet name="RateContractSer" sheetId="11" r:id="rId11"/>
    <sheet name="PriceListItemGen" sheetId="12" r:id="rId12"/>
    <sheet name="STRateContract" sheetId="13" r:id="rId13"/>
    <sheet name="StockTransferItemGeneralType" sheetId="14" r:id="rId14"/>
    <sheet name="PriceListItemSer" sheetId="15" r:id="rId15"/>
    <sheet name="StockTransferPriceList" sheetId="16" r:id="rId16"/>
    <sheet name="DifferentUOMUD" sheetId="18" r:id="rId17"/>
    <sheet name="DifferentUOMMATUD" sheetId="19" r:id="rId18"/>
    <sheet name="DifferentUOMStocktransferUD" sheetId="20" r:id="rId19"/>
    <sheet name="DifferentUOMRateGen" sheetId="21" r:id="rId20"/>
    <sheet name="DifferentUOMRateMat" sheetId="22" r:id="rId21"/>
  </sheets>
  <calcPr calcId="12451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W24" i="8"/>
  <c r="AV33"/>
  <c r="AU28"/>
  <c r="AA25"/>
  <c r="AM24"/>
  <c r="AJ24"/>
  <c r="AT24" s="1"/>
  <c r="AH24"/>
  <c r="X24"/>
  <c r="L24"/>
  <c r="M24" s="1"/>
  <c r="H24"/>
  <c r="BM23"/>
  <c r="AV23"/>
  <c r="AT23"/>
  <c r="AJ23"/>
  <c r="AH23"/>
  <c r="AM23" s="1"/>
  <c r="X23"/>
  <c r="X25" s="1"/>
  <c r="H23"/>
  <c r="H18"/>
  <c r="H17"/>
  <c r="H16"/>
  <c r="H15"/>
  <c r="H14"/>
  <c r="H13"/>
  <c r="H12"/>
  <c r="H11"/>
  <c r="H10"/>
  <c r="H9"/>
  <c r="H8"/>
  <c r="H7"/>
  <c r="H6"/>
  <c r="H5"/>
  <c r="H4"/>
  <c r="H19" s="1"/>
  <c r="AW24" i="13"/>
  <c r="AW23"/>
  <c r="AT24" i="22"/>
  <c r="AT23"/>
  <c r="AU23"/>
  <c r="AW23"/>
  <c r="AV23"/>
  <c r="BL23"/>
  <c r="BJ34"/>
  <c r="BK33"/>
  <c r="BJ33"/>
  <c r="AE25"/>
  <c r="AA25"/>
  <c r="AJ24"/>
  <c r="AH24"/>
  <c r="AE24"/>
  <c r="AD24"/>
  <c r="AG24" s="1"/>
  <c r="AL24" s="1"/>
  <c r="AB24"/>
  <c r="X24"/>
  <c r="H24"/>
  <c r="BM23"/>
  <c r="AJ23"/>
  <c r="AH23"/>
  <c r="AM23" s="1"/>
  <c r="AG23"/>
  <c r="AL23" s="1"/>
  <c r="AE23"/>
  <c r="AD23"/>
  <c r="AD25" s="1"/>
  <c r="AB23"/>
  <c r="AB25" s="1"/>
  <c r="X23"/>
  <c r="X25" s="1"/>
  <c r="M23"/>
  <c r="L23"/>
  <c r="H23"/>
  <c r="H18"/>
  <c r="H17"/>
  <c r="H16"/>
  <c r="H15"/>
  <c r="H14"/>
  <c r="H13"/>
  <c r="H12"/>
  <c r="H11"/>
  <c r="H10"/>
  <c r="H9"/>
  <c r="H8"/>
  <c r="H7"/>
  <c r="H6"/>
  <c r="H5"/>
  <c r="H4"/>
  <c r="H19" s="1"/>
  <c r="BJ34" i="21"/>
  <c r="BK33"/>
  <c r="BJ33"/>
  <c r="AH25"/>
  <c r="AE25"/>
  <c r="AA25"/>
  <c r="AL24"/>
  <c r="AJ24"/>
  <c r="AT24" s="1"/>
  <c r="AH24"/>
  <c r="AM24" s="1"/>
  <c r="AG24"/>
  <c r="AE24"/>
  <c r="AD24"/>
  <c r="AB24"/>
  <c r="AB25" s="1"/>
  <c r="X24"/>
  <c r="H24"/>
  <c r="AJ23"/>
  <c r="AT23" s="1"/>
  <c r="AH23"/>
  <c r="AM23" s="1"/>
  <c r="AE23"/>
  <c r="AD23"/>
  <c r="AD25" s="1"/>
  <c r="AB23"/>
  <c r="X23"/>
  <c r="X25" s="1"/>
  <c r="L23"/>
  <c r="M23" s="1"/>
  <c r="H23"/>
  <c r="H25" s="1"/>
  <c r="I27" s="1"/>
  <c r="H18"/>
  <c r="H17"/>
  <c r="H16"/>
  <c r="H15"/>
  <c r="H14"/>
  <c r="H13"/>
  <c r="H12"/>
  <c r="H11"/>
  <c r="H10"/>
  <c r="H9"/>
  <c r="H8"/>
  <c r="H7"/>
  <c r="H6"/>
  <c r="H5"/>
  <c r="H19" s="1"/>
  <c r="H4"/>
  <c r="BJ34" i="20"/>
  <c r="BK33"/>
  <c r="BJ33"/>
  <c r="AE25"/>
  <c r="AA25"/>
  <c r="AJ24"/>
  <c r="AT24" s="1"/>
  <c r="AH24"/>
  <c r="AM24" s="1"/>
  <c r="AE24"/>
  <c r="AG24" s="1"/>
  <c r="AL24" s="1"/>
  <c r="AD24"/>
  <c r="AB24"/>
  <c r="X24"/>
  <c r="L24"/>
  <c r="M24" s="1"/>
  <c r="H24"/>
  <c r="AT23"/>
  <c r="AJ23"/>
  <c r="AH23"/>
  <c r="AM23" s="1"/>
  <c r="AE23"/>
  <c r="AG23" s="1"/>
  <c r="AD23"/>
  <c r="AD25" s="1"/>
  <c r="AB23"/>
  <c r="AB25" s="1"/>
  <c r="X23"/>
  <c r="X25" s="1"/>
  <c r="H23"/>
  <c r="H25" s="1"/>
  <c r="I27" s="1"/>
  <c r="H18"/>
  <c r="H17"/>
  <c r="H16"/>
  <c r="H15"/>
  <c r="H14"/>
  <c r="H13"/>
  <c r="H12"/>
  <c r="H11"/>
  <c r="H10"/>
  <c r="H9"/>
  <c r="H8"/>
  <c r="H7"/>
  <c r="H6"/>
  <c r="H5"/>
  <c r="H4"/>
  <c r="H19" s="1"/>
  <c r="BJ34" i="19"/>
  <c r="BK33"/>
  <c r="BJ33"/>
  <c r="AA25"/>
  <c r="AE24" s="1"/>
  <c r="AV24"/>
  <c r="AT24"/>
  <c r="BM24" s="1"/>
  <c r="AJ24"/>
  <c r="AH24"/>
  <c r="AM24" s="1"/>
  <c r="AD24"/>
  <c r="AB24"/>
  <c r="X24"/>
  <c r="N24"/>
  <c r="O24" s="1"/>
  <c r="M24"/>
  <c r="L24"/>
  <c r="H24"/>
  <c r="BM23"/>
  <c r="AT23"/>
  <c r="AJ23"/>
  <c r="AH23"/>
  <c r="AB23"/>
  <c r="X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U23" i="14"/>
  <c r="AT23"/>
  <c r="AW23"/>
  <c r="AU23" i="13"/>
  <c r="BL24"/>
  <c r="BL23"/>
  <c r="AV23"/>
  <c r="AT23"/>
  <c r="AV24"/>
  <c r="AU24"/>
  <c r="BL23" i="10"/>
  <c r="BM24"/>
  <c r="BL24"/>
  <c r="AW23"/>
  <c r="AW24"/>
  <c r="AV33" i="9"/>
  <c r="AU28"/>
  <c r="BL24" i="18"/>
  <c r="BL25"/>
  <c r="BL23"/>
  <c r="BL24" i="12"/>
  <c r="BL23"/>
  <c r="AV24" i="10"/>
  <c r="AU24"/>
  <c r="AT24"/>
  <c r="BM23"/>
  <c r="AU23"/>
  <c r="AT23"/>
  <c r="AV23" s="1"/>
  <c r="BM24" i="12"/>
  <c r="AW24"/>
  <c r="AV24"/>
  <c r="AU24"/>
  <c r="AT24"/>
  <c r="BM23"/>
  <c r="AW23"/>
  <c r="AU23"/>
  <c r="AT23"/>
  <c r="AV23" s="1"/>
  <c r="AT24" i="14"/>
  <c r="AV24" s="1"/>
  <c r="AV23"/>
  <c r="AA25" i="16"/>
  <c r="BM24" i="18"/>
  <c r="BM25"/>
  <c r="BM23"/>
  <c r="BK38"/>
  <c r="BJ38"/>
  <c r="BJ35"/>
  <c r="BK34"/>
  <c r="BJ34"/>
  <c r="AK24"/>
  <c r="AO24" s="1"/>
  <c r="AU24" s="1"/>
  <c r="AW24" s="1"/>
  <c r="AK25"/>
  <c r="AO25" s="1"/>
  <c r="AK23"/>
  <c r="AO23" s="1"/>
  <c r="M24"/>
  <c r="M25"/>
  <c r="N25" s="1"/>
  <c r="O25" s="1"/>
  <c r="M23"/>
  <c r="AE26"/>
  <c r="AA26"/>
  <c r="AV25"/>
  <c r="AT25"/>
  <c r="AJ25"/>
  <c r="AH25"/>
  <c r="AE25"/>
  <c r="AD25"/>
  <c r="AB25"/>
  <c r="X25"/>
  <c r="L25"/>
  <c r="H25"/>
  <c r="AJ24"/>
  <c r="AH24"/>
  <c r="AE24"/>
  <c r="AD24"/>
  <c r="AB24"/>
  <c r="X24"/>
  <c r="H24"/>
  <c r="L24" s="1"/>
  <c r="AJ23"/>
  <c r="AT23" s="1"/>
  <c r="AH23"/>
  <c r="AM23" s="1"/>
  <c r="AE23"/>
  <c r="AD23"/>
  <c r="AB23"/>
  <c r="X23"/>
  <c r="L23"/>
  <c r="H23"/>
  <c r="H26" s="1"/>
  <c r="I28" s="1"/>
  <c r="H18"/>
  <c r="H17"/>
  <c r="H16"/>
  <c r="H15"/>
  <c r="H14"/>
  <c r="H13"/>
  <c r="H12"/>
  <c r="H11"/>
  <c r="H10"/>
  <c r="H9"/>
  <c r="H8"/>
  <c r="H7"/>
  <c r="H6"/>
  <c r="H5"/>
  <c r="H4"/>
  <c r="H19" s="1"/>
  <c r="N24" i="8" l="1"/>
  <c r="AV24"/>
  <c r="BM24"/>
  <c r="H25"/>
  <c r="AH25"/>
  <c r="L23"/>
  <c r="M23" s="1"/>
  <c r="AM24" i="22"/>
  <c r="BM24"/>
  <c r="AV24"/>
  <c r="H25"/>
  <c r="I27" s="1"/>
  <c r="AH25"/>
  <c r="AG25"/>
  <c r="N23"/>
  <c r="L24"/>
  <c r="M24" s="1"/>
  <c r="N23" i="21"/>
  <c r="BM23"/>
  <c r="AV23"/>
  <c r="BM24"/>
  <c r="AV24"/>
  <c r="AG23"/>
  <c r="L24"/>
  <c r="M24" s="1"/>
  <c r="AL23" i="20"/>
  <c r="AG25"/>
  <c r="N24"/>
  <c r="AV24"/>
  <c r="BM24"/>
  <c r="AH25"/>
  <c r="AV23"/>
  <c r="L23"/>
  <c r="M23" s="1"/>
  <c r="BM23"/>
  <c r="H19" i="19"/>
  <c r="AM23"/>
  <c r="X25"/>
  <c r="AG24"/>
  <c r="AL24" s="1"/>
  <c r="H25"/>
  <c r="I27" s="1"/>
  <c r="P24"/>
  <c r="Q24" s="1"/>
  <c r="R24" s="1"/>
  <c r="S24" s="1"/>
  <c r="AB25"/>
  <c r="N23"/>
  <c r="AV23"/>
  <c r="AH25"/>
  <c r="AE23"/>
  <c r="AE25"/>
  <c r="AD23"/>
  <c r="BM23" i="14"/>
  <c r="BM24"/>
  <c r="AM24" i="18"/>
  <c r="AG23"/>
  <c r="AL23" s="1"/>
  <c r="AD26"/>
  <c r="X26"/>
  <c r="AG25"/>
  <c r="AL25" s="1"/>
  <c r="AB26"/>
  <c r="AH26"/>
  <c r="AV23"/>
  <c r="N23"/>
  <c r="O23" s="1"/>
  <c r="N24"/>
  <c r="O24" s="1"/>
  <c r="AG24"/>
  <c r="AL24" s="1"/>
  <c r="P25"/>
  <c r="AM25"/>
  <c r="AT24"/>
  <c r="O24" i="8" l="1"/>
  <c r="N23"/>
  <c r="N24" i="22"/>
  <c r="O23"/>
  <c r="P23" i="21"/>
  <c r="Q23" s="1"/>
  <c r="O23"/>
  <c r="AL23"/>
  <c r="AG25"/>
  <c r="N24"/>
  <c r="O24" i="20"/>
  <c r="N23"/>
  <c r="AF24" i="19"/>
  <c r="AK24" s="1"/>
  <c r="AO24" s="1"/>
  <c r="AU24" s="1"/>
  <c r="AW24" s="1"/>
  <c r="BL24" s="1"/>
  <c r="V24"/>
  <c r="W24"/>
  <c r="Y24"/>
  <c r="Z24" s="1"/>
  <c r="AD25"/>
  <c r="AG23"/>
  <c r="O23"/>
  <c r="Q25" i="18"/>
  <c r="R25" s="1"/>
  <c r="S25" s="1"/>
  <c r="AG26"/>
  <c r="AV24"/>
  <c r="O23" i="8" l="1"/>
  <c r="R24"/>
  <c r="S24" s="1"/>
  <c r="P24"/>
  <c r="Q24" s="1"/>
  <c r="O24" i="22"/>
  <c r="P23"/>
  <c r="Q23" s="1"/>
  <c r="R23" s="1"/>
  <c r="P24" i="21"/>
  <c r="Q24" s="1"/>
  <c r="O24"/>
  <c r="R23"/>
  <c r="O23" i="20"/>
  <c r="P23" s="1"/>
  <c r="Q23" s="1"/>
  <c r="R24"/>
  <c r="S24" s="1"/>
  <c r="P24"/>
  <c r="Q24" s="1"/>
  <c r="AG25" i="19"/>
  <c r="AL23"/>
  <c r="P23"/>
  <c r="Q23" s="1"/>
  <c r="R23" s="1"/>
  <c r="V25" i="18"/>
  <c r="Y25"/>
  <c r="Z25" s="1"/>
  <c r="W25"/>
  <c r="AF25"/>
  <c r="AU25" s="1"/>
  <c r="AW25" s="1"/>
  <c r="P24"/>
  <c r="P23"/>
  <c r="AF24" i="8" l="1"/>
  <c r="AK24" s="1"/>
  <c r="V24"/>
  <c r="Y24" s="1"/>
  <c r="W24"/>
  <c r="Z24"/>
  <c r="P23"/>
  <c r="Q23" s="1"/>
  <c r="R23" s="1"/>
  <c r="R25" i="22"/>
  <c r="I28" s="1"/>
  <c r="S23"/>
  <c r="R24"/>
  <c r="S24" s="1"/>
  <c r="P24"/>
  <c r="Q24" s="1"/>
  <c r="R25" i="21"/>
  <c r="I28" s="1"/>
  <c r="S23"/>
  <c r="R24"/>
  <c r="S24" s="1"/>
  <c r="AF24" i="20"/>
  <c r="AK24" s="1"/>
  <c r="AO24" s="1"/>
  <c r="AU24" s="1"/>
  <c r="AW24" s="1"/>
  <c r="BL24" s="1"/>
  <c r="V24"/>
  <c r="W24"/>
  <c r="Y24"/>
  <c r="Z24" s="1"/>
  <c r="R23"/>
  <c r="S23" i="19"/>
  <c r="Q24" i="18"/>
  <c r="R24" s="1"/>
  <c r="S24" s="1"/>
  <c r="Q23"/>
  <c r="R23" s="1"/>
  <c r="R25" i="8" l="1"/>
  <c r="S23"/>
  <c r="AF24" i="22"/>
  <c r="AK24" s="1"/>
  <c r="AO24" s="1"/>
  <c r="V24"/>
  <c r="W24"/>
  <c r="Y24"/>
  <c r="Z24" s="1"/>
  <c r="AF23"/>
  <c r="V23"/>
  <c r="W23"/>
  <c r="S25"/>
  <c r="I29" s="1"/>
  <c r="I31" s="1"/>
  <c r="Y23"/>
  <c r="Y25" s="1"/>
  <c r="I30" s="1"/>
  <c r="AF23" i="21"/>
  <c r="Z23"/>
  <c r="S25"/>
  <c r="I29" s="1"/>
  <c r="V23"/>
  <c r="Y23"/>
  <c r="W23"/>
  <c r="W25" s="1"/>
  <c r="W24"/>
  <c r="Z24"/>
  <c r="AF24"/>
  <c r="AK24" s="1"/>
  <c r="AO24" s="1"/>
  <c r="AU24" s="1"/>
  <c r="AW24" s="1"/>
  <c r="BL24" s="1"/>
  <c r="V24"/>
  <c r="Y24"/>
  <c r="R25" i="20"/>
  <c r="I28" s="1"/>
  <c r="S23"/>
  <c r="R25" i="19"/>
  <c r="I28" s="1"/>
  <c r="S25"/>
  <c r="I29" s="1"/>
  <c r="AF23"/>
  <c r="V23"/>
  <c r="W23"/>
  <c r="Y23"/>
  <c r="Z23" s="1"/>
  <c r="Y24" i="18"/>
  <c r="Z24" s="1"/>
  <c r="V24"/>
  <c r="AF24"/>
  <c r="W24"/>
  <c r="S23"/>
  <c r="S26" s="1"/>
  <c r="I30" s="1"/>
  <c r="R26"/>
  <c r="I29" s="1"/>
  <c r="AD23" i="8" l="1"/>
  <c r="S25"/>
  <c r="AE23"/>
  <c r="AF23"/>
  <c r="V23"/>
  <c r="W23"/>
  <c r="W25" s="1"/>
  <c r="AB23"/>
  <c r="BL24" i="22"/>
  <c r="AU24"/>
  <c r="AW24" s="1"/>
  <c r="V25"/>
  <c r="AF25"/>
  <c r="AK23"/>
  <c r="AO23" s="1"/>
  <c r="Z23"/>
  <c r="Z25" s="1"/>
  <c r="W25"/>
  <c r="AK23" i="21"/>
  <c r="AO23" s="1"/>
  <c r="AU23" s="1"/>
  <c r="AW23" s="1"/>
  <c r="BL23" s="1"/>
  <c r="AF25"/>
  <c r="Z25"/>
  <c r="V25"/>
  <c r="Y25"/>
  <c r="I30" s="1"/>
  <c r="I31" s="1"/>
  <c r="S25" i="20"/>
  <c r="I29" s="1"/>
  <c r="AF23"/>
  <c r="V23"/>
  <c r="V25" s="1"/>
  <c r="W23"/>
  <c r="W25" s="1"/>
  <c r="Y23"/>
  <c r="Y25" s="1"/>
  <c r="I30" s="1"/>
  <c r="W25" i="19"/>
  <c r="Z25"/>
  <c r="I31"/>
  <c r="V25"/>
  <c r="Y25"/>
  <c r="I30" s="1"/>
  <c r="AF25"/>
  <c r="AK23"/>
  <c r="AO23" s="1"/>
  <c r="AU23" s="1"/>
  <c r="AW23" s="1"/>
  <c r="BL23" s="1"/>
  <c r="AF23" i="18"/>
  <c r="AF26" s="1"/>
  <c r="W23"/>
  <c r="W26" s="1"/>
  <c r="Y23"/>
  <c r="Y26" s="1"/>
  <c r="I31" s="1"/>
  <c r="I32" s="1"/>
  <c r="V23"/>
  <c r="V26" s="1"/>
  <c r="AD25" i="8" l="1"/>
  <c r="AG23"/>
  <c r="AE24"/>
  <c r="AD24"/>
  <c r="AB24"/>
  <c r="AB25" s="1"/>
  <c r="AF25"/>
  <c r="AK23"/>
  <c r="AE25"/>
  <c r="V25"/>
  <c r="Y23"/>
  <c r="AK23" i="20"/>
  <c r="AO23" s="1"/>
  <c r="AU23" s="1"/>
  <c r="AW23" s="1"/>
  <c r="BL23" s="1"/>
  <c r="AF25"/>
  <c r="Z23"/>
  <c r="Z25" s="1"/>
  <c r="I31"/>
  <c r="AU23" i="18"/>
  <c r="AW23" s="1"/>
  <c r="Z23"/>
  <c r="Z26" s="1"/>
  <c r="AO23" i="8" l="1"/>
  <c r="AU23" s="1"/>
  <c r="AW23" s="1"/>
  <c r="BL23" s="1"/>
  <c r="AG25"/>
  <c r="AL23"/>
  <c r="Y25"/>
  <c r="Z23"/>
  <c r="Z25" s="1"/>
  <c r="AG24"/>
  <c r="AL24" s="1"/>
  <c r="AO24" s="1"/>
  <c r="AU24" s="1"/>
  <c r="BL24" s="1"/>
  <c r="AC23" i="3"/>
  <c r="AB23"/>
  <c r="AT23" i="15"/>
  <c r="AV23" s="1"/>
  <c r="AU23" i="11"/>
  <c r="AT23"/>
  <c r="AU23" i="6"/>
  <c r="AK23" i="14"/>
  <c r="M24" i="3"/>
  <c r="M25"/>
  <c r="M26"/>
  <c r="M27"/>
  <c r="M28"/>
  <c r="M29"/>
  <c r="M30"/>
  <c r="M31"/>
  <c r="M32"/>
  <c r="M33"/>
  <c r="M34"/>
  <c r="M35"/>
  <c r="M36"/>
  <c r="M37"/>
  <c r="M23"/>
  <c r="AJ24" i="16"/>
  <c r="AT24" s="1"/>
  <c r="AH24"/>
  <c r="X24"/>
  <c r="H24"/>
  <c r="L24" s="1"/>
  <c r="M24" s="1"/>
  <c r="AJ23"/>
  <c r="AT23" s="1"/>
  <c r="AH23"/>
  <c r="X23"/>
  <c r="X25" s="1"/>
  <c r="H23"/>
  <c r="H25" s="1"/>
  <c r="H18"/>
  <c r="H17"/>
  <c r="H16"/>
  <c r="H15"/>
  <c r="H14"/>
  <c r="H13"/>
  <c r="H12"/>
  <c r="H11"/>
  <c r="H10"/>
  <c r="H9"/>
  <c r="H8"/>
  <c r="H7"/>
  <c r="H6"/>
  <c r="H5"/>
  <c r="H4"/>
  <c r="AA24" i="15"/>
  <c r="AJ23"/>
  <c r="AH23"/>
  <c r="AM23" s="1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AA25" i="14"/>
  <c r="AJ24"/>
  <c r="AH24"/>
  <c r="X24"/>
  <c r="L24"/>
  <c r="M24" s="1"/>
  <c r="N24" s="1"/>
  <c r="H24"/>
  <c r="AJ23"/>
  <c r="AH23"/>
  <c r="AM23" s="1"/>
  <c r="X23"/>
  <c r="H23"/>
  <c r="H18"/>
  <c r="H17"/>
  <c r="H16"/>
  <c r="H15"/>
  <c r="H14"/>
  <c r="H13"/>
  <c r="H12"/>
  <c r="H11"/>
  <c r="H10"/>
  <c r="H9"/>
  <c r="H8"/>
  <c r="H7"/>
  <c r="H6"/>
  <c r="H5"/>
  <c r="H4"/>
  <c r="AA25" i="13"/>
  <c r="AJ24"/>
  <c r="AT24" s="1"/>
  <c r="AH24"/>
  <c r="AM24" s="1"/>
  <c r="X24"/>
  <c r="H24"/>
  <c r="L24" s="1"/>
  <c r="M24" s="1"/>
  <c r="AJ23"/>
  <c r="AH23"/>
  <c r="X23"/>
  <c r="H23"/>
  <c r="H18"/>
  <c r="H17"/>
  <c r="H16"/>
  <c r="H15"/>
  <c r="H14"/>
  <c r="H13"/>
  <c r="H12"/>
  <c r="H11"/>
  <c r="H10"/>
  <c r="H9"/>
  <c r="H8"/>
  <c r="H7"/>
  <c r="H6"/>
  <c r="H5"/>
  <c r="H4"/>
  <c r="AA25" i="12"/>
  <c r="AJ24"/>
  <c r="AH24"/>
  <c r="X24"/>
  <c r="X25" s="1"/>
  <c r="H24"/>
  <c r="L24" s="1"/>
  <c r="M24" s="1"/>
  <c r="N24" s="1"/>
  <c r="O24" s="1"/>
  <c r="AJ23"/>
  <c r="AH23"/>
  <c r="AH25" s="1"/>
  <c r="X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A24" i="11"/>
  <c r="AJ23"/>
  <c r="AH23"/>
  <c r="AH24" s="1"/>
  <c r="X23"/>
  <c r="X24" s="1"/>
  <c r="H23"/>
  <c r="H18"/>
  <c r="H17"/>
  <c r="H16"/>
  <c r="H15"/>
  <c r="H14"/>
  <c r="H13"/>
  <c r="H12"/>
  <c r="H11"/>
  <c r="H10"/>
  <c r="H9"/>
  <c r="H8"/>
  <c r="H7"/>
  <c r="H6"/>
  <c r="H5"/>
  <c r="H4"/>
  <c r="H19" s="1"/>
  <c r="AA25" i="10"/>
  <c r="AJ24"/>
  <c r="AH24"/>
  <c r="X24"/>
  <c r="H24"/>
  <c r="L24" s="1"/>
  <c r="M24" s="1"/>
  <c r="AJ23"/>
  <c r="AH23"/>
  <c r="X23"/>
  <c r="H23"/>
  <c r="H18"/>
  <c r="H17"/>
  <c r="H16"/>
  <c r="H15"/>
  <c r="H14"/>
  <c r="H13"/>
  <c r="H12"/>
  <c r="H11"/>
  <c r="H10"/>
  <c r="H9"/>
  <c r="H8"/>
  <c r="H7"/>
  <c r="H6"/>
  <c r="H5"/>
  <c r="H4"/>
  <c r="AA25" i="9"/>
  <c r="AJ24"/>
  <c r="AT24" s="1"/>
  <c r="AH24"/>
  <c r="X24"/>
  <c r="H24"/>
  <c r="AJ23"/>
  <c r="AT23" s="1"/>
  <c r="AH23"/>
  <c r="X23"/>
  <c r="H23"/>
  <c r="H18"/>
  <c r="H17"/>
  <c r="H16"/>
  <c r="H15"/>
  <c r="H14"/>
  <c r="H13"/>
  <c r="H12"/>
  <c r="H11"/>
  <c r="H10"/>
  <c r="H9"/>
  <c r="H8"/>
  <c r="H7"/>
  <c r="H6"/>
  <c r="H5"/>
  <c r="H4"/>
  <c r="AA25" i="7"/>
  <c r="AJ24"/>
  <c r="AT24" s="1"/>
  <c r="AH24"/>
  <c r="X24"/>
  <c r="H24"/>
  <c r="L24" s="1"/>
  <c r="M24" s="1"/>
  <c r="N24" s="1"/>
  <c r="AJ23"/>
  <c r="AT23" s="1"/>
  <c r="AH23"/>
  <c r="AM23" s="1"/>
  <c r="X23"/>
  <c r="H23"/>
  <c r="H18"/>
  <c r="H17"/>
  <c r="H16"/>
  <c r="H15"/>
  <c r="H14"/>
  <c r="H13"/>
  <c r="H12"/>
  <c r="H11"/>
  <c r="H10"/>
  <c r="H9"/>
  <c r="H8"/>
  <c r="H7"/>
  <c r="H6"/>
  <c r="H5"/>
  <c r="H4"/>
  <c r="AA24" i="6"/>
  <c r="AM23"/>
  <c r="AJ23"/>
  <c r="AT23" s="1"/>
  <c r="AH23"/>
  <c r="AH24" s="1"/>
  <c r="X23"/>
  <c r="X24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H25" i="2"/>
  <c r="W17" i="5"/>
  <c r="G17"/>
  <c r="W16"/>
  <c r="G16"/>
  <c r="W15"/>
  <c r="K15"/>
  <c r="L15" s="1"/>
  <c r="G15"/>
  <c r="W14"/>
  <c r="L14"/>
  <c r="K14"/>
  <c r="G14"/>
  <c r="W13"/>
  <c r="K13"/>
  <c r="L13" s="1"/>
  <c r="G13"/>
  <c r="W12"/>
  <c r="G12"/>
  <c r="W11"/>
  <c r="K11"/>
  <c r="L11" s="1"/>
  <c r="G11"/>
  <c r="W10"/>
  <c r="G10"/>
  <c r="K10" s="1"/>
  <c r="L10" s="1"/>
  <c r="W9"/>
  <c r="G9"/>
  <c r="W8"/>
  <c r="G8"/>
  <c r="W7"/>
  <c r="K7"/>
  <c r="L7" s="1"/>
  <c r="G7"/>
  <c r="W6"/>
  <c r="L6"/>
  <c r="K6"/>
  <c r="G6"/>
  <c r="W5"/>
  <c r="K5"/>
  <c r="L5" s="1"/>
  <c r="G5"/>
  <c r="W4"/>
  <c r="W18" s="1"/>
  <c r="G4"/>
  <c r="W3"/>
  <c r="K3"/>
  <c r="L3" s="1"/>
  <c r="G3"/>
  <c r="W20" i="4"/>
  <c r="G20"/>
  <c r="W19"/>
  <c r="G19"/>
  <c r="W18"/>
  <c r="L18"/>
  <c r="M18" s="1"/>
  <c r="K18"/>
  <c r="G18"/>
  <c r="W17"/>
  <c r="L17"/>
  <c r="M17" s="1"/>
  <c r="K17"/>
  <c r="G17"/>
  <c r="W16"/>
  <c r="K16"/>
  <c r="L16" s="1"/>
  <c r="G16"/>
  <c r="W15"/>
  <c r="K15"/>
  <c r="L15" s="1"/>
  <c r="G15"/>
  <c r="W14"/>
  <c r="K14"/>
  <c r="L14" s="1"/>
  <c r="G14"/>
  <c r="W13"/>
  <c r="G13"/>
  <c r="K13" s="1"/>
  <c r="L13" s="1"/>
  <c r="W12"/>
  <c r="G12"/>
  <c r="W11"/>
  <c r="G11"/>
  <c r="W10"/>
  <c r="L10"/>
  <c r="M10" s="1"/>
  <c r="K10"/>
  <c r="G10"/>
  <c r="W9"/>
  <c r="L9"/>
  <c r="K9"/>
  <c r="G9"/>
  <c r="W8"/>
  <c r="K8"/>
  <c r="L8" s="1"/>
  <c r="G8"/>
  <c r="W7"/>
  <c r="K7"/>
  <c r="L7" s="1"/>
  <c r="G7"/>
  <c r="W6"/>
  <c r="K6"/>
  <c r="L6" s="1"/>
  <c r="G6"/>
  <c r="W37" i="3"/>
  <c r="H37"/>
  <c r="L37" s="1"/>
  <c r="W36"/>
  <c r="H36"/>
  <c r="W35"/>
  <c r="L35"/>
  <c r="H35"/>
  <c r="W34"/>
  <c r="H34"/>
  <c r="W33"/>
  <c r="H33"/>
  <c r="L33" s="1"/>
  <c r="W32"/>
  <c r="H32"/>
  <c r="L32" s="1"/>
  <c r="W31"/>
  <c r="L31"/>
  <c r="H31"/>
  <c r="W30"/>
  <c r="H30"/>
  <c r="W29"/>
  <c r="H29"/>
  <c r="L29" s="1"/>
  <c r="W28"/>
  <c r="H28"/>
  <c r="W27"/>
  <c r="L27"/>
  <c r="H27"/>
  <c r="W26"/>
  <c r="H26"/>
  <c r="W25"/>
  <c r="AC25" s="1"/>
  <c r="H25"/>
  <c r="L25" s="1"/>
  <c r="W24"/>
  <c r="AC24" s="1"/>
  <c r="H24"/>
  <c r="W23"/>
  <c r="H23"/>
  <c r="L23" s="1"/>
  <c r="G29" i="2"/>
  <c r="AA26"/>
  <c r="AJ25"/>
  <c r="AH25"/>
  <c r="W25"/>
  <c r="V25"/>
  <c r="AJ24"/>
  <c r="AT24" s="1"/>
  <c r="AH24"/>
  <c r="W24"/>
  <c r="V24"/>
  <c r="L24"/>
  <c r="M24" s="1"/>
  <c r="H24"/>
  <c r="AJ23"/>
  <c r="AT23" s="1"/>
  <c r="AH23"/>
  <c r="W23"/>
  <c r="V23"/>
  <c r="H23"/>
  <c r="H18"/>
  <c r="H17"/>
  <c r="H16"/>
  <c r="H15"/>
  <c r="H14"/>
  <c r="H13"/>
  <c r="H12"/>
  <c r="H11"/>
  <c r="H10"/>
  <c r="H9"/>
  <c r="H8"/>
  <c r="H7"/>
  <c r="H6"/>
  <c r="H5"/>
  <c r="H4"/>
  <c r="E3" i="1"/>
  <c r="E4"/>
  <c r="E2"/>
  <c r="F2"/>
  <c r="F3"/>
  <c r="F4"/>
  <c r="H19" i="13" l="1"/>
  <c r="BM24"/>
  <c r="BM23"/>
  <c r="H19" i="7"/>
  <c r="BM23"/>
  <c r="AV23"/>
  <c r="BM24" i="9"/>
  <c r="AV24"/>
  <c r="AV23"/>
  <c r="BM24" i="7"/>
  <c r="AV24"/>
  <c r="BM23" i="9"/>
  <c r="AM23" i="16"/>
  <c r="AH25"/>
  <c r="AM24"/>
  <c r="BM24"/>
  <c r="AV24"/>
  <c r="AV23"/>
  <c r="BM23"/>
  <c r="AH25" i="13"/>
  <c r="N24"/>
  <c r="O24" s="1"/>
  <c r="X25"/>
  <c r="AM23"/>
  <c r="AM24" i="9"/>
  <c r="H19"/>
  <c r="N31" i="3"/>
  <c r="N27"/>
  <c r="O27" s="1"/>
  <c r="H19" i="12"/>
  <c r="AM24"/>
  <c r="H19" i="16"/>
  <c r="L23"/>
  <c r="M23" s="1"/>
  <c r="N23" s="1"/>
  <c r="N24"/>
  <c r="H19" i="15"/>
  <c r="L23"/>
  <c r="M23" s="1"/>
  <c r="N23" s="1"/>
  <c r="AH24"/>
  <c r="H19" i="14"/>
  <c r="AM24"/>
  <c r="X25"/>
  <c r="O24"/>
  <c r="P24" s="1"/>
  <c r="Q24" s="1"/>
  <c r="H25"/>
  <c r="AH25"/>
  <c r="L23"/>
  <c r="M23" s="1"/>
  <c r="N23" s="1"/>
  <c r="H25" i="13"/>
  <c r="L23"/>
  <c r="M23" s="1"/>
  <c r="N23" s="1"/>
  <c r="AM23" i="12"/>
  <c r="H25"/>
  <c r="N23"/>
  <c r="P24"/>
  <c r="Q24" s="1"/>
  <c r="R24" s="1"/>
  <c r="S24" s="1"/>
  <c r="AV23" i="11"/>
  <c r="AM23"/>
  <c r="H24"/>
  <c r="N23"/>
  <c r="L23"/>
  <c r="M23" s="1"/>
  <c r="H25" i="10"/>
  <c r="AM23"/>
  <c r="H19"/>
  <c r="X25"/>
  <c r="AM24"/>
  <c r="AH25"/>
  <c r="N24"/>
  <c r="L23"/>
  <c r="M23" s="1"/>
  <c r="N23" s="1"/>
  <c r="X25" i="9"/>
  <c r="AM23"/>
  <c r="H25"/>
  <c r="AH25"/>
  <c r="L24"/>
  <c r="M24" s="1"/>
  <c r="N24" s="1"/>
  <c r="L23"/>
  <c r="M23" s="1"/>
  <c r="H25" i="7"/>
  <c r="AM24"/>
  <c r="AH25"/>
  <c r="X25"/>
  <c r="O24"/>
  <c r="P24" s="1"/>
  <c r="Q24" s="1"/>
  <c r="L23"/>
  <c r="M23" s="1"/>
  <c r="N23" s="1"/>
  <c r="H19" i="6"/>
  <c r="AV23"/>
  <c r="H24"/>
  <c r="N23"/>
  <c r="H26" i="2"/>
  <c r="L23"/>
  <c r="W26"/>
  <c r="V26"/>
  <c r="H19"/>
  <c r="AM25"/>
  <c r="AH26"/>
  <c r="M3" i="5"/>
  <c r="M5"/>
  <c r="M11"/>
  <c r="M8"/>
  <c r="M16"/>
  <c r="M13"/>
  <c r="G18"/>
  <c r="H21" s="1"/>
  <c r="M21" s="1"/>
  <c r="M6"/>
  <c r="K8"/>
  <c r="L8" s="1"/>
  <c r="M14"/>
  <c r="K16"/>
  <c r="L16" s="1"/>
  <c r="M7"/>
  <c r="K9"/>
  <c r="L9" s="1"/>
  <c r="M15"/>
  <c r="K17"/>
  <c r="L17" s="1"/>
  <c r="K4"/>
  <c r="L4" s="1"/>
  <c r="M10"/>
  <c r="K12"/>
  <c r="L12" s="1"/>
  <c r="M16" i="4"/>
  <c r="N18"/>
  <c r="M13"/>
  <c r="O17"/>
  <c r="P17" s="1"/>
  <c r="N17"/>
  <c r="M8"/>
  <c r="N10"/>
  <c r="O10" s="1"/>
  <c r="P10" s="1"/>
  <c r="Q10" s="1"/>
  <c r="R10" s="1"/>
  <c r="M11"/>
  <c r="M19"/>
  <c r="Q17"/>
  <c r="R17" s="1"/>
  <c r="M6"/>
  <c r="M14"/>
  <c r="G21"/>
  <c r="H24" s="1"/>
  <c r="M24" s="1"/>
  <c r="M9"/>
  <c r="K11"/>
  <c r="L11" s="1"/>
  <c r="K19"/>
  <c r="L19" s="1"/>
  <c r="M7"/>
  <c r="M15"/>
  <c r="K12"/>
  <c r="L12" s="1"/>
  <c r="K20"/>
  <c r="L20" s="1"/>
  <c r="P27" i="3"/>
  <c r="N23"/>
  <c r="O23" s="1"/>
  <c r="N35"/>
  <c r="O35" s="1"/>
  <c r="N25"/>
  <c r="O25" s="1"/>
  <c r="N29"/>
  <c r="O29" s="1"/>
  <c r="N37"/>
  <c r="O37" s="1"/>
  <c r="N32"/>
  <c r="O32" s="1"/>
  <c r="L24"/>
  <c r="L26"/>
  <c r="N26" s="1"/>
  <c r="O26" s="1"/>
  <c r="L28"/>
  <c r="L30"/>
  <c r="N30" s="1"/>
  <c r="O30" s="1"/>
  <c r="L34"/>
  <c r="L36"/>
  <c r="N36" s="1"/>
  <c r="O36" s="1"/>
  <c r="H38"/>
  <c r="I40" s="1"/>
  <c r="N33"/>
  <c r="O33" s="1"/>
  <c r="AV23" i="2"/>
  <c r="AV24"/>
  <c r="AM24"/>
  <c r="AM23"/>
  <c r="N24"/>
  <c r="O24" s="1"/>
  <c r="AT25"/>
  <c r="L25"/>
  <c r="P24" i="13" l="1"/>
  <c r="Q24" s="1"/>
  <c r="R24" s="1"/>
  <c r="S24" s="1"/>
  <c r="V24" s="1"/>
  <c r="O31" i="3"/>
  <c r="P31" s="1"/>
  <c r="Q27"/>
  <c r="R27" s="1"/>
  <c r="S27" s="1"/>
  <c r="U27" s="1"/>
  <c r="V27" s="1"/>
  <c r="O24" i="16"/>
  <c r="O23"/>
  <c r="O23" i="15"/>
  <c r="R24" i="14"/>
  <c r="S24" s="1"/>
  <c r="W24" s="1"/>
  <c r="O23"/>
  <c r="P23" s="1"/>
  <c r="Q23" s="1"/>
  <c r="R23" s="1"/>
  <c r="O23" i="13"/>
  <c r="P23" s="1"/>
  <c r="Q23" s="1"/>
  <c r="R23" s="1"/>
  <c r="AF24" i="12"/>
  <c r="AK24" s="1"/>
  <c r="V24"/>
  <c r="W24"/>
  <c r="O23"/>
  <c r="O23" i="11"/>
  <c r="O23" i="10"/>
  <c r="P23" s="1"/>
  <c r="Q23" s="1"/>
  <c r="R23" s="1"/>
  <c r="O24"/>
  <c r="P24" s="1"/>
  <c r="Q24" s="1"/>
  <c r="O24" i="9"/>
  <c r="N23"/>
  <c r="O23" i="7"/>
  <c r="P23" s="1"/>
  <c r="Q23" s="1"/>
  <c r="R23" s="1"/>
  <c r="R24"/>
  <c r="S24" s="1"/>
  <c r="O23" i="6"/>
  <c r="M23" i="2"/>
  <c r="N23" s="1"/>
  <c r="M25"/>
  <c r="N25" s="1"/>
  <c r="O25" s="1"/>
  <c r="O15" i="5"/>
  <c r="P15" s="1"/>
  <c r="N15"/>
  <c r="N10"/>
  <c r="O10" s="1"/>
  <c r="P10" s="1"/>
  <c r="N3"/>
  <c r="M17"/>
  <c r="N5"/>
  <c r="O5" s="1"/>
  <c r="P5" s="1"/>
  <c r="M12"/>
  <c r="O14"/>
  <c r="P14" s="1"/>
  <c r="N14"/>
  <c r="N16"/>
  <c r="O16" s="1"/>
  <c r="P16" s="1"/>
  <c r="N8"/>
  <c r="N13"/>
  <c r="N7"/>
  <c r="O6"/>
  <c r="P6" s="1"/>
  <c r="N6"/>
  <c r="M9"/>
  <c r="N11"/>
  <c r="M4"/>
  <c r="T17" i="4"/>
  <c r="U17"/>
  <c r="V17" s="1"/>
  <c r="T10"/>
  <c r="U10" s="1"/>
  <c r="V10" s="1"/>
  <c r="M12"/>
  <c r="N6"/>
  <c r="O16"/>
  <c r="P16" s="1"/>
  <c r="N16"/>
  <c r="Q19"/>
  <c r="R19" s="1"/>
  <c r="N15"/>
  <c r="N19"/>
  <c r="O19"/>
  <c r="P19" s="1"/>
  <c r="N13"/>
  <c r="O13"/>
  <c r="P13" s="1"/>
  <c r="O9"/>
  <c r="P9" s="1"/>
  <c r="N9"/>
  <c r="N11"/>
  <c r="O11" s="1"/>
  <c r="P11" s="1"/>
  <c r="Q11" s="1"/>
  <c r="R11" s="1"/>
  <c r="N8"/>
  <c r="O8"/>
  <c r="P8" s="1"/>
  <c r="N14"/>
  <c r="O14"/>
  <c r="P14" s="1"/>
  <c r="N7"/>
  <c r="O7" s="1"/>
  <c r="P7" s="1"/>
  <c r="M20"/>
  <c r="O18"/>
  <c r="P18" s="1"/>
  <c r="Q18" s="1"/>
  <c r="R18" s="1"/>
  <c r="P36" i="3"/>
  <c r="Q36" s="1"/>
  <c r="N34"/>
  <c r="O34" s="1"/>
  <c r="P37"/>
  <c r="Q37" s="1"/>
  <c r="P23"/>
  <c r="Q23" s="1"/>
  <c r="N24"/>
  <c r="O24" s="1"/>
  <c r="N28"/>
  <c r="O28" s="1"/>
  <c r="P24" i="2"/>
  <c r="Q24" s="1"/>
  <c r="AV25"/>
  <c r="AF24" i="13" l="1"/>
  <c r="AK24" s="1"/>
  <c r="W24"/>
  <c r="Y24" s="1"/>
  <c r="Z24" s="1"/>
  <c r="Q31" i="3"/>
  <c r="R31" s="1"/>
  <c r="S31" s="1"/>
  <c r="U31" s="1"/>
  <c r="V31" s="1"/>
  <c r="R36"/>
  <c r="S36" s="1"/>
  <c r="U36" s="1"/>
  <c r="V36" s="1"/>
  <c r="P30"/>
  <c r="P24" i="16"/>
  <c r="Q24" s="1"/>
  <c r="R24" s="1"/>
  <c r="S24" s="1"/>
  <c r="P23"/>
  <c r="Q23" s="1"/>
  <c r="R23" s="1"/>
  <c r="R25" s="1"/>
  <c r="P23" i="15"/>
  <c r="Q23" s="1"/>
  <c r="R23" s="1"/>
  <c r="V24" i="14"/>
  <c r="Y24" s="1"/>
  <c r="Z24" s="1"/>
  <c r="AF24"/>
  <c r="AK24" s="1"/>
  <c r="R25"/>
  <c r="S23"/>
  <c r="S23" i="13"/>
  <c r="Y24" i="12"/>
  <c r="Z24" s="1"/>
  <c r="P23"/>
  <c r="Q23" s="1"/>
  <c r="R23" s="1"/>
  <c r="P23" i="11"/>
  <c r="Q23" s="1"/>
  <c r="R23" s="1"/>
  <c r="S23" i="10"/>
  <c r="R24"/>
  <c r="S24" s="1"/>
  <c r="P24" i="9"/>
  <c r="Q24" s="1"/>
  <c r="R24" s="1"/>
  <c r="S24" s="1"/>
  <c r="O23"/>
  <c r="S23" i="7"/>
  <c r="AF24"/>
  <c r="AK24" s="1"/>
  <c r="V24"/>
  <c r="W24"/>
  <c r="P23" i="6"/>
  <c r="Q23" s="1"/>
  <c r="R23" s="1"/>
  <c r="O23" i="2"/>
  <c r="P23" s="1"/>
  <c r="Q8" i="5"/>
  <c r="R8" s="1"/>
  <c r="N17"/>
  <c r="O8"/>
  <c r="P8" s="1"/>
  <c r="N9"/>
  <c r="Q6"/>
  <c r="R6" s="1"/>
  <c r="Q3"/>
  <c r="N12"/>
  <c r="Q15"/>
  <c r="R15" s="1"/>
  <c r="Q11"/>
  <c r="R11" s="1"/>
  <c r="O11"/>
  <c r="P11" s="1"/>
  <c r="O13"/>
  <c r="P13" s="1"/>
  <c r="Q13" s="1"/>
  <c r="R13" s="1"/>
  <c r="O3"/>
  <c r="P3" s="1"/>
  <c r="N4"/>
  <c r="Q5"/>
  <c r="R5" s="1"/>
  <c r="Q16"/>
  <c r="R16" s="1"/>
  <c r="Q10"/>
  <c r="R10" s="1"/>
  <c r="O7"/>
  <c r="P7" s="1"/>
  <c r="Q7" s="1"/>
  <c r="R7" s="1"/>
  <c r="Q14"/>
  <c r="R14" s="1"/>
  <c r="T11" i="4"/>
  <c r="U11" s="1"/>
  <c r="V11" s="1"/>
  <c r="T18"/>
  <c r="U18" s="1"/>
  <c r="V18" s="1"/>
  <c r="N12"/>
  <c r="Q9"/>
  <c r="R9" s="1"/>
  <c r="Q15"/>
  <c r="R15" s="1"/>
  <c r="O15"/>
  <c r="P15" s="1"/>
  <c r="Q8"/>
  <c r="R8" s="1"/>
  <c r="O6"/>
  <c r="P6" s="1"/>
  <c r="Q6" s="1"/>
  <c r="T19"/>
  <c r="U19" s="1"/>
  <c r="V19" s="1"/>
  <c r="N20"/>
  <c r="O20" s="1"/>
  <c r="P20" s="1"/>
  <c r="Q7"/>
  <c r="R7" s="1"/>
  <c r="Q14"/>
  <c r="R14" s="1"/>
  <c r="Q13"/>
  <c r="R13" s="1"/>
  <c r="Q16"/>
  <c r="R16" s="1"/>
  <c r="P26" i="3"/>
  <c r="P24"/>
  <c r="Q24" s="1"/>
  <c r="P34"/>
  <c r="Q34" s="1"/>
  <c r="P33"/>
  <c r="P29"/>
  <c r="P25"/>
  <c r="R37"/>
  <c r="S37" s="1"/>
  <c r="R23"/>
  <c r="P32"/>
  <c r="P35"/>
  <c r="P25" i="2"/>
  <c r="R24"/>
  <c r="Q26" i="3" l="1"/>
  <c r="R26" s="1"/>
  <c r="S26" s="1"/>
  <c r="U26" s="1"/>
  <c r="V26" s="1"/>
  <c r="Q32"/>
  <c r="R32" s="1"/>
  <c r="S32" s="1"/>
  <c r="U32" s="1"/>
  <c r="V32" s="1"/>
  <c r="R35"/>
  <c r="S35" s="1"/>
  <c r="U35" s="1"/>
  <c r="V35" s="1"/>
  <c r="Q35"/>
  <c r="Q33"/>
  <c r="R33" s="1"/>
  <c r="S33" s="1"/>
  <c r="U33" s="1"/>
  <c r="V33" s="1"/>
  <c r="Q30"/>
  <c r="R30" s="1"/>
  <c r="S30" s="1"/>
  <c r="U30" s="1"/>
  <c r="V30" s="1"/>
  <c r="Q29"/>
  <c r="R29" s="1"/>
  <c r="S29" s="1"/>
  <c r="U29" s="1"/>
  <c r="V29" s="1"/>
  <c r="Q25"/>
  <c r="R25" s="1"/>
  <c r="AD23"/>
  <c r="AE23"/>
  <c r="S23" i="16"/>
  <c r="S25" s="1"/>
  <c r="AF24"/>
  <c r="AK24" s="1"/>
  <c r="V24"/>
  <c r="Y24" s="1"/>
  <c r="Z24" s="1"/>
  <c r="W24"/>
  <c r="R24" i="15"/>
  <c r="S23"/>
  <c r="S25" i="14"/>
  <c r="AB23" s="1"/>
  <c r="AF23"/>
  <c r="V23"/>
  <c r="W23"/>
  <c r="R25" i="13"/>
  <c r="AF23"/>
  <c r="V23"/>
  <c r="W23"/>
  <c r="R25" i="12"/>
  <c r="S23"/>
  <c r="R24" i="11"/>
  <c r="S23"/>
  <c r="AF23" i="10"/>
  <c r="V23"/>
  <c r="W23"/>
  <c r="AF24"/>
  <c r="AK24" s="1"/>
  <c r="V24"/>
  <c r="W24"/>
  <c r="AF24" i="9"/>
  <c r="AK24" s="1"/>
  <c r="V24"/>
  <c r="W24"/>
  <c r="P23"/>
  <c r="Q23" s="1"/>
  <c r="R23" s="1"/>
  <c r="AF23" i="7"/>
  <c r="V23"/>
  <c r="W23"/>
  <c r="Y24"/>
  <c r="Z24" s="1"/>
  <c r="S23" i="6"/>
  <c r="R24"/>
  <c r="R23" i="2"/>
  <c r="S23" s="1"/>
  <c r="Q23"/>
  <c r="Q25"/>
  <c r="R25" s="1"/>
  <c r="S25" s="1"/>
  <c r="T7" i="5"/>
  <c r="U7" s="1"/>
  <c r="V7" s="1"/>
  <c r="T13"/>
  <c r="U13" s="1"/>
  <c r="V13" s="1"/>
  <c r="U5"/>
  <c r="V5" s="1"/>
  <c r="T5"/>
  <c r="Q4"/>
  <c r="R4" s="1"/>
  <c r="O4"/>
  <c r="P4" s="1"/>
  <c r="Q12"/>
  <c r="R12" s="1"/>
  <c r="O12"/>
  <c r="P12" s="1"/>
  <c r="O17"/>
  <c r="P17" s="1"/>
  <c r="Q17" s="1"/>
  <c r="R17" s="1"/>
  <c r="T8"/>
  <c r="U8" s="1"/>
  <c r="V8" s="1"/>
  <c r="T15"/>
  <c r="U15" s="1"/>
  <c r="V15" s="1"/>
  <c r="T16"/>
  <c r="U16" s="1"/>
  <c r="V16" s="1"/>
  <c r="T11"/>
  <c r="U11"/>
  <c r="V11" s="1"/>
  <c r="Q9"/>
  <c r="R9" s="1"/>
  <c r="R3"/>
  <c r="T10"/>
  <c r="U10"/>
  <c r="V10" s="1"/>
  <c r="O9"/>
  <c r="P9" s="1"/>
  <c r="T6"/>
  <c r="U6"/>
  <c r="V6" s="1"/>
  <c r="T14"/>
  <c r="U14" s="1"/>
  <c r="V14" s="1"/>
  <c r="R6" i="4"/>
  <c r="T9"/>
  <c r="U9" s="1"/>
  <c r="V9" s="1"/>
  <c r="T14"/>
  <c r="U14" s="1"/>
  <c r="V14" s="1"/>
  <c r="T7"/>
  <c r="U7" s="1"/>
  <c r="V7" s="1"/>
  <c r="T8"/>
  <c r="U8" s="1"/>
  <c r="V8" s="1"/>
  <c r="U16"/>
  <c r="V16" s="1"/>
  <c r="T16"/>
  <c r="Q20"/>
  <c r="R20" s="1"/>
  <c r="U15"/>
  <c r="V15" s="1"/>
  <c r="T15"/>
  <c r="T13"/>
  <c r="U13"/>
  <c r="V13" s="1"/>
  <c r="O12"/>
  <c r="P12" s="1"/>
  <c r="Q12" s="1"/>
  <c r="R34" i="3"/>
  <c r="S34" s="1"/>
  <c r="S23"/>
  <c r="U37"/>
  <c r="V37" s="1"/>
  <c r="R24"/>
  <c r="P28"/>
  <c r="S24" i="2"/>
  <c r="S25" i="3" l="1"/>
  <c r="U25" s="1"/>
  <c r="V25" s="1"/>
  <c r="AB25"/>
  <c r="AE25" s="1"/>
  <c r="Q28"/>
  <c r="R28" s="1"/>
  <c r="S24"/>
  <c r="U24" s="1"/>
  <c r="V24" s="1"/>
  <c r="AB24"/>
  <c r="AD23" i="16"/>
  <c r="AF23"/>
  <c r="AF25" s="1"/>
  <c r="V23"/>
  <c r="V25" s="1"/>
  <c r="W23"/>
  <c r="W25" s="1"/>
  <c r="S24" i="15"/>
  <c r="AB23" s="1"/>
  <c r="AF23"/>
  <c r="V23"/>
  <c r="W23"/>
  <c r="W24" s="1"/>
  <c r="W25" i="14"/>
  <c r="AE23"/>
  <c r="AE25" s="1"/>
  <c r="AD23"/>
  <c r="V25"/>
  <c r="Y23"/>
  <c r="AB24"/>
  <c r="AB25" s="1"/>
  <c r="AE24"/>
  <c r="AD24"/>
  <c r="AF25"/>
  <c r="V25" i="13"/>
  <c r="W25"/>
  <c r="Y23"/>
  <c r="AK23"/>
  <c r="S25"/>
  <c r="AE23" i="12"/>
  <c r="S25"/>
  <c r="AB23" s="1"/>
  <c r="AF23"/>
  <c r="V23"/>
  <c r="W23"/>
  <c r="W25" s="1"/>
  <c r="AE23" i="11"/>
  <c r="S24"/>
  <c r="AB23" s="1"/>
  <c r="AF23"/>
  <c r="V23"/>
  <c r="W23"/>
  <c r="W24" s="1"/>
  <c r="AK23" i="10"/>
  <c r="Y23"/>
  <c r="R25"/>
  <c r="Y24"/>
  <c r="Z24" s="1"/>
  <c r="R25" i="9"/>
  <c r="S23"/>
  <c r="Y24"/>
  <c r="Z24" s="1"/>
  <c r="R25" i="7"/>
  <c r="AK23"/>
  <c r="Y23"/>
  <c r="AE23" i="6"/>
  <c r="S24"/>
  <c r="AD23" s="1"/>
  <c r="AF23"/>
  <c r="V23"/>
  <c r="W23"/>
  <c r="W24" s="1"/>
  <c r="AB23"/>
  <c r="AF25" i="2"/>
  <c r="AK25" s="1"/>
  <c r="X25"/>
  <c r="Y25" s="1"/>
  <c r="Z25" s="1"/>
  <c r="AF23"/>
  <c r="AK23" s="1"/>
  <c r="X23"/>
  <c r="Y23" s="1"/>
  <c r="Z23" s="1"/>
  <c r="T17" i="5"/>
  <c r="U17" s="1"/>
  <c r="V17" s="1"/>
  <c r="T12"/>
  <c r="U12"/>
  <c r="V12" s="1"/>
  <c r="R18"/>
  <c r="H23" s="1"/>
  <c r="T3"/>
  <c r="U3"/>
  <c r="T9"/>
  <c r="U9"/>
  <c r="V9" s="1"/>
  <c r="Q18"/>
  <c r="H22" s="1"/>
  <c r="M22" s="1"/>
  <c r="T4"/>
  <c r="U4"/>
  <c r="V4" s="1"/>
  <c r="R12" i="4"/>
  <c r="R21" s="1"/>
  <c r="H26" s="1"/>
  <c r="Q21"/>
  <c r="H25" s="1"/>
  <c r="M25" s="1"/>
  <c r="T6"/>
  <c r="U6" s="1"/>
  <c r="T20"/>
  <c r="U20" s="1"/>
  <c r="V20" s="1"/>
  <c r="U34" i="3"/>
  <c r="V34" s="1"/>
  <c r="U23"/>
  <c r="V23" s="1"/>
  <c r="AF24" i="2"/>
  <c r="X24"/>
  <c r="S26"/>
  <c r="AB24" s="1"/>
  <c r="R26"/>
  <c r="AD25" i="16" l="1"/>
  <c r="AE23" i="15"/>
  <c r="AE24" s="1"/>
  <c r="AE23" i="16"/>
  <c r="AF25" i="13"/>
  <c r="AD25" i="3"/>
  <c r="R38"/>
  <c r="I41" s="1"/>
  <c r="S28"/>
  <c r="S38" s="1"/>
  <c r="I42" s="1"/>
  <c r="AD24"/>
  <c r="AE24"/>
  <c r="AB23" i="16"/>
  <c r="Y23"/>
  <c r="Y25" s="1"/>
  <c r="AK23"/>
  <c r="AE24"/>
  <c r="AD24"/>
  <c r="AB24"/>
  <c r="AD23" i="15"/>
  <c r="V24"/>
  <c r="Y23"/>
  <c r="AB24"/>
  <c r="AF24"/>
  <c r="AK23"/>
  <c r="AG23" i="14"/>
  <c r="AL23" s="1"/>
  <c r="AO23" s="1"/>
  <c r="BL23" s="1"/>
  <c r="AD25"/>
  <c r="AG24"/>
  <c r="AL24" s="1"/>
  <c r="AO24" s="1"/>
  <c r="AU24" s="1"/>
  <c r="AW24" s="1"/>
  <c r="BL24" s="1"/>
  <c r="Y25"/>
  <c r="Z23"/>
  <c r="Z25" s="1"/>
  <c r="AG25"/>
  <c r="Z23" i="13"/>
  <c r="AE24"/>
  <c r="AD24"/>
  <c r="AB24"/>
  <c r="AD23"/>
  <c r="AE23"/>
  <c r="AE25" s="1"/>
  <c r="AB23"/>
  <c r="AD23" i="12"/>
  <c r="AD24"/>
  <c r="AB24"/>
  <c r="AB25" s="1"/>
  <c r="AE24"/>
  <c r="AE25" s="1"/>
  <c r="AF25"/>
  <c r="AK23"/>
  <c r="Y23"/>
  <c r="V25"/>
  <c r="AD23" i="11"/>
  <c r="AG23" s="1"/>
  <c r="AD24"/>
  <c r="V24"/>
  <c r="Y23"/>
  <c r="AE24"/>
  <c r="AB24"/>
  <c r="AF24"/>
  <c r="AK23"/>
  <c r="Z23" i="10"/>
  <c r="W25"/>
  <c r="S25"/>
  <c r="S25" i="9"/>
  <c r="AE23" s="1"/>
  <c r="AF23"/>
  <c r="V23"/>
  <c r="W23"/>
  <c r="W25" s="1"/>
  <c r="W25" i="7"/>
  <c r="S25"/>
  <c r="Z23"/>
  <c r="AG23" i="6"/>
  <c r="V24"/>
  <c r="Y23"/>
  <c r="AB24"/>
  <c r="AF24"/>
  <c r="AK23"/>
  <c r="AE24"/>
  <c r="AD24" i="2"/>
  <c r="AB23"/>
  <c r="AE23"/>
  <c r="AD23"/>
  <c r="AB25"/>
  <c r="AD25"/>
  <c r="AE25"/>
  <c r="AE24"/>
  <c r="M23" i="5"/>
  <c r="H25"/>
  <c r="M25" s="1"/>
  <c r="T18"/>
  <c r="H24" s="1"/>
  <c r="M24" s="1"/>
  <c r="U18"/>
  <c r="V3"/>
  <c r="V18" s="1"/>
  <c r="V6" i="4"/>
  <c r="M26"/>
  <c r="T12"/>
  <c r="T21" s="1"/>
  <c r="H27" s="1"/>
  <c r="AK24" i="2"/>
  <c r="AF26"/>
  <c r="Y24"/>
  <c r="X26"/>
  <c r="AB25" i="16" l="1"/>
  <c r="AG23"/>
  <c r="AG25" s="1"/>
  <c r="AE25"/>
  <c r="AG23" i="15"/>
  <c r="AL23" s="1"/>
  <c r="AO23" s="1"/>
  <c r="AB25" i="13"/>
  <c r="Z25"/>
  <c r="U28" i="3"/>
  <c r="U38" s="1"/>
  <c r="I43" s="1"/>
  <c r="I44" s="1"/>
  <c r="AG24" i="12"/>
  <c r="AL24" s="1"/>
  <c r="AO24" s="1"/>
  <c r="Z23" i="16"/>
  <c r="Z25" s="1"/>
  <c r="AG24"/>
  <c r="AL24" s="1"/>
  <c r="AO24" s="1"/>
  <c r="AU24" s="1"/>
  <c r="AW24" s="1"/>
  <c r="BL24" s="1"/>
  <c r="Y24" i="15"/>
  <c r="Z23"/>
  <c r="Z24" s="1"/>
  <c r="AD24"/>
  <c r="AD25" i="13"/>
  <c r="AG23"/>
  <c r="Y25"/>
  <c r="AG24"/>
  <c r="AL24" s="1"/>
  <c r="AO24" s="1"/>
  <c r="AD25" i="12"/>
  <c r="AG23"/>
  <c r="Y25"/>
  <c r="Z23"/>
  <c r="Z25" s="1"/>
  <c r="AL23" i="11"/>
  <c r="AO23" s="1"/>
  <c r="AW23" s="1"/>
  <c r="AG24"/>
  <c r="Y24"/>
  <c r="Z23"/>
  <c r="Z24" s="1"/>
  <c r="AF25" i="10"/>
  <c r="V25"/>
  <c r="AD23"/>
  <c r="AE24"/>
  <c r="AD24"/>
  <c r="AB24"/>
  <c r="AB23"/>
  <c r="AE23"/>
  <c r="AB23" i="9"/>
  <c r="AD23"/>
  <c r="AG23" s="1"/>
  <c r="AE24"/>
  <c r="AD24"/>
  <c r="AB24"/>
  <c r="AF25"/>
  <c r="AK23"/>
  <c r="V25"/>
  <c r="Y23"/>
  <c r="AB24" i="7"/>
  <c r="AE24"/>
  <c r="AD24"/>
  <c r="AE23"/>
  <c r="AD23"/>
  <c r="AB23"/>
  <c r="AF25"/>
  <c r="V25"/>
  <c r="AD24" i="6"/>
  <c r="AL23"/>
  <c r="AO23" s="1"/>
  <c r="AW23" s="1"/>
  <c r="Y24"/>
  <c r="Z23"/>
  <c r="Z24" s="1"/>
  <c r="AG24" i="2"/>
  <c r="AL24" s="1"/>
  <c r="AO24" s="1"/>
  <c r="AU24" s="1"/>
  <c r="AW24" s="1"/>
  <c r="AE26"/>
  <c r="AB26"/>
  <c r="AG23"/>
  <c r="AD26"/>
  <c r="AG25"/>
  <c r="AL25" s="1"/>
  <c r="AO25" s="1"/>
  <c r="AU25" s="1"/>
  <c r="AW25" s="1"/>
  <c r="M27" i="4"/>
  <c r="H28"/>
  <c r="M28" s="1"/>
  <c r="U12"/>
  <c r="Z24" i="2"/>
  <c r="Z26" s="1"/>
  <c r="Y26"/>
  <c r="AL23" i="16" l="1"/>
  <c r="AO23" s="1"/>
  <c r="AU23" s="1"/>
  <c r="AW23" s="1"/>
  <c r="BL23" s="1"/>
  <c r="AW23" i="15"/>
  <c r="AU23"/>
  <c r="V28" i="3"/>
  <c r="V38" s="1"/>
  <c r="AE25" i="9"/>
  <c r="AB25"/>
  <c r="AG24" i="15"/>
  <c r="AG25" i="13"/>
  <c r="AL23"/>
  <c r="AO23" s="1"/>
  <c r="AL23" i="12"/>
  <c r="AO23" s="1"/>
  <c r="AG25"/>
  <c r="AB25" i="10"/>
  <c r="AG24"/>
  <c r="AL24" s="1"/>
  <c r="AO24" s="1"/>
  <c r="Z25"/>
  <c r="Y25"/>
  <c r="AD25"/>
  <c r="AG23"/>
  <c r="AE25"/>
  <c r="AD25" i="9"/>
  <c r="AG24"/>
  <c r="AL24" s="1"/>
  <c r="AO24" s="1"/>
  <c r="AU24" s="1"/>
  <c r="AW24" s="1"/>
  <c r="BL24" s="1"/>
  <c r="AL23"/>
  <c r="AO23" s="1"/>
  <c r="AU23" s="1"/>
  <c r="Y25"/>
  <c r="Z23"/>
  <c r="Z25" s="1"/>
  <c r="AG24" i="7"/>
  <c r="AL24" s="1"/>
  <c r="AO24" s="1"/>
  <c r="AU24" s="1"/>
  <c r="AW24" s="1"/>
  <c r="BL24" s="1"/>
  <c r="Y25"/>
  <c r="Z25"/>
  <c r="AD25"/>
  <c r="AG23"/>
  <c r="AE25"/>
  <c r="AB25"/>
  <c r="AG24" i="6"/>
  <c r="AL23" i="2"/>
  <c r="AO23" s="1"/>
  <c r="AU23" s="1"/>
  <c r="AW23" s="1"/>
  <c r="AG26"/>
  <c r="V12" i="4"/>
  <c r="V21" s="1"/>
  <c r="U21"/>
  <c r="AW23" i="9" l="1"/>
  <c r="BL23" s="1"/>
  <c r="AG25"/>
  <c r="AG25" i="10"/>
  <c r="AL23"/>
  <c r="AO23" s="1"/>
  <c r="AL23" i="7"/>
  <c r="AO23" s="1"/>
  <c r="AU23" s="1"/>
  <c r="AW23" s="1"/>
  <c r="BL23" s="1"/>
  <c r="AG25"/>
</calcChain>
</file>

<file path=xl/sharedStrings.xml><?xml version="1.0" encoding="utf-8"?>
<sst xmlns="http://schemas.openxmlformats.org/spreadsheetml/2006/main" count="3459" uniqueCount="337">
  <si>
    <t>Before StockQty</t>
  </si>
  <si>
    <t>Before StockCost</t>
  </si>
  <si>
    <t>current qty</t>
  </si>
  <si>
    <t>current unit cost</t>
  </si>
  <si>
    <t>AfterQty</t>
  </si>
  <si>
    <t>After UnitCost</t>
  </si>
  <si>
    <t>ITEM_NAME</t>
  </si>
  <si>
    <t>LOT_SERIAL</t>
  </si>
  <si>
    <t>LOT_NUMBER</t>
  </si>
  <si>
    <t>SERIAL_NUMBER</t>
  </si>
  <si>
    <t>WH</t>
  </si>
  <si>
    <t>Gross Amount</t>
  </si>
  <si>
    <t>TDA</t>
  </si>
  <si>
    <t>TD</t>
  </si>
  <si>
    <t>TDAMNT</t>
  </si>
  <si>
    <t>SPDA</t>
  </si>
  <si>
    <t>SPD</t>
  </si>
  <si>
    <t>SDAMNT</t>
  </si>
  <si>
    <t>CDA</t>
  </si>
  <si>
    <t>CD</t>
  </si>
  <si>
    <t>CDAMNT</t>
  </si>
  <si>
    <t>LINE AMOUNT</t>
  </si>
  <si>
    <t>TVS-RM-NA-10001</t>
  </si>
  <si>
    <t>NA</t>
  </si>
  <si>
    <t>RM</t>
  </si>
  <si>
    <t>R100</t>
  </si>
  <si>
    <t>HK-RM-LOT-PULL ITEM-10001</t>
  </si>
  <si>
    <t>LOT</t>
  </si>
  <si>
    <t>RMS</t>
  </si>
  <si>
    <t>HK-FIFO-SER-BATCH-10001</t>
  </si>
  <si>
    <t>SERIAL</t>
  </si>
  <si>
    <t>1142.6</t>
  </si>
  <si>
    <t>138.84932</t>
  </si>
  <si>
    <t>8662</t>
  </si>
  <si>
    <t>100.66498</t>
  </si>
  <si>
    <t>11402</t>
  </si>
  <si>
    <t>262.41303</t>
  </si>
  <si>
    <t>ChargesBasis</t>
  </si>
  <si>
    <t>ItemName</t>
  </si>
  <si>
    <t>Amount</t>
  </si>
  <si>
    <t>GLAccount</t>
  </si>
  <si>
    <t>P</t>
  </si>
  <si>
    <t>FRIEGHT CHARGES</t>
  </si>
  <si>
    <t>EXPENSE DOCUMENT 3</t>
  </si>
  <si>
    <t>V</t>
  </si>
  <si>
    <t>PACKING CHARGES</t>
  </si>
  <si>
    <t>S. No.</t>
  </si>
  <si>
    <t>Item</t>
  </si>
  <si>
    <t>Item Desc.</t>
  </si>
  <si>
    <t>Stk. UOM</t>
  </si>
  <si>
    <t>Pur. UOM</t>
  </si>
  <si>
    <t>Qty</t>
  </si>
  <si>
    <t>Unit Cost</t>
  </si>
  <si>
    <t>Gross Amt.</t>
  </si>
  <si>
    <t>RM1001</t>
  </si>
  <si>
    <t>Raw Material - 1001</t>
  </si>
  <si>
    <t>NOS</t>
  </si>
  <si>
    <t>RM1002</t>
  </si>
  <si>
    <t>Raw Material - 1002</t>
  </si>
  <si>
    <t>RM1003</t>
  </si>
  <si>
    <t>Raw Material - 1003</t>
  </si>
  <si>
    <t>RM1004</t>
  </si>
  <si>
    <t>Raw Material - 1004</t>
  </si>
  <si>
    <t>RM1005</t>
  </si>
  <si>
    <t>Raw Material - 1005</t>
  </si>
  <si>
    <t>RM1006</t>
  </si>
  <si>
    <t>Raw Material - 1006</t>
  </si>
  <si>
    <t>RM1007</t>
  </si>
  <si>
    <t>Raw Material - 1007</t>
  </si>
  <si>
    <t>RM1008</t>
  </si>
  <si>
    <t>Raw Material - 1008</t>
  </si>
  <si>
    <t>RM1009</t>
  </si>
  <si>
    <t>Raw Material - 1009</t>
  </si>
  <si>
    <t>RM1010</t>
  </si>
  <si>
    <t>Raw Material - 1010</t>
  </si>
  <si>
    <t>RM1011</t>
  </si>
  <si>
    <t>Raw Material - 1011</t>
  </si>
  <si>
    <t>RM1012</t>
  </si>
  <si>
    <t>Raw Material - 1012</t>
  </si>
  <si>
    <t>RM1013</t>
  </si>
  <si>
    <t>Raw Material - 1013</t>
  </si>
  <si>
    <t>RM1014</t>
  </si>
  <si>
    <t>Raw Material - 1014</t>
  </si>
  <si>
    <t>RM1015</t>
  </si>
  <si>
    <t>Raw Material - 1015</t>
  </si>
  <si>
    <t>Total</t>
  </si>
  <si>
    <t>Purchase Order &amp; GRN</t>
  </si>
  <si>
    <t>GST Purchase</t>
  </si>
  <si>
    <t>(1 - Local Purchase,2 Interstate Purchase, 3 Import Purchase)</t>
  </si>
  <si>
    <t xml:space="preserve">Cur. </t>
  </si>
  <si>
    <t>INR</t>
  </si>
  <si>
    <t>Ex. Rate</t>
  </si>
  <si>
    <t>Apportion Basis</t>
  </si>
  <si>
    <t>1 - Value Based, 2 Weight/Volume Based</t>
  </si>
  <si>
    <t>Order Qty (Pur UOM)</t>
  </si>
  <si>
    <t>TD%</t>
  </si>
  <si>
    <t>SD%</t>
  </si>
  <si>
    <t>CD%</t>
  </si>
  <si>
    <t>TD Asbl. Val.</t>
  </si>
  <si>
    <t>TD Amt.</t>
  </si>
  <si>
    <t>SD Asbl. Val.</t>
  </si>
  <si>
    <t>SD Amt.</t>
  </si>
  <si>
    <t>CD Asbl. Val.</t>
  </si>
  <si>
    <t>CD Amt.</t>
  </si>
  <si>
    <t>Disc. Amt.</t>
  </si>
  <si>
    <t>Pur. Val.</t>
  </si>
  <si>
    <t>HSN</t>
  </si>
  <si>
    <t>Tax Rate</t>
  </si>
  <si>
    <t>CGST</t>
  </si>
  <si>
    <t>SGST</t>
  </si>
  <si>
    <t>IGST</t>
  </si>
  <si>
    <t>Tax amt</t>
  </si>
  <si>
    <t>Net Amt</t>
  </si>
  <si>
    <t>Weight/Vol</t>
  </si>
  <si>
    <t>Customs Duty</t>
  </si>
  <si>
    <t>IGST (Import)</t>
  </si>
  <si>
    <t>Packing &amp; Forwarding</t>
  </si>
  <si>
    <t>Freight</t>
  </si>
  <si>
    <t>Pur Amt (BC)</t>
  </si>
  <si>
    <t>Chargeable Cost</t>
  </si>
  <si>
    <t>Landed Cost</t>
  </si>
  <si>
    <t>Conv. Factor</t>
  </si>
  <si>
    <t>Eqv.  Stock Qty</t>
  </si>
  <si>
    <t>Pur. Unit Cost (chr)</t>
  </si>
  <si>
    <t>Chrg. Unit Cost</t>
  </si>
  <si>
    <t>Landed Cost Unit Cost</t>
  </si>
  <si>
    <t>Stock UOM</t>
  </si>
  <si>
    <t>Unit Cost (Stock UOM)</t>
  </si>
  <si>
    <t>HSN1</t>
  </si>
  <si>
    <t>Tax</t>
  </si>
  <si>
    <t>Sou. WH</t>
  </si>
  <si>
    <t>Qty Before Post</t>
  </si>
  <si>
    <t>Unit Cost Before Post</t>
  </si>
  <si>
    <t>Receipt Qty</t>
  </si>
  <si>
    <t>Receipt Unit cost</t>
  </si>
  <si>
    <t>Qty After Post</t>
  </si>
  <si>
    <t>Unit Cost After Post</t>
  </si>
  <si>
    <t>Result (Ok/Not OK)</t>
  </si>
  <si>
    <t>Stock Transaction</t>
  </si>
  <si>
    <t>Locator Trans</t>
  </si>
  <si>
    <t>Batch Stocks</t>
  </si>
  <si>
    <t>Stock Ledger</t>
  </si>
  <si>
    <t>Stock As on Date (Qty)</t>
  </si>
  <si>
    <t>Stock As on Date (Qty &amp; vALUE)</t>
  </si>
  <si>
    <t>Receipt Qty &amp; Unit cost</t>
  </si>
  <si>
    <t>Scenario  : Local Purchase - Stock UOM and Purchase UOM (Similar)</t>
  </si>
  <si>
    <t xml:space="preserve">Purchase Request </t>
  </si>
  <si>
    <t>Local Purchase - Stock UOM and Purchase UOM (Different)</t>
  </si>
  <si>
    <t>No.</t>
  </si>
  <si>
    <t>Item Desc</t>
  </si>
  <si>
    <t>VD Asbl. Val.</t>
  </si>
  <si>
    <t>Pur. Value</t>
  </si>
  <si>
    <t>Tax%</t>
  </si>
  <si>
    <t>Unit cost (Stk. UOM)</t>
  </si>
  <si>
    <t>RM2001</t>
  </si>
  <si>
    <t>Raw Material - 2001</t>
  </si>
  <si>
    <t>KGS</t>
  </si>
  <si>
    <t>RM2002</t>
  </si>
  <si>
    <t>Raw Material - 2002</t>
  </si>
  <si>
    <t>RM2003</t>
  </si>
  <si>
    <t>Raw Material - 2003</t>
  </si>
  <si>
    <t>RM2004</t>
  </si>
  <si>
    <t>Raw Material - 2004</t>
  </si>
  <si>
    <t>RM2005</t>
  </si>
  <si>
    <t>Raw Material - 2005</t>
  </si>
  <si>
    <t>RM2006</t>
  </si>
  <si>
    <t>Raw Material - 2006</t>
  </si>
  <si>
    <t>RM2007</t>
  </si>
  <si>
    <t>Raw Material - 2007</t>
  </si>
  <si>
    <t>MTR</t>
  </si>
  <si>
    <t>RM2008</t>
  </si>
  <si>
    <t>Raw Material - 2008</t>
  </si>
  <si>
    <t>RM2009</t>
  </si>
  <si>
    <t>Raw Material - 2009</t>
  </si>
  <si>
    <t>RM2010</t>
  </si>
  <si>
    <t>Raw Material - 2010</t>
  </si>
  <si>
    <t>RM2011</t>
  </si>
  <si>
    <t>Raw Material - 2011</t>
  </si>
  <si>
    <t>MT</t>
  </si>
  <si>
    <t>RM2012</t>
  </si>
  <si>
    <t>Raw Material - 2012</t>
  </si>
  <si>
    <t>RM2013</t>
  </si>
  <si>
    <t>Raw Material - 2013</t>
  </si>
  <si>
    <t>RM2014</t>
  </si>
  <si>
    <t>Raw Material - 2014</t>
  </si>
  <si>
    <t>RM2015</t>
  </si>
  <si>
    <t>Raw Material - 2015</t>
  </si>
  <si>
    <t>Gross Purchase</t>
  </si>
  <si>
    <t>Conv factor</t>
  </si>
  <si>
    <t>Disc amt</t>
  </si>
  <si>
    <t>Net Purchase</t>
  </si>
  <si>
    <t>Tax Amt</t>
  </si>
  <si>
    <t>Gross Amont</t>
  </si>
  <si>
    <t>Import Purchase - Stock UOM and Purchase UOM (Similar)</t>
  </si>
  <si>
    <t>Curr: USD</t>
  </si>
  <si>
    <t>Exchange Rate</t>
  </si>
  <si>
    <t>Tot. Disc Amt</t>
  </si>
  <si>
    <t>Line Amt</t>
  </si>
  <si>
    <t>Net Amt (Base)</t>
  </si>
  <si>
    <t>Supplier Currency</t>
  </si>
  <si>
    <t>Base Currency</t>
  </si>
  <si>
    <t>Import Purchase - Stock UOM and Purchase UOM (Different)</t>
  </si>
  <si>
    <t>Net Amt (Supp.)</t>
  </si>
  <si>
    <t>8682</t>
  </si>
  <si>
    <t>100.77471</t>
  </si>
  <si>
    <t>1152.6</t>
  </si>
  <si>
    <t>138.28799</t>
  </si>
  <si>
    <t>Lot / Serial Type</t>
  </si>
  <si>
    <t>RML</t>
  </si>
  <si>
    <t>GWL_SERVICES_02</t>
  </si>
  <si>
    <t>PK-SER-MAC-10001</t>
  </si>
  <si>
    <t>PK-NA-MAC-10001</t>
  </si>
  <si>
    <t/>
  </si>
  <si>
    <t>PK-SERV-MAC-NA-01</t>
  </si>
  <si>
    <t>TVS-SER-10005</t>
  </si>
  <si>
    <t>TVS-SIM-599803</t>
  </si>
  <si>
    <t>TVS-SIM-050035</t>
  </si>
  <si>
    <t>524</t>
  </si>
  <si>
    <t>2</t>
  </si>
  <si>
    <t>232</t>
  </si>
  <si>
    <t>2.32</t>
  </si>
  <si>
    <t>TVS-RM-KDK-26</t>
  </si>
  <si>
    <t>TVS-RM-KDK-25</t>
  </si>
  <si>
    <t>1230</t>
  </si>
  <si>
    <t>1</t>
  </si>
  <si>
    <t>253</t>
  </si>
  <si>
    <t>177</t>
  </si>
  <si>
    <t>1.25</t>
  </si>
  <si>
    <t>Lot / Serial Trans</t>
  </si>
  <si>
    <t>TVS-RM-KDConvers-222</t>
  </si>
  <si>
    <t>TVS-RM-KDConvers-223</t>
  </si>
  <si>
    <t>HSN2</t>
  </si>
  <si>
    <t>TVS-RM-KDConvers-224</t>
  </si>
  <si>
    <t>HSN3</t>
  </si>
  <si>
    <t>RMM</t>
  </si>
  <si>
    <t>RMN</t>
  </si>
  <si>
    <t>INS KD</t>
  </si>
  <si>
    <t>487.4072</t>
  </si>
  <si>
    <t>355.91161</t>
  </si>
  <si>
    <t>0.0847</t>
  </si>
  <si>
    <t>Ins. WH</t>
  </si>
  <si>
    <t>Sou.WH</t>
  </si>
  <si>
    <t>RM KD</t>
  </si>
  <si>
    <t>ACPT</t>
  </si>
  <si>
    <t>REJ</t>
  </si>
  <si>
    <t>Rej Qty. * Insp. Unit Cost + OLD. Qty in REJ WH * OLD Unitcost in REJ WH / Acpt. Qty + OLD. Qty in REJ WH</t>
  </si>
  <si>
    <t>Acpt Qty. * Insp. Unit Cost + OLD. Qty in GRN WH * OLD Unitcost in GRN WH / Acpt. Qty + OLD. Qty in GRN WH</t>
  </si>
  <si>
    <t>Unitcost Before Post For Source Warehouse</t>
  </si>
  <si>
    <t>Qty Before Post For Source WareHouse</t>
  </si>
  <si>
    <t>0</t>
  </si>
  <si>
    <t>acpt Qty</t>
  </si>
  <si>
    <t>Inspection Unit Cost</t>
  </si>
  <si>
    <t>old Qty</t>
  </si>
  <si>
    <t>old UnitCost</t>
  </si>
  <si>
    <t>old</t>
  </si>
  <si>
    <t>new</t>
  </si>
  <si>
    <t>Qty After Post forSource Warehouse</t>
  </si>
  <si>
    <t>100</t>
  </si>
  <si>
    <t>89.6</t>
  </si>
  <si>
    <t>296000</t>
  </si>
  <si>
    <t>12246</t>
  </si>
  <si>
    <t>123.30333</t>
  </si>
  <si>
    <t>513.39166</t>
  </si>
  <si>
    <t>old qty</t>
  </si>
  <si>
    <t>old unit cost</t>
  </si>
  <si>
    <t>TVS-SIM-293931</t>
  </si>
  <si>
    <t>123.29933</t>
  </si>
  <si>
    <t>TVS-SIM-204686</t>
  </si>
  <si>
    <t>234.33</t>
  </si>
  <si>
    <t>340</t>
  </si>
  <si>
    <t>TVS-SIM-257793</t>
  </si>
  <si>
    <t>TVS-SIM-395809</t>
  </si>
  <si>
    <t>INS WH</t>
  </si>
  <si>
    <t>1218.14</t>
  </si>
  <si>
    <t>RM LWH</t>
  </si>
  <si>
    <t>506</t>
  </si>
  <si>
    <t>40</t>
  </si>
  <si>
    <t>2.1</t>
  </si>
  <si>
    <t>1243</t>
  </si>
  <si>
    <t>451.1133</t>
  </si>
  <si>
    <t>338.1</t>
  </si>
  <si>
    <t>437</t>
  </si>
  <si>
    <t>765</t>
  </si>
  <si>
    <t>455.67</t>
  </si>
  <si>
    <t>345</t>
  </si>
  <si>
    <t>TVS-RM-KPK-01</t>
  </si>
  <si>
    <t>KD-DISS-896601</t>
  </si>
  <si>
    <t>RMLG</t>
  </si>
  <si>
    <t>RMG</t>
  </si>
  <si>
    <t>RML2</t>
  </si>
  <si>
    <t>KD-DISS-989088</t>
  </si>
  <si>
    <t>KD-DISS-126597</t>
  </si>
  <si>
    <t>TVS-SIM-493509</t>
  </si>
  <si>
    <t>TVS-SIM-450890</t>
  </si>
  <si>
    <t>TVS-DIS-942242</t>
  </si>
  <si>
    <t>TVS-DIS-184603</t>
  </si>
  <si>
    <t>78.7</t>
  </si>
  <si>
    <t>85</t>
  </si>
  <si>
    <t>3</t>
  </si>
  <si>
    <t>12.5</t>
  </si>
  <si>
    <t>147.388</t>
  </si>
  <si>
    <t>14</t>
  </si>
  <si>
    <t>157.56214</t>
  </si>
  <si>
    <t>68</t>
  </si>
  <si>
    <t>1204.17</t>
  </si>
  <si>
    <t>1123</t>
  </si>
  <si>
    <t>139</t>
  </si>
  <si>
    <t>513.48491</t>
  </si>
  <si>
    <t>13334</t>
  </si>
  <si>
    <t>513.37571</t>
  </si>
  <si>
    <t>226.58785</t>
  </si>
  <si>
    <t>3069</t>
  </si>
  <si>
    <t>226.59864</t>
  </si>
  <si>
    <t>513.37246</t>
  </si>
  <si>
    <t>226.58633</t>
  </si>
  <si>
    <t>141</t>
  </si>
  <si>
    <t>513.48332</t>
  </si>
  <si>
    <t>3072</t>
  </si>
  <si>
    <t>226.59863</t>
  </si>
  <si>
    <t>90</t>
  </si>
  <si>
    <t>200</t>
  </si>
  <si>
    <t>2262.6</t>
  </si>
  <si>
    <t>168.71475</t>
  </si>
  <si>
    <t>8697</t>
  </si>
  <si>
    <t>100.81357</t>
  </si>
  <si>
    <t>420</t>
  </si>
  <si>
    <t>1182.58984</t>
  </si>
  <si>
    <t>249.19116</t>
  </si>
  <si>
    <t>202</t>
  </si>
  <si>
    <t>1158.34824</t>
  </si>
  <si>
    <t>312</t>
  </si>
  <si>
    <t>247.4422</t>
  </si>
  <si>
    <t>675</t>
  </si>
  <si>
    <t>1.34</t>
  </si>
  <si>
    <t>112.5</t>
  </si>
  <si>
    <t>100.8</t>
  </si>
  <si>
    <t>333000</t>
  </si>
</sst>
</file>

<file path=xl/styles.xml><?xml version="1.0" encoding="utf-8"?>
<styleSheet xmlns="http://schemas.openxmlformats.org/spreadsheetml/2006/main">
  <numFmts count="2">
    <numFmt numFmtId="164" formatCode="0.000"/>
    <numFmt numFmtId="165" formatCode="0.0%"/>
  </numFmts>
  <fonts count="14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mbria"/>
      <family val="1"/>
      <scheme val="major"/>
    </font>
    <font>
      <sz val="11"/>
      <color theme="1"/>
      <name val="Cambria"/>
      <family val="1"/>
      <scheme val="major"/>
    </font>
    <font>
      <b/>
      <u/>
      <sz val="14"/>
      <color theme="1"/>
      <name val="Cambria"/>
      <family val="1"/>
      <scheme val="major"/>
    </font>
    <font>
      <b/>
      <sz val="14"/>
      <color theme="1"/>
      <name val="Cambria"/>
      <family val="1"/>
      <scheme val="major"/>
    </font>
    <font>
      <sz val="10"/>
      <color rgb="FF000000"/>
      <name val="Consolas"/>
      <family val="3"/>
    </font>
    <font>
      <sz val="9"/>
      <color rgb="FF000000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9F9F9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double">
        <color rgb="FF0070C0"/>
      </top>
      <bottom style="thin">
        <color rgb="FF0070C0"/>
      </bottom>
      <diagonal/>
    </border>
    <border>
      <left style="double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thin">
        <color rgb="FF0070C0"/>
      </top>
      <bottom style="thin">
        <color rgb="FF0070C0"/>
      </bottom>
      <diagonal/>
    </border>
    <border>
      <left style="double">
        <color rgb="FF0070C0"/>
      </left>
      <right style="thin">
        <color rgb="FF0070C0"/>
      </right>
      <top style="thin">
        <color rgb="FF0070C0"/>
      </top>
      <bottom style="double">
        <color rgb="FF0070C0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double">
        <color rgb="FF0070C0"/>
      </bottom>
      <diagonal/>
    </border>
    <border>
      <left style="thin">
        <color rgb="FF0070C0"/>
      </left>
      <right style="double">
        <color rgb="FF0070C0"/>
      </right>
      <top style="thin">
        <color rgb="FF0070C0"/>
      </top>
      <bottom style="double">
        <color rgb="FF0070C0"/>
      </bottom>
      <diagonal/>
    </border>
    <border>
      <left style="medium">
        <color rgb="FF0070C0"/>
      </left>
      <right style="medium">
        <color rgb="FF0070C0"/>
      </right>
      <top/>
      <bottom/>
      <diagonal/>
    </border>
    <border>
      <left style="medium">
        <color rgb="FF0070C0"/>
      </left>
      <right/>
      <top/>
      <bottom/>
      <diagonal/>
    </border>
    <border>
      <left style="medium">
        <color rgb="FF0070C0"/>
      </left>
      <right style="medium">
        <color rgb="FF0070C0"/>
      </right>
      <top/>
      <bottom style="medium">
        <color rgb="FF0070C0"/>
      </bottom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/>
      <right/>
      <top/>
      <bottom style="medium">
        <color rgb="FF0070C0"/>
      </bottom>
      <diagonal/>
    </border>
    <border>
      <left style="medium">
        <color rgb="FF0070C0"/>
      </left>
      <right/>
      <top style="medium">
        <color rgb="FF0070C0"/>
      </top>
      <bottom style="medium">
        <color rgb="FF0070C0"/>
      </bottom>
      <diagonal/>
    </border>
    <border>
      <left/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/>
      <right/>
      <top style="medium">
        <color rgb="FF0070C0"/>
      </top>
      <bottom style="medium">
        <color rgb="FF0070C0"/>
      </bottom>
      <diagonal/>
    </border>
    <border>
      <left/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/>
      <diagonal/>
    </border>
    <border>
      <left style="medium">
        <color rgb="FFE6E6E6"/>
      </left>
      <right style="medium">
        <color rgb="FFE6E6E6"/>
      </right>
      <top style="medium">
        <color rgb="FFE6E6E6"/>
      </top>
      <bottom style="medium">
        <color rgb="FFE6E6E6"/>
      </bottom>
      <diagonal/>
    </border>
    <border>
      <left style="thin">
        <color rgb="FF0070C0"/>
      </left>
      <right style="thin">
        <color rgb="FF0070C0"/>
      </right>
      <top/>
      <bottom/>
      <diagonal/>
    </border>
  </borders>
  <cellStyleXfs count="3">
    <xf numFmtId="0" fontId="0" fillId="0" borderId="0"/>
    <xf numFmtId="0" fontId="5" fillId="0" borderId="0">
      <alignment vertical="center"/>
    </xf>
    <xf numFmtId="0" fontId="4" fillId="0" borderId="0">
      <alignment vertical="center"/>
    </xf>
  </cellStyleXfs>
  <cellXfs count="128">
    <xf numFmtId="0" fontId="0" fillId="0" borderId="0" xfId="0"/>
    <xf numFmtId="0" fontId="0" fillId="0" borderId="0" xfId="0" applyBorder="1"/>
    <xf numFmtId="0" fontId="7" fillId="2" borderId="1" xfId="0" applyFont="1" applyFill="1" applyBorder="1"/>
    <xf numFmtId="0" fontId="0" fillId="2" borderId="1" xfId="0" applyFill="1" applyBorder="1"/>
    <xf numFmtId="0" fontId="0" fillId="0" borderId="1" xfId="0" applyBorder="1"/>
    <xf numFmtId="0" fontId="0" fillId="0" borderId="1" xfId="0" applyNumberFormat="1" applyBorder="1"/>
    <xf numFmtId="0" fontId="0" fillId="2" borderId="1" xfId="0" applyFill="1" applyBorder="1" applyAlignment="1">
      <alignment vertical="center"/>
    </xf>
    <xf numFmtId="0" fontId="0" fillId="0" borderId="1" xfId="0" applyBorder="1" applyAlignment="1">
      <alignment vertical="center"/>
    </xf>
    <xf numFmtId="0" fontId="8" fillId="3" borderId="2" xfId="0" applyFont="1" applyFill="1" applyBorder="1" applyAlignment="1">
      <alignment horizontal="center" vertical="center"/>
    </xf>
    <xf numFmtId="0" fontId="8" fillId="3" borderId="3" xfId="0" applyFont="1" applyFill="1" applyBorder="1" applyAlignment="1">
      <alignment horizontal="center" vertical="center"/>
    </xf>
    <xf numFmtId="0" fontId="8" fillId="3" borderId="3" xfId="0" applyFont="1" applyFill="1" applyBorder="1" applyAlignment="1">
      <alignment horizontal="left" vertical="center"/>
    </xf>
    <xf numFmtId="0" fontId="8" fillId="3" borderId="4" xfId="0" applyFont="1" applyFill="1" applyBorder="1" applyAlignment="1">
      <alignment horizontal="center" vertical="center"/>
    </xf>
    <xf numFmtId="0" fontId="8" fillId="0" borderId="0" xfId="0" applyFont="1" applyFill="1" applyBorder="1" applyAlignment="1">
      <alignment horizontal="center" vertical="center"/>
    </xf>
    <xf numFmtId="0" fontId="9" fillId="0" borderId="0" xfId="0" applyFont="1"/>
    <xf numFmtId="0" fontId="9" fillId="0" borderId="5" xfId="0" applyFont="1" applyBorder="1"/>
    <xf numFmtId="0" fontId="9" fillId="0" borderId="6" xfId="0" applyFont="1" applyBorder="1"/>
    <xf numFmtId="164" fontId="9" fillId="0" borderId="6" xfId="0" applyNumberFormat="1" applyFont="1" applyBorder="1"/>
    <xf numFmtId="2" fontId="9" fillId="0" borderId="6" xfId="0" applyNumberFormat="1" applyFont="1" applyBorder="1"/>
    <xf numFmtId="2" fontId="9" fillId="0" borderId="7" xfId="0" applyNumberFormat="1" applyFont="1" applyBorder="1"/>
    <xf numFmtId="10" fontId="9" fillId="0" borderId="0" xfId="0" applyNumberFormat="1" applyFont="1" applyFill="1" applyBorder="1"/>
    <xf numFmtId="2" fontId="9" fillId="0" borderId="0" xfId="0" applyNumberFormat="1" applyFont="1" applyFill="1" applyBorder="1"/>
    <xf numFmtId="0" fontId="9" fillId="0" borderId="8" xfId="0" applyFont="1" applyBorder="1"/>
    <xf numFmtId="0" fontId="9" fillId="0" borderId="9" xfId="0" applyFont="1" applyBorder="1"/>
    <xf numFmtId="164" fontId="9" fillId="0" borderId="9" xfId="0" applyNumberFormat="1" applyFont="1" applyBorder="1"/>
    <xf numFmtId="2" fontId="9" fillId="0" borderId="9" xfId="0" applyNumberFormat="1" applyFont="1" applyBorder="1"/>
    <xf numFmtId="2" fontId="9" fillId="0" borderId="10" xfId="0" applyNumberFormat="1" applyFont="1" applyBorder="1"/>
    <xf numFmtId="0" fontId="8" fillId="4" borderId="12" xfId="0" applyFont="1" applyFill="1" applyBorder="1" applyAlignment="1">
      <alignment vertical="top"/>
    </xf>
    <xf numFmtId="0" fontId="9" fillId="0" borderId="0" xfId="0" applyFont="1" applyBorder="1"/>
    <xf numFmtId="0" fontId="8" fillId="0" borderId="0" xfId="0" applyFont="1" applyFill="1" applyBorder="1"/>
    <xf numFmtId="0" fontId="8" fillId="0" borderId="0" xfId="0" applyFont="1" applyFill="1" applyBorder="1" applyAlignment="1">
      <alignment horizontal="center"/>
    </xf>
    <xf numFmtId="0" fontId="9" fillId="0" borderId="0" xfId="0" applyFont="1" applyFill="1" applyBorder="1"/>
    <xf numFmtId="0" fontId="8" fillId="0" borderId="0" xfId="0" applyFont="1" applyFill="1" applyBorder="1" applyAlignment="1">
      <alignment horizontal="left" vertical="center"/>
    </xf>
    <xf numFmtId="0" fontId="8" fillId="3" borderId="13" xfId="0" applyFont="1" applyFill="1" applyBorder="1" applyAlignment="1">
      <alignment horizontal="center" vertical="center"/>
    </xf>
    <xf numFmtId="0" fontId="8" fillId="3" borderId="13" xfId="0" applyFont="1" applyFill="1" applyBorder="1" applyAlignment="1">
      <alignment horizontal="left" vertical="center"/>
    </xf>
    <xf numFmtId="0" fontId="8" fillId="3" borderId="13" xfId="0" applyFont="1" applyFill="1" applyBorder="1" applyAlignment="1">
      <alignment horizontal="center" vertical="center" wrapText="1"/>
    </xf>
    <xf numFmtId="0" fontId="8" fillId="5" borderId="13" xfId="0" applyFont="1" applyFill="1" applyBorder="1" applyAlignment="1">
      <alignment horizontal="center" vertical="center"/>
    </xf>
    <xf numFmtId="0" fontId="8" fillId="6" borderId="13" xfId="0" applyFont="1" applyFill="1" applyBorder="1" applyAlignment="1">
      <alignment horizontal="center" vertical="center"/>
    </xf>
    <xf numFmtId="0" fontId="8" fillId="7" borderId="13" xfId="0" applyFont="1" applyFill="1" applyBorder="1" applyAlignment="1">
      <alignment horizontal="center" vertical="center"/>
    </xf>
    <xf numFmtId="0" fontId="8" fillId="2" borderId="13" xfId="0" applyFont="1" applyFill="1" applyBorder="1" applyAlignment="1">
      <alignment horizontal="center" vertical="center"/>
    </xf>
    <xf numFmtId="0" fontId="8" fillId="2" borderId="13" xfId="0" applyFont="1" applyFill="1" applyBorder="1" applyAlignment="1">
      <alignment horizontal="center" vertical="center" wrapText="1"/>
    </xf>
    <xf numFmtId="0" fontId="8" fillId="8" borderId="13" xfId="0" applyFont="1" applyFill="1" applyBorder="1" applyAlignment="1">
      <alignment horizontal="center" vertical="center"/>
    </xf>
    <xf numFmtId="0" fontId="9" fillId="0" borderId="14" xfId="0" applyFont="1" applyBorder="1"/>
    <xf numFmtId="164" fontId="9" fillId="0" borderId="14" xfId="0" applyNumberFormat="1" applyFont="1" applyBorder="1"/>
    <xf numFmtId="2" fontId="9" fillId="0" borderId="14" xfId="0" applyNumberFormat="1" applyFont="1" applyBorder="1"/>
    <xf numFmtId="10" fontId="9" fillId="0" borderId="14" xfId="0" applyNumberFormat="1" applyFont="1" applyBorder="1"/>
    <xf numFmtId="0" fontId="8" fillId="4" borderId="14" xfId="0" applyFont="1" applyFill="1" applyBorder="1"/>
    <xf numFmtId="2" fontId="8" fillId="4" borderId="14" xfId="0" applyNumberFormat="1" applyFont="1" applyFill="1" applyBorder="1"/>
    <xf numFmtId="0" fontId="8" fillId="2" borderId="14" xfId="0" applyFont="1" applyFill="1" applyBorder="1"/>
    <xf numFmtId="2" fontId="8" fillId="2" borderId="14" xfId="0" applyNumberFormat="1" applyFont="1" applyFill="1" applyBorder="1"/>
    <xf numFmtId="10" fontId="0" fillId="0" borderId="0" xfId="0" applyNumberFormat="1" applyAlignment="1">
      <alignment horizontal="left"/>
    </xf>
    <xf numFmtId="2" fontId="0" fillId="0" borderId="0" xfId="0" applyNumberFormat="1"/>
    <xf numFmtId="2" fontId="9" fillId="0" borderId="0" xfId="0" applyNumberFormat="1" applyFont="1"/>
    <xf numFmtId="0" fontId="9" fillId="0" borderId="0" xfId="0" applyFont="1" applyFill="1" applyBorder="1" applyAlignment="1">
      <alignment horizontal="left"/>
    </xf>
    <xf numFmtId="0" fontId="9" fillId="0" borderId="0" xfId="0" applyFont="1" applyAlignment="1"/>
    <xf numFmtId="0" fontId="0" fillId="0" borderId="0" xfId="0" applyNumberFormat="1"/>
    <xf numFmtId="2" fontId="7" fillId="0" borderId="0" xfId="0" applyNumberFormat="1" applyFont="1" applyFill="1" applyBorder="1"/>
    <xf numFmtId="0" fontId="9" fillId="3" borderId="3" xfId="0" applyFont="1" applyFill="1" applyBorder="1"/>
    <xf numFmtId="0" fontId="9" fillId="0" borderId="3" xfId="0" applyFont="1" applyBorder="1"/>
    <xf numFmtId="0" fontId="9" fillId="0" borderId="4" xfId="0" applyFont="1" applyBorder="1"/>
    <xf numFmtId="0" fontId="0" fillId="0" borderId="6" xfId="0" applyBorder="1"/>
    <xf numFmtId="0" fontId="9" fillId="0" borderId="7" xfId="0" applyFont="1" applyBorder="1"/>
    <xf numFmtId="0" fontId="10" fillId="0" borderId="0" xfId="0" applyFont="1" applyBorder="1" applyAlignment="1">
      <alignment horizontal="left" vertical="top"/>
    </xf>
    <xf numFmtId="0" fontId="8" fillId="3" borderId="14" xfId="0" applyFont="1" applyFill="1" applyBorder="1" applyAlignment="1">
      <alignment horizontal="center" vertical="center"/>
    </xf>
    <xf numFmtId="0" fontId="8" fillId="5" borderId="14" xfId="0" applyFont="1" applyFill="1" applyBorder="1" applyAlignment="1">
      <alignment horizontal="center" vertical="center"/>
    </xf>
    <xf numFmtId="0" fontId="8" fillId="6" borderId="14" xfId="0" applyFont="1" applyFill="1" applyBorder="1" applyAlignment="1">
      <alignment horizontal="center" vertical="center"/>
    </xf>
    <xf numFmtId="0" fontId="8" fillId="7" borderId="14" xfId="0" applyFont="1" applyFill="1" applyBorder="1" applyAlignment="1">
      <alignment horizontal="center" vertical="center"/>
    </xf>
    <xf numFmtId="0" fontId="8" fillId="2" borderId="14" xfId="0" applyFont="1" applyFill="1" applyBorder="1" applyAlignment="1">
      <alignment horizontal="center" vertical="center"/>
    </xf>
    <xf numFmtId="0" fontId="8" fillId="8" borderId="14" xfId="0" applyFont="1" applyFill="1" applyBorder="1" applyAlignment="1">
      <alignment horizontal="center" vertical="center" wrapText="1"/>
    </xf>
    <xf numFmtId="0" fontId="9" fillId="0" borderId="13" xfId="0" applyFont="1" applyBorder="1"/>
    <xf numFmtId="0" fontId="11" fillId="0" borderId="14" xfId="0" applyFont="1" applyBorder="1" applyAlignment="1">
      <alignment vertical="center"/>
    </xf>
    <xf numFmtId="0" fontId="10" fillId="0" borderId="14" xfId="0" applyFont="1" applyBorder="1" applyAlignment="1">
      <alignment vertical="center"/>
    </xf>
    <xf numFmtId="0" fontId="10" fillId="0" borderId="15" xfId="0" applyFont="1" applyBorder="1" applyAlignment="1">
      <alignment vertical="center"/>
    </xf>
    <xf numFmtId="0" fontId="10" fillId="0" borderId="0" xfId="0" applyFont="1" applyBorder="1" applyAlignment="1">
      <alignment vertical="center"/>
    </xf>
    <xf numFmtId="9" fontId="9" fillId="0" borderId="14" xfId="0" applyNumberFormat="1" applyFont="1" applyBorder="1"/>
    <xf numFmtId="165" fontId="9" fillId="0" borderId="14" xfId="0" applyNumberFormat="1" applyFont="1" applyBorder="1"/>
    <xf numFmtId="0" fontId="8" fillId="2" borderId="14" xfId="0" applyFont="1" applyFill="1" applyBorder="1" applyAlignment="1">
      <alignment horizontal="center" vertical="center" wrapText="1"/>
    </xf>
    <xf numFmtId="0" fontId="9" fillId="0" borderId="14" xfId="0" applyNumberFormat="1" applyFont="1" applyBorder="1"/>
    <xf numFmtId="0" fontId="8" fillId="4" borderId="18" xfId="0" applyFont="1" applyFill="1" applyBorder="1" applyAlignment="1"/>
    <xf numFmtId="0" fontId="8" fillId="4" borderId="17" xfId="0" applyFont="1" applyFill="1" applyBorder="1" applyAlignment="1"/>
    <xf numFmtId="0" fontId="0" fillId="0" borderId="0" xfId="0" applyBorder="1" applyAlignment="1"/>
    <xf numFmtId="0" fontId="12" fillId="0" borderId="0" xfId="0" applyFont="1"/>
    <xf numFmtId="0" fontId="8" fillId="4" borderId="14" xfId="0" applyNumberFormat="1" applyFont="1" applyFill="1" applyBorder="1"/>
    <xf numFmtId="0" fontId="10" fillId="0" borderId="0" xfId="0" applyFont="1" applyBorder="1" applyAlignment="1">
      <alignment horizontal="left" vertical="top"/>
    </xf>
    <xf numFmtId="0" fontId="0" fillId="0" borderId="19" xfId="0" applyBorder="1"/>
    <xf numFmtId="0" fontId="9" fillId="3" borderId="20" xfId="0" applyFont="1" applyFill="1" applyBorder="1"/>
    <xf numFmtId="0" fontId="6" fillId="0" borderId="1" xfId="0" applyFont="1" applyBorder="1"/>
    <xf numFmtId="0" fontId="10" fillId="0" borderId="0" xfId="0" applyFont="1" applyBorder="1" applyAlignment="1">
      <alignment horizontal="left" vertical="top"/>
    </xf>
    <xf numFmtId="0" fontId="0" fillId="0" borderId="1" xfId="0" applyFont="1" applyBorder="1" applyAlignment="1">
      <alignment vertical="center"/>
    </xf>
    <xf numFmtId="0" fontId="9" fillId="0" borderId="6" xfId="0" applyNumberFormat="1" applyFont="1" applyBorder="1"/>
    <xf numFmtId="0" fontId="8" fillId="2" borderId="14" xfId="0" applyNumberFormat="1" applyFont="1" applyFill="1" applyBorder="1"/>
    <xf numFmtId="2" fontId="9" fillId="0" borderId="0" xfId="0" applyNumberFormat="1" applyFont="1" applyBorder="1"/>
    <xf numFmtId="0" fontId="10" fillId="0" borderId="0" xfId="0" applyFont="1" applyBorder="1" applyAlignment="1">
      <alignment horizontal="left" vertical="top"/>
    </xf>
    <xf numFmtId="0" fontId="10" fillId="0" borderId="0" xfId="0" applyFont="1" applyBorder="1" applyAlignment="1">
      <alignment horizontal="center" vertical="center"/>
    </xf>
    <xf numFmtId="0" fontId="13" fillId="11" borderId="21" xfId="0" applyFont="1" applyFill="1" applyBorder="1"/>
    <xf numFmtId="0" fontId="8" fillId="4" borderId="16" xfId="0" applyFont="1" applyFill="1" applyBorder="1" applyAlignment="1"/>
    <xf numFmtId="0" fontId="9" fillId="0" borderId="0" xfId="0" quotePrefix="1" applyFont="1"/>
    <xf numFmtId="0" fontId="9" fillId="3" borderId="3" xfId="0" applyFont="1" applyFill="1" applyBorder="1" applyAlignment="1"/>
    <xf numFmtId="0" fontId="9" fillId="3" borderId="22" xfId="0" applyFont="1" applyFill="1" applyBorder="1"/>
    <xf numFmtId="0" fontId="13" fillId="12" borderId="21" xfId="0" applyFont="1" applyFill="1" applyBorder="1"/>
    <xf numFmtId="0" fontId="0" fillId="0" borderId="6" xfId="0" applyNumberFormat="1" applyBorder="1"/>
    <xf numFmtId="0" fontId="0" fillId="0" borderId="1" xfId="0" applyNumberFormat="1" applyBorder="1" applyAlignment="1">
      <alignment vertical="center"/>
    </xf>
    <xf numFmtId="0" fontId="0" fillId="0" borderId="1" xfId="0" applyNumberFormat="1" applyFont="1" applyBorder="1" applyAlignment="1">
      <alignment vertical="center"/>
    </xf>
    <xf numFmtId="0" fontId="3" fillId="0" borderId="1" xfId="0" applyFont="1" applyBorder="1"/>
    <xf numFmtId="0" fontId="2" fillId="0" borderId="1" xfId="0" applyFont="1" applyBorder="1"/>
    <xf numFmtId="0" fontId="1" fillId="0" borderId="1" xfId="0" applyNumberFormat="1" applyFont="1" applyBorder="1" applyAlignment="1">
      <alignment vertical="center"/>
    </xf>
    <xf numFmtId="0" fontId="10" fillId="0" borderId="0" xfId="0" applyFont="1" applyBorder="1" applyAlignment="1">
      <alignment horizontal="left" vertical="top"/>
    </xf>
    <xf numFmtId="0" fontId="10" fillId="0" borderId="0" xfId="0" applyFont="1" applyBorder="1" applyAlignment="1">
      <alignment horizontal="left" vertical="top"/>
    </xf>
    <xf numFmtId="0" fontId="0" fillId="0" borderId="0" xfId="0" applyAlignment="1">
      <alignment vertical="center"/>
    </xf>
    <xf numFmtId="0" fontId="10" fillId="0" borderId="0" xfId="0" applyFont="1" applyBorder="1" applyAlignment="1">
      <alignment horizontal="left" vertical="top"/>
    </xf>
    <xf numFmtId="0" fontId="10" fillId="0" borderId="0" xfId="0" applyFont="1" applyBorder="1" applyAlignment="1">
      <alignment horizontal="left" vertical="top"/>
    </xf>
    <xf numFmtId="0" fontId="10" fillId="0" borderId="0" xfId="0" applyFont="1" applyBorder="1" applyAlignment="1">
      <alignment horizontal="left" vertical="top"/>
    </xf>
    <xf numFmtId="0" fontId="9" fillId="0" borderId="0" xfId="0" applyFont="1" applyFill="1" applyBorder="1" applyAlignment="1">
      <alignment horizontal="left"/>
    </xf>
    <xf numFmtId="2" fontId="8" fillId="0" borderId="0" xfId="0" applyNumberFormat="1" applyFont="1" applyFill="1" applyBorder="1" applyAlignment="1">
      <alignment horizontal="right"/>
    </xf>
    <xf numFmtId="0" fontId="10" fillId="0" borderId="0" xfId="0" applyFont="1" applyBorder="1" applyAlignment="1">
      <alignment horizontal="left" vertical="top"/>
    </xf>
    <xf numFmtId="0" fontId="8" fillId="4" borderId="11" xfId="0" applyFont="1" applyFill="1" applyBorder="1" applyAlignment="1">
      <alignment horizontal="center" vertical="top"/>
    </xf>
    <xf numFmtId="0" fontId="9" fillId="0" borderId="0" xfId="0" applyFont="1" applyFill="1" applyBorder="1" applyAlignment="1">
      <alignment horizontal="left" vertical="center"/>
    </xf>
    <xf numFmtId="0" fontId="9" fillId="0" borderId="16" xfId="0" applyFont="1" applyBorder="1" applyAlignment="1">
      <alignment horizontal="left"/>
    </xf>
    <xf numFmtId="0" fontId="9" fillId="0" borderId="17" xfId="0" applyFont="1" applyBorder="1" applyAlignment="1">
      <alignment horizontal="left"/>
    </xf>
    <xf numFmtId="0" fontId="8" fillId="0" borderId="14" xfId="0" applyFont="1" applyBorder="1" applyAlignment="1">
      <alignment horizontal="right"/>
    </xf>
    <xf numFmtId="0" fontId="8" fillId="2" borderId="14" xfId="0" applyFont="1" applyFill="1" applyBorder="1" applyAlignment="1">
      <alignment horizontal="right"/>
    </xf>
    <xf numFmtId="0" fontId="10" fillId="0" borderId="15" xfId="0" applyFont="1" applyBorder="1" applyAlignment="1">
      <alignment horizontal="center" vertical="center"/>
    </xf>
    <xf numFmtId="0" fontId="8" fillId="4" borderId="14" xfId="0" applyFont="1" applyFill="1" applyBorder="1" applyAlignment="1">
      <alignment horizontal="center"/>
    </xf>
    <xf numFmtId="0" fontId="8" fillId="9" borderId="16" xfId="0" applyFont="1" applyFill="1" applyBorder="1" applyAlignment="1">
      <alignment horizontal="center"/>
    </xf>
    <xf numFmtId="0" fontId="8" fillId="9" borderId="18" xfId="0" applyFont="1" applyFill="1" applyBorder="1" applyAlignment="1">
      <alignment horizontal="center"/>
    </xf>
    <xf numFmtId="0" fontId="8" fillId="9" borderId="17" xfId="0" applyFont="1" applyFill="1" applyBorder="1" applyAlignment="1">
      <alignment horizontal="center"/>
    </xf>
    <xf numFmtId="0" fontId="8" fillId="0" borderId="14" xfId="0" applyFont="1" applyBorder="1" applyAlignment="1">
      <alignment horizontal="center"/>
    </xf>
    <xf numFmtId="0" fontId="8" fillId="2" borderId="14" xfId="0" applyFont="1" applyFill="1" applyBorder="1" applyAlignment="1">
      <alignment horizontal="center"/>
    </xf>
    <xf numFmtId="0" fontId="8" fillId="10" borderId="14" xfId="0" applyFont="1" applyFill="1" applyBorder="1" applyAlignment="1">
      <alignment horizontal="center"/>
    </xf>
  </cellXfs>
  <cellStyles count="3">
    <cellStyle name="Normal" xfId="0" builtinId="0"/>
    <cellStyle name="Normal 2" xfId="1"/>
    <cellStyle name="Normal 3" xfId="2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theme/theme1.xml" Type="http://schemas.openxmlformats.org/officeDocument/2006/relationships/theme"/><Relationship Id="rId23" Target="styles.xml" Type="http://schemas.openxmlformats.org/officeDocument/2006/relationships/styles"/><Relationship Id="rId24" Target="sharedStrings.xml" Type="http://schemas.openxmlformats.org/officeDocument/2006/relationships/sharedStrings"/><Relationship Id="rId25" Target="calcChain.xml" Type="http://schemas.openxmlformats.org/officeDocument/2006/relationships/calcChain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2.xml.rels><?xml version="1.0" encoding="UTF-8" standalone="yes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_rels/sheet7.xml.rels><?xml version="1.0" encoding="UTF-8" standalone="yes"?><Relationships xmlns="http://schemas.openxmlformats.org/package/2006/relationships"><Relationship Id="rId1" Target="../printerSettings/printerSettings3.bin" Type="http://schemas.openxmlformats.org/officeDocument/2006/relationships/printerSettings"/></Relationships>
</file>

<file path=xl/worksheets/_rels/sheet8.xml.rels><?xml version="1.0" encoding="UTF-8" standalone="yes"?><Relationships xmlns="http://schemas.openxmlformats.org/package/2006/relationships"><Relationship Id="rId1" Target="../printerSettings/printerSettings4.bin" Type="http://schemas.openxmlformats.org/officeDocument/2006/relationships/printerSettings"/></Relationships>
</file>

<file path=xl/worksheets/_rels/sheet10.xml.rels><?xml version="1.0" encoding="UTF-8" standalone="yes"?><Relationships xmlns="http://schemas.openxmlformats.org/package/2006/relationships"><Relationship Id="rId1" Target="https://webappqc.roadmaperp.com:8765/ords/r/erp/scm-us9011/item-unit-association?p36719401_prodplnt_prod_id=TVS-SIM-293931&amp;p36719401_prodplnt_prod_rev=0&amp;p36719401_rep_type=&amp;p36719401_page=367194&amp;p36719401_prodplnt_status=A&amp;p36719401_prodplnt_plnt=U100&amp;clear=RP,36719401&amp;session=33842499744504&amp;cs=1kldaqlcSqb6KDMk97DSm3fLFox-yvkXS_nDDCWj2cQ6lFYyTyIVJRSGUfxoHPp0HF37cUbSvK2iNx8b1xUvsOQ" TargetMode="External" Type="http://schemas.openxmlformats.org/officeDocument/2006/relationships/hyperlink"/><Relationship Id="rId2" Target="../printerSettings/printerSettings5.bin" Type="http://schemas.openxmlformats.org/officeDocument/2006/relationships/printerSettings"/></Relationships>
</file>

<file path=xl/worksheets/_rels/sheet13.xml.rels><?xml version="1.0" encoding="UTF-8" standalone="yes"?><Relationships xmlns="http://schemas.openxmlformats.org/package/2006/relationships"><Relationship Id="rId1" Target="../printerSettings/printerSettings6.bin" Type="http://schemas.openxmlformats.org/officeDocument/2006/relationships/printerSettings"/></Relationships>
</file>

<file path=xl/worksheets/_rels/sheet14.xml.rels><?xml version="1.0" encoding="UTF-8" standalone="yes"?><Relationships xmlns="http://schemas.openxmlformats.org/package/2006/relationships"><Relationship Id="rId1" Target="../printerSettings/printerSettings7.bin" Type="http://schemas.openxmlformats.org/officeDocument/2006/relationships/printerSettings"/></Relationships>
</file>

<file path=xl/worksheets/_rels/sheet17.xml.rels><?xml version="1.0" encoding="UTF-8" standalone="yes"?><Relationships xmlns="http://schemas.openxmlformats.org/package/2006/relationships"><Relationship Id="rId1" Target="../printerSettings/printerSettings8.bin" Type="http://schemas.openxmlformats.org/officeDocument/2006/relationships/printerSettings"/></Relationships>
</file>

<file path=xl/worksheets/_rels/sheet19.xml.rels><?xml version="1.0" encoding="UTF-8" standalone="yes"?><Relationships xmlns="http://schemas.openxmlformats.org/package/2006/relationships"><Relationship Id="rId1" Target="../printerSettings/printerSettings9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Z11"/>
  <sheetViews>
    <sheetView workbookViewId="0">
      <selection activeCell="A4" sqref="A4"/>
    </sheetView>
  </sheetViews>
  <sheetFormatPr defaultColWidth="9" defaultRowHeight="15"/>
  <cols>
    <col min="1" max="1" bestFit="true" customWidth="true" width="15.42578125"/>
    <col min="2" max="2" bestFit="true" customWidth="true" width="16.140625"/>
    <col min="3" max="3" bestFit="true" customWidth="true" width="10.7109375"/>
    <col min="4" max="4" bestFit="true" customWidth="true" width="15.5703125"/>
    <col min="5" max="5" bestFit="true" customWidth="true" width="8.7109375"/>
    <col min="6" max="6" bestFit="true" customWidth="true" width="13.7109375"/>
    <col min="7" max="7" bestFit="true" customWidth="true" width="26.85546875"/>
    <col min="8" max="8" bestFit="true" customWidth="true" width="11.140625"/>
    <col min="9" max="9" bestFit="true" customWidth="true" width="13.140625"/>
    <col min="10" max="10" bestFit="true" customWidth="true" width="15.7109375"/>
    <col min="22" max="22" bestFit="true" customWidth="true" width="13.5703125"/>
    <col min="23" max="23" bestFit="true" customWidth="true" width="12.42578125"/>
    <col min="24" max="24" bestFit="true" customWidth="true" width="17.85546875"/>
    <col min="25" max="25" bestFit="true" customWidth="true" width="8.140625"/>
    <col min="26" max="26" bestFit="true" customWidth="true" width="21.140625"/>
  </cols>
  <sheetData>
    <row r="1" spans="1:26">
      <c r="A1" s="2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6" t="s">
        <v>37</v>
      </c>
      <c r="X1" s="6" t="s">
        <v>38</v>
      </c>
      <c r="Y1" s="6" t="s">
        <v>39</v>
      </c>
      <c r="Z1" s="6" t="s">
        <v>40</v>
      </c>
    </row>
    <row r="2" spans="1:26">
      <c r="A2" t="s" s="0">
        <v>31</v>
      </c>
      <c r="B2" t="s" s="0">
        <v>32</v>
      </c>
      <c r="C2" s="4">
        <v>10</v>
      </c>
      <c r="D2" s="5">
        <v>100</v>
      </c>
      <c r="E2" s="4">
        <f>A2+C2</f>
        <v>1152.5999999999999</v>
      </c>
      <c r="F2" s="4">
        <f t="shared" ref="F2:F3" si="0">ROUND(((A2*B2)+(C2*D2))/(C2+A2), 5)</f>
        <v>138.51226</v>
      </c>
      <c r="G2" s="4" t="s">
        <v>22</v>
      </c>
      <c r="H2" s="4" t="s">
        <v>23</v>
      </c>
      <c r="I2" s="4" t="s">
        <v>24</v>
      </c>
      <c r="J2" s="4">
        <v>2</v>
      </c>
      <c r="K2" s="4" t="s">
        <v>25</v>
      </c>
      <c r="L2" s="4">
        <v>1000</v>
      </c>
      <c r="M2" s="4">
        <v>1000</v>
      </c>
      <c r="N2" s="4">
        <v>10</v>
      </c>
      <c r="O2" s="4">
        <v>100</v>
      </c>
      <c r="P2" s="4">
        <v>900</v>
      </c>
      <c r="Q2" s="4">
        <v>10</v>
      </c>
      <c r="R2" s="4">
        <v>90</v>
      </c>
      <c r="S2" s="4">
        <v>810</v>
      </c>
      <c r="T2" s="4">
        <v>10</v>
      </c>
      <c r="U2" s="4">
        <v>81</v>
      </c>
      <c r="V2" s="4">
        <v>729</v>
      </c>
      <c r="W2" s="7" t="s">
        <v>41</v>
      </c>
      <c r="X2" s="7" t="s">
        <v>42</v>
      </c>
      <c r="Y2" s="7">
        <v>5</v>
      </c>
      <c r="Z2" s="7" t="s">
        <v>43</v>
      </c>
    </row>
    <row r="3" spans="1:26">
      <c r="A3" t="s" s="0">
        <v>33</v>
      </c>
      <c r="B3" t="s" s="0">
        <v>34</v>
      </c>
      <c r="C3" s="4">
        <v>20</v>
      </c>
      <c r="D3" s="4">
        <v>200</v>
      </c>
      <c r="E3" s="4">
        <f t="shared" ref="E3:E4" si="1">A3+C3</f>
        <v>8682</v>
      </c>
      <c r="F3" s="4">
        <f t="shared" si="0"/>
        <v>100.89381</v>
      </c>
      <c r="G3" s="4" t="s">
        <v>26</v>
      </c>
      <c r="H3" s="4" t="s">
        <v>27</v>
      </c>
      <c r="I3" s="4" t="s">
        <v>24</v>
      </c>
      <c r="J3" s="4" t="s">
        <v>28</v>
      </c>
      <c r="K3" s="4" t="s">
        <v>25</v>
      </c>
      <c r="L3" s="4">
        <v>4000</v>
      </c>
      <c r="M3" s="4">
        <v>4000</v>
      </c>
      <c r="N3" s="4">
        <v>10</v>
      </c>
      <c r="O3" s="4">
        <v>400</v>
      </c>
      <c r="P3" s="4">
        <v>3600</v>
      </c>
      <c r="Q3" s="4">
        <v>10</v>
      </c>
      <c r="R3" s="4">
        <v>360</v>
      </c>
      <c r="S3" s="4">
        <v>3240</v>
      </c>
      <c r="T3" s="4">
        <v>10</v>
      </c>
      <c r="U3" s="4">
        <v>324</v>
      </c>
      <c r="V3" s="4">
        <v>2916</v>
      </c>
      <c r="W3" s="7" t="s">
        <v>44</v>
      </c>
      <c r="X3" s="7" t="s">
        <v>45</v>
      </c>
      <c r="Y3" s="7">
        <v>100</v>
      </c>
      <c r="Z3" s="7" t="s">
        <v>43</v>
      </c>
    </row>
    <row r="4" spans="1:26">
      <c r="A4" t="s" s="0">
        <v>35</v>
      </c>
      <c r="B4" t="s" s="0">
        <v>36</v>
      </c>
      <c r="C4" s="4">
        <v>10</v>
      </c>
      <c r="D4" s="4">
        <v>300</v>
      </c>
      <c r="E4" s="4">
        <f t="shared" si="1"/>
        <v>11404</v>
      </c>
      <c r="F4" s="4">
        <f>ROUND(((A4*B4)+(C4*D4))/(C4+A4), 5)</f>
        <v>262.58974000000001</v>
      </c>
      <c r="G4" s="4" t="s">
        <v>29</v>
      </c>
      <c r="H4" s="4" t="s">
        <v>30</v>
      </c>
      <c r="I4" s="4" t="s">
        <v>24</v>
      </c>
      <c r="J4" s="4" t="s">
        <v>28</v>
      </c>
      <c r="K4" s="4" t="s">
        <v>25</v>
      </c>
      <c r="L4" s="4">
        <v>3000</v>
      </c>
      <c r="M4" s="4">
        <v>3000</v>
      </c>
      <c r="N4" s="4">
        <v>10</v>
      </c>
      <c r="O4" s="4">
        <v>300</v>
      </c>
      <c r="P4" s="4">
        <v>2700</v>
      </c>
      <c r="Q4" s="4">
        <v>10</v>
      </c>
      <c r="R4" s="4">
        <v>270</v>
      </c>
      <c r="S4" s="4">
        <v>2430</v>
      </c>
      <c r="T4" s="4">
        <v>10</v>
      </c>
      <c r="U4" s="4">
        <v>243</v>
      </c>
      <c r="V4" s="4">
        <v>2187</v>
      </c>
    </row>
    <row r="5" spans="1:26">
      <c r="A5" s="1"/>
      <c r="B5" s="1"/>
      <c r="C5" s="1"/>
    </row>
    <row r="6" spans="1:26">
      <c r="A6" s="1"/>
      <c r="B6" s="1"/>
      <c r="C6" s="1"/>
    </row>
    <row r="7" spans="1:26">
      <c r="A7" s="1"/>
      <c r="B7" s="1"/>
      <c r="C7" s="1"/>
    </row>
    <row r="8" spans="1:26">
      <c r="A8" s="1"/>
      <c r="B8" s="1"/>
      <c r="C8" s="1"/>
    </row>
    <row r="9" spans="1:26">
      <c r="A9" s="1"/>
      <c r="B9" s="1"/>
      <c r="C9" s="1"/>
    </row>
    <row r="10" spans="1:26">
      <c r="A10" s="1"/>
      <c r="B10" s="1"/>
      <c r="C10" s="1"/>
    </row>
    <row r="11" spans="1:26">
      <c r="A11" s="1"/>
      <c r="B11" s="1"/>
      <c r="C11" s="1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BH49"/>
  <sheetViews>
    <sheetView topLeftCell="AT13" workbookViewId="0">
      <selection activeCell="AZ25" sqref="AZ25"/>
    </sheetView>
  </sheetViews>
  <sheetFormatPr defaultColWidth="10.140625" defaultRowHeight="15"/>
  <cols>
    <col min="2" max="2" bestFit="true" customWidth="true" width="21.42578125"/>
    <col min="3" max="3" bestFit="true" customWidth="true" width="26.85546875"/>
    <col min="4" max="4" bestFit="true" customWidth="true" width="62.7109375"/>
    <col min="5" max="5" bestFit="true" customWidth="true" width="11.28515625"/>
    <col min="6" max="6" bestFit="true" customWidth="true" width="17.5703125"/>
    <col min="9" max="9" bestFit="true" customWidth="true" width="15.28515625"/>
    <col min="12" max="12" bestFit="true" customWidth="true" width="16.28515625"/>
    <col min="13" max="13" bestFit="true" customWidth="true" width="13.85546875"/>
    <col min="14" max="14" bestFit="true" customWidth="true" width="18.85546875"/>
    <col min="15" max="15" bestFit="true" customWidth="true" width="19.0"/>
    <col min="16" max="16" bestFit="true" customWidth="true" width="21.7109375"/>
    <col min="17" max="17" bestFit="true" customWidth="true" width="37.7109375"/>
    <col min="18" max="18" bestFit="true" customWidth="true" width="13.7109375"/>
    <col min="19" max="19" bestFit="true" customWidth="true" width="12.42578125"/>
    <col min="20" max="20" bestFit="true" customWidth="true" width="12.5703125"/>
    <col min="22" max="22" bestFit="true" customWidth="true" width="30.5703125"/>
    <col min="23" max="23" bestFit="true" customWidth="true" width="9.42578125"/>
    <col min="24" max="24" bestFit="true" customWidth="true" width="10.7109375"/>
    <col min="27" max="27" bestFit="true" customWidth="true" width="12.85546875"/>
    <col min="28" max="28" bestFit="true" customWidth="true" width="10.7109375"/>
    <col min="30" max="31" bestFit="true" customWidth="true" width="10.7109375"/>
    <col min="32" max="32" bestFit="true" customWidth="true" width="14.28515625"/>
    <col min="33" max="33" bestFit="true" customWidth="true" width="10.7109375"/>
    <col min="35" max="35" bestFit="true" customWidth="true" width="13.5703125"/>
    <col min="36" max="36" bestFit="true" customWidth="true" width="15.5703125"/>
    <col min="40" max="40" bestFit="true" customWidth="true" width="11.85546875"/>
    <col min="41" max="41" bestFit="true" customWidth="true" width="23.28515625"/>
    <col min="42" max="42" bestFit="true" customWidth="true" width="9.42578125"/>
    <col min="43" max="43" bestFit="true" customWidth="true" width="11.85546875"/>
    <col min="44" max="44" bestFit="true" customWidth="true" width="15.28515625"/>
    <col min="45" max="45" bestFit="true" customWidth="true" width="20.28515625"/>
    <col min="46" max="46" bestFit="true" customWidth="true" width="11.42578125"/>
    <col min="47" max="47" bestFit="true" customWidth="true" width="16.28515625"/>
    <col min="48" max="48" bestFit="true" customWidth="true" width="13.85546875"/>
    <col min="49" max="49" bestFit="true" customWidth="true" width="18.85546875"/>
    <col min="50" max="50" bestFit="true" customWidth="true" width="19.0"/>
    <col min="51" max="51" bestFit="true" customWidth="true" width="21.7109375"/>
    <col min="52" max="52" bestFit="true" customWidth="true" width="16.5703125"/>
    <col min="53" max="53" bestFit="true" customWidth="true" width="14.28515625"/>
    <col min="54" max="54" bestFit="true" customWidth="true" width="17.28515625"/>
    <col min="55" max="55" bestFit="true" customWidth="true" width="13.7109375"/>
    <col min="56" max="56" bestFit="true" customWidth="true" width="12.42578125"/>
    <col min="57" max="57" bestFit="true" customWidth="true" width="12.5703125"/>
    <col min="58" max="58" bestFit="true" customWidth="true" width="21.7109375"/>
    <col min="59" max="59" bestFit="true" customWidth="true" width="30.5703125"/>
  </cols>
  <sheetData>
    <row r="1" spans="1:42" ht="18">
      <c r="A1" s="113" t="s">
        <v>145</v>
      </c>
      <c r="B1" s="113"/>
      <c r="C1" s="113"/>
      <c r="D1" s="113"/>
      <c r="E1" s="113"/>
      <c r="F1" s="113"/>
      <c r="G1" s="113"/>
      <c r="H1" s="113"/>
      <c r="I1" s="113"/>
      <c r="J1" s="113"/>
      <c r="K1" s="113"/>
      <c r="L1" s="113"/>
      <c r="M1" s="113"/>
      <c r="N1" s="113"/>
      <c r="O1" s="113"/>
      <c r="P1" s="113"/>
      <c r="Q1" s="113"/>
      <c r="R1" s="113"/>
      <c r="S1" s="113"/>
      <c r="T1" s="113"/>
      <c r="U1" s="113"/>
      <c r="V1" s="113"/>
      <c r="W1" s="113"/>
      <c r="X1" s="113"/>
      <c r="Y1" s="113"/>
      <c r="Z1" s="113"/>
      <c r="AA1" s="61"/>
      <c r="AB1" s="61"/>
      <c r="AC1" s="61"/>
      <c r="AD1" s="61"/>
      <c r="AE1" s="61"/>
      <c r="AF1" s="61"/>
      <c r="AG1" s="61"/>
      <c r="AH1" s="61"/>
      <c r="AI1" s="61"/>
      <c r="AJ1" s="61"/>
      <c r="AK1" s="61"/>
      <c r="AL1" s="61"/>
      <c r="AM1" s="61"/>
      <c r="AN1" s="61"/>
      <c r="AO1" s="13"/>
      <c r="AP1" s="13"/>
    </row>
    <row r="2" spans="1:42" ht="18.75" thickBot="1">
      <c r="A2" s="61" t="s">
        <v>146</v>
      </c>
      <c r="B2" s="61"/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  <c r="AF2" s="61"/>
      <c r="AG2" s="61"/>
      <c r="AH2" s="61"/>
      <c r="AI2" s="61"/>
      <c r="AJ2" s="61"/>
      <c r="AK2" s="61"/>
      <c r="AL2" s="61"/>
      <c r="AM2" s="61"/>
      <c r="AN2" s="61"/>
      <c r="AO2" s="13"/>
      <c r="AP2" s="13"/>
    </row>
    <row r="3" spans="1:42" ht="15.75" thickTop="1">
      <c r="A3" s="8" t="s">
        <v>46</v>
      </c>
      <c r="B3" s="9" t="s">
        <v>47</v>
      </c>
      <c r="C3" s="10" t="s">
        <v>48</v>
      </c>
      <c r="D3" s="9" t="s">
        <v>49</v>
      </c>
      <c r="E3" s="9" t="s">
        <v>50</v>
      </c>
      <c r="F3" s="9" t="s">
        <v>51</v>
      </c>
      <c r="G3" s="9" t="s">
        <v>52</v>
      </c>
      <c r="H3" s="11" t="s">
        <v>53</v>
      </c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3"/>
    </row>
    <row r="4" spans="1:42">
      <c r="A4" s="14">
        <v>1</v>
      </c>
      <c r="B4" s="15" t="s">
        <v>54</v>
      </c>
      <c r="C4" s="15" t="s">
        <v>55</v>
      </c>
      <c r="D4" s="15" t="s">
        <v>56</v>
      </c>
      <c r="E4" s="15" t="s">
        <v>56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20"/>
      <c r="Z4" s="20"/>
      <c r="AA4" s="20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13"/>
    </row>
    <row r="5" spans="1:42">
      <c r="A5" s="14">
        <v>2</v>
      </c>
      <c r="B5" s="15" t="s">
        <v>57</v>
      </c>
      <c r="C5" s="15" t="s">
        <v>58</v>
      </c>
      <c r="D5" s="15" t="s">
        <v>56</v>
      </c>
      <c r="E5" s="15" t="s">
        <v>56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13"/>
    </row>
    <row r="6" spans="1:42">
      <c r="A6" s="14">
        <v>3</v>
      </c>
      <c r="B6" s="15" t="s">
        <v>59</v>
      </c>
      <c r="C6" s="15" t="s">
        <v>60</v>
      </c>
      <c r="D6" s="15" t="s">
        <v>56</v>
      </c>
      <c r="E6" s="15" t="s">
        <v>56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20"/>
      <c r="Z6" s="20"/>
      <c r="AA6" s="20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13"/>
    </row>
    <row r="7" spans="1:42">
      <c r="A7" s="14">
        <v>4</v>
      </c>
      <c r="B7" s="15" t="s">
        <v>61</v>
      </c>
      <c r="C7" s="15" t="s">
        <v>62</v>
      </c>
      <c r="D7" s="15" t="s">
        <v>56</v>
      </c>
      <c r="E7" s="15" t="s">
        <v>56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20"/>
      <c r="Z7" s="20"/>
      <c r="AA7" s="20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13"/>
    </row>
    <row r="8" spans="1:42">
      <c r="A8" s="14">
        <v>5</v>
      </c>
      <c r="B8" s="15" t="s">
        <v>63</v>
      </c>
      <c r="C8" s="15" t="s">
        <v>64</v>
      </c>
      <c r="D8" s="15" t="s">
        <v>56</v>
      </c>
      <c r="E8" s="15" t="s">
        <v>56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13"/>
    </row>
    <row r="9" spans="1:42">
      <c r="A9" s="14">
        <v>6</v>
      </c>
      <c r="B9" s="15" t="s">
        <v>65</v>
      </c>
      <c r="C9" s="15" t="s">
        <v>66</v>
      </c>
      <c r="D9" s="15" t="s">
        <v>56</v>
      </c>
      <c r="E9" s="15" t="s">
        <v>56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20"/>
      <c r="Z9" s="20"/>
      <c r="AA9" s="20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13"/>
    </row>
    <row r="10" spans="1:42">
      <c r="A10" s="14">
        <v>7</v>
      </c>
      <c r="B10" s="15" t="s">
        <v>67</v>
      </c>
      <c r="C10" s="15" t="s">
        <v>68</v>
      </c>
      <c r="D10" s="15" t="s">
        <v>56</v>
      </c>
      <c r="E10" s="15" t="s">
        <v>56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20"/>
      <c r="Z10" s="20"/>
      <c r="AA10" s="20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13"/>
    </row>
    <row r="11" spans="1:42">
      <c r="A11" s="14">
        <v>8</v>
      </c>
      <c r="B11" s="15" t="s">
        <v>69</v>
      </c>
      <c r="C11" s="15" t="s">
        <v>70</v>
      </c>
      <c r="D11" s="15" t="s">
        <v>56</v>
      </c>
      <c r="E11" s="15" t="s">
        <v>56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13"/>
    </row>
    <row r="12" spans="1:42">
      <c r="A12" s="14">
        <v>9</v>
      </c>
      <c r="B12" s="15" t="s">
        <v>71</v>
      </c>
      <c r="C12" s="15" t="s">
        <v>72</v>
      </c>
      <c r="D12" s="15" t="s">
        <v>56</v>
      </c>
      <c r="E12" s="15" t="s">
        <v>56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13"/>
    </row>
    <row r="13" spans="1:42">
      <c r="A13" s="14">
        <v>10</v>
      </c>
      <c r="B13" s="15" t="s">
        <v>73</v>
      </c>
      <c r="C13" s="15" t="s">
        <v>74</v>
      </c>
      <c r="D13" s="15" t="s">
        <v>56</v>
      </c>
      <c r="E13" s="15" t="s">
        <v>56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20"/>
      <c r="Z13" s="20"/>
      <c r="AA13" s="20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13"/>
    </row>
    <row r="14" spans="1:42">
      <c r="A14" s="14">
        <v>11</v>
      </c>
      <c r="B14" s="15" t="s">
        <v>75</v>
      </c>
      <c r="C14" s="15" t="s">
        <v>76</v>
      </c>
      <c r="D14" s="15" t="s">
        <v>56</v>
      </c>
      <c r="E14" s="15" t="s">
        <v>56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13"/>
    </row>
    <row r="15" spans="1:42">
      <c r="A15" s="14">
        <v>12</v>
      </c>
      <c r="B15" s="15" t="s">
        <v>77</v>
      </c>
      <c r="C15" s="15" t="s">
        <v>78</v>
      </c>
      <c r="D15" s="15" t="s">
        <v>56</v>
      </c>
      <c r="E15" s="15" t="s">
        <v>56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20"/>
      <c r="Z15" s="20"/>
      <c r="AA15" s="20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13"/>
    </row>
    <row r="16" spans="1:42">
      <c r="A16" s="14">
        <v>13</v>
      </c>
      <c r="B16" s="15" t="s">
        <v>79</v>
      </c>
      <c r="C16" s="15" t="s">
        <v>80</v>
      </c>
      <c r="D16" s="15" t="s">
        <v>56</v>
      </c>
      <c r="E16" s="15" t="s">
        <v>56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20"/>
      <c r="Z16" s="20"/>
      <c r="AA16" s="20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13"/>
    </row>
    <row r="17" spans="1:60">
      <c r="A17" s="14">
        <v>14</v>
      </c>
      <c r="B17" s="15" t="s">
        <v>81</v>
      </c>
      <c r="C17" s="15" t="s">
        <v>82</v>
      </c>
      <c r="D17" s="15" t="s">
        <v>56</v>
      </c>
      <c r="E17" s="15" t="s">
        <v>56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80">
        <v>5858.27</v>
      </c>
      <c r="T17" s="20"/>
      <c r="U17" s="19"/>
      <c r="V17" s="19"/>
      <c r="W17" s="19"/>
      <c r="X17" s="19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13"/>
    </row>
    <row r="18" spans="1:60" ht="15.75" thickBot="1">
      <c r="A18" s="21">
        <v>15</v>
      </c>
      <c r="B18" s="22" t="s">
        <v>83</v>
      </c>
      <c r="C18" s="22" t="s">
        <v>84</v>
      </c>
      <c r="D18" s="22" t="s">
        <v>56</v>
      </c>
      <c r="E18" s="22" t="s">
        <v>56</v>
      </c>
      <c r="F18" s="23">
        <v>85</v>
      </c>
      <c r="G18" s="24">
        <v>65.48</v>
      </c>
      <c r="H18" s="25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20"/>
      <c r="Z18" s="20"/>
      <c r="AA18" s="20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13"/>
    </row>
    <row r="19" spans="1:60" ht="15.75" thickTop="1">
      <c r="A19" s="13"/>
      <c r="B19" s="114" t="s">
        <v>85</v>
      </c>
      <c r="C19" s="114"/>
      <c r="D19" s="114"/>
      <c r="E19" s="114"/>
      <c r="F19" s="114"/>
      <c r="G19" s="114"/>
      <c r="H19" s="26">
        <f>SUM(H4:H18)</f>
        <v>71856.759999999995</v>
      </c>
      <c r="I19" s="27"/>
      <c r="J19" s="27"/>
      <c r="K19" s="27"/>
      <c r="L19" s="27"/>
      <c r="M19" s="27"/>
      <c r="N19" s="27"/>
      <c r="O19" s="27"/>
      <c r="P19" s="27"/>
      <c r="Q19" s="27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  <c r="AO19" s="28"/>
      <c r="AP19" s="13"/>
    </row>
    <row r="20" spans="1:60">
      <c r="A20" s="28" t="s">
        <v>86</v>
      </c>
      <c r="B20" s="29"/>
      <c r="C20" s="29"/>
      <c r="D20" s="29"/>
      <c r="E20" s="29"/>
      <c r="F20" s="29"/>
      <c r="G20" s="29"/>
      <c r="H20" s="28"/>
      <c r="I20" s="30"/>
      <c r="J20" s="30"/>
      <c r="K20" s="30"/>
      <c r="L20" s="30"/>
      <c r="M20" s="30"/>
      <c r="N20" s="30"/>
      <c r="O20" s="30"/>
      <c r="P20" s="30"/>
      <c r="Q20" s="30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  <c r="AO20" s="28"/>
      <c r="AP20" s="13"/>
    </row>
    <row r="21" spans="1:60" ht="15.75" thickBot="1">
      <c r="A21" s="115" t="s">
        <v>87</v>
      </c>
      <c r="B21" s="115"/>
      <c r="C21" s="12">
        <v>1</v>
      </c>
      <c r="D21" s="31" t="s">
        <v>88</v>
      </c>
      <c r="E21" s="29"/>
      <c r="F21" s="29"/>
      <c r="G21" s="29"/>
      <c r="H21" s="28"/>
      <c r="I21" s="30" t="s">
        <v>89</v>
      </c>
      <c r="J21" s="30" t="s">
        <v>90</v>
      </c>
      <c r="K21" s="30"/>
      <c r="L21" s="30" t="s">
        <v>91</v>
      </c>
      <c r="M21" s="30">
        <v>1</v>
      </c>
      <c r="N21" s="30"/>
      <c r="O21" s="30" t="s">
        <v>92</v>
      </c>
      <c r="P21" s="30">
        <v>1</v>
      </c>
      <c r="Q21" s="30" t="s">
        <v>93</v>
      </c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  <c r="AO21" s="28"/>
      <c r="AP21" s="13"/>
    </row>
    <row r="22" spans="1:60" ht="58.5" thickTop="1" thickBot="1">
      <c r="A22" s="32" t="s">
        <v>46</v>
      </c>
      <c r="B22" s="32" t="s">
        <v>47</v>
      </c>
      <c r="C22" s="33" t="s">
        <v>48</v>
      </c>
      <c r="D22" s="32" t="s">
        <v>49</v>
      </c>
      <c r="E22" s="32" t="s">
        <v>50</v>
      </c>
      <c r="F22" s="34" t="s">
        <v>94</v>
      </c>
      <c r="G22" s="32" t="s">
        <v>52</v>
      </c>
      <c r="H22" s="32" t="s">
        <v>53</v>
      </c>
      <c r="I22" s="35" t="s">
        <v>95</v>
      </c>
      <c r="J22" s="35" t="s">
        <v>96</v>
      </c>
      <c r="K22" s="35" t="s">
        <v>97</v>
      </c>
      <c r="L22" s="36" t="s">
        <v>98</v>
      </c>
      <c r="M22" s="36" t="s">
        <v>99</v>
      </c>
      <c r="N22" s="36" t="s">
        <v>100</v>
      </c>
      <c r="O22" s="36" t="s">
        <v>101</v>
      </c>
      <c r="P22" s="36" t="s">
        <v>102</v>
      </c>
      <c r="Q22" s="36" t="s">
        <v>103</v>
      </c>
      <c r="R22" s="35" t="s">
        <v>104</v>
      </c>
      <c r="S22" s="32" t="s">
        <v>105</v>
      </c>
      <c r="T22" s="32" t="s">
        <v>106</v>
      </c>
      <c r="U22" s="37" t="s">
        <v>107</v>
      </c>
      <c r="V22" s="37" t="s">
        <v>108</v>
      </c>
      <c r="W22" s="37" t="s">
        <v>109</v>
      </c>
      <c r="X22" s="37" t="s">
        <v>110</v>
      </c>
      <c r="Y22" s="37" t="s">
        <v>111</v>
      </c>
      <c r="Z22" s="38" t="s">
        <v>112</v>
      </c>
      <c r="AA22" s="38" t="s">
        <v>113</v>
      </c>
      <c r="AB22" s="39" t="s">
        <v>114</v>
      </c>
      <c r="AC22" s="39" t="s">
        <v>115</v>
      </c>
      <c r="AD22" s="39" t="s">
        <v>116</v>
      </c>
      <c r="AE22" s="38" t="s">
        <v>117</v>
      </c>
      <c r="AF22" s="38" t="s">
        <v>118</v>
      </c>
      <c r="AG22" s="39" t="s">
        <v>119</v>
      </c>
      <c r="AH22" s="39" t="s">
        <v>120</v>
      </c>
      <c r="AI22" s="38" t="s">
        <v>121</v>
      </c>
      <c r="AJ22" s="38" t="s">
        <v>122</v>
      </c>
      <c r="AK22" s="39" t="s">
        <v>123</v>
      </c>
      <c r="AL22" s="39" t="s">
        <v>124</v>
      </c>
      <c r="AM22" s="39" t="s">
        <v>125</v>
      </c>
      <c r="AN22" s="38" t="s">
        <v>126</v>
      </c>
      <c r="AO22" s="40" t="s">
        <v>127</v>
      </c>
      <c r="AP22" s="9" t="s">
        <v>130</v>
      </c>
      <c r="AQ22" s="9" t="s">
        <v>126</v>
      </c>
      <c r="AR22" s="56" t="s">
        <v>131</v>
      </c>
      <c r="AS22" s="56" t="s">
        <v>132</v>
      </c>
      <c r="AT22" s="57" t="s">
        <v>133</v>
      </c>
      <c r="AU22" s="57" t="s">
        <v>134</v>
      </c>
      <c r="AV22" s="56" t="s">
        <v>135</v>
      </c>
      <c r="AW22" s="56" t="s">
        <v>136</v>
      </c>
      <c r="AX22" s="56" t="s">
        <v>137</v>
      </c>
      <c r="AY22" s="56" t="s">
        <v>138</v>
      </c>
      <c r="AZ22" s="84" t="s">
        <v>207</v>
      </c>
      <c r="BA22" s="84" t="s">
        <v>8</v>
      </c>
      <c r="BB22" s="84" t="s">
        <v>9</v>
      </c>
      <c r="BC22" s="56" t="s">
        <v>139</v>
      </c>
      <c r="BD22" s="56" t="s">
        <v>140</v>
      </c>
      <c r="BE22" s="57" t="s">
        <v>141</v>
      </c>
      <c r="BF22" s="57" t="s">
        <v>142</v>
      </c>
      <c r="BG22" s="57" t="s">
        <v>143</v>
      </c>
      <c r="BH22" s="58"/>
    </row>
    <row r="23" spans="1:60" ht="15.75" thickBot="1">
      <c r="A23" s="41">
        <v>1</v>
      </c>
      <c r="B23" s="4" t="s">
        <v>22</v>
      </c>
      <c r="C23" s="41" t="s">
        <v>55</v>
      </c>
      <c r="D23" s="41" t="s">
        <v>56</v>
      </c>
      <c r="E23" s="41" t="s">
        <v>56</v>
      </c>
      <c r="F23" s="42">
        <v>25</v>
      </c>
      <c r="G23" t="s" s="0">
        <v>212</v>
      </c>
      <c r="H23" s="43">
        <f>F23*G23</f>
        <v>6256.25</v>
      </c>
      <c r="I23" s="76">
        <v>2.21</v>
      </c>
      <c r="J23" s="76">
        <v>1.79</v>
      </c>
      <c r="K23" s="76">
        <v>2.5</v>
      </c>
      <c r="L23" s="43">
        <f>H23</f>
        <v>6256.25</v>
      </c>
      <c r="M23" s="43">
        <f>ROUND(L23*I23%,2)</f>
        <v>138.26</v>
      </c>
      <c r="N23" s="43">
        <f>H23-M23</f>
        <v>6117.99</v>
      </c>
      <c r="O23" s="43">
        <f>ROUND(N23*J23%,2)</f>
        <v>109.51</v>
      </c>
      <c r="P23" s="43">
        <f>ROUND(N23-O23,2)</f>
        <v>6008.48</v>
      </c>
      <c r="Q23" s="43">
        <f>ROUND(P23*K23%,2)</f>
        <v>150.21</v>
      </c>
      <c r="R23" s="43">
        <f>M23+O23+Q23</f>
        <v>397.98</v>
      </c>
      <c r="S23" s="76">
        <f>(H23-R23)</f>
        <v>5858.27</v>
      </c>
      <c r="T23" s="43" t="s">
        <v>128</v>
      </c>
      <c r="U23" s="44">
        <v>0.18</v>
      </c>
      <c r="V23" s="43">
        <f>IF($C$21=1,ROUND(((S23*U23)/2),2),0)</f>
        <v>527.24</v>
      </c>
      <c r="W23" s="43">
        <f>IF($C$21=1,ROUND(((S23*U23)/2),2),0)</f>
        <v>527.24</v>
      </c>
      <c r="X23" s="76">
        <f>IF($C$21=2,ROUND(((S23*U23)),2),0)</f>
        <v>0</v>
      </c>
      <c r="Y23" s="43">
        <f>V23+W23+X23</f>
        <v>1054.48</v>
      </c>
      <c r="Z23" s="43">
        <f t="shared" ref="Z23:Z25" si="1">S23+Y23</f>
        <v>6912.75</v>
      </c>
      <c r="AA23" s="43">
        <v>120</v>
      </c>
      <c r="AB23" s="43">
        <f>IF($P$21=1,(S23/$S$26)*$E$37,AA23/$AA$26*$E$37)</f>
        <v>0</v>
      </c>
      <c r="AC23" s="43"/>
      <c r="AD23" s="43">
        <f>IF($P$21=1,(S23/$S$26)*$E$39,AA23/$AA$26*$E$39)</f>
        <v>0</v>
      </c>
      <c r="AE23" s="43">
        <f>IF($P$21=1,(S23/$S$26)*$E$39,AA23/$AA$26*$E$39)</f>
        <v>0</v>
      </c>
      <c r="AF23" s="43">
        <f t="shared" ref="AF23:AF25" si="2">S23*$M$21</f>
        <v>5858.27</v>
      </c>
      <c r="AG23" s="43">
        <f t="shared" ref="AG23:AG25" si="3">IF($C$21=3,0,AD23+AE23)</f>
        <v>0</v>
      </c>
      <c r="AH23" s="43">
        <f t="shared" ref="AH23:AH25" si="4">IF($C$21=3,AB23+AD23+AE23,0)</f>
        <v>0</v>
      </c>
      <c r="AI23" s="42">
        <v>1</v>
      </c>
      <c r="AJ23" s="43">
        <f t="shared" ref="AJ23:AJ25" si="5">F23/AI23</f>
        <v>25</v>
      </c>
      <c r="AK23" s="43">
        <f>AF23/AJ23</f>
        <v>234.33080000000001</v>
      </c>
      <c r="AL23" s="43">
        <f>AG23/AJ23</f>
        <v>0</v>
      </c>
      <c r="AM23" s="43">
        <f>AH23/AJ23</f>
        <v>0</v>
      </c>
      <c r="AN23" s="43" t="s">
        <v>56</v>
      </c>
      <c r="AO23" s="43">
        <f>AK23+AL23+AM23</f>
        <v>234.33080000000001</v>
      </c>
      <c r="AP23" s="15" t="s">
        <v>25</v>
      </c>
      <c r="AQ23" s="15" t="s">
        <v>56</v>
      </c>
      <c r="AR23" t="s" s="0">
        <v>205</v>
      </c>
      <c r="AS23" t="s" s="0">
        <v>206</v>
      </c>
      <c r="AT23" s="17">
        <f>AJ23</f>
        <v>25</v>
      </c>
      <c r="AU23" s="17">
        <f>AO23</f>
        <v>234.33080000000001</v>
      </c>
      <c r="AV23" s="17">
        <f>AR23+AT23</f>
        <v>1177.5999999999999</v>
      </c>
      <c r="AW23" s="15">
        <f>ROUND(((AR23*AS23)+(AT23*AU23))/(AR23+AT23),5)</f>
        <v>140.32694000000001</v>
      </c>
      <c r="AX23" s="59"/>
      <c r="AY23" s="59" t="s">
        <v>144</v>
      </c>
      <c r="AZ23" s="4" t="s">
        <v>23</v>
      </c>
      <c r="BA23" s="59"/>
      <c r="BB23" s="59"/>
      <c r="BC23" s="83"/>
      <c r="BD23" s="59"/>
      <c r="BE23" s="15"/>
      <c r="BF23" s="15"/>
      <c r="BG23" s="15"/>
      <c r="BH23" s="60"/>
    </row>
    <row r="24" spans="1:60" ht="15.75" thickBot="1">
      <c r="A24" s="41">
        <v>2</v>
      </c>
      <c r="B24" s="85" t="s">
        <v>26</v>
      </c>
      <c r="C24" s="41" t="s">
        <v>58</v>
      </c>
      <c r="D24" s="41" t="s">
        <v>56</v>
      </c>
      <c r="E24" s="41" t="s">
        <v>56</v>
      </c>
      <c r="F24" s="42">
        <v>35</v>
      </c>
      <c r="G24" t="s" s="0">
        <v>212</v>
      </c>
      <c r="H24" s="43">
        <f t="shared" ref="H24" si="6">F24*G24</f>
        <v>4558.75</v>
      </c>
      <c r="I24" s="76">
        <v>1.25</v>
      </c>
      <c r="J24" s="76">
        <v>1.68</v>
      </c>
      <c r="K24" s="76">
        <v>2.5</v>
      </c>
      <c r="L24" s="43">
        <f>H24</f>
        <v>4558.75</v>
      </c>
      <c r="M24" s="43">
        <f>ROUND(L24*I24%,2)</f>
        <v>56.98</v>
      </c>
      <c r="N24" s="43">
        <f t="shared" ref="N24:N25" si="7">H24-M24</f>
        <v>4501.7700000000004</v>
      </c>
      <c r="O24" s="43">
        <f t="shared" ref="O24:O25" si="8">ROUND(N24*J24%,2)</f>
        <v>75.63</v>
      </c>
      <c r="P24" s="43">
        <f t="shared" ref="P24:P25" si="9">ROUND(N24-O24,2)</f>
        <v>4426.1400000000003</v>
      </c>
      <c r="Q24" s="43">
        <f t="shared" ref="Q24:Q25" si="10">ROUND(P24*K24%,2)</f>
        <v>110.65</v>
      </c>
      <c r="R24" s="43">
        <f t="shared" ref="R24:R25" si="11">M24+O24+Q24</f>
        <v>243.26</v>
      </c>
      <c r="S24" s="76">
        <f t="shared" ref="S24:S25" si="12">(H24-R24)</f>
        <v>4315.49</v>
      </c>
      <c r="T24" s="43" t="s">
        <v>128</v>
      </c>
      <c r="U24" s="44">
        <v>0.18</v>
      </c>
      <c r="V24" s="43">
        <f t="shared" ref="V24:V25" si="13">IF($C$21=1,ROUND(((S24*U24)/2),2),0)</f>
        <v>388.39</v>
      </c>
      <c r="W24" s="43">
        <f t="shared" ref="W24:W25" si="14">IF($C$21=1,ROUND(((S24*U24)/2),2),0)</f>
        <v>388.39</v>
      </c>
      <c r="X24" s="76">
        <f t="shared" ref="X24:X25" si="15">IF($C$21=2,ROUND(((S24*U24)),2),0)</f>
        <v>0</v>
      </c>
      <c r="Y24" s="43">
        <f t="shared" ref="Y24:Y25" si="16">V24+W24+X24</f>
        <v>776.78</v>
      </c>
      <c r="Z24" s="43">
        <f t="shared" si="1"/>
        <v>5092.2699999999995</v>
      </c>
      <c r="AA24" s="43">
        <v>200</v>
      </c>
      <c r="AB24" s="43">
        <f>IF($P$21=1,(S24/$S$26)*$E$37,AA24/$AA$26*$E$37)</f>
        <v>0</v>
      </c>
      <c r="AC24" s="43"/>
      <c r="AD24" s="43">
        <f>IF($P$21=1,(S24/$S$26)*$E$39,AA24/$AA$26*$E$39)</f>
        <v>0</v>
      </c>
      <c r="AE24" s="43">
        <f>IF($P$21=1,(S24/$S$26)*$E$39,AA24/$AA$26*$E$39)</f>
        <v>0</v>
      </c>
      <c r="AF24" s="43">
        <f t="shared" si="2"/>
        <v>4315.49</v>
      </c>
      <c r="AG24" s="43">
        <f t="shared" si="3"/>
        <v>0</v>
      </c>
      <c r="AH24" s="43">
        <f t="shared" si="4"/>
        <v>0</v>
      </c>
      <c r="AI24" s="42">
        <v>1</v>
      </c>
      <c r="AJ24" s="43">
        <f t="shared" si="5"/>
        <v>35</v>
      </c>
      <c r="AK24" s="43">
        <f t="shared" ref="AK24:AK25" si="17">AF24/AJ24</f>
        <v>123.29971428571427</v>
      </c>
      <c r="AL24" s="43">
        <f t="shared" ref="AL24:AL25" si="18">AG24/AJ24</f>
        <v>0</v>
      </c>
      <c r="AM24" s="43">
        <f t="shared" ref="AM24:AM25" si="19">AH24/AJ24</f>
        <v>0</v>
      </c>
      <c r="AN24" s="43" t="s">
        <v>56</v>
      </c>
      <c r="AO24" s="43">
        <f t="shared" ref="AO24:AO25" si="20">AK24+AL24+AM24</f>
        <v>123.29971428571427</v>
      </c>
      <c r="AP24" s="15" t="s">
        <v>25</v>
      </c>
      <c r="AQ24" s="15" t="s">
        <v>56</v>
      </c>
      <c r="AR24" t="s" s="0">
        <v>203</v>
      </c>
      <c r="AS24" t="s" s="0">
        <v>204</v>
      </c>
      <c r="AT24" s="17">
        <f>AJ24</f>
        <v>35</v>
      </c>
      <c r="AU24" s="17">
        <f>AO24</f>
        <v>123.29971428571427</v>
      </c>
      <c r="AV24" s="17">
        <f t="shared" ref="AV24:AV25" si="21">AR24+AT24</f>
        <v>8717</v>
      </c>
      <c r="AW24" s="15">
        <f t="shared" ref="AW24:AW25" si="22">((AR24*AS24)+(AT24*AU24))/(AR24+AT24)</f>
        <v>100.86515110932659</v>
      </c>
      <c r="AX24" s="59"/>
      <c r="AY24" s="59"/>
      <c r="AZ24" s="4" t="s">
        <v>27</v>
      </c>
      <c r="BA24" s="59" t="s">
        <v>208</v>
      </c>
      <c r="BB24" s="59"/>
      <c r="BC24" s="83"/>
      <c r="BD24" s="59"/>
      <c r="BE24" s="15"/>
      <c r="BF24" s="15"/>
      <c r="BG24" s="15"/>
      <c r="BH24" s="60"/>
    </row>
    <row r="25" spans="1:60" ht="15.75" thickBot="1">
      <c r="A25" s="41">
        <v>3</v>
      </c>
      <c r="B25" s="4" t="s">
        <v>29</v>
      </c>
      <c r="C25" s="41" t="s">
        <v>60</v>
      </c>
      <c r="D25" s="41" t="s">
        <v>56</v>
      </c>
      <c r="E25" s="41" t="s">
        <v>56</v>
      </c>
      <c r="F25" s="42">
        <v>45</v>
      </c>
      <c r="G25" t="s" s="0">
        <v>212</v>
      </c>
      <c r="H25" s="43">
        <f>F25*G25</f>
        <v>5865.75</v>
      </c>
      <c r="I25" s="76">
        <v>1.25</v>
      </c>
      <c r="J25" s="76">
        <v>0.25</v>
      </c>
      <c r="K25" s="76">
        <v>2.5</v>
      </c>
      <c r="L25" s="43">
        <f>H25</f>
        <v>5865.75</v>
      </c>
      <c r="M25" s="43">
        <f>ROUND(L25*I25%,2)</f>
        <v>73.319999999999993</v>
      </c>
      <c r="N25" s="43">
        <f t="shared" si="7"/>
        <v>5792.43</v>
      </c>
      <c r="O25" s="43">
        <f t="shared" si="8"/>
        <v>14.48</v>
      </c>
      <c r="P25" s="43">
        <f t="shared" si="9"/>
        <v>5777.95</v>
      </c>
      <c r="Q25" s="43">
        <f t="shared" si="10"/>
        <v>144.44999999999999</v>
      </c>
      <c r="R25" s="43">
        <f t="shared" si="11"/>
        <v>232.25</v>
      </c>
      <c r="S25" s="76">
        <f t="shared" si="12"/>
        <v>5633.5</v>
      </c>
      <c r="T25" s="43" t="s">
        <v>128</v>
      </c>
      <c r="U25" s="44">
        <v>0.18</v>
      </c>
      <c r="V25" s="43">
        <f t="shared" si="13"/>
        <v>507.02</v>
      </c>
      <c r="W25" s="43">
        <f t="shared" si="14"/>
        <v>507.02</v>
      </c>
      <c r="X25" s="76">
        <f t="shared" si="15"/>
        <v>0</v>
      </c>
      <c r="Y25" s="43">
        <f t="shared" si="16"/>
        <v>1014.04</v>
      </c>
      <c r="Z25" s="43">
        <f t="shared" si="1"/>
        <v>6647.54</v>
      </c>
      <c r="AA25" s="43">
        <v>150</v>
      </c>
      <c r="AB25" s="43">
        <f>IF($P$21=1,(S25/$S$26)*$E$37,AA25/$AA$26*$E$37)</f>
        <v>0</v>
      </c>
      <c r="AC25" s="43"/>
      <c r="AD25" s="43">
        <f>IF($P$21=1,(S25/$S$26)*$E$39,AA25/$AA$26*$E$39)</f>
        <v>0</v>
      </c>
      <c r="AE25" s="43">
        <f>IF($P$21=1,(S25/$S$26)*$E$39,AA25/$AA$26*$E$39)</f>
        <v>0</v>
      </c>
      <c r="AF25" s="43">
        <f t="shared" si="2"/>
        <v>5633.5</v>
      </c>
      <c r="AG25" s="43">
        <f t="shared" si="3"/>
        <v>0</v>
      </c>
      <c r="AH25" s="43">
        <f t="shared" si="4"/>
        <v>0</v>
      </c>
      <c r="AI25" s="42">
        <v>1</v>
      </c>
      <c r="AJ25" s="43">
        <f t="shared" si="5"/>
        <v>45</v>
      </c>
      <c r="AK25" s="43">
        <f t="shared" si="17"/>
        <v>125.18888888888888</v>
      </c>
      <c r="AL25" s="43">
        <f t="shared" si="18"/>
        <v>0</v>
      </c>
      <c r="AM25" s="43">
        <f t="shared" si="19"/>
        <v>0</v>
      </c>
      <c r="AN25" s="43" t="s">
        <v>56</v>
      </c>
      <c r="AO25" s="43">
        <f t="shared" si="20"/>
        <v>125.18888888888888</v>
      </c>
      <c r="AP25" s="15" t="s">
        <v>25</v>
      </c>
      <c r="AQ25" s="15" t="s">
        <v>56</v>
      </c>
      <c r="AR25" t="s" s="0">
        <v>35</v>
      </c>
      <c r="AS25" t="s" s="0">
        <v>36</v>
      </c>
      <c r="AT25" s="17">
        <f>AJ25</f>
        <v>45</v>
      </c>
      <c r="AU25" s="17">
        <f>AO25</f>
        <v>125.18888888888888</v>
      </c>
      <c r="AV25" s="17">
        <f t="shared" si="21"/>
        <v>11447</v>
      </c>
      <c r="AW25" s="15">
        <f t="shared" si="22"/>
        <v>261.8735798078099</v>
      </c>
      <c r="AX25" s="59"/>
      <c r="AY25" s="59"/>
      <c r="AZ25" s="4" t="s">
        <v>30</v>
      </c>
      <c r="BA25" s="59"/>
      <c r="BB25" s="59" t="s">
        <v>28</v>
      </c>
      <c r="BC25" s="83"/>
      <c r="BD25" s="59"/>
      <c r="BE25" s="15"/>
      <c r="BF25" s="15"/>
      <c r="BG25" s="15"/>
      <c r="BH25" s="60"/>
    </row>
    <row r="26" spans="1:60" ht="15" customHeight="1" thickBot="1">
      <c r="A26" s="13"/>
      <c r="B26" s="79"/>
      <c r="C26" s="79"/>
      <c r="D26" s="77" t="s">
        <v>85</v>
      </c>
      <c r="E26" s="77"/>
      <c r="F26" s="77"/>
      <c r="G26" s="78"/>
      <c r="H26" s="45">
        <f>SUM(H23:H25)</f>
        <v>16680.75</v>
      </c>
      <c r="I26" s="41"/>
      <c r="J26" s="41"/>
      <c r="K26" s="41"/>
      <c r="L26" s="41"/>
      <c r="M26" s="41"/>
      <c r="N26" s="41"/>
      <c r="O26" s="41"/>
      <c r="P26" s="41"/>
      <c r="Q26" s="41"/>
      <c r="R26" s="45">
        <f>SUM(R23:R25)</f>
        <v>873.49</v>
      </c>
      <c r="S26" s="81">
        <f>SUM(S23:S25)</f>
        <v>15807.26</v>
      </c>
      <c r="T26" s="45"/>
      <c r="U26" s="45"/>
      <c r="V26" s="46">
        <f t="shared" ref="V26:AB26" si="23">SUM(V23:V25)</f>
        <v>1422.65</v>
      </c>
      <c r="W26" s="46">
        <f t="shared" si="23"/>
        <v>1422.65</v>
      </c>
      <c r="X26" s="46">
        <f t="shared" si="23"/>
        <v>0</v>
      </c>
      <c r="Y26" s="45">
        <f t="shared" si="23"/>
        <v>2845.3</v>
      </c>
      <c r="Z26" s="47">
        <f t="shared" si="23"/>
        <v>18652.560000000001</v>
      </c>
      <c r="AA26" s="48">
        <f t="shared" si="23"/>
        <v>470</v>
      </c>
      <c r="AB26" s="48">
        <f t="shared" si="23"/>
        <v>0</v>
      </c>
      <c r="AC26" s="47"/>
      <c r="AD26" s="48">
        <f>SUM(AD23:AD25)</f>
        <v>0</v>
      </c>
      <c r="AE26" s="48">
        <f>SUM(AE23:AE25)</f>
        <v>0</v>
      </c>
      <c r="AF26" s="48">
        <f>SUM(AF23:AF25)</f>
        <v>15807.26</v>
      </c>
      <c r="AG26" s="48">
        <f>SUM(AG23:AG25)</f>
        <v>0</v>
      </c>
      <c r="AH26" s="48">
        <f>SUM(AH23:AH25)</f>
        <v>0</v>
      </c>
      <c r="AI26" s="47"/>
      <c r="AJ26" s="47"/>
      <c r="AK26" s="47"/>
      <c r="AL26" s="47"/>
      <c r="AM26" s="47"/>
      <c r="AN26" s="47"/>
      <c r="AO26" s="47"/>
      <c r="AP26" s="13"/>
    </row>
    <row r="27" spans="1:60">
      <c r="A27" s="13"/>
      <c r="B27" s="79"/>
      <c r="C27" s="79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13"/>
      <c r="AM27" s="13"/>
      <c r="AN27" s="13"/>
      <c r="AO27" s="13"/>
      <c r="AP27" s="13"/>
    </row>
    <row r="28" spans="1:60">
      <c r="A28" s="13"/>
      <c r="B28" s="13"/>
      <c r="C28" s="13"/>
      <c r="D28" s="13"/>
      <c r="E28" s="13" t="s">
        <v>129</v>
      </c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  <c r="AK28" s="13"/>
      <c r="AL28" s="13"/>
      <c r="AM28" s="13"/>
      <c r="AN28" s="13"/>
      <c r="AO28" s="13"/>
      <c r="AP28" s="13"/>
    </row>
    <row r="29" spans="1:60">
      <c r="A29" s="13"/>
      <c r="D29" s="13"/>
      <c r="E29" s="13"/>
      <c r="F29" s="13"/>
      <c r="G29" s="13">
        <f>E29*F29</f>
        <v>0</v>
      </c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/>
      <c r="AM29" s="13"/>
      <c r="AN29" s="13"/>
      <c r="AO29" s="13"/>
      <c r="AP29" s="13"/>
    </row>
    <row r="30" spans="1:60">
      <c r="A30" s="13"/>
      <c r="B30" s="49"/>
      <c r="C30" s="50"/>
      <c r="D30" s="51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13"/>
      <c r="AN30" s="13"/>
      <c r="AO30" s="13"/>
      <c r="AP30" s="13"/>
    </row>
    <row r="31" spans="1:60">
      <c r="A31" s="13"/>
      <c r="B31" s="49"/>
      <c r="C31" s="50"/>
      <c r="D31" s="51"/>
      <c r="E31" s="13"/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13"/>
      <c r="AM31" s="13"/>
      <c r="AN31" s="13"/>
      <c r="AO31" s="13"/>
      <c r="AP31" s="13"/>
    </row>
    <row r="32" spans="1:60">
      <c r="A32" s="13"/>
      <c r="B32" s="49"/>
      <c r="C32" s="50"/>
      <c r="D32" s="51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13"/>
      <c r="AM32" s="13"/>
      <c r="AN32" s="13"/>
      <c r="AO32" s="13"/>
      <c r="AP32" s="13"/>
    </row>
    <row r="33" spans="1:42">
      <c r="A33" s="13"/>
      <c r="B33" s="49"/>
      <c r="C33" s="50"/>
      <c r="D33" s="51"/>
      <c r="E33" s="13"/>
      <c r="F33" s="13"/>
      <c r="G33" s="13"/>
      <c r="H33" s="52"/>
      <c r="I33" s="112"/>
      <c r="J33" s="112"/>
      <c r="K33" s="53"/>
      <c r="L33" s="13"/>
      <c r="M33" s="13"/>
      <c r="N33" s="13"/>
      <c r="O33" s="13"/>
      <c r="P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  <c r="AK33" s="13"/>
      <c r="AL33" s="13"/>
      <c r="AM33" s="13"/>
      <c r="AN33" s="13"/>
      <c r="AO33" s="13"/>
      <c r="AP33" s="13"/>
    </row>
    <row r="34" spans="1:42">
      <c r="A34" s="13"/>
      <c r="B34" s="49"/>
      <c r="C34" s="54"/>
      <c r="D34" s="55"/>
      <c r="E34" s="13"/>
      <c r="F34" s="13"/>
      <c r="G34" s="13"/>
      <c r="H34" s="52"/>
      <c r="I34" s="112"/>
      <c r="J34" s="112"/>
      <c r="K34" s="13"/>
      <c r="L34" s="13"/>
      <c r="M34" s="13"/>
      <c r="N34" s="13"/>
      <c r="O34" s="13"/>
      <c r="P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  <c r="AK34" s="13"/>
      <c r="AL34" s="13"/>
      <c r="AM34" s="13"/>
      <c r="AN34" s="13"/>
      <c r="AO34" s="13"/>
      <c r="AP34" s="13"/>
    </row>
    <row r="35" spans="1:42">
      <c r="A35" s="13"/>
      <c r="B35" s="13"/>
      <c r="C35" s="13"/>
      <c r="D35" s="13"/>
      <c r="E35" s="13"/>
      <c r="F35" s="13"/>
      <c r="G35" s="13"/>
      <c r="H35" s="52"/>
      <c r="I35" s="112"/>
      <c r="J35" s="112"/>
      <c r="K35" s="13"/>
      <c r="L35" s="13"/>
      <c r="M35" s="13"/>
      <c r="N35" s="13"/>
      <c r="O35" s="13"/>
      <c r="P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  <c r="AK35" s="13"/>
      <c r="AL35" s="13"/>
      <c r="AM35" s="13"/>
      <c r="AN35" s="13"/>
      <c r="AO35" s="13"/>
      <c r="AP35" s="13"/>
    </row>
    <row r="36" spans="1:42">
      <c r="A36" s="13"/>
      <c r="B36" s="13"/>
      <c r="C36" s="13"/>
      <c r="D36" s="13"/>
      <c r="E36" s="13"/>
      <c r="F36" s="13"/>
      <c r="G36" s="111"/>
      <c r="H36" s="111"/>
      <c r="I36" s="112"/>
      <c r="J36" s="112"/>
      <c r="K36" s="13"/>
      <c r="L36" s="13"/>
      <c r="M36" s="13"/>
      <c r="N36" s="13"/>
      <c r="O36" s="13"/>
      <c r="P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  <c r="AK36" s="13"/>
      <c r="AL36" s="13"/>
      <c r="AM36" s="13"/>
      <c r="AN36" s="13"/>
      <c r="AO36" s="13"/>
      <c r="AP36" s="13"/>
    </row>
    <row r="37" spans="1:42">
      <c r="A37" s="13"/>
      <c r="B37" s="13"/>
      <c r="C37" s="13"/>
      <c r="D37" s="13"/>
      <c r="E37" s="13"/>
      <c r="F37" s="13"/>
      <c r="G37" s="111"/>
      <c r="H37" s="111"/>
      <c r="I37" s="112"/>
      <c r="J37" s="112"/>
      <c r="K37" s="13"/>
      <c r="L37" s="13"/>
      <c r="M37" s="13"/>
      <c r="N37" s="13"/>
      <c r="O37" s="13"/>
      <c r="P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  <c r="AK37" s="13"/>
      <c r="AL37" s="13"/>
      <c r="AM37" s="13"/>
      <c r="AN37" s="13"/>
      <c r="AO37" s="13"/>
      <c r="AP37" s="13"/>
    </row>
    <row r="38" spans="1:42">
      <c r="A38" s="13"/>
      <c r="B38" s="13"/>
      <c r="C38" s="13"/>
      <c r="D38" s="13"/>
      <c r="E38" s="13"/>
      <c r="F38" s="13"/>
      <c r="G38" s="13"/>
      <c r="H38" s="13"/>
      <c r="I38" s="13"/>
      <c r="J38" s="13"/>
      <c r="K38" s="13"/>
      <c r="L38" s="13"/>
      <c r="M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  <c r="AK38" s="13"/>
      <c r="AL38" s="13"/>
      <c r="AM38" s="13"/>
      <c r="AN38" s="13"/>
      <c r="AO38" s="13"/>
      <c r="AP38" s="13"/>
    </row>
    <row r="39" spans="1:42">
      <c r="A39" s="13"/>
      <c r="B39" s="13"/>
      <c r="C39" s="13"/>
      <c r="D39" s="13"/>
      <c r="E39" s="13"/>
      <c r="F39" s="13"/>
      <c r="G39" s="13"/>
      <c r="H39" s="13"/>
      <c r="I39" s="13"/>
      <c r="J39" s="13"/>
      <c r="K39" s="13"/>
      <c r="L39" s="13"/>
      <c r="M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  <c r="AM39" s="13"/>
      <c r="AN39" s="13"/>
      <c r="AO39" s="13"/>
      <c r="AP39" s="13"/>
    </row>
    <row r="40" spans="1:42">
      <c r="A40" s="13"/>
      <c r="B40" s="13"/>
      <c r="C40" s="13"/>
      <c r="D40" s="13"/>
      <c r="E40" s="13"/>
      <c r="F40" s="13"/>
      <c r="G40" s="13"/>
      <c r="H40" s="13"/>
      <c r="I40" s="13"/>
      <c r="J40" s="13"/>
      <c r="K40" s="13"/>
      <c r="L40" s="13"/>
      <c r="M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3"/>
      <c r="AL40" s="13"/>
      <c r="AM40" s="13"/>
      <c r="AN40" s="13"/>
      <c r="AO40" s="13"/>
      <c r="AP40" s="13"/>
    </row>
    <row r="41" spans="1:42">
      <c r="A41" s="13"/>
      <c r="B41" s="13"/>
      <c r="C41" s="13"/>
      <c r="D41" s="13"/>
      <c r="E41" s="13"/>
      <c r="F41" s="13"/>
      <c r="G41" s="13"/>
      <c r="H41" s="13"/>
      <c r="I41" s="13"/>
      <c r="J41" s="13"/>
      <c r="K41" s="13"/>
      <c r="L41" s="13"/>
      <c r="M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/>
      <c r="AM41" s="13"/>
      <c r="AN41" s="13"/>
      <c r="AO41" s="13"/>
      <c r="AP41" s="13"/>
    </row>
    <row r="42" spans="1:42">
      <c r="A42" s="13"/>
      <c r="B42" s="13"/>
      <c r="C42" s="13"/>
      <c r="D42" s="13"/>
      <c r="E42" s="13"/>
      <c r="F42" s="13"/>
      <c r="G42" s="13"/>
      <c r="H42" s="13"/>
      <c r="I42" s="13"/>
      <c r="J42" s="13"/>
      <c r="K42" s="13"/>
      <c r="L42" s="13"/>
      <c r="M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  <c r="AK42" s="13"/>
      <c r="AL42" s="13"/>
      <c r="AM42" s="13"/>
      <c r="AN42" s="13"/>
      <c r="AO42" s="13"/>
      <c r="AP42" s="13"/>
    </row>
    <row r="43" spans="1:42">
      <c r="A43" s="13"/>
      <c r="B43" s="13"/>
      <c r="C43" s="13"/>
      <c r="D43" s="13"/>
      <c r="E43" s="13"/>
      <c r="F43" s="13"/>
      <c r="G43" s="13"/>
      <c r="H43" s="13"/>
      <c r="I43" s="13"/>
      <c r="J43" s="13"/>
      <c r="K43" s="13"/>
      <c r="L43" s="13"/>
      <c r="M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  <c r="AK43" s="13"/>
      <c r="AL43" s="13"/>
      <c r="AM43" s="13"/>
      <c r="AN43" s="13"/>
      <c r="AO43" s="13"/>
      <c r="AP43" s="13"/>
    </row>
    <row r="44" spans="1:42">
      <c r="A44" s="13"/>
      <c r="B44" s="13"/>
      <c r="C44" s="13"/>
      <c r="D44" s="13"/>
      <c r="E44" s="13"/>
      <c r="F44" s="13"/>
      <c r="G44" s="13"/>
      <c r="H44" s="13"/>
      <c r="I44" s="13"/>
      <c r="J44" s="13"/>
      <c r="K44" s="13"/>
      <c r="L44" s="13"/>
      <c r="M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  <c r="AK44" s="13"/>
      <c r="AL44" s="13"/>
      <c r="AM44" s="13"/>
      <c r="AN44" s="13"/>
      <c r="AO44" s="13"/>
      <c r="AP44" s="13"/>
    </row>
    <row r="45" spans="1:42">
      <c r="A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  <c r="AK45" s="13"/>
      <c r="AL45" s="13"/>
      <c r="AM45" s="13"/>
      <c r="AN45" s="13"/>
      <c r="AO45" s="13"/>
      <c r="AP45" s="13"/>
    </row>
    <row r="46" spans="1:42">
      <c r="A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  <c r="AK46" s="13"/>
      <c r="AL46" s="13"/>
      <c r="AM46" s="13"/>
      <c r="AN46" s="13"/>
      <c r="AO46" s="13"/>
      <c r="AP46" s="13"/>
    </row>
    <row r="47" spans="1:42">
      <c r="A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  <c r="AK47" s="13"/>
      <c r="AL47" s="13"/>
      <c r="AM47" s="13"/>
      <c r="AN47" s="13"/>
      <c r="AO47" s="13"/>
      <c r="AP47" s="13"/>
    </row>
    <row r="48" spans="1:42">
      <c r="A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  <c r="AK48" s="13"/>
      <c r="AL48" s="13"/>
      <c r="AM48" s="13"/>
      <c r="AN48" s="13"/>
      <c r="AO48" s="13"/>
      <c r="AP48" s="13"/>
    </row>
    <row r="49" spans="1:42">
      <c r="A49" s="13"/>
      <c r="B49" s="13"/>
      <c r="C49" s="13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  <c r="AL49" s="13"/>
      <c r="AM49" s="13"/>
      <c r="AN49" s="13"/>
      <c r="AO49" s="13"/>
      <c r="AP49" s="13"/>
    </row>
  </sheetData>
  <mergeCells count="10">
    <mergeCell ref="A1:Z1"/>
    <mergeCell ref="B19:G19"/>
    <mergeCell ref="A21:B21"/>
    <mergeCell ref="G36:H36"/>
    <mergeCell ref="I36:J36"/>
    <mergeCell ref="G37:H37"/>
    <mergeCell ref="I37:J37"/>
    <mergeCell ref="I34:J34"/>
    <mergeCell ref="I35:J35"/>
    <mergeCell ref="I33:J3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21:AP44"/>
  <sheetViews>
    <sheetView topLeftCell="O28" workbookViewId="0">
      <selection activeCell="AB22" sqref="AB22"/>
    </sheetView>
  </sheetViews>
  <sheetFormatPr defaultColWidth="9" defaultRowHeight="15"/>
  <cols>
    <col min="8" max="8" bestFit="true" customWidth="true" width="11.85546875"/>
    <col min="12" max="12" bestFit="true" customWidth="true" width="13.85546875"/>
    <col min="14" max="14" bestFit="true" customWidth="true" width="13.7109375"/>
    <col min="19" max="19" bestFit="true" customWidth="true" width="11.5703125"/>
    <col min="25" max="25" customWidth="true" width="9.7109375"/>
    <col min="28" max="29" bestFit="true" customWidth="true" width="9.140625"/>
    <col min="30" max="30" bestFit="true" customWidth="true" width="9.42578125"/>
    <col min="31" max="31" bestFit="true" customWidth="true" width="9.140625"/>
    <col min="35" max="35" bestFit="true" customWidth="true" width="14.28515625"/>
    <col min="36" max="36" bestFit="true" customWidth="true" width="17.28515625"/>
    <col min="37" max="37" bestFit="true" customWidth="true" width="13.7109375"/>
    <col min="38" max="38" bestFit="true" customWidth="true" width="12.42578125"/>
    <col min="39" max="39" bestFit="true" customWidth="true" width="12.5703125"/>
    <col min="40" max="40" bestFit="true" customWidth="true" width="21.7109375"/>
    <col min="41" max="41" bestFit="true" customWidth="true" width="30.5703125"/>
  </cols>
  <sheetData>
    <row r="21" spans="1:42" ht="18.75" thickBot="1">
      <c r="A21" s="120" t="s">
        <v>147</v>
      </c>
      <c r="B21" s="120"/>
      <c r="C21" s="120"/>
      <c r="D21" s="120"/>
      <c r="E21" s="120"/>
      <c r="F21" s="120"/>
      <c r="G21" s="120"/>
      <c r="H21" s="120"/>
      <c r="I21" s="120"/>
      <c r="J21" s="120"/>
      <c r="K21" s="120"/>
      <c r="L21" s="120"/>
      <c r="M21" s="120"/>
      <c r="N21" s="120"/>
      <c r="O21" s="120"/>
      <c r="P21" s="120"/>
      <c r="Q21" s="120"/>
      <c r="R21" s="120"/>
      <c r="S21" s="120"/>
      <c r="T21" s="120"/>
      <c r="U21" s="120"/>
      <c r="V21" s="120"/>
      <c r="W21" s="13"/>
    </row>
    <row r="22" spans="1:42" ht="58.5" thickTop="1" thickBot="1">
      <c r="A22" s="62" t="s">
        <v>148</v>
      </c>
      <c r="B22" s="62" t="s">
        <v>47</v>
      </c>
      <c r="C22" s="62" t="s">
        <v>149</v>
      </c>
      <c r="D22" s="62" t="s">
        <v>49</v>
      </c>
      <c r="E22" s="62" t="s">
        <v>50</v>
      </c>
      <c r="F22" s="62" t="s">
        <v>51</v>
      </c>
      <c r="G22" s="62" t="s">
        <v>52</v>
      </c>
      <c r="H22" s="62" t="s">
        <v>53</v>
      </c>
      <c r="I22" s="63" t="s">
        <v>95</v>
      </c>
      <c r="J22" s="63" t="s">
        <v>97</v>
      </c>
      <c r="K22" s="63" t="s">
        <v>96</v>
      </c>
      <c r="L22" s="64" t="s">
        <v>98</v>
      </c>
      <c r="M22" s="64" t="s">
        <v>99</v>
      </c>
      <c r="N22" s="64" t="s">
        <v>102</v>
      </c>
      <c r="O22" s="64" t="s">
        <v>103</v>
      </c>
      <c r="P22" s="64" t="s">
        <v>150</v>
      </c>
      <c r="Q22" s="64" t="s">
        <v>101</v>
      </c>
      <c r="R22" s="63" t="s">
        <v>104</v>
      </c>
      <c r="S22" s="62" t="s">
        <v>151</v>
      </c>
      <c r="T22" s="65" t="s">
        <v>152</v>
      </c>
      <c r="U22" s="65" t="s">
        <v>111</v>
      </c>
      <c r="V22" s="66" t="s">
        <v>112</v>
      </c>
      <c r="W22" s="67" t="s">
        <v>153</v>
      </c>
      <c r="X22" s="9" t="s">
        <v>130</v>
      </c>
      <c r="Y22" s="9" t="s">
        <v>126</v>
      </c>
      <c r="Z22" s="56" t="s">
        <v>131</v>
      </c>
      <c r="AA22" s="56" t="s">
        <v>132</v>
      </c>
      <c r="AB22" s="57" t="s">
        <v>133</v>
      </c>
      <c r="AC22" s="57" t="s">
        <v>134</v>
      </c>
      <c r="AD22" s="56" t="s">
        <v>135</v>
      </c>
      <c r="AE22" s="56" t="s">
        <v>136</v>
      </c>
      <c r="AF22" s="56" t="s">
        <v>137</v>
      </c>
      <c r="AG22" s="56" t="s">
        <v>138</v>
      </c>
      <c r="AH22" s="84" t="s">
        <v>207</v>
      </c>
      <c r="AI22" s="84" t="s">
        <v>8</v>
      </c>
      <c r="AJ22" s="84" t="s">
        <v>9</v>
      </c>
      <c r="AK22" s="56" t="s">
        <v>139</v>
      </c>
      <c r="AL22" s="56" t="s">
        <v>140</v>
      </c>
      <c r="AM22" s="57" t="s">
        <v>141</v>
      </c>
      <c r="AN22" s="57" t="s">
        <v>142</v>
      </c>
      <c r="AO22" s="57" t="s">
        <v>143</v>
      </c>
      <c r="AP22" s="58"/>
    </row>
    <row r="23" spans="1:42" ht="15.75" thickBot="1">
      <c r="A23" s="41">
        <v>1</v>
      </c>
      <c r="B23" s="41" t="s">
        <v>154</v>
      </c>
      <c r="C23" s="41" t="s">
        <v>155</v>
      </c>
      <c r="D23" s="41" t="s">
        <v>56</v>
      </c>
      <c r="E23" s="41" t="s">
        <v>156</v>
      </c>
      <c r="F23" s="41">
        <v>40</v>
      </c>
      <c r="G23" s="43">
        <v>257.63</v>
      </c>
      <c r="H23" s="43">
        <f>F23*G23</f>
        <v>10305.200000000001</v>
      </c>
      <c r="I23" s="76">
        <v>1</v>
      </c>
      <c r="J23" s="76">
        <v>2</v>
      </c>
      <c r="K23" s="76">
        <v>2.5</v>
      </c>
      <c r="L23" s="76">
        <f>H23</f>
        <v>10305.200000000001</v>
      </c>
      <c r="M23" s="76">
        <f>ROUND(L23*I23%,2)</f>
        <v>103.05</v>
      </c>
      <c r="N23" s="76">
        <f>H23-M23</f>
        <v>10202.150000000001</v>
      </c>
      <c r="O23" s="76">
        <f>ROUND(N23*J23%,2)</f>
        <v>204.04</v>
      </c>
      <c r="P23" s="76">
        <f>ROUND(N23-O23,2)</f>
        <v>9998.11</v>
      </c>
      <c r="Q23" s="76">
        <f>ROUND(P23*K23%,2)</f>
        <v>249.95</v>
      </c>
      <c r="R23" s="76">
        <f>ROUND((M23+O23+Q23),2)</f>
        <v>557.04</v>
      </c>
      <c r="S23" s="76">
        <f>ROUND((H23-R23),2)</f>
        <v>9748.16</v>
      </c>
      <c r="T23" s="76">
        <v>0.18</v>
      </c>
      <c r="U23" s="76">
        <f>ROUND((S23*18%),2)</f>
        <v>1754.67</v>
      </c>
      <c r="V23" s="76">
        <f>S23+U23</f>
        <v>11502.83</v>
      </c>
      <c r="W23" s="76">
        <f t="shared" ref="W23:W28" si="0">ROUND(G23*$O$41,2)</f>
        <v>515.26</v>
      </c>
      <c r="X23" s="15" t="s">
        <v>25</v>
      </c>
      <c r="Y23" s="15" t="s">
        <v>56</v>
      </c>
      <c r="Z23" s="0">
        <v>1152.5999999999999</v>
      </c>
      <c r="AA23" s="0">
        <v>138.28799000000001</v>
      </c>
      <c r="AB23" s="17">
        <f>R23</f>
        <v>557.04</v>
      </c>
      <c r="AC23" s="17">
        <f>W23</f>
        <v>515.26</v>
      </c>
      <c r="AD23" s="17">
        <f>Z23+AB23</f>
        <v>1709.6399999999999</v>
      </c>
      <c r="AE23" s="15">
        <f>ROUND(((Z23*AA23)+(AB23*AC23))/(Z23+AB23),5)</f>
        <v>261.11412999999999</v>
      </c>
      <c r="AF23" s="59"/>
      <c r="AG23" s="59" t="s">
        <v>144</v>
      </c>
      <c r="AH23" s="4" t="s">
        <v>23</v>
      </c>
      <c r="AI23" s="59"/>
      <c r="AJ23" s="59"/>
      <c r="AK23" s="83"/>
      <c r="AL23" s="59"/>
      <c r="AM23" s="15"/>
      <c r="AN23" s="15"/>
      <c r="AO23" s="15"/>
      <c r="AP23" s="60"/>
    </row>
    <row r="24" spans="1:42" ht="15.75" thickBot="1">
      <c r="A24" s="41">
        <v>2</v>
      </c>
      <c r="B24" s="41" t="s">
        <v>157</v>
      </c>
      <c r="C24" s="41" t="s">
        <v>158</v>
      </c>
      <c r="D24" s="41" t="s">
        <v>56</v>
      </c>
      <c r="E24" s="41" t="s">
        <v>156</v>
      </c>
      <c r="F24" s="41">
        <v>35</v>
      </c>
      <c r="G24" s="43">
        <v>125.45</v>
      </c>
      <c r="H24" s="43">
        <f>F24*G24</f>
        <v>4390.75</v>
      </c>
      <c r="I24" s="76">
        <v>1</v>
      </c>
      <c r="J24" s="76">
        <v>2</v>
      </c>
      <c r="K24" s="76">
        <v>2.5</v>
      </c>
      <c r="L24" s="76">
        <f>H24</f>
        <v>4390.75</v>
      </c>
      <c r="M24" s="76">
        <f t="shared" ref="M24:M37" si="1">ROUND(L24*I24%,2)</f>
        <v>43.91</v>
      </c>
      <c r="N24" s="76">
        <f>H24-M24</f>
        <v>4346.84</v>
      </c>
      <c r="O24" s="76">
        <f t="shared" ref="O24:O37" si="2">ROUND(N24*J24%,2)</f>
        <v>86.94</v>
      </c>
      <c r="P24" s="76">
        <f>ROUND(N24-O24,2)</f>
        <v>4259.8999999999996</v>
      </c>
      <c r="Q24" s="76">
        <f t="shared" ref="Q24:Q37" si="3">ROUND(P24*K24%,2)</f>
        <v>106.5</v>
      </c>
      <c r="R24" s="76">
        <f>ROUND((M24+O24+Q24),2)</f>
        <v>237.35</v>
      </c>
      <c r="S24" s="76">
        <f>ROUND((H24-R24),2)</f>
        <v>4153.3999999999996</v>
      </c>
      <c r="T24" s="76">
        <v>0.18</v>
      </c>
      <c r="U24" s="76">
        <f>ROUND((S24*18%),2)</f>
        <v>747.61</v>
      </c>
      <c r="V24" s="76">
        <f>S24+U24</f>
        <v>4901.0099999999993</v>
      </c>
      <c r="W24" s="76">
        <f t="shared" si="0"/>
        <v>250.9</v>
      </c>
      <c r="X24" s="15" t="s">
        <v>25</v>
      </c>
      <c r="Y24" s="15" t="s">
        <v>56</v>
      </c>
      <c r="Z24" t="s" s="0">
        <v>203</v>
      </c>
      <c r="AA24" t="s" s="0">
        <v>204</v>
      </c>
      <c r="AB24" s="17">
        <f>R24</f>
        <v>237.35</v>
      </c>
      <c r="AC24" s="17">
        <f>W24</f>
        <v>250.9</v>
      </c>
      <c r="AD24" s="17">
        <f t="shared" ref="AD24:AD25" si="4">Z24+AB24</f>
        <v>8919.35</v>
      </c>
      <c r="AE24" s="15">
        <f t="shared" ref="AE24:AE25" si="5">((Z24*AA24)+(AB24*AC24))/(Z24+AB24)</f>
        <v>104.76964657962742</v>
      </c>
      <c r="AF24" s="59"/>
      <c r="AG24" s="59"/>
      <c r="AH24" s="4" t="s">
        <v>27</v>
      </c>
      <c r="AI24" s="59" t="s">
        <v>208</v>
      </c>
      <c r="AJ24" s="59"/>
      <c r="AK24" s="83"/>
      <c r="AL24" s="59"/>
      <c r="AM24" s="15"/>
      <c r="AN24" s="15"/>
      <c r="AO24" s="15"/>
      <c r="AP24" s="60"/>
    </row>
    <row r="25" spans="1:42" ht="15.75" thickBot="1">
      <c r="A25" s="41">
        <v>3</v>
      </c>
      <c r="B25" s="41" t="s">
        <v>159</v>
      </c>
      <c r="C25" s="41" t="s">
        <v>160</v>
      </c>
      <c r="D25" s="41" t="s">
        <v>56</v>
      </c>
      <c r="E25" s="41" t="s">
        <v>156</v>
      </c>
      <c r="F25" s="41">
        <v>45</v>
      </c>
      <c r="G25" s="43">
        <v>125.36</v>
      </c>
      <c r="H25" s="43">
        <f>F25*G25</f>
        <v>5641.2</v>
      </c>
      <c r="I25" s="76">
        <v>1</v>
      </c>
      <c r="J25" s="76">
        <v>2</v>
      </c>
      <c r="K25" s="76">
        <v>2.5</v>
      </c>
      <c r="L25" s="76">
        <f>H25</f>
        <v>5641.2</v>
      </c>
      <c r="M25" s="76">
        <f t="shared" si="1"/>
        <v>56.41</v>
      </c>
      <c r="N25" s="76">
        <f>H25-M25</f>
        <v>5584.79</v>
      </c>
      <c r="O25" s="76">
        <f t="shared" si="2"/>
        <v>111.7</v>
      </c>
      <c r="P25" s="76">
        <f>ROUND(N25-O25,2)</f>
        <v>5473.09</v>
      </c>
      <c r="Q25" s="76">
        <f t="shared" si="3"/>
        <v>136.83000000000001</v>
      </c>
      <c r="R25" s="76">
        <f>ROUND((M25+O25+Q25),2)</f>
        <v>304.94</v>
      </c>
      <c r="S25" s="76">
        <f>ROUND((H25-R25),2)</f>
        <v>5336.26</v>
      </c>
      <c r="T25" s="76">
        <v>0.18</v>
      </c>
      <c r="U25" s="76">
        <f>ROUND((S25*18%),2)</f>
        <v>960.53</v>
      </c>
      <c r="V25" s="76">
        <f>S25+U25</f>
        <v>6296.79</v>
      </c>
      <c r="W25" s="76">
        <f t="shared" si="0"/>
        <v>250.72</v>
      </c>
      <c r="X25" s="15" t="s">
        <v>25</v>
      </c>
      <c r="Y25" s="15" t="s">
        <v>56</v>
      </c>
      <c r="Z25" t="s" s="0">
        <v>35</v>
      </c>
      <c r="AA25" t="s" s="0">
        <v>36</v>
      </c>
      <c r="AB25" s="17">
        <f>R25</f>
        <v>304.94</v>
      </c>
      <c r="AC25" s="17">
        <f>W25</f>
        <v>250.72</v>
      </c>
      <c r="AD25" s="17">
        <f t="shared" si="4"/>
        <v>11706.94</v>
      </c>
      <c r="AE25" s="15">
        <f t="shared" si="5"/>
        <v>262.10845232486025</v>
      </c>
      <c r="AF25" s="59"/>
      <c r="AG25" s="59"/>
      <c r="AH25" s="4" t="s">
        <v>30</v>
      </c>
      <c r="AI25" s="59"/>
      <c r="AJ25" s="59" t="s">
        <v>28</v>
      </c>
      <c r="AK25" s="83"/>
      <c r="AL25" s="59"/>
      <c r="AM25" s="15"/>
      <c r="AN25" s="15"/>
      <c r="AO25" s="15"/>
      <c r="AP25" s="60"/>
    </row>
    <row r="26" spans="1:42" ht="15.75" thickBot="1">
      <c r="A26" s="41">
        <v>4</v>
      </c>
      <c r="B26" s="41" t="s">
        <v>161</v>
      </c>
      <c r="C26" s="41" t="s">
        <v>162</v>
      </c>
      <c r="D26" s="41" t="s">
        <v>56</v>
      </c>
      <c r="E26" s="41" t="s">
        <v>156</v>
      </c>
      <c r="F26" s="41">
        <v>55</v>
      </c>
      <c r="G26" s="43">
        <v>45.25</v>
      </c>
      <c r="H26" s="43">
        <f t="shared" ref="H26:H37" si="6">F26*G26</f>
        <v>2488.75</v>
      </c>
      <c r="I26" s="76">
        <v>1</v>
      </c>
      <c r="J26" s="76">
        <v>2</v>
      </c>
      <c r="K26" s="76">
        <v>2.5</v>
      </c>
      <c r="L26" s="76">
        <f t="shared" ref="L26:L37" si="7">H26</f>
        <v>2488.75</v>
      </c>
      <c r="M26" s="76">
        <f t="shared" si="1"/>
        <v>24.89</v>
      </c>
      <c r="N26" s="76">
        <f t="shared" ref="N26:N37" si="8">H26-M26</f>
        <v>2463.86</v>
      </c>
      <c r="O26" s="76">
        <f t="shared" si="2"/>
        <v>49.28</v>
      </c>
      <c r="P26" s="76">
        <f t="shared" ref="P26:P37" si="9">ROUND(N26-O26,2)</f>
        <v>2414.58</v>
      </c>
      <c r="Q26" s="76">
        <f t="shared" si="3"/>
        <v>60.36</v>
      </c>
      <c r="R26" s="76">
        <f t="shared" ref="R26:R37" si="10">ROUND((M26+O26+Q26),2)</f>
        <v>134.53</v>
      </c>
      <c r="S26" s="76">
        <f t="shared" ref="S26:S37" si="11">ROUND((H26-R26),2)</f>
        <v>2354.2199999999998</v>
      </c>
      <c r="T26" s="76">
        <v>0.18</v>
      </c>
      <c r="U26" s="76">
        <f t="shared" ref="U26:U37" si="12">ROUND((S26*18%),2)</f>
        <v>423.76</v>
      </c>
      <c r="V26" s="76">
        <f t="shared" ref="V26:V37" si="13">S26+U26</f>
        <v>2777.9799999999996</v>
      </c>
      <c r="W26" s="76">
        <f t="shared" si="0"/>
        <v>90.5</v>
      </c>
    </row>
    <row r="27" spans="1:42" ht="15.75" thickBot="1">
      <c r="A27" s="41">
        <v>5</v>
      </c>
      <c r="B27" s="41" t="s">
        <v>163</v>
      </c>
      <c r="C27" s="41" t="s">
        <v>164</v>
      </c>
      <c r="D27" s="41" t="s">
        <v>56</v>
      </c>
      <c r="E27" s="41" t="s">
        <v>156</v>
      </c>
      <c r="F27" s="41">
        <v>60</v>
      </c>
      <c r="G27" s="43">
        <v>45.5</v>
      </c>
      <c r="H27" s="43">
        <f t="shared" si="6"/>
        <v>2730</v>
      </c>
      <c r="I27" s="76">
        <v>1</v>
      </c>
      <c r="J27" s="76">
        <v>2</v>
      </c>
      <c r="K27" s="76">
        <v>2.5</v>
      </c>
      <c r="L27" s="76">
        <f t="shared" si="7"/>
        <v>2730</v>
      </c>
      <c r="M27" s="76">
        <f t="shared" si="1"/>
        <v>27.3</v>
      </c>
      <c r="N27" s="76">
        <f t="shared" si="8"/>
        <v>2702.7</v>
      </c>
      <c r="O27" s="76">
        <f t="shared" si="2"/>
        <v>54.05</v>
      </c>
      <c r="P27" s="76">
        <f t="shared" si="9"/>
        <v>2648.65</v>
      </c>
      <c r="Q27" s="76">
        <f t="shared" si="3"/>
        <v>66.22</v>
      </c>
      <c r="R27" s="76">
        <f t="shared" si="10"/>
        <v>147.57</v>
      </c>
      <c r="S27" s="76">
        <f t="shared" si="11"/>
        <v>2582.4299999999998</v>
      </c>
      <c r="T27" s="76">
        <v>0.18</v>
      </c>
      <c r="U27" s="76">
        <f t="shared" si="12"/>
        <v>464.84</v>
      </c>
      <c r="V27" s="76">
        <f t="shared" si="13"/>
        <v>3047.27</v>
      </c>
      <c r="W27" s="76">
        <f t="shared" si="0"/>
        <v>91</v>
      </c>
    </row>
    <row r="28" spans="1:42" ht="15.75" thickBot="1">
      <c r="A28" s="41">
        <v>6</v>
      </c>
      <c r="B28" s="41" t="s">
        <v>165</v>
      </c>
      <c r="C28" s="41" t="s">
        <v>166</v>
      </c>
      <c r="D28" s="41" t="s">
        <v>56</v>
      </c>
      <c r="E28" s="41" t="s">
        <v>156</v>
      </c>
      <c r="F28" s="41">
        <v>75</v>
      </c>
      <c r="G28" s="43">
        <v>125.25</v>
      </c>
      <c r="H28" s="43">
        <f t="shared" si="6"/>
        <v>9393.75</v>
      </c>
      <c r="I28" s="76">
        <v>1</v>
      </c>
      <c r="J28" s="76">
        <v>2</v>
      </c>
      <c r="K28" s="76">
        <v>2.5</v>
      </c>
      <c r="L28" s="76">
        <f t="shared" si="7"/>
        <v>9393.75</v>
      </c>
      <c r="M28" s="76">
        <f t="shared" si="1"/>
        <v>93.94</v>
      </c>
      <c r="N28" s="76">
        <f t="shared" si="8"/>
        <v>9299.81</v>
      </c>
      <c r="O28" s="76">
        <f t="shared" si="2"/>
        <v>186</v>
      </c>
      <c r="P28" s="76">
        <f t="shared" si="9"/>
        <v>9113.81</v>
      </c>
      <c r="Q28" s="76">
        <f t="shared" si="3"/>
        <v>227.85</v>
      </c>
      <c r="R28" s="76">
        <f t="shared" si="10"/>
        <v>507.79</v>
      </c>
      <c r="S28" s="76">
        <f t="shared" si="11"/>
        <v>8885.9599999999991</v>
      </c>
      <c r="T28" s="76">
        <v>0.18</v>
      </c>
      <c r="U28" s="76">
        <f t="shared" si="12"/>
        <v>1599.47</v>
      </c>
      <c r="V28" s="76">
        <f t="shared" si="13"/>
        <v>10485.429999999998</v>
      </c>
      <c r="W28" s="76">
        <f t="shared" si="0"/>
        <v>250.5</v>
      </c>
    </row>
    <row r="29" spans="1:42" ht="15.75" thickBot="1">
      <c r="A29" s="41">
        <v>7</v>
      </c>
      <c r="B29" s="41" t="s">
        <v>167</v>
      </c>
      <c r="C29" s="41" t="s">
        <v>168</v>
      </c>
      <c r="D29" s="41" t="s">
        <v>56</v>
      </c>
      <c r="E29" s="41" t="s">
        <v>169</v>
      </c>
      <c r="F29" s="41">
        <v>28</v>
      </c>
      <c r="G29" s="43">
        <v>150.5</v>
      </c>
      <c r="H29" s="43">
        <f t="shared" si="6"/>
        <v>4214</v>
      </c>
      <c r="I29" s="76">
        <v>1</v>
      </c>
      <c r="J29" s="76">
        <v>2</v>
      </c>
      <c r="K29" s="76">
        <v>2.5</v>
      </c>
      <c r="L29" s="76">
        <f t="shared" si="7"/>
        <v>4214</v>
      </c>
      <c r="M29" s="76">
        <f t="shared" si="1"/>
        <v>42.14</v>
      </c>
      <c r="N29" s="76">
        <f t="shared" si="8"/>
        <v>4171.8599999999997</v>
      </c>
      <c r="O29" s="76">
        <f t="shared" si="2"/>
        <v>83.44</v>
      </c>
      <c r="P29" s="76">
        <f t="shared" si="9"/>
        <v>4088.42</v>
      </c>
      <c r="Q29" s="76">
        <f t="shared" si="3"/>
        <v>102.21</v>
      </c>
      <c r="R29" s="76">
        <f t="shared" si="10"/>
        <v>227.79</v>
      </c>
      <c r="S29" s="76">
        <f t="shared" si="11"/>
        <v>3986.21</v>
      </c>
      <c r="T29" s="76">
        <v>0.18</v>
      </c>
      <c r="U29" s="76">
        <f t="shared" si="12"/>
        <v>717.52</v>
      </c>
      <c r="V29" s="76">
        <f t="shared" si="13"/>
        <v>4703.7299999999996</v>
      </c>
      <c r="W29" s="76">
        <f>ROUND(G29*$O$42,2)</f>
        <v>376.25</v>
      </c>
    </row>
    <row r="30" spans="1:42" ht="15.75" thickBot="1">
      <c r="A30" s="41">
        <v>8</v>
      </c>
      <c r="B30" s="41" t="s">
        <v>170</v>
      </c>
      <c r="C30" s="41" t="s">
        <v>171</v>
      </c>
      <c r="D30" s="41" t="s">
        <v>56</v>
      </c>
      <c r="E30" s="41" t="s">
        <v>169</v>
      </c>
      <c r="F30" s="41">
        <v>30</v>
      </c>
      <c r="G30" s="43">
        <v>65.319999999999993</v>
      </c>
      <c r="H30" s="43">
        <f t="shared" si="6"/>
        <v>1959.6</v>
      </c>
      <c r="I30" s="76">
        <v>1</v>
      </c>
      <c r="J30" s="76">
        <v>2</v>
      </c>
      <c r="K30" s="76">
        <v>2.5</v>
      </c>
      <c r="L30" s="76">
        <f t="shared" si="7"/>
        <v>1959.6</v>
      </c>
      <c r="M30" s="76">
        <f t="shared" si="1"/>
        <v>19.600000000000001</v>
      </c>
      <c r="N30" s="76">
        <f t="shared" si="8"/>
        <v>1940</v>
      </c>
      <c r="O30" s="76">
        <f t="shared" si="2"/>
        <v>38.799999999999997</v>
      </c>
      <c r="P30" s="76">
        <f t="shared" si="9"/>
        <v>1901.2</v>
      </c>
      <c r="Q30" s="76">
        <f t="shared" si="3"/>
        <v>47.53</v>
      </c>
      <c r="R30" s="76">
        <f t="shared" si="10"/>
        <v>105.93</v>
      </c>
      <c r="S30" s="76">
        <f t="shared" si="11"/>
        <v>1853.67</v>
      </c>
      <c r="T30" s="76">
        <v>0.18</v>
      </c>
      <c r="U30" s="76">
        <f t="shared" si="12"/>
        <v>333.66</v>
      </c>
      <c r="V30" s="76">
        <f t="shared" si="13"/>
        <v>2187.33</v>
      </c>
      <c r="W30" s="76">
        <f>ROUND(G30*$O$42,2)</f>
        <v>163.30000000000001</v>
      </c>
    </row>
    <row r="31" spans="1:42" ht="15.75" thickBot="1">
      <c r="A31" s="41">
        <v>9</v>
      </c>
      <c r="B31" s="41" t="s">
        <v>172</v>
      </c>
      <c r="C31" s="41" t="s">
        <v>173</v>
      </c>
      <c r="D31" s="41" t="s">
        <v>56</v>
      </c>
      <c r="E31" s="41" t="s">
        <v>169</v>
      </c>
      <c r="F31" s="41">
        <v>25</v>
      </c>
      <c r="G31" s="43">
        <v>74.89</v>
      </c>
      <c r="H31" s="43">
        <f t="shared" si="6"/>
        <v>1872.25</v>
      </c>
      <c r="I31" s="76">
        <v>1</v>
      </c>
      <c r="J31" s="76">
        <v>2</v>
      </c>
      <c r="K31" s="76">
        <v>2.5</v>
      </c>
      <c r="L31" s="76">
        <f t="shared" si="7"/>
        <v>1872.25</v>
      </c>
      <c r="M31" s="76">
        <f t="shared" si="1"/>
        <v>18.72</v>
      </c>
      <c r="N31" s="76">
        <f t="shared" si="8"/>
        <v>1853.53</v>
      </c>
      <c r="O31" s="76">
        <f t="shared" si="2"/>
        <v>37.07</v>
      </c>
      <c r="P31" s="76">
        <f t="shared" si="9"/>
        <v>1816.46</v>
      </c>
      <c r="Q31" s="76">
        <f t="shared" si="3"/>
        <v>45.41</v>
      </c>
      <c r="R31" s="76">
        <f t="shared" si="10"/>
        <v>101.2</v>
      </c>
      <c r="S31" s="76">
        <f t="shared" si="11"/>
        <v>1771.05</v>
      </c>
      <c r="T31" s="76">
        <v>0.18</v>
      </c>
      <c r="U31" s="76">
        <f t="shared" si="12"/>
        <v>318.79000000000002</v>
      </c>
      <c r="V31" s="76">
        <f t="shared" si="13"/>
        <v>2089.84</v>
      </c>
      <c r="W31" s="76">
        <f>ROUND(G31*$O$42,2)</f>
        <v>187.23</v>
      </c>
    </row>
    <row r="32" spans="1:42" ht="15.75" thickBot="1">
      <c r="A32" s="41">
        <v>10</v>
      </c>
      <c r="B32" s="41" t="s">
        <v>174</v>
      </c>
      <c r="C32" s="41" t="s">
        <v>175</v>
      </c>
      <c r="D32" s="41" t="s">
        <v>56</v>
      </c>
      <c r="E32" s="41" t="s">
        <v>169</v>
      </c>
      <c r="F32" s="41">
        <v>28</v>
      </c>
      <c r="G32" s="43">
        <v>89.56</v>
      </c>
      <c r="H32" s="43">
        <f t="shared" si="6"/>
        <v>2507.6800000000003</v>
      </c>
      <c r="I32" s="76">
        <v>1</v>
      </c>
      <c r="J32" s="76">
        <v>2</v>
      </c>
      <c r="K32" s="76">
        <v>2.5</v>
      </c>
      <c r="L32" s="76">
        <f t="shared" si="7"/>
        <v>2507.6800000000003</v>
      </c>
      <c r="M32" s="76">
        <f t="shared" si="1"/>
        <v>25.08</v>
      </c>
      <c r="N32" s="76">
        <f t="shared" si="8"/>
        <v>2482.6000000000004</v>
      </c>
      <c r="O32" s="76">
        <f t="shared" si="2"/>
        <v>49.65</v>
      </c>
      <c r="P32" s="76">
        <f t="shared" si="9"/>
        <v>2432.9499999999998</v>
      </c>
      <c r="Q32" s="76">
        <f t="shared" si="3"/>
        <v>60.82</v>
      </c>
      <c r="R32" s="76">
        <f t="shared" si="10"/>
        <v>135.55000000000001</v>
      </c>
      <c r="S32" s="76">
        <f t="shared" si="11"/>
        <v>2372.13</v>
      </c>
      <c r="T32" s="76">
        <v>0.18</v>
      </c>
      <c r="U32" s="76">
        <f t="shared" si="12"/>
        <v>426.98</v>
      </c>
      <c r="V32" s="76">
        <f t="shared" si="13"/>
        <v>2799.11</v>
      </c>
      <c r="W32" s="76">
        <f>ROUND(G32*$O$42,2)</f>
        <v>223.9</v>
      </c>
    </row>
    <row r="33" spans="1:23" ht="15.75" thickBot="1">
      <c r="A33" s="41">
        <v>11</v>
      </c>
      <c r="B33" s="41" t="s">
        <v>176</v>
      </c>
      <c r="C33" s="41" t="s">
        <v>177</v>
      </c>
      <c r="D33" s="41" t="s">
        <v>156</v>
      </c>
      <c r="E33" s="41" t="s">
        <v>178</v>
      </c>
      <c r="F33" s="41">
        <v>37</v>
      </c>
      <c r="G33" s="43">
        <v>89.54</v>
      </c>
      <c r="H33" s="43">
        <f t="shared" si="6"/>
        <v>3312.98</v>
      </c>
      <c r="I33" s="76">
        <v>1</v>
      </c>
      <c r="J33" s="76">
        <v>2</v>
      </c>
      <c r="K33" s="76">
        <v>2.5</v>
      </c>
      <c r="L33" s="76">
        <f t="shared" si="7"/>
        <v>3312.98</v>
      </c>
      <c r="M33" s="76">
        <f t="shared" si="1"/>
        <v>33.130000000000003</v>
      </c>
      <c r="N33" s="76">
        <f t="shared" si="8"/>
        <v>3279.85</v>
      </c>
      <c r="O33" s="76">
        <f t="shared" si="2"/>
        <v>65.599999999999994</v>
      </c>
      <c r="P33" s="76">
        <f t="shared" si="9"/>
        <v>3214.25</v>
      </c>
      <c r="Q33" s="76">
        <f t="shared" si="3"/>
        <v>80.36</v>
      </c>
      <c r="R33" s="76">
        <f t="shared" si="10"/>
        <v>179.09</v>
      </c>
      <c r="S33" s="76">
        <f t="shared" si="11"/>
        <v>3133.89</v>
      </c>
      <c r="T33" s="76">
        <v>0.18</v>
      </c>
      <c r="U33" s="76">
        <f t="shared" si="12"/>
        <v>564.1</v>
      </c>
      <c r="V33" s="76">
        <f t="shared" si="13"/>
        <v>3697.99</v>
      </c>
      <c r="W33" s="76">
        <f>ROUND(G33*$O$43,2)</f>
        <v>0.09</v>
      </c>
    </row>
    <row r="34" spans="1:23" ht="15.75" thickBot="1">
      <c r="A34" s="41">
        <v>12</v>
      </c>
      <c r="B34" s="41" t="s">
        <v>179</v>
      </c>
      <c r="C34" s="41" t="s">
        <v>180</v>
      </c>
      <c r="D34" s="41" t="s">
        <v>156</v>
      </c>
      <c r="E34" s="41" t="s">
        <v>178</v>
      </c>
      <c r="F34" s="41">
        <v>39</v>
      </c>
      <c r="G34" s="43">
        <v>35.200000000000003</v>
      </c>
      <c r="H34" s="43">
        <f t="shared" si="6"/>
        <v>1372.8000000000002</v>
      </c>
      <c r="I34" s="76">
        <v>1</v>
      </c>
      <c r="J34" s="76">
        <v>2</v>
      </c>
      <c r="K34" s="76">
        <v>2.5</v>
      </c>
      <c r="L34" s="76">
        <f t="shared" si="7"/>
        <v>1372.8000000000002</v>
      </c>
      <c r="M34" s="76">
        <f t="shared" si="1"/>
        <v>13.73</v>
      </c>
      <c r="N34" s="76">
        <f t="shared" si="8"/>
        <v>1359.0700000000002</v>
      </c>
      <c r="O34" s="76">
        <f t="shared" si="2"/>
        <v>27.18</v>
      </c>
      <c r="P34" s="76">
        <f t="shared" si="9"/>
        <v>1331.89</v>
      </c>
      <c r="Q34" s="76">
        <f t="shared" si="3"/>
        <v>33.299999999999997</v>
      </c>
      <c r="R34" s="76">
        <f t="shared" si="10"/>
        <v>74.209999999999994</v>
      </c>
      <c r="S34" s="76">
        <f t="shared" si="11"/>
        <v>1298.5899999999999</v>
      </c>
      <c r="T34" s="76">
        <v>0.18</v>
      </c>
      <c r="U34" s="76">
        <f t="shared" si="12"/>
        <v>233.75</v>
      </c>
      <c r="V34" s="76">
        <f t="shared" si="13"/>
        <v>1532.34</v>
      </c>
      <c r="W34" s="76">
        <f>ROUND(G34*$O$43,2)</f>
        <v>0.04</v>
      </c>
    </row>
    <row r="35" spans="1:23" ht="15.75" thickBot="1">
      <c r="A35" s="41">
        <v>13</v>
      </c>
      <c r="B35" s="41" t="s">
        <v>181</v>
      </c>
      <c r="C35" s="41" t="s">
        <v>182</v>
      </c>
      <c r="D35" s="41" t="s">
        <v>156</v>
      </c>
      <c r="E35" s="41" t="s">
        <v>178</v>
      </c>
      <c r="F35" s="41">
        <v>70</v>
      </c>
      <c r="G35" s="43">
        <v>102.25</v>
      </c>
      <c r="H35" s="43">
        <f t="shared" si="6"/>
        <v>7157.5</v>
      </c>
      <c r="I35" s="76">
        <v>1</v>
      </c>
      <c r="J35" s="76">
        <v>2</v>
      </c>
      <c r="K35" s="76">
        <v>2.5</v>
      </c>
      <c r="L35" s="76">
        <f t="shared" si="7"/>
        <v>7157.5</v>
      </c>
      <c r="M35" s="76">
        <f t="shared" si="1"/>
        <v>71.58</v>
      </c>
      <c r="N35" s="76">
        <f t="shared" si="8"/>
        <v>7085.92</v>
      </c>
      <c r="O35" s="76">
        <f t="shared" si="2"/>
        <v>141.72</v>
      </c>
      <c r="P35" s="76">
        <f t="shared" si="9"/>
        <v>6944.2</v>
      </c>
      <c r="Q35" s="76">
        <f t="shared" si="3"/>
        <v>173.61</v>
      </c>
      <c r="R35" s="76">
        <f t="shared" si="10"/>
        <v>386.91</v>
      </c>
      <c r="S35" s="76">
        <f t="shared" si="11"/>
        <v>6770.59</v>
      </c>
      <c r="T35" s="76">
        <v>0.18</v>
      </c>
      <c r="U35" s="76">
        <f t="shared" si="12"/>
        <v>1218.71</v>
      </c>
      <c r="V35" s="76">
        <f t="shared" si="13"/>
        <v>7989.3</v>
      </c>
      <c r="W35" s="76">
        <f>ROUND(G35*$O$43,2)</f>
        <v>0.1</v>
      </c>
    </row>
    <row r="36" spans="1:23" ht="15.75" thickBot="1">
      <c r="A36" s="41">
        <v>14</v>
      </c>
      <c r="B36" s="41" t="s">
        <v>183</v>
      </c>
      <c r="C36" s="41" t="s">
        <v>184</v>
      </c>
      <c r="D36" s="41" t="s">
        <v>156</v>
      </c>
      <c r="E36" s="41" t="s">
        <v>178</v>
      </c>
      <c r="F36" s="41">
        <v>100</v>
      </c>
      <c r="G36" s="43">
        <v>125.23</v>
      </c>
      <c r="H36" s="43">
        <f t="shared" si="6"/>
        <v>12523</v>
      </c>
      <c r="I36" s="76">
        <v>1</v>
      </c>
      <c r="J36" s="76">
        <v>2</v>
      </c>
      <c r="K36" s="76">
        <v>2.5</v>
      </c>
      <c r="L36" s="76">
        <f t="shared" si="7"/>
        <v>12523</v>
      </c>
      <c r="M36" s="76">
        <f t="shared" si="1"/>
        <v>125.23</v>
      </c>
      <c r="N36" s="76">
        <f t="shared" si="8"/>
        <v>12397.77</v>
      </c>
      <c r="O36" s="76">
        <f t="shared" si="2"/>
        <v>247.96</v>
      </c>
      <c r="P36" s="76">
        <f t="shared" si="9"/>
        <v>12149.81</v>
      </c>
      <c r="Q36" s="76">
        <f t="shared" si="3"/>
        <v>303.75</v>
      </c>
      <c r="R36" s="76">
        <f t="shared" si="10"/>
        <v>676.94</v>
      </c>
      <c r="S36" s="76">
        <f t="shared" si="11"/>
        <v>11846.06</v>
      </c>
      <c r="T36" s="76">
        <v>0.18</v>
      </c>
      <c r="U36" s="76">
        <f t="shared" si="12"/>
        <v>2132.29</v>
      </c>
      <c r="V36" s="76">
        <f t="shared" si="13"/>
        <v>13978.349999999999</v>
      </c>
      <c r="W36" s="76">
        <f>ROUND(G36*$O$43,2)</f>
        <v>0.13</v>
      </c>
    </row>
    <row r="37" spans="1:23" ht="15.75" thickBot="1">
      <c r="A37" s="41">
        <v>15</v>
      </c>
      <c r="B37" s="41" t="s">
        <v>185</v>
      </c>
      <c r="C37" s="41" t="s">
        <v>186</v>
      </c>
      <c r="D37" s="41" t="s">
        <v>156</v>
      </c>
      <c r="E37" s="41" t="s">
        <v>178</v>
      </c>
      <c r="F37" s="41">
        <v>85</v>
      </c>
      <c r="G37" s="43">
        <v>65.48</v>
      </c>
      <c r="H37" s="43">
        <f t="shared" si="6"/>
        <v>5565.8</v>
      </c>
      <c r="I37" s="76">
        <v>1</v>
      </c>
      <c r="J37" s="76">
        <v>2</v>
      </c>
      <c r="K37" s="76">
        <v>2.5</v>
      </c>
      <c r="L37" s="76">
        <f t="shared" si="7"/>
        <v>5565.8</v>
      </c>
      <c r="M37" s="76">
        <f t="shared" si="1"/>
        <v>55.66</v>
      </c>
      <c r="N37" s="76">
        <f t="shared" si="8"/>
        <v>5510.14</v>
      </c>
      <c r="O37" s="76">
        <f t="shared" si="2"/>
        <v>110.2</v>
      </c>
      <c r="P37" s="76">
        <f t="shared" si="9"/>
        <v>5399.94</v>
      </c>
      <c r="Q37" s="76">
        <f t="shared" si="3"/>
        <v>135</v>
      </c>
      <c r="R37" s="76">
        <f t="shared" si="10"/>
        <v>300.86</v>
      </c>
      <c r="S37" s="76">
        <f t="shared" si="11"/>
        <v>5264.94</v>
      </c>
      <c r="T37" s="76">
        <v>0.18</v>
      </c>
      <c r="U37" s="76">
        <f t="shared" si="12"/>
        <v>947.69</v>
      </c>
      <c r="V37" s="76">
        <f t="shared" si="13"/>
        <v>6212.6299999999992</v>
      </c>
      <c r="W37" s="76">
        <f>ROUND(G37*$O$43,2)</f>
        <v>7.0000000000000007E-2</v>
      </c>
    </row>
    <row r="38" spans="1:23" ht="15.75" thickBot="1">
      <c r="A38" s="13"/>
      <c r="B38" s="121" t="s">
        <v>85</v>
      </c>
      <c r="C38" s="121"/>
      <c r="D38" s="121"/>
      <c r="E38" s="121"/>
      <c r="F38" s="121"/>
      <c r="G38" s="121"/>
      <c r="H38" s="45">
        <f>SUM(H23:H37)</f>
        <v>75435.260000000009</v>
      </c>
      <c r="I38" s="41"/>
      <c r="J38" s="41"/>
      <c r="K38" s="41"/>
      <c r="L38" s="76"/>
      <c r="M38" s="76"/>
      <c r="N38" s="76"/>
      <c r="O38" s="76"/>
      <c r="P38" s="76"/>
      <c r="Q38" s="76"/>
      <c r="R38" s="81">
        <f>SUM(R23:R37)</f>
        <v>4077.7</v>
      </c>
      <c r="S38" s="81">
        <f>SUM(S23:S37)</f>
        <v>71357.56</v>
      </c>
      <c r="T38" s="81"/>
      <c r="U38" s="81">
        <f>SUM(U23:U37)</f>
        <v>12844.370000000004</v>
      </c>
      <c r="V38" s="89">
        <f t="shared" ref="V38" si="14">SUM(V23:V37)</f>
        <v>84201.93</v>
      </c>
      <c r="W38" s="89"/>
    </row>
    <row r="39" spans="1:23" ht="15.75" thickBot="1">
      <c r="A39" s="13"/>
      <c r="B39" s="13"/>
      <c r="C39" s="13"/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</row>
    <row r="40" spans="1:23" ht="15.75" thickBot="1">
      <c r="A40" s="13"/>
      <c r="B40" s="13"/>
      <c r="C40" s="13"/>
      <c r="D40" s="13"/>
      <c r="E40" s="13"/>
      <c r="F40" s="13"/>
      <c r="G40" s="116" t="s">
        <v>187</v>
      </c>
      <c r="H40" s="117"/>
      <c r="I40" s="118">
        <f>H38</f>
        <v>75435.260000000009</v>
      </c>
      <c r="J40" s="118"/>
      <c r="K40" s="53"/>
      <c r="L40" s="13"/>
      <c r="M40" s="122" t="s">
        <v>188</v>
      </c>
      <c r="N40" s="123"/>
      <c r="O40" s="123"/>
      <c r="P40" s="124"/>
      <c r="Q40" s="13"/>
      <c r="R40" s="13"/>
      <c r="S40" s="13"/>
      <c r="T40" s="13"/>
      <c r="U40" s="13"/>
      <c r="V40" s="13"/>
      <c r="W40" s="13"/>
    </row>
    <row r="41" spans="1:23" ht="15.75" thickBot="1">
      <c r="A41" s="13"/>
      <c r="B41" s="13"/>
      <c r="C41" s="13"/>
      <c r="D41" s="13"/>
      <c r="E41" s="13"/>
      <c r="F41" s="13"/>
      <c r="G41" s="116" t="s">
        <v>189</v>
      </c>
      <c r="H41" s="117"/>
      <c r="I41" s="118">
        <f>R38</f>
        <v>4077.7</v>
      </c>
      <c r="J41" s="118"/>
      <c r="K41" s="13"/>
      <c r="L41" s="13"/>
      <c r="M41" s="68">
        <v>1</v>
      </c>
      <c r="N41" s="68" t="s">
        <v>56</v>
      </c>
      <c r="O41" s="68">
        <v>2</v>
      </c>
      <c r="P41" s="68" t="s">
        <v>156</v>
      </c>
      <c r="Q41" s="13"/>
      <c r="R41" s="13"/>
      <c r="S41" s="13"/>
      <c r="T41" s="13"/>
      <c r="U41" s="13"/>
      <c r="V41" s="13"/>
      <c r="W41" s="13"/>
    </row>
    <row r="42" spans="1:23" ht="15.75" thickBot="1">
      <c r="A42" s="13"/>
      <c r="B42" s="13"/>
      <c r="C42" s="13"/>
      <c r="D42" s="13"/>
      <c r="E42" s="13"/>
      <c r="F42" s="13"/>
      <c r="G42" s="116" t="s">
        <v>190</v>
      </c>
      <c r="H42" s="117"/>
      <c r="I42" s="118">
        <f>S38</f>
        <v>71357.56</v>
      </c>
      <c r="J42" s="118"/>
      <c r="K42" s="13"/>
      <c r="L42" s="13"/>
      <c r="M42" s="41">
        <v>1</v>
      </c>
      <c r="N42" s="41" t="s">
        <v>56</v>
      </c>
      <c r="O42" s="41">
        <v>2.5</v>
      </c>
      <c r="P42" s="41" t="s">
        <v>169</v>
      </c>
      <c r="Q42" s="13"/>
      <c r="R42" s="13"/>
      <c r="S42" s="13"/>
      <c r="T42" s="13"/>
      <c r="U42" s="13"/>
      <c r="V42" s="13"/>
      <c r="W42" s="13"/>
    </row>
    <row r="43" spans="1:23" ht="15.75" thickBot="1">
      <c r="A43" s="13"/>
      <c r="B43" s="13"/>
      <c r="C43" s="13"/>
      <c r="D43" s="13"/>
      <c r="E43" s="13"/>
      <c r="F43" s="13"/>
      <c r="G43" s="116" t="s">
        <v>191</v>
      </c>
      <c r="H43" s="117"/>
      <c r="I43" s="118">
        <f>U38</f>
        <v>12844.370000000004</v>
      </c>
      <c r="J43" s="118"/>
      <c r="K43" s="13"/>
      <c r="L43" s="13"/>
      <c r="M43" s="41">
        <v>1</v>
      </c>
      <c r="N43" s="41" t="s">
        <v>156</v>
      </c>
      <c r="O43" s="41">
        <v>1E-3</v>
      </c>
      <c r="P43" s="41" t="s">
        <v>178</v>
      </c>
      <c r="Q43" s="13"/>
      <c r="R43" s="13"/>
      <c r="S43" s="13"/>
      <c r="T43" s="13"/>
      <c r="U43" s="13"/>
      <c r="V43" s="13"/>
      <c r="W43" s="13"/>
    </row>
    <row r="44" spans="1:23" ht="15.75" thickBot="1">
      <c r="A44" s="13"/>
      <c r="B44" s="13"/>
      <c r="C44" s="13"/>
      <c r="D44" s="13"/>
      <c r="E44" s="13"/>
      <c r="F44" s="13"/>
      <c r="G44" s="116" t="s">
        <v>192</v>
      </c>
      <c r="H44" s="117"/>
      <c r="I44" s="119">
        <f>I42+I43</f>
        <v>84201.930000000008</v>
      </c>
      <c r="J44" s="119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</row>
  </sheetData>
  <mergeCells count="13">
    <mergeCell ref="G41:H41"/>
    <mergeCell ref="I41:J41"/>
    <mergeCell ref="A21:V21"/>
    <mergeCell ref="B38:G38"/>
    <mergeCell ref="G40:H40"/>
    <mergeCell ref="I40:J40"/>
    <mergeCell ref="M40:P40"/>
    <mergeCell ref="G42:H42"/>
    <mergeCell ref="I42:J42"/>
    <mergeCell ref="G43:H43"/>
    <mergeCell ref="I43:J43"/>
    <mergeCell ref="G44:H44"/>
    <mergeCell ref="I44:J4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3:W28"/>
  <sheetViews>
    <sheetView topLeftCell="A7" workbookViewId="0">
      <selection activeCell="A4" sqref="A4:P4"/>
    </sheetView>
  </sheetViews>
  <sheetFormatPr defaultRowHeight="15"/>
  <cols>
    <col min="2" max="2" bestFit="true" customWidth="true" width="8.5703125"/>
    <col min="13" max="13" bestFit="true" customWidth="true" width="13.7109375"/>
    <col min="14" max="14" bestFit="true" customWidth="true" width="9.0"/>
    <col min="15" max="15" bestFit="true" customWidth="true" width="13.5703125"/>
    <col min="17" max="17" bestFit="true" customWidth="true" width="14.42578125"/>
    <col min="18" max="18" bestFit="true" customWidth="true" width="19.5703125"/>
    <col min="19" max="19" bestFit="true" customWidth="true" width="7.140625"/>
    <col min="20" max="21" bestFit="true" customWidth="true" width="11.5703125"/>
    <col min="22" max="22" bestFit="true" customWidth="true" width="16.0"/>
    <col min="23" max="23" bestFit="true" customWidth="true" width="12.42578125"/>
  </cols>
  <sheetData>
    <row r="3" spans="1:23" ht="15.75" thickBot="1"/>
    <row r="4" spans="1:23" ht="18.75" thickBot="1">
      <c r="A4" s="120" t="s">
        <v>193</v>
      </c>
      <c r="B4" s="120"/>
      <c r="C4" s="120"/>
      <c r="D4" s="120"/>
      <c r="E4" s="120"/>
      <c r="F4" s="120"/>
      <c r="G4" s="120"/>
      <c r="H4" s="120"/>
      <c r="I4" s="120"/>
      <c r="J4" s="120"/>
      <c r="K4" s="120"/>
      <c r="L4" s="120"/>
      <c r="M4" s="120"/>
      <c r="N4" s="120"/>
      <c r="O4" s="120"/>
      <c r="P4" s="120"/>
      <c r="Q4" s="69" t="s">
        <v>194</v>
      </c>
      <c r="R4" s="69" t="s">
        <v>195</v>
      </c>
      <c r="S4" s="70"/>
      <c r="T4" s="69">
        <v>82.92</v>
      </c>
      <c r="U4" s="71"/>
      <c r="V4" s="72"/>
      <c r="W4" s="13"/>
    </row>
    <row r="5" spans="1:23" ht="43.5" thickBot="1">
      <c r="A5" s="62" t="s">
        <v>148</v>
      </c>
      <c r="B5" s="62" t="s">
        <v>47</v>
      </c>
      <c r="C5" s="62" t="s">
        <v>49</v>
      </c>
      <c r="D5" s="62" t="s">
        <v>50</v>
      </c>
      <c r="E5" s="62" t="s">
        <v>51</v>
      </c>
      <c r="F5" s="62" t="s">
        <v>52</v>
      </c>
      <c r="G5" s="62" t="s">
        <v>53</v>
      </c>
      <c r="H5" s="63" t="s">
        <v>95</v>
      </c>
      <c r="I5" s="63" t="s">
        <v>97</v>
      </c>
      <c r="J5" s="63" t="s">
        <v>96</v>
      </c>
      <c r="K5" s="64" t="s">
        <v>98</v>
      </c>
      <c r="L5" s="64" t="s">
        <v>99</v>
      </c>
      <c r="M5" s="64" t="s">
        <v>102</v>
      </c>
      <c r="N5" s="64" t="s">
        <v>103</v>
      </c>
      <c r="O5" s="64" t="s">
        <v>100</v>
      </c>
      <c r="P5" s="64" t="s">
        <v>101</v>
      </c>
      <c r="Q5" s="63" t="s">
        <v>196</v>
      </c>
      <c r="R5" s="62" t="s">
        <v>197</v>
      </c>
      <c r="S5" s="65" t="s">
        <v>152</v>
      </c>
      <c r="T5" s="65" t="s">
        <v>111</v>
      </c>
      <c r="U5" s="66" t="s">
        <v>112</v>
      </c>
      <c r="V5" s="66" t="s">
        <v>198</v>
      </c>
      <c r="W5" s="67" t="s">
        <v>127</v>
      </c>
    </row>
    <row r="6" spans="1:23" ht="15.75" thickBot="1">
      <c r="A6" s="41">
        <v>1</v>
      </c>
      <c r="B6" s="41" t="s">
        <v>54</v>
      </c>
      <c r="C6" s="41" t="s">
        <v>56</v>
      </c>
      <c r="D6" s="41" t="s">
        <v>56</v>
      </c>
      <c r="E6" s="41">
        <v>25</v>
      </c>
      <c r="F6" s="41">
        <v>257.63</v>
      </c>
      <c r="G6" s="41">
        <f>E6*F6</f>
        <v>6440.75</v>
      </c>
      <c r="H6" s="73">
        <v>0.01</v>
      </c>
      <c r="I6" s="73">
        <v>0.02</v>
      </c>
      <c r="J6" s="74">
        <v>2.5000000000000001E-2</v>
      </c>
      <c r="K6" s="41">
        <f>G6</f>
        <v>6440.75</v>
      </c>
      <c r="L6" s="41">
        <f>ROUND(K6*H6,2)</f>
        <v>64.41</v>
      </c>
      <c r="M6" s="41">
        <f>G6-L6</f>
        <v>6376.34</v>
      </c>
      <c r="N6" s="41">
        <f>ROUND(M6*I6,2)</f>
        <v>127.53</v>
      </c>
      <c r="O6" s="41">
        <f>ROUND(M6-N6,2)</f>
        <v>6248.81</v>
      </c>
      <c r="P6" s="41">
        <f>ROUND(O6*J6,2)</f>
        <v>156.22</v>
      </c>
      <c r="Q6" s="41">
        <f>ROUND((L6+N6+P6),2)</f>
        <v>348.16</v>
      </c>
      <c r="R6" s="41">
        <f>ROUND((G6-Q6),2)</f>
        <v>6092.59</v>
      </c>
      <c r="S6" s="73">
        <v>0.18</v>
      </c>
      <c r="T6" s="41">
        <f>ROUND((R6*18%),2)</f>
        <v>1096.67</v>
      </c>
      <c r="U6" s="41">
        <f>R6+T6</f>
        <v>7189.26</v>
      </c>
      <c r="V6" s="41">
        <f>U6*$T$4</f>
        <v>596133.43920000002</v>
      </c>
      <c r="W6" s="41">
        <f>F6*$T$4</f>
        <v>21362.679599999999</v>
      </c>
    </row>
    <row r="7" spans="1:23" ht="15.75" thickBot="1">
      <c r="A7" s="41">
        <v>2</v>
      </c>
      <c r="B7" s="41" t="s">
        <v>57</v>
      </c>
      <c r="C7" s="41" t="s">
        <v>56</v>
      </c>
      <c r="D7" s="41" t="s">
        <v>56</v>
      </c>
      <c r="E7" s="41">
        <v>35</v>
      </c>
      <c r="F7" s="41">
        <v>125.45</v>
      </c>
      <c r="G7" s="41">
        <f>E7*F7</f>
        <v>4390.75</v>
      </c>
      <c r="H7" s="73">
        <v>0.01</v>
      </c>
      <c r="I7" s="73">
        <v>0.02</v>
      </c>
      <c r="J7" s="74">
        <v>2.5000000000000001E-2</v>
      </c>
      <c r="K7" s="41">
        <f>G7</f>
        <v>4390.75</v>
      </c>
      <c r="L7" s="41">
        <f>ROUND(K7*H7,2)</f>
        <v>43.91</v>
      </c>
      <c r="M7" s="41">
        <f>G7-L7</f>
        <v>4346.84</v>
      </c>
      <c r="N7" s="41">
        <f>ROUND(M7*I7,2)</f>
        <v>86.94</v>
      </c>
      <c r="O7" s="41">
        <f>ROUND(M7-N7,2)</f>
        <v>4259.8999999999996</v>
      </c>
      <c r="P7" s="41">
        <f>ROUND(O7*J7,2)</f>
        <v>106.5</v>
      </c>
      <c r="Q7" s="41">
        <f>ROUND((L7+N7+P7),2)</f>
        <v>237.35</v>
      </c>
      <c r="R7" s="41">
        <f>ROUND((G7-Q7),2)</f>
        <v>4153.3999999999996</v>
      </c>
      <c r="S7" s="73">
        <v>0.18</v>
      </c>
      <c r="T7" s="41">
        <f>ROUND((R7*18%),2)</f>
        <v>747.61</v>
      </c>
      <c r="U7" s="41">
        <f>R7+T7</f>
        <v>4901.0099999999993</v>
      </c>
      <c r="V7" s="41">
        <f t="shared" ref="V7:V20" si="0">U7*$T$4</f>
        <v>406391.74919999996</v>
      </c>
      <c r="W7" s="41">
        <f t="shared" ref="W7:W20" si="1">F7*$T$4</f>
        <v>10402.314</v>
      </c>
    </row>
    <row r="8" spans="1:23" ht="15.75" thickBot="1">
      <c r="A8" s="41">
        <v>3</v>
      </c>
      <c r="B8" s="41" t="s">
        <v>59</v>
      </c>
      <c r="C8" s="41" t="s">
        <v>56</v>
      </c>
      <c r="D8" s="41" t="s">
        <v>56</v>
      </c>
      <c r="E8" s="41">
        <v>45</v>
      </c>
      <c r="F8" s="41">
        <v>125.36</v>
      </c>
      <c r="G8" s="41">
        <f>E8*F8</f>
        <v>5641.2</v>
      </c>
      <c r="H8" s="73">
        <v>0.01</v>
      </c>
      <c r="I8" s="73">
        <v>0.02</v>
      </c>
      <c r="J8" s="74">
        <v>2.5000000000000001E-2</v>
      </c>
      <c r="K8" s="41">
        <f>G8</f>
        <v>5641.2</v>
      </c>
      <c r="L8" s="41">
        <f>ROUND(K8*H8,2)</f>
        <v>56.41</v>
      </c>
      <c r="M8" s="41">
        <f>G8-L8</f>
        <v>5584.79</v>
      </c>
      <c r="N8" s="41">
        <f>ROUND(M8*I8,2)</f>
        <v>111.7</v>
      </c>
      <c r="O8" s="41">
        <f>ROUND(M8-N8,2)</f>
        <v>5473.09</v>
      </c>
      <c r="P8" s="41">
        <f>ROUND(O8*J8,2)</f>
        <v>136.83000000000001</v>
      </c>
      <c r="Q8" s="41">
        <f>ROUND((L8+N8+P8),2)</f>
        <v>304.94</v>
      </c>
      <c r="R8" s="41">
        <f>ROUND((G8-Q8),2)</f>
        <v>5336.26</v>
      </c>
      <c r="S8" s="73">
        <v>0.18</v>
      </c>
      <c r="T8" s="41">
        <f>ROUND((R8*18%),2)</f>
        <v>960.53</v>
      </c>
      <c r="U8" s="41">
        <f>R8+T8</f>
        <v>6296.79</v>
      </c>
      <c r="V8" s="41">
        <f t="shared" si="0"/>
        <v>522129.82679999998</v>
      </c>
      <c r="W8" s="41">
        <f t="shared" si="1"/>
        <v>10394.851200000001</v>
      </c>
    </row>
    <row r="9" spans="1:23" ht="15.75" thickBot="1">
      <c r="A9" s="41">
        <v>4</v>
      </c>
      <c r="B9" s="41" t="s">
        <v>61</v>
      </c>
      <c r="C9" s="41" t="s">
        <v>56</v>
      </c>
      <c r="D9" s="41" t="s">
        <v>56</v>
      </c>
      <c r="E9" s="41">
        <v>55</v>
      </c>
      <c r="F9" s="41">
        <v>45.25</v>
      </c>
      <c r="G9" s="41">
        <f t="shared" ref="G9:G20" si="2">E9*F9</f>
        <v>2488.75</v>
      </c>
      <c r="H9" s="73">
        <v>0.01</v>
      </c>
      <c r="I9" s="73">
        <v>0.02</v>
      </c>
      <c r="J9" s="74">
        <v>2.5000000000000001E-2</v>
      </c>
      <c r="K9" s="41">
        <f t="shared" ref="K9:K20" si="3">G9</f>
        <v>2488.75</v>
      </c>
      <c r="L9" s="41">
        <f t="shared" ref="L9:L20" si="4">ROUND(K9*H9,2)</f>
        <v>24.89</v>
      </c>
      <c r="M9" s="41">
        <f t="shared" ref="M9:M20" si="5">G9-L9</f>
        <v>2463.86</v>
      </c>
      <c r="N9" s="41">
        <f t="shared" ref="N9:N20" si="6">ROUND(M9*I9,2)</f>
        <v>49.28</v>
      </c>
      <c r="O9" s="41">
        <f t="shared" ref="O9:O20" si="7">ROUND(M9-N9,2)</f>
        <v>2414.58</v>
      </c>
      <c r="P9" s="41">
        <f t="shared" ref="P9:P20" si="8">ROUND(O9*J9,2)</f>
        <v>60.36</v>
      </c>
      <c r="Q9" s="41">
        <f t="shared" ref="Q9:Q20" si="9">ROUND((L9+N9+P9),2)</f>
        <v>134.53</v>
      </c>
      <c r="R9" s="41">
        <f t="shared" ref="R9:R20" si="10">ROUND((G9-Q9),2)</f>
        <v>2354.2199999999998</v>
      </c>
      <c r="S9" s="73">
        <v>0.18</v>
      </c>
      <c r="T9" s="41">
        <f t="shared" ref="T9:T20" si="11">ROUND((R9*18%),2)</f>
        <v>423.76</v>
      </c>
      <c r="U9" s="41">
        <f t="shared" ref="U9:U20" si="12">R9+T9</f>
        <v>2777.9799999999996</v>
      </c>
      <c r="V9" s="41">
        <f t="shared" si="0"/>
        <v>230350.10159999997</v>
      </c>
      <c r="W9" s="41">
        <f t="shared" si="1"/>
        <v>3752.13</v>
      </c>
    </row>
    <row r="10" spans="1:23" ht="15.75" thickBot="1">
      <c r="A10" s="41">
        <v>5</v>
      </c>
      <c r="B10" s="41" t="s">
        <v>63</v>
      </c>
      <c r="C10" s="41" t="s">
        <v>56</v>
      </c>
      <c r="D10" s="41" t="s">
        <v>56</v>
      </c>
      <c r="E10" s="41">
        <v>60</v>
      </c>
      <c r="F10" s="41">
        <v>45.5</v>
      </c>
      <c r="G10" s="41">
        <f t="shared" si="2"/>
        <v>2730</v>
      </c>
      <c r="H10" s="73">
        <v>0.01</v>
      </c>
      <c r="I10" s="73">
        <v>0.02</v>
      </c>
      <c r="J10" s="74">
        <v>2.5000000000000001E-2</v>
      </c>
      <c r="K10" s="41">
        <f t="shared" si="3"/>
        <v>2730</v>
      </c>
      <c r="L10" s="41">
        <f t="shared" si="4"/>
        <v>27.3</v>
      </c>
      <c r="M10" s="41">
        <f t="shared" si="5"/>
        <v>2702.7</v>
      </c>
      <c r="N10" s="41">
        <f t="shared" si="6"/>
        <v>54.05</v>
      </c>
      <c r="O10" s="41">
        <f t="shared" si="7"/>
        <v>2648.65</v>
      </c>
      <c r="P10" s="41">
        <f t="shared" si="8"/>
        <v>66.22</v>
      </c>
      <c r="Q10" s="41">
        <f t="shared" si="9"/>
        <v>147.57</v>
      </c>
      <c r="R10" s="41">
        <f t="shared" si="10"/>
        <v>2582.4299999999998</v>
      </c>
      <c r="S10" s="73">
        <v>0.18</v>
      </c>
      <c r="T10" s="41">
        <f t="shared" si="11"/>
        <v>464.84</v>
      </c>
      <c r="U10" s="41">
        <f t="shared" si="12"/>
        <v>3047.27</v>
      </c>
      <c r="V10" s="41">
        <f t="shared" si="0"/>
        <v>252679.62840000002</v>
      </c>
      <c r="W10" s="41">
        <f t="shared" si="1"/>
        <v>3772.86</v>
      </c>
    </row>
    <row r="11" spans="1:23" ht="15.75" thickBot="1">
      <c r="A11" s="41">
        <v>6</v>
      </c>
      <c r="B11" s="41" t="s">
        <v>65</v>
      </c>
      <c r="C11" s="41" t="s">
        <v>56</v>
      </c>
      <c r="D11" s="41" t="s">
        <v>56</v>
      </c>
      <c r="E11" s="41">
        <v>75</v>
      </c>
      <c r="F11" s="41">
        <v>125.25</v>
      </c>
      <c r="G11" s="41">
        <f t="shared" si="2"/>
        <v>9393.75</v>
      </c>
      <c r="H11" s="73">
        <v>0.01</v>
      </c>
      <c r="I11" s="73">
        <v>0.02</v>
      </c>
      <c r="J11" s="74">
        <v>2.5000000000000001E-2</v>
      </c>
      <c r="K11" s="41">
        <f t="shared" si="3"/>
        <v>9393.75</v>
      </c>
      <c r="L11" s="41">
        <f t="shared" si="4"/>
        <v>93.94</v>
      </c>
      <c r="M11" s="41">
        <f t="shared" si="5"/>
        <v>9299.81</v>
      </c>
      <c r="N11" s="41">
        <f t="shared" si="6"/>
        <v>186</v>
      </c>
      <c r="O11" s="41">
        <f t="shared" si="7"/>
        <v>9113.81</v>
      </c>
      <c r="P11" s="41">
        <f t="shared" si="8"/>
        <v>227.85</v>
      </c>
      <c r="Q11" s="41">
        <f t="shared" si="9"/>
        <v>507.79</v>
      </c>
      <c r="R11" s="41">
        <f t="shared" si="10"/>
        <v>8885.9599999999991</v>
      </c>
      <c r="S11" s="73">
        <v>0.18</v>
      </c>
      <c r="T11" s="41">
        <f t="shared" si="11"/>
        <v>1599.47</v>
      </c>
      <c r="U11" s="41">
        <f t="shared" si="12"/>
        <v>10485.429999999998</v>
      </c>
      <c r="V11" s="41">
        <f t="shared" si="0"/>
        <v>869451.85559999989</v>
      </c>
      <c r="W11" s="41">
        <f t="shared" si="1"/>
        <v>10385.73</v>
      </c>
    </row>
    <row r="12" spans="1:23" ht="15.75" thickBot="1">
      <c r="A12" s="41">
        <v>7</v>
      </c>
      <c r="B12" s="41" t="s">
        <v>67</v>
      </c>
      <c r="C12" s="41" t="s">
        <v>56</v>
      </c>
      <c r="D12" s="41" t="s">
        <v>56</v>
      </c>
      <c r="E12" s="41">
        <v>28</v>
      </c>
      <c r="F12" s="41">
        <v>150.5</v>
      </c>
      <c r="G12" s="41">
        <f t="shared" si="2"/>
        <v>4214</v>
      </c>
      <c r="H12" s="73">
        <v>0.01</v>
      </c>
      <c r="I12" s="73">
        <v>0.02</v>
      </c>
      <c r="J12" s="74">
        <v>2.5000000000000001E-2</v>
      </c>
      <c r="K12" s="41">
        <f t="shared" si="3"/>
        <v>4214</v>
      </c>
      <c r="L12" s="41">
        <f t="shared" si="4"/>
        <v>42.14</v>
      </c>
      <c r="M12" s="41">
        <f t="shared" si="5"/>
        <v>4171.8599999999997</v>
      </c>
      <c r="N12" s="41">
        <f t="shared" si="6"/>
        <v>83.44</v>
      </c>
      <c r="O12" s="41">
        <f t="shared" si="7"/>
        <v>4088.42</v>
      </c>
      <c r="P12" s="41">
        <f t="shared" si="8"/>
        <v>102.21</v>
      </c>
      <c r="Q12" s="41">
        <f t="shared" si="9"/>
        <v>227.79</v>
      </c>
      <c r="R12" s="41">
        <f t="shared" si="10"/>
        <v>3986.21</v>
      </c>
      <c r="S12" s="73">
        <v>0.18</v>
      </c>
      <c r="T12" s="41">
        <f t="shared" si="11"/>
        <v>717.52</v>
      </c>
      <c r="U12" s="41">
        <f t="shared" si="12"/>
        <v>4703.7299999999996</v>
      </c>
      <c r="V12" s="41">
        <f t="shared" si="0"/>
        <v>390033.2916</v>
      </c>
      <c r="W12" s="41">
        <f t="shared" si="1"/>
        <v>12479.460000000001</v>
      </c>
    </row>
    <row r="13" spans="1:23" ht="15.75" thickBot="1">
      <c r="A13" s="41">
        <v>8</v>
      </c>
      <c r="B13" s="41" t="s">
        <v>69</v>
      </c>
      <c r="C13" s="41" t="s">
        <v>56</v>
      </c>
      <c r="D13" s="41" t="s">
        <v>56</v>
      </c>
      <c r="E13" s="41">
        <v>30</v>
      </c>
      <c r="F13" s="41">
        <v>65.319999999999993</v>
      </c>
      <c r="G13" s="41">
        <f t="shared" si="2"/>
        <v>1959.6</v>
      </c>
      <c r="H13" s="73">
        <v>0.01</v>
      </c>
      <c r="I13" s="73">
        <v>0.02</v>
      </c>
      <c r="J13" s="74">
        <v>2.5000000000000001E-2</v>
      </c>
      <c r="K13" s="41">
        <f t="shared" si="3"/>
        <v>1959.6</v>
      </c>
      <c r="L13" s="41">
        <f t="shared" si="4"/>
        <v>19.600000000000001</v>
      </c>
      <c r="M13" s="41">
        <f t="shared" si="5"/>
        <v>1940</v>
      </c>
      <c r="N13" s="41">
        <f t="shared" si="6"/>
        <v>38.799999999999997</v>
      </c>
      <c r="O13" s="41">
        <f t="shared" si="7"/>
        <v>1901.2</v>
      </c>
      <c r="P13" s="41">
        <f t="shared" si="8"/>
        <v>47.53</v>
      </c>
      <c r="Q13" s="41">
        <f t="shared" si="9"/>
        <v>105.93</v>
      </c>
      <c r="R13" s="41">
        <f t="shared" si="10"/>
        <v>1853.67</v>
      </c>
      <c r="S13" s="73">
        <v>0.18</v>
      </c>
      <c r="T13" s="41">
        <f t="shared" si="11"/>
        <v>333.66</v>
      </c>
      <c r="U13" s="41">
        <f t="shared" si="12"/>
        <v>2187.33</v>
      </c>
      <c r="V13" s="41">
        <f t="shared" si="0"/>
        <v>181373.40359999999</v>
      </c>
      <c r="W13" s="41">
        <f t="shared" si="1"/>
        <v>5416.3343999999997</v>
      </c>
    </row>
    <row r="14" spans="1:23" ht="15.75" thickBot="1">
      <c r="A14" s="41">
        <v>9</v>
      </c>
      <c r="B14" s="41" t="s">
        <v>71</v>
      </c>
      <c r="C14" s="41" t="s">
        <v>56</v>
      </c>
      <c r="D14" s="41" t="s">
        <v>56</v>
      </c>
      <c r="E14" s="41">
        <v>25</v>
      </c>
      <c r="F14" s="41">
        <v>74.89</v>
      </c>
      <c r="G14" s="41">
        <f t="shared" si="2"/>
        <v>1872.25</v>
      </c>
      <c r="H14" s="73">
        <v>0.01</v>
      </c>
      <c r="I14" s="73">
        <v>0.02</v>
      </c>
      <c r="J14" s="74">
        <v>2.5000000000000001E-2</v>
      </c>
      <c r="K14" s="41">
        <f t="shared" si="3"/>
        <v>1872.25</v>
      </c>
      <c r="L14" s="41">
        <f t="shared" si="4"/>
        <v>18.72</v>
      </c>
      <c r="M14" s="41">
        <f t="shared" si="5"/>
        <v>1853.53</v>
      </c>
      <c r="N14" s="41">
        <f t="shared" si="6"/>
        <v>37.07</v>
      </c>
      <c r="O14" s="41">
        <f t="shared" si="7"/>
        <v>1816.46</v>
      </c>
      <c r="P14" s="41">
        <f t="shared" si="8"/>
        <v>45.41</v>
      </c>
      <c r="Q14" s="41">
        <f t="shared" si="9"/>
        <v>101.2</v>
      </c>
      <c r="R14" s="41">
        <f t="shared" si="10"/>
        <v>1771.05</v>
      </c>
      <c r="S14" s="73">
        <v>0.18</v>
      </c>
      <c r="T14" s="41">
        <f t="shared" si="11"/>
        <v>318.79000000000002</v>
      </c>
      <c r="U14" s="41">
        <f t="shared" si="12"/>
        <v>2089.84</v>
      </c>
      <c r="V14" s="41">
        <f t="shared" si="0"/>
        <v>173289.53280000002</v>
      </c>
      <c r="W14" s="41">
        <f t="shared" si="1"/>
        <v>6209.8788000000004</v>
      </c>
    </row>
    <row r="15" spans="1:23" ht="15.75" thickBot="1">
      <c r="A15" s="41">
        <v>10</v>
      </c>
      <c r="B15" s="41" t="s">
        <v>73</v>
      </c>
      <c r="C15" s="41" t="s">
        <v>56</v>
      </c>
      <c r="D15" s="41" t="s">
        <v>56</v>
      </c>
      <c r="E15" s="41">
        <v>28</v>
      </c>
      <c r="F15" s="41">
        <v>89.56</v>
      </c>
      <c r="G15" s="41">
        <f t="shared" si="2"/>
        <v>2507.6800000000003</v>
      </c>
      <c r="H15" s="73">
        <v>0.01</v>
      </c>
      <c r="I15" s="73">
        <v>0.02</v>
      </c>
      <c r="J15" s="74">
        <v>2.5000000000000001E-2</v>
      </c>
      <c r="K15" s="41">
        <f t="shared" si="3"/>
        <v>2507.6800000000003</v>
      </c>
      <c r="L15" s="41">
        <f t="shared" si="4"/>
        <v>25.08</v>
      </c>
      <c r="M15" s="41">
        <f t="shared" si="5"/>
        <v>2482.6000000000004</v>
      </c>
      <c r="N15" s="41">
        <f t="shared" si="6"/>
        <v>49.65</v>
      </c>
      <c r="O15" s="41">
        <f t="shared" si="7"/>
        <v>2432.9499999999998</v>
      </c>
      <c r="P15" s="41">
        <f t="shared" si="8"/>
        <v>60.82</v>
      </c>
      <c r="Q15" s="41">
        <f t="shared" si="9"/>
        <v>135.55000000000001</v>
      </c>
      <c r="R15" s="41">
        <f t="shared" si="10"/>
        <v>2372.13</v>
      </c>
      <c r="S15" s="73">
        <v>0.18</v>
      </c>
      <c r="T15" s="41">
        <f t="shared" si="11"/>
        <v>426.98</v>
      </c>
      <c r="U15" s="41">
        <f t="shared" si="12"/>
        <v>2799.11</v>
      </c>
      <c r="V15" s="41">
        <f t="shared" si="0"/>
        <v>232102.20120000001</v>
      </c>
      <c r="W15" s="41">
        <f t="shared" si="1"/>
        <v>7426.3152</v>
      </c>
    </row>
    <row r="16" spans="1:23" ht="15.75" thickBot="1">
      <c r="A16" s="41">
        <v>11</v>
      </c>
      <c r="B16" s="41" t="s">
        <v>75</v>
      </c>
      <c r="C16" s="41" t="s">
        <v>56</v>
      </c>
      <c r="D16" s="41" t="s">
        <v>56</v>
      </c>
      <c r="E16" s="41">
        <v>37</v>
      </c>
      <c r="F16" s="41">
        <v>89.54</v>
      </c>
      <c r="G16" s="41">
        <f t="shared" si="2"/>
        <v>3312.98</v>
      </c>
      <c r="H16" s="73">
        <v>0.01</v>
      </c>
      <c r="I16" s="73">
        <v>0.02</v>
      </c>
      <c r="J16" s="74">
        <v>2.5000000000000001E-2</v>
      </c>
      <c r="K16" s="41">
        <f t="shared" si="3"/>
        <v>3312.98</v>
      </c>
      <c r="L16" s="41">
        <f t="shared" si="4"/>
        <v>33.130000000000003</v>
      </c>
      <c r="M16" s="41">
        <f t="shared" si="5"/>
        <v>3279.85</v>
      </c>
      <c r="N16" s="41">
        <f t="shared" si="6"/>
        <v>65.599999999999994</v>
      </c>
      <c r="O16" s="41">
        <f t="shared" si="7"/>
        <v>3214.25</v>
      </c>
      <c r="P16" s="41">
        <f t="shared" si="8"/>
        <v>80.36</v>
      </c>
      <c r="Q16" s="41">
        <f t="shared" si="9"/>
        <v>179.09</v>
      </c>
      <c r="R16" s="41">
        <f t="shared" si="10"/>
        <v>3133.89</v>
      </c>
      <c r="S16" s="73">
        <v>0.18</v>
      </c>
      <c r="T16" s="41">
        <f t="shared" si="11"/>
        <v>564.1</v>
      </c>
      <c r="U16" s="41">
        <f t="shared" si="12"/>
        <v>3697.99</v>
      </c>
      <c r="V16" s="41">
        <f t="shared" si="0"/>
        <v>306637.3308</v>
      </c>
      <c r="W16" s="41">
        <f t="shared" si="1"/>
        <v>7424.6568000000007</v>
      </c>
    </row>
    <row r="17" spans="1:23" ht="15.75" thickBot="1">
      <c r="A17" s="41">
        <v>12</v>
      </c>
      <c r="B17" s="41" t="s">
        <v>77</v>
      </c>
      <c r="C17" s="41" t="s">
        <v>56</v>
      </c>
      <c r="D17" s="41" t="s">
        <v>56</v>
      </c>
      <c r="E17" s="41">
        <v>39</v>
      </c>
      <c r="F17" s="41">
        <v>98.25</v>
      </c>
      <c r="G17" s="41">
        <f t="shared" si="2"/>
        <v>3831.75</v>
      </c>
      <c r="H17" s="73">
        <v>0.01</v>
      </c>
      <c r="I17" s="73">
        <v>0.02</v>
      </c>
      <c r="J17" s="74">
        <v>2.5000000000000001E-2</v>
      </c>
      <c r="K17" s="41">
        <f t="shared" si="3"/>
        <v>3831.75</v>
      </c>
      <c r="L17" s="41">
        <f t="shared" si="4"/>
        <v>38.32</v>
      </c>
      <c r="M17" s="41">
        <f t="shared" si="5"/>
        <v>3793.43</v>
      </c>
      <c r="N17" s="41">
        <f t="shared" si="6"/>
        <v>75.87</v>
      </c>
      <c r="O17" s="41">
        <f t="shared" si="7"/>
        <v>3717.56</v>
      </c>
      <c r="P17" s="41">
        <f t="shared" si="8"/>
        <v>92.94</v>
      </c>
      <c r="Q17" s="41">
        <f t="shared" si="9"/>
        <v>207.13</v>
      </c>
      <c r="R17" s="41">
        <f t="shared" si="10"/>
        <v>3624.62</v>
      </c>
      <c r="S17" s="73">
        <v>0.18</v>
      </c>
      <c r="T17" s="41">
        <f t="shared" si="11"/>
        <v>652.42999999999995</v>
      </c>
      <c r="U17" s="41">
        <f t="shared" si="12"/>
        <v>4277.05</v>
      </c>
      <c r="V17" s="41">
        <f t="shared" si="0"/>
        <v>354652.98600000003</v>
      </c>
      <c r="W17" s="41">
        <f t="shared" si="1"/>
        <v>8146.89</v>
      </c>
    </row>
    <row r="18" spans="1:23" ht="15.75" thickBot="1">
      <c r="A18" s="41">
        <v>13</v>
      </c>
      <c r="B18" s="41" t="s">
        <v>79</v>
      </c>
      <c r="C18" s="41" t="s">
        <v>56</v>
      </c>
      <c r="D18" s="41" t="s">
        <v>56</v>
      </c>
      <c r="E18" s="41">
        <v>70</v>
      </c>
      <c r="F18" s="41">
        <v>102.25</v>
      </c>
      <c r="G18" s="41">
        <f t="shared" si="2"/>
        <v>7157.5</v>
      </c>
      <c r="H18" s="73">
        <v>0.01</v>
      </c>
      <c r="I18" s="73">
        <v>0.02</v>
      </c>
      <c r="J18" s="74">
        <v>2.5000000000000001E-2</v>
      </c>
      <c r="K18" s="41">
        <f t="shared" si="3"/>
        <v>7157.5</v>
      </c>
      <c r="L18" s="41">
        <f t="shared" si="4"/>
        <v>71.58</v>
      </c>
      <c r="M18" s="41">
        <f t="shared" si="5"/>
        <v>7085.92</v>
      </c>
      <c r="N18" s="41">
        <f t="shared" si="6"/>
        <v>141.72</v>
      </c>
      <c r="O18" s="41">
        <f t="shared" si="7"/>
        <v>6944.2</v>
      </c>
      <c r="P18" s="41">
        <f t="shared" si="8"/>
        <v>173.61</v>
      </c>
      <c r="Q18" s="41">
        <f t="shared" si="9"/>
        <v>386.91</v>
      </c>
      <c r="R18" s="41">
        <f t="shared" si="10"/>
        <v>6770.59</v>
      </c>
      <c r="S18" s="73">
        <v>0.18</v>
      </c>
      <c r="T18" s="41">
        <f t="shared" si="11"/>
        <v>1218.71</v>
      </c>
      <c r="U18" s="41">
        <f t="shared" si="12"/>
        <v>7989.3</v>
      </c>
      <c r="V18" s="41">
        <f t="shared" si="0"/>
        <v>662472.75600000005</v>
      </c>
      <c r="W18" s="41">
        <f t="shared" si="1"/>
        <v>8478.57</v>
      </c>
    </row>
    <row r="19" spans="1:23" ht="15.75" thickBot="1">
      <c r="A19" s="41">
        <v>14</v>
      </c>
      <c r="B19" s="41" t="s">
        <v>81</v>
      </c>
      <c r="C19" s="41" t="s">
        <v>56</v>
      </c>
      <c r="D19" s="41" t="s">
        <v>56</v>
      </c>
      <c r="E19" s="41">
        <v>100</v>
      </c>
      <c r="F19" s="41">
        <v>103.5</v>
      </c>
      <c r="G19" s="41">
        <f t="shared" si="2"/>
        <v>10350</v>
      </c>
      <c r="H19" s="73">
        <v>0.01</v>
      </c>
      <c r="I19" s="73">
        <v>0.02</v>
      </c>
      <c r="J19" s="74">
        <v>2.5000000000000001E-2</v>
      </c>
      <c r="K19" s="41">
        <f t="shared" si="3"/>
        <v>10350</v>
      </c>
      <c r="L19" s="41">
        <f t="shared" si="4"/>
        <v>103.5</v>
      </c>
      <c r="M19" s="41">
        <f t="shared" si="5"/>
        <v>10246.5</v>
      </c>
      <c r="N19" s="41">
        <f t="shared" si="6"/>
        <v>204.93</v>
      </c>
      <c r="O19" s="41">
        <f t="shared" si="7"/>
        <v>10041.57</v>
      </c>
      <c r="P19" s="41">
        <f t="shared" si="8"/>
        <v>251.04</v>
      </c>
      <c r="Q19" s="41">
        <f t="shared" si="9"/>
        <v>559.47</v>
      </c>
      <c r="R19" s="41">
        <f t="shared" si="10"/>
        <v>9790.5300000000007</v>
      </c>
      <c r="S19" s="73">
        <v>0.18</v>
      </c>
      <c r="T19" s="41">
        <f t="shared" si="11"/>
        <v>1762.3</v>
      </c>
      <c r="U19" s="41">
        <f t="shared" si="12"/>
        <v>11552.83</v>
      </c>
      <c r="V19" s="41">
        <f t="shared" si="0"/>
        <v>957960.66359999997</v>
      </c>
      <c r="W19" s="41">
        <f t="shared" si="1"/>
        <v>8582.2199999999993</v>
      </c>
    </row>
    <row r="20" spans="1:23" ht="15.75" thickBot="1">
      <c r="A20" s="41">
        <v>15</v>
      </c>
      <c r="B20" s="41" t="s">
        <v>83</v>
      </c>
      <c r="C20" s="41" t="s">
        <v>56</v>
      </c>
      <c r="D20" s="41" t="s">
        <v>56</v>
      </c>
      <c r="E20" s="41">
        <v>85</v>
      </c>
      <c r="F20" s="41">
        <v>65.48</v>
      </c>
      <c r="G20" s="41">
        <f t="shared" si="2"/>
        <v>5565.8</v>
      </c>
      <c r="H20" s="73">
        <v>0.01</v>
      </c>
      <c r="I20" s="73">
        <v>0.02</v>
      </c>
      <c r="J20" s="74">
        <v>2.5000000000000001E-2</v>
      </c>
      <c r="K20" s="41">
        <f t="shared" si="3"/>
        <v>5565.8</v>
      </c>
      <c r="L20" s="41">
        <f t="shared" si="4"/>
        <v>55.66</v>
      </c>
      <c r="M20" s="41">
        <f t="shared" si="5"/>
        <v>5510.14</v>
      </c>
      <c r="N20" s="41">
        <f t="shared" si="6"/>
        <v>110.2</v>
      </c>
      <c r="O20" s="41">
        <f t="shared" si="7"/>
        <v>5399.94</v>
      </c>
      <c r="P20" s="41">
        <f t="shared" si="8"/>
        <v>135</v>
      </c>
      <c r="Q20" s="41">
        <f t="shared" si="9"/>
        <v>300.86</v>
      </c>
      <c r="R20" s="41">
        <f t="shared" si="10"/>
        <v>5264.94</v>
      </c>
      <c r="S20" s="73">
        <v>0.18</v>
      </c>
      <c r="T20" s="41">
        <f t="shared" si="11"/>
        <v>947.69</v>
      </c>
      <c r="U20" s="41">
        <f t="shared" si="12"/>
        <v>6212.6299999999992</v>
      </c>
      <c r="V20" s="41">
        <f t="shared" si="0"/>
        <v>515151.27959999995</v>
      </c>
      <c r="W20" s="41">
        <f t="shared" si="1"/>
        <v>5429.6016000000009</v>
      </c>
    </row>
    <row r="21" spans="1:23" ht="15.75" thickBot="1">
      <c r="A21" s="13"/>
      <c r="B21" s="121" t="s">
        <v>85</v>
      </c>
      <c r="C21" s="121"/>
      <c r="D21" s="121"/>
      <c r="E21" s="121"/>
      <c r="F21" s="121"/>
      <c r="G21" s="45">
        <f>SUM(G6:G20)</f>
        <v>71856.759999999995</v>
      </c>
      <c r="H21" s="41"/>
      <c r="I21" s="41"/>
      <c r="J21" s="41"/>
      <c r="K21" s="41"/>
      <c r="L21" s="41"/>
      <c r="M21" s="41"/>
      <c r="N21" s="41"/>
      <c r="O21" s="41"/>
      <c r="P21" s="41"/>
      <c r="Q21" s="45">
        <f>SUM(Q6:Q20)</f>
        <v>3884.27</v>
      </c>
      <c r="R21" s="45">
        <f>SUM(R6:R20)</f>
        <v>67972.490000000005</v>
      </c>
      <c r="S21" s="45"/>
      <c r="T21" s="45">
        <f>SUM(T6:T20)</f>
        <v>12235.060000000003</v>
      </c>
      <c r="U21" s="47">
        <f t="shared" ref="U21:V21" si="13">SUM(U6:U20)</f>
        <v>80207.55</v>
      </c>
      <c r="V21" s="47">
        <f t="shared" si="13"/>
        <v>6650810.0460000001</v>
      </c>
      <c r="W21" s="47"/>
    </row>
    <row r="22" spans="1:23" ht="15.75" thickBot="1">
      <c r="A22" s="13"/>
      <c r="B22" s="13"/>
      <c r="C22" s="13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</row>
    <row r="23" spans="1:23" ht="15.75" thickBot="1">
      <c r="A23" s="13"/>
      <c r="B23" s="13"/>
      <c r="C23" s="13"/>
      <c r="D23" s="13"/>
      <c r="E23" s="13"/>
      <c r="F23" s="127" t="s">
        <v>199</v>
      </c>
      <c r="G23" s="127"/>
      <c r="H23" s="127"/>
      <c r="I23" s="127"/>
      <c r="J23" s="13"/>
      <c r="K23" s="127" t="s">
        <v>200</v>
      </c>
      <c r="L23" s="127"/>
      <c r="M23" s="127"/>
      <c r="N23" s="127"/>
      <c r="O23" s="13"/>
      <c r="P23" s="13"/>
      <c r="Q23" s="13"/>
      <c r="R23" s="13"/>
      <c r="S23" s="13"/>
      <c r="T23" s="13"/>
      <c r="U23" s="13"/>
      <c r="V23" s="13"/>
      <c r="W23" s="13"/>
    </row>
    <row r="24" spans="1:23" ht="15.75" thickBot="1">
      <c r="A24" s="13"/>
      <c r="B24" s="13"/>
      <c r="C24" s="13"/>
      <c r="D24" s="13"/>
      <c r="E24" s="13"/>
      <c r="F24" s="116" t="s">
        <v>187</v>
      </c>
      <c r="G24" s="117"/>
      <c r="H24" s="125">
        <f>G21</f>
        <v>71856.759999999995</v>
      </c>
      <c r="I24" s="125"/>
      <c r="J24" s="53"/>
      <c r="K24" s="116" t="s">
        <v>187</v>
      </c>
      <c r="L24" s="117"/>
      <c r="M24" s="125">
        <f>H24*$T$4</f>
        <v>5958362.5391999995</v>
      </c>
      <c r="N24" s="125"/>
      <c r="O24" s="13"/>
      <c r="P24" s="13"/>
      <c r="Q24" s="13"/>
      <c r="R24" s="13"/>
      <c r="S24" s="13"/>
      <c r="T24" s="13"/>
      <c r="U24" s="13"/>
      <c r="V24" s="13"/>
      <c r="W24" s="13"/>
    </row>
    <row r="25" spans="1:23" ht="15.75" thickBot="1">
      <c r="A25" s="13"/>
      <c r="B25" s="13"/>
      <c r="C25" s="13"/>
      <c r="D25" s="13"/>
      <c r="E25" s="13"/>
      <c r="F25" s="116" t="s">
        <v>189</v>
      </c>
      <c r="G25" s="117"/>
      <c r="H25" s="125">
        <f>Q21</f>
        <v>3884.27</v>
      </c>
      <c r="I25" s="125"/>
      <c r="J25" s="13"/>
      <c r="K25" s="116" t="s">
        <v>189</v>
      </c>
      <c r="L25" s="117"/>
      <c r="M25" s="125">
        <f t="shared" ref="M25:M28" si="14">H25*$T$4</f>
        <v>322083.66840000002</v>
      </c>
      <c r="N25" s="125"/>
      <c r="O25" s="13"/>
      <c r="P25" s="13"/>
      <c r="Q25" s="13"/>
      <c r="R25" s="13"/>
      <c r="S25" s="13"/>
      <c r="T25" s="13"/>
      <c r="U25" s="13"/>
      <c r="V25" s="27"/>
      <c r="W25" s="13"/>
    </row>
    <row r="26" spans="1:23" ht="15.75" thickBot="1">
      <c r="A26" s="13"/>
      <c r="B26" s="13"/>
      <c r="C26" s="13"/>
      <c r="D26" s="13"/>
      <c r="E26" s="13"/>
      <c r="F26" s="116" t="s">
        <v>190</v>
      </c>
      <c r="G26" s="117"/>
      <c r="H26" s="125">
        <f>R21</f>
        <v>67972.490000000005</v>
      </c>
      <c r="I26" s="125"/>
      <c r="J26" s="13"/>
      <c r="K26" s="116" t="s">
        <v>190</v>
      </c>
      <c r="L26" s="117"/>
      <c r="M26" s="125">
        <f t="shared" si="14"/>
        <v>5636278.8708000006</v>
      </c>
      <c r="N26" s="125"/>
      <c r="O26" s="13"/>
      <c r="P26" s="13"/>
      <c r="Q26" s="13"/>
      <c r="R26" s="13"/>
      <c r="S26" s="13"/>
      <c r="T26" s="13"/>
      <c r="U26" s="13"/>
      <c r="V26" s="27"/>
      <c r="W26" s="13"/>
    </row>
    <row r="27" spans="1:23" ht="15.75" thickBot="1">
      <c r="A27" s="13"/>
      <c r="B27" s="13"/>
      <c r="C27" s="13"/>
      <c r="D27" s="13"/>
      <c r="E27" s="13"/>
      <c r="F27" s="116" t="s">
        <v>191</v>
      </c>
      <c r="G27" s="117"/>
      <c r="H27" s="125">
        <f>T21</f>
        <v>12235.060000000003</v>
      </c>
      <c r="I27" s="125"/>
      <c r="J27" s="13"/>
      <c r="K27" s="116" t="s">
        <v>191</v>
      </c>
      <c r="L27" s="117"/>
      <c r="M27" s="125">
        <f t="shared" si="14"/>
        <v>1014531.1752000003</v>
      </c>
      <c r="N27" s="125"/>
      <c r="O27" s="13"/>
      <c r="P27" s="13"/>
      <c r="Q27" s="13"/>
      <c r="R27" s="13"/>
      <c r="S27" s="13"/>
      <c r="T27" s="13"/>
      <c r="U27" s="13"/>
      <c r="V27" s="27"/>
      <c r="W27" s="13"/>
    </row>
    <row r="28" spans="1:23" ht="15.75" thickBot="1">
      <c r="A28" s="13"/>
      <c r="B28" s="13"/>
      <c r="C28" s="13"/>
      <c r="D28" s="13"/>
      <c r="E28" s="13"/>
      <c r="F28" s="116" t="s">
        <v>192</v>
      </c>
      <c r="G28" s="117"/>
      <c r="H28" s="126">
        <f>H26+H27</f>
        <v>80207.55</v>
      </c>
      <c r="I28" s="126"/>
      <c r="J28" s="13"/>
      <c r="K28" s="116" t="s">
        <v>192</v>
      </c>
      <c r="L28" s="117"/>
      <c r="M28" s="126">
        <f t="shared" si="14"/>
        <v>6650810.0460000001</v>
      </c>
      <c r="N28" s="126"/>
      <c r="O28" s="13"/>
      <c r="P28" s="13"/>
      <c r="Q28" s="13"/>
      <c r="R28" s="13"/>
      <c r="S28" s="13"/>
      <c r="T28" s="13"/>
      <c r="U28" s="13"/>
      <c r="V28" s="13"/>
      <c r="W28" s="13"/>
    </row>
  </sheetData>
  <mergeCells count="24">
    <mergeCell ref="A4:P4"/>
    <mergeCell ref="B21:F21"/>
    <mergeCell ref="F23:I23"/>
    <mergeCell ref="K23:N23"/>
    <mergeCell ref="F24:G24"/>
    <mergeCell ref="H24:I24"/>
    <mergeCell ref="K24:L24"/>
    <mergeCell ref="M24:N24"/>
    <mergeCell ref="F25:G25"/>
    <mergeCell ref="H25:I25"/>
    <mergeCell ref="K25:L25"/>
    <mergeCell ref="M25:N25"/>
    <mergeCell ref="F26:G26"/>
    <mergeCell ref="H26:I26"/>
    <mergeCell ref="K26:L26"/>
    <mergeCell ref="M26:N26"/>
    <mergeCell ref="F27:G27"/>
    <mergeCell ref="H27:I27"/>
    <mergeCell ref="K27:L27"/>
    <mergeCell ref="M27:N27"/>
    <mergeCell ref="F28:G28"/>
    <mergeCell ref="H28:I28"/>
    <mergeCell ref="K28:L28"/>
    <mergeCell ref="M28:N28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W25"/>
  <sheetViews>
    <sheetView workbookViewId="0">
      <selection activeCell="R11" sqref="R11"/>
    </sheetView>
  </sheetViews>
  <sheetFormatPr defaultRowHeight="15"/>
  <sheetData>
    <row r="1" spans="1:23" ht="18.75" thickBot="1">
      <c r="A1" s="120" t="s">
        <v>201</v>
      </c>
      <c r="B1" s="120"/>
      <c r="C1" s="120"/>
      <c r="D1" s="120"/>
      <c r="E1" s="120"/>
      <c r="F1" s="120"/>
      <c r="G1" s="120"/>
      <c r="H1" s="120"/>
      <c r="I1" s="120"/>
      <c r="J1" s="120"/>
      <c r="K1" s="120"/>
      <c r="L1" s="120"/>
      <c r="M1" s="120"/>
      <c r="N1" s="120"/>
      <c r="O1" s="120"/>
      <c r="P1" s="120"/>
      <c r="Q1" s="69" t="s">
        <v>194</v>
      </c>
      <c r="R1" s="69" t="s">
        <v>195</v>
      </c>
      <c r="S1" s="70"/>
      <c r="T1" s="69">
        <v>82.92</v>
      </c>
      <c r="U1" s="71"/>
      <c r="V1" s="72"/>
      <c r="W1" s="13"/>
    </row>
    <row r="2" spans="1:23" ht="57.75" thickBot="1">
      <c r="A2" s="62" t="s">
        <v>148</v>
      </c>
      <c r="B2" s="62" t="s">
        <v>47</v>
      </c>
      <c r="C2" s="62" t="s">
        <v>49</v>
      </c>
      <c r="D2" s="62" t="s">
        <v>50</v>
      </c>
      <c r="E2" s="62" t="s">
        <v>51</v>
      </c>
      <c r="F2" s="62" t="s">
        <v>52</v>
      </c>
      <c r="G2" s="62" t="s">
        <v>53</v>
      </c>
      <c r="H2" s="63" t="s">
        <v>95</v>
      </c>
      <c r="I2" s="63" t="s">
        <v>97</v>
      </c>
      <c r="J2" s="63" t="s">
        <v>96</v>
      </c>
      <c r="K2" s="64" t="s">
        <v>98</v>
      </c>
      <c r="L2" s="64" t="s">
        <v>99</v>
      </c>
      <c r="M2" s="64" t="s">
        <v>102</v>
      </c>
      <c r="N2" s="64" t="s">
        <v>103</v>
      </c>
      <c r="O2" s="64" t="s">
        <v>150</v>
      </c>
      <c r="P2" s="64" t="s">
        <v>101</v>
      </c>
      <c r="Q2" s="63" t="s">
        <v>196</v>
      </c>
      <c r="R2" s="62" t="s">
        <v>197</v>
      </c>
      <c r="S2" s="65" t="s">
        <v>152</v>
      </c>
      <c r="T2" s="65" t="s">
        <v>111</v>
      </c>
      <c r="U2" s="75" t="s">
        <v>202</v>
      </c>
      <c r="V2" s="75" t="s">
        <v>198</v>
      </c>
      <c r="W2" s="67" t="s">
        <v>153</v>
      </c>
    </row>
    <row r="3" spans="1:23" ht="15.75" thickBot="1">
      <c r="A3" s="41">
        <v>1</v>
      </c>
      <c r="B3" s="41" t="s">
        <v>54</v>
      </c>
      <c r="C3" s="41" t="s">
        <v>56</v>
      </c>
      <c r="D3" s="41" t="s">
        <v>156</v>
      </c>
      <c r="E3" s="41">
        <v>25</v>
      </c>
      <c r="F3" s="41">
        <v>257.63</v>
      </c>
      <c r="G3" s="41">
        <f>E3*F3</f>
        <v>6440.75</v>
      </c>
      <c r="H3" s="73">
        <v>0.01</v>
      </c>
      <c r="I3" s="73">
        <v>0.02</v>
      </c>
      <c r="J3" s="44">
        <v>2.5000000000000001E-2</v>
      </c>
      <c r="K3" s="41">
        <f>G3</f>
        <v>6440.75</v>
      </c>
      <c r="L3" s="41">
        <f>ROUND(K3*H3,2)</f>
        <v>64.41</v>
      </c>
      <c r="M3" s="41">
        <f>G3-L3</f>
        <v>6376.34</v>
      </c>
      <c r="N3" s="41">
        <f>ROUND(M3*I3,2)</f>
        <v>127.53</v>
      </c>
      <c r="O3" s="41">
        <f>ROUND(M3-N3,2)</f>
        <v>6248.81</v>
      </c>
      <c r="P3" s="41">
        <f>ROUND(O3*J3,2)</f>
        <v>156.22</v>
      </c>
      <c r="Q3" s="41">
        <f>ROUND((L3+N3+P3),2)</f>
        <v>348.16</v>
      </c>
      <c r="R3" s="41">
        <f>ROUND((G3-Q3),2)</f>
        <v>6092.59</v>
      </c>
      <c r="S3" s="73">
        <v>0.18</v>
      </c>
      <c r="T3" s="41">
        <f>ROUND((R3*18%),2)</f>
        <v>1096.67</v>
      </c>
      <c r="U3" s="41">
        <f>R3+T3</f>
        <v>7189.26</v>
      </c>
      <c r="V3" s="41">
        <f>U3*$T$1</f>
        <v>596133.43920000002</v>
      </c>
      <c r="W3" s="41">
        <f t="shared" ref="W3:W8" si="0">ROUND(F3*$S$21*$T$1,2)</f>
        <v>42725.36</v>
      </c>
    </row>
    <row r="4" spans="1:23" ht="15.75" thickBot="1">
      <c r="A4" s="41">
        <v>2</v>
      </c>
      <c r="B4" s="41" t="s">
        <v>57</v>
      </c>
      <c r="C4" s="41" t="s">
        <v>56</v>
      </c>
      <c r="D4" s="41" t="s">
        <v>156</v>
      </c>
      <c r="E4" s="41">
        <v>35</v>
      </c>
      <c r="F4" s="41">
        <v>125.45</v>
      </c>
      <c r="G4" s="41">
        <f>E4*F4</f>
        <v>4390.75</v>
      </c>
      <c r="H4" s="73">
        <v>0.01</v>
      </c>
      <c r="I4" s="73">
        <v>0.02</v>
      </c>
      <c r="J4" s="44">
        <v>2.5000000000000001E-2</v>
      </c>
      <c r="K4" s="41">
        <f>G4</f>
        <v>4390.75</v>
      </c>
      <c r="L4" s="41">
        <f>ROUND(K4*H4,2)</f>
        <v>43.91</v>
      </c>
      <c r="M4" s="41">
        <f>G4-L4</f>
        <v>4346.84</v>
      </c>
      <c r="N4" s="41">
        <f>ROUND(M4*I4,2)</f>
        <v>86.94</v>
      </c>
      <c r="O4" s="41">
        <f>ROUND(M4-N4,2)</f>
        <v>4259.8999999999996</v>
      </c>
      <c r="P4" s="41">
        <f>ROUND(O4*J4,2)</f>
        <v>106.5</v>
      </c>
      <c r="Q4" s="41">
        <f>ROUND((L4+N4+P4),2)</f>
        <v>237.35</v>
      </c>
      <c r="R4" s="41">
        <f>ROUND((G4-Q4),2)</f>
        <v>4153.3999999999996</v>
      </c>
      <c r="S4" s="73">
        <v>0.18</v>
      </c>
      <c r="T4" s="41">
        <f>ROUND((R4*18%),2)</f>
        <v>747.61</v>
      </c>
      <c r="U4" s="41">
        <f>R4+T4</f>
        <v>4901.0099999999993</v>
      </c>
      <c r="V4" s="41">
        <f t="shared" ref="V4:V17" si="1">U4*$T$1</f>
        <v>406391.74919999996</v>
      </c>
      <c r="W4" s="41">
        <f t="shared" si="0"/>
        <v>20804.63</v>
      </c>
    </row>
    <row r="5" spans="1:23" ht="15.75" thickBot="1">
      <c r="A5" s="41">
        <v>3</v>
      </c>
      <c r="B5" s="41" t="s">
        <v>59</v>
      </c>
      <c r="C5" s="41" t="s">
        <v>56</v>
      </c>
      <c r="D5" s="41" t="s">
        <v>156</v>
      </c>
      <c r="E5" s="41">
        <v>45</v>
      </c>
      <c r="F5" s="41">
        <v>125.36</v>
      </c>
      <c r="G5" s="41">
        <f>E5*F5</f>
        <v>5641.2</v>
      </c>
      <c r="H5" s="73">
        <v>0.01</v>
      </c>
      <c r="I5" s="73">
        <v>0.02</v>
      </c>
      <c r="J5" s="44">
        <v>2.5000000000000001E-2</v>
      </c>
      <c r="K5" s="41">
        <f>G5</f>
        <v>5641.2</v>
      </c>
      <c r="L5" s="41">
        <f>ROUND(K5*H5,2)</f>
        <v>56.41</v>
      </c>
      <c r="M5" s="41">
        <f>G5-L5</f>
        <v>5584.79</v>
      </c>
      <c r="N5" s="41">
        <f>ROUND(M5*I5,2)</f>
        <v>111.7</v>
      </c>
      <c r="O5" s="41">
        <f>ROUND(M5-N5,2)</f>
        <v>5473.09</v>
      </c>
      <c r="P5" s="41">
        <f>ROUND(O5*J5,2)</f>
        <v>136.83000000000001</v>
      </c>
      <c r="Q5" s="41">
        <f>ROUND((L5+N5+P5),2)</f>
        <v>304.94</v>
      </c>
      <c r="R5" s="41">
        <f>ROUND((G5-Q5),2)</f>
        <v>5336.26</v>
      </c>
      <c r="S5" s="73">
        <v>0.18</v>
      </c>
      <c r="T5" s="41">
        <f>ROUND((R5*18%),2)</f>
        <v>960.53</v>
      </c>
      <c r="U5" s="41">
        <f>R5+T5</f>
        <v>6296.79</v>
      </c>
      <c r="V5" s="41">
        <f t="shared" si="1"/>
        <v>522129.82679999998</v>
      </c>
      <c r="W5" s="41">
        <f t="shared" si="0"/>
        <v>20789.7</v>
      </c>
    </row>
    <row r="6" spans="1:23" ht="15.75" thickBot="1">
      <c r="A6" s="41">
        <v>4</v>
      </c>
      <c r="B6" s="41" t="s">
        <v>61</v>
      </c>
      <c r="C6" s="41" t="s">
        <v>56</v>
      </c>
      <c r="D6" s="41" t="s">
        <v>156</v>
      </c>
      <c r="E6" s="41">
        <v>55</v>
      </c>
      <c r="F6" s="41">
        <v>45.25</v>
      </c>
      <c r="G6" s="41">
        <f t="shared" ref="G6:G17" si="2">E6*F6</f>
        <v>2488.75</v>
      </c>
      <c r="H6" s="73">
        <v>0.01</v>
      </c>
      <c r="I6" s="73">
        <v>0.02</v>
      </c>
      <c r="J6" s="44">
        <v>2.5000000000000001E-2</v>
      </c>
      <c r="K6" s="41">
        <f t="shared" ref="K6:K17" si="3">G6</f>
        <v>2488.75</v>
      </c>
      <c r="L6" s="41">
        <f t="shared" ref="L6:L17" si="4">ROUND(K6*H6,2)</f>
        <v>24.89</v>
      </c>
      <c r="M6" s="41">
        <f t="shared" ref="M6:M17" si="5">G6-L6</f>
        <v>2463.86</v>
      </c>
      <c r="N6" s="41">
        <f t="shared" ref="N6:N17" si="6">ROUND(M6*I6,2)</f>
        <v>49.28</v>
      </c>
      <c r="O6" s="41">
        <f t="shared" ref="O6:O17" si="7">ROUND(M6-N6,2)</f>
        <v>2414.58</v>
      </c>
      <c r="P6" s="41">
        <f t="shared" ref="P6:P17" si="8">ROUND(O6*J6,2)</f>
        <v>60.36</v>
      </c>
      <c r="Q6" s="41">
        <f t="shared" ref="Q6:Q17" si="9">ROUND((L6+N6+P6),2)</f>
        <v>134.53</v>
      </c>
      <c r="R6" s="41">
        <f t="shared" ref="R6:R17" si="10">ROUND((G6-Q6),2)</f>
        <v>2354.2199999999998</v>
      </c>
      <c r="S6" s="73">
        <v>0.18</v>
      </c>
      <c r="T6" s="41">
        <f t="shared" ref="T6:T17" si="11">ROUND((R6*18%),2)</f>
        <v>423.76</v>
      </c>
      <c r="U6" s="41">
        <f t="shared" ref="U6:U17" si="12">R6+T6</f>
        <v>2777.9799999999996</v>
      </c>
      <c r="V6" s="41">
        <f t="shared" si="1"/>
        <v>230350.10159999997</v>
      </c>
      <c r="W6" s="41">
        <f t="shared" si="0"/>
        <v>7504.26</v>
      </c>
    </row>
    <row r="7" spans="1:23" ht="15.75" thickBot="1">
      <c r="A7" s="41">
        <v>5</v>
      </c>
      <c r="B7" s="41" t="s">
        <v>63</v>
      </c>
      <c r="C7" s="41" t="s">
        <v>56</v>
      </c>
      <c r="D7" s="41" t="s">
        <v>156</v>
      </c>
      <c r="E7" s="41">
        <v>60</v>
      </c>
      <c r="F7" s="41">
        <v>45.5</v>
      </c>
      <c r="G7" s="41">
        <f t="shared" si="2"/>
        <v>2730</v>
      </c>
      <c r="H7" s="73">
        <v>0.01</v>
      </c>
      <c r="I7" s="73">
        <v>0.02</v>
      </c>
      <c r="J7" s="44">
        <v>2.5000000000000001E-2</v>
      </c>
      <c r="K7" s="41">
        <f t="shared" si="3"/>
        <v>2730</v>
      </c>
      <c r="L7" s="41">
        <f t="shared" si="4"/>
        <v>27.3</v>
      </c>
      <c r="M7" s="41">
        <f t="shared" si="5"/>
        <v>2702.7</v>
      </c>
      <c r="N7" s="41">
        <f t="shared" si="6"/>
        <v>54.05</v>
      </c>
      <c r="O7" s="41">
        <f t="shared" si="7"/>
        <v>2648.65</v>
      </c>
      <c r="P7" s="41">
        <f t="shared" si="8"/>
        <v>66.22</v>
      </c>
      <c r="Q7" s="41">
        <f t="shared" si="9"/>
        <v>147.57</v>
      </c>
      <c r="R7" s="41">
        <f t="shared" si="10"/>
        <v>2582.4299999999998</v>
      </c>
      <c r="S7" s="73">
        <v>0.18</v>
      </c>
      <c r="T7" s="41">
        <f t="shared" si="11"/>
        <v>464.84</v>
      </c>
      <c r="U7" s="41">
        <f t="shared" si="12"/>
        <v>3047.27</v>
      </c>
      <c r="V7" s="41">
        <f t="shared" si="1"/>
        <v>252679.62840000002</v>
      </c>
      <c r="W7" s="41">
        <f t="shared" si="0"/>
        <v>7545.72</v>
      </c>
    </row>
    <row r="8" spans="1:23" ht="15.75" thickBot="1">
      <c r="A8" s="41">
        <v>6</v>
      </c>
      <c r="B8" s="41" t="s">
        <v>65</v>
      </c>
      <c r="C8" s="41" t="s">
        <v>56</v>
      </c>
      <c r="D8" s="41" t="s">
        <v>156</v>
      </c>
      <c r="E8" s="41">
        <v>75</v>
      </c>
      <c r="F8" s="41">
        <v>125.25</v>
      </c>
      <c r="G8" s="41">
        <f t="shared" si="2"/>
        <v>9393.75</v>
      </c>
      <c r="H8" s="73">
        <v>0.01</v>
      </c>
      <c r="I8" s="73">
        <v>0.02</v>
      </c>
      <c r="J8" s="44">
        <v>2.5000000000000001E-2</v>
      </c>
      <c r="K8" s="41">
        <f t="shared" si="3"/>
        <v>9393.75</v>
      </c>
      <c r="L8" s="41">
        <f t="shared" si="4"/>
        <v>93.94</v>
      </c>
      <c r="M8" s="41">
        <f t="shared" si="5"/>
        <v>9299.81</v>
      </c>
      <c r="N8" s="41">
        <f t="shared" si="6"/>
        <v>186</v>
      </c>
      <c r="O8" s="41">
        <f t="shared" si="7"/>
        <v>9113.81</v>
      </c>
      <c r="P8" s="41">
        <f t="shared" si="8"/>
        <v>227.85</v>
      </c>
      <c r="Q8" s="41">
        <f t="shared" si="9"/>
        <v>507.79</v>
      </c>
      <c r="R8" s="41">
        <f t="shared" si="10"/>
        <v>8885.9599999999991</v>
      </c>
      <c r="S8" s="73">
        <v>0.18</v>
      </c>
      <c r="T8" s="41">
        <f t="shared" si="11"/>
        <v>1599.47</v>
      </c>
      <c r="U8" s="41">
        <f t="shared" si="12"/>
        <v>10485.429999999998</v>
      </c>
      <c r="V8" s="41">
        <f t="shared" si="1"/>
        <v>869451.85559999989</v>
      </c>
      <c r="W8" s="41">
        <f t="shared" si="0"/>
        <v>20771.46</v>
      </c>
    </row>
    <row r="9" spans="1:23" ht="15.75" thickBot="1">
      <c r="A9" s="41">
        <v>7</v>
      </c>
      <c r="B9" s="41" t="s">
        <v>67</v>
      </c>
      <c r="C9" s="41" t="s">
        <v>56</v>
      </c>
      <c r="D9" s="41" t="s">
        <v>169</v>
      </c>
      <c r="E9" s="41">
        <v>28</v>
      </c>
      <c r="F9" s="41">
        <v>150.5</v>
      </c>
      <c r="G9" s="41">
        <f t="shared" si="2"/>
        <v>4214</v>
      </c>
      <c r="H9" s="73">
        <v>0.01</v>
      </c>
      <c r="I9" s="73">
        <v>0.02</v>
      </c>
      <c r="J9" s="44">
        <v>2.5000000000000001E-2</v>
      </c>
      <c r="K9" s="41">
        <f t="shared" si="3"/>
        <v>4214</v>
      </c>
      <c r="L9" s="41">
        <f t="shared" si="4"/>
        <v>42.14</v>
      </c>
      <c r="M9" s="41">
        <f t="shared" si="5"/>
        <v>4171.8599999999997</v>
      </c>
      <c r="N9" s="41">
        <f t="shared" si="6"/>
        <v>83.44</v>
      </c>
      <c r="O9" s="41">
        <f t="shared" si="7"/>
        <v>4088.42</v>
      </c>
      <c r="P9" s="41">
        <f t="shared" si="8"/>
        <v>102.21</v>
      </c>
      <c r="Q9" s="41">
        <f t="shared" si="9"/>
        <v>227.79</v>
      </c>
      <c r="R9" s="41">
        <f t="shared" si="10"/>
        <v>3986.21</v>
      </c>
      <c r="S9" s="73">
        <v>0.18</v>
      </c>
      <c r="T9" s="41">
        <f t="shared" si="11"/>
        <v>717.52</v>
      </c>
      <c r="U9" s="41">
        <f t="shared" si="12"/>
        <v>4703.7299999999996</v>
      </c>
      <c r="V9" s="41">
        <f t="shared" si="1"/>
        <v>390033.2916</v>
      </c>
      <c r="W9" s="41">
        <f>ROUND(F9*$S$22*$T$1,2)</f>
        <v>31198.65</v>
      </c>
    </row>
    <row r="10" spans="1:23" ht="15.75" thickBot="1">
      <c r="A10" s="41">
        <v>8</v>
      </c>
      <c r="B10" s="41" t="s">
        <v>69</v>
      </c>
      <c r="C10" s="41" t="s">
        <v>56</v>
      </c>
      <c r="D10" s="41" t="s">
        <v>169</v>
      </c>
      <c r="E10" s="41">
        <v>30</v>
      </c>
      <c r="F10" s="41">
        <v>65.319999999999993</v>
      </c>
      <c r="G10" s="41">
        <f t="shared" si="2"/>
        <v>1959.6</v>
      </c>
      <c r="H10" s="73">
        <v>0.01</v>
      </c>
      <c r="I10" s="73">
        <v>0.02</v>
      </c>
      <c r="J10" s="44">
        <v>2.5000000000000001E-2</v>
      </c>
      <c r="K10" s="41">
        <f t="shared" si="3"/>
        <v>1959.6</v>
      </c>
      <c r="L10" s="41">
        <f t="shared" si="4"/>
        <v>19.600000000000001</v>
      </c>
      <c r="M10" s="41">
        <f t="shared" si="5"/>
        <v>1940</v>
      </c>
      <c r="N10" s="41">
        <f t="shared" si="6"/>
        <v>38.799999999999997</v>
      </c>
      <c r="O10" s="41">
        <f t="shared" si="7"/>
        <v>1901.2</v>
      </c>
      <c r="P10" s="41">
        <f t="shared" si="8"/>
        <v>47.53</v>
      </c>
      <c r="Q10" s="41">
        <f t="shared" si="9"/>
        <v>105.93</v>
      </c>
      <c r="R10" s="41">
        <f t="shared" si="10"/>
        <v>1853.67</v>
      </c>
      <c r="S10" s="73">
        <v>0.18</v>
      </c>
      <c r="T10" s="41">
        <f t="shared" si="11"/>
        <v>333.66</v>
      </c>
      <c r="U10" s="41">
        <f t="shared" si="12"/>
        <v>2187.33</v>
      </c>
      <c r="V10" s="41">
        <f t="shared" si="1"/>
        <v>181373.40359999999</v>
      </c>
      <c r="W10" s="41">
        <f>ROUND(F10*$S$22*$T$1,2)</f>
        <v>13540.84</v>
      </c>
    </row>
    <row r="11" spans="1:23" ht="15.75" thickBot="1">
      <c r="A11" s="41">
        <v>9</v>
      </c>
      <c r="B11" s="41" t="s">
        <v>71</v>
      </c>
      <c r="C11" s="41" t="s">
        <v>56</v>
      </c>
      <c r="D11" s="41" t="s">
        <v>169</v>
      </c>
      <c r="E11" s="41">
        <v>25</v>
      </c>
      <c r="F11" s="41">
        <v>74.89</v>
      </c>
      <c r="G11" s="41">
        <f t="shared" si="2"/>
        <v>1872.25</v>
      </c>
      <c r="H11" s="73">
        <v>0.01</v>
      </c>
      <c r="I11" s="73">
        <v>0.02</v>
      </c>
      <c r="J11" s="44">
        <v>2.5000000000000001E-2</v>
      </c>
      <c r="K11" s="41">
        <f t="shared" si="3"/>
        <v>1872.25</v>
      </c>
      <c r="L11" s="41">
        <f t="shared" si="4"/>
        <v>18.72</v>
      </c>
      <c r="M11" s="41">
        <f t="shared" si="5"/>
        <v>1853.53</v>
      </c>
      <c r="N11" s="41">
        <f t="shared" si="6"/>
        <v>37.07</v>
      </c>
      <c r="O11" s="41">
        <f t="shared" si="7"/>
        <v>1816.46</v>
      </c>
      <c r="P11" s="41">
        <f t="shared" si="8"/>
        <v>45.41</v>
      </c>
      <c r="Q11" s="41">
        <f t="shared" si="9"/>
        <v>101.2</v>
      </c>
      <c r="R11" s="41">
        <f t="shared" si="10"/>
        <v>1771.05</v>
      </c>
      <c r="S11" s="73">
        <v>0.18</v>
      </c>
      <c r="T11" s="41">
        <f t="shared" si="11"/>
        <v>318.79000000000002</v>
      </c>
      <c r="U11" s="41">
        <f t="shared" si="12"/>
        <v>2089.84</v>
      </c>
      <c r="V11" s="41">
        <f t="shared" si="1"/>
        <v>173289.53280000002</v>
      </c>
      <c r="W11" s="41">
        <f>ROUND(F11*$S$22*$T$1,2)</f>
        <v>15524.7</v>
      </c>
    </row>
    <row r="12" spans="1:23" ht="15.75" thickBot="1">
      <c r="A12" s="41">
        <v>10</v>
      </c>
      <c r="B12" s="41" t="s">
        <v>73</v>
      </c>
      <c r="C12" s="41" t="s">
        <v>56</v>
      </c>
      <c r="D12" s="41" t="s">
        <v>169</v>
      </c>
      <c r="E12" s="41">
        <v>28</v>
      </c>
      <c r="F12" s="41">
        <v>89.56</v>
      </c>
      <c r="G12" s="41">
        <f t="shared" si="2"/>
        <v>2507.6800000000003</v>
      </c>
      <c r="H12" s="73">
        <v>0.01</v>
      </c>
      <c r="I12" s="73">
        <v>0.02</v>
      </c>
      <c r="J12" s="44">
        <v>2.5000000000000001E-2</v>
      </c>
      <c r="K12" s="41">
        <f t="shared" si="3"/>
        <v>2507.6800000000003</v>
      </c>
      <c r="L12" s="41">
        <f t="shared" si="4"/>
        <v>25.08</v>
      </c>
      <c r="M12" s="41">
        <f t="shared" si="5"/>
        <v>2482.6000000000004</v>
      </c>
      <c r="N12" s="41">
        <f t="shared" si="6"/>
        <v>49.65</v>
      </c>
      <c r="O12" s="41">
        <f t="shared" si="7"/>
        <v>2432.9499999999998</v>
      </c>
      <c r="P12" s="41">
        <f t="shared" si="8"/>
        <v>60.82</v>
      </c>
      <c r="Q12" s="41">
        <f t="shared" si="9"/>
        <v>135.55000000000001</v>
      </c>
      <c r="R12" s="41">
        <f t="shared" si="10"/>
        <v>2372.13</v>
      </c>
      <c r="S12" s="73">
        <v>0.18</v>
      </c>
      <c r="T12" s="41">
        <f t="shared" si="11"/>
        <v>426.98</v>
      </c>
      <c r="U12" s="41">
        <f t="shared" si="12"/>
        <v>2799.11</v>
      </c>
      <c r="V12" s="41">
        <f t="shared" si="1"/>
        <v>232102.20120000001</v>
      </c>
      <c r="W12" s="41">
        <f>ROUND(F12*$S$22*$T$1,2)</f>
        <v>18565.79</v>
      </c>
    </row>
    <row r="13" spans="1:23" ht="15.75" thickBot="1">
      <c r="A13" s="41">
        <v>11</v>
      </c>
      <c r="B13" s="41" t="s">
        <v>75</v>
      </c>
      <c r="C13" s="41" t="s">
        <v>156</v>
      </c>
      <c r="D13" s="41" t="s">
        <v>178</v>
      </c>
      <c r="E13" s="41">
        <v>37</v>
      </c>
      <c r="F13" s="41">
        <v>89.54</v>
      </c>
      <c r="G13" s="41">
        <f t="shared" si="2"/>
        <v>3312.98</v>
      </c>
      <c r="H13" s="73">
        <v>0.01</v>
      </c>
      <c r="I13" s="73">
        <v>0.02</v>
      </c>
      <c r="J13" s="44">
        <v>2.5000000000000001E-2</v>
      </c>
      <c r="K13" s="41">
        <f t="shared" si="3"/>
        <v>3312.98</v>
      </c>
      <c r="L13" s="41">
        <f t="shared" si="4"/>
        <v>33.130000000000003</v>
      </c>
      <c r="M13" s="41">
        <f t="shared" si="5"/>
        <v>3279.85</v>
      </c>
      <c r="N13" s="41">
        <f t="shared" si="6"/>
        <v>65.599999999999994</v>
      </c>
      <c r="O13" s="41">
        <f t="shared" si="7"/>
        <v>3214.25</v>
      </c>
      <c r="P13" s="41">
        <f t="shared" si="8"/>
        <v>80.36</v>
      </c>
      <c r="Q13" s="41">
        <f t="shared" si="9"/>
        <v>179.09</v>
      </c>
      <c r="R13" s="41">
        <f t="shared" si="10"/>
        <v>3133.89</v>
      </c>
      <c r="S13" s="73">
        <v>0.18</v>
      </c>
      <c r="T13" s="41">
        <f t="shared" si="11"/>
        <v>564.1</v>
      </c>
      <c r="U13" s="41">
        <f t="shared" si="12"/>
        <v>3697.99</v>
      </c>
      <c r="V13" s="41">
        <f t="shared" si="1"/>
        <v>306637.3308</v>
      </c>
      <c r="W13" s="41">
        <f>ROUND(F13*$S$23*$T$1,2)</f>
        <v>7.42</v>
      </c>
    </row>
    <row r="14" spans="1:23" ht="15.75" thickBot="1">
      <c r="A14" s="41">
        <v>12</v>
      </c>
      <c r="B14" s="41" t="s">
        <v>77</v>
      </c>
      <c r="C14" s="41" t="s">
        <v>156</v>
      </c>
      <c r="D14" s="41" t="s">
        <v>178</v>
      </c>
      <c r="E14" s="41">
        <v>39</v>
      </c>
      <c r="F14" s="41">
        <v>35.200000000000003</v>
      </c>
      <c r="G14" s="41">
        <f t="shared" si="2"/>
        <v>1372.8000000000002</v>
      </c>
      <c r="H14" s="73">
        <v>0.01</v>
      </c>
      <c r="I14" s="73">
        <v>0.02</v>
      </c>
      <c r="J14" s="44">
        <v>2.5000000000000001E-2</v>
      </c>
      <c r="K14" s="41">
        <f t="shared" si="3"/>
        <v>1372.8000000000002</v>
      </c>
      <c r="L14" s="41">
        <f t="shared" si="4"/>
        <v>13.73</v>
      </c>
      <c r="M14" s="41">
        <f t="shared" si="5"/>
        <v>1359.0700000000002</v>
      </c>
      <c r="N14" s="41">
        <f t="shared" si="6"/>
        <v>27.18</v>
      </c>
      <c r="O14" s="41">
        <f t="shared" si="7"/>
        <v>1331.89</v>
      </c>
      <c r="P14" s="41">
        <f t="shared" si="8"/>
        <v>33.299999999999997</v>
      </c>
      <c r="Q14" s="41">
        <f t="shared" si="9"/>
        <v>74.209999999999994</v>
      </c>
      <c r="R14" s="41">
        <f t="shared" si="10"/>
        <v>1298.5899999999999</v>
      </c>
      <c r="S14" s="73">
        <v>0.18</v>
      </c>
      <c r="T14" s="41">
        <f t="shared" si="11"/>
        <v>233.75</v>
      </c>
      <c r="U14" s="41">
        <f t="shared" si="12"/>
        <v>1532.34</v>
      </c>
      <c r="V14" s="41">
        <f t="shared" si="1"/>
        <v>127061.63279999999</v>
      </c>
      <c r="W14" s="41">
        <f>ROUND(F14*$S$23*$T$1,2)</f>
        <v>2.92</v>
      </c>
    </row>
    <row r="15" spans="1:23" ht="15.75" thickBot="1">
      <c r="A15" s="41">
        <v>13</v>
      </c>
      <c r="B15" s="41" t="s">
        <v>79</v>
      </c>
      <c r="C15" s="41" t="s">
        <v>156</v>
      </c>
      <c r="D15" s="41" t="s">
        <v>178</v>
      </c>
      <c r="E15" s="41">
        <v>70</v>
      </c>
      <c r="F15" s="41">
        <v>102.25</v>
      </c>
      <c r="G15" s="41">
        <f t="shared" si="2"/>
        <v>7157.5</v>
      </c>
      <c r="H15" s="73">
        <v>0.01</v>
      </c>
      <c r="I15" s="73">
        <v>0.02</v>
      </c>
      <c r="J15" s="44">
        <v>2.5000000000000001E-2</v>
      </c>
      <c r="K15" s="41">
        <f t="shared" si="3"/>
        <v>7157.5</v>
      </c>
      <c r="L15" s="41">
        <f t="shared" si="4"/>
        <v>71.58</v>
      </c>
      <c r="M15" s="41">
        <f t="shared" si="5"/>
        <v>7085.92</v>
      </c>
      <c r="N15" s="41">
        <f t="shared" si="6"/>
        <v>141.72</v>
      </c>
      <c r="O15" s="41">
        <f t="shared" si="7"/>
        <v>6944.2</v>
      </c>
      <c r="P15" s="41">
        <f t="shared" si="8"/>
        <v>173.61</v>
      </c>
      <c r="Q15" s="41">
        <f t="shared" si="9"/>
        <v>386.91</v>
      </c>
      <c r="R15" s="41">
        <f t="shared" si="10"/>
        <v>6770.59</v>
      </c>
      <c r="S15" s="73">
        <v>0.18</v>
      </c>
      <c r="T15" s="41">
        <f t="shared" si="11"/>
        <v>1218.71</v>
      </c>
      <c r="U15" s="41">
        <f t="shared" si="12"/>
        <v>7989.3</v>
      </c>
      <c r="V15" s="41">
        <f t="shared" si="1"/>
        <v>662472.75600000005</v>
      </c>
      <c r="W15" s="41">
        <f>ROUND(F15*$S$23*$T$1,2)</f>
        <v>8.48</v>
      </c>
    </row>
    <row r="16" spans="1:23" ht="15.75" thickBot="1">
      <c r="A16" s="41">
        <v>14</v>
      </c>
      <c r="B16" s="41" t="s">
        <v>81</v>
      </c>
      <c r="C16" s="41" t="s">
        <v>156</v>
      </c>
      <c r="D16" s="41" t="s">
        <v>178</v>
      </c>
      <c r="E16" s="41">
        <v>100</v>
      </c>
      <c r="F16" s="41">
        <v>125.23</v>
      </c>
      <c r="G16" s="41">
        <f t="shared" si="2"/>
        <v>12523</v>
      </c>
      <c r="H16" s="73">
        <v>0.01</v>
      </c>
      <c r="I16" s="73">
        <v>0.02</v>
      </c>
      <c r="J16" s="44">
        <v>2.5000000000000001E-2</v>
      </c>
      <c r="K16" s="41">
        <f t="shared" si="3"/>
        <v>12523</v>
      </c>
      <c r="L16" s="41">
        <f t="shared" si="4"/>
        <v>125.23</v>
      </c>
      <c r="M16" s="41">
        <f t="shared" si="5"/>
        <v>12397.77</v>
      </c>
      <c r="N16" s="41">
        <f t="shared" si="6"/>
        <v>247.96</v>
      </c>
      <c r="O16" s="41">
        <f t="shared" si="7"/>
        <v>12149.81</v>
      </c>
      <c r="P16" s="41">
        <f t="shared" si="8"/>
        <v>303.75</v>
      </c>
      <c r="Q16" s="41">
        <f t="shared" si="9"/>
        <v>676.94</v>
      </c>
      <c r="R16" s="41">
        <f t="shared" si="10"/>
        <v>11846.06</v>
      </c>
      <c r="S16" s="73">
        <v>0.18</v>
      </c>
      <c r="T16" s="41">
        <f t="shared" si="11"/>
        <v>2132.29</v>
      </c>
      <c r="U16" s="41">
        <f t="shared" si="12"/>
        <v>13978.349999999999</v>
      </c>
      <c r="V16" s="41">
        <f t="shared" si="1"/>
        <v>1159084.7819999999</v>
      </c>
      <c r="W16" s="41">
        <f>ROUND(F16*$S$23*$T$1,2)</f>
        <v>10.38</v>
      </c>
    </row>
    <row r="17" spans="1:23" ht="15.75" thickBot="1">
      <c r="A17" s="41">
        <v>15</v>
      </c>
      <c r="B17" s="41" t="s">
        <v>83</v>
      </c>
      <c r="C17" s="41" t="s">
        <v>156</v>
      </c>
      <c r="D17" s="41" t="s">
        <v>178</v>
      </c>
      <c r="E17" s="41">
        <v>85</v>
      </c>
      <c r="F17" s="41">
        <v>65.48</v>
      </c>
      <c r="G17" s="41">
        <f t="shared" si="2"/>
        <v>5565.8</v>
      </c>
      <c r="H17" s="73">
        <v>0.01</v>
      </c>
      <c r="I17" s="73">
        <v>0.02</v>
      </c>
      <c r="J17" s="44">
        <v>2.5000000000000001E-2</v>
      </c>
      <c r="K17" s="41">
        <f t="shared" si="3"/>
        <v>5565.8</v>
      </c>
      <c r="L17" s="41">
        <f t="shared" si="4"/>
        <v>55.66</v>
      </c>
      <c r="M17" s="41">
        <f t="shared" si="5"/>
        <v>5510.14</v>
      </c>
      <c r="N17" s="41">
        <f t="shared" si="6"/>
        <v>110.2</v>
      </c>
      <c r="O17" s="41">
        <f t="shared" si="7"/>
        <v>5399.94</v>
      </c>
      <c r="P17" s="41">
        <f t="shared" si="8"/>
        <v>135</v>
      </c>
      <c r="Q17" s="41">
        <f t="shared" si="9"/>
        <v>300.86</v>
      </c>
      <c r="R17" s="41">
        <f t="shared" si="10"/>
        <v>5264.94</v>
      </c>
      <c r="S17" s="73">
        <v>0.18</v>
      </c>
      <c r="T17" s="41">
        <f t="shared" si="11"/>
        <v>947.69</v>
      </c>
      <c r="U17" s="41">
        <f t="shared" si="12"/>
        <v>6212.6299999999992</v>
      </c>
      <c r="V17" s="41">
        <f t="shared" si="1"/>
        <v>515151.27959999995</v>
      </c>
      <c r="W17" s="41">
        <f>ROUND(F17*$S$23*$T$1,2)</f>
        <v>5.43</v>
      </c>
    </row>
    <row r="18" spans="1:23" ht="15.75" thickBot="1">
      <c r="A18" s="13"/>
      <c r="B18" s="121" t="s">
        <v>85</v>
      </c>
      <c r="C18" s="121"/>
      <c r="D18" s="121"/>
      <c r="E18" s="121"/>
      <c r="F18" s="121"/>
      <c r="G18" s="45">
        <f>SUM(G3:G17)</f>
        <v>71570.810000000012</v>
      </c>
      <c r="H18" s="41"/>
      <c r="I18" s="41"/>
      <c r="J18" s="41"/>
      <c r="K18" s="41"/>
      <c r="L18" s="41"/>
      <c r="M18" s="41"/>
      <c r="N18" s="41"/>
      <c r="O18" s="41"/>
      <c r="P18" s="41"/>
      <c r="Q18" s="45">
        <f>SUM(Q3:Q17)</f>
        <v>3868.82</v>
      </c>
      <c r="R18" s="45">
        <f>SUM(R3:R17)</f>
        <v>67701.989999999991</v>
      </c>
      <c r="S18" s="45"/>
      <c r="T18" s="45">
        <f>SUM(T3:T17)</f>
        <v>12186.370000000004</v>
      </c>
      <c r="U18" s="47">
        <f t="shared" ref="U18:V18" si="13">SUM(U3:U17)</f>
        <v>79888.36</v>
      </c>
      <c r="V18" s="47">
        <f t="shared" si="13"/>
        <v>6624342.8112000003</v>
      </c>
      <c r="W18" s="47">
        <f>SUM(W3:W17)</f>
        <v>199005.74000000005</v>
      </c>
    </row>
    <row r="19" spans="1:23" ht="15.75" thickBot="1">
      <c r="A19" s="13"/>
      <c r="B19" s="13"/>
      <c r="C19" s="13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</row>
    <row r="20" spans="1:23" ht="15.75" thickBot="1">
      <c r="A20" s="13"/>
      <c r="B20" s="13"/>
      <c r="C20" s="13"/>
      <c r="D20" s="13"/>
      <c r="E20" s="13"/>
      <c r="F20" s="127" t="s">
        <v>199</v>
      </c>
      <c r="G20" s="127"/>
      <c r="H20" s="127"/>
      <c r="I20" s="127"/>
      <c r="J20" s="13"/>
      <c r="K20" s="127" t="s">
        <v>200</v>
      </c>
      <c r="L20" s="127"/>
      <c r="M20" s="127"/>
      <c r="N20" s="127"/>
      <c r="O20" s="13"/>
      <c r="P20" s="13"/>
      <c r="Q20" s="122" t="s">
        <v>188</v>
      </c>
      <c r="R20" s="123"/>
      <c r="S20" s="123"/>
      <c r="T20" s="124"/>
      <c r="U20" s="13"/>
      <c r="V20" s="13"/>
      <c r="W20" s="13"/>
    </row>
    <row r="21" spans="1:23" ht="15.75" thickBot="1">
      <c r="A21" s="13"/>
      <c r="B21" s="13"/>
      <c r="C21" s="13"/>
      <c r="D21" s="13"/>
      <c r="E21" s="13"/>
      <c r="F21" s="116" t="s">
        <v>187</v>
      </c>
      <c r="G21" s="117"/>
      <c r="H21" s="125">
        <f>G18</f>
        <v>71570.810000000012</v>
      </c>
      <c r="I21" s="125"/>
      <c r="J21" s="53"/>
      <c r="K21" s="116" t="s">
        <v>187</v>
      </c>
      <c r="L21" s="117"/>
      <c r="M21" s="125">
        <f>H21*$T$1</f>
        <v>5934651.565200001</v>
      </c>
      <c r="N21" s="125"/>
      <c r="O21" s="13"/>
      <c r="P21" s="13"/>
      <c r="Q21" s="68">
        <v>1</v>
      </c>
      <c r="R21" s="68" t="s">
        <v>56</v>
      </c>
      <c r="S21" s="68">
        <v>2</v>
      </c>
      <c r="T21" s="68" t="s">
        <v>156</v>
      </c>
      <c r="U21" s="13"/>
      <c r="V21" s="27"/>
      <c r="W21" s="13"/>
    </row>
    <row r="22" spans="1:23" ht="15.75" thickBot="1">
      <c r="A22" s="13"/>
      <c r="B22" s="13"/>
      <c r="C22" s="13"/>
      <c r="D22" s="13"/>
      <c r="E22" s="13"/>
      <c r="F22" s="116" t="s">
        <v>189</v>
      </c>
      <c r="G22" s="117"/>
      <c r="H22" s="125">
        <f>Q18</f>
        <v>3868.82</v>
      </c>
      <c r="I22" s="125"/>
      <c r="J22" s="13"/>
      <c r="K22" s="116" t="s">
        <v>189</v>
      </c>
      <c r="L22" s="117"/>
      <c r="M22" s="125">
        <f t="shared" ref="M22:M25" si="14">H22*$T$1</f>
        <v>320802.55440000002</v>
      </c>
      <c r="N22" s="125"/>
      <c r="O22" s="13"/>
      <c r="P22" s="13"/>
      <c r="Q22" s="41">
        <v>1</v>
      </c>
      <c r="R22" s="41" t="s">
        <v>56</v>
      </c>
      <c r="S22" s="41">
        <v>2.5</v>
      </c>
      <c r="T22" s="41" t="s">
        <v>169</v>
      </c>
      <c r="U22" s="13"/>
      <c r="V22" s="27"/>
      <c r="W22" s="13"/>
    </row>
    <row r="23" spans="1:23" ht="15.75" thickBot="1">
      <c r="A23" s="13"/>
      <c r="B23" s="13"/>
      <c r="C23" s="13"/>
      <c r="D23" s="13"/>
      <c r="E23" s="13"/>
      <c r="F23" s="116" t="s">
        <v>190</v>
      </c>
      <c r="G23" s="117"/>
      <c r="H23" s="125">
        <f>R18</f>
        <v>67701.989999999991</v>
      </c>
      <c r="I23" s="125"/>
      <c r="J23" s="13"/>
      <c r="K23" s="116" t="s">
        <v>190</v>
      </c>
      <c r="L23" s="117"/>
      <c r="M23" s="125">
        <f t="shared" si="14"/>
        <v>5613849.0107999993</v>
      </c>
      <c r="N23" s="125"/>
      <c r="O23" s="13"/>
      <c r="P23" s="13"/>
      <c r="Q23" s="41">
        <v>1</v>
      </c>
      <c r="R23" s="41" t="s">
        <v>156</v>
      </c>
      <c r="S23" s="41">
        <v>1E-3</v>
      </c>
      <c r="T23" s="41" t="s">
        <v>178</v>
      </c>
      <c r="U23" s="13"/>
      <c r="V23" s="27"/>
      <c r="W23" s="13"/>
    </row>
    <row r="24" spans="1:23" ht="15.75" thickBot="1">
      <c r="A24" s="13"/>
      <c r="B24" s="13"/>
      <c r="C24" s="13"/>
      <c r="D24" s="13"/>
      <c r="E24" s="13"/>
      <c r="F24" s="116" t="s">
        <v>191</v>
      </c>
      <c r="G24" s="117"/>
      <c r="H24" s="125">
        <f>T18</f>
        <v>12186.370000000004</v>
      </c>
      <c r="I24" s="125"/>
      <c r="J24" s="13"/>
      <c r="K24" s="116" t="s">
        <v>191</v>
      </c>
      <c r="L24" s="117"/>
      <c r="M24" s="125">
        <f t="shared" si="14"/>
        <v>1010493.8004000004</v>
      </c>
      <c r="N24" s="125"/>
      <c r="O24" s="13"/>
      <c r="P24" s="13"/>
      <c r="Q24" s="13"/>
      <c r="R24" s="13"/>
      <c r="S24" s="13"/>
      <c r="T24" s="13"/>
      <c r="U24" s="13"/>
      <c r="V24" s="27"/>
      <c r="W24" s="13"/>
    </row>
    <row r="25" spans="1:23" ht="15.75" thickBot="1">
      <c r="A25" s="13"/>
      <c r="B25" s="13"/>
      <c r="C25" s="13"/>
      <c r="D25" s="13"/>
      <c r="E25" s="13"/>
      <c r="F25" s="116" t="s">
        <v>192</v>
      </c>
      <c r="G25" s="117"/>
      <c r="H25" s="126">
        <f>H23+H24</f>
        <v>79888.36</v>
      </c>
      <c r="I25" s="126"/>
      <c r="J25" s="13"/>
      <c r="K25" s="116" t="s">
        <v>192</v>
      </c>
      <c r="L25" s="117"/>
      <c r="M25" s="126">
        <f t="shared" si="14"/>
        <v>6624342.8112000003</v>
      </c>
      <c r="N25" s="126"/>
      <c r="O25" s="13"/>
      <c r="P25" s="13"/>
      <c r="Q25" s="13"/>
      <c r="R25" s="13"/>
      <c r="S25" s="13"/>
      <c r="T25" s="13"/>
      <c r="U25" s="13"/>
      <c r="V25" s="27"/>
      <c r="W25" s="13"/>
    </row>
  </sheetData>
  <mergeCells count="25">
    <mergeCell ref="A1:P1"/>
    <mergeCell ref="B18:F18"/>
    <mergeCell ref="F20:I20"/>
    <mergeCell ref="K20:N20"/>
    <mergeCell ref="Q20:T20"/>
    <mergeCell ref="F22:G22"/>
    <mergeCell ref="H22:I22"/>
    <mergeCell ref="K22:L22"/>
    <mergeCell ref="M22:N22"/>
    <mergeCell ref="F21:G21"/>
    <mergeCell ref="H21:I21"/>
    <mergeCell ref="K21:L21"/>
    <mergeCell ref="M21:N21"/>
    <mergeCell ref="F25:G25"/>
    <mergeCell ref="H25:I25"/>
    <mergeCell ref="K25:L25"/>
    <mergeCell ref="M25:N25"/>
    <mergeCell ref="F23:G23"/>
    <mergeCell ref="H23:I23"/>
    <mergeCell ref="K23:L23"/>
    <mergeCell ref="M23:N23"/>
    <mergeCell ref="F24:G24"/>
    <mergeCell ref="H24:I24"/>
    <mergeCell ref="K24:L24"/>
    <mergeCell ref="M24:N2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BH25"/>
  <sheetViews>
    <sheetView topLeftCell="A10" workbookViewId="0">
      <selection activeCell="AT23" sqref="AT23:AU23"/>
    </sheetView>
  </sheetViews>
  <sheetFormatPr defaultRowHeight="15"/>
  <cols>
    <col min="1" max="1" bestFit="true" customWidth="true" width="24.5703125"/>
    <col min="2" max="2" bestFit="true" customWidth="true" width="26.85546875"/>
    <col min="3" max="3" bestFit="true" customWidth="true" width="19.28515625"/>
    <col min="4" max="4" bestFit="true" customWidth="true" width="62.7109375"/>
    <col min="5" max="5" bestFit="true" customWidth="true" width="10.42578125"/>
    <col min="6" max="6" bestFit="true" customWidth="true" width="8.28515625"/>
    <col min="7" max="7" bestFit="true" customWidth="true" width="10.140625"/>
    <col min="8" max="8" bestFit="true" customWidth="true" width="11.85546875"/>
    <col min="9" max="9" bestFit="true" customWidth="true" width="6.42578125"/>
    <col min="10" max="10" bestFit="true" customWidth="true" width="6.140625"/>
    <col min="29" max="29" bestFit="true" customWidth="true" width="9.0"/>
    <col min="37" max="37" bestFit="true" customWidth="true" width="7.140625"/>
    <col min="38" max="38" bestFit="true" customWidth="true" width="6.42578125"/>
    <col min="40" max="40" bestFit="true" customWidth="true" width="11.85546875"/>
    <col min="41" max="41" bestFit="true" customWidth="true" width="23.28515625"/>
    <col min="42" max="42" bestFit="true" customWidth="true" width="9.42578125"/>
    <col min="43" max="43" bestFit="true" customWidth="true" width="11.85546875"/>
    <col min="44" max="44" bestFit="true" customWidth="true" width="15.28515625"/>
    <col min="45" max="45" bestFit="true" customWidth="true" width="20.28515625"/>
    <col min="57" max="57" bestFit="true" customWidth="true" width="12.5703125"/>
    <col min="58" max="58" bestFit="true" customWidth="true" width="21.7109375"/>
    <col min="59" max="59" bestFit="true" customWidth="true" width="30.5703125"/>
  </cols>
  <sheetData>
    <row r="1" spans="1:42" ht="18">
      <c r="A1" s="113" t="s">
        <v>145</v>
      </c>
      <c r="B1" s="113"/>
      <c r="C1" s="113"/>
      <c r="D1" s="113"/>
      <c r="E1" s="113"/>
      <c r="F1" s="113"/>
      <c r="G1" s="113"/>
      <c r="H1" s="113"/>
      <c r="I1" s="113"/>
      <c r="J1" s="113"/>
      <c r="K1" s="113"/>
      <c r="L1" s="113"/>
      <c r="M1" s="113"/>
      <c r="N1" s="113"/>
      <c r="O1" s="113"/>
      <c r="P1" s="113"/>
      <c r="Q1" s="113"/>
      <c r="R1" s="113"/>
      <c r="S1" s="113"/>
      <c r="T1" s="113"/>
      <c r="U1" s="113"/>
      <c r="V1" s="113"/>
      <c r="W1" s="113"/>
      <c r="X1" s="113"/>
      <c r="Y1" s="113"/>
      <c r="Z1" s="113"/>
      <c r="AA1" s="82"/>
      <c r="AB1" s="82"/>
      <c r="AC1" s="82"/>
      <c r="AD1" s="82"/>
      <c r="AE1" s="82"/>
      <c r="AF1" s="82"/>
      <c r="AG1" s="82"/>
      <c r="AH1" s="82"/>
      <c r="AI1" s="82"/>
      <c r="AJ1" s="82"/>
      <c r="AK1" s="82"/>
      <c r="AL1" s="82"/>
      <c r="AM1" s="82"/>
      <c r="AN1" s="82"/>
      <c r="AO1" s="13"/>
      <c r="AP1" s="13"/>
    </row>
    <row r="2" spans="1:42" ht="18.75" thickBot="1">
      <c r="A2" s="82" t="s">
        <v>146</v>
      </c>
      <c r="B2" s="82"/>
      <c r="C2" s="82"/>
      <c r="D2" s="82"/>
      <c r="E2" s="82"/>
      <c r="F2" s="82"/>
      <c r="G2" s="82"/>
      <c r="H2" s="82"/>
      <c r="I2" s="82"/>
      <c r="J2" s="82"/>
      <c r="K2" s="82"/>
      <c r="L2" s="82"/>
      <c r="M2" s="82"/>
      <c r="N2" s="82"/>
      <c r="O2" s="82"/>
      <c r="P2" s="82"/>
      <c r="Q2" s="82"/>
      <c r="R2" s="82"/>
      <c r="S2" s="82"/>
      <c r="T2" s="82"/>
      <c r="U2" s="82"/>
      <c r="V2" s="82"/>
      <c r="W2" s="82"/>
      <c r="X2" s="82"/>
      <c r="Y2" s="82"/>
      <c r="Z2" s="82"/>
      <c r="AA2" s="82"/>
      <c r="AB2" s="82"/>
      <c r="AC2" s="82"/>
      <c r="AD2" s="82"/>
      <c r="AE2" s="82"/>
      <c r="AF2" s="82"/>
      <c r="AG2" s="82"/>
      <c r="AH2" s="82"/>
      <c r="AI2" s="82"/>
      <c r="AJ2" s="82"/>
      <c r="AK2" s="82"/>
      <c r="AL2" s="82"/>
      <c r="AM2" s="82"/>
      <c r="AN2" s="82"/>
      <c r="AO2" s="13"/>
      <c r="AP2" s="13"/>
    </row>
    <row r="3" spans="1:42" ht="15.75" thickTop="1">
      <c r="A3" s="8" t="s">
        <v>46</v>
      </c>
      <c r="B3" s="9" t="s">
        <v>47</v>
      </c>
      <c r="C3" s="10" t="s">
        <v>48</v>
      </c>
      <c r="D3" s="9" t="s">
        <v>49</v>
      </c>
      <c r="E3" s="9" t="s">
        <v>50</v>
      </c>
      <c r="F3" s="9" t="s">
        <v>51</v>
      </c>
      <c r="G3" s="9" t="s">
        <v>52</v>
      </c>
      <c r="H3" s="11" t="s">
        <v>53</v>
      </c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3"/>
    </row>
    <row r="4" spans="1:42">
      <c r="A4" s="14">
        <v>1</v>
      </c>
      <c r="B4" s="15" t="s">
        <v>54</v>
      </c>
      <c r="C4" s="15" t="s">
        <v>55</v>
      </c>
      <c r="D4" s="15" t="s">
        <v>56</v>
      </c>
      <c r="E4" s="15" t="s">
        <v>56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20"/>
      <c r="Z4" s="20"/>
      <c r="AA4" s="20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13"/>
    </row>
    <row r="5" spans="1:42">
      <c r="A5" s="14">
        <v>2</v>
      </c>
      <c r="B5" s="15" t="s">
        <v>57</v>
      </c>
      <c r="C5" s="15" t="s">
        <v>58</v>
      </c>
      <c r="D5" s="15" t="s">
        <v>56</v>
      </c>
      <c r="E5" s="15" t="s">
        <v>56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13"/>
    </row>
    <row r="6" spans="1:42">
      <c r="A6" s="14">
        <v>3</v>
      </c>
      <c r="B6" s="15" t="s">
        <v>59</v>
      </c>
      <c r="C6" s="15" t="s">
        <v>60</v>
      </c>
      <c r="D6" s="15" t="s">
        <v>56</v>
      </c>
      <c r="E6" s="15" t="s">
        <v>56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20"/>
      <c r="Z6" s="20"/>
      <c r="AA6" s="20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13"/>
    </row>
    <row r="7" spans="1:42">
      <c r="A7" s="14">
        <v>4</v>
      </c>
      <c r="B7" s="15" t="s">
        <v>61</v>
      </c>
      <c r="C7" s="15" t="s">
        <v>62</v>
      </c>
      <c r="D7" s="15" t="s">
        <v>56</v>
      </c>
      <c r="E7" s="15" t="s">
        <v>56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20"/>
      <c r="Z7" s="20"/>
      <c r="AA7" s="20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13"/>
    </row>
    <row r="8" spans="1:42">
      <c r="A8" s="14">
        <v>5</v>
      </c>
      <c r="B8" s="15" t="s">
        <v>63</v>
      </c>
      <c r="C8" s="15" t="s">
        <v>64</v>
      </c>
      <c r="D8" s="15" t="s">
        <v>56</v>
      </c>
      <c r="E8" s="15" t="s">
        <v>56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13"/>
    </row>
    <row r="9" spans="1:42">
      <c r="A9" s="14">
        <v>6</v>
      </c>
      <c r="B9" s="15" t="s">
        <v>65</v>
      </c>
      <c r="C9" s="15" t="s">
        <v>66</v>
      </c>
      <c r="D9" s="15" t="s">
        <v>56</v>
      </c>
      <c r="E9" s="15" t="s">
        <v>56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20"/>
      <c r="Z9" s="20"/>
      <c r="AA9" s="20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13"/>
    </row>
    <row r="10" spans="1:42">
      <c r="A10" s="14">
        <v>7</v>
      </c>
      <c r="B10" s="15" t="s">
        <v>67</v>
      </c>
      <c r="C10" s="15" t="s">
        <v>68</v>
      </c>
      <c r="D10" s="15" t="s">
        <v>56</v>
      </c>
      <c r="E10" s="15" t="s">
        <v>56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20"/>
      <c r="Z10" s="20"/>
      <c r="AA10" s="20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13"/>
    </row>
    <row r="11" spans="1:42">
      <c r="A11" s="14">
        <v>8</v>
      </c>
      <c r="B11" s="15" t="s">
        <v>69</v>
      </c>
      <c r="C11" s="15" t="s">
        <v>70</v>
      </c>
      <c r="D11" s="15" t="s">
        <v>56</v>
      </c>
      <c r="E11" s="15" t="s">
        <v>56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13"/>
    </row>
    <row r="12" spans="1:42">
      <c r="A12" s="14">
        <v>9</v>
      </c>
      <c r="B12" s="15" t="s">
        <v>71</v>
      </c>
      <c r="C12" s="15" t="s">
        <v>72</v>
      </c>
      <c r="D12" s="15" t="s">
        <v>56</v>
      </c>
      <c r="E12" s="15" t="s">
        <v>56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13"/>
    </row>
    <row r="13" spans="1:42">
      <c r="A13" s="14">
        <v>10</v>
      </c>
      <c r="B13" s="15" t="s">
        <v>73</v>
      </c>
      <c r="C13" s="15" t="s">
        <v>74</v>
      </c>
      <c r="D13" s="15" t="s">
        <v>56</v>
      </c>
      <c r="E13" s="15" t="s">
        <v>56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20"/>
      <c r="Z13" s="20"/>
      <c r="AA13" s="20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13"/>
    </row>
    <row r="14" spans="1:42">
      <c r="A14" s="14">
        <v>11</v>
      </c>
      <c r="B14" s="15" t="s">
        <v>75</v>
      </c>
      <c r="C14" s="15" t="s">
        <v>76</v>
      </c>
      <c r="D14" s="15" t="s">
        <v>56</v>
      </c>
      <c r="E14" s="15" t="s">
        <v>56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13"/>
    </row>
    <row r="15" spans="1:42">
      <c r="A15" s="14">
        <v>12</v>
      </c>
      <c r="B15" s="15" t="s">
        <v>77</v>
      </c>
      <c r="C15" s="15" t="s">
        <v>78</v>
      </c>
      <c r="D15" s="15" t="s">
        <v>56</v>
      </c>
      <c r="E15" s="15" t="s">
        <v>56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20"/>
      <c r="Z15" s="20"/>
      <c r="AA15" s="20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13"/>
    </row>
    <row r="16" spans="1:42">
      <c r="A16" s="14">
        <v>13</v>
      </c>
      <c r="B16" s="15" t="s">
        <v>79</v>
      </c>
      <c r="C16" s="15" t="s">
        <v>80</v>
      </c>
      <c r="D16" s="15" t="s">
        <v>56</v>
      </c>
      <c r="E16" s="15" t="s">
        <v>56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20"/>
      <c r="Z16" s="20"/>
      <c r="AA16" s="20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13"/>
    </row>
    <row r="17" spans="1:60">
      <c r="A17" s="14">
        <v>14</v>
      </c>
      <c r="B17" s="15" t="s">
        <v>81</v>
      </c>
      <c r="C17" s="15" t="s">
        <v>82</v>
      </c>
      <c r="D17" s="15" t="s">
        <v>56</v>
      </c>
      <c r="E17" s="15" t="s">
        <v>56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80">
        <v>5858.27</v>
      </c>
      <c r="T17" s="20"/>
      <c r="U17" s="19"/>
      <c r="V17" s="19"/>
      <c r="W17" s="19"/>
      <c r="X17" s="19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13"/>
    </row>
    <row r="18" spans="1:60" ht="15.75" thickBot="1">
      <c r="A18" s="21">
        <v>15</v>
      </c>
      <c r="B18" s="22" t="s">
        <v>83</v>
      </c>
      <c r="C18" s="22" t="s">
        <v>84</v>
      </c>
      <c r="D18" s="22" t="s">
        <v>56</v>
      </c>
      <c r="E18" s="22" t="s">
        <v>56</v>
      </c>
      <c r="F18" s="23">
        <v>85</v>
      </c>
      <c r="G18" s="24">
        <v>65.48</v>
      </c>
      <c r="H18" s="25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20"/>
      <c r="Z18" s="20"/>
      <c r="AA18" s="20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13"/>
    </row>
    <row r="19" spans="1:60" ht="15.75" thickTop="1">
      <c r="A19" s="13"/>
      <c r="B19" s="114" t="s">
        <v>85</v>
      </c>
      <c r="C19" s="114"/>
      <c r="D19" s="114"/>
      <c r="E19" s="114"/>
      <c r="F19" s="114"/>
      <c r="G19" s="114"/>
      <c r="H19" s="26">
        <f>SUM(H4:H18)</f>
        <v>71856.759999999995</v>
      </c>
      <c r="I19" s="27"/>
      <c r="J19" s="27"/>
      <c r="K19" s="27"/>
      <c r="L19" s="27"/>
      <c r="M19" s="27"/>
      <c r="N19" s="27"/>
      <c r="O19" s="27"/>
      <c r="P19" s="27"/>
      <c r="Q19" s="27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  <c r="AO19" s="28"/>
      <c r="AP19" s="13"/>
    </row>
    <row r="20" spans="1:60">
      <c r="A20" s="28" t="s">
        <v>86</v>
      </c>
      <c r="B20" s="29"/>
      <c r="C20" s="29"/>
      <c r="D20" s="29"/>
      <c r="E20" s="29"/>
      <c r="F20" s="29"/>
      <c r="G20" s="29"/>
      <c r="H20" s="28"/>
      <c r="I20" s="30"/>
      <c r="J20" s="30"/>
      <c r="K20" s="30"/>
      <c r="L20" s="30"/>
      <c r="M20" s="30"/>
      <c r="N20" s="30"/>
      <c r="O20" s="30"/>
      <c r="P20" s="30"/>
      <c r="Q20" s="30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  <c r="AO20" s="28"/>
      <c r="AP20" s="13"/>
    </row>
    <row r="21" spans="1:60" ht="15.75" thickBot="1">
      <c r="A21" s="115" t="s">
        <v>87</v>
      </c>
      <c r="B21" s="115"/>
      <c r="C21" s="12">
        <v>1</v>
      </c>
      <c r="D21" s="31" t="s">
        <v>88</v>
      </c>
      <c r="E21" s="29"/>
      <c r="F21" s="29"/>
      <c r="G21" s="29"/>
      <c r="H21" s="28"/>
      <c r="I21" s="30" t="s">
        <v>89</v>
      </c>
      <c r="J21" s="30" t="s">
        <v>90</v>
      </c>
      <c r="K21" s="30"/>
      <c r="L21" s="30" t="s">
        <v>91</v>
      </c>
      <c r="M21" s="30">
        <v>1</v>
      </c>
      <c r="N21" s="30"/>
      <c r="O21" s="30" t="s">
        <v>92</v>
      </c>
      <c r="P21" s="30">
        <v>1</v>
      </c>
      <c r="Q21" s="30" t="s">
        <v>93</v>
      </c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  <c r="AO21" s="28"/>
      <c r="AP21" s="13"/>
    </row>
    <row r="22" spans="1:60" ht="58.5" thickTop="1" thickBot="1">
      <c r="A22" s="32" t="s">
        <v>46</v>
      </c>
      <c r="B22" s="32" t="s">
        <v>47</v>
      </c>
      <c r="C22" s="33" t="s">
        <v>48</v>
      </c>
      <c r="D22" s="32" t="s">
        <v>49</v>
      </c>
      <c r="E22" s="32" t="s">
        <v>50</v>
      </c>
      <c r="F22" s="34" t="s">
        <v>94</v>
      </c>
      <c r="G22" s="32" t="s">
        <v>52</v>
      </c>
      <c r="H22" s="32" t="s">
        <v>53</v>
      </c>
      <c r="I22" s="35" t="s">
        <v>95</v>
      </c>
      <c r="J22" s="35" t="s">
        <v>96</v>
      </c>
      <c r="K22" s="35" t="s">
        <v>97</v>
      </c>
      <c r="L22" s="36" t="s">
        <v>98</v>
      </c>
      <c r="M22" s="36" t="s">
        <v>99</v>
      </c>
      <c r="N22" s="36" t="s">
        <v>100</v>
      </c>
      <c r="O22" s="36" t="s">
        <v>101</v>
      </c>
      <c r="P22" s="36" t="s">
        <v>102</v>
      </c>
      <c r="Q22" s="36" t="s">
        <v>103</v>
      </c>
      <c r="R22" s="35" t="s">
        <v>104</v>
      </c>
      <c r="S22" s="32" t="s">
        <v>105</v>
      </c>
      <c r="T22" s="32" t="s">
        <v>106</v>
      </c>
      <c r="U22" s="37" t="s">
        <v>107</v>
      </c>
      <c r="V22" s="37" t="s">
        <v>108</v>
      </c>
      <c r="W22" s="37" t="s">
        <v>109</v>
      </c>
      <c r="X22" s="37" t="s">
        <v>110</v>
      </c>
      <c r="Y22" s="37" t="s">
        <v>111</v>
      </c>
      <c r="Z22" s="38" t="s">
        <v>112</v>
      </c>
      <c r="AA22" s="38" t="s">
        <v>113</v>
      </c>
      <c r="AB22" s="39" t="s">
        <v>114</v>
      </c>
      <c r="AC22" s="39" t="s">
        <v>115</v>
      </c>
      <c r="AD22" s="39" t="s">
        <v>116</v>
      </c>
      <c r="AE22" s="38" t="s">
        <v>117</v>
      </c>
      <c r="AF22" s="38" t="s">
        <v>118</v>
      </c>
      <c r="AG22" s="39" t="s">
        <v>119</v>
      </c>
      <c r="AH22" s="39" t="s">
        <v>120</v>
      </c>
      <c r="AI22" s="38" t="s">
        <v>121</v>
      </c>
      <c r="AJ22" s="38" t="s">
        <v>122</v>
      </c>
      <c r="AK22" s="39" t="s">
        <v>123</v>
      </c>
      <c r="AL22" s="39" t="s">
        <v>124</v>
      </c>
      <c r="AM22" s="39" t="s">
        <v>125</v>
      </c>
      <c r="AN22" s="38" t="s">
        <v>126</v>
      </c>
      <c r="AO22" s="40" t="s">
        <v>127</v>
      </c>
      <c r="AP22" s="9" t="s">
        <v>130</v>
      </c>
      <c r="AQ22" s="9" t="s">
        <v>126</v>
      </c>
      <c r="AR22" s="56" t="s">
        <v>131</v>
      </c>
      <c r="AS22" s="56" t="s">
        <v>132</v>
      </c>
      <c r="AT22" s="57" t="s">
        <v>133</v>
      </c>
      <c r="AU22" s="57" t="s">
        <v>134</v>
      </c>
      <c r="AV22" s="56" t="s">
        <v>135</v>
      </c>
      <c r="AW22" s="56" t="s">
        <v>136</v>
      </c>
      <c r="AX22" s="56" t="s">
        <v>137</v>
      </c>
      <c r="AY22" s="56" t="s">
        <v>138</v>
      </c>
      <c r="AZ22" s="84" t="s">
        <v>207</v>
      </c>
      <c r="BA22" s="84" t="s">
        <v>8</v>
      </c>
      <c r="BB22" s="84" t="s">
        <v>9</v>
      </c>
      <c r="BC22" s="56" t="s">
        <v>139</v>
      </c>
      <c r="BD22" s="56" t="s">
        <v>140</v>
      </c>
      <c r="BE22" s="57" t="s">
        <v>141</v>
      </c>
      <c r="BF22" s="57" t="s">
        <v>142</v>
      </c>
      <c r="BG22" s="57" t="s">
        <v>143</v>
      </c>
      <c r="BH22" s="58"/>
    </row>
    <row r="23" spans="1:60" ht="15.75" thickBot="1">
      <c r="A23" s="41">
        <v>1</v>
      </c>
      <c r="B23" s="41" t="s">
        <v>209</v>
      </c>
      <c r="C23" s="41" t="s">
        <v>55</v>
      </c>
      <c r="D23" s="41" t="s">
        <v>56</v>
      </c>
      <c r="E23" s="41" t="s">
        <v>56</v>
      </c>
      <c r="F23" s="42">
        <v>25</v>
      </c>
      <c r="G23" s="43">
        <v>250.25</v>
      </c>
      <c r="H23" s="43">
        <f>F23*G23</f>
        <v>6256.25</v>
      </c>
      <c r="I23" s="76">
        <v>2.21</v>
      </c>
      <c r="J23" s="76">
        <v>1.79</v>
      </c>
      <c r="K23" s="76">
        <v>2.5</v>
      </c>
      <c r="L23" s="43">
        <f>H23</f>
        <v>6256.25</v>
      </c>
      <c r="M23" s="43">
        <f>ROUND(L23*I23%,2)</f>
        <v>138.26</v>
      </c>
      <c r="N23" s="43">
        <f>H23-M23</f>
        <v>6117.99</v>
      </c>
      <c r="O23" s="43">
        <f>ROUND(N23*J23%,2)</f>
        <v>109.51</v>
      </c>
      <c r="P23" s="43">
        <f>ROUND(N23-O23,2)</f>
        <v>6008.48</v>
      </c>
      <c r="Q23" s="43">
        <f>ROUND(P23*K23%,2)</f>
        <v>150.21</v>
      </c>
      <c r="R23" s="43">
        <f>M23+O23+Q23</f>
        <v>397.98</v>
      </c>
      <c r="S23" s="76">
        <f>(H23-R23)</f>
        <v>5858.27</v>
      </c>
      <c r="T23" s="43" t="s">
        <v>128</v>
      </c>
      <c r="U23" s="44">
        <v>0.18</v>
      </c>
      <c r="V23" s="43">
        <f>IF($C$21=1,ROUND(((S23*U23)/2),2),0)</f>
        <v>527.24</v>
      </c>
      <c r="W23" s="43">
        <f>IF($C$21=1,ROUND(((S23*U23)/2),2),0)</f>
        <v>527.24</v>
      </c>
      <c r="X23" s="76">
        <f>IF($C$21=2,ROUND(((S23*U23)),2),0)</f>
        <v>0</v>
      </c>
      <c r="Y23" s="43">
        <f>V23+W23+X23</f>
        <v>1054.48</v>
      </c>
      <c r="Z23" s="43">
        <f t="shared" ref="Z23" si="1">S23+Y23</f>
        <v>6912.75</v>
      </c>
      <c r="AA23" s="43">
        <v>120</v>
      </c>
      <c r="AB23" s="43">
        <f>IF($P$21=1,(S23/$S$24)*$E$35,AA23/$AA$24*$E$35)</f>
        <v>0</v>
      </c>
      <c r="AC23" s="43"/>
      <c r="AD23" s="43">
        <f>IF($P$21=1,(S23/$S$24)*$E$37,AA23/$AA$24*$E$37)</f>
        <v>0</v>
      </c>
      <c r="AE23" s="43">
        <f>IF($P$21=1,(S23/$S$24)*$E$37,AA23/$AA$24*$E$37)</f>
        <v>0</v>
      </c>
      <c r="AF23" s="43">
        <f t="shared" ref="AF23" si="2">S23*$M$21</f>
        <v>5858.27</v>
      </c>
      <c r="AG23" s="43">
        <f t="shared" ref="AG23" si="3">IF($C$21=3,0,AD23+AE23)</f>
        <v>0</v>
      </c>
      <c r="AH23" s="43">
        <f t="shared" ref="AH23" si="4">IF($C$21=3,AB23+AD23+AE23,0)</f>
        <v>0</v>
      </c>
      <c r="AI23" s="42">
        <v>1</v>
      </c>
      <c r="AJ23" s="43">
        <f t="shared" ref="AJ23" si="5">F23/AI23</f>
        <v>25</v>
      </c>
      <c r="AK23" s="43">
        <f>AF23/AJ23</f>
        <v>234.33080000000001</v>
      </c>
      <c r="AL23" s="43">
        <f>AG23/AJ23</f>
        <v>0</v>
      </c>
      <c r="AM23" s="43">
        <f>AH23/AJ23</f>
        <v>0</v>
      </c>
      <c r="AN23" s="43" t="s">
        <v>56</v>
      </c>
      <c r="AO23" s="43">
        <f>AK23+AL23+AM23</f>
        <v>234.33080000000001</v>
      </c>
      <c r="AP23" s="15" t="s">
        <v>25</v>
      </c>
      <c r="AQ23" s="15" t="s">
        <v>56</v>
      </c>
      <c r="AR23" t="s" s="0">
        <v>205</v>
      </c>
      <c r="AS23" t="s" s="0">
        <v>206</v>
      </c>
      <c r="AT23" s="17">
        <f>AJ23</f>
        <v>25</v>
      </c>
      <c r="AU23" s="17">
        <f>AO23</f>
        <v>234.33080000000001</v>
      </c>
      <c r="AV23" s="17">
        <f>AR23+AT23</f>
        <v>1177.5999999999999</v>
      </c>
      <c r="AW23" s="15">
        <f>ROUND(((AR23*AS23)+(AT23*AU23))/(AR23+AT23),5)</f>
        <v>140.32694000000001</v>
      </c>
      <c r="AX23" s="59"/>
      <c r="AY23" s="59" t="s">
        <v>144</v>
      </c>
      <c r="AZ23" s="4" t="s">
        <v>23</v>
      </c>
      <c r="BA23" s="59"/>
      <c r="BB23" s="59"/>
      <c r="BC23" s="83"/>
      <c r="BD23" s="59"/>
      <c r="BE23" s="15"/>
      <c r="BF23" s="15"/>
      <c r="BG23" s="15"/>
      <c r="BH23" s="60"/>
    </row>
    <row r="24" spans="1:60" ht="15.75" thickBot="1">
      <c r="A24" s="13"/>
      <c r="B24" s="79"/>
      <c r="C24" s="79"/>
      <c r="D24" s="77" t="s">
        <v>85</v>
      </c>
      <c r="E24" s="77"/>
      <c r="F24" s="77"/>
      <c r="G24" s="78"/>
      <c r="H24" s="45">
        <f>SUM(H23:H23)</f>
        <v>6256.25</v>
      </c>
      <c r="I24" s="41"/>
      <c r="J24" s="41"/>
      <c r="K24" s="41"/>
      <c r="L24" s="41"/>
      <c r="M24" s="41"/>
      <c r="N24" s="41"/>
      <c r="O24" s="41"/>
      <c r="P24" s="41"/>
      <c r="Q24" s="41"/>
      <c r="R24" s="45">
        <f>SUM(R23:R23)</f>
        <v>397.98</v>
      </c>
      <c r="S24" s="81">
        <f>SUM(S23:S23)</f>
        <v>5858.27</v>
      </c>
      <c r="T24" s="45"/>
      <c r="U24" s="45"/>
      <c r="V24" s="46">
        <f t="shared" ref="V24:AB24" si="6">SUM(V23:V23)</f>
        <v>527.24</v>
      </c>
      <c r="W24" s="46">
        <f t="shared" si="6"/>
        <v>527.24</v>
      </c>
      <c r="X24" s="46">
        <f t="shared" si="6"/>
        <v>0</v>
      </c>
      <c r="Y24" s="45">
        <f t="shared" si="6"/>
        <v>1054.48</v>
      </c>
      <c r="Z24" s="47">
        <f t="shared" si="6"/>
        <v>6912.75</v>
      </c>
      <c r="AA24" s="48">
        <f t="shared" si="6"/>
        <v>120</v>
      </c>
      <c r="AB24" s="48">
        <f t="shared" si="6"/>
        <v>0</v>
      </c>
      <c r="AC24" s="47"/>
      <c r="AD24" s="48">
        <f>SUM(AD23:AD23)</f>
        <v>0</v>
      </c>
      <c r="AE24" s="48">
        <f>SUM(AE23:AE23)</f>
        <v>0</v>
      </c>
      <c r="AF24" s="48">
        <f>SUM(AF23:AF23)</f>
        <v>5858.27</v>
      </c>
      <c r="AG24" s="48">
        <f>SUM(AG23:AG23)</f>
        <v>0</v>
      </c>
      <c r="AH24" s="48">
        <f>SUM(AH23:AH23)</f>
        <v>0</v>
      </c>
      <c r="AI24" s="47"/>
      <c r="AJ24" s="47"/>
      <c r="AK24" s="47"/>
      <c r="AL24" s="47"/>
      <c r="AM24" s="47"/>
      <c r="AN24" s="47"/>
      <c r="AO24" s="47"/>
      <c r="AP24" s="13"/>
    </row>
    <row r="25" spans="1:60">
      <c r="A25" s="13"/>
      <c r="B25" s="79"/>
      <c r="C25" s="79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  <c r="AM25" s="13"/>
      <c r="AN25" s="13"/>
      <c r="AO25" s="13"/>
      <c r="AP25" s="13"/>
    </row>
  </sheetData>
  <mergeCells count="3">
    <mergeCell ref="A1:Z1"/>
    <mergeCell ref="B19:G19"/>
    <mergeCell ref="A21:B2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BO26"/>
  <sheetViews>
    <sheetView topLeftCell="Z13" workbookViewId="0">
      <selection activeCell="AP24" sqref="AP24"/>
    </sheetView>
  </sheetViews>
  <sheetFormatPr defaultRowHeight="15"/>
  <cols>
    <col min="2" max="2" bestFit="true" customWidth="true" width="26.85546875"/>
    <col min="3" max="3" bestFit="true" customWidth="true" width="19.28515625"/>
    <col min="4" max="4" bestFit="true" customWidth="true" width="62.7109375"/>
    <col min="5" max="5" bestFit="true" customWidth="true" width="10.42578125"/>
    <col min="6" max="6" bestFit="true" customWidth="true" width="8.28515625"/>
    <col min="7" max="7" bestFit="true" customWidth="true" width="10.140625"/>
    <col min="8" max="8" bestFit="true" customWidth="true" width="11.85546875"/>
    <col min="26" max="26" bestFit="true" customWidth="true" width="10.28515625"/>
    <col min="27" max="27" bestFit="true" customWidth="true" width="12.85546875"/>
    <col min="28" max="28" bestFit="true" customWidth="true" width="8.7109375"/>
    <col min="48" max="48" bestFit="true" customWidth="true" width="13.85546875"/>
    <col min="57" max="57" bestFit="true" customWidth="true" width="12.5703125"/>
    <col min="58" max="58" bestFit="true" customWidth="true" width="21.7109375"/>
    <col min="59" max="59" bestFit="true" customWidth="true" width="30.5703125"/>
    <col min="64" max="64" bestFit="true" customWidth="true" width="18.85546875"/>
    <col min="65" max="65" bestFit="true" customWidth="true" width="34.42578125"/>
  </cols>
  <sheetData>
    <row r="1" spans="1:42" ht="18">
      <c r="A1" s="113" t="s">
        <v>145</v>
      </c>
      <c r="B1" s="113"/>
      <c r="C1" s="113"/>
      <c r="D1" s="113"/>
      <c r="E1" s="113"/>
      <c r="F1" s="113"/>
      <c r="G1" s="113"/>
      <c r="H1" s="113"/>
      <c r="I1" s="113"/>
      <c r="J1" s="113"/>
      <c r="K1" s="113"/>
      <c r="L1" s="113"/>
      <c r="M1" s="113"/>
      <c r="N1" s="113"/>
      <c r="O1" s="113"/>
      <c r="P1" s="113"/>
      <c r="Q1" s="113"/>
      <c r="R1" s="113"/>
      <c r="S1" s="113"/>
      <c r="T1" s="113"/>
      <c r="U1" s="113"/>
      <c r="V1" s="113"/>
      <c r="W1" s="113"/>
      <c r="X1" s="113"/>
      <c r="Y1" s="113"/>
      <c r="Z1" s="113"/>
      <c r="AA1" s="82"/>
      <c r="AB1" s="82"/>
      <c r="AC1" s="82"/>
      <c r="AD1" s="82"/>
      <c r="AE1" s="82"/>
      <c r="AF1" s="82"/>
      <c r="AG1" s="82"/>
      <c r="AH1" s="82"/>
      <c r="AI1" s="82"/>
      <c r="AJ1" s="82"/>
      <c r="AK1" s="82"/>
      <c r="AL1" s="82"/>
      <c r="AM1" s="82"/>
      <c r="AN1" s="82"/>
      <c r="AO1" s="13"/>
      <c r="AP1" s="13"/>
    </row>
    <row r="2" spans="1:42" ht="18.75" thickBot="1">
      <c r="A2" s="82" t="s">
        <v>146</v>
      </c>
      <c r="B2" s="82"/>
      <c r="C2" s="82"/>
      <c r="D2" s="82"/>
      <c r="E2" s="82"/>
      <c r="F2" s="82"/>
      <c r="G2" s="82"/>
      <c r="H2" s="82"/>
      <c r="I2" s="82"/>
      <c r="J2" s="82"/>
      <c r="K2" s="82"/>
      <c r="L2" s="82"/>
      <c r="M2" s="82"/>
      <c r="N2" s="82"/>
      <c r="O2" s="82"/>
      <c r="P2" s="82"/>
      <c r="Q2" s="82"/>
      <c r="R2" s="82"/>
      <c r="S2" s="82"/>
      <c r="T2" s="82"/>
      <c r="U2" s="82"/>
      <c r="V2" s="82"/>
      <c r="W2" s="82"/>
      <c r="X2" s="82"/>
      <c r="Y2" s="82"/>
      <c r="Z2" s="82"/>
      <c r="AA2" s="82"/>
      <c r="AB2" s="82"/>
      <c r="AC2" s="82"/>
      <c r="AD2" s="82"/>
      <c r="AE2" s="82"/>
      <c r="AF2" s="82"/>
      <c r="AG2" s="82"/>
      <c r="AH2" s="82"/>
      <c r="AI2" s="82"/>
      <c r="AJ2" s="82"/>
      <c r="AK2" s="82"/>
      <c r="AL2" s="82"/>
      <c r="AM2" s="82"/>
      <c r="AN2" s="82"/>
      <c r="AO2" s="13"/>
      <c r="AP2" s="13"/>
    </row>
    <row r="3" spans="1:42" ht="15.75" thickTop="1">
      <c r="A3" s="8" t="s">
        <v>46</v>
      </c>
      <c r="B3" s="9" t="s">
        <v>47</v>
      </c>
      <c r="C3" s="10" t="s">
        <v>48</v>
      </c>
      <c r="D3" s="9" t="s">
        <v>49</v>
      </c>
      <c r="E3" s="9" t="s">
        <v>50</v>
      </c>
      <c r="F3" s="9" t="s">
        <v>51</v>
      </c>
      <c r="G3" s="9" t="s">
        <v>52</v>
      </c>
      <c r="H3" s="11" t="s">
        <v>53</v>
      </c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3"/>
    </row>
    <row r="4" spans="1:42">
      <c r="A4" s="14">
        <v>1</v>
      </c>
      <c r="B4" s="15" t="s">
        <v>54</v>
      </c>
      <c r="C4" s="15" t="s">
        <v>55</v>
      </c>
      <c r="D4" s="15" t="s">
        <v>56</v>
      </c>
      <c r="E4" s="15" t="s">
        <v>56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20"/>
      <c r="Z4" s="20"/>
      <c r="AA4" s="20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13"/>
    </row>
    <row r="5" spans="1:42">
      <c r="A5" s="14">
        <v>2</v>
      </c>
      <c r="B5" s="15" t="s">
        <v>57</v>
      </c>
      <c r="C5" s="15" t="s">
        <v>58</v>
      </c>
      <c r="D5" s="15" t="s">
        <v>56</v>
      </c>
      <c r="E5" s="15" t="s">
        <v>56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13"/>
    </row>
    <row r="6" spans="1:42">
      <c r="A6" s="14">
        <v>3</v>
      </c>
      <c r="B6" s="15" t="s">
        <v>59</v>
      </c>
      <c r="C6" s="15" t="s">
        <v>60</v>
      </c>
      <c r="D6" s="15" t="s">
        <v>56</v>
      </c>
      <c r="E6" s="15" t="s">
        <v>56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20"/>
      <c r="Z6" s="20"/>
      <c r="AA6" s="20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13"/>
    </row>
    <row r="7" spans="1:42">
      <c r="A7" s="14">
        <v>4</v>
      </c>
      <c r="B7" s="15" t="s">
        <v>61</v>
      </c>
      <c r="C7" s="15" t="s">
        <v>62</v>
      </c>
      <c r="D7" s="15" t="s">
        <v>56</v>
      </c>
      <c r="E7" s="15" t="s">
        <v>56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20"/>
      <c r="Z7" s="20"/>
      <c r="AA7" s="20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13"/>
    </row>
    <row r="8" spans="1:42">
      <c r="A8" s="14">
        <v>5</v>
      </c>
      <c r="B8" s="15" t="s">
        <v>63</v>
      </c>
      <c r="C8" s="15" t="s">
        <v>64</v>
      </c>
      <c r="D8" s="15" t="s">
        <v>56</v>
      </c>
      <c r="E8" s="15" t="s">
        <v>56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13"/>
    </row>
    <row r="9" spans="1:42">
      <c r="A9" s="14">
        <v>6</v>
      </c>
      <c r="B9" s="15" t="s">
        <v>65</v>
      </c>
      <c r="C9" s="15" t="s">
        <v>66</v>
      </c>
      <c r="D9" s="15" t="s">
        <v>56</v>
      </c>
      <c r="E9" s="15" t="s">
        <v>56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20"/>
      <c r="Z9" s="20"/>
      <c r="AA9" s="20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13"/>
    </row>
    <row r="10" spans="1:42">
      <c r="A10" s="14">
        <v>7</v>
      </c>
      <c r="B10" s="15" t="s">
        <v>67</v>
      </c>
      <c r="C10" s="15" t="s">
        <v>68</v>
      </c>
      <c r="D10" s="15" t="s">
        <v>56</v>
      </c>
      <c r="E10" s="15" t="s">
        <v>56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20"/>
      <c r="Z10" s="20"/>
      <c r="AA10" s="20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13"/>
    </row>
    <row r="11" spans="1:42">
      <c r="A11" s="14">
        <v>8</v>
      </c>
      <c r="B11" s="15" t="s">
        <v>69</v>
      </c>
      <c r="C11" s="15" t="s">
        <v>70</v>
      </c>
      <c r="D11" s="15" t="s">
        <v>56</v>
      </c>
      <c r="E11" s="15" t="s">
        <v>56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13"/>
    </row>
    <row r="12" spans="1:42">
      <c r="A12" s="14">
        <v>9</v>
      </c>
      <c r="B12" s="15" t="s">
        <v>71</v>
      </c>
      <c r="C12" s="15" t="s">
        <v>72</v>
      </c>
      <c r="D12" s="15" t="s">
        <v>56</v>
      </c>
      <c r="E12" s="15" t="s">
        <v>56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13"/>
    </row>
    <row r="13" spans="1:42">
      <c r="A13" s="14">
        <v>10</v>
      </c>
      <c r="B13" s="15" t="s">
        <v>73</v>
      </c>
      <c r="C13" s="15" t="s">
        <v>74</v>
      </c>
      <c r="D13" s="15" t="s">
        <v>56</v>
      </c>
      <c r="E13" s="15" t="s">
        <v>56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20"/>
      <c r="Z13" s="20"/>
      <c r="AA13" s="20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13"/>
    </row>
    <row r="14" spans="1:42">
      <c r="A14" s="14">
        <v>11</v>
      </c>
      <c r="B14" s="15" t="s">
        <v>75</v>
      </c>
      <c r="C14" s="15" t="s">
        <v>76</v>
      </c>
      <c r="D14" s="15" t="s">
        <v>56</v>
      </c>
      <c r="E14" s="15" t="s">
        <v>56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13"/>
    </row>
    <row r="15" spans="1:42">
      <c r="A15" s="14">
        <v>12</v>
      </c>
      <c r="B15" s="15" t="s">
        <v>77</v>
      </c>
      <c r="C15" s="15" t="s">
        <v>78</v>
      </c>
      <c r="D15" s="15" t="s">
        <v>56</v>
      </c>
      <c r="E15" s="15" t="s">
        <v>56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20"/>
      <c r="Z15" s="20"/>
      <c r="AA15" s="20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13"/>
    </row>
    <row r="16" spans="1:42">
      <c r="A16" s="14">
        <v>13</v>
      </c>
      <c r="B16" s="15" t="s">
        <v>79</v>
      </c>
      <c r="C16" s="15" t="s">
        <v>80</v>
      </c>
      <c r="D16" s="15" t="s">
        <v>56</v>
      </c>
      <c r="E16" s="15" t="s">
        <v>56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20"/>
      <c r="Z16" s="20"/>
      <c r="AA16" s="20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13"/>
    </row>
    <row r="17" spans="1:67">
      <c r="A17" s="14">
        <v>14</v>
      </c>
      <c r="B17" s="15" t="s">
        <v>81</v>
      </c>
      <c r="C17" s="15" t="s">
        <v>82</v>
      </c>
      <c r="D17" s="15" t="s">
        <v>56</v>
      </c>
      <c r="E17" s="15" t="s">
        <v>56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80">
        <v>5858.27</v>
      </c>
      <c r="T17" s="20"/>
      <c r="U17" s="19"/>
      <c r="V17" s="19"/>
      <c r="W17" s="19"/>
      <c r="X17" s="19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13"/>
    </row>
    <row r="18" spans="1:67" ht="15.75" thickBot="1">
      <c r="A18" s="21">
        <v>15</v>
      </c>
      <c r="B18" s="22" t="s">
        <v>83</v>
      </c>
      <c r="C18" s="22" t="s">
        <v>84</v>
      </c>
      <c r="D18" s="22" t="s">
        <v>56</v>
      </c>
      <c r="E18" s="22" t="s">
        <v>56</v>
      </c>
      <c r="F18" s="23">
        <v>85</v>
      </c>
      <c r="G18" s="24">
        <v>65.48</v>
      </c>
      <c r="H18" s="25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20"/>
      <c r="Z18" s="20"/>
      <c r="AA18" s="20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13"/>
    </row>
    <row r="19" spans="1:67" ht="15.75" thickTop="1">
      <c r="A19" s="13"/>
      <c r="B19" s="114" t="s">
        <v>85</v>
      </c>
      <c r="C19" s="114"/>
      <c r="D19" s="114"/>
      <c r="E19" s="114"/>
      <c r="F19" s="114"/>
      <c r="G19" s="114"/>
      <c r="H19" s="26">
        <f>SUM(H4:H18)</f>
        <v>71856.759999999995</v>
      </c>
      <c r="I19" s="27"/>
      <c r="J19" s="27"/>
      <c r="K19" s="27"/>
      <c r="L19" s="27"/>
      <c r="M19" s="27"/>
      <c r="N19" s="27"/>
      <c r="O19" s="27"/>
      <c r="P19" s="27"/>
      <c r="Q19" s="27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  <c r="AO19" s="28"/>
      <c r="AP19" s="13"/>
    </row>
    <row r="20" spans="1:67">
      <c r="A20" s="28" t="s">
        <v>86</v>
      </c>
      <c r="B20" s="29"/>
      <c r="C20" s="29"/>
      <c r="D20" s="29"/>
      <c r="E20" s="29"/>
      <c r="F20" s="29"/>
      <c r="G20" s="29"/>
      <c r="H20" s="28"/>
      <c r="I20" s="30"/>
      <c r="J20" s="30"/>
      <c r="K20" s="30"/>
      <c r="L20" s="30"/>
      <c r="M20" s="30"/>
      <c r="N20" s="30"/>
      <c r="O20" s="30"/>
      <c r="P20" s="30"/>
      <c r="Q20" s="30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  <c r="AO20" s="28"/>
      <c r="AP20" s="13"/>
    </row>
    <row r="21" spans="1:67" ht="15.75" thickBot="1">
      <c r="A21" s="115" t="s">
        <v>87</v>
      </c>
      <c r="B21" s="115"/>
      <c r="C21" s="12">
        <v>1</v>
      </c>
      <c r="D21" s="31" t="s">
        <v>88</v>
      </c>
      <c r="E21" s="29"/>
      <c r="F21" s="29"/>
      <c r="G21" s="29"/>
      <c r="H21" s="28"/>
      <c r="I21" s="30" t="s">
        <v>89</v>
      </c>
      <c r="J21" s="30" t="s">
        <v>90</v>
      </c>
      <c r="K21" s="30"/>
      <c r="L21" s="30" t="s">
        <v>91</v>
      </c>
      <c r="M21" s="30">
        <v>1</v>
      </c>
      <c r="N21" s="30"/>
      <c r="O21" s="30" t="s">
        <v>92</v>
      </c>
      <c r="P21" s="30">
        <v>1</v>
      </c>
      <c r="Q21" s="30" t="s">
        <v>93</v>
      </c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  <c r="AO21" s="28"/>
      <c r="AP21" s="13"/>
    </row>
    <row r="22" spans="1:67" ht="58.5" thickTop="1" thickBot="1">
      <c r="A22" s="32" t="s">
        <v>46</v>
      </c>
      <c r="B22" s="32" t="s">
        <v>47</v>
      </c>
      <c r="C22" s="33" t="s">
        <v>48</v>
      </c>
      <c r="D22" s="32" t="s">
        <v>49</v>
      </c>
      <c r="E22" s="32" t="s">
        <v>50</v>
      </c>
      <c r="F22" s="34" t="s">
        <v>94</v>
      </c>
      <c r="G22" s="32" t="s">
        <v>52</v>
      </c>
      <c r="H22" s="32" t="s">
        <v>53</v>
      </c>
      <c r="I22" s="35" t="s">
        <v>95</v>
      </c>
      <c r="J22" s="35" t="s">
        <v>96</v>
      </c>
      <c r="K22" s="35" t="s">
        <v>97</v>
      </c>
      <c r="L22" s="36" t="s">
        <v>98</v>
      </c>
      <c r="M22" s="36" t="s">
        <v>99</v>
      </c>
      <c r="N22" s="36" t="s">
        <v>100</v>
      </c>
      <c r="O22" s="36" t="s">
        <v>101</v>
      </c>
      <c r="P22" s="36" t="s">
        <v>102</v>
      </c>
      <c r="Q22" s="36" t="s">
        <v>103</v>
      </c>
      <c r="R22" s="35" t="s">
        <v>104</v>
      </c>
      <c r="S22" s="32" t="s">
        <v>105</v>
      </c>
      <c r="T22" s="32" t="s">
        <v>106</v>
      </c>
      <c r="U22" s="37" t="s">
        <v>107</v>
      </c>
      <c r="V22" s="37" t="s">
        <v>108</v>
      </c>
      <c r="W22" s="37" t="s">
        <v>109</v>
      </c>
      <c r="X22" s="37" t="s">
        <v>110</v>
      </c>
      <c r="Y22" s="37" t="s">
        <v>111</v>
      </c>
      <c r="Z22" s="38" t="s">
        <v>112</v>
      </c>
      <c r="AA22" s="38" t="s">
        <v>113</v>
      </c>
      <c r="AB22" s="39" t="s">
        <v>114</v>
      </c>
      <c r="AC22" s="39" t="s">
        <v>115</v>
      </c>
      <c r="AD22" s="39" t="s">
        <v>116</v>
      </c>
      <c r="AE22" s="38" t="s">
        <v>117</v>
      </c>
      <c r="AF22" s="38" t="s">
        <v>118</v>
      </c>
      <c r="AG22" s="39" t="s">
        <v>119</v>
      </c>
      <c r="AH22" s="39" t="s">
        <v>120</v>
      </c>
      <c r="AI22" s="38" t="s">
        <v>121</v>
      </c>
      <c r="AJ22" s="38" t="s">
        <v>122</v>
      </c>
      <c r="AK22" s="39" t="s">
        <v>123</v>
      </c>
      <c r="AL22" s="39" t="s">
        <v>124</v>
      </c>
      <c r="AM22" s="39" t="s">
        <v>125</v>
      </c>
      <c r="AN22" s="38" t="s">
        <v>126</v>
      </c>
      <c r="AO22" s="40" t="s">
        <v>127</v>
      </c>
      <c r="AP22" s="9" t="s">
        <v>240</v>
      </c>
      <c r="AQ22" s="9" t="s">
        <v>126</v>
      </c>
      <c r="AR22" s="56" t="s">
        <v>131</v>
      </c>
      <c r="AS22" s="56" t="s">
        <v>132</v>
      </c>
      <c r="AT22" s="56" t="s">
        <v>133</v>
      </c>
      <c r="AU22" s="56" t="s">
        <v>134</v>
      </c>
      <c r="AV22" s="56" t="s">
        <v>135</v>
      </c>
      <c r="AW22" s="56" t="s">
        <v>136</v>
      </c>
      <c r="AX22" s="56" t="s">
        <v>137</v>
      </c>
      <c r="AY22" s="56" t="s">
        <v>138</v>
      </c>
      <c r="AZ22" s="84" t="s">
        <v>207</v>
      </c>
      <c r="BA22" s="84" t="s">
        <v>8</v>
      </c>
      <c r="BB22" s="84" t="s">
        <v>9</v>
      </c>
      <c r="BC22" s="56" t="s">
        <v>228</v>
      </c>
      <c r="BD22" s="56" t="s">
        <v>139</v>
      </c>
      <c r="BE22" s="56" t="s">
        <v>140</v>
      </c>
      <c r="BF22" s="56" t="s">
        <v>141</v>
      </c>
      <c r="BG22" s="56" t="s">
        <v>142</v>
      </c>
      <c r="BH22" s="56" t="s">
        <v>143</v>
      </c>
      <c r="BI22" s="56" t="s">
        <v>241</v>
      </c>
      <c r="BJ22" s="96" t="s">
        <v>247</v>
      </c>
      <c r="BK22" s="56" t="s">
        <v>248</v>
      </c>
      <c r="BL22" s="56" t="s">
        <v>136</v>
      </c>
      <c r="BM22" s="97" t="s">
        <v>256</v>
      </c>
    </row>
    <row r="23" spans="1:67" ht="15.75" thickBot="1">
      <c r="A23" s="41">
        <v>1</v>
      </c>
      <c r="B23" s="4" t="s">
        <v>22</v>
      </c>
      <c r="C23" s="41" t="s">
        <v>55</v>
      </c>
      <c r="D23" s="41" t="s">
        <v>56</v>
      </c>
      <c r="E23" s="41" t="s">
        <v>56</v>
      </c>
      <c r="F23" s="76">
        <v>2</v>
      </c>
      <c r="G23" s="76">
        <v>250.25</v>
      </c>
      <c r="H23" s="76">
        <f>F23*G23</f>
        <v>500.5</v>
      </c>
      <c r="I23" s="76">
        <v>2.21</v>
      </c>
      <c r="J23" s="76">
        <v>1.79</v>
      </c>
      <c r="K23" s="76">
        <v>2.5</v>
      </c>
      <c r="L23" s="76">
        <f>H23</f>
        <v>500.5</v>
      </c>
      <c r="M23" s="76">
        <f>ROUND(L23*I23%,2)</f>
        <v>11.06</v>
      </c>
      <c r="N23" s="76">
        <f>H23-M23</f>
        <v>489.44</v>
      </c>
      <c r="O23" s="76">
        <f>ROUND(N23*J23%,2)</f>
        <v>8.76</v>
      </c>
      <c r="P23" s="76">
        <f>ROUND(N23-O23,2)</f>
        <v>480.68</v>
      </c>
      <c r="Q23" s="76">
        <f>ROUND(P23*K23%,2)</f>
        <v>12.02</v>
      </c>
      <c r="R23" s="76">
        <f>M23+O23+Q23</f>
        <v>31.84</v>
      </c>
      <c r="S23" s="76">
        <f>(H23-R23)</f>
        <v>468.66</v>
      </c>
      <c r="T23" s="76" t="s">
        <v>128</v>
      </c>
      <c r="U23" s="76">
        <v>0.18</v>
      </c>
      <c r="V23" s="76">
        <f>IF($C$21=1,ROUND(((S23*U23)/2),2),0)</f>
        <v>42.18</v>
      </c>
      <c r="W23" s="76">
        <f>IF($C$21=1,ROUND(((S23*U23)/2),2),0)</f>
        <v>42.18</v>
      </c>
      <c r="X23" s="76">
        <f>IF($C$21=2,ROUND(((S23*U23)),2),0)</f>
        <v>0</v>
      </c>
      <c r="Y23" s="76">
        <f>V23+W23+X23</f>
        <v>84.36</v>
      </c>
      <c r="Z23" s="76">
        <f t="shared" ref="Z23:Z24" si="1">S23+Y23</f>
        <v>553.02</v>
      </c>
      <c r="AA23" s="76">
        <v>120</v>
      </c>
      <c r="AB23" s="76">
        <f>IF($P$21=1,(S23/$S$25)*$E$36,AA23/$AA$25*$E$36)</f>
        <v>0</v>
      </c>
      <c r="AC23" s="76"/>
      <c r="AD23" s="76">
        <f>IF($P$21=1,(S23/$S$25)*$E$38,AA23/$AA$25*$E$38)</f>
        <v>0</v>
      </c>
      <c r="AE23" s="76">
        <f>IF($P$21=1,(S23/$S$25)*$E$38,AA23/$AA$25*$E$38)</f>
        <v>0</v>
      </c>
      <c r="AF23" s="76">
        <f t="shared" ref="AF23:AF24" si="2">S23*$M$21</f>
        <v>468.66</v>
      </c>
      <c r="AG23" s="76">
        <f t="shared" ref="AG23:AG24" si="3">IF($C$21=3,0,AD23+AE23)</f>
        <v>0</v>
      </c>
      <c r="AH23" s="76">
        <f t="shared" ref="AH23:AH24" si="4">IF($C$21=3,AB23+AD23+AE23,0)</f>
        <v>0</v>
      </c>
      <c r="AI23" s="76">
        <v>1</v>
      </c>
      <c r="AJ23" s="76">
        <f t="shared" ref="AJ23:AJ24" si="5">F23/AI23</f>
        <v>2</v>
      </c>
      <c r="AK23" s="76">
        <f>AF23/AJ23</f>
        <v>234.33</v>
      </c>
      <c r="AL23" s="76">
        <f>AG23/AJ23</f>
        <v>0</v>
      </c>
      <c r="AM23" s="76">
        <f>AH23/AJ23</f>
        <v>0</v>
      </c>
      <c r="AN23" s="76" t="s">
        <v>56</v>
      </c>
      <c r="AO23" s="76">
        <f>AK23+AL23+AM23</f>
        <v>234.33</v>
      </c>
      <c r="AP23" s="88" t="s">
        <v>236</v>
      </c>
      <c r="AQ23" s="88" t="s">
        <v>56</v>
      </c>
      <c r="AR23" t="s" s="0">
        <v>249</v>
      </c>
      <c r="AS23" t="s" s="0">
        <v>320</v>
      </c>
      <c r="AT23" s="88">
        <f>AJ23</f>
        <v>2</v>
      </c>
      <c r="AU23" s="88">
        <f>AO23</f>
        <v>234.33</v>
      </c>
      <c r="AV23" s="88">
        <f>AR23+AT23</f>
        <v>2</v>
      </c>
      <c r="AW23" s="88">
        <f>ROUND(((AR23*AS23)+(AT23*AU23))/(AR23+AT23),5)</f>
        <v>234.33</v>
      </c>
      <c r="AX23" s="99"/>
      <c r="AY23" s="99" t="s">
        <v>144</v>
      </c>
      <c r="AZ23" s="100" t="s">
        <v>23</v>
      </c>
      <c r="BA23" s="101" t="s">
        <v>24</v>
      </c>
      <c r="BB23" s="101" t="s">
        <v>28</v>
      </c>
      <c r="BC23" s="99"/>
      <c r="BD23" s="99"/>
      <c r="BE23" s="99"/>
      <c r="BF23" s="88"/>
      <c r="BG23" s="88"/>
      <c r="BH23" s="88"/>
      <c r="BI23" s="88" t="s">
        <v>25</v>
      </c>
      <c r="BJ23" t="s" s="0">
        <v>322</v>
      </c>
      <c r="BK23" t="s" s="0">
        <v>321</v>
      </c>
      <c r="BL23" s="88">
        <f>ROUND((((AT23*AW23)+(BK23*BJ23))/(AT23+BK23)),5)</f>
        <v>154.49549999999999</v>
      </c>
      <c r="BM23" s="54">
        <f>BK23+AT23</f>
        <v>1558.6</v>
      </c>
      <c r="BN23" s="54"/>
      <c r="BO23" s="54"/>
    </row>
    <row r="24" spans="1:67" ht="15.75" thickBot="1">
      <c r="A24" s="41">
        <v>2</v>
      </c>
      <c r="B24" s="102" t="s">
        <v>26</v>
      </c>
      <c r="C24" s="41" t="s">
        <v>58</v>
      </c>
      <c r="D24" s="41" t="s">
        <v>56</v>
      </c>
      <c r="E24" s="41" t="s">
        <v>56</v>
      </c>
      <c r="F24" s="76">
        <v>3</v>
      </c>
      <c r="G24" s="76">
        <v>130.25</v>
      </c>
      <c r="H24" s="76">
        <f t="shared" ref="H24" si="6">F24*G24</f>
        <v>390.75</v>
      </c>
      <c r="I24" s="76">
        <v>1.25</v>
      </c>
      <c r="J24" s="76">
        <v>1.68</v>
      </c>
      <c r="K24" s="76">
        <v>2.5</v>
      </c>
      <c r="L24" s="76">
        <f>H24</f>
        <v>390.75</v>
      </c>
      <c r="M24" s="76">
        <f>ROUND(L24*I24%,2)</f>
        <v>4.88</v>
      </c>
      <c r="N24" s="76">
        <f t="shared" ref="N24" si="7">H24-M24</f>
        <v>385.87</v>
      </c>
      <c r="O24" s="76">
        <f t="shared" ref="O24" si="8">ROUND(N24*J24%,2)</f>
        <v>6.48</v>
      </c>
      <c r="P24" s="76">
        <f t="shared" ref="P24" si="9">ROUND(N24-O24,2)</f>
        <v>379.39</v>
      </c>
      <c r="Q24" s="76">
        <f t="shared" ref="Q24" si="10">ROUND(P24*K24%,2)</f>
        <v>9.48</v>
      </c>
      <c r="R24" s="76">
        <f t="shared" ref="R24" si="11">M24+O24+Q24</f>
        <v>20.84</v>
      </c>
      <c r="S24" s="76">
        <f t="shared" ref="S24" si="12">(H24-R24)</f>
        <v>369.91</v>
      </c>
      <c r="T24" s="76" t="s">
        <v>128</v>
      </c>
      <c r="U24" s="76">
        <v>0.18</v>
      </c>
      <c r="V24" s="76">
        <f t="shared" ref="V24" si="13">IF($C$21=1,ROUND(((S24*U24)/2),2),0)</f>
        <v>33.29</v>
      </c>
      <c r="W24" s="76">
        <f t="shared" ref="W24" si="14">IF($C$21=1,ROUND(((S24*U24)/2),2),0)</f>
        <v>33.29</v>
      </c>
      <c r="X24" s="76">
        <f t="shared" ref="X24" si="15">IF($C$21=2,ROUND(((S24*U24)),2),0)</f>
        <v>0</v>
      </c>
      <c r="Y24" s="76">
        <f t="shared" ref="Y24" si="16">V24+W24+X24</f>
        <v>66.58</v>
      </c>
      <c r="Z24" s="76">
        <f t="shared" si="1"/>
        <v>436.49</v>
      </c>
      <c r="AA24" s="76">
        <v>200</v>
      </c>
      <c r="AB24" s="76">
        <f>IF($P$21=1,(S24/$S$25)*$E$36,AA24/$AA$25*$E$36)</f>
        <v>0</v>
      </c>
      <c r="AC24" s="76"/>
      <c r="AD24" s="76">
        <f>IF($P$21=1,(S24/$S$25)*$E$38,AA24/$AA$25*$E$38)</f>
        <v>0</v>
      </c>
      <c r="AE24" s="76">
        <f>IF($P$21=1,(S24/$S$25)*$E$38,AA24/$AA$25*$E$38)</f>
        <v>0</v>
      </c>
      <c r="AF24" s="76">
        <f t="shared" si="2"/>
        <v>369.91</v>
      </c>
      <c r="AG24" s="76">
        <f t="shared" si="3"/>
        <v>0</v>
      </c>
      <c r="AH24" s="76">
        <f t="shared" si="4"/>
        <v>0</v>
      </c>
      <c r="AI24" s="76">
        <v>1</v>
      </c>
      <c r="AJ24" s="76">
        <f t="shared" si="5"/>
        <v>3</v>
      </c>
      <c r="AK24" s="76">
        <f t="shared" ref="AK24" si="17">AF24/AJ24</f>
        <v>123.30333333333334</v>
      </c>
      <c r="AL24" s="76">
        <f t="shared" ref="AL24" si="18">AG24/AJ24</f>
        <v>0</v>
      </c>
      <c r="AM24" s="76">
        <f t="shared" ref="AM24" si="19">AH24/AJ24</f>
        <v>0</v>
      </c>
      <c r="AN24" s="76" t="s">
        <v>56</v>
      </c>
      <c r="AO24" s="76">
        <f t="shared" ref="AO24" si="20">AK24+AL24+AM24</f>
        <v>123.30333333333334</v>
      </c>
      <c r="AP24" s="88" t="s">
        <v>236</v>
      </c>
      <c r="AQ24" s="88" t="s">
        <v>56</v>
      </c>
      <c r="AR24" t="s" s="0">
        <v>249</v>
      </c>
      <c r="AS24" t="s" s="0">
        <v>261</v>
      </c>
      <c r="AT24" s="88">
        <f t="shared" ref="AT24" si="21">AJ24</f>
        <v>3</v>
      </c>
      <c r="AU24" s="88">
        <f>AO24</f>
        <v>123.30333333333334</v>
      </c>
      <c r="AV24" s="88">
        <f t="shared" ref="AV24" si="22">AR24+AT24</f>
        <v>3</v>
      </c>
      <c r="AW24" s="88">
        <f>ROUND(((AR24*AS24)+(AT24*AU24))/(AR24+AT24),5)</f>
        <v>123.30333</v>
      </c>
      <c r="AX24" s="99"/>
      <c r="AY24" s="99"/>
      <c r="AZ24" s="101" t="s">
        <v>27</v>
      </c>
      <c r="BA24" s="100" t="s">
        <v>234</v>
      </c>
      <c r="BB24" s="100"/>
      <c r="BC24" s="99"/>
      <c r="BD24" s="99"/>
      <c r="BE24" s="99"/>
      <c r="BF24" s="88"/>
      <c r="BG24" s="88"/>
      <c r="BH24" s="88"/>
      <c r="BI24" s="88" t="s">
        <v>25</v>
      </c>
      <c r="BJ24" t="s" s="0">
        <v>324</v>
      </c>
      <c r="BK24" t="s" s="0">
        <v>323</v>
      </c>
      <c r="BL24" s="88">
        <f t="shared" ref="BL24" si="23">ROUND((((AT24*AW24)+(BK24*BJ24))/(AT24+BK24)),5)</f>
        <v>100.79804</v>
      </c>
      <c r="BM24" s="54">
        <f t="shared" ref="BM24" si="24">BK24+AT24</f>
        <v>8691</v>
      </c>
      <c r="BN24" s="54"/>
      <c r="BO24" s="54"/>
    </row>
    <row r="25" spans="1:67" ht="15.75" thickBot="1">
      <c r="A25" s="13"/>
      <c r="B25" s="79"/>
      <c r="C25" s="79"/>
      <c r="D25" s="77" t="s">
        <v>85</v>
      </c>
      <c r="E25" s="77"/>
      <c r="F25" s="77"/>
      <c r="G25" s="78"/>
      <c r="H25" s="45">
        <f>SUM(H23:H24)</f>
        <v>891.25</v>
      </c>
      <c r="I25" s="41"/>
      <c r="J25" s="41"/>
      <c r="K25" s="41"/>
      <c r="L25" s="41"/>
      <c r="M25" s="41"/>
      <c r="N25" s="41"/>
      <c r="O25" s="41"/>
      <c r="P25" s="41"/>
      <c r="Q25" s="41"/>
      <c r="R25" s="45">
        <f>SUM(R23:R24)</f>
        <v>52.68</v>
      </c>
      <c r="S25" s="81">
        <f>SUM(S23:S24)</f>
        <v>838.57</v>
      </c>
      <c r="T25" s="45"/>
      <c r="U25" s="45"/>
      <c r="V25" s="46">
        <f t="shared" ref="V25:AB25" si="25">SUM(V23:V24)</f>
        <v>75.47</v>
      </c>
      <c r="W25" s="46">
        <f t="shared" si="25"/>
        <v>75.47</v>
      </c>
      <c r="X25" s="46">
        <f t="shared" si="25"/>
        <v>0</v>
      </c>
      <c r="Y25" s="45">
        <f t="shared" si="25"/>
        <v>150.94</v>
      </c>
      <c r="Z25" s="47">
        <f t="shared" si="25"/>
        <v>989.51</v>
      </c>
      <c r="AA25" s="48">
        <f t="shared" si="25"/>
        <v>320</v>
      </c>
      <c r="AB25" s="48">
        <f t="shared" si="25"/>
        <v>0</v>
      </c>
      <c r="AC25" s="47"/>
      <c r="AD25" s="48">
        <f>SUM(AD23:AD24)</f>
        <v>0</v>
      </c>
      <c r="AE25" s="48">
        <f>SUM(AE23:AE24)</f>
        <v>0</v>
      </c>
      <c r="AF25" s="48">
        <f>SUM(AF23:AF24)</f>
        <v>838.57</v>
      </c>
      <c r="AG25" s="48">
        <f>SUM(AG23:AG24)</f>
        <v>0</v>
      </c>
      <c r="AH25" s="48">
        <f>SUM(AH23:AH24)</f>
        <v>0</v>
      </c>
      <c r="AI25" s="47"/>
      <c r="AJ25" s="47"/>
      <c r="AK25" s="47"/>
      <c r="AL25" s="47"/>
      <c r="AM25" s="47"/>
      <c r="AN25" s="47"/>
      <c r="AO25" s="47"/>
      <c r="AP25" s="13"/>
    </row>
    <row r="26" spans="1:67">
      <c r="A26" s="13"/>
      <c r="B26" s="79"/>
      <c r="C26" s="79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</row>
  </sheetData>
  <mergeCells count="3">
    <mergeCell ref="A1:Z1"/>
    <mergeCell ref="B19:G19"/>
    <mergeCell ref="A21:B2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BN33"/>
  <sheetViews>
    <sheetView topLeftCell="AM19" workbookViewId="0">
      <selection activeCell="AW28" sqref="AW28"/>
    </sheetView>
  </sheetViews>
  <sheetFormatPr defaultRowHeight="15"/>
  <cols>
    <col min="2" max="2" bestFit="true" customWidth="true" width="19.7109375"/>
    <col min="3" max="3" bestFit="true" customWidth="true" width="19.28515625"/>
    <col min="4" max="4" bestFit="true" customWidth="true" width="62.7109375"/>
    <col min="5" max="5" bestFit="true" customWidth="true" width="10.42578125"/>
    <col min="6" max="6" bestFit="true" customWidth="true" width="8.28515625"/>
    <col min="8" max="8" bestFit="true" customWidth="true" width="11.85546875"/>
    <col min="10" max="10" bestFit="true" customWidth="true" width="6.140625"/>
    <col min="11" max="11" bestFit="true" customWidth="true" width="6.28515625"/>
    <col min="12" max="12" bestFit="true" customWidth="true" width="13.85546875"/>
    <col min="42" max="42" bestFit="true" customWidth="true" width="9.42578125"/>
    <col min="43" max="43" bestFit="true" customWidth="true" width="11.85546875"/>
    <col min="44" max="44" bestFit="true" customWidth="true" width="15.28515625"/>
    <col min="45" max="45" bestFit="true" customWidth="true" width="20.28515625"/>
    <col min="46" max="46" bestFit="true" customWidth="true" width="11.42578125"/>
    <col min="47" max="47" bestFit="true" customWidth="true" width="16.28515625"/>
    <col min="48" max="48" bestFit="true" customWidth="true" width="13.85546875"/>
    <col min="49" max="49" bestFit="true" customWidth="true" width="18.85546875"/>
    <col min="51" max="51" bestFit="true" customWidth="true" width="21.7109375"/>
    <col min="52" max="52" bestFit="true" customWidth="true" width="16.0"/>
    <col min="53" max="53" bestFit="true" customWidth="true" width="14.28515625"/>
    <col min="54" max="54" bestFit="true" customWidth="true" width="12.42578125"/>
    <col min="55" max="55" bestFit="true" customWidth="true" width="12.5703125"/>
    <col min="62" max="62" bestFit="true" customWidth="true" width="41.140625"/>
    <col min="63" max="63" bestFit="true" customWidth="true" width="37.0"/>
    <col min="64" max="64" bestFit="true" customWidth="true" width="18.85546875"/>
    <col min="65" max="65" bestFit="true" customWidth="true" width="34.42578125"/>
  </cols>
  <sheetData>
    <row r="1" spans="1:42" ht="18">
      <c r="A1" s="113" t="s">
        <v>145</v>
      </c>
      <c r="B1" s="113"/>
      <c r="C1" s="113"/>
      <c r="D1" s="113"/>
      <c r="E1" s="113"/>
      <c r="F1" s="113"/>
      <c r="G1" s="113"/>
      <c r="H1" s="113"/>
      <c r="I1" s="113"/>
      <c r="J1" s="113"/>
      <c r="K1" s="113"/>
      <c r="L1" s="113"/>
      <c r="M1" s="113"/>
      <c r="N1" s="113"/>
      <c r="O1" s="113"/>
      <c r="P1" s="113"/>
      <c r="Q1" s="113"/>
      <c r="R1" s="113"/>
      <c r="S1" s="113"/>
      <c r="T1" s="113"/>
      <c r="U1" s="113"/>
      <c r="V1" s="113"/>
      <c r="W1" s="113"/>
      <c r="X1" s="113"/>
      <c r="Y1" s="113"/>
      <c r="Z1" s="113"/>
      <c r="AA1" s="110"/>
      <c r="AB1" s="110"/>
      <c r="AC1" s="110"/>
      <c r="AD1" s="110"/>
      <c r="AE1" s="110"/>
      <c r="AF1" s="110"/>
      <c r="AG1" s="110"/>
      <c r="AH1" s="110"/>
      <c r="AI1" s="110"/>
      <c r="AJ1" s="110"/>
      <c r="AK1" s="110"/>
      <c r="AL1" s="110"/>
      <c r="AM1" s="110"/>
      <c r="AN1" s="110"/>
      <c r="AO1" s="13"/>
      <c r="AP1" s="13"/>
    </row>
    <row r="2" spans="1:42" ht="18.75" thickBot="1">
      <c r="A2" s="110" t="s">
        <v>146</v>
      </c>
      <c r="B2" s="110"/>
      <c r="C2" s="110"/>
      <c r="D2" s="110"/>
      <c r="E2" s="110"/>
      <c r="F2" s="110"/>
      <c r="G2" s="110"/>
      <c r="H2" s="110"/>
      <c r="I2" s="110"/>
      <c r="J2" s="110"/>
      <c r="K2" s="110"/>
      <c r="L2" s="110"/>
      <c r="M2" s="110"/>
      <c r="N2" s="110"/>
      <c r="O2" s="110"/>
      <c r="P2" s="110"/>
      <c r="Q2" s="110"/>
      <c r="R2" s="110"/>
      <c r="S2" s="110"/>
      <c r="T2" s="110"/>
      <c r="U2" s="110"/>
      <c r="V2" s="110"/>
      <c r="W2" s="110"/>
      <c r="X2" s="110"/>
      <c r="Y2" s="110"/>
      <c r="Z2" s="110"/>
      <c r="AA2" s="110"/>
      <c r="AB2" s="110"/>
      <c r="AC2" s="110"/>
      <c r="AD2" s="110"/>
      <c r="AE2" s="110"/>
      <c r="AF2" s="110"/>
      <c r="AG2" s="110"/>
      <c r="AH2" s="110"/>
      <c r="AI2" s="110"/>
      <c r="AJ2" s="110"/>
      <c r="AK2" s="110"/>
      <c r="AL2" s="110"/>
      <c r="AM2" s="110"/>
      <c r="AN2" s="110"/>
      <c r="AO2" s="13"/>
      <c r="AP2" s="13"/>
    </row>
    <row r="3" spans="1:42" ht="15.75" thickTop="1">
      <c r="A3" s="8" t="s">
        <v>46</v>
      </c>
      <c r="B3" s="9" t="s">
        <v>47</v>
      </c>
      <c r="C3" s="10" t="s">
        <v>48</v>
      </c>
      <c r="D3" s="9" t="s">
        <v>49</v>
      </c>
      <c r="E3" s="9" t="s">
        <v>50</v>
      </c>
      <c r="F3" s="9" t="s">
        <v>51</v>
      </c>
      <c r="G3" s="9" t="s">
        <v>52</v>
      </c>
      <c r="H3" s="11" t="s">
        <v>53</v>
      </c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3"/>
    </row>
    <row r="4" spans="1:42">
      <c r="A4" s="14">
        <v>1</v>
      </c>
      <c r="B4" s="15" t="s">
        <v>54</v>
      </c>
      <c r="C4" s="15" t="s">
        <v>55</v>
      </c>
      <c r="D4" s="15" t="s">
        <v>56</v>
      </c>
      <c r="E4" s="15" t="s">
        <v>56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20"/>
      <c r="Z4" s="20"/>
      <c r="AA4" s="20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13"/>
    </row>
    <row r="5" spans="1:42">
      <c r="A5" s="14">
        <v>2</v>
      </c>
      <c r="B5" s="15" t="s">
        <v>57</v>
      </c>
      <c r="C5" s="15" t="s">
        <v>58</v>
      </c>
      <c r="D5" s="15" t="s">
        <v>56</v>
      </c>
      <c r="E5" s="15" t="s">
        <v>56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13"/>
    </row>
    <row r="6" spans="1:42">
      <c r="A6" s="14">
        <v>3</v>
      </c>
      <c r="B6" s="15" t="s">
        <v>59</v>
      </c>
      <c r="C6" s="15" t="s">
        <v>60</v>
      </c>
      <c r="D6" s="15" t="s">
        <v>56</v>
      </c>
      <c r="E6" s="15" t="s">
        <v>56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20"/>
      <c r="Z6" s="20"/>
      <c r="AA6" s="20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13"/>
    </row>
    <row r="7" spans="1:42">
      <c r="A7" s="14">
        <v>4</v>
      </c>
      <c r="B7" s="15" t="s">
        <v>61</v>
      </c>
      <c r="C7" s="15" t="s">
        <v>62</v>
      </c>
      <c r="D7" s="15" t="s">
        <v>56</v>
      </c>
      <c r="E7" s="15" t="s">
        <v>56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20"/>
      <c r="Z7" s="20"/>
      <c r="AA7" s="20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13"/>
    </row>
    <row r="8" spans="1:42">
      <c r="A8" s="14">
        <v>5</v>
      </c>
      <c r="B8" s="15" t="s">
        <v>63</v>
      </c>
      <c r="C8" s="15" t="s">
        <v>64</v>
      </c>
      <c r="D8" s="15" t="s">
        <v>56</v>
      </c>
      <c r="E8" s="15" t="s">
        <v>56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13"/>
    </row>
    <row r="9" spans="1:42">
      <c r="A9" s="14">
        <v>6</v>
      </c>
      <c r="B9" s="15" t="s">
        <v>65</v>
      </c>
      <c r="C9" s="15" t="s">
        <v>66</v>
      </c>
      <c r="D9" s="15" t="s">
        <v>56</v>
      </c>
      <c r="E9" s="15" t="s">
        <v>56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20"/>
      <c r="Z9" s="20"/>
      <c r="AA9" s="20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13"/>
    </row>
    <row r="10" spans="1:42">
      <c r="A10" s="14">
        <v>7</v>
      </c>
      <c r="B10" s="15" t="s">
        <v>67</v>
      </c>
      <c r="C10" s="15" t="s">
        <v>68</v>
      </c>
      <c r="D10" s="15" t="s">
        <v>56</v>
      </c>
      <c r="E10" s="15" t="s">
        <v>56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20"/>
      <c r="Z10" s="20"/>
      <c r="AA10" s="20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13"/>
    </row>
    <row r="11" spans="1:42">
      <c r="A11" s="14">
        <v>8</v>
      </c>
      <c r="B11" s="15" t="s">
        <v>69</v>
      </c>
      <c r="C11" s="15" t="s">
        <v>70</v>
      </c>
      <c r="D11" s="15" t="s">
        <v>56</v>
      </c>
      <c r="E11" s="15" t="s">
        <v>56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13"/>
    </row>
    <row r="12" spans="1:42">
      <c r="A12" s="14">
        <v>9</v>
      </c>
      <c r="B12" s="15" t="s">
        <v>71</v>
      </c>
      <c r="C12" s="15" t="s">
        <v>72</v>
      </c>
      <c r="D12" s="15" t="s">
        <v>56</v>
      </c>
      <c r="E12" s="15" t="s">
        <v>56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13"/>
    </row>
    <row r="13" spans="1:42">
      <c r="A13" s="14">
        <v>10</v>
      </c>
      <c r="B13" s="15" t="s">
        <v>73</v>
      </c>
      <c r="C13" s="15" t="s">
        <v>74</v>
      </c>
      <c r="D13" s="15" t="s">
        <v>56</v>
      </c>
      <c r="E13" s="15" t="s">
        <v>56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20"/>
      <c r="Z13" s="20"/>
      <c r="AA13" s="20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13"/>
    </row>
    <row r="14" spans="1:42">
      <c r="A14" s="14">
        <v>11</v>
      </c>
      <c r="B14" s="15" t="s">
        <v>75</v>
      </c>
      <c r="C14" s="15" t="s">
        <v>76</v>
      </c>
      <c r="D14" s="15" t="s">
        <v>56</v>
      </c>
      <c r="E14" s="15" t="s">
        <v>56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13"/>
    </row>
    <row r="15" spans="1:42">
      <c r="A15" s="14">
        <v>12</v>
      </c>
      <c r="B15" s="15" t="s">
        <v>77</v>
      </c>
      <c r="C15" s="15" t="s">
        <v>78</v>
      </c>
      <c r="D15" s="15" t="s">
        <v>56</v>
      </c>
      <c r="E15" s="15" t="s">
        <v>56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20"/>
      <c r="Z15" s="20"/>
      <c r="AA15" s="20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13"/>
    </row>
    <row r="16" spans="1:42">
      <c r="A16" s="14">
        <v>13</v>
      </c>
      <c r="B16" s="15" t="s">
        <v>79</v>
      </c>
      <c r="C16" s="15" t="s">
        <v>80</v>
      </c>
      <c r="D16" s="15" t="s">
        <v>56</v>
      </c>
      <c r="E16" s="15" t="s">
        <v>56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20"/>
      <c r="Z16" s="20"/>
      <c r="AA16" s="20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13"/>
    </row>
    <row r="17" spans="1:66">
      <c r="A17" s="14">
        <v>14</v>
      </c>
      <c r="B17" s="15" t="s">
        <v>81</v>
      </c>
      <c r="C17" s="15" t="s">
        <v>82</v>
      </c>
      <c r="D17" s="15" t="s">
        <v>56</v>
      </c>
      <c r="E17" s="15" t="s">
        <v>56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80">
        <v>5858.27</v>
      </c>
      <c r="T17" s="20"/>
      <c r="U17" s="19"/>
      <c r="V17" s="19"/>
      <c r="W17" s="19"/>
      <c r="X17" s="19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13"/>
    </row>
    <row r="18" spans="1:66" ht="15.75" thickBot="1">
      <c r="A18" s="21">
        <v>15</v>
      </c>
      <c r="B18" s="22" t="s">
        <v>83</v>
      </c>
      <c r="C18" s="22" t="s">
        <v>84</v>
      </c>
      <c r="D18" s="22" t="s">
        <v>56</v>
      </c>
      <c r="E18" s="22" t="s">
        <v>56</v>
      </c>
      <c r="F18" s="23">
        <v>85</v>
      </c>
      <c r="G18" s="24">
        <v>65.48</v>
      </c>
      <c r="H18" s="25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20"/>
      <c r="Z18" s="20"/>
      <c r="AA18" s="20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13"/>
    </row>
    <row r="19" spans="1:66" ht="15.75" thickTop="1">
      <c r="A19" s="13"/>
      <c r="B19" s="114" t="s">
        <v>85</v>
      </c>
      <c r="C19" s="114"/>
      <c r="D19" s="114"/>
      <c r="E19" s="114"/>
      <c r="F19" s="114"/>
      <c r="G19" s="114"/>
      <c r="H19" s="26">
        <f>SUM(H4:H18)</f>
        <v>71856.759999999995</v>
      </c>
      <c r="I19" s="27"/>
      <c r="J19" s="27"/>
      <c r="K19" s="27"/>
      <c r="L19" s="27"/>
      <c r="M19" s="27"/>
      <c r="N19" s="27"/>
      <c r="O19" s="27"/>
      <c r="P19" s="27"/>
      <c r="Q19" s="27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  <c r="AO19" s="28"/>
      <c r="AP19" s="13"/>
    </row>
    <row r="20" spans="1:66">
      <c r="A20" s="28" t="s">
        <v>86</v>
      </c>
      <c r="B20" s="29"/>
      <c r="C20" s="29"/>
      <c r="D20" s="29"/>
      <c r="E20" s="29"/>
      <c r="F20" s="29"/>
      <c r="G20" s="29"/>
      <c r="H20" s="28"/>
      <c r="I20" s="30"/>
      <c r="J20" s="30"/>
      <c r="K20" s="30"/>
      <c r="L20" s="30"/>
      <c r="M20" s="30"/>
      <c r="N20" s="30"/>
      <c r="O20" s="30"/>
      <c r="P20" s="30"/>
      <c r="Q20" s="30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  <c r="AO20" s="28"/>
      <c r="AP20" s="13"/>
    </row>
    <row r="21" spans="1:66" ht="15.75" thickBot="1">
      <c r="A21" s="115" t="s">
        <v>87</v>
      </c>
      <c r="B21" s="115"/>
      <c r="C21" s="12">
        <v>1</v>
      </c>
      <c r="D21" s="31" t="s">
        <v>88</v>
      </c>
      <c r="E21" s="29"/>
      <c r="F21" s="29"/>
      <c r="G21" s="29"/>
      <c r="H21" s="28"/>
      <c r="I21" s="30" t="s">
        <v>89</v>
      </c>
      <c r="J21" s="30" t="s">
        <v>90</v>
      </c>
      <c r="K21" s="30"/>
      <c r="L21" s="30" t="s">
        <v>91</v>
      </c>
      <c r="M21" s="30">
        <v>1</v>
      </c>
      <c r="N21" s="30"/>
      <c r="O21" s="30" t="s">
        <v>92</v>
      </c>
      <c r="P21" s="30">
        <v>1</v>
      </c>
      <c r="Q21" s="30" t="s">
        <v>93</v>
      </c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  <c r="AO21" s="28"/>
      <c r="AP21" s="13"/>
    </row>
    <row r="22" spans="1:66" ht="58.5" thickTop="1" thickBot="1">
      <c r="A22" s="32" t="s">
        <v>46</v>
      </c>
      <c r="B22" s="32" t="s">
        <v>47</v>
      </c>
      <c r="C22" s="33" t="s">
        <v>48</v>
      </c>
      <c r="D22" s="32" t="s">
        <v>49</v>
      </c>
      <c r="E22" s="32" t="s">
        <v>50</v>
      </c>
      <c r="F22" s="34" t="s">
        <v>94</v>
      </c>
      <c r="G22" s="32" t="s">
        <v>52</v>
      </c>
      <c r="H22" s="32" t="s">
        <v>53</v>
      </c>
      <c r="I22" s="35" t="s">
        <v>95</v>
      </c>
      <c r="J22" s="35" t="s">
        <v>96</v>
      </c>
      <c r="K22" s="35" t="s">
        <v>97</v>
      </c>
      <c r="L22" s="36" t="s">
        <v>98</v>
      </c>
      <c r="M22" s="36" t="s">
        <v>99</v>
      </c>
      <c r="N22" s="36" t="s">
        <v>100</v>
      </c>
      <c r="O22" s="36" t="s">
        <v>101</v>
      </c>
      <c r="P22" s="36" t="s">
        <v>102</v>
      </c>
      <c r="Q22" s="36" t="s">
        <v>103</v>
      </c>
      <c r="R22" s="35" t="s">
        <v>104</v>
      </c>
      <c r="S22" s="32" t="s">
        <v>105</v>
      </c>
      <c r="T22" s="32" t="s">
        <v>106</v>
      </c>
      <c r="U22" s="37" t="s">
        <v>107</v>
      </c>
      <c r="V22" s="37" t="s">
        <v>108</v>
      </c>
      <c r="W22" s="37" t="s">
        <v>109</v>
      </c>
      <c r="X22" s="37" t="s">
        <v>110</v>
      </c>
      <c r="Y22" s="37" t="s">
        <v>111</v>
      </c>
      <c r="Z22" s="38" t="s">
        <v>112</v>
      </c>
      <c r="AA22" s="38" t="s">
        <v>113</v>
      </c>
      <c r="AB22" s="39" t="s">
        <v>114</v>
      </c>
      <c r="AC22" s="39" t="s">
        <v>115</v>
      </c>
      <c r="AD22" s="39" t="s">
        <v>116</v>
      </c>
      <c r="AE22" s="38" t="s">
        <v>117</v>
      </c>
      <c r="AF22" s="38" t="s">
        <v>118</v>
      </c>
      <c r="AG22" s="39" t="s">
        <v>119</v>
      </c>
      <c r="AH22" s="39" t="s">
        <v>120</v>
      </c>
      <c r="AI22" s="38" t="s">
        <v>121</v>
      </c>
      <c r="AJ22" s="38" t="s">
        <v>122</v>
      </c>
      <c r="AK22" s="39" t="s">
        <v>123</v>
      </c>
      <c r="AL22" s="39" t="s">
        <v>124</v>
      </c>
      <c r="AM22" s="39" t="s">
        <v>125</v>
      </c>
      <c r="AN22" s="38" t="s">
        <v>126</v>
      </c>
      <c r="AO22" s="40" t="s">
        <v>127</v>
      </c>
      <c r="AP22" s="9" t="s">
        <v>240</v>
      </c>
      <c r="AQ22" s="9" t="s">
        <v>126</v>
      </c>
      <c r="AR22" s="56" t="s">
        <v>131</v>
      </c>
      <c r="AS22" s="56" t="s">
        <v>132</v>
      </c>
      <c r="AT22" s="56" t="s">
        <v>133</v>
      </c>
      <c r="AU22" s="56" t="s">
        <v>134</v>
      </c>
      <c r="AV22" s="56" t="s">
        <v>135</v>
      </c>
      <c r="AW22" s="56" t="s">
        <v>136</v>
      </c>
      <c r="AX22" s="56" t="s">
        <v>137</v>
      </c>
      <c r="AY22" s="56" t="s">
        <v>138</v>
      </c>
      <c r="AZ22" s="84" t="s">
        <v>207</v>
      </c>
      <c r="BA22" s="84" t="s">
        <v>8</v>
      </c>
      <c r="BB22" s="84" t="s">
        <v>9</v>
      </c>
      <c r="BC22" s="56" t="s">
        <v>228</v>
      </c>
      <c r="BD22" s="56" t="s">
        <v>139</v>
      </c>
      <c r="BE22" s="56" t="s">
        <v>140</v>
      </c>
      <c r="BF22" s="56" t="s">
        <v>141</v>
      </c>
      <c r="BG22" s="56" t="s">
        <v>142</v>
      </c>
      <c r="BH22" s="56" t="s">
        <v>143</v>
      </c>
      <c r="BI22" s="56" t="s">
        <v>241</v>
      </c>
      <c r="BJ22" s="96" t="s">
        <v>247</v>
      </c>
      <c r="BK22" s="56" t="s">
        <v>248</v>
      </c>
      <c r="BL22" s="56" t="s">
        <v>136</v>
      </c>
      <c r="BM22" s="97" t="s">
        <v>256</v>
      </c>
    </row>
    <row r="23" spans="1:66" ht="15.75" thickBot="1">
      <c r="A23" s="41">
        <v>1</v>
      </c>
      <c r="B23" s="41" t="s">
        <v>210</v>
      </c>
      <c r="C23" s="41" t="s">
        <v>55</v>
      </c>
      <c r="D23" s="41" t="s">
        <v>56</v>
      </c>
      <c r="E23" s="41" t="s">
        <v>56</v>
      </c>
      <c r="F23" s="76">
        <v>2</v>
      </c>
      <c r="G23" t="s" s="0">
        <v>217</v>
      </c>
      <c r="H23" s="76">
        <f>F23*G23</f>
        <v>1048</v>
      </c>
      <c r="I23" t="s" s="0">
        <v>218</v>
      </c>
      <c r="J23" s="76">
        <v>1.79</v>
      </c>
      <c r="K23" s="76">
        <v>2.5</v>
      </c>
      <c r="L23" s="76">
        <f>H23</f>
        <v>1048</v>
      </c>
      <c r="M23" s="76">
        <f>ROUND(L23*I23%,2)</f>
        <v>20.96</v>
      </c>
      <c r="N23" s="76">
        <f>H23-M23</f>
        <v>1027.04</v>
      </c>
      <c r="O23" s="76">
        <f>ROUND(N23*J23%,2)</f>
        <v>18.38</v>
      </c>
      <c r="P23" s="76">
        <f>ROUND(N23-O23,2)</f>
        <v>1008.66</v>
      </c>
      <c r="Q23" s="76">
        <f>ROUND(P23*K23%,2)</f>
        <v>25.22</v>
      </c>
      <c r="R23" s="76">
        <f>M23+O23+Q23</f>
        <v>64.56</v>
      </c>
      <c r="S23" s="76">
        <f>(H23-R23)</f>
        <v>983.44</v>
      </c>
      <c r="T23" s="76" t="s">
        <v>128</v>
      </c>
      <c r="U23" s="76">
        <v>0.18</v>
      </c>
      <c r="V23" s="76">
        <f>IF($C$21=1,ROUND(((S23*U23)/2),2),0)</f>
        <v>88.51</v>
      </c>
      <c r="W23" s="76">
        <f>IF($C$21=1,ROUND(((S23*U23)/2),2),0)</f>
        <v>88.51</v>
      </c>
      <c r="X23" s="76">
        <f>IF($C$21=2,ROUND(((S23*U23)),2),0)</f>
        <v>0</v>
      </c>
      <c r="Y23" s="76">
        <f>V23+W23+X23</f>
        <v>177.02</v>
      </c>
      <c r="Z23" s="76">
        <f t="shared" ref="Z23:Z24" si="1">S23+Y23</f>
        <v>1160.46</v>
      </c>
      <c r="AA23" s="76">
        <v>120</v>
      </c>
      <c r="AB23" s="76">
        <f>IF($P$21=1,(S23/$S$25)*$E$36,AA23/$AA$25*$E$36)</f>
        <v>0</v>
      </c>
      <c r="AC23" s="76"/>
      <c r="AD23" s="76">
        <f>IF($P$21=1,(S23/$S$25)*$E$38,AA23/$AA$25*$E$38)</f>
        <v>0</v>
      </c>
      <c r="AE23" s="76">
        <f>IF($P$21=1,(S23/$S$25)*$E$38,AA23/$AA$25*$E$38)</f>
        <v>0</v>
      </c>
      <c r="AF23" s="76">
        <f t="shared" ref="AF23:AF24" si="2">S23*$M$21</f>
        <v>983.44</v>
      </c>
      <c r="AG23" s="76">
        <f t="shared" ref="AG23:AG24" si="3">IF($C$21=3,0,AD23+AE23)</f>
        <v>0</v>
      </c>
      <c r="AH23" s="76">
        <f t="shared" ref="AH23:AH24" si="4">IF($C$21=3,AB23+AD23+AE23,0)</f>
        <v>0</v>
      </c>
      <c r="AI23" s="76">
        <v>1</v>
      </c>
      <c r="AJ23" s="76">
        <f t="shared" ref="AJ23:AJ24" si="5">F23/AI23</f>
        <v>2</v>
      </c>
      <c r="AK23" s="76">
        <f>AF23/AJ23</f>
        <v>491.72</v>
      </c>
      <c r="AL23" s="76">
        <f>AG23/AJ23</f>
        <v>0</v>
      </c>
      <c r="AM23" s="76">
        <f>AH23/AJ23</f>
        <v>0</v>
      </c>
      <c r="AN23" s="76" t="s">
        <v>56</v>
      </c>
      <c r="AO23" s="76">
        <f>AK23+AL23+AM23</f>
        <v>491.72</v>
      </c>
      <c r="AP23" s="88" t="s">
        <v>236</v>
      </c>
      <c r="AQ23" s="88" t="s">
        <v>56</v>
      </c>
      <c r="AR23" t="s" s="0">
        <v>308</v>
      </c>
      <c r="AS23" t="s" s="0">
        <v>309</v>
      </c>
      <c r="AT23" s="88">
        <f>AJ23</f>
        <v>2</v>
      </c>
      <c r="AU23" s="88">
        <f>AO23</f>
        <v>491.72</v>
      </c>
      <c r="AV23" s="88">
        <f>AR23+AT23</f>
        <v>13332</v>
      </c>
      <c r="AW23" s="88">
        <f>ROUND(((AR23*AS23)+(AT23*AU23))/(AR23+AT23),5)</f>
        <v>513.37893999999994</v>
      </c>
      <c r="AX23" s="99"/>
      <c r="AY23" s="99" t="s">
        <v>144</v>
      </c>
      <c r="AZ23" s="5" t="s">
        <v>30</v>
      </c>
      <c r="BA23" s="101" t="s">
        <v>24</v>
      </c>
      <c r="BB23" s="101" t="s">
        <v>28</v>
      </c>
      <c r="BC23" s="99"/>
      <c r="BD23" s="99"/>
      <c r="BE23" s="99"/>
      <c r="BF23" s="88"/>
      <c r="BG23" s="88"/>
      <c r="BH23" s="88"/>
      <c r="BI23" s="88" t="s">
        <v>25</v>
      </c>
      <c r="BJ23" t="s" s="0">
        <v>307</v>
      </c>
      <c r="BK23" t="s" s="0">
        <v>306</v>
      </c>
      <c r="BL23" s="88">
        <f>ROUND((((AT23*AW23)+(BK23*BJ23))/(AT23+BK23)),5)</f>
        <v>513.48413000000005</v>
      </c>
      <c r="BM23" s="54">
        <f>BK23+AT23</f>
        <v>140</v>
      </c>
      <c r="BN23" s="54"/>
    </row>
    <row r="24" spans="1:66" ht="15.75" thickBot="1">
      <c r="A24" s="41">
        <v>3</v>
      </c>
      <c r="B24" s="41" t="s">
        <v>211</v>
      </c>
      <c r="C24" s="41" t="s">
        <v>60</v>
      </c>
      <c r="D24" s="41" t="s">
        <v>56</v>
      </c>
      <c r="E24" s="41" t="s">
        <v>56</v>
      </c>
      <c r="F24" s="76">
        <v>3</v>
      </c>
      <c r="G24" t="s" s="0">
        <v>219</v>
      </c>
      <c r="H24" s="76">
        <f>F24*G24</f>
        <v>696</v>
      </c>
      <c r="I24" t="s" s="0">
        <v>220</v>
      </c>
      <c r="J24" s="76">
        <v>0.25</v>
      </c>
      <c r="K24" s="76">
        <v>2.5</v>
      </c>
      <c r="L24" s="76">
        <f>H24</f>
        <v>696</v>
      </c>
      <c r="M24" s="76">
        <f>ROUND(L24*I24%,2)</f>
        <v>16.149999999999999</v>
      </c>
      <c r="N24" s="76">
        <f t="shared" ref="N24" si="6">H24-M24</f>
        <v>679.85</v>
      </c>
      <c r="O24" s="76">
        <f t="shared" ref="O24" si="7">ROUND(N24*J24%,2)</f>
        <v>1.7</v>
      </c>
      <c r="P24" s="76">
        <f t="shared" ref="P24" si="8">ROUND(N24-O24,2)</f>
        <v>678.15</v>
      </c>
      <c r="Q24" s="76">
        <f t="shared" ref="Q24" si="9">ROUND(P24*K24%,2)</f>
        <v>16.95</v>
      </c>
      <c r="R24" s="76">
        <f t="shared" ref="R24" si="10">M24+O24+Q24</f>
        <v>34.799999999999997</v>
      </c>
      <c r="S24" s="76">
        <f t="shared" ref="S24" si="11">(H24-R24)</f>
        <v>661.2</v>
      </c>
      <c r="T24" s="76" t="s">
        <v>128</v>
      </c>
      <c r="U24" s="76">
        <v>0.18</v>
      </c>
      <c r="V24" s="76">
        <f t="shared" ref="V24" si="12">IF($C$21=1,ROUND(((S24*U24)/2),2),0)</f>
        <v>59.51</v>
      </c>
      <c r="W24" s="76">
        <f t="shared" ref="W24" si="13">IF($C$21=1,ROUND(((S24*U24)/2),2),0)</f>
        <v>59.51</v>
      </c>
      <c r="X24" s="76">
        <f t="shared" ref="X24" si="14">IF($C$21=2,ROUND(((S24*U24)),2),0)</f>
        <v>0</v>
      </c>
      <c r="Y24" s="76">
        <f t="shared" ref="Y24" si="15">V24+W24+X24</f>
        <v>119.02</v>
      </c>
      <c r="Z24" s="76">
        <f t="shared" si="1"/>
        <v>780.22</v>
      </c>
      <c r="AA24" s="76">
        <v>150</v>
      </c>
      <c r="AB24" s="76">
        <f>IF($P$21=1,(S24/$S$25)*$E$36,AA24/$AA$25*$E$36)</f>
        <v>0</v>
      </c>
      <c r="AC24" s="76"/>
      <c r="AD24" s="76">
        <f>IF($P$21=1,(S24/$S$25)*$E$38,AA24/$AA$25*$E$38)</f>
        <v>0</v>
      </c>
      <c r="AE24" s="76">
        <f>IF($P$21=1,(S24/$S$25)*$E$38,AA24/$AA$25*$E$38)</f>
        <v>0</v>
      </c>
      <c r="AF24" s="76">
        <f t="shared" si="2"/>
        <v>661.2</v>
      </c>
      <c r="AG24" s="76">
        <f t="shared" si="3"/>
        <v>0</v>
      </c>
      <c r="AH24" s="76">
        <f t="shared" si="4"/>
        <v>0</v>
      </c>
      <c r="AI24" s="76">
        <v>1</v>
      </c>
      <c r="AJ24" s="76">
        <f t="shared" si="5"/>
        <v>3</v>
      </c>
      <c r="AK24" s="76">
        <f t="shared" ref="AK24" si="16">AF24/AJ24</f>
        <v>220.4</v>
      </c>
      <c r="AL24" s="76">
        <f t="shared" ref="AL24" si="17">AG24/AJ24</f>
        <v>0</v>
      </c>
      <c r="AM24" s="76">
        <f t="shared" ref="AM24" si="18">AH24/AJ24</f>
        <v>0</v>
      </c>
      <c r="AN24" s="76" t="s">
        <v>56</v>
      </c>
      <c r="AO24" s="76">
        <f t="shared" ref="AO24" si="19">AK24+AL24+AM24</f>
        <v>220.4</v>
      </c>
      <c r="AP24" s="88" t="s">
        <v>236</v>
      </c>
      <c r="AQ24" s="88" t="s">
        <v>56</v>
      </c>
      <c r="AR24" t="s" s="0">
        <v>260</v>
      </c>
      <c r="AS24" t="s" s="0">
        <v>310</v>
      </c>
      <c r="AT24" s="88">
        <f t="shared" ref="AT24" si="20">AJ24</f>
        <v>3</v>
      </c>
      <c r="AU24" s="88">
        <f>AO24</f>
        <v>220.4</v>
      </c>
      <c r="AV24" s="88">
        <f t="shared" ref="AV24" si="21">AR24+AT24</f>
        <v>12249</v>
      </c>
      <c r="AW24" s="88">
        <f>ROUND(((AR24*AS24)+(AT24*AU24))/(AR24+AT24),5)</f>
        <v>226.58633</v>
      </c>
      <c r="AX24" s="99"/>
      <c r="AY24" s="99"/>
      <c r="AZ24" s="100" t="s">
        <v>23</v>
      </c>
      <c r="BA24" s="100" t="s">
        <v>234</v>
      </c>
      <c r="BB24" s="100"/>
      <c r="BC24" s="99"/>
      <c r="BD24" s="99"/>
      <c r="BE24" s="99"/>
      <c r="BF24" s="88"/>
      <c r="BG24" s="88"/>
      <c r="BH24" s="88"/>
      <c r="BI24" s="88" t="s">
        <v>25</v>
      </c>
      <c r="BJ24" t="s" s="0">
        <v>312</v>
      </c>
      <c r="BK24" t="s" s="0">
        <v>311</v>
      </c>
      <c r="BL24" s="88">
        <f t="shared" ref="BL24" si="22">ROUND((((AT24*AW24)+(BK24*BJ24))/(AT24+BK24)),5)</f>
        <v>226.59927999999999</v>
      </c>
      <c r="BM24" s="54">
        <f t="shared" ref="BM24" si="23">BK24+AT24</f>
        <v>2837</v>
      </c>
      <c r="BN24" s="54"/>
    </row>
    <row r="25" spans="1:66" ht="15.75" thickBot="1">
      <c r="A25" s="13"/>
      <c r="B25" s="79"/>
      <c r="C25" s="79"/>
      <c r="D25" s="77" t="s">
        <v>85</v>
      </c>
      <c r="E25" s="77"/>
      <c r="F25" s="77"/>
      <c r="G25" s="78"/>
      <c r="H25" s="45">
        <f>SUM(H23:H24)</f>
        <v>1744</v>
      </c>
      <c r="I25" s="41"/>
      <c r="J25" s="41"/>
      <c r="K25" s="41"/>
      <c r="L25" s="41"/>
      <c r="M25" s="41"/>
      <c r="N25" s="41"/>
      <c r="O25" s="41"/>
      <c r="P25" s="41"/>
      <c r="Q25" s="41"/>
      <c r="R25" s="45">
        <f>SUM(R23:R24)</f>
        <v>99.36</v>
      </c>
      <c r="S25" s="81">
        <f>SUM(S23:S24)</f>
        <v>1644.64</v>
      </c>
      <c r="T25" s="45"/>
      <c r="U25" s="45"/>
      <c r="V25" s="46">
        <f t="shared" ref="V25:AB25" si="24">SUM(V23:V24)</f>
        <v>148.02000000000001</v>
      </c>
      <c r="W25" s="46">
        <f t="shared" si="24"/>
        <v>148.02000000000001</v>
      </c>
      <c r="X25" s="46">
        <f t="shared" si="24"/>
        <v>0</v>
      </c>
      <c r="Y25" s="45">
        <f t="shared" si="24"/>
        <v>296.04000000000002</v>
      </c>
      <c r="Z25" s="47">
        <f t="shared" si="24"/>
        <v>1940.68</v>
      </c>
      <c r="AA25" s="48">
        <f t="shared" si="24"/>
        <v>270</v>
      </c>
      <c r="AB25" s="48">
        <f t="shared" si="24"/>
        <v>0</v>
      </c>
      <c r="AC25" s="47"/>
      <c r="AD25" s="48">
        <f>SUM(AD23:AD24)</f>
        <v>0</v>
      </c>
      <c r="AE25" s="48">
        <f>SUM(AE23:AE24)</f>
        <v>0</v>
      </c>
      <c r="AF25" s="48">
        <f>SUM(AF23:AF24)</f>
        <v>1644.64</v>
      </c>
      <c r="AG25" s="48">
        <f>SUM(AG23:AG24)</f>
        <v>0</v>
      </c>
      <c r="AH25" s="48">
        <f>SUM(AH23:AH24)</f>
        <v>0</v>
      </c>
      <c r="AI25" s="47"/>
      <c r="AJ25" s="47"/>
      <c r="AK25" s="47"/>
      <c r="AL25" s="47"/>
      <c r="AM25" s="47"/>
      <c r="AN25" s="47"/>
      <c r="AO25" s="47"/>
      <c r="AP25" s="13"/>
    </row>
    <row r="27" spans="1:66">
      <c r="AS27" t="s" s="0">
        <v>263</v>
      </c>
      <c r="AT27" t="s" s="0">
        <v>264</v>
      </c>
    </row>
    <row r="28" spans="1:66">
      <c r="AS28" s="0">
        <v>1473.6849999999999</v>
      </c>
      <c r="AT28" s="0">
        <v>1281.64708</v>
      </c>
      <c r="AU28" s="88">
        <f t="shared" ref="AU28" si="25">AK28</f>
        <v>0</v>
      </c>
      <c r="AW28" s="80"/>
    </row>
    <row r="31" spans="1:66">
      <c r="AV31" t="s" s="0">
        <v>262</v>
      </c>
    </row>
    <row r="32" spans="1:66">
      <c r="AV32" s="0">
        <v>513.38841000000002</v>
      </c>
    </row>
    <row r="33" spans="48:48">
      <c r="AV33" s="0">
        <f>AV31-AV32</f>
        <v>3.2499999999799911E-3</v>
      </c>
    </row>
  </sheetData>
  <mergeCells count="3">
    <mergeCell ref="A1:Z1"/>
    <mergeCell ref="B19:G19"/>
    <mergeCell ref="A21:B21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BN33"/>
  <sheetViews>
    <sheetView workbookViewId="0">
      <selection sqref="A1:XFD1048576"/>
    </sheetView>
  </sheetViews>
  <sheetFormatPr defaultRowHeight="15"/>
  <cols>
    <col min="2" max="2" bestFit="true" customWidth="true" width="19.7109375"/>
    <col min="3" max="3" bestFit="true" customWidth="true" width="19.28515625"/>
    <col min="4" max="4" bestFit="true" customWidth="true" width="62.7109375"/>
    <col min="5" max="5" bestFit="true" customWidth="true" width="10.42578125"/>
    <col min="6" max="6" bestFit="true" customWidth="true" width="8.28515625"/>
    <col min="8" max="8" bestFit="true" customWidth="true" width="11.85546875"/>
    <col min="10" max="10" bestFit="true" customWidth="true" width="6.140625"/>
    <col min="11" max="11" bestFit="true" customWidth="true" width="6.28515625"/>
    <col min="12" max="12" bestFit="true" customWidth="true" width="13.85546875"/>
    <col min="42" max="42" bestFit="true" customWidth="true" width="9.42578125"/>
    <col min="43" max="43" bestFit="true" customWidth="true" width="11.85546875"/>
    <col min="44" max="44" bestFit="true" customWidth="true" width="15.28515625"/>
    <col min="45" max="45" bestFit="true" customWidth="true" width="20.28515625"/>
    <col min="46" max="46" bestFit="true" customWidth="true" width="11.42578125"/>
    <col min="47" max="47" bestFit="true" customWidth="true" width="16.28515625"/>
    <col min="48" max="48" bestFit="true" customWidth="true" width="13.85546875"/>
    <col min="49" max="49" bestFit="true" customWidth="true" width="18.85546875"/>
    <col min="54" max="54" bestFit="true" customWidth="true" width="12.42578125"/>
    <col min="55" max="55" bestFit="true" customWidth="true" width="12.5703125"/>
    <col min="62" max="62" bestFit="true" customWidth="true" width="41.140625"/>
    <col min="63" max="63" bestFit="true" customWidth="true" width="37.0"/>
    <col min="64" max="64" bestFit="true" customWidth="true" width="18.85546875"/>
    <col min="65" max="65" bestFit="true" customWidth="true" width="34.42578125"/>
  </cols>
  <sheetData>
    <row r="1" spans="1:42" ht="18">
      <c r="A1" s="113" t="s">
        <v>145</v>
      </c>
      <c r="B1" s="113"/>
      <c r="C1" s="113"/>
      <c r="D1" s="113"/>
      <c r="E1" s="113"/>
      <c r="F1" s="113"/>
      <c r="G1" s="113"/>
      <c r="H1" s="113"/>
      <c r="I1" s="113"/>
      <c r="J1" s="113"/>
      <c r="K1" s="113"/>
      <c r="L1" s="113"/>
      <c r="M1" s="113"/>
      <c r="N1" s="113"/>
      <c r="O1" s="113"/>
      <c r="P1" s="113"/>
      <c r="Q1" s="113"/>
      <c r="R1" s="113"/>
      <c r="S1" s="113"/>
      <c r="T1" s="113"/>
      <c r="U1" s="113"/>
      <c r="V1" s="113"/>
      <c r="W1" s="113"/>
      <c r="X1" s="113"/>
      <c r="Y1" s="113"/>
      <c r="Z1" s="113"/>
      <c r="AA1" s="86"/>
      <c r="AB1" s="86"/>
      <c r="AC1" s="86"/>
      <c r="AD1" s="86"/>
      <c r="AE1" s="86"/>
      <c r="AF1" s="86"/>
      <c r="AG1" s="86"/>
      <c r="AH1" s="86"/>
      <c r="AI1" s="86"/>
      <c r="AJ1" s="86"/>
      <c r="AK1" s="86"/>
      <c r="AL1" s="86"/>
      <c r="AM1" s="86"/>
      <c r="AN1" s="86"/>
      <c r="AO1" s="13"/>
      <c r="AP1" s="13"/>
    </row>
    <row r="2" spans="1:42" ht="18.75" thickBot="1">
      <c r="A2" s="86" t="s">
        <v>146</v>
      </c>
      <c r="B2" s="86"/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  <c r="AD2" s="86"/>
      <c r="AE2" s="86"/>
      <c r="AF2" s="86"/>
      <c r="AG2" s="86"/>
      <c r="AH2" s="86"/>
      <c r="AI2" s="86"/>
      <c r="AJ2" s="86"/>
      <c r="AK2" s="86"/>
      <c r="AL2" s="86"/>
      <c r="AM2" s="86"/>
      <c r="AN2" s="86"/>
      <c r="AO2" s="13"/>
      <c r="AP2" s="13"/>
    </row>
    <row r="3" spans="1:42" ht="15.75" thickTop="1">
      <c r="A3" s="8" t="s">
        <v>46</v>
      </c>
      <c r="B3" s="9" t="s">
        <v>47</v>
      </c>
      <c r="C3" s="10" t="s">
        <v>48</v>
      </c>
      <c r="D3" s="9" t="s">
        <v>49</v>
      </c>
      <c r="E3" s="9" t="s">
        <v>50</v>
      </c>
      <c r="F3" s="9" t="s">
        <v>51</v>
      </c>
      <c r="G3" s="9" t="s">
        <v>52</v>
      </c>
      <c r="H3" s="11" t="s">
        <v>53</v>
      </c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3"/>
    </row>
    <row r="4" spans="1:42">
      <c r="A4" s="14">
        <v>1</v>
      </c>
      <c r="B4" s="15" t="s">
        <v>54</v>
      </c>
      <c r="C4" s="15" t="s">
        <v>55</v>
      </c>
      <c r="D4" s="15" t="s">
        <v>56</v>
      </c>
      <c r="E4" s="15" t="s">
        <v>56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20"/>
      <c r="Z4" s="20"/>
      <c r="AA4" s="20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13"/>
    </row>
    <row r="5" spans="1:42">
      <c r="A5" s="14">
        <v>2</v>
      </c>
      <c r="B5" s="15" t="s">
        <v>57</v>
      </c>
      <c r="C5" s="15" t="s">
        <v>58</v>
      </c>
      <c r="D5" s="15" t="s">
        <v>56</v>
      </c>
      <c r="E5" s="15" t="s">
        <v>56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13"/>
    </row>
    <row r="6" spans="1:42">
      <c r="A6" s="14">
        <v>3</v>
      </c>
      <c r="B6" s="15" t="s">
        <v>59</v>
      </c>
      <c r="C6" s="15" t="s">
        <v>60</v>
      </c>
      <c r="D6" s="15" t="s">
        <v>56</v>
      </c>
      <c r="E6" s="15" t="s">
        <v>56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20"/>
      <c r="Z6" s="20"/>
      <c r="AA6" s="20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13"/>
    </row>
    <row r="7" spans="1:42">
      <c r="A7" s="14">
        <v>4</v>
      </c>
      <c r="B7" s="15" t="s">
        <v>61</v>
      </c>
      <c r="C7" s="15" t="s">
        <v>62</v>
      </c>
      <c r="D7" s="15" t="s">
        <v>56</v>
      </c>
      <c r="E7" s="15" t="s">
        <v>56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20"/>
      <c r="Z7" s="20"/>
      <c r="AA7" s="20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13"/>
    </row>
    <row r="8" spans="1:42">
      <c r="A8" s="14">
        <v>5</v>
      </c>
      <c r="B8" s="15" t="s">
        <v>63</v>
      </c>
      <c r="C8" s="15" t="s">
        <v>64</v>
      </c>
      <c r="D8" s="15" t="s">
        <v>56</v>
      </c>
      <c r="E8" s="15" t="s">
        <v>56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13"/>
    </row>
    <row r="9" spans="1:42">
      <c r="A9" s="14">
        <v>6</v>
      </c>
      <c r="B9" s="15" t="s">
        <v>65</v>
      </c>
      <c r="C9" s="15" t="s">
        <v>66</v>
      </c>
      <c r="D9" s="15" t="s">
        <v>56</v>
      </c>
      <c r="E9" s="15" t="s">
        <v>56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20"/>
      <c r="Z9" s="20"/>
      <c r="AA9" s="20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13"/>
    </row>
    <row r="10" spans="1:42">
      <c r="A10" s="14">
        <v>7</v>
      </c>
      <c r="B10" s="15" t="s">
        <v>67</v>
      </c>
      <c r="C10" s="15" t="s">
        <v>68</v>
      </c>
      <c r="D10" s="15" t="s">
        <v>56</v>
      </c>
      <c r="E10" s="15" t="s">
        <v>56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20"/>
      <c r="Z10" s="20"/>
      <c r="AA10" s="20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13"/>
    </row>
    <row r="11" spans="1:42">
      <c r="A11" s="14">
        <v>8</v>
      </c>
      <c r="B11" s="15" t="s">
        <v>69</v>
      </c>
      <c r="C11" s="15" t="s">
        <v>70</v>
      </c>
      <c r="D11" s="15" t="s">
        <v>56</v>
      </c>
      <c r="E11" s="15" t="s">
        <v>56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13"/>
    </row>
    <row r="12" spans="1:42">
      <c r="A12" s="14">
        <v>9</v>
      </c>
      <c r="B12" s="15" t="s">
        <v>71</v>
      </c>
      <c r="C12" s="15" t="s">
        <v>72</v>
      </c>
      <c r="D12" s="15" t="s">
        <v>56</v>
      </c>
      <c r="E12" s="15" t="s">
        <v>56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13"/>
    </row>
    <row r="13" spans="1:42">
      <c r="A13" s="14">
        <v>10</v>
      </c>
      <c r="B13" s="15" t="s">
        <v>73</v>
      </c>
      <c r="C13" s="15" t="s">
        <v>74</v>
      </c>
      <c r="D13" s="15" t="s">
        <v>56</v>
      </c>
      <c r="E13" s="15" t="s">
        <v>56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20"/>
      <c r="Z13" s="20"/>
      <c r="AA13" s="20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13"/>
    </row>
    <row r="14" spans="1:42">
      <c r="A14" s="14">
        <v>11</v>
      </c>
      <c r="B14" s="15" t="s">
        <v>75</v>
      </c>
      <c r="C14" s="15" t="s">
        <v>76</v>
      </c>
      <c r="D14" s="15" t="s">
        <v>56</v>
      </c>
      <c r="E14" s="15" t="s">
        <v>56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13"/>
    </row>
    <row r="15" spans="1:42">
      <c r="A15" s="14">
        <v>12</v>
      </c>
      <c r="B15" s="15" t="s">
        <v>77</v>
      </c>
      <c r="C15" s="15" t="s">
        <v>78</v>
      </c>
      <c r="D15" s="15" t="s">
        <v>56</v>
      </c>
      <c r="E15" s="15" t="s">
        <v>56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20"/>
      <c r="Z15" s="20"/>
      <c r="AA15" s="20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13"/>
    </row>
    <row r="16" spans="1:42">
      <c r="A16" s="14">
        <v>13</v>
      </c>
      <c r="B16" s="15" t="s">
        <v>79</v>
      </c>
      <c r="C16" s="15" t="s">
        <v>80</v>
      </c>
      <c r="D16" s="15" t="s">
        <v>56</v>
      </c>
      <c r="E16" s="15" t="s">
        <v>56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20"/>
      <c r="Z16" s="20"/>
      <c r="AA16" s="20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13"/>
    </row>
    <row r="17" spans="1:66">
      <c r="A17" s="14">
        <v>14</v>
      </c>
      <c r="B17" s="15" t="s">
        <v>81</v>
      </c>
      <c r="C17" s="15" t="s">
        <v>82</v>
      </c>
      <c r="D17" s="15" t="s">
        <v>56</v>
      </c>
      <c r="E17" s="15" t="s">
        <v>56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80">
        <v>5858.27</v>
      </c>
      <c r="T17" s="20"/>
      <c r="U17" s="19"/>
      <c r="V17" s="19"/>
      <c r="W17" s="19"/>
      <c r="X17" s="19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13"/>
    </row>
    <row r="18" spans="1:66" ht="15.75" thickBot="1">
      <c r="A18" s="21">
        <v>15</v>
      </c>
      <c r="B18" s="22" t="s">
        <v>83</v>
      </c>
      <c r="C18" s="22" t="s">
        <v>84</v>
      </c>
      <c r="D18" s="22" t="s">
        <v>56</v>
      </c>
      <c r="E18" s="22" t="s">
        <v>56</v>
      </c>
      <c r="F18" s="23">
        <v>85</v>
      </c>
      <c r="G18" s="24">
        <v>65.48</v>
      </c>
      <c r="H18" s="25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20"/>
      <c r="Z18" s="20"/>
      <c r="AA18" s="20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13"/>
    </row>
    <row r="19" spans="1:66" ht="15.75" thickTop="1">
      <c r="A19" s="13"/>
      <c r="B19" s="114" t="s">
        <v>85</v>
      </c>
      <c r="C19" s="114"/>
      <c r="D19" s="114"/>
      <c r="E19" s="114"/>
      <c r="F19" s="114"/>
      <c r="G19" s="114"/>
      <c r="H19" s="26">
        <f>SUM(H4:H18)</f>
        <v>71856.759999999995</v>
      </c>
      <c r="I19" s="27"/>
      <c r="J19" s="27"/>
      <c r="K19" s="27"/>
      <c r="L19" s="27"/>
      <c r="M19" s="27"/>
      <c r="N19" s="27"/>
      <c r="O19" s="27"/>
      <c r="P19" s="27"/>
      <c r="Q19" s="27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  <c r="AO19" s="28"/>
      <c r="AP19" s="13"/>
    </row>
    <row r="20" spans="1:66">
      <c r="A20" s="28" t="s">
        <v>86</v>
      </c>
      <c r="B20" s="29"/>
      <c r="C20" s="29"/>
      <c r="D20" s="29"/>
      <c r="E20" s="29"/>
      <c r="F20" s="29"/>
      <c r="G20" s="29"/>
      <c r="H20" s="28"/>
      <c r="I20" s="30"/>
      <c r="J20" s="30"/>
      <c r="K20" s="30"/>
      <c r="L20" s="30"/>
      <c r="M20" s="30"/>
      <c r="N20" s="30"/>
      <c r="O20" s="30"/>
      <c r="P20" s="30"/>
      <c r="Q20" s="30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  <c r="AO20" s="28"/>
      <c r="AP20" s="13"/>
    </row>
    <row r="21" spans="1:66" ht="15.75" thickBot="1">
      <c r="A21" s="115" t="s">
        <v>87</v>
      </c>
      <c r="B21" s="115"/>
      <c r="C21" s="12">
        <v>1</v>
      </c>
      <c r="D21" s="31" t="s">
        <v>88</v>
      </c>
      <c r="E21" s="29"/>
      <c r="F21" s="29"/>
      <c r="G21" s="29"/>
      <c r="H21" s="28"/>
      <c r="I21" s="30" t="s">
        <v>89</v>
      </c>
      <c r="J21" s="30" t="s">
        <v>90</v>
      </c>
      <c r="K21" s="30"/>
      <c r="L21" s="30" t="s">
        <v>91</v>
      </c>
      <c r="M21" s="30">
        <v>1</v>
      </c>
      <c r="N21" s="30"/>
      <c r="O21" s="30" t="s">
        <v>92</v>
      </c>
      <c r="P21" s="30">
        <v>1</v>
      </c>
      <c r="Q21" s="30" t="s">
        <v>93</v>
      </c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  <c r="AO21" s="28"/>
      <c r="AP21" s="13"/>
    </row>
    <row r="22" spans="1:66" ht="58.5" thickTop="1" thickBot="1">
      <c r="A22" s="32" t="s">
        <v>46</v>
      </c>
      <c r="B22" s="32" t="s">
        <v>47</v>
      </c>
      <c r="C22" s="33" t="s">
        <v>48</v>
      </c>
      <c r="D22" s="32" t="s">
        <v>49</v>
      </c>
      <c r="E22" s="32" t="s">
        <v>50</v>
      </c>
      <c r="F22" s="34" t="s">
        <v>94</v>
      </c>
      <c r="G22" s="32" t="s">
        <v>52</v>
      </c>
      <c r="H22" s="32" t="s">
        <v>53</v>
      </c>
      <c r="I22" s="35" t="s">
        <v>95</v>
      </c>
      <c r="J22" s="35" t="s">
        <v>96</v>
      </c>
      <c r="K22" s="35" t="s">
        <v>97</v>
      </c>
      <c r="L22" s="36" t="s">
        <v>98</v>
      </c>
      <c r="M22" s="36" t="s">
        <v>99</v>
      </c>
      <c r="N22" s="36" t="s">
        <v>100</v>
      </c>
      <c r="O22" s="36" t="s">
        <v>101</v>
      </c>
      <c r="P22" s="36" t="s">
        <v>102</v>
      </c>
      <c r="Q22" s="36" t="s">
        <v>103</v>
      </c>
      <c r="R22" s="35" t="s">
        <v>104</v>
      </c>
      <c r="S22" s="32" t="s">
        <v>105</v>
      </c>
      <c r="T22" s="32" t="s">
        <v>106</v>
      </c>
      <c r="U22" s="37" t="s">
        <v>107</v>
      </c>
      <c r="V22" s="37" t="s">
        <v>108</v>
      </c>
      <c r="W22" s="37" t="s">
        <v>109</v>
      </c>
      <c r="X22" s="37" t="s">
        <v>110</v>
      </c>
      <c r="Y22" s="37" t="s">
        <v>111</v>
      </c>
      <c r="Z22" s="38" t="s">
        <v>112</v>
      </c>
      <c r="AA22" s="38" t="s">
        <v>113</v>
      </c>
      <c r="AB22" s="39" t="s">
        <v>114</v>
      </c>
      <c r="AC22" s="39" t="s">
        <v>115</v>
      </c>
      <c r="AD22" s="39" t="s">
        <v>116</v>
      </c>
      <c r="AE22" s="38" t="s">
        <v>117</v>
      </c>
      <c r="AF22" s="38" t="s">
        <v>118</v>
      </c>
      <c r="AG22" s="39" t="s">
        <v>119</v>
      </c>
      <c r="AH22" s="39" t="s">
        <v>120</v>
      </c>
      <c r="AI22" s="38" t="s">
        <v>121</v>
      </c>
      <c r="AJ22" s="38" t="s">
        <v>122</v>
      </c>
      <c r="AK22" s="39" t="s">
        <v>123</v>
      </c>
      <c r="AL22" s="39" t="s">
        <v>124</v>
      </c>
      <c r="AM22" s="39" t="s">
        <v>125</v>
      </c>
      <c r="AN22" s="38" t="s">
        <v>126</v>
      </c>
      <c r="AO22" s="40" t="s">
        <v>127</v>
      </c>
      <c r="AP22" s="9" t="s">
        <v>240</v>
      </c>
      <c r="AQ22" s="9" t="s">
        <v>126</v>
      </c>
      <c r="AR22" s="56" t="s">
        <v>131</v>
      </c>
      <c r="AS22" s="56" t="s">
        <v>132</v>
      </c>
      <c r="AT22" s="56" t="s">
        <v>133</v>
      </c>
      <c r="AU22" s="56" t="s">
        <v>134</v>
      </c>
      <c r="AV22" s="56" t="s">
        <v>135</v>
      </c>
      <c r="AW22" s="56" t="s">
        <v>136</v>
      </c>
      <c r="AX22" s="56" t="s">
        <v>137</v>
      </c>
      <c r="AY22" s="56" t="s">
        <v>138</v>
      </c>
      <c r="AZ22" s="84" t="s">
        <v>207</v>
      </c>
      <c r="BA22" s="84" t="s">
        <v>8</v>
      </c>
      <c r="BB22" s="84" t="s">
        <v>9</v>
      </c>
      <c r="BC22" s="56" t="s">
        <v>228</v>
      </c>
      <c r="BD22" s="56" t="s">
        <v>139</v>
      </c>
      <c r="BE22" s="56" t="s">
        <v>140</v>
      </c>
      <c r="BF22" s="56" t="s">
        <v>141</v>
      </c>
      <c r="BG22" s="56" t="s">
        <v>142</v>
      </c>
      <c r="BH22" s="56" t="s">
        <v>143</v>
      </c>
      <c r="BI22" s="56" t="s">
        <v>241</v>
      </c>
      <c r="BJ22" s="96" t="s">
        <v>247</v>
      </c>
      <c r="BK22" s="56" t="s">
        <v>248</v>
      </c>
      <c r="BL22" s="56" t="s">
        <v>136</v>
      </c>
      <c r="BM22" s="97" t="s">
        <v>256</v>
      </c>
    </row>
    <row r="23" spans="1:66" ht="15.75" thickBot="1">
      <c r="A23" s="41">
        <v>1</v>
      </c>
      <c r="B23" s="41" t="s">
        <v>210</v>
      </c>
      <c r="C23" s="41" t="s">
        <v>55</v>
      </c>
      <c r="D23" s="41" t="s">
        <v>56</v>
      </c>
      <c r="E23" s="41" t="s">
        <v>56</v>
      </c>
      <c r="F23" s="76">
        <v>2</v>
      </c>
      <c r="G23" t="s" s="0">
        <v>217</v>
      </c>
      <c r="H23" s="76">
        <f>F23*G23</f>
        <v>1048</v>
      </c>
      <c r="I23" t="s" s="0">
        <v>218</v>
      </c>
      <c r="J23" s="76">
        <v>1.79</v>
      </c>
      <c r="K23" s="76">
        <v>2.5</v>
      </c>
      <c r="L23" s="76">
        <f>H23</f>
        <v>1048</v>
      </c>
      <c r="M23" s="76">
        <f>ROUND(L23*I23%,2)</f>
        <v>20.96</v>
      </c>
      <c r="N23" s="76">
        <f>H23-M23</f>
        <v>1027.04</v>
      </c>
      <c r="O23" s="76">
        <f>ROUND(N23*J23%,2)</f>
        <v>18.38</v>
      </c>
      <c r="P23" s="76">
        <f>ROUND(N23-O23,2)</f>
        <v>1008.66</v>
      </c>
      <c r="Q23" s="76">
        <f>ROUND(P23*K23%,2)</f>
        <v>25.22</v>
      </c>
      <c r="R23" s="76">
        <f>M23+O23+Q23</f>
        <v>64.56</v>
      </c>
      <c r="S23" s="76">
        <f>(H23-R23)</f>
        <v>983.44</v>
      </c>
      <c r="T23" s="76" t="s">
        <v>128</v>
      </c>
      <c r="U23" s="76">
        <v>0.18</v>
      </c>
      <c r="V23" s="76">
        <f>IF($C$21=1,ROUND(((S23*U23)/2),2),0)</f>
        <v>88.51</v>
      </c>
      <c r="W23" s="76">
        <f>IF($C$21=1,ROUND(((S23*U23)/2),2),0)</f>
        <v>88.51</v>
      </c>
      <c r="X23" s="76">
        <f>IF($C$21=2,ROUND(((S23*U23)),2),0)</f>
        <v>0</v>
      </c>
      <c r="Y23" s="76">
        <f>V23+W23+X23</f>
        <v>177.02</v>
      </c>
      <c r="Z23" s="76">
        <f t="shared" ref="Z23:Z24" si="1">S23+Y23</f>
        <v>1160.46</v>
      </c>
      <c r="AA23" s="76">
        <v>120</v>
      </c>
      <c r="AB23" s="76">
        <f>IF($P$21=1,(S23/$S$25)*$E$36,AA23/$AA$25*$E$36)</f>
        <v>0</v>
      </c>
      <c r="AC23" s="76"/>
      <c r="AD23" s="76">
        <f>IF($P$21=1,(S23/$S$25)*$E$38,AA23/$AA$25*$E$38)</f>
        <v>0</v>
      </c>
      <c r="AE23" s="76">
        <f>IF($P$21=1,(S23/$S$25)*$E$38,AA23/$AA$25*$E$38)</f>
        <v>0</v>
      </c>
      <c r="AF23" s="76">
        <f t="shared" ref="AF23:AF24" si="2">S23*$M$21</f>
        <v>983.44</v>
      </c>
      <c r="AG23" s="76">
        <f t="shared" ref="AG23:AG24" si="3">IF($C$21=3,0,AD23+AE23)</f>
        <v>0</v>
      </c>
      <c r="AH23" s="76">
        <f t="shared" ref="AH23:AH24" si="4">IF($C$21=3,AB23+AD23+AE23,0)</f>
        <v>0</v>
      </c>
      <c r="AI23" s="76">
        <v>1</v>
      </c>
      <c r="AJ23" s="76">
        <f t="shared" ref="AJ23:AJ24" si="5">F23/AI23</f>
        <v>2</v>
      </c>
      <c r="AK23" s="76">
        <f>AF23/AJ23</f>
        <v>491.72</v>
      </c>
      <c r="AL23" s="76">
        <f>AG23/AJ23</f>
        <v>0</v>
      </c>
      <c r="AM23" s="76">
        <f>AH23/AJ23</f>
        <v>0</v>
      </c>
      <c r="AN23" s="76" t="s">
        <v>56</v>
      </c>
      <c r="AO23" s="76">
        <f>AK23+AL23+AM23</f>
        <v>491.72</v>
      </c>
      <c r="AP23" s="88" t="s">
        <v>236</v>
      </c>
      <c r="AQ23" s="88" t="s">
        <v>56</v>
      </c>
      <c r="AR23" t="s" s="0">
        <v>308</v>
      </c>
      <c r="AS23" t="s" s="0">
        <v>313</v>
      </c>
      <c r="AT23" s="88">
        <f>AJ23</f>
        <v>2</v>
      </c>
      <c r="AU23" s="88">
        <f>AO23</f>
        <v>491.72</v>
      </c>
      <c r="AV23" s="88">
        <f>AR23+AT23</f>
        <v>13332</v>
      </c>
      <c r="AW23" s="88">
        <f>ROUND(((AR23*AS23)+(AT23*AU23))/(AR23+AT23),5)</f>
        <v>513.37893999999994</v>
      </c>
      <c r="AX23" s="99"/>
      <c r="AY23" s="99" t="s">
        <v>144</v>
      </c>
      <c r="AZ23" s="5" t="s">
        <v>30</v>
      </c>
      <c r="BA23" s="101" t="s">
        <v>24</v>
      </c>
      <c r="BB23" s="101" t="s">
        <v>28</v>
      </c>
      <c r="BC23" s="99"/>
      <c r="BD23" s="99"/>
      <c r="BE23" s="99"/>
      <c r="BF23" s="88"/>
      <c r="BG23" s="88"/>
      <c r="BH23" s="88"/>
      <c r="BI23" s="88" t="s">
        <v>25</v>
      </c>
      <c r="BJ23" t="s" s="0">
        <v>316</v>
      </c>
      <c r="BK23" t="s" s="0">
        <v>315</v>
      </c>
      <c r="BL23" s="88">
        <f>ROUND((((AT23*AW23)+(BK23*BJ23))/(AT23+BK23)),5)</f>
        <v>513.48413000000005</v>
      </c>
      <c r="BM23" s="54">
        <f>BK23+AT23</f>
        <v>140</v>
      </c>
      <c r="BN23" s="54"/>
    </row>
    <row r="24" spans="1:66" ht="15.75" thickBot="1">
      <c r="A24" s="41">
        <v>3</v>
      </c>
      <c r="B24" s="41" t="s">
        <v>211</v>
      </c>
      <c r="C24" s="41" t="s">
        <v>60</v>
      </c>
      <c r="D24" s="41" t="s">
        <v>56</v>
      </c>
      <c r="E24" s="41" t="s">
        <v>56</v>
      </c>
      <c r="F24" s="76">
        <v>3</v>
      </c>
      <c r="G24" t="s" s="0">
        <v>219</v>
      </c>
      <c r="H24" s="76">
        <f>F24*G24</f>
        <v>696</v>
      </c>
      <c r="I24" t="s" s="0">
        <v>220</v>
      </c>
      <c r="J24" s="76">
        <v>0.25</v>
      </c>
      <c r="K24" s="76">
        <v>2.5</v>
      </c>
      <c r="L24" s="76">
        <f>H24</f>
        <v>696</v>
      </c>
      <c r="M24" s="76">
        <f>ROUND(L24*I24%,2)</f>
        <v>16.149999999999999</v>
      </c>
      <c r="N24" s="76">
        <f t="shared" ref="N24" si="6">H24-M24</f>
        <v>679.85</v>
      </c>
      <c r="O24" s="76">
        <f t="shared" ref="O24" si="7">ROUND(N24*J24%,2)</f>
        <v>1.7</v>
      </c>
      <c r="P24" s="76">
        <f t="shared" ref="P24" si="8">ROUND(N24-O24,2)</f>
        <v>678.15</v>
      </c>
      <c r="Q24" s="76">
        <f t="shared" ref="Q24" si="9">ROUND(P24*K24%,2)</f>
        <v>16.95</v>
      </c>
      <c r="R24" s="76">
        <f t="shared" ref="R24" si="10">M24+O24+Q24</f>
        <v>34.799999999999997</v>
      </c>
      <c r="S24" s="76">
        <f t="shared" ref="S24" si="11">(H24-R24)</f>
        <v>661.2</v>
      </c>
      <c r="T24" s="76" t="s">
        <v>128</v>
      </c>
      <c r="U24" s="76">
        <v>0.18</v>
      </c>
      <c r="V24" s="76">
        <f t="shared" ref="V24" si="12">IF($C$21=1,ROUND(((S24*U24)/2),2),0)</f>
        <v>59.51</v>
      </c>
      <c r="W24" s="76">
        <f t="shared" ref="W24" si="13">IF($C$21=1,ROUND(((S24*U24)/2),2),0)</f>
        <v>59.51</v>
      </c>
      <c r="X24" s="76">
        <f t="shared" ref="X24" si="14">IF($C$21=2,ROUND(((S24*U24)),2),0)</f>
        <v>0</v>
      </c>
      <c r="Y24" s="76">
        <f t="shared" ref="Y24" si="15">V24+W24+X24</f>
        <v>119.02</v>
      </c>
      <c r="Z24" s="76">
        <f t="shared" si="1"/>
        <v>780.22</v>
      </c>
      <c r="AA24" s="76">
        <v>150</v>
      </c>
      <c r="AB24" s="76">
        <f>IF($P$21=1,(S24/$S$25)*$E$36,AA24/$AA$25*$E$36)</f>
        <v>0</v>
      </c>
      <c r="AC24" s="76"/>
      <c r="AD24" s="76">
        <f>IF($P$21=1,(S24/$S$25)*$E$38,AA24/$AA$25*$E$38)</f>
        <v>0</v>
      </c>
      <c r="AE24" s="76">
        <f>IF($P$21=1,(S24/$S$25)*$E$38,AA24/$AA$25*$E$38)</f>
        <v>0</v>
      </c>
      <c r="AF24" s="76">
        <f t="shared" si="2"/>
        <v>661.2</v>
      </c>
      <c r="AG24" s="76">
        <f t="shared" si="3"/>
        <v>0</v>
      </c>
      <c r="AH24" s="76">
        <f t="shared" si="4"/>
        <v>0</v>
      </c>
      <c r="AI24" s="76">
        <v>1</v>
      </c>
      <c r="AJ24" s="76">
        <f t="shared" si="5"/>
        <v>3</v>
      </c>
      <c r="AK24" s="76">
        <f t="shared" ref="AK24" si="16">AF24/AJ24</f>
        <v>220.4</v>
      </c>
      <c r="AL24" s="76">
        <f t="shared" ref="AL24" si="17">AG24/AJ24</f>
        <v>0</v>
      </c>
      <c r="AM24" s="76">
        <f t="shared" ref="AM24" si="18">AH24/AJ24</f>
        <v>0</v>
      </c>
      <c r="AN24" s="76" t="s">
        <v>56</v>
      </c>
      <c r="AO24" s="76">
        <f t="shared" ref="AO24" si="19">AK24+AL24+AM24</f>
        <v>220.4</v>
      </c>
      <c r="AP24" s="88" t="s">
        <v>236</v>
      </c>
      <c r="AQ24" s="88" t="s">
        <v>56</v>
      </c>
      <c r="AR24" t="s" s="0">
        <v>260</v>
      </c>
      <c r="AS24" t="s" s="0">
        <v>314</v>
      </c>
      <c r="AT24" s="88">
        <f t="shared" ref="AT24" si="20">AJ24</f>
        <v>3</v>
      </c>
      <c r="AU24" s="88">
        <f>AO24</f>
        <v>220.4</v>
      </c>
      <c r="AV24" s="88">
        <f t="shared" ref="AV24" si="21">AR24+AT24</f>
        <v>12249</v>
      </c>
      <c r="AW24" s="88">
        <f t="shared" ref="AW24" si="22">ROUND(((AR24*AS24)+(AT24*AU24))/(AR24+AT24),5)</f>
        <v>226.58886000000001</v>
      </c>
      <c r="AX24" s="99"/>
      <c r="AY24" s="99"/>
      <c r="AZ24" s="100" t="s">
        <v>23</v>
      </c>
      <c r="BA24" s="100" t="s">
        <v>234</v>
      </c>
      <c r="BB24" s="100"/>
      <c r="BC24" s="99"/>
      <c r="BD24" s="99"/>
      <c r="BE24" s="99"/>
      <c r="BF24" s="88"/>
      <c r="BG24" s="88"/>
      <c r="BH24" s="88"/>
      <c r="BI24" s="88" t="s">
        <v>25</v>
      </c>
      <c r="BJ24" t="s" s="0">
        <v>318</v>
      </c>
      <c r="BK24" t="s" s="0">
        <v>317</v>
      </c>
      <c r="BL24" s="88">
        <f t="shared" ref="BL24" si="23">ROUND((((AT24*AW24)+(BK24*BJ24))/(AT24+BK24)),5)</f>
        <v>226.59927999999999</v>
      </c>
      <c r="BM24" s="54">
        <f t="shared" ref="BM24" si="24">BK24+AT24</f>
        <v>2068</v>
      </c>
      <c r="BN24" s="54"/>
    </row>
    <row r="25" spans="1:66" ht="15.75" thickBot="1">
      <c r="A25" s="13"/>
      <c r="B25" s="79"/>
      <c r="C25" s="79"/>
      <c r="D25" s="77" t="s">
        <v>85</v>
      </c>
      <c r="E25" s="77"/>
      <c r="F25" s="77"/>
      <c r="G25" s="78"/>
      <c r="H25" s="45">
        <f>SUM(H23:H24)</f>
        <v>1744</v>
      </c>
      <c r="I25" s="41"/>
      <c r="J25" s="41"/>
      <c r="K25" s="41"/>
      <c r="L25" s="41"/>
      <c r="M25" s="41"/>
      <c r="N25" s="41"/>
      <c r="O25" s="41"/>
      <c r="P25" s="41"/>
      <c r="Q25" s="41"/>
      <c r="R25" s="45">
        <f>SUM(R23:R24)</f>
        <v>99.36</v>
      </c>
      <c r="S25" s="81">
        <f>SUM(S23:S24)</f>
        <v>1644.64</v>
      </c>
      <c r="T25" s="45"/>
      <c r="U25" s="45"/>
      <c r="V25" s="46">
        <f t="shared" ref="V25:AB25" si="25">SUM(V23:V24)</f>
        <v>148.02000000000001</v>
      </c>
      <c r="W25" s="46">
        <f t="shared" si="25"/>
        <v>148.02000000000001</v>
      </c>
      <c r="X25" s="46">
        <f t="shared" si="25"/>
        <v>0</v>
      </c>
      <c r="Y25" s="45">
        <f t="shared" si="25"/>
        <v>296.04000000000002</v>
      </c>
      <c r="Z25" s="47">
        <f t="shared" si="25"/>
        <v>1940.68</v>
      </c>
      <c r="AA25" s="48">
        <f t="shared" si="25"/>
        <v>270</v>
      </c>
      <c r="AB25" s="48">
        <f t="shared" si="25"/>
        <v>0</v>
      </c>
      <c r="AC25" s="47"/>
      <c r="AD25" s="48">
        <f>SUM(AD23:AD24)</f>
        <v>0</v>
      </c>
      <c r="AE25" s="48">
        <f>SUM(AE23:AE24)</f>
        <v>0</v>
      </c>
      <c r="AF25" s="48">
        <f>SUM(AF23:AF24)</f>
        <v>1644.64</v>
      </c>
      <c r="AG25" s="48">
        <f>SUM(AG23:AG24)</f>
        <v>0</v>
      </c>
      <c r="AH25" s="48">
        <f>SUM(AH23:AH24)</f>
        <v>0</v>
      </c>
      <c r="AI25" s="47"/>
      <c r="AJ25" s="47"/>
      <c r="AK25" s="47"/>
      <c r="AL25" s="47"/>
      <c r="AM25" s="47"/>
      <c r="AN25" s="47"/>
      <c r="AO25" s="47"/>
      <c r="AP25" s="13"/>
    </row>
    <row r="27" spans="1:66">
      <c r="AS27" t="s" s="0">
        <v>263</v>
      </c>
      <c r="AT27" t="s" s="0">
        <v>264</v>
      </c>
    </row>
    <row r="28" spans="1:66">
      <c r="AS28" s="0">
        <v>1473.6849999999999</v>
      </c>
      <c r="AT28" s="0">
        <v>1281.64708</v>
      </c>
      <c r="AU28" s="88">
        <f t="shared" ref="AU28" si="26">AK28</f>
        <v>0</v>
      </c>
    </row>
    <row r="31" spans="1:66">
      <c r="AV31" t="s" s="0">
        <v>262</v>
      </c>
    </row>
    <row r="32" spans="1:66">
      <c r="AV32" s="0">
        <v>513.38841000000002</v>
      </c>
    </row>
    <row r="33" spans="48:48">
      <c r="AV33" s="0">
        <f>AV31-AV32</f>
        <v>3.2499999999799911E-3</v>
      </c>
    </row>
  </sheetData>
  <mergeCells count="3">
    <mergeCell ref="A1:Z1"/>
    <mergeCell ref="B19:G19"/>
    <mergeCell ref="A21:B2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BM30"/>
  <sheetViews>
    <sheetView topLeftCell="A16" workbookViewId="0">
      <selection activeCell="K24" sqref="K24"/>
    </sheetView>
  </sheetViews>
  <sheetFormatPr defaultRowHeight="15"/>
  <cols>
    <col min="2" max="2" bestFit="true" customWidth="true" width="26.85546875"/>
    <col min="12" max="12" bestFit="true" customWidth="true" width="13.85546875"/>
    <col min="45" max="45" bestFit="true" customWidth="true" width="20.28515625"/>
    <col min="49" max="49" bestFit="true" customWidth="true" width="18.85546875"/>
    <col min="51" max="51" bestFit="true" customWidth="true" width="21.7109375"/>
    <col min="53" max="53" bestFit="true" customWidth="true" width="14.28515625"/>
    <col min="61" max="61" bestFit="true" customWidth="true" width="8.140625"/>
    <col min="62" max="62" bestFit="true" customWidth="true" width="41.140625"/>
    <col min="63" max="63" bestFit="true" customWidth="true" width="37.0"/>
    <col min="64" max="64" bestFit="true" customWidth="true" width="18.85546875"/>
    <col min="65" max="65" bestFit="true" customWidth="true" width="34.42578125"/>
  </cols>
  <sheetData>
    <row r="1" spans="1:42" ht="18">
      <c r="A1" s="113" t="s">
        <v>145</v>
      </c>
      <c r="B1" s="113"/>
      <c r="C1" s="113"/>
      <c r="D1" s="113"/>
      <c r="E1" s="113"/>
      <c r="F1" s="113"/>
      <c r="G1" s="113"/>
      <c r="H1" s="113"/>
      <c r="I1" s="113"/>
      <c r="J1" s="113"/>
      <c r="K1" s="113"/>
      <c r="L1" s="113"/>
      <c r="M1" s="113"/>
      <c r="N1" s="113"/>
      <c r="O1" s="113"/>
      <c r="P1" s="113"/>
      <c r="Q1" s="113"/>
      <c r="R1" s="113"/>
      <c r="S1" s="113"/>
      <c r="T1" s="113"/>
      <c r="U1" s="113"/>
      <c r="V1" s="113"/>
      <c r="W1" s="113"/>
      <c r="X1" s="113"/>
      <c r="Y1" s="113"/>
      <c r="Z1" s="113"/>
      <c r="AA1" s="86"/>
      <c r="AB1" s="86"/>
      <c r="AC1" s="86"/>
      <c r="AD1" s="86"/>
      <c r="AE1" s="86"/>
      <c r="AF1" s="86"/>
      <c r="AG1" s="86"/>
      <c r="AH1" s="86"/>
      <c r="AI1" s="86"/>
      <c r="AJ1" s="86"/>
      <c r="AK1" s="86"/>
      <c r="AL1" s="86"/>
      <c r="AM1" s="86"/>
      <c r="AN1" s="86"/>
      <c r="AO1" s="13"/>
      <c r="AP1" s="13"/>
    </row>
    <row r="2" spans="1:42" ht="18.75" thickBot="1">
      <c r="A2" s="86" t="s">
        <v>146</v>
      </c>
      <c r="B2" s="86"/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  <c r="AD2" s="86"/>
      <c r="AE2" s="86"/>
      <c r="AF2" s="86"/>
      <c r="AG2" s="86"/>
      <c r="AH2" s="86"/>
      <c r="AI2" s="86"/>
      <c r="AJ2" s="86"/>
      <c r="AK2" s="86"/>
      <c r="AL2" s="86"/>
      <c r="AM2" s="86"/>
      <c r="AN2" s="86"/>
      <c r="AO2" s="13"/>
      <c r="AP2" s="13"/>
    </row>
    <row r="3" spans="1:42" ht="15.75" thickTop="1">
      <c r="A3" s="8" t="s">
        <v>46</v>
      </c>
      <c r="B3" s="9" t="s">
        <v>47</v>
      </c>
      <c r="C3" s="10" t="s">
        <v>48</v>
      </c>
      <c r="D3" s="9" t="s">
        <v>49</v>
      </c>
      <c r="E3" s="9" t="s">
        <v>50</v>
      </c>
      <c r="F3" s="9" t="s">
        <v>51</v>
      </c>
      <c r="G3" s="9" t="s">
        <v>52</v>
      </c>
      <c r="H3" s="11" t="s">
        <v>53</v>
      </c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3"/>
    </row>
    <row r="4" spans="1:42">
      <c r="A4" s="14">
        <v>1</v>
      </c>
      <c r="B4" s="15" t="s">
        <v>54</v>
      </c>
      <c r="C4" s="15" t="s">
        <v>55</v>
      </c>
      <c r="D4" s="15" t="s">
        <v>56</v>
      </c>
      <c r="E4" s="15" t="s">
        <v>56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20"/>
      <c r="Z4" s="20"/>
      <c r="AA4" s="20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13"/>
    </row>
    <row r="5" spans="1:42">
      <c r="A5" s="14">
        <v>2</v>
      </c>
      <c r="B5" s="15" t="s">
        <v>57</v>
      </c>
      <c r="C5" s="15" t="s">
        <v>58</v>
      </c>
      <c r="D5" s="15" t="s">
        <v>56</v>
      </c>
      <c r="E5" s="15" t="s">
        <v>56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13"/>
    </row>
    <row r="6" spans="1:42">
      <c r="A6" s="14">
        <v>3</v>
      </c>
      <c r="B6" s="15" t="s">
        <v>59</v>
      </c>
      <c r="C6" s="15" t="s">
        <v>60</v>
      </c>
      <c r="D6" s="15" t="s">
        <v>56</v>
      </c>
      <c r="E6" s="15" t="s">
        <v>56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20"/>
      <c r="Z6" s="20"/>
      <c r="AA6" s="20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13"/>
    </row>
    <row r="7" spans="1:42">
      <c r="A7" s="14">
        <v>4</v>
      </c>
      <c r="B7" s="15" t="s">
        <v>61</v>
      </c>
      <c r="C7" s="15" t="s">
        <v>62</v>
      </c>
      <c r="D7" s="15" t="s">
        <v>56</v>
      </c>
      <c r="E7" s="15" t="s">
        <v>56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20"/>
      <c r="Z7" s="20"/>
      <c r="AA7" s="20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13"/>
    </row>
    <row r="8" spans="1:42">
      <c r="A8" s="14">
        <v>5</v>
      </c>
      <c r="B8" s="15" t="s">
        <v>63</v>
      </c>
      <c r="C8" s="15" t="s">
        <v>64</v>
      </c>
      <c r="D8" s="15" t="s">
        <v>56</v>
      </c>
      <c r="E8" s="15" t="s">
        <v>56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13"/>
    </row>
    <row r="9" spans="1:42">
      <c r="A9" s="14">
        <v>6</v>
      </c>
      <c r="B9" s="15" t="s">
        <v>65</v>
      </c>
      <c r="C9" s="15" t="s">
        <v>66</v>
      </c>
      <c r="D9" s="15" t="s">
        <v>56</v>
      </c>
      <c r="E9" s="15" t="s">
        <v>56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20"/>
      <c r="Z9" s="20"/>
      <c r="AA9" s="20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13"/>
    </row>
    <row r="10" spans="1:42">
      <c r="A10" s="14">
        <v>7</v>
      </c>
      <c r="B10" s="15" t="s">
        <v>67</v>
      </c>
      <c r="C10" s="15" t="s">
        <v>68</v>
      </c>
      <c r="D10" s="15" t="s">
        <v>56</v>
      </c>
      <c r="E10" s="15" t="s">
        <v>56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20"/>
      <c r="Z10" s="20"/>
      <c r="AA10" s="20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13"/>
    </row>
    <row r="11" spans="1:42">
      <c r="A11" s="14">
        <v>8</v>
      </c>
      <c r="B11" s="15" t="s">
        <v>69</v>
      </c>
      <c r="C11" s="15" t="s">
        <v>70</v>
      </c>
      <c r="D11" s="15" t="s">
        <v>56</v>
      </c>
      <c r="E11" s="15" t="s">
        <v>56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13"/>
    </row>
    <row r="12" spans="1:42">
      <c r="A12" s="14">
        <v>9</v>
      </c>
      <c r="B12" s="15" t="s">
        <v>71</v>
      </c>
      <c r="C12" s="15" t="s">
        <v>72</v>
      </c>
      <c r="D12" s="15" t="s">
        <v>56</v>
      </c>
      <c r="E12" s="15" t="s">
        <v>56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13"/>
    </row>
    <row r="13" spans="1:42">
      <c r="A13" s="14">
        <v>10</v>
      </c>
      <c r="B13" s="15" t="s">
        <v>73</v>
      </c>
      <c r="C13" s="15" t="s">
        <v>74</v>
      </c>
      <c r="D13" s="15" t="s">
        <v>56</v>
      </c>
      <c r="E13" s="15" t="s">
        <v>56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20"/>
      <c r="Z13" s="20"/>
      <c r="AA13" s="20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13"/>
    </row>
    <row r="14" spans="1:42">
      <c r="A14" s="14">
        <v>11</v>
      </c>
      <c r="B14" s="15" t="s">
        <v>75</v>
      </c>
      <c r="C14" s="15" t="s">
        <v>76</v>
      </c>
      <c r="D14" s="15" t="s">
        <v>56</v>
      </c>
      <c r="E14" s="15" t="s">
        <v>56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13"/>
    </row>
    <row r="15" spans="1:42">
      <c r="A15" s="14">
        <v>12</v>
      </c>
      <c r="B15" s="15" t="s">
        <v>77</v>
      </c>
      <c r="C15" s="15" t="s">
        <v>78</v>
      </c>
      <c r="D15" s="15" t="s">
        <v>56</v>
      </c>
      <c r="E15" s="15" t="s">
        <v>56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20"/>
      <c r="Z15" s="20"/>
      <c r="AA15" s="20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13"/>
    </row>
    <row r="16" spans="1:42">
      <c r="A16" s="14">
        <v>13</v>
      </c>
      <c r="B16" s="15" t="s">
        <v>79</v>
      </c>
      <c r="C16" s="15" t="s">
        <v>80</v>
      </c>
      <c r="D16" s="15" t="s">
        <v>56</v>
      </c>
      <c r="E16" s="15" t="s">
        <v>56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20"/>
      <c r="Z16" s="20"/>
      <c r="AA16" s="20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13"/>
    </row>
    <row r="17" spans="1:65">
      <c r="A17" s="14">
        <v>14</v>
      </c>
      <c r="B17" s="15" t="s">
        <v>81</v>
      </c>
      <c r="C17" s="15" t="s">
        <v>82</v>
      </c>
      <c r="D17" s="15" t="s">
        <v>56</v>
      </c>
      <c r="E17" s="15" t="s">
        <v>56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80">
        <v>5858.27</v>
      </c>
      <c r="T17" s="20"/>
      <c r="U17" s="19"/>
      <c r="V17" s="19"/>
      <c r="W17" s="19"/>
      <c r="X17" s="19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13"/>
    </row>
    <row r="18" spans="1:65" ht="15.75" thickBot="1">
      <c r="A18" s="21">
        <v>15</v>
      </c>
      <c r="B18" s="22" t="s">
        <v>83</v>
      </c>
      <c r="C18" s="22" t="s">
        <v>84</v>
      </c>
      <c r="D18" s="22" t="s">
        <v>56</v>
      </c>
      <c r="E18" s="22" t="s">
        <v>56</v>
      </c>
      <c r="F18" s="23">
        <v>85</v>
      </c>
      <c r="G18" s="24">
        <v>65.48</v>
      </c>
      <c r="H18" s="25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20"/>
      <c r="Z18" s="20"/>
      <c r="AA18" s="20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13"/>
    </row>
    <row r="19" spans="1:65" ht="15.75" thickTop="1">
      <c r="A19" s="13"/>
      <c r="B19" s="114" t="s">
        <v>85</v>
      </c>
      <c r="C19" s="114"/>
      <c r="D19" s="114"/>
      <c r="E19" s="114"/>
      <c r="F19" s="114"/>
      <c r="G19" s="114"/>
      <c r="H19" s="26">
        <f>SUM(H4:H18)</f>
        <v>71856.759999999995</v>
      </c>
      <c r="I19" s="27"/>
      <c r="J19" s="27"/>
      <c r="K19" s="27"/>
      <c r="L19" s="27"/>
      <c r="M19" s="27"/>
      <c r="N19" s="27"/>
      <c r="O19" s="27"/>
      <c r="P19" s="27"/>
      <c r="Q19" s="27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  <c r="AO19" s="28"/>
      <c r="AP19" s="13"/>
    </row>
    <row r="20" spans="1:65">
      <c r="A20" s="28" t="s">
        <v>86</v>
      </c>
      <c r="B20" s="29"/>
      <c r="C20" s="29"/>
      <c r="D20" s="29"/>
      <c r="E20" s="29"/>
      <c r="F20" s="29"/>
      <c r="G20" s="29"/>
      <c r="H20" s="28"/>
      <c r="I20" s="30"/>
      <c r="J20" s="30"/>
      <c r="K20" s="30"/>
      <c r="L20" s="30"/>
      <c r="M20" s="30"/>
      <c r="N20" s="30"/>
      <c r="O20" s="30"/>
      <c r="P20" s="30"/>
      <c r="Q20" s="30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  <c r="AO20" s="28"/>
      <c r="AP20" s="13"/>
    </row>
    <row r="21" spans="1:65" ht="15.75" thickBot="1">
      <c r="A21" s="115" t="s">
        <v>87</v>
      </c>
      <c r="B21" s="115"/>
      <c r="C21" s="12">
        <v>1</v>
      </c>
      <c r="D21" s="31" t="s">
        <v>88</v>
      </c>
      <c r="E21" s="29"/>
      <c r="F21" s="29"/>
      <c r="G21" s="29"/>
      <c r="H21" s="28"/>
      <c r="I21" s="30" t="s">
        <v>89</v>
      </c>
      <c r="J21" s="30" t="s">
        <v>90</v>
      </c>
      <c r="K21" s="30"/>
      <c r="L21" s="30" t="s">
        <v>91</v>
      </c>
      <c r="M21" s="30">
        <v>1</v>
      </c>
      <c r="N21" s="30"/>
      <c r="O21" s="30" t="s">
        <v>92</v>
      </c>
      <c r="P21" s="30">
        <v>1</v>
      </c>
      <c r="Q21" s="30" t="s">
        <v>93</v>
      </c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  <c r="AO21" s="28"/>
      <c r="AP21" s="13"/>
    </row>
    <row r="22" spans="1:65" ht="58.5" thickTop="1" thickBot="1">
      <c r="A22" s="32" t="s">
        <v>46</v>
      </c>
      <c r="B22" s="32" t="s">
        <v>47</v>
      </c>
      <c r="C22" s="33" t="s">
        <v>48</v>
      </c>
      <c r="D22" s="32" t="s">
        <v>49</v>
      </c>
      <c r="E22" s="32" t="s">
        <v>50</v>
      </c>
      <c r="F22" s="34" t="s">
        <v>94</v>
      </c>
      <c r="G22" s="32" t="s">
        <v>52</v>
      </c>
      <c r="H22" s="32" t="s">
        <v>53</v>
      </c>
      <c r="I22" s="35" t="s">
        <v>95</v>
      </c>
      <c r="J22" s="35" t="s">
        <v>96</v>
      </c>
      <c r="K22" s="35" t="s">
        <v>97</v>
      </c>
      <c r="L22" s="36" t="s">
        <v>98</v>
      </c>
      <c r="M22" s="36" t="s">
        <v>99</v>
      </c>
      <c r="N22" s="36" t="s">
        <v>100</v>
      </c>
      <c r="O22" s="36" t="s">
        <v>101</v>
      </c>
      <c r="P22" s="36" t="s">
        <v>102</v>
      </c>
      <c r="Q22" s="36" t="s">
        <v>103</v>
      </c>
      <c r="R22" s="35" t="s">
        <v>104</v>
      </c>
      <c r="S22" s="32" t="s">
        <v>105</v>
      </c>
      <c r="T22" s="32" t="s">
        <v>106</v>
      </c>
      <c r="U22" s="37" t="s">
        <v>107</v>
      </c>
      <c r="V22" s="37" t="s">
        <v>108</v>
      </c>
      <c r="W22" s="37" t="s">
        <v>109</v>
      </c>
      <c r="X22" s="37" t="s">
        <v>110</v>
      </c>
      <c r="Y22" s="37" t="s">
        <v>111</v>
      </c>
      <c r="Z22" s="38" t="s">
        <v>112</v>
      </c>
      <c r="AA22" s="38" t="s">
        <v>113</v>
      </c>
      <c r="AB22" s="39" t="s">
        <v>114</v>
      </c>
      <c r="AC22" s="39" t="s">
        <v>115</v>
      </c>
      <c r="AD22" s="39" t="s">
        <v>116</v>
      </c>
      <c r="AE22" s="38" t="s">
        <v>117</v>
      </c>
      <c r="AF22" s="38" t="s">
        <v>118</v>
      </c>
      <c r="AG22" s="39" t="s">
        <v>119</v>
      </c>
      <c r="AH22" s="39" t="s">
        <v>120</v>
      </c>
      <c r="AI22" s="38" t="s">
        <v>121</v>
      </c>
      <c r="AJ22" s="38" t="s">
        <v>122</v>
      </c>
      <c r="AK22" s="39" t="s">
        <v>123</v>
      </c>
      <c r="AL22" s="39" t="s">
        <v>124</v>
      </c>
      <c r="AM22" s="39" t="s">
        <v>125</v>
      </c>
      <c r="AN22" s="38" t="s">
        <v>126</v>
      </c>
      <c r="AO22" s="40" t="s">
        <v>127</v>
      </c>
      <c r="AP22" s="9" t="s">
        <v>240</v>
      </c>
      <c r="AQ22" s="9" t="s">
        <v>126</v>
      </c>
      <c r="AR22" s="56" t="s">
        <v>131</v>
      </c>
      <c r="AS22" s="56" t="s">
        <v>132</v>
      </c>
      <c r="AT22" s="56" t="s">
        <v>133</v>
      </c>
      <c r="AU22" s="56" t="s">
        <v>134</v>
      </c>
      <c r="AV22" s="56" t="s">
        <v>135</v>
      </c>
      <c r="AW22" s="56" t="s">
        <v>136</v>
      </c>
      <c r="AX22" s="56" t="s">
        <v>137</v>
      </c>
      <c r="AY22" s="56" t="s">
        <v>138</v>
      </c>
      <c r="AZ22" s="84" t="s">
        <v>207</v>
      </c>
      <c r="BA22" s="84" t="s">
        <v>8</v>
      </c>
      <c r="BB22" s="84" t="s">
        <v>9</v>
      </c>
      <c r="BC22" s="56" t="s">
        <v>228</v>
      </c>
      <c r="BD22" s="56" t="s">
        <v>139</v>
      </c>
      <c r="BE22" s="56" t="s">
        <v>140</v>
      </c>
      <c r="BF22" s="56" t="s">
        <v>141</v>
      </c>
      <c r="BG22" s="56" t="s">
        <v>142</v>
      </c>
      <c r="BH22" s="56" t="s">
        <v>143</v>
      </c>
      <c r="BI22" s="56" t="s">
        <v>241</v>
      </c>
      <c r="BJ22" s="96" t="s">
        <v>247</v>
      </c>
      <c r="BK22" s="56" t="s">
        <v>248</v>
      </c>
      <c r="BL22" s="56" t="s">
        <v>136</v>
      </c>
      <c r="BM22" s="97" t="s">
        <v>256</v>
      </c>
    </row>
    <row r="23" spans="1:65" ht="15.75" thickBot="1">
      <c r="A23" s="41">
        <v>1</v>
      </c>
      <c r="B23" s="41" t="s">
        <v>267</v>
      </c>
      <c r="C23" s="41" t="s">
        <v>55</v>
      </c>
      <c r="D23" s="41" t="s">
        <v>56</v>
      </c>
      <c r="E23" s="41" t="s">
        <v>56</v>
      </c>
      <c r="F23" s="76">
        <v>2</v>
      </c>
      <c r="G23" s="76">
        <v>250.25</v>
      </c>
      <c r="H23" s="76">
        <f>F23*G23</f>
        <v>500.5</v>
      </c>
      <c r="I23" s="76">
        <v>2.21</v>
      </c>
      <c r="J23" s="76">
        <v>1.79</v>
      </c>
      <c r="K23" s="76">
        <v>2.5</v>
      </c>
      <c r="L23" s="76">
        <f>H23</f>
        <v>500.5</v>
      </c>
      <c r="M23" s="76">
        <f>ROUND(L23*I23%,2)</f>
        <v>11.06</v>
      </c>
      <c r="N23" s="76">
        <f>H23-M23</f>
        <v>489.44</v>
      </c>
      <c r="O23" s="76">
        <f>ROUND(N23*J23%,2)</f>
        <v>8.76</v>
      </c>
      <c r="P23" s="76">
        <f>ROUND(N23-O23,2)</f>
        <v>480.68</v>
      </c>
      <c r="Q23" s="76">
        <f>ROUND(P23*K23%,2)</f>
        <v>12.02</v>
      </c>
      <c r="R23" s="76">
        <f>M23+O23+Q23</f>
        <v>31.84</v>
      </c>
      <c r="S23" s="76">
        <f>(H23-R23)</f>
        <v>468.66</v>
      </c>
      <c r="T23" s="76" t="s">
        <v>128</v>
      </c>
      <c r="U23" s="76">
        <v>0.18</v>
      </c>
      <c r="V23" s="76">
        <f>IF($C$21=1,ROUND(((S23*U23)/2),2),0)</f>
        <v>42.18</v>
      </c>
      <c r="W23" s="76">
        <f>IF($C$21=1,ROUND(((S23*U23)/2),2),0)</f>
        <v>42.18</v>
      </c>
      <c r="X23" s="76">
        <f>IF($C$21=2,ROUND(((S23*U23)),2),0)</f>
        <v>0</v>
      </c>
      <c r="Y23" s="76">
        <f>V23+W23+X23</f>
        <v>84.36</v>
      </c>
      <c r="Z23" s="76">
        <f t="shared" ref="Z23:Z24" si="1">S23+Y23</f>
        <v>553.02</v>
      </c>
      <c r="AA23" s="76">
        <v>120</v>
      </c>
      <c r="AB23" s="76">
        <f>IF($P$21=1,(S23/$S$25)*$E$36,AA23/$AA$25*$E$36)</f>
        <v>0</v>
      </c>
      <c r="AC23" s="76"/>
      <c r="AD23" s="76">
        <f>IF($P$21=1,(S23/$S$25)*$E$38,AA23/$AA$25*$E$38)</f>
        <v>0</v>
      </c>
      <c r="AE23" s="76">
        <f>IF($P$21=1,(S23/$S$25)*$E$38,AA23/$AA$25*$E$38)</f>
        <v>0</v>
      </c>
      <c r="AF23" s="76">
        <f t="shared" ref="AF23:AF24" si="2">S23*$M$21</f>
        <v>468.66</v>
      </c>
      <c r="AG23" s="76">
        <f t="shared" ref="AG23:AG24" si="3">IF($C$21=3,0,AD23+AE23)</f>
        <v>0</v>
      </c>
      <c r="AH23" s="76">
        <f t="shared" ref="AH23:AH24" si="4">IF($C$21=3,AB23+AD23+AE23,0)</f>
        <v>0</v>
      </c>
      <c r="AI23" s="76">
        <v>1</v>
      </c>
      <c r="AJ23" s="76">
        <f>F23/AI23</f>
        <v>2</v>
      </c>
      <c r="AK23" s="76">
        <f>AF23/AJ23</f>
        <v>234.33</v>
      </c>
      <c r="AL23" s="76">
        <f>AG23/AJ23</f>
        <v>0</v>
      </c>
      <c r="AM23" s="76">
        <f>AH23/AJ23</f>
        <v>0</v>
      </c>
      <c r="AN23" s="76" t="s">
        <v>56</v>
      </c>
      <c r="AO23" s="76">
        <f>AK23+AL23+AM23</f>
        <v>234.33</v>
      </c>
      <c r="AP23" s="88" t="s">
        <v>236</v>
      </c>
      <c r="AQ23" s="88" t="s">
        <v>56</v>
      </c>
      <c r="AR23" t="s" s="0">
        <v>249</v>
      </c>
      <c r="AS23" t="s" s="0">
        <v>268</v>
      </c>
      <c r="AT23" s="88">
        <f>AJ23</f>
        <v>2</v>
      </c>
      <c r="AU23" s="88">
        <f>AO23</f>
        <v>234.33</v>
      </c>
      <c r="AV23" s="88">
        <f>AR23+AT23</f>
        <v>2</v>
      </c>
      <c r="AW23" s="88">
        <f>ROUND(((AR23*AS23)+(AT23*AU23))/(AR23+AT23),5)</f>
        <v>81.47833</v>
      </c>
      <c r="AX23" s="99"/>
      <c r="AY23" s="99" t="s">
        <v>144</v>
      </c>
      <c r="AZ23" s="101" t="s">
        <v>27</v>
      </c>
      <c r="BA23" s="100" t="s">
        <v>24</v>
      </c>
      <c r="BB23" s="101" t="s">
        <v>28</v>
      </c>
      <c r="BC23" s="99"/>
      <c r="BD23" s="99"/>
      <c r="BE23" s="99"/>
      <c r="BF23" s="88"/>
      <c r="BG23" s="88"/>
      <c r="BH23" s="88"/>
      <c r="BI23" s="88" t="s">
        <v>25</v>
      </c>
      <c r="BJ23" t="s" s="0">
        <v>268</v>
      </c>
      <c r="BK23" t="s" s="0">
        <v>218</v>
      </c>
      <c r="BL23" s="88">
        <f>ROUND((((AT23*AW23)+(BK23*BJ23))/(AT23+BK23)),5)</f>
        <v>239.82105999999999</v>
      </c>
      <c r="BM23" s="54">
        <f>BK23+AT23</f>
        <v>102</v>
      </c>
    </row>
    <row r="24" spans="1:65" ht="15.75" thickBot="1">
      <c r="A24" s="41">
        <v>2</v>
      </c>
      <c r="B24" s="41" t="s">
        <v>265</v>
      </c>
      <c r="C24" s="41" t="s">
        <v>58</v>
      </c>
      <c r="D24" s="41" t="s">
        <v>56</v>
      </c>
      <c r="E24" s="41" t="s">
        <v>56</v>
      </c>
      <c r="F24" s="76">
        <v>30</v>
      </c>
      <c r="G24" s="76">
        <v>130.25</v>
      </c>
      <c r="H24" s="76">
        <f>F24*G24</f>
        <v>3907.5</v>
      </c>
      <c r="I24" s="76">
        <v>1.25</v>
      </c>
      <c r="J24" s="76">
        <v>1.68</v>
      </c>
      <c r="K24" s="76">
        <v>2.5</v>
      </c>
      <c r="L24" s="76">
        <f>H24</f>
        <v>3907.5</v>
      </c>
      <c r="M24" s="76">
        <f>ROUND(L24*I24%,2)</f>
        <v>48.84</v>
      </c>
      <c r="N24" s="76">
        <f t="shared" ref="N24" si="5">H24-M24</f>
        <v>3858.66</v>
      </c>
      <c r="O24" s="76">
        <f t="shared" ref="O24" si="6">ROUND(N24*J24%,2)</f>
        <v>64.83</v>
      </c>
      <c r="P24" s="76">
        <f t="shared" ref="P24" si="7">ROUND(N24-O24,2)</f>
        <v>3793.83</v>
      </c>
      <c r="Q24" s="76">
        <f t="shared" ref="Q24" si="8">ROUND(P24*K24%,2)</f>
        <v>94.85</v>
      </c>
      <c r="R24" s="76">
        <f t="shared" ref="R24" si="9">M24+O24+Q24</f>
        <v>208.51999999999998</v>
      </c>
      <c r="S24" s="76">
        <f t="shared" ref="S24" si="10">(H24-R24)</f>
        <v>3698.98</v>
      </c>
      <c r="T24" s="76" t="s">
        <v>128</v>
      </c>
      <c r="U24" s="76">
        <v>0.18</v>
      </c>
      <c r="V24" s="76">
        <f t="shared" ref="V24" si="11">IF($C$21=1,ROUND(((S24*U24)/2),2),0)</f>
        <v>332.91</v>
      </c>
      <c r="W24" s="76">
        <f t="shared" ref="W24" si="12">IF($C$21=1,ROUND(((S24*U24)/2),2),0)</f>
        <v>332.91</v>
      </c>
      <c r="X24" s="76">
        <f t="shared" ref="X24" si="13">IF($C$21=2,ROUND(((S24*U24)),2),0)</f>
        <v>0</v>
      </c>
      <c r="Y24" s="76">
        <f t="shared" ref="Y24" si="14">V24+W24+X24</f>
        <v>665.82</v>
      </c>
      <c r="Z24" s="76">
        <f t="shared" si="1"/>
        <v>4364.8</v>
      </c>
      <c r="AA24" s="76">
        <v>200</v>
      </c>
      <c r="AB24" s="76">
        <f>IF($P$21=1,(S24/$S$25)*$E$36,AA24/$AA$25*$E$36)</f>
        <v>0</v>
      </c>
      <c r="AC24" s="76"/>
      <c r="AD24" s="76">
        <f>IF($P$21=1,(S24/$S$25)*$E$38,AA24/$AA$25*$E$38)</f>
        <v>0</v>
      </c>
      <c r="AE24" s="76">
        <f>IF($P$21=1,(S24/$S$25)*$E$38,AA24/$AA$25*$E$38)</f>
        <v>0</v>
      </c>
      <c r="AF24" s="76">
        <f t="shared" si="2"/>
        <v>3698.98</v>
      </c>
      <c r="AG24" s="76">
        <f t="shared" si="3"/>
        <v>0</v>
      </c>
      <c r="AH24" s="76">
        <f t="shared" si="4"/>
        <v>0</v>
      </c>
      <c r="AI24" s="76">
        <v>1</v>
      </c>
      <c r="AJ24" s="76">
        <f>F24/AI24</f>
        <v>30</v>
      </c>
      <c r="AK24" s="76">
        <f t="shared" ref="AK24" si="15">AF24/AJ24</f>
        <v>123.29933333333334</v>
      </c>
      <c r="AL24" s="76">
        <f t="shared" ref="AL24" si="16">AG24/AJ24</f>
        <v>0</v>
      </c>
      <c r="AM24" s="76">
        <f t="shared" ref="AM24" si="17">AH24/AJ24</f>
        <v>0</v>
      </c>
      <c r="AN24" s="76" t="s">
        <v>56</v>
      </c>
      <c r="AO24" s="76">
        <f t="shared" ref="AO24" si="18">AK24+AL24+AM24</f>
        <v>123.29933333333334</v>
      </c>
      <c r="AP24" s="88" t="s">
        <v>236</v>
      </c>
      <c r="AQ24" s="88" t="s">
        <v>56</v>
      </c>
      <c r="AR24" t="s" s="0">
        <v>249</v>
      </c>
      <c r="AS24" t="s" s="0">
        <v>266</v>
      </c>
      <c r="AT24" s="88">
        <f t="shared" ref="AT24" si="19">AJ24</f>
        <v>30</v>
      </c>
      <c r="AU24" s="88">
        <f>AO24</f>
        <v>123.29933333333334</v>
      </c>
      <c r="AV24" s="88">
        <f t="shared" ref="AV24" si="20">AR24+AT24</f>
        <v>30</v>
      </c>
      <c r="AW24" s="88">
        <f>ROUND(((AR24*AS24)+(AT24*AU24))/(AR24+AT24),5)</f>
        <v>123.29933</v>
      </c>
      <c r="AX24" s="99"/>
      <c r="AY24" s="99"/>
      <c r="AZ24" s="101" t="s">
        <v>27</v>
      </c>
      <c r="BA24" s="100" t="s">
        <v>234</v>
      </c>
      <c r="BB24" s="100"/>
      <c r="BC24" s="99"/>
      <c r="BD24" s="99"/>
      <c r="BE24" s="99"/>
      <c r="BF24" s="88"/>
      <c r="BG24" s="88"/>
      <c r="BH24" s="88"/>
      <c r="BI24" s="88" t="s">
        <v>25</v>
      </c>
      <c r="BJ24" t="s" s="0">
        <v>266</v>
      </c>
      <c r="BK24" t="s" s="0">
        <v>319</v>
      </c>
      <c r="BL24" s="88">
        <f>ROUND((((AT24*AW24)+(BK24*BJ24))/(AT24+BK24)),5)</f>
        <v>123.29933</v>
      </c>
      <c r="BM24" s="54">
        <f>BK24+AT24</f>
        <v>60</v>
      </c>
    </row>
    <row r="25" spans="1:65" ht="15.75" thickBot="1">
      <c r="A25" s="13"/>
      <c r="B25" s="79"/>
      <c r="C25" s="79"/>
      <c r="D25" s="77" t="s">
        <v>85</v>
      </c>
      <c r="E25" s="77"/>
      <c r="F25" s="77"/>
      <c r="G25" s="78"/>
      <c r="H25" s="45">
        <f>SUM(H23:H24)</f>
        <v>4408</v>
      </c>
      <c r="I25" s="41"/>
      <c r="J25" s="41"/>
      <c r="K25" s="41"/>
      <c r="L25" s="41"/>
      <c r="M25" s="41"/>
      <c r="N25" s="41"/>
      <c r="O25" s="41"/>
      <c r="P25" s="41"/>
      <c r="Q25" s="41"/>
      <c r="R25" s="45">
        <f>SUM(R23:R24)</f>
        <v>240.35999999999999</v>
      </c>
      <c r="S25" s="81">
        <f>SUM(S23:S24)</f>
        <v>4167.6400000000003</v>
      </c>
      <c r="T25" s="45"/>
      <c r="U25" s="45"/>
      <c r="V25" s="46">
        <f t="shared" ref="V25:AB25" si="21">SUM(V23:V24)</f>
        <v>375.09000000000003</v>
      </c>
      <c r="W25" s="46">
        <f t="shared" si="21"/>
        <v>375.09000000000003</v>
      </c>
      <c r="X25" s="46">
        <f t="shared" si="21"/>
        <v>0</v>
      </c>
      <c r="Y25" s="45">
        <f t="shared" si="21"/>
        <v>750.18000000000006</v>
      </c>
      <c r="Z25" s="47">
        <f t="shared" si="21"/>
        <v>4917.82</v>
      </c>
      <c r="AA25" s="48">
        <f t="shared" si="21"/>
        <v>320</v>
      </c>
      <c r="AB25" s="48">
        <f t="shared" si="21"/>
        <v>0</v>
      </c>
      <c r="AC25" s="47"/>
      <c r="AD25" s="48">
        <f>SUM(AD23:AD24)</f>
        <v>0</v>
      </c>
      <c r="AE25" s="48">
        <f>SUM(AE23:AE24)</f>
        <v>0</v>
      </c>
      <c r="AF25" s="48">
        <f>SUM(AF23:AF24)</f>
        <v>4167.6400000000003</v>
      </c>
      <c r="AG25" s="48">
        <f>SUM(AG23:AG24)</f>
        <v>0</v>
      </c>
      <c r="AH25" s="48">
        <f>SUM(AH23:AH24)</f>
        <v>0</v>
      </c>
      <c r="AI25" s="47"/>
      <c r="AJ25" s="47"/>
      <c r="AK25" s="47"/>
      <c r="AL25" s="47"/>
      <c r="AM25" s="47"/>
      <c r="AN25" s="47"/>
      <c r="AO25" s="47"/>
      <c r="AP25" s="13"/>
    </row>
    <row r="26" spans="1:65" ht="15.75" thickBot="1">
      <c r="BL26" s="98">
        <v>123.29933</v>
      </c>
      <c r="BM26" s="98"/>
    </row>
    <row r="30" spans="1:65">
      <c r="K30" s="80"/>
    </row>
  </sheetData>
  <mergeCells count="3">
    <mergeCell ref="A1:Z1"/>
    <mergeCell ref="B19:G19"/>
    <mergeCell ref="A21:B21"/>
  </mergeCells>
  <hyperlinks>
    <hyperlink ref="B24" r:id="rId1" display="https://webappqc.roadmaperp.com:8765/ords/r/erp/scm-us9011/item-unit-association?p36719401_prodplnt_prod_id=TVS-SIM-293931&amp;p36719401_prodplnt_prod_rev=0&amp;p36719401_rep_type=&amp;p36719401_page=367194&amp;p36719401_prodplnt_status=A&amp;p36719401_prodplnt_plnt=U100&amp;clear=RP,36719401&amp;session=33842499744504&amp;cs=1kldaqlcSqb6KDMk97DSm3fLFox-yvkXS_nDDCWj2cQ6lFYyTyIVJRSGUfxoHPp0HF37cUbSvK2iNx8b1xUvsOQ"/>
  </hyperlinks>
  <pageMargins left="0.7" right="0.7" top="0.75" bottom="0.75" header="0.3" footer="0.3"/>
  <pageSetup orientation="portrait" r:id="rId2"/>
</worksheet>
</file>

<file path=xl/worksheets/sheet11.xml><?xml version="1.0" encoding="utf-8"?>
<worksheet xmlns="http://schemas.openxmlformats.org/spreadsheetml/2006/main" xmlns:r="http://schemas.openxmlformats.org/officeDocument/2006/relationships">
  <dimension ref="A1:BH24"/>
  <sheetViews>
    <sheetView topLeftCell="AS13" workbookViewId="0">
      <selection activeCell="AT23" sqref="AT23:AU23"/>
    </sheetView>
  </sheetViews>
  <sheetFormatPr defaultRowHeight="15"/>
  <cols>
    <col min="2" max="2" bestFit="true" customWidth="true" width="20.7109375"/>
    <col min="3" max="3" bestFit="true" customWidth="true" width="19.28515625"/>
    <col min="4" max="4" bestFit="true" customWidth="true" width="62.7109375"/>
    <col min="57" max="57" bestFit="true" customWidth="true" width="12.5703125"/>
    <col min="58" max="58" bestFit="true" customWidth="true" width="21.7109375"/>
    <col min="59" max="59" bestFit="true" customWidth="true" width="30.5703125"/>
  </cols>
  <sheetData>
    <row r="1" spans="1:42" ht="18">
      <c r="A1" s="113" t="s">
        <v>145</v>
      </c>
      <c r="B1" s="113"/>
      <c r="C1" s="113"/>
      <c r="D1" s="113"/>
      <c r="E1" s="113"/>
      <c r="F1" s="113"/>
      <c r="G1" s="113"/>
      <c r="H1" s="113"/>
      <c r="I1" s="113"/>
      <c r="J1" s="113"/>
      <c r="K1" s="113"/>
      <c r="L1" s="113"/>
      <c r="M1" s="113"/>
      <c r="N1" s="113"/>
      <c r="O1" s="113"/>
      <c r="P1" s="113"/>
      <c r="Q1" s="113"/>
      <c r="R1" s="113"/>
      <c r="S1" s="113"/>
      <c r="T1" s="113"/>
      <c r="U1" s="113"/>
      <c r="V1" s="113"/>
      <c r="W1" s="113"/>
      <c r="X1" s="113"/>
      <c r="Y1" s="113"/>
      <c r="Z1" s="113"/>
      <c r="AA1" s="86"/>
      <c r="AB1" s="86"/>
      <c r="AC1" s="86"/>
      <c r="AD1" s="86"/>
      <c r="AE1" s="86"/>
      <c r="AF1" s="86"/>
      <c r="AG1" s="86"/>
      <c r="AH1" s="86"/>
      <c r="AI1" s="86"/>
      <c r="AJ1" s="86"/>
      <c r="AK1" s="86"/>
      <c r="AL1" s="86"/>
      <c r="AM1" s="86"/>
      <c r="AN1" s="86"/>
      <c r="AO1" s="13"/>
      <c r="AP1" s="13"/>
    </row>
    <row r="2" spans="1:42" ht="18.75" thickBot="1">
      <c r="A2" s="86" t="s">
        <v>146</v>
      </c>
      <c r="B2" s="86"/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  <c r="AD2" s="86"/>
      <c r="AE2" s="86"/>
      <c r="AF2" s="86"/>
      <c r="AG2" s="86"/>
      <c r="AH2" s="86"/>
      <c r="AI2" s="86"/>
      <c r="AJ2" s="86"/>
      <c r="AK2" s="86"/>
      <c r="AL2" s="86"/>
      <c r="AM2" s="86"/>
      <c r="AN2" s="86"/>
      <c r="AO2" s="13"/>
      <c r="AP2" s="13"/>
    </row>
    <row r="3" spans="1:42" ht="15.75" thickTop="1">
      <c r="A3" s="8" t="s">
        <v>46</v>
      </c>
      <c r="B3" s="9" t="s">
        <v>47</v>
      </c>
      <c r="C3" s="10" t="s">
        <v>48</v>
      </c>
      <c r="D3" s="9" t="s">
        <v>49</v>
      </c>
      <c r="E3" s="9" t="s">
        <v>50</v>
      </c>
      <c r="F3" s="9" t="s">
        <v>51</v>
      </c>
      <c r="G3" s="9" t="s">
        <v>52</v>
      </c>
      <c r="H3" s="11" t="s">
        <v>53</v>
      </c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3"/>
    </row>
    <row r="4" spans="1:42">
      <c r="A4" s="14">
        <v>1</v>
      </c>
      <c r="B4" s="15" t="s">
        <v>54</v>
      </c>
      <c r="C4" s="15" t="s">
        <v>55</v>
      </c>
      <c r="D4" s="15" t="s">
        <v>56</v>
      </c>
      <c r="E4" s="15" t="s">
        <v>56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20"/>
      <c r="Z4" s="20"/>
      <c r="AA4" s="20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13"/>
    </row>
    <row r="5" spans="1:42">
      <c r="A5" s="14">
        <v>2</v>
      </c>
      <c r="B5" s="15" t="s">
        <v>57</v>
      </c>
      <c r="C5" s="15" t="s">
        <v>58</v>
      </c>
      <c r="D5" s="15" t="s">
        <v>56</v>
      </c>
      <c r="E5" s="15" t="s">
        <v>56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13"/>
    </row>
    <row r="6" spans="1:42">
      <c r="A6" s="14">
        <v>3</v>
      </c>
      <c r="B6" s="15" t="s">
        <v>59</v>
      </c>
      <c r="C6" s="15" t="s">
        <v>60</v>
      </c>
      <c r="D6" s="15" t="s">
        <v>56</v>
      </c>
      <c r="E6" s="15" t="s">
        <v>56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20"/>
      <c r="Z6" s="20"/>
      <c r="AA6" s="20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13"/>
    </row>
    <row r="7" spans="1:42">
      <c r="A7" s="14">
        <v>4</v>
      </c>
      <c r="B7" s="15" t="s">
        <v>61</v>
      </c>
      <c r="C7" s="15" t="s">
        <v>62</v>
      </c>
      <c r="D7" s="15" t="s">
        <v>56</v>
      </c>
      <c r="E7" s="15" t="s">
        <v>56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20"/>
      <c r="Z7" s="20"/>
      <c r="AA7" s="20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13"/>
    </row>
    <row r="8" spans="1:42">
      <c r="A8" s="14">
        <v>5</v>
      </c>
      <c r="B8" s="15" t="s">
        <v>63</v>
      </c>
      <c r="C8" s="15" t="s">
        <v>64</v>
      </c>
      <c r="D8" s="15" t="s">
        <v>56</v>
      </c>
      <c r="E8" s="15" t="s">
        <v>56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13"/>
    </row>
    <row r="9" spans="1:42">
      <c r="A9" s="14">
        <v>6</v>
      </c>
      <c r="B9" s="15" t="s">
        <v>65</v>
      </c>
      <c r="C9" s="15" t="s">
        <v>66</v>
      </c>
      <c r="D9" s="15" t="s">
        <v>56</v>
      </c>
      <c r="E9" s="15" t="s">
        <v>56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20"/>
      <c r="Z9" s="20"/>
      <c r="AA9" s="20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13"/>
    </row>
    <row r="10" spans="1:42">
      <c r="A10" s="14">
        <v>7</v>
      </c>
      <c r="B10" s="15" t="s">
        <v>67</v>
      </c>
      <c r="C10" s="15" t="s">
        <v>68</v>
      </c>
      <c r="D10" s="15" t="s">
        <v>56</v>
      </c>
      <c r="E10" s="15" t="s">
        <v>56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20"/>
      <c r="Z10" s="20"/>
      <c r="AA10" s="20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13"/>
    </row>
    <row r="11" spans="1:42">
      <c r="A11" s="14">
        <v>8</v>
      </c>
      <c r="B11" s="15" t="s">
        <v>69</v>
      </c>
      <c r="C11" s="15" t="s">
        <v>70</v>
      </c>
      <c r="D11" s="15" t="s">
        <v>56</v>
      </c>
      <c r="E11" s="15" t="s">
        <v>56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13"/>
    </row>
    <row r="12" spans="1:42">
      <c r="A12" s="14">
        <v>9</v>
      </c>
      <c r="B12" s="15" t="s">
        <v>71</v>
      </c>
      <c r="C12" s="15" t="s">
        <v>72</v>
      </c>
      <c r="D12" s="15" t="s">
        <v>56</v>
      </c>
      <c r="E12" s="15" t="s">
        <v>56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13"/>
    </row>
    <row r="13" spans="1:42">
      <c r="A13" s="14">
        <v>10</v>
      </c>
      <c r="B13" s="15" t="s">
        <v>73</v>
      </c>
      <c r="C13" s="15" t="s">
        <v>74</v>
      </c>
      <c r="D13" s="15" t="s">
        <v>56</v>
      </c>
      <c r="E13" s="15" t="s">
        <v>56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20"/>
      <c r="Z13" s="20"/>
      <c r="AA13" s="20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13"/>
    </row>
    <row r="14" spans="1:42">
      <c r="A14" s="14">
        <v>11</v>
      </c>
      <c r="B14" s="15" t="s">
        <v>75</v>
      </c>
      <c r="C14" s="15" t="s">
        <v>76</v>
      </c>
      <c r="D14" s="15" t="s">
        <v>56</v>
      </c>
      <c r="E14" s="15" t="s">
        <v>56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13"/>
    </row>
    <row r="15" spans="1:42">
      <c r="A15" s="14">
        <v>12</v>
      </c>
      <c r="B15" s="15" t="s">
        <v>77</v>
      </c>
      <c r="C15" s="15" t="s">
        <v>78</v>
      </c>
      <c r="D15" s="15" t="s">
        <v>56</v>
      </c>
      <c r="E15" s="15" t="s">
        <v>56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20"/>
      <c r="Z15" s="20"/>
      <c r="AA15" s="20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13"/>
    </row>
    <row r="16" spans="1:42">
      <c r="A16" s="14">
        <v>13</v>
      </c>
      <c r="B16" s="15" t="s">
        <v>79</v>
      </c>
      <c r="C16" s="15" t="s">
        <v>80</v>
      </c>
      <c r="D16" s="15" t="s">
        <v>56</v>
      </c>
      <c r="E16" s="15" t="s">
        <v>56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20"/>
      <c r="Z16" s="20"/>
      <c r="AA16" s="20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13"/>
    </row>
    <row r="17" spans="1:60">
      <c r="A17" s="14">
        <v>14</v>
      </c>
      <c r="B17" s="15" t="s">
        <v>81</v>
      </c>
      <c r="C17" s="15" t="s">
        <v>82</v>
      </c>
      <c r="D17" s="15" t="s">
        <v>56</v>
      </c>
      <c r="E17" s="15" t="s">
        <v>56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80">
        <v>5858.27</v>
      </c>
      <c r="T17" s="20"/>
      <c r="U17" s="19"/>
      <c r="V17" s="19"/>
      <c r="W17" s="19"/>
      <c r="X17" s="19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13"/>
    </row>
    <row r="18" spans="1:60" ht="15.75" thickBot="1">
      <c r="A18" s="21">
        <v>15</v>
      </c>
      <c r="B18" s="22" t="s">
        <v>83</v>
      </c>
      <c r="C18" s="22" t="s">
        <v>84</v>
      </c>
      <c r="D18" s="22" t="s">
        <v>56</v>
      </c>
      <c r="E18" s="22" t="s">
        <v>56</v>
      </c>
      <c r="F18" s="23">
        <v>85</v>
      </c>
      <c r="G18" s="24">
        <v>65.48</v>
      </c>
      <c r="H18" s="25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20"/>
      <c r="Z18" s="20"/>
      <c r="AA18" s="20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13"/>
    </row>
    <row r="19" spans="1:60" ht="15.75" thickTop="1">
      <c r="A19" s="13"/>
      <c r="B19" s="114" t="s">
        <v>85</v>
      </c>
      <c r="C19" s="114"/>
      <c r="D19" s="114"/>
      <c r="E19" s="114"/>
      <c r="F19" s="114"/>
      <c r="G19" s="114"/>
      <c r="H19" s="26">
        <f>SUM(H4:H18)</f>
        <v>71856.759999999995</v>
      </c>
      <c r="I19" s="27"/>
      <c r="J19" s="27"/>
      <c r="K19" s="27"/>
      <c r="L19" s="27"/>
      <c r="M19" s="27"/>
      <c r="N19" s="27"/>
      <c r="O19" s="27"/>
      <c r="P19" s="27"/>
      <c r="Q19" s="27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  <c r="AO19" s="28"/>
      <c r="AP19" s="13"/>
    </row>
    <row r="20" spans="1:60">
      <c r="A20" s="28" t="s">
        <v>86</v>
      </c>
      <c r="B20" s="29"/>
      <c r="C20" s="29"/>
      <c r="D20" s="29"/>
      <c r="E20" s="29"/>
      <c r="F20" s="29"/>
      <c r="G20" s="29"/>
      <c r="H20" s="28"/>
      <c r="I20" s="30"/>
      <c r="J20" s="30"/>
      <c r="K20" s="30"/>
      <c r="L20" s="30"/>
      <c r="M20" s="30"/>
      <c r="N20" s="30"/>
      <c r="O20" s="30"/>
      <c r="P20" s="30"/>
      <c r="Q20" s="30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  <c r="AO20" s="28"/>
      <c r="AP20" s="13"/>
    </row>
    <row r="21" spans="1:60" ht="15.75" thickBot="1">
      <c r="A21" s="115" t="s">
        <v>87</v>
      </c>
      <c r="B21" s="115"/>
      <c r="C21" s="12">
        <v>1</v>
      </c>
      <c r="D21" s="31" t="s">
        <v>88</v>
      </c>
      <c r="E21" s="29"/>
      <c r="F21" s="29"/>
      <c r="G21" s="29"/>
      <c r="H21" s="28"/>
      <c r="I21" s="30" t="s">
        <v>89</v>
      </c>
      <c r="J21" s="30" t="s">
        <v>90</v>
      </c>
      <c r="K21" s="30"/>
      <c r="L21" s="30" t="s">
        <v>91</v>
      </c>
      <c r="M21" s="30">
        <v>1</v>
      </c>
      <c r="N21" s="30"/>
      <c r="O21" s="30" t="s">
        <v>92</v>
      </c>
      <c r="P21" s="30">
        <v>1</v>
      </c>
      <c r="Q21" s="30" t="s">
        <v>93</v>
      </c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  <c r="AO21" s="28"/>
      <c r="AP21" s="13"/>
    </row>
    <row r="22" spans="1:60" ht="58.5" thickTop="1" thickBot="1">
      <c r="A22" s="32" t="s">
        <v>46</v>
      </c>
      <c r="B22" s="32" t="s">
        <v>47</v>
      </c>
      <c r="C22" s="33" t="s">
        <v>48</v>
      </c>
      <c r="D22" s="32" t="s">
        <v>49</v>
      </c>
      <c r="E22" s="32" t="s">
        <v>50</v>
      </c>
      <c r="F22" s="34" t="s">
        <v>94</v>
      </c>
      <c r="G22" s="32" t="s">
        <v>52</v>
      </c>
      <c r="H22" s="32" t="s">
        <v>53</v>
      </c>
      <c r="I22" s="35" t="s">
        <v>95</v>
      </c>
      <c r="J22" s="35" t="s">
        <v>96</v>
      </c>
      <c r="K22" s="35" t="s">
        <v>97</v>
      </c>
      <c r="L22" s="36" t="s">
        <v>98</v>
      </c>
      <c r="M22" s="36" t="s">
        <v>99</v>
      </c>
      <c r="N22" s="36" t="s">
        <v>100</v>
      </c>
      <c r="O22" s="36" t="s">
        <v>101</v>
      </c>
      <c r="P22" s="36" t="s">
        <v>102</v>
      </c>
      <c r="Q22" s="36" t="s">
        <v>103</v>
      </c>
      <c r="R22" s="35" t="s">
        <v>104</v>
      </c>
      <c r="S22" s="32" t="s">
        <v>105</v>
      </c>
      <c r="T22" s="32" t="s">
        <v>106</v>
      </c>
      <c r="U22" s="37" t="s">
        <v>107</v>
      </c>
      <c r="V22" s="37" t="s">
        <v>108</v>
      </c>
      <c r="W22" s="37" t="s">
        <v>109</v>
      </c>
      <c r="X22" s="37" t="s">
        <v>110</v>
      </c>
      <c r="Y22" s="37" t="s">
        <v>111</v>
      </c>
      <c r="Z22" s="38" t="s">
        <v>112</v>
      </c>
      <c r="AA22" s="38" t="s">
        <v>113</v>
      </c>
      <c r="AB22" s="39" t="s">
        <v>114</v>
      </c>
      <c r="AC22" s="39" t="s">
        <v>115</v>
      </c>
      <c r="AD22" s="39" t="s">
        <v>116</v>
      </c>
      <c r="AE22" s="38" t="s">
        <v>117</v>
      </c>
      <c r="AF22" s="38" t="s">
        <v>118</v>
      </c>
      <c r="AG22" s="39" t="s">
        <v>119</v>
      </c>
      <c r="AH22" s="39" t="s">
        <v>120</v>
      </c>
      <c r="AI22" s="38" t="s">
        <v>121</v>
      </c>
      <c r="AJ22" s="38" t="s">
        <v>122</v>
      </c>
      <c r="AK22" s="39" t="s">
        <v>123</v>
      </c>
      <c r="AL22" s="39" t="s">
        <v>124</v>
      </c>
      <c r="AM22" s="39" t="s">
        <v>125</v>
      </c>
      <c r="AN22" s="38" t="s">
        <v>126</v>
      </c>
      <c r="AO22" s="40" t="s">
        <v>127</v>
      </c>
      <c r="AP22" s="9" t="s">
        <v>130</v>
      </c>
      <c r="AQ22" s="9" t="s">
        <v>126</v>
      </c>
      <c r="AR22" s="56" t="s">
        <v>131</v>
      </c>
      <c r="AS22" s="56" t="s">
        <v>132</v>
      </c>
      <c r="AT22" s="57" t="s">
        <v>133</v>
      </c>
      <c r="AU22" s="57" t="s">
        <v>134</v>
      </c>
      <c r="AV22" s="56" t="s">
        <v>135</v>
      </c>
      <c r="AW22" s="56" t="s">
        <v>136</v>
      </c>
      <c r="AX22" s="56" t="s">
        <v>137</v>
      </c>
      <c r="AY22" s="56" t="s">
        <v>138</v>
      </c>
      <c r="AZ22" s="84" t="s">
        <v>207</v>
      </c>
      <c r="BA22" s="84" t="s">
        <v>8</v>
      </c>
      <c r="BB22" s="84" t="s">
        <v>9</v>
      </c>
      <c r="BC22" s="56" t="s">
        <v>139</v>
      </c>
      <c r="BD22" s="56" t="s">
        <v>140</v>
      </c>
      <c r="BE22" s="57" t="s">
        <v>141</v>
      </c>
      <c r="BF22" s="57" t="s">
        <v>142</v>
      </c>
      <c r="BG22" s="57" t="s">
        <v>143</v>
      </c>
      <c r="BH22" s="58"/>
    </row>
    <row r="23" spans="1:60" ht="15.75" thickBot="1">
      <c r="A23" s="41">
        <v>1</v>
      </c>
      <c r="B23" s="41" t="s">
        <v>213</v>
      </c>
      <c r="C23" s="41" t="s">
        <v>55</v>
      </c>
      <c r="D23" s="41" t="s">
        <v>56</v>
      </c>
      <c r="E23" s="41" t="s">
        <v>56</v>
      </c>
      <c r="F23" s="42">
        <v>2</v>
      </c>
      <c r="G23" t="s" s="0">
        <v>226</v>
      </c>
      <c r="H23" s="43">
        <f>F23*G23</f>
        <v>500.5</v>
      </c>
      <c r="I23" t="s" s="0">
        <v>227</v>
      </c>
      <c r="J23" s="76">
        <v>1.79</v>
      </c>
      <c r="K23" s="76">
        <v>2.5</v>
      </c>
      <c r="L23" s="76">
        <f>H23</f>
        <v>500.5</v>
      </c>
      <c r="M23" s="76">
        <f>ROUND(L23*I23%,2)</f>
        <v>11.06</v>
      </c>
      <c r="N23" s="76">
        <f>H23-M23</f>
        <v>489.44</v>
      </c>
      <c r="O23" s="76">
        <f>ROUND(N23*J23%,2)</f>
        <v>8.76</v>
      </c>
      <c r="P23" s="76">
        <f>ROUND(N23-O23,2)</f>
        <v>480.68</v>
      </c>
      <c r="Q23" s="76">
        <f>ROUND(P23*K23%,2)</f>
        <v>12.02</v>
      </c>
      <c r="R23" s="76">
        <f>M23+O23+Q23</f>
        <v>31.84</v>
      </c>
      <c r="S23" s="76">
        <f>(H23-R23)</f>
        <v>468.66</v>
      </c>
      <c r="T23" s="43" t="s">
        <v>128</v>
      </c>
      <c r="U23" s="44">
        <v>0.05</v>
      </c>
      <c r="V23" s="76">
        <f>IF($C$21=1,ROUND(((S23*U23)/2),2),0)</f>
        <v>11.72</v>
      </c>
      <c r="W23" s="76">
        <f>IF($C$21=1,ROUND(((S23*U23)/2),2),0)</f>
        <v>11.72</v>
      </c>
      <c r="X23" s="76">
        <f>IF($C$21=2,ROUND(((S23*U23)),2),0)</f>
        <v>0</v>
      </c>
      <c r="Y23" s="76">
        <f>V23+W23+X23</f>
        <v>23.44</v>
      </c>
      <c r="Z23" s="76">
        <f t="shared" ref="Z23" si="1">S23+Y23</f>
        <v>492.1</v>
      </c>
      <c r="AA23" s="43">
        <v>120</v>
      </c>
      <c r="AB23" s="43">
        <f>IF($P$21=1,(S23/$S$24)*$E$35,AA23/$AA$24*$E$35)</f>
        <v>0</v>
      </c>
      <c r="AC23" s="43"/>
      <c r="AD23" s="43">
        <f>IF($P$21=1,(S23/$S$24)*$E$37,AA23/$AA$24*$E$37)</f>
        <v>0</v>
      </c>
      <c r="AE23" s="43">
        <f>IF($P$21=1,(S23/$S$24)*$E$37,AA23/$AA$24*$E$37)</f>
        <v>0</v>
      </c>
      <c r="AF23" s="43">
        <f t="shared" ref="AF23" si="2">S23*$M$21</f>
        <v>468.66</v>
      </c>
      <c r="AG23" s="43">
        <f t="shared" ref="AG23" si="3">IF($C$21=3,0,AD23+AE23)</f>
        <v>0</v>
      </c>
      <c r="AH23" s="43">
        <f t="shared" ref="AH23" si="4">IF($C$21=3,AB23+AD23+AE23,0)</f>
        <v>0</v>
      </c>
      <c r="AI23" s="42">
        <v>1</v>
      </c>
      <c r="AJ23" s="43">
        <f t="shared" ref="AJ23" si="5">F23/AI23</f>
        <v>2</v>
      </c>
      <c r="AK23" s="43">
        <f>AF23/AJ23</f>
        <v>234.33</v>
      </c>
      <c r="AL23" s="43">
        <f>AG23/AJ23</f>
        <v>0</v>
      </c>
      <c r="AM23" s="43">
        <f>AH23/AJ23</f>
        <v>0</v>
      </c>
      <c r="AN23" s="43" t="s">
        <v>56</v>
      </c>
      <c r="AO23" s="43">
        <f>AK23+AL23+AM23</f>
        <v>234.33</v>
      </c>
      <c r="AP23" s="15" t="s">
        <v>25</v>
      </c>
      <c r="AQ23" s="15" t="s">
        <v>56</v>
      </c>
      <c r="AR23" t="s" s="0">
        <v>205</v>
      </c>
      <c r="AS23" s="59" t="s">
        <v>206</v>
      </c>
      <c r="AT23" s="59">
        <f>AJ23</f>
        <v>2</v>
      </c>
      <c r="AU23" s="59">
        <f>AO23</f>
        <v>234.33</v>
      </c>
      <c r="AV23" s="88">
        <f>AR23+AT23</f>
        <v>1154.5999999999999</v>
      </c>
      <c r="AW23" s="88">
        <f>ROUND(((AR23*AS23)+(AT23*AU23))/(AR23+AT23),5)</f>
        <v>138.45435000000001</v>
      </c>
      <c r="AX23" s="59"/>
      <c r="AY23" s="59" t="s">
        <v>144</v>
      </c>
      <c r="AZ23" s="4" t="s">
        <v>23</v>
      </c>
      <c r="BA23" s="59"/>
      <c r="BB23" s="59"/>
      <c r="BC23" s="83"/>
      <c r="BD23" s="59"/>
      <c r="BE23" s="15"/>
      <c r="BF23" s="15"/>
      <c r="BG23" s="15"/>
      <c r="BH23" s="60"/>
    </row>
    <row r="24" spans="1:60" ht="15.75" thickBot="1">
      <c r="A24" s="13"/>
      <c r="B24" s="79"/>
      <c r="C24" s="79"/>
      <c r="D24" s="77" t="s">
        <v>85</v>
      </c>
      <c r="E24" s="77"/>
      <c r="F24" s="77"/>
      <c r="G24" s="78"/>
      <c r="H24" s="45">
        <f>SUM(H23:H23)</f>
        <v>500.5</v>
      </c>
      <c r="I24" s="41"/>
      <c r="J24" s="41"/>
      <c r="K24" s="41"/>
      <c r="L24" s="41"/>
      <c r="M24" s="41"/>
      <c r="N24" s="41"/>
      <c r="O24" s="41"/>
      <c r="P24" s="41"/>
      <c r="Q24" s="41"/>
      <c r="R24" s="45">
        <f>SUM(R23:R23)</f>
        <v>31.84</v>
      </c>
      <c r="S24" s="81">
        <f>SUM(S23:S23)</f>
        <v>468.66</v>
      </c>
      <c r="T24" s="45"/>
      <c r="U24" s="45"/>
      <c r="V24" s="46">
        <f t="shared" ref="V24:AB24" si="6">SUM(V23:V23)</f>
        <v>11.72</v>
      </c>
      <c r="W24" s="46">
        <f t="shared" si="6"/>
        <v>11.72</v>
      </c>
      <c r="X24" s="46">
        <f t="shared" si="6"/>
        <v>0</v>
      </c>
      <c r="Y24" s="45">
        <f t="shared" si="6"/>
        <v>23.44</v>
      </c>
      <c r="Z24" s="47">
        <f t="shared" si="6"/>
        <v>492.1</v>
      </c>
      <c r="AA24" s="48">
        <f t="shared" si="6"/>
        <v>120</v>
      </c>
      <c r="AB24" s="48">
        <f t="shared" si="6"/>
        <v>0</v>
      </c>
      <c r="AC24" s="47"/>
      <c r="AD24" s="48">
        <f>SUM(AD23:AD23)</f>
        <v>0</v>
      </c>
      <c r="AE24" s="48">
        <f>SUM(AE23:AE23)</f>
        <v>0</v>
      </c>
      <c r="AF24" s="48">
        <f>SUM(AF23:AF23)</f>
        <v>468.66</v>
      </c>
      <c r="AG24" s="48">
        <f>SUM(AG23:AG23)</f>
        <v>0</v>
      </c>
      <c r="AH24" s="48">
        <f>SUM(AH23:AH23)</f>
        <v>0</v>
      </c>
      <c r="AI24" s="47"/>
      <c r="AJ24" s="47"/>
      <c r="AK24" s="47"/>
      <c r="AL24" s="47"/>
      <c r="AM24" s="47"/>
      <c r="AN24" s="47"/>
      <c r="AO24" s="47"/>
      <c r="AP24" s="13"/>
      <c r="AT24" s="90"/>
      <c r="AU24" s="90"/>
    </row>
  </sheetData>
  <mergeCells count="3">
    <mergeCell ref="A1:Z1"/>
    <mergeCell ref="B19:G19"/>
    <mergeCell ref="A21:B2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BM31"/>
  <sheetViews>
    <sheetView topLeftCell="A13" workbookViewId="0">
      <selection activeCell="B24" sqref="B24"/>
    </sheetView>
  </sheetViews>
  <sheetFormatPr defaultRowHeight="15"/>
  <cols>
    <col min="2" max="2" bestFit="true" customWidth="true" width="26.85546875"/>
    <col min="3" max="3" bestFit="true" customWidth="true" width="19.28515625"/>
    <col min="4" max="4" bestFit="true" customWidth="true" width="62.7109375"/>
    <col min="5" max="5" bestFit="true" customWidth="true" width="10.42578125"/>
    <col min="57" max="57" bestFit="true" customWidth="true" width="12.5703125"/>
    <col min="58" max="58" bestFit="true" customWidth="true" width="21.7109375"/>
    <col min="59" max="59" bestFit="true" customWidth="true" width="30.5703125"/>
    <col min="65" max="65" bestFit="true" customWidth="true" width="34.42578125"/>
  </cols>
  <sheetData>
    <row r="1" spans="1:42" ht="18">
      <c r="A1" s="113" t="s">
        <v>145</v>
      </c>
      <c r="B1" s="113"/>
      <c r="C1" s="113"/>
      <c r="D1" s="113"/>
      <c r="E1" s="113"/>
      <c r="F1" s="113"/>
      <c r="G1" s="113"/>
      <c r="H1" s="113"/>
      <c r="I1" s="113"/>
      <c r="J1" s="113"/>
      <c r="K1" s="113"/>
      <c r="L1" s="113"/>
      <c r="M1" s="113"/>
      <c r="N1" s="113"/>
      <c r="O1" s="113"/>
      <c r="P1" s="113"/>
      <c r="Q1" s="113"/>
      <c r="R1" s="113"/>
      <c r="S1" s="113"/>
      <c r="T1" s="113"/>
      <c r="U1" s="113"/>
      <c r="V1" s="113"/>
      <c r="W1" s="113"/>
      <c r="X1" s="113"/>
      <c r="Y1" s="113"/>
      <c r="Z1" s="113"/>
      <c r="AA1" s="86"/>
      <c r="AB1" s="86"/>
      <c r="AC1" s="86"/>
      <c r="AD1" s="86"/>
      <c r="AE1" s="86"/>
      <c r="AF1" s="86"/>
      <c r="AG1" s="86"/>
      <c r="AH1" s="86"/>
      <c r="AI1" s="86"/>
      <c r="AJ1" s="86"/>
      <c r="AK1" s="86"/>
      <c r="AL1" s="86"/>
      <c r="AM1" s="86"/>
      <c r="AN1" s="86"/>
      <c r="AO1" s="13"/>
      <c r="AP1" s="13"/>
    </row>
    <row r="2" spans="1:42" ht="18.75" thickBot="1">
      <c r="A2" s="86" t="s">
        <v>146</v>
      </c>
      <c r="B2" s="86"/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  <c r="AD2" s="86"/>
      <c r="AE2" s="86"/>
      <c r="AF2" s="86"/>
      <c r="AG2" s="86"/>
      <c r="AH2" s="86"/>
      <c r="AI2" s="86"/>
      <c r="AJ2" s="86"/>
      <c r="AK2" s="86"/>
      <c r="AL2" s="86"/>
      <c r="AM2" s="86"/>
      <c r="AN2" s="86"/>
      <c r="AO2" s="13"/>
      <c r="AP2" s="13"/>
    </row>
    <row r="3" spans="1:42" ht="15.75" thickTop="1">
      <c r="A3" s="8" t="s">
        <v>46</v>
      </c>
      <c r="B3" s="9" t="s">
        <v>47</v>
      </c>
      <c r="C3" s="10" t="s">
        <v>48</v>
      </c>
      <c r="D3" s="9" t="s">
        <v>49</v>
      </c>
      <c r="E3" s="9" t="s">
        <v>50</v>
      </c>
      <c r="F3" s="9" t="s">
        <v>51</v>
      </c>
      <c r="G3" s="9" t="s">
        <v>52</v>
      </c>
      <c r="H3" s="11" t="s">
        <v>53</v>
      </c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3"/>
    </row>
    <row r="4" spans="1:42">
      <c r="A4" s="14">
        <v>1</v>
      </c>
      <c r="B4" s="15" t="s">
        <v>54</v>
      </c>
      <c r="C4" s="15" t="s">
        <v>55</v>
      </c>
      <c r="D4" s="15" t="s">
        <v>56</v>
      </c>
      <c r="E4" s="15" t="s">
        <v>56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20"/>
      <c r="Z4" s="20"/>
      <c r="AA4" s="20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13"/>
    </row>
    <row r="5" spans="1:42">
      <c r="A5" s="14">
        <v>2</v>
      </c>
      <c r="B5" s="15" t="s">
        <v>57</v>
      </c>
      <c r="C5" s="15" t="s">
        <v>58</v>
      </c>
      <c r="D5" s="15" t="s">
        <v>56</v>
      </c>
      <c r="E5" s="15" t="s">
        <v>56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13"/>
    </row>
    <row r="6" spans="1:42">
      <c r="A6" s="14">
        <v>3</v>
      </c>
      <c r="B6" s="15" t="s">
        <v>59</v>
      </c>
      <c r="C6" s="15" t="s">
        <v>60</v>
      </c>
      <c r="D6" s="15" t="s">
        <v>56</v>
      </c>
      <c r="E6" s="15" t="s">
        <v>56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20"/>
      <c r="Z6" s="20"/>
      <c r="AA6" s="20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13"/>
    </row>
    <row r="7" spans="1:42">
      <c r="A7" s="14">
        <v>4</v>
      </c>
      <c r="B7" s="15" t="s">
        <v>61</v>
      </c>
      <c r="C7" s="15" t="s">
        <v>62</v>
      </c>
      <c r="D7" s="15" t="s">
        <v>56</v>
      </c>
      <c r="E7" s="15" t="s">
        <v>56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20"/>
      <c r="Z7" s="20"/>
      <c r="AA7" s="20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13"/>
    </row>
    <row r="8" spans="1:42">
      <c r="A8" s="14">
        <v>5</v>
      </c>
      <c r="B8" s="15" t="s">
        <v>63</v>
      </c>
      <c r="C8" s="15" t="s">
        <v>64</v>
      </c>
      <c r="D8" s="15" t="s">
        <v>56</v>
      </c>
      <c r="E8" s="15" t="s">
        <v>56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13"/>
    </row>
    <row r="9" spans="1:42">
      <c r="A9" s="14">
        <v>6</v>
      </c>
      <c r="B9" s="15" t="s">
        <v>65</v>
      </c>
      <c r="C9" s="15" t="s">
        <v>66</v>
      </c>
      <c r="D9" s="15" t="s">
        <v>56</v>
      </c>
      <c r="E9" s="15" t="s">
        <v>56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20"/>
      <c r="Z9" s="20"/>
      <c r="AA9" s="20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13"/>
    </row>
    <row r="10" spans="1:42">
      <c r="A10" s="14">
        <v>7</v>
      </c>
      <c r="B10" s="15" t="s">
        <v>67</v>
      </c>
      <c r="C10" s="15" t="s">
        <v>68</v>
      </c>
      <c r="D10" s="15" t="s">
        <v>56</v>
      </c>
      <c r="E10" s="15" t="s">
        <v>56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20"/>
      <c r="Z10" s="20"/>
      <c r="AA10" s="20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13"/>
    </row>
    <row r="11" spans="1:42">
      <c r="A11" s="14">
        <v>8</v>
      </c>
      <c r="B11" s="15" t="s">
        <v>69</v>
      </c>
      <c r="C11" s="15" t="s">
        <v>70</v>
      </c>
      <c r="D11" s="15" t="s">
        <v>56</v>
      </c>
      <c r="E11" s="15" t="s">
        <v>56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13"/>
    </row>
    <row r="12" spans="1:42">
      <c r="A12" s="14">
        <v>9</v>
      </c>
      <c r="B12" s="15" t="s">
        <v>71</v>
      </c>
      <c r="C12" s="15" t="s">
        <v>72</v>
      </c>
      <c r="D12" s="15" t="s">
        <v>56</v>
      </c>
      <c r="E12" s="15" t="s">
        <v>56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13"/>
    </row>
    <row r="13" spans="1:42">
      <c r="A13" s="14">
        <v>10</v>
      </c>
      <c r="B13" s="15" t="s">
        <v>73</v>
      </c>
      <c r="C13" s="15" t="s">
        <v>74</v>
      </c>
      <c r="D13" s="15" t="s">
        <v>56</v>
      </c>
      <c r="E13" s="15" t="s">
        <v>56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20"/>
      <c r="Z13" s="20"/>
      <c r="AA13" s="20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13"/>
    </row>
    <row r="14" spans="1:42">
      <c r="A14" s="14">
        <v>11</v>
      </c>
      <c r="B14" s="15" t="s">
        <v>75</v>
      </c>
      <c r="C14" s="15" t="s">
        <v>76</v>
      </c>
      <c r="D14" s="15" t="s">
        <v>56</v>
      </c>
      <c r="E14" s="15" t="s">
        <v>56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13"/>
    </row>
    <row r="15" spans="1:42">
      <c r="A15" s="14">
        <v>12</v>
      </c>
      <c r="B15" s="15" t="s">
        <v>77</v>
      </c>
      <c r="C15" s="15" t="s">
        <v>78</v>
      </c>
      <c r="D15" s="15" t="s">
        <v>56</v>
      </c>
      <c r="E15" s="15" t="s">
        <v>56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20"/>
      <c r="Z15" s="20"/>
      <c r="AA15" s="20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13"/>
    </row>
    <row r="16" spans="1:42">
      <c r="A16" s="14">
        <v>13</v>
      </c>
      <c r="B16" s="15" t="s">
        <v>79</v>
      </c>
      <c r="C16" s="15" t="s">
        <v>80</v>
      </c>
      <c r="D16" s="15" t="s">
        <v>56</v>
      </c>
      <c r="E16" s="15" t="s">
        <v>56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20"/>
      <c r="Z16" s="20"/>
      <c r="AA16" s="20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13"/>
    </row>
    <row r="17" spans="1:65">
      <c r="A17" s="14">
        <v>14</v>
      </c>
      <c r="B17" s="15" t="s">
        <v>81</v>
      </c>
      <c r="C17" s="15" t="s">
        <v>82</v>
      </c>
      <c r="D17" s="15" t="s">
        <v>56</v>
      </c>
      <c r="E17" s="15" t="s">
        <v>56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80">
        <v>5858.27</v>
      </c>
      <c r="T17" s="20"/>
      <c r="U17" s="19"/>
      <c r="V17" s="19"/>
      <c r="W17" s="19"/>
      <c r="X17" s="19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13"/>
    </row>
    <row r="18" spans="1:65" ht="15.75" thickBot="1">
      <c r="A18" s="21">
        <v>15</v>
      </c>
      <c r="B18" s="22" t="s">
        <v>83</v>
      </c>
      <c r="C18" s="22" t="s">
        <v>84</v>
      </c>
      <c r="D18" s="22" t="s">
        <v>56</v>
      </c>
      <c r="E18" s="22" t="s">
        <v>56</v>
      </c>
      <c r="F18" s="23">
        <v>85</v>
      </c>
      <c r="G18" s="24">
        <v>65.48</v>
      </c>
      <c r="H18" s="25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20"/>
      <c r="Z18" s="20"/>
      <c r="AA18" s="20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13"/>
    </row>
    <row r="19" spans="1:65" ht="15.75" thickTop="1">
      <c r="A19" s="13"/>
      <c r="B19" s="114" t="s">
        <v>85</v>
      </c>
      <c r="C19" s="114"/>
      <c r="D19" s="114"/>
      <c r="E19" s="114"/>
      <c r="F19" s="114"/>
      <c r="G19" s="114"/>
      <c r="H19" s="26">
        <f>SUM(H4:H18)</f>
        <v>71856.759999999995</v>
      </c>
      <c r="I19" s="27"/>
      <c r="J19" s="27"/>
      <c r="K19" s="27"/>
      <c r="L19" s="27"/>
      <c r="M19" s="27"/>
      <c r="N19" s="27"/>
      <c r="O19" s="27"/>
      <c r="P19" s="27"/>
      <c r="Q19" s="27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  <c r="AO19" s="28"/>
      <c r="AP19" s="13"/>
    </row>
    <row r="20" spans="1:65">
      <c r="A20" s="28" t="s">
        <v>86</v>
      </c>
      <c r="B20" s="29"/>
      <c r="C20" s="29"/>
      <c r="D20" s="29"/>
      <c r="E20" s="29"/>
      <c r="F20" s="29"/>
      <c r="G20" s="29"/>
      <c r="H20" s="28"/>
      <c r="I20" s="30"/>
      <c r="J20" s="30"/>
      <c r="K20" s="30"/>
      <c r="L20" s="30"/>
      <c r="M20" s="30"/>
      <c r="N20" s="30"/>
      <c r="O20" s="30"/>
      <c r="P20" s="30"/>
      <c r="Q20" s="30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  <c r="AO20" s="28"/>
      <c r="AP20" s="13"/>
    </row>
    <row r="21" spans="1:65" ht="15.75" thickBot="1">
      <c r="A21" s="115" t="s">
        <v>87</v>
      </c>
      <c r="B21" s="115"/>
      <c r="C21" s="12">
        <v>1</v>
      </c>
      <c r="D21" s="31" t="s">
        <v>88</v>
      </c>
      <c r="E21" s="29"/>
      <c r="F21" s="29"/>
      <c r="G21" s="29"/>
      <c r="H21" s="28"/>
      <c r="I21" s="30" t="s">
        <v>89</v>
      </c>
      <c r="J21" s="30" t="s">
        <v>90</v>
      </c>
      <c r="K21" s="30"/>
      <c r="L21" s="30" t="s">
        <v>91</v>
      </c>
      <c r="M21" s="30">
        <v>1</v>
      </c>
      <c r="N21" s="30"/>
      <c r="O21" s="30" t="s">
        <v>92</v>
      </c>
      <c r="P21" s="30">
        <v>1</v>
      </c>
      <c r="Q21" s="30" t="s">
        <v>93</v>
      </c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  <c r="AO21" s="28"/>
      <c r="AP21" s="13"/>
    </row>
    <row r="22" spans="1:65" ht="58.5" thickTop="1" thickBot="1">
      <c r="A22" s="32" t="s">
        <v>46</v>
      </c>
      <c r="B22" s="32" t="s">
        <v>47</v>
      </c>
      <c r="C22" s="33" t="s">
        <v>48</v>
      </c>
      <c r="D22" s="32" t="s">
        <v>49</v>
      </c>
      <c r="E22" s="32" t="s">
        <v>50</v>
      </c>
      <c r="F22" s="34" t="s">
        <v>94</v>
      </c>
      <c r="G22" s="32" t="s">
        <v>52</v>
      </c>
      <c r="H22" s="32" t="s">
        <v>53</v>
      </c>
      <c r="I22" s="35" t="s">
        <v>95</v>
      </c>
      <c r="J22" s="35" t="s">
        <v>96</v>
      </c>
      <c r="K22" s="35" t="s">
        <v>97</v>
      </c>
      <c r="L22" s="36" t="s">
        <v>98</v>
      </c>
      <c r="M22" s="36" t="s">
        <v>99</v>
      </c>
      <c r="N22" s="36" t="s">
        <v>100</v>
      </c>
      <c r="O22" s="36" t="s">
        <v>101</v>
      </c>
      <c r="P22" s="36" t="s">
        <v>102</v>
      </c>
      <c r="Q22" s="36" t="s">
        <v>103</v>
      </c>
      <c r="R22" s="35" t="s">
        <v>104</v>
      </c>
      <c r="S22" s="32" t="s">
        <v>105</v>
      </c>
      <c r="T22" s="32" t="s">
        <v>106</v>
      </c>
      <c r="U22" s="37" t="s">
        <v>107</v>
      </c>
      <c r="V22" s="37" t="s">
        <v>108</v>
      </c>
      <c r="W22" s="37" t="s">
        <v>109</v>
      </c>
      <c r="X22" s="37" t="s">
        <v>110</v>
      </c>
      <c r="Y22" s="37" t="s">
        <v>111</v>
      </c>
      <c r="Z22" s="38" t="s">
        <v>112</v>
      </c>
      <c r="AA22" s="38" t="s">
        <v>113</v>
      </c>
      <c r="AB22" s="39" t="s">
        <v>114</v>
      </c>
      <c r="AC22" s="39" t="s">
        <v>115</v>
      </c>
      <c r="AD22" s="39" t="s">
        <v>116</v>
      </c>
      <c r="AE22" s="38" t="s">
        <v>117</v>
      </c>
      <c r="AF22" s="38" t="s">
        <v>118</v>
      </c>
      <c r="AG22" s="39" t="s">
        <v>119</v>
      </c>
      <c r="AH22" s="39" t="s">
        <v>120</v>
      </c>
      <c r="AI22" s="38" t="s">
        <v>121</v>
      </c>
      <c r="AJ22" s="38" t="s">
        <v>122</v>
      </c>
      <c r="AK22" s="39" t="s">
        <v>123</v>
      </c>
      <c r="AL22" s="39" t="s">
        <v>124</v>
      </c>
      <c r="AM22" s="39" t="s">
        <v>125</v>
      </c>
      <c r="AN22" s="38" t="s">
        <v>126</v>
      </c>
      <c r="AO22" s="40" t="s">
        <v>127</v>
      </c>
      <c r="AP22" s="9" t="s">
        <v>240</v>
      </c>
      <c r="AQ22" s="9" t="s">
        <v>126</v>
      </c>
      <c r="AR22" s="56" t="s">
        <v>131</v>
      </c>
      <c r="AS22" s="56" t="s">
        <v>132</v>
      </c>
      <c r="AT22" s="56" t="s">
        <v>133</v>
      </c>
      <c r="AU22" s="56" t="s">
        <v>134</v>
      </c>
      <c r="AV22" s="56" t="s">
        <v>135</v>
      </c>
      <c r="AW22" s="56" t="s">
        <v>136</v>
      </c>
      <c r="AX22" s="56" t="s">
        <v>137</v>
      </c>
      <c r="AY22" s="56" t="s">
        <v>138</v>
      </c>
      <c r="AZ22" s="84" t="s">
        <v>207</v>
      </c>
      <c r="BA22" s="84" t="s">
        <v>8</v>
      </c>
      <c r="BB22" s="84" t="s">
        <v>9</v>
      </c>
      <c r="BC22" s="56" t="s">
        <v>228</v>
      </c>
      <c r="BD22" s="56" t="s">
        <v>139</v>
      </c>
      <c r="BE22" s="56" t="s">
        <v>140</v>
      </c>
      <c r="BF22" s="56" t="s">
        <v>141</v>
      </c>
      <c r="BG22" s="56" t="s">
        <v>142</v>
      </c>
      <c r="BH22" s="56" t="s">
        <v>143</v>
      </c>
      <c r="BI22" s="56" t="s">
        <v>241</v>
      </c>
      <c r="BJ22" s="96" t="s">
        <v>247</v>
      </c>
      <c r="BK22" s="56" t="s">
        <v>248</v>
      </c>
      <c r="BL22" s="56" t="s">
        <v>136</v>
      </c>
      <c r="BM22" s="97" t="s">
        <v>256</v>
      </c>
    </row>
    <row r="23" spans="1:65" ht="15.75" thickBot="1">
      <c r="A23" s="41">
        <v>1</v>
      </c>
      <c r="B23" s="103" t="s">
        <v>221</v>
      </c>
      <c r="C23" s="41" t="s">
        <v>55</v>
      </c>
      <c r="D23" s="41" t="s">
        <v>56</v>
      </c>
      <c r="E23" s="41" t="s">
        <v>56</v>
      </c>
      <c r="F23" s="76">
        <v>2</v>
      </c>
      <c r="G23" t="s" s="0">
        <v>223</v>
      </c>
      <c r="H23" s="76">
        <f>F23*G23</f>
        <v>500.5</v>
      </c>
      <c r="I23" t="s" s="0">
        <v>224</v>
      </c>
      <c r="J23" s="76">
        <v>1.79</v>
      </c>
      <c r="K23" s="76">
        <v>2.5</v>
      </c>
      <c r="L23" s="76">
        <f>H23</f>
        <v>500.5</v>
      </c>
      <c r="M23" s="76">
        <f>ROUND(L23*I23%,2)</f>
        <v>11.06</v>
      </c>
      <c r="N23" s="76">
        <f>H23-M23</f>
        <v>489.44</v>
      </c>
      <c r="O23" s="76">
        <f>ROUND(N23*J23%,2)</f>
        <v>8.76</v>
      </c>
      <c r="P23" s="76">
        <f>ROUND(N23-O23,2)</f>
        <v>480.68</v>
      </c>
      <c r="Q23" s="76">
        <f>ROUND(P23*K23%,2)</f>
        <v>12.02</v>
      </c>
      <c r="R23" s="76">
        <f>M23+O23+Q23</f>
        <v>31.84</v>
      </c>
      <c r="S23" s="76">
        <f>(H23-R23)</f>
        <v>468.66</v>
      </c>
      <c r="T23" s="76" t="s">
        <v>128</v>
      </c>
      <c r="U23" s="76">
        <v>0.18</v>
      </c>
      <c r="V23" s="76">
        <f>IF($C$21=1,ROUND(((S23*U23)/2),2),0)</f>
        <v>42.18</v>
      </c>
      <c r="W23" s="76">
        <f>IF($C$21=1,ROUND(((S23*U23)/2),2),0)</f>
        <v>42.18</v>
      </c>
      <c r="X23" s="76">
        <f>IF($C$21=2,ROUND(((S23*U23)),2),0)</f>
        <v>0</v>
      </c>
      <c r="Y23" s="76">
        <f>V23+W23+X23</f>
        <v>84.36</v>
      </c>
      <c r="Z23" s="76">
        <f t="shared" ref="Z23:Z24" si="1">S23+Y23</f>
        <v>553.02</v>
      </c>
      <c r="AA23" s="76">
        <v>120</v>
      </c>
      <c r="AB23" s="76">
        <f>IF($P$21=1,(S23/$S$25)*$E$36,AA23/$AA$25*$E$36)</f>
        <v>0</v>
      </c>
      <c r="AC23" s="76"/>
      <c r="AD23" s="76">
        <f>IF($P$21=1,(S23/$S$25)*$E$38,AA23/$AA$25*$E$38)</f>
        <v>0</v>
      </c>
      <c r="AE23" s="76">
        <f>IF($P$21=1,(S23/$S$25)*$E$38,AA23/$AA$25*$E$38)</f>
        <v>0</v>
      </c>
      <c r="AF23" s="76">
        <f t="shared" ref="AF23:AF24" si="2">S23*$M$21</f>
        <v>468.66</v>
      </c>
      <c r="AG23" s="76">
        <f t="shared" ref="AG23:AG24" si="3">IF($C$21=3,0,AD23+AE23)</f>
        <v>0</v>
      </c>
      <c r="AH23" s="76">
        <f t="shared" ref="AH23:AH24" si="4">IF($C$21=3,AB23+AD23+AE23,0)</f>
        <v>0</v>
      </c>
      <c r="AI23" s="76">
        <v>1</v>
      </c>
      <c r="AJ23" s="76">
        <f t="shared" ref="AJ23:AJ24" si="5">F23/AI23</f>
        <v>2</v>
      </c>
      <c r="AK23" s="76">
        <f>AF23/AJ23</f>
        <v>234.33</v>
      </c>
      <c r="AL23" s="76">
        <f>AG23/AJ23</f>
        <v>0</v>
      </c>
      <c r="AM23" s="76">
        <f>AH23/AJ23</f>
        <v>0</v>
      </c>
      <c r="AN23" s="76" t="s">
        <v>56</v>
      </c>
      <c r="AO23" s="76">
        <f>AK23+AL23+AM23</f>
        <v>234.33</v>
      </c>
      <c r="AP23" s="88" t="s">
        <v>236</v>
      </c>
      <c r="AQ23" s="88" t="s">
        <v>56</v>
      </c>
      <c r="AR23" t="s" s="0">
        <v>325</v>
      </c>
      <c r="AS23" t="s" s="0">
        <v>326</v>
      </c>
      <c r="AT23" s="88">
        <f>AJ23</f>
        <v>2</v>
      </c>
      <c r="AU23" s="88">
        <f>AO23</f>
        <v>234.33</v>
      </c>
      <c r="AV23" s="88">
        <f>AR23+AT23</f>
        <v>2</v>
      </c>
      <c r="AW23" s="88">
        <f>ROUND(((AR23*AS23)+(AT23*AU23))/(AR23+AT23),5)</f>
        <v>234.33</v>
      </c>
      <c r="AX23" s="99"/>
      <c r="AY23" s="99" t="s">
        <v>144</v>
      </c>
      <c r="AZ23" s="101" t="s">
        <v>27</v>
      </c>
      <c r="BA23" s="101" t="s">
        <v>24</v>
      </c>
      <c r="BB23" s="101" t="s">
        <v>28</v>
      </c>
      <c r="BC23" s="99"/>
      <c r="BD23" s="99"/>
      <c r="BE23" s="99"/>
      <c r="BF23" s="88"/>
      <c r="BG23" s="88"/>
      <c r="BH23" s="88"/>
      <c r="BI23" s="88" t="s">
        <v>25</v>
      </c>
      <c r="BJ23" t="s" s="0">
        <v>329</v>
      </c>
      <c r="BK23" t="s" s="0">
        <v>328</v>
      </c>
      <c r="BL23" s="88">
        <f>ROUND((((AT23*AW23)+(BK23*BJ23))/(AT23+BK23)),5)</f>
        <v>482.44490000000002</v>
      </c>
      <c r="BM23" s="54">
        <f>BK23+AT23</f>
        <v>102</v>
      </c>
    </row>
    <row r="24" spans="1:65" ht="15.75" thickBot="1">
      <c r="A24" s="41">
        <v>2</v>
      </c>
      <c r="B24" s="103" t="s">
        <v>222</v>
      </c>
      <c r="C24" s="41" t="s">
        <v>58</v>
      </c>
      <c r="D24" s="41" t="s">
        <v>56</v>
      </c>
      <c r="E24" s="41" t="s">
        <v>56</v>
      </c>
      <c r="F24" s="76">
        <v>3</v>
      </c>
      <c r="G24" t="s" s="0">
        <v>225</v>
      </c>
      <c r="H24" s="76">
        <f t="shared" ref="H24" si="6">F24*G24</f>
        <v>390.75</v>
      </c>
      <c r="I24" t="s" s="0">
        <v>224</v>
      </c>
      <c r="J24" s="76">
        <v>1.68</v>
      </c>
      <c r="K24" s="76">
        <v>2.5</v>
      </c>
      <c r="L24" s="76">
        <f>H24</f>
        <v>390.75</v>
      </c>
      <c r="M24" s="76">
        <f>ROUND(L24*I24%,2)</f>
        <v>4.88</v>
      </c>
      <c r="N24" s="76">
        <f t="shared" ref="N24" si="7">H24-M24</f>
        <v>385.87</v>
      </c>
      <c r="O24" s="76">
        <f t="shared" ref="O24" si="8">ROUND(N24*J24%,2)</f>
        <v>6.48</v>
      </c>
      <c r="P24" s="76">
        <f t="shared" ref="P24" si="9">ROUND(N24-O24,2)</f>
        <v>379.39</v>
      </c>
      <c r="Q24" s="76">
        <f t="shared" ref="Q24" si="10">ROUND(P24*K24%,2)</f>
        <v>9.48</v>
      </c>
      <c r="R24" s="76">
        <f t="shared" ref="R24" si="11">M24+O24+Q24</f>
        <v>20.84</v>
      </c>
      <c r="S24" s="76">
        <f t="shared" ref="S24" si="12">(H24-R24)</f>
        <v>369.91</v>
      </c>
      <c r="T24" s="76" t="s">
        <v>128</v>
      </c>
      <c r="U24" s="76">
        <v>0.05</v>
      </c>
      <c r="V24" s="76">
        <f t="shared" ref="V24" si="13">IF($C$21=1,ROUND(((S24*U24)/2),2),0)</f>
        <v>9.25</v>
      </c>
      <c r="W24" s="76">
        <f t="shared" ref="W24" si="14">IF($C$21=1,ROUND(((S24*U24)/2),2),0)</f>
        <v>9.25</v>
      </c>
      <c r="X24" s="76">
        <f t="shared" ref="X24" si="15">IF($C$21=2,ROUND(((S24*U24)),2),0)</f>
        <v>0</v>
      </c>
      <c r="Y24" s="76">
        <f t="shared" ref="Y24" si="16">V24+W24+X24</f>
        <v>18.5</v>
      </c>
      <c r="Z24" s="76">
        <f t="shared" si="1"/>
        <v>388.41</v>
      </c>
      <c r="AA24" s="76">
        <v>200</v>
      </c>
      <c r="AB24" s="76">
        <f>IF($P$21=1,(S24/$S$25)*$E$36,AA24/$AA$25*$E$36)</f>
        <v>0</v>
      </c>
      <c r="AC24" s="76"/>
      <c r="AD24" s="76">
        <f>IF($P$21=1,(S24/$S$25)*$E$38,AA24/$AA$25*$E$38)</f>
        <v>0</v>
      </c>
      <c r="AE24" s="76">
        <f>IF($P$21=1,(S24/$S$25)*$E$38,AA24/$AA$25*$E$38)</f>
        <v>0</v>
      </c>
      <c r="AF24" s="76">
        <f t="shared" si="2"/>
        <v>369.91</v>
      </c>
      <c r="AG24" s="76">
        <f t="shared" si="3"/>
        <v>0</v>
      </c>
      <c r="AH24" s="76">
        <f t="shared" si="4"/>
        <v>0</v>
      </c>
      <c r="AI24" s="76">
        <v>1</v>
      </c>
      <c r="AJ24" s="76">
        <f t="shared" si="5"/>
        <v>3</v>
      </c>
      <c r="AK24" s="76">
        <f t="shared" ref="AK24" si="17">AF24/AJ24</f>
        <v>123.30333333333334</v>
      </c>
      <c r="AL24" s="76">
        <f t="shared" ref="AL24" si="18">AG24/AJ24</f>
        <v>0</v>
      </c>
      <c r="AM24" s="76">
        <f t="shared" ref="AM24" si="19">AH24/AJ24</f>
        <v>0</v>
      </c>
      <c r="AN24" s="76" t="s">
        <v>56</v>
      </c>
      <c r="AO24" s="76">
        <f t="shared" ref="AO24" si="20">AK24+AL24+AM24</f>
        <v>123.30333333333334</v>
      </c>
      <c r="AP24" s="88" t="s">
        <v>236</v>
      </c>
      <c r="AQ24" s="88" t="s">
        <v>56</v>
      </c>
      <c r="AR24" t="s" s="0">
        <v>269</v>
      </c>
      <c r="AS24" t="s" s="0">
        <v>327</v>
      </c>
      <c r="AT24" s="88">
        <f t="shared" ref="AT24" si="21">AJ24</f>
        <v>3</v>
      </c>
      <c r="AU24" s="88">
        <f>AO24</f>
        <v>123.30333333333334</v>
      </c>
      <c r="AV24" s="88">
        <f t="shared" ref="AV24" si="22">AR24+AT24</f>
        <v>3</v>
      </c>
      <c r="AW24" s="88">
        <f>ROUND(((AR24*AS24)+(AT24*AU24))/(AR24+AT24),5)</f>
        <v>123.30333</v>
      </c>
      <c r="AX24" s="99"/>
      <c r="AY24" s="99"/>
      <c r="AZ24" s="101" t="s">
        <v>27</v>
      </c>
      <c r="BA24" s="100" t="s">
        <v>234</v>
      </c>
      <c r="BB24" s="100"/>
      <c r="BC24" s="99"/>
      <c r="BD24" s="99"/>
      <c r="BE24" s="99"/>
      <c r="BF24" s="88"/>
      <c r="BG24" s="88"/>
      <c r="BH24" s="88"/>
      <c r="BI24" s="88" t="s">
        <v>25</v>
      </c>
      <c r="BJ24" t="s" s="0">
        <v>331</v>
      </c>
      <c r="BK24" t="s" s="0">
        <v>330</v>
      </c>
      <c r="BL24" s="88">
        <f>ROUND((((AT24*AW24)+(BK24*BJ24))/(AT24+BK24)),5)</f>
        <v>348.37569999999999</v>
      </c>
      <c r="BM24" s="54">
        <f t="shared" ref="BM24" si="23">BK24+AT24</f>
        <v>92.6</v>
      </c>
    </row>
    <row r="25" spans="1:65" ht="15.75" thickBot="1">
      <c r="A25" s="13"/>
      <c r="B25" s="79"/>
      <c r="C25" s="79"/>
      <c r="D25" s="77" t="s">
        <v>85</v>
      </c>
      <c r="E25" s="77"/>
      <c r="F25" s="77"/>
      <c r="G25" s="78"/>
      <c r="H25" s="45">
        <f>SUM(H23:H24)</f>
        <v>891.25</v>
      </c>
      <c r="I25" s="41"/>
      <c r="J25" s="41"/>
      <c r="K25" s="41"/>
      <c r="L25" s="41"/>
      <c r="M25" s="41"/>
      <c r="N25" s="41"/>
      <c r="O25" s="41"/>
      <c r="P25" s="41"/>
      <c r="Q25" s="41"/>
      <c r="R25" s="45">
        <f>SUM(R23:R24)</f>
        <v>52.68</v>
      </c>
      <c r="S25" s="81">
        <f>SUM(S23:S24)</f>
        <v>838.57</v>
      </c>
      <c r="T25" s="45"/>
      <c r="U25" s="45"/>
      <c r="V25" s="46">
        <f t="shared" ref="V25:AB25" si="24">SUM(V23:V24)</f>
        <v>51.43</v>
      </c>
      <c r="W25" s="46">
        <f t="shared" si="24"/>
        <v>51.43</v>
      </c>
      <c r="X25" s="46">
        <f t="shared" si="24"/>
        <v>0</v>
      </c>
      <c r="Y25" s="45">
        <f t="shared" si="24"/>
        <v>102.86</v>
      </c>
      <c r="Z25" s="47">
        <f t="shared" si="24"/>
        <v>941.43000000000006</v>
      </c>
      <c r="AA25" s="48">
        <f t="shared" si="24"/>
        <v>320</v>
      </c>
      <c r="AB25" s="48">
        <f t="shared" si="24"/>
        <v>0</v>
      </c>
      <c r="AC25" s="47"/>
      <c r="AD25" s="48">
        <f>SUM(AD23:AD24)</f>
        <v>0</v>
      </c>
      <c r="AE25" s="48">
        <f>SUM(AE23:AE24)</f>
        <v>0</v>
      </c>
      <c r="AF25" s="48">
        <f>SUM(AF23:AF24)</f>
        <v>838.57</v>
      </c>
      <c r="AG25" s="48">
        <f>SUM(AG23:AG24)</f>
        <v>0</v>
      </c>
      <c r="AH25" s="48">
        <f>SUM(AH23:AH24)</f>
        <v>0</v>
      </c>
      <c r="AI25" s="47"/>
      <c r="AJ25" s="47"/>
      <c r="AK25" s="47"/>
      <c r="AL25" s="47"/>
      <c r="AM25" s="47"/>
      <c r="AN25" s="47"/>
      <c r="AO25" s="47"/>
      <c r="AP25" s="13"/>
    </row>
    <row r="30" spans="1:65" ht="15.75" thickBot="1"/>
    <row r="31" spans="1:65" ht="15.75" thickBot="1">
      <c r="BE31" s="98" t="s">
        <v>25</v>
      </c>
      <c r="BF31" s="98"/>
    </row>
  </sheetData>
  <mergeCells count="3">
    <mergeCell ref="A1:Z1"/>
    <mergeCell ref="B19:G19"/>
    <mergeCell ref="A21:B2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BM27"/>
  <sheetViews>
    <sheetView topLeftCell="AH13" workbookViewId="0">
      <selection activeCell="AT28" sqref="AT28"/>
    </sheetView>
  </sheetViews>
  <sheetFormatPr defaultRowHeight="15"/>
  <cols>
    <col min="2" max="2" bestFit="true" customWidth="true" width="16.42578125"/>
    <col min="8" max="8" bestFit="true" customWidth="true" width="11.85546875"/>
    <col min="46" max="46" bestFit="true" customWidth="true" width="11.42578125"/>
    <col min="47" max="47" bestFit="true" customWidth="true" width="16.28515625"/>
  </cols>
  <sheetData>
    <row r="1" spans="1:42" ht="18">
      <c r="A1" s="113" t="s">
        <v>145</v>
      </c>
      <c r="B1" s="113"/>
      <c r="C1" s="113"/>
      <c r="D1" s="113"/>
      <c r="E1" s="113"/>
      <c r="F1" s="113"/>
      <c r="G1" s="113"/>
      <c r="H1" s="113"/>
      <c r="I1" s="113"/>
      <c r="J1" s="113"/>
      <c r="K1" s="113"/>
      <c r="L1" s="113"/>
      <c r="M1" s="113"/>
      <c r="N1" s="113"/>
      <c r="O1" s="113"/>
      <c r="P1" s="113"/>
      <c r="Q1" s="113"/>
      <c r="R1" s="113"/>
      <c r="S1" s="113"/>
      <c r="T1" s="113"/>
      <c r="U1" s="113"/>
      <c r="V1" s="113"/>
      <c r="W1" s="113"/>
      <c r="X1" s="113"/>
      <c r="Y1" s="113"/>
      <c r="Z1" s="113"/>
      <c r="AA1" s="86"/>
      <c r="AB1" s="86"/>
      <c r="AC1" s="86"/>
      <c r="AD1" s="86"/>
      <c r="AE1" s="86"/>
      <c r="AF1" s="86"/>
      <c r="AG1" s="86"/>
      <c r="AH1" s="86"/>
      <c r="AI1" s="86"/>
      <c r="AJ1" s="86"/>
      <c r="AK1" s="86"/>
      <c r="AL1" s="86"/>
      <c r="AM1" s="86"/>
      <c r="AN1" s="86"/>
      <c r="AO1" s="13"/>
      <c r="AP1" s="13"/>
    </row>
    <row r="2" spans="1:42" ht="18.75" thickBot="1">
      <c r="A2" s="86" t="s">
        <v>146</v>
      </c>
      <c r="B2" s="86"/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  <c r="AD2" s="86"/>
      <c r="AE2" s="86"/>
      <c r="AF2" s="86"/>
      <c r="AG2" s="86"/>
      <c r="AH2" s="86"/>
      <c r="AI2" s="86"/>
      <c r="AJ2" s="86"/>
      <c r="AK2" s="86"/>
      <c r="AL2" s="86"/>
      <c r="AM2" s="86"/>
      <c r="AN2" s="86"/>
      <c r="AO2" s="13"/>
      <c r="AP2" s="13"/>
    </row>
    <row r="3" spans="1:42" ht="15.75" thickTop="1">
      <c r="A3" s="8" t="s">
        <v>46</v>
      </c>
      <c r="B3" s="9" t="s">
        <v>47</v>
      </c>
      <c r="C3" s="10" t="s">
        <v>48</v>
      </c>
      <c r="D3" s="9" t="s">
        <v>49</v>
      </c>
      <c r="E3" s="9" t="s">
        <v>50</v>
      </c>
      <c r="F3" s="9" t="s">
        <v>51</v>
      </c>
      <c r="G3" s="9" t="s">
        <v>52</v>
      </c>
      <c r="H3" s="11" t="s">
        <v>53</v>
      </c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3"/>
    </row>
    <row r="4" spans="1:42">
      <c r="A4" s="14">
        <v>1</v>
      </c>
      <c r="B4" s="15" t="s">
        <v>54</v>
      </c>
      <c r="C4" s="15" t="s">
        <v>55</v>
      </c>
      <c r="D4" s="15" t="s">
        <v>56</v>
      </c>
      <c r="E4" s="15" t="s">
        <v>56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20"/>
      <c r="Z4" s="20"/>
      <c r="AA4" s="20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13"/>
    </row>
    <row r="5" spans="1:42">
      <c r="A5" s="14">
        <v>2</v>
      </c>
      <c r="B5" s="15" t="s">
        <v>57</v>
      </c>
      <c r="C5" s="15" t="s">
        <v>58</v>
      </c>
      <c r="D5" s="15" t="s">
        <v>56</v>
      </c>
      <c r="E5" s="15" t="s">
        <v>56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13"/>
    </row>
    <row r="6" spans="1:42">
      <c r="A6" s="14">
        <v>3</v>
      </c>
      <c r="B6" s="15" t="s">
        <v>59</v>
      </c>
      <c r="C6" s="15" t="s">
        <v>60</v>
      </c>
      <c r="D6" s="15" t="s">
        <v>56</v>
      </c>
      <c r="E6" s="15" t="s">
        <v>56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20"/>
      <c r="Z6" s="20"/>
      <c r="AA6" s="20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13"/>
    </row>
    <row r="7" spans="1:42">
      <c r="A7" s="14">
        <v>4</v>
      </c>
      <c r="B7" s="15" t="s">
        <v>61</v>
      </c>
      <c r="C7" s="15" t="s">
        <v>62</v>
      </c>
      <c r="D7" s="15" t="s">
        <v>56</v>
      </c>
      <c r="E7" s="15" t="s">
        <v>56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20"/>
      <c r="Z7" s="20"/>
      <c r="AA7" s="20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13"/>
    </row>
    <row r="8" spans="1:42">
      <c r="A8" s="14">
        <v>5</v>
      </c>
      <c r="B8" s="15" t="s">
        <v>63</v>
      </c>
      <c r="C8" s="15" t="s">
        <v>64</v>
      </c>
      <c r="D8" s="15" t="s">
        <v>56</v>
      </c>
      <c r="E8" s="15" t="s">
        <v>56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13"/>
    </row>
    <row r="9" spans="1:42">
      <c r="A9" s="14">
        <v>6</v>
      </c>
      <c r="B9" s="15" t="s">
        <v>65</v>
      </c>
      <c r="C9" s="15" t="s">
        <v>66</v>
      </c>
      <c r="D9" s="15" t="s">
        <v>56</v>
      </c>
      <c r="E9" s="15" t="s">
        <v>56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20"/>
      <c r="Z9" s="20"/>
      <c r="AA9" s="20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13"/>
    </row>
    <row r="10" spans="1:42">
      <c r="A10" s="14">
        <v>7</v>
      </c>
      <c r="B10" s="15" t="s">
        <v>67</v>
      </c>
      <c r="C10" s="15" t="s">
        <v>68</v>
      </c>
      <c r="D10" s="15" t="s">
        <v>56</v>
      </c>
      <c r="E10" s="15" t="s">
        <v>56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20"/>
      <c r="Z10" s="20"/>
      <c r="AA10" s="20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13"/>
    </row>
    <row r="11" spans="1:42">
      <c r="A11" s="14">
        <v>8</v>
      </c>
      <c r="B11" s="15" t="s">
        <v>69</v>
      </c>
      <c r="C11" s="15" t="s">
        <v>70</v>
      </c>
      <c r="D11" s="15" t="s">
        <v>56</v>
      </c>
      <c r="E11" s="15" t="s">
        <v>56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13"/>
    </row>
    <row r="12" spans="1:42">
      <c r="A12" s="14">
        <v>9</v>
      </c>
      <c r="B12" s="15" t="s">
        <v>71</v>
      </c>
      <c r="C12" s="15" t="s">
        <v>72</v>
      </c>
      <c r="D12" s="15" t="s">
        <v>56</v>
      </c>
      <c r="E12" s="15" t="s">
        <v>56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13"/>
    </row>
    <row r="13" spans="1:42">
      <c r="A13" s="14">
        <v>10</v>
      </c>
      <c r="B13" s="15" t="s">
        <v>73</v>
      </c>
      <c r="C13" s="15" t="s">
        <v>74</v>
      </c>
      <c r="D13" s="15" t="s">
        <v>56</v>
      </c>
      <c r="E13" s="15" t="s">
        <v>56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20"/>
      <c r="Z13" s="20"/>
      <c r="AA13" s="20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13"/>
    </row>
    <row r="14" spans="1:42">
      <c r="A14" s="14">
        <v>11</v>
      </c>
      <c r="B14" s="15" t="s">
        <v>75</v>
      </c>
      <c r="C14" s="15" t="s">
        <v>76</v>
      </c>
      <c r="D14" s="15" t="s">
        <v>56</v>
      </c>
      <c r="E14" s="15" t="s">
        <v>56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13"/>
    </row>
    <row r="15" spans="1:42">
      <c r="A15" s="14">
        <v>12</v>
      </c>
      <c r="B15" s="15" t="s">
        <v>77</v>
      </c>
      <c r="C15" s="15" t="s">
        <v>78</v>
      </c>
      <c r="D15" s="15" t="s">
        <v>56</v>
      </c>
      <c r="E15" s="15" t="s">
        <v>56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20"/>
      <c r="Z15" s="20"/>
      <c r="AA15" s="20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13"/>
    </row>
    <row r="16" spans="1:42">
      <c r="A16" s="14">
        <v>13</v>
      </c>
      <c r="B16" s="15" t="s">
        <v>79</v>
      </c>
      <c r="C16" s="15" t="s">
        <v>80</v>
      </c>
      <c r="D16" s="15" t="s">
        <v>56</v>
      </c>
      <c r="E16" s="15" t="s">
        <v>56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20"/>
      <c r="Z16" s="20"/>
      <c r="AA16" s="20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13"/>
    </row>
    <row r="17" spans="1:65">
      <c r="A17" s="14">
        <v>14</v>
      </c>
      <c r="B17" s="15" t="s">
        <v>81</v>
      </c>
      <c r="C17" s="15" t="s">
        <v>82</v>
      </c>
      <c r="D17" s="15" t="s">
        <v>56</v>
      </c>
      <c r="E17" s="15" t="s">
        <v>56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80">
        <v>5858.27</v>
      </c>
      <c r="T17" s="20"/>
      <c r="U17" s="19"/>
      <c r="V17" s="19"/>
      <c r="W17" s="19"/>
      <c r="X17" s="19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13"/>
    </row>
    <row r="18" spans="1:65" ht="15.75" thickBot="1">
      <c r="A18" s="21">
        <v>15</v>
      </c>
      <c r="B18" s="22" t="s">
        <v>83</v>
      </c>
      <c r="C18" s="22" t="s">
        <v>84</v>
      </c>
      <c r="D18" s="22" t="s">
        <v>56</v>
      </c>
      <c r="E18" s="22" t="s">
        <v>56</v>
      </c>
      <c r="F18" s="23">
        <v>85</v>
      </c>
      <c r="G18" s="24">
        <v>65.48</v>
      </c>
      <c r="H18" s="25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20"/>
      <c r="Z18" s="20"/>
      <c r="AA18" s="20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13"/>
    </row>
    <row r="19" spans="1:65" ht="15.75" thickTop="1">
      <c r="A19" s="13"/>
      <c r="B19" s="114" t="s">
        <v>85</v>
      </c>
      <c r="C19" s="114"/>
      <c r="D19" s="114"/>
      <c r="E19" s="114"/>
      <c r="F19" s="114"/>
      <c r="G19" s="114"/>
      <c r="H19" s="26">
        <f>SUM(H4:H18)</f>
        <v>71856.759999999995</v>
      </c>
      <c r="I19" s="27"/>
      <c r="J19" s="27"/>
      <c r="K19" s="27"/>
      <c r="L19" s="27"/>
      <c r="M19" s="27"/>
      <c r="N19" s="27"/>
      <c r="O19" s="27"/>
      <c r="P19" s="27"/>
      <c r="Q19" s="27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  <c r="AO19" s="28"/>
      <c r="AP19" s="13"/>
    </row>
    <row r="20" spans="1:65">
      <c r="A20" s="28" t="s">
        <v>86</v>
      </c>
      <c r="B20" s="29"/>
      <c r="C20" s="29"/>
      <c r="D20" s="29"/>
      <c r="E20" s="29"/>
      <c r="F20" s="29"/>
      <c r="G20" s="29"/>
      <c r="H20" s="28"/>
      <c r="I20" s="30"/>
      <c r="J20" s="30"/>
      <c r="K20" s="30"/>
      <c r="L20" s="30"/>
      <c r="M20" s="30"/>
      <c r="N20" s="30"/>
      <c r="O20" s="30"/>
      <c r="P20" s="30"/>
      <c r="Q20" s="30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  <c r="AO20" s="28"/>
      <c r="AP20" s="13"/>
    </row>
    <row r="21" spans="1:65" ht="15.75" thickBot="1">
      <c r="A21" s="115" t="s">
        <v>87</v>
      </c>
      <c r="B21" s="115"/>
      <c r="C21" s="12">
        <v>2</v>
      </c>
      <c r="D21" s="31" t="s">
        <v>88</v>
      </c>
      <c r="E21" s="29"/>
      <c r="F21" s="29"/>
      <c r="G21" s="29"/>
      <c r="H21" s="28"/>
      <c r="I21" s="30" t="s">
        <v>89</v>
      </c>
      <c r="J21" s="30" t="s">
        <v>90</v>
      </c>
      <c r="K21" s="30"/>
      <c r="L21" s="30" t="s">
        <v>91</v>
      </c>
      <c r="M21" s="30">
        <v>1</v>
      </c>
      <c r="N21" s="30"/>
      <c r="O21" s="30" t="s">
        <v>92</v>
      </c>
      <c r="P21" s="30">
        <v>1</v>
      </c>
      <c r="Q21" s="30" t="s">
        <v>93</v>
      </c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  <c r="AO21" s="28"/>
      <c r="AP21" s="13"/>
    </row>
    <row r="22" spans="1:65" ht="58.5" thickTop="1" thickBot="1">
      <c r="A22" s="32" t="s">
        <v>46</v>
      </c>
      <c r="B22" s="32" t="s">
        <v>47</v>
      </c>
      <c r="C22" s="33" t="s">
        <v>48</v>
      </c>
      <c r="D22" s="32" t="s">
        <v>49</v>
      </c>
      <c r="E22" s="32" t="s">
        <v>50</v>
      </c>
      <c r="F22" s="34" t="s">
        <v>94</v>
      </c>
      <c r="G22" s="32" t="s">
        <v>52</v>
      </c>
      <c r="H22" s="32" t="s">
        <v>53</v>
      </c>
      <c r="I22" s="35" t="s">
        <v>95</v>
      </c>
      <c r="J22" s="35" t="s">
        <v>96</v>
      </c>
      <c r="K22" s="35" t="s">
        <v>97</v>
      </c>
      <c r="L22" s="36" t="s">
        <v>98</v>
      </c>
      <c r="M22" s="36" t="s">
        <v>99</v>
      </c>
      <c r="N22" s="36" t="s">
        <v>100</v>
      </c>
      <c r="O22" s="36" t="s">
        <v>101</v>
      </c>
      <c r="P22" s="36" t="s">
        <v>102</v>
      </c>
      <c r="Q22" s="36" t="s">
        <v>103</v>
      </c>
      <c r="R22" s="35" t="s">
        <v>104</v>
      </c>
      <c r="S22" s="32" t="s">
        <v>105</v>
      </c>
      <c r="T22" s="32" t="s">
        <v>106</v>
      </c>
      <c r="U22" s="37" t="s">
        <v>107</v>
      </c>
      <c r="V22" s="37" t="s">
        <v>108</v>
      </c>
      <c r="W22" s="37" t="s">
        <v>109</v>
      </c>
      <c r="X22" s="37" t="s">
        <v>110</v>
      </c>
      <c r="Y22" s="37" t="s">
        <v>111</v>
      </c>
      <c r="Z22" s="38" t="s">
        <v>112</v>
      </c>
      <c r="AA22" s="38" t="s">
        <v>113</v>
      </c>
      <c r="AB22" s="39" t="s">
        <v>114</v>
      </c>
      <c r="AC22" s="39" t="s">
        <v>115</v>
      </c>
      <c r="AD22" s="39" t="s">
        <v>116</v>
      </c>
      <c r="AE22" s="38" t="s">
        <v>117</v>
      </c>
      <c r="AF22" s="38" t="s">
        <v>118</v>
      </c>
      <c r="AG22" s="39" t="s">
        <v>119</v>
      </c>
      <c r="AH22" s="39" t="s">
        <v>120</v>
      </c>
      <c r="AI22" s="38" t="s">
        <v>121</v>
      </c>
      <c r="AJ22" s="38" t="s">
        <v>122</v>
      </c>
      <c r="AK22" s="39" t="s">
        <v>123</v>
      </c>
      <c r="AL22" s="39" t="s">
        <v>124</v>
      </c>
      <c r="AM22" s="39" t="s">
        <v>125</v>
      </c>
      <c r="AN22" s="38" t="s">
        <v>126</v>
      </c>
      <c r="AO22" s="40" t="s">
        <v>127</v>
      </c>
      <c r="AP22" s="9" t="s">
        <v>240</v>
      </c>
      <c r="AQ22" s="9" t="s">
        <v>126</v>
      </c>
      <c r="AR22" s="56" t="s">
        <v>131</v>
      </c>
      <c r="AS22" s="56" t="s">
        <v>132</v>
      </c>
      <c r="AT22" s="56" t="s">
        <v>133</v>
      </c>
      <c r="AU22" s="56" t="s">
        <v>134</v>
      </c>
      <c r="AV22" s="56" t="s">
        <v>135</v>
      </c>
      <c r="AW22" s="56" t="s">
        <v>136</v>
      </c>
      <c r="AX22" s="56" t="s">
        <v>137</v>
      </c>
      <c r="AY22" s="56" t="s">
        <v>138</v>
      </c>
      <c r="AZ22" s="84" t="s">
        <v>207</v>
      </c>
      <c r="BA22" s="84" t="s">
        <v>8</v>
      </c>
      <c r="BB22" s="84" t="s">
        <v>9</v>
      </c>
      <c r="BC22" s="56" t="s">
        <v>228</v>
      </c>
      <c r="BD22" s="56" t="s">
        <v>139</v>
      </c>
      <c r="BE22" s="56" t="s">
        <v>140</v>
      </c>
      <c r="BF22" s="56" t="s">
        <v>141</v>
      </c>
      <c r="BG22" s="56" t="s">
        <v>142</v>
      </c>
      <c r="BH22" s="56" t="s">
        <v>143</v>
      </c>
      <c r="BI22" s="56" t="s">
        <v>241</v>
      </c>
      <c r="BJ22" s="96" t="s">
        <v>247</v>
      </c>
      <c r="BK22" s="56" t="s">
        <v>248</v>
      </c>
      <c r="BL22" s="56" t="s">
        <v>136</v>
      </c>
      <c r="BM22" s="97" t="s">
        <v>256</v>
      </c>
    </row>
    <row r="23" spans="1:65" ht="15.75" thickBot="1">
      <c r="A23" s="41">
        <v>1</v>
      </c>
      <c r="B23" s="41" t="s">
        <v>270</v>
      </c>
      <c r="C23" s="41" t="s">
        <v>55</v>
      </c>
      <c r="D23" s="41" t="s">
        <v>56</v>
      </c>
      <c r="E23" s="41" t="s">
        <v>56</v>
      </c>
      <c r="F23" s="76">
        <v>2</v>
      </c>
      <c r="G23" t="s" s="0">
        <v>223</v>
      </c>
      <c r="H23" s="76">
        <f>F23*G23</f>
        <v>46</v>
      </c>
      <c r="I23" t="s" s="0">
        <v>277</v>
      </c>
      <c r="J23" s="76">
        <v>1.79</v>
      </c>
      <c r="K23" s="76">
        <v>2.5</v>
      </c>
      <c r="L23" s="76">
        <f>H23</f>
        <v>46</v>
      </c>
      <c r="M23" s="76">
        <f>ROUND(L23*I23%,2)</f>
        <v>1.02</v>
      </c>
      <c r="N23" s="76">
        <f>H23-M23</f>
        <v>44.98</v>
      </c>
      <c r="O23" s="76">
        <f>ROUND(N23*J23%,2)</f>
        <v>0.81</v>
      </c>
      <c r="P23" s="76">
        <f>ROUND(N23-O23,2)</f>
        <v>44.17</v>
      </c>
      <c r="Q23" s="76">
        <f>ROUND(P23*K23%,2)</f>
        <v>1.1000000000000001</v>
      </c>
      <c r="R23" s="76">
        <f>M23+O23+Q23</f>
        <v>2.93</v>
      </c>
      <c r="S23" s="76">
        <f>(H23-R23)</f>
        <v>43.07</v>
      </c>
      <c r="T23" s="76" t="s">
        <v>128</v>
      </c>
      <c r="U23" s="76">
        <v>0.18</v>
      </c>
      <c r="V23" s="76">
        <f>IF($C$21=1,ROUND(((S23*U23)/2),2),0)</f>
        <v>0</v>
      </c>
      <c r="W23" s="76">
        <f>IF($C$21=1,ROUND(((S23*U23)/2),2),0)</f>
        <v>0</v>
      </c>
      <c r="X23" s="76">
        <f>IF($C$21=2,ROUND(((S23*U23)),2),0)</f>
        <v>7.75</v>
      </c>
      <c r="Y23" s="76">
        <f>V23+W23+X23</f>
        <v>7.75</v>
      </c>
      <c r="Z23" s="76">
        <f t="shared" ref="Z23:Z24" si="1">S23+Y23</f>
        <v>50.82</v>
      </c>
      <c r="AA23" s="76">
        <v>120</v>
      </c>
      <c r="AB23" s="76">
        <f>IF($P$21=1,(S23/$S$25)*$E$36,AA23/$AA$25*$E$36)</f>
        <v>0</v>
      </c>
      <c r="AC23" s="76"/>
      <c r="AD23" s="76">
        <f>IF($P$21=1,(S23/$S$25)*$E$38,AA23/$AA$25*$E$38)</f>
        <v>0</v>
      </c>
      <c r="AE23" s="76">
        <f>IF($P$21=1,(S23/$S$25)*$E$38,AA23/$AA$25*$E$38)</f>
        <v>0</v>
      </c>
      <c r="AF23" s="76">
        <f t="shared" ref="AF23:AF24" si="2">S23*$M$21</f>
        <v>43.07</v>
      </c>
      <c r="AG23" s="76">
        <f t="shared" ref="AG23:AG24" si="3">IF($C$21=3,0,AD23+AE23)</f>
        <v>0</v>
      </c>
      <c r="AH23" s="76">
        <f t="shared" ref="AH23:AH24" si="4">IF($C$21=3,AB23+AD23+AE23,0)</f>
        <v>0</v>
      </c>
      <c r="AI23" s="76">
        <v>1</v>
      </c>
      <c r="AJ23" s="76">
        <f t="shared" ref="AJ23:AJ24" si="5">F23/AI23</f>
        <v>2</v>
      </c>
      <c r="AK23" s="76">
        <f>AF23/AJ23</f>
        <v>21.535</v>
      </c>
      <c r="AL23" s="76">
        <f>AG23/AJ23</f>
        <v>0</v>
      </c>
      <c r="AM23" s="76">
        <f>AH23/AJ23</f>
        <v>0</v>
      </c>
      <c r="AN23" s="76" t="s">
        <v>56</v>
      </c>
      <c r="AO23" s="76">
        <f>AK23+AL23+AM23</f>
        <v>21.535</v>
      </c>
      <c r="AP23" s="88" t="s">
        <v>272</v>
      </c>
      <c r="AQ23" s="88" t="s">
        <v>56</v>
      </c>
      <c r="AR23" t="s" s="0">
        <v>303</v>
      </c>
      <c r="AS23" t="s" s="0">
        <v>304</v>
      </c>
      <c r="AT23" s="88">
        <f>AJ23</f>
        <v>2</v>
      </c>
      <c r="AU23" s="88">
        <f>AO23</f>
        <v>21.535</v>
      </c>
      <c r="AV23" s="88">
        <f>AR23+AT23</f>
        <v>68</v>
      </c>
      <c r="AW23" s="88">
        <f>ROUND(((AR23*AS23)+(AT23*AU23))/(AR23+AT23),5)</f>
        <v>1170.3804299999999</v>
      </c>
      <c r="AX23" s="99"/>
      <c r="AY23" s="99" t="s">
        <v>144</v>
      </c>
      <c r="AZ23" s="101" t="s">
        <v>27</v>
      </c>
      <c r="BA23" s="101" t="s">
        <v>24</v>
      </c>
      <c r="BB23" s="101" t="s">
        <v>28</v>
      </c>
      <c r="BC23" s="99"/>
      <c r="BD23" s="99"/>
      <c r="BE23" s="99"/>
      <c r="BF23" s="88"/>
      <c r="BG23" s="88"/>
      <c r="BH23" s="88"/>
      <c r="BI23" s="104" t="s">
        <v>274</v>
      </c>
      <c r="BJ23" t="s" s="0">
        <v>304</v>
      </c>
      <c r="BK23" t="s" s="0">
        <v>275</v>
      </c>
      <c r="BL23" s="88">
        <f>ROUND((((AT23*AW23)+(BK23*BJ23))/(AT23+BK23)),5)</f>
        <v>1204.03306</v>
      </c>
      <c r="BM23" s="54">
        <f>BK23+AT23</f>
        <v>132</v>
      </c>
    </row>
    <row r="24" spans="1:65" ht="15.75" thickBot="1">
      <c r="A24" s="41">
        <v>2</v>
      </c>
      <c r="B24" s="41" t="s">
        <v>271</v>
      </c>
      <c r="C24" s="41" t="s">
        <v>58</v>
      </c>
      <c r="D24" s="41" t="s">
        <v>56</v>
      </c>
      <c r="E24" s="41" t="s">
        <v>56</v>
      </c>
      <c r="F24" s="76">
        <v>3</v>
      </c>
      <c r="G24" t="s" s="0">
        <v>278</v>
      </c>
      <c r="H24" s="76">
        <f t="shared" ref="H24" si="6">F24*G24</f>
        <v>120</v>
      </c>
      <c r="I24" t="s" s="0">
        <v>218</v>
      </c>
      <c r="J24" s="76">
        <v>1.68</v>
      </c>
      <c r="K24" s="76">
        <v>2.5</v>
      </c>
      <c r="L24" s="76">
        <f>H24</f>
        <v>120</v>
      </c>
      <c r="M24" s="76">
        <f>ROUND(L24*I24%,2)</f>
        <v>1.5</v>
      </c>
      <c r="N24" s="76">
        <f t="shared" ref="N24" si="7">H24-M24</f>
        <v>118.5</v>
      </c>
      <c r="O24" s="76">
        <f t="shared" ref="O24" si="8">ROUND(N24*J24%,2)</f>
        <v>1.99</v>
      </c>
      <c r="P24" s="76">
        <f t="shared" ref="P24" si="9">ROUND(N24-O24,2)</f>
        <v>116.51</v>
      </c>
      <c r="Q24" s="76">
        <f t="shared" ref="Q24" si="10">ROUND(P24*K24%,2)</f>
        <v>2.91</v>
      </c>
      <c r="R24" s="76">
        <f t="shared" ref="R24" si="11">M24+O24+Q24</f>
        <v>6.4</v>
      </c>
      <c r="S24" s="76">
        <f t="shared" ref="S24" si="12">(H24-R24)</f>
        <v>113.6</v>
      </c>
      <c r="T24" s="76" t="s">
        <v>128</v>
      </c>
      <c r="U24" s="76">
        <v>0.18</v>
      </c>
      <c r="V24" s="76">
        <f t="shared" ref="V24" si="13">IF($C$21=1,ROUND(((S24*U24)/2),2),0)</f>
        <v>0</v>
      </c>
      <c r="W24" s="76">
        <f t="shared" ref="W24" si="14">IF($C$21=1,ROUND(((S24*U24)/2),2),0)</f>
        <v>0</v>
      </c>
      <c r="X24" s="76">
        <f t="shared" ref="X24" si="15">IF($C$21=2,ROUND(((S24*U24)),2),0)</f>
        <v>20.45</v>
      </c>
      <c r="Y24" s="76">
        <f t="shared" ref="Y24" si="16">V24+W24+X24</f>
        <v>20.45</v>
      </c>
      <c r="Z24" s="76">
        <f t="shared" si="1"/>
        <v>134.04999999999998</v>
      </c>
      <c r="AA24" s="76">
        <v>200</v>
      </c>
      <c r="AB24" s="76">
        <f>IF($P$21=1,(S24/$S$25)*$E$36,AA24/$AA$25*$E$36)</f>
        <v>0</v>
      </c>
      <c r="AC24" s="76"/>
      <c r="AD24" s="76">
        <f>IF($P$21=1,(S24/$S$25)*$E$38,AA24/$AA$25*$E$38)</f>
        <v>0</v>
      </c>
      <c r="AE24" s="76">
        <f>IF($P$21=1,(S24/$S$25)*$E$38,AA24/$AA$25*$E$38)</f>
        <v>0</v>
      </c>
      <c r="AF24" s="76">
        <f t="shared" si="2"/>
        <v>113.6</v>
      </c>
      <c r="AG24" s="76">
        <f t="shared" si="3"/>
        <v>0</v>
      </c>
      <c r="AH24" s="76">
        <f t="shared" si="4"/>
        <v>0</v>
      </c>
      <c r="AI24" s="76">
        <v>1</v>
      </c>
      <c r="AJ24" s="76">
        <f t="shared" si="5"/>
        <v>3</v>
      </c>
      <c r="AK24" s="76">
        <f t="shared" ref="AK24" si="17">AF24/AJ24</f>
        <v>37.866666666666667</v>
      </c>
      <c r="AL24" s="76">
        <f t="shared" ref="AL24" si="18">AG24/AJ24</f>
        <v>0</v>
      </c>
      <c r="AM24" s="76">
        <f t="shared" ref="AM24" si="19">AH24/AJ24</f>
        <v>0</v>
      </c>
      <c r="AN24" s="76" t="s">
        <v>56</v>
      </c>
      <c r="AO24" s="76">
        <f t="shared" ref="AO24" si="20">AK24+AL24+AM24</f>
        <v>37.866666666666667</v>
      </c>
      <c r="AP24" s="88" t="s">
        <v>272</v>
      </c>
      <c r="AQ24" s="88" t="s">
        <v>56</v>
      </c>
      <c r="AR24" t="s" s="0">
        <v>305</v>
      </c>
      <c r="AS24" t="s" s="0">
        <v>273</v>
      </c>
      <c r="AT24" s="88">
        <f t="shared" ref="AT24" si="21">AJ24</f>
        <v>3</v>
      </c>
      <c r="AU24" s="88">
        <f>AO24</f>
        <v>37.866666666666667</v>
      </c>
      <c r="AV24" s="88">
        <f>AR24+AT24</f>
        <v>1083</v>
      </c>
      <c r="AW24" s="88">
        <f>ROUND(((AR24*AS24)+(AT24*AU24))/(AR24+AT24),5)</f>
        <v>1214.9954</v>
      </c>
      <c r="AX24" s="99"/>
      <c r="AY24" s="99"/>
      <c r="AZ24" s="101" t="s">
        <v>27</v>
      </c>
      <c r="BA24" s="100" t="s">
        <v>234</v>
      </c>
      <c r="BB24" s="100"/>
      <c r="BC24" s="99"/>
      <c r="BD24" s="99"/>
      <c r="BE24" s="99"/>
      <c r="BF24" s="88"/>
      <c r="BG24" s="88"/>
      <c r="BH24" s="88"/>
      <c r="BI24" s="104" t="s">
        <v>274</v>
      </c>
      <c r="BJ24" t="s" s="0">
        <v>273</v>
      </c>
      <c r="BK24" t="s" s="0">
        <v>276</v>
      </c>
      <c r="BL24" s="88">
        <f>ROUND((((AT24*AW24)+(BK24*BJ24))/(AT24+BK24)),5)</f>
        <v>1217.9119000000001</v>
      </c>
      <c r="BM24" s="54">
        <f t="shared" ref="BM24" si="22">BK24+AT24</f>
        <v>1365.3530000000001</v>
      </c>
    </row>
    <row r="25" spans="1:65" ht="15.75" thickBot="1">
      <c r="A25" s="13"/>
      <c r="B25" s="79"/>
      <c r="C25" s="79"/>
      <c r="D25" s="77" t="s">
        <v>85</v>
      </c>
      <c r="E25" s="77"/>
      <c r="F25" s="77"/>
      <c r="G25" s="78"/>
      <c r="H25" s="45">
        <f>SUM(H23:H24)</f>
        <v>166</v>
      </c>
      <c r="I25" s="41"/>
      <c r="J25" s="41"/>
      <c r="K25" s="41"/>
      <c r="L25" s="41"/>
      <c r="M25" s="41"/>
      <c r="N25" s="41"/>
      <c r="O25" s="41"/>
      <c r="P25" s="41"/>
      <c r="Q25" s="41"/>
      <c r="R25" s="45">
        <f>SUM(R23:R24)</f>
        <v>9.33</v>
      </c>
      <c r="S25" s="81">
        <f>SUM(S23:S24)</f>
        <v>156.66999999999999</v>
      </c>
      <c r="T25" s="45"/>
      <c r="U25" s="45"/>
      <c r="V25" s="46">
        <f t="shared" ref="V25:AB25" si="23">SUM(V23:V24)</f>
        <v>0</v>
      </c>
      <c r="W25" s="46">
        <f t="shared" si="23"/>
        <v>0</v>
      </c>
      <c r="X25" s="46">
        <f t="shared" si="23"/>
        <v>28.2</v>
      </c>
      <c r="Y25" s="45">
        <f t="shared" si="23"/>
        <v>28.2</v>
      </c>
      <c r="Z25" s="47">
        <f t="shared" si="23"/>
        <v>184.86999999999998</v>
      </c>
      <c r="AA25" s="48">
        <f t="shared" si="23"/>
        <v>320</v>
      </c>
      <c r="AB25" s="48">
        <f t="shared" si="23"/>
        <v>0</v>
      </c>
      <c r="AC25" s="47"/>
      <c r="AD25" s="48">
        <f>SUM(AD23:AD24)</f>
        <v>0</v>
      </c>
      <c r="AE25" s="48">
        <f>SUM(AE23:AE24)</f>
        <v>0</v>
      </c>
      <c r="AF25" s="48">
        <f>SUM(AF23:AF24)</f>
        <v>156.66999999999999</v>
      </c>
      <c r="AG25" s="48">
        <f>SUM(AG23:AG24)</f>
        <v>0</v>
      </c>
      <c r="AH25" s="48">
        <f>SUM(AH23:AH24)</f>
        <v>0</v>
      </c>
      <c r="AI25" s="47"/>
      <c r="AJ25" s="47"/>
      <c r="AK25" s="47"/>
      <c r="AL25" s="47"/>
      <c r="AM25" s="47"/>
      <c r="AN25" s="47"/>
      <c r="AO25" s="47"/>
      <c r="AP25" s="13"/>
    </row>
    <row r="26" spans="1:65" ht="15.75" thickBot="1"/>
    <row r="27" spans="1:65" ht="15.75" thickBot="1">
      <c r="AP27" s="98"/>
      <c r="AQ27" s="98"/>
    </row>
  </sheetData>
  <mergeCells count="3">
    <mergeCell ref="A1:Z1"/>
    <mergeCell ref="B19:G19"/>
    <mergeCell ref="A21:B21"/>
  </mergeCells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>
  <dimension ref="A1:BM35"/>
  <sheetViews>
    <sheetView topLeftCell="E16" workbookViewId="0">
      <selection activeCell="I23" sqref="I23:K23"/>
    </sheetView>
  </sheetViews>
  <sheetFormatPr defaultRowHeight="15"/>
  <cols>
    <col min="2" max="2" bestFit="true" customWidth="true" width="26.85546875"/>
    <col min="3" max="3" bestFit="true" customWidth="true" width="19.28515625"/>
    <col min="4" max="4" bestFit="true" customWidth="true" width="62.7109375"/>
    <col min="5" max="5" bestFit="true" customWidth="true" width="10.42578125"/>
    <col min="6" max="6" bestFit="true" customWidth="true" width="8.28515625"/>
    <col min="7" max="7" bestFit="true" customWidth="true" width="10.140625"/>
    <col min="8" max="8" bestFit="true" customWidth="true" width="11.85546875"/>
    <col min="32" max="32" bestFit="true" customWidth="true" width="14.28515625"/>
    <col min="40" max="40" bestFit="true" customWidth="true" width="11.85546875"/>
    <col min="41" max="41" bestFit="true" customWidth="true" width="23.28515625"/>
    <col min="42" max="42" bestFit="true" customWidth="true" width="11.140625"/>
    <col min="43" max="43" bestFit="true" customWidth="true" width="11.85546875"/>
    <col min="44" max="44" bestFit="true" customWidth="true" width="15.28515625"/>
    <col min="45" max="45" bestFit="true" customWidth="true" width="20.28515625"/>
    <col min="46" max="46" bestFit="true" customWidth="true" width="11.42578125"/>
    <col min="47" max="47" bestFit="true" customWidth="true" width="16.28515625"/>
    <col min="48" max="48" bestFit="true" customWidth="true" width="13.85546875"/>
    <col min="49" max="49" bestFit="true" customWidth="true" width="18.85546875"/>
    <col min="50" max="50" bestFit="true" customWidth="true" width="19.0"/>
    <col min="51" max="51" bestFit="true" customWidth="true" width="21.7109375"/>
    <col min="52" max="52" bestFit="true" customWidth="true" width="16.0"/>
    <col min="53" max="53" bestFit="true" customWidth="true" width="14.28515625"/>
    <col min="54" max="54" bestFit="true" customWidth="true" width="17.28515625"/>
    <col min="55" max="55" bestFit="true" customWidth="true" width="13.7109375"/>
    <col min="56" max="56" bestFit="true" customWidth="true" width="12.42578125"/>
    <col min="57" max="57" bestFit="true" customWidth="true" width="12.5703125"/>
    <col min="58" max="58" bestFit="true" customWidth="true" width="21.7109375"/>
    <col min="59" max="59" bestFit="true" customWidth="true" width="30.5703125"/>
    <col min="62" max="62" bestFit="true" customWidth="true" width="41.140625"/>
    <col min="63" max="63" bestFit="true" customWidth="true" width="37.0"/>
    <col min="64" max="64" bestFit="true" customWidth="true" width="18.85546875"/>
    <col min="65" max="65" bestFit="true" customWidth="true" width="34.42578125"/>
  </cols>
  <sheetData>
    <row r="1" spans="1:42" ht="18">
      <c r="A1" s="113" t="s">
        <v>145</v>
      </c>
      <c r="B1" s="113"/>
      <c r="C1" s="113"/>
      <c r="D1" s="113"/>
      <c r="E1" s="113"/>
      <c r="F1" s="113"/>
      <c r="G1" s="113"/>
      <c r="H1" s="113"/>
      <c r="I1" s="113"/>
      <c r="J1" s="113"/>
      <c r="K1" s="113"/>
      <c r="L1" s="113"/>
      <c r="M1" s="113"/>
      <c r="N1" s="113"/>
      <c r="O1" s="113"/>
      <c r="P1" s="113"/>
      <c r="Q1" s="113"/>
      <c r="R1" s="113"/>
      <c r="S1" s="113"/>
      <c r="T1" s="113"/>
      <c r="U1" s="113"/>
      <c r="V1" s="113"/>
      <c r="W1" s="113"/>
      <c r="X1" s="113"/>
      <c r="Y1" s="113"/>
      <c r="Z1" s="113"/>
      <c r="AA1" s="86"/>
      <c r="AB1" s="86"/>
      <c r="AC1" s="86"/>
      <c r="AD1" s="86"/>
      <c r="AE1" s="86"/>
      <c r="AF1" s="86"/>
      <c r="AG1" s="86"/>
      <c r="AH1" s="86"/>
      <c r="AI1" s="86"/>
      <c r="AJ1" s="86"/>
      <c r="AK1" s="86"/>
      <c r="AL1" s="86"/>
      <c r="AM1" s="86"/>
      <c r="AN1" s="86"/>
      <c r="AO1" s="13"/>
      <c r="AP1" s="13"/>
    </row>
    <row r="2" spans="1:42" ht="18.75" thickBot="1">
      <c r="A2" s="86" t="s">
        <v>146</v>
      </c>
      <c r="B2" s="86"/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  <c r="AD2" s="86"/>
      <c r="AE2" s="86"/>
      <c r="AF2" s="86"/>
      <c r="AG2" s="86"/>
      <c r="AH2" s="86"/>
      <c r="AI2" s="86"/>
      <c r="AJ2" s="86"/>
      <c r="AK2" s="86"/>
      <c r="AL2" s="86"/>
      <c r="AM2" s="86"/>
      <c r="AN2" s="86"/>
      <c r="AO2" s="13"/>
      <c r="AP2" s="13"/>
    </row>
    <row r="3" spans="1:42" ht="15.75" thickTop="1">
      <c r="A3" s="8" t="s">
        <v>46</v>
      </c>
      <c r="B3" s="9" t="s">
        <v>47</v>
      </c>
      <c r="C3" s="10" t="s">
        <v>48</v>
      </c>
      <c r="D3" s="9" t="s">
        <v>49</v>
      </c>
      <c r="E3" s="9" t="s">
        <v>50</v>
      </c>
      <c r="F3" s="9" t="s">
        <v>51</v>
      </c>
      <c r="G3" s="9" t="s">
        <v>52</v>
      </c>
      <c r="H3" s="11" t="s">
        <v>53</v>
      </c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3"/>
    </row>
    <row r="4" spans="1:42">
      <c r="A4" s="14">
        <v>1</v>
      </c>
      <c r="B4" s="15" t="s">
        <v>54</v>
      </c>
      <c r="C4" s="15" t="s">
        <v>55</v>
      </c>
      <c r="D4" s="15" t="s">
        <v>56</v>
      </c>
      <c r="E4" s="15" t="s">
        <v>56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20"/>
      <c r="Z4" s="20"/>
      <c r="AA4" s="20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13"/>
    </row>
    <row r="5" spans="1:42">
      <c r="A5" s="14">
        <v>2</v>
      </c>
      <c r="B5" s="15" t="s">
        <v>57</v>
      </c>
      <c r="C5" s="15" t="s">
        <v>58</v>
      </c>
      <c r="D5" s="15" t="s">
        <v>56</v>
      </c>
      <c r="E5" s="15" t="s">
        <v>56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13"/>
    </row>
    <row r="6" spans="1:42">
      <c r="A6" s="14">
        <v>3</v>
      </c>
      <c r="B6" s="15" t="s">
        <v>59</v>
      </c>
      <c r="C6" s="15" t="s">
        <v>60</v>
      </c>
      <c r="D6" s="15" t="s">
        <v>56</v>
      </c>
      <c r="E6" s="15" t="s">
        <v>56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20"/>
      <c r="Z6" s="20"/>
      <c r="AA6" s="20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13"/>
    </row>
    <row r="7" spans="1:42">
      <c r="A7" s="14">
        <v>4</v>
      </c>
      <c r="B7" s="15" t="s">
        <v>61</v>
      </c>
      <c r="C7" s="15" t="s">
        <v>62</v>
      </c>
      <c r="D7" s="15" t="s">
        <v>56</v>
      </c>
      <c r="E7" s="15" t="s">
        <v>56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20"/>
      <c r="Z7" s="20"/>
      <c r="AA7" s="20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13"/>
    </row>
    <row r="8" spans="1:42">
      <c r="A8" s="14">
        <v>5</v>
      </c>
      <c r="B8" s="15" t="s">
        <v>63</v>
      </c>
      <c r="C8" s="15" t="s">
        <v>64</v>
      </c>
      <c r="D8" s="15" t="s">
        <v>56</v>
      </c>
      <c r="E8" s="15" t="s">
        <v>56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13"/>
    </row>
    <row r="9" spans="1:42">
      <c r="A9" s="14">
        <v>6</v>
      </c>
      <c r="B9" s="15" t="s">
        <v>65</v>
      </c>
      <c r="C9" s="15" t="s">
        <v>66</v>
      </c>
      <c r="D9" s="15" t="s">
        <v>56</v>
      </c>
      <c r="E9" s="15" t="s">
        <v>56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20"/>
      <c r="Z9" s="20"/>
      <c r="AA9" s="20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13"/>
    </row>
    <row r="10" spans="1:42">
      <c r="A10" s="14">
        <v>7</v>
      </c>
      <c r="B10" s="15" t="s">
        <v>67</v>
      </c>
      <c r="C10" s="15" t="s">
        <v>68</v>
      </c>
      <c r="D10" s="15" t="s">
        <v>56</v>
      </c>
      <c r="E10" s="15" t="s">
        <v>56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20"/>
      <c r="Z10" s="20"/>
      <c r="AA10" s="20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13"/>
    </row>
    <row r="11" spans="1:42">
      <c r="A11" s="14">
        <v>8</v>
      </c>
      <c r="B11" s="15" t="s">
        <v>69</v>
      </c>
      <c r="C11" s="15" t="s">
        <v>70</v>
      </c>
      <c r="D11" s="15" t="s">
        <v>56</v>
      </c>
      <c r="E11" s="15" t="s">
        <v>56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13"/>
    </row>
    <row r="12" spans="1:42">
      <c r="A12" s="14">
        <v>9</v>
      </c>
      <c r="B12" s="15" t="s">
        <v>71</v>
      </c>
      <c r="C12" s="15" t="s">
        <v>72</v>
      </c>
      <c r="D12" s="15" t="s">
        <v>56</v>
      </c>
      <c r="E12" s="15" t="s">
        <v>56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13"/>
    </row>
    <row r="13" spans="1:42">
      <c r="A13" s="14">
        <v>10</v>
      </c>
      <c r="B13" s="15" t="s">
        <v>73</v>
      </c>
      <c r="C13" s="15" t="s">
        <v>74</v>
      </c>
      <c r="D13" s="15" t="s">
        <v>56</v>
      </c>
      <c r="E13" s="15" t="s">
        <v>56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20"/>
      <c r="Z13" s="20"/>
      <c r="AA13" s="20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13"/>
    </row>
    <row r="14" spans="1:42">
      <c r="A14" s="14">
        <v>11</v>
      </c>
      <c r="B14" s="15" t="s">
        <v>75</v>
      </c>
      <c r="C14" s="15" t="s">
        <v>76</v>
      </c>
      <c r="D14" s="15" t="s">
        <v>56</v>
      </c>
      <c r="E14" s="15" t="s">
        <v>56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13"/>
    </row>
    <row r="15" spans="1:42">
      <c r="A15" s="14">
        <v>12</v>
      </c>
      <c r="B15" s="15" t="s">
        <v>77</v>
      </c>
      <c r="C15" s="15" t="s">
        <v>78</v>
      </c>
      <c r="D15" s="15" t="s">
        <v>56</v>
      </c>
      <c r="E15" s="15" t="s">
        <v>56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20"/>
      <c r="Z15" s="20"/>
      <c r="AA15" s="20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13"/>
    </row>
    <row r="16" spans="1:42">
      <c r="A16" s="14">
        <v>13</v>
      </c>
      <c r="B16" s="15" t="s">
        <v>79</v>
      </c>
      <c r="C16" s="15" t="s">
        <v>80</v>
      </c>
      <c r="D16" s="15" t="s">
        <v>56</v>
      </c>
      <c r="E16" s="15" t="s">
        <v>56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20"/>
      <c r="Z16" s="20"/>
      <c r="AA16" s="20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13"/>
    </row>
    <row r="17" spans="1:65">
      <c r="A17" s="14">
        <v>14</v>
      </c>
      <c r="B17" s="15" t="s">
        <v>81</v>
      </c>
      <c r="C17" s="15" t="s">
        <v>82</v>
      </c>
      <c r="D17" s="15" t="s">
        <v>56</v>
      </c>
      <c r="E17" s="15" t="s">
        <v>56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80">
        <v>5858.27</v>
      </c>
      <c r="T17" s="20"/>
      <c r="U17" s="19"/>
      <c r="V17" s="19"/>
      <c r="W17" s="19"/>
      <c r="X17" s="19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13"/>
    </row>
    <row r="18" spans="1:65" ht="15.75" thickBot="1">
      <c r="A18" s="21">
        <v>15</v>
      </c>
      <c r="B18" s="22" t="s">
        <v>83</v>
      </c>
      <c r="C18" s="22" t="s">
        <v>84</v>
      </c>
      <c r="D18" s="22" t="s">
        <v>56</v>
      </c>
      <c r="E18" s="22" t="s">
        <v>56</v>
      </c>
      <c r="F18" s="23">
        <v>85</v>
      </c>
      <c r="G18" s="24">
        <v>65.48</v>
      </c>
      <c r="H18" s="25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20"/>
      <c r="Z18" s="20"/>
      <c r="AA18" s="20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13"/>
    </row>
    <row r="19" spans="1:65" ht="15.75" thickTop="1">
      <c r="A19" s="13"/>
      <c r="B19" s="114" t="s">
        <v>85</v>
      </c>
      <c r="C19" s="114"/>
      <c r="D19" s="114"/>
      <c r="E19" s="114"/>
      <c r="F19" s="114"/>
      <c r="G19" s="114"/>
      <c r="H19" s="26">
        <f>SUM(H4:H18)</f>
        <v>71856.759999999995</v>
      </c>
      <c r="I19" s="27"/>
      <c r="J19" s="27"/>
      <c r="K19" s="27"/>
      <c r="L19" s="27"/>
      <c r="M19" s="27"/>
      <c r="N19" s="27"/>
      <c r="O19" s="27"/>
      <c r="P19" s="27"/>
      <c r="Q19" s="27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  <c r="AO19" s="28"/>
      <c r="AP19" s="13"/>
    </row>
    <row r="20" spans="1:65">
      <c r="A20" s="28" t="s">
        <v>86</v>
      </c>
      <c r="B20" s="29"/>
      <c r="C20" s="29"/>
      <c r="D20" s="29"/>
      <c r="E20" s="29"/>
      <c r="F20" s="29"/>
      <c r="G20" s="29"/>
      <c r="H20" s="28"/>
      <c r="I20" s="30"/>
      <c r="J20" s="30"/>
      <c r="K20" s="30"/>
      <c r="L20" s="30"/>
      <c r="M20" s="30"/>
      <c r="N20" s="30"/>
      <c r="O20" s="30"/>
      <c r="P20" s="30"/>
      <c r="Q20" s="30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  <c r="AO20" s="28"/>
      <c r="AP20" s="13"/>
    </row>
    <row r="21" spans="1:65" ht="15.75" thickBot="1">
      <c r="A21" s="115" t="s">
        <v>87</v>
      </c>
      <c r="B21" s="115"/>
      <c r="C21" s="12">
        <v>2</v>
      </c>
      <c r="D21" s="31" t="s">
        <v>88</v>
      </c>
      <c r="E21" s="29"/>
      <c r="F21" s="29"/>
      <c r="G21" s="29"/>
      <c r="H21" s="28"/>
      <c r="I21" s="30" t="s">
        <v>89</v>
      </c>
      <c r="J21" s="30" t="s">
        <v>90</v>
      </c>
      <c r="K21" s="30"/>
      <c r="L21" s="30" t="s">
        <v>91</v>
      </c>
      <c r="M21" s="30">
        <v>1</v>
      </c>
      <c r="N21" s="30"/>
      <c r="O21" s="30" t="s">
        <v>92</v>
      </c>
      <c r="P21" s="30">
        <v>1</v>
      </c>
      <c r="Q21" s="30" t="s">
        <v>93</v>
      </c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  <c r="AO21" s="28"/>
      <c r="AP21" s="13"/>
    </row>
    <row r="22" spans="1:65" ht="58.5" thickTop="1" thickBot="1">
      <c r="A22" s="32" t="s">
        <v>46</v>
      </c>
      <c r="B22" s="32" t="s">
        <v>47</v>
      </c>
      <c r="C22" s="33" t="s">
        <v>48</v>
      </c>
      <c r="D22" s="32" t="s">
        <v>49</v>
      </c>
      <c r="E22" s="32" t="s">
        <v>50</v>
      </c>
      <c r="F22" s="34" t="s">
        <v>94</v>
      </c>
      <c r="G22" s="32" t="s">
        <v>52</v>
      </c>
      <c r="H22" s="32" t="s">
        <v>53</v>
      </c>
      <c r="I22" s="35" t="s">
        <v>95</v>
      </c>
      <c r="J22" s="35" t="s">
        <v>96</v>
      </c>
      <c r="K22" s="35" t="s">
        <v>97</v>
      </c>
      <c r="L22" s="36" t="s">
        <v>98</v>
      </c>
      <c r="M22" s="36" t="s">
        <v>99</v>
      </c>
      <c r="N22" s="36" t="s">
        <v>100</v>
      </c>
      <c r="O22" s="36" t="s">
        <v>101</v>
      </c>
      <c r="P22" s="36" t="s">
        <v>102</v>
      </c>
      <c r="Q22" s="36" t="s">
        <v>103</v>
      </c>
      <c r="R22" s="35" t="s">
        <v>104</v>
      </c>
      <c r="S22" s="32" t="s">
        <v>105</v>
      </c>
      <c r="T22" s="32" t="s">
        <v>106</v>
      </c>
      <c r="U22" s="37" t="s">
        <v>107</v>
      </c>
      <c r="V22" s="37" t="s">
        <v>108</v>
      </c>
      <c r="W22" s="37" t="s">
        <v>109</v>
      </c>
      <c r="X22" s="37" t="s">
        <v>110</v>
      </c>
      <c r="Y22" s="37" t="s">
        <v>111</v>
      </c>
      <c r="Z22" s="38" t="s">
        <v>112</v>
      </c>
      <c r="AA22" s="38" t="s">
        <v>113</v>
      </c>
      <c r="AB22" s="39" t="s">
        <v>114</v>
      </c>
      <c r="AC22" s="39" t="s">
        <v>115</v>
      </c>
      <c r="AD22" s="39" t="s">
        <v>116</v>
      </c>
      <c r="AE22" s="38" t="s">
        <v>117</v>
      </c>
      <c r="AF22" s="38" t="s">
        <v>118</v>
      </c>
      <c r="AG22" s="39" t="s">
        <v>119</v>
      </c>
      <c r="AH22" s="39" t="s">
        <v>120</v>
      </c>
      <c r="AI22" s="38" t="s">
        <v>121</v>
      </c>
      <c r="AJ22" s="38" t="s">
        <v>122</v>
      </c>
      <c r="AK22" s="39" t="s">
        <v>123</v>
      </c>
      <c r="AL22" s="39" t="s">
        <v>124</v>
      </c>
      <c r="AM22" s="39" t="s">
        <v>125</v>
      </c>
      <c r="AN22" s="38" t="s">
        <v>126</v>
      </c>
      <c r="AO22" s="40" t="s">
        <v>127</v>
      </c>
      <c r="AP22" s="9" t="s">
        <v>240</v>
      </c>
      <c r="AQ22" s="9" t="s">
        <v>126</v>
      </c>
      <c r="AR22" s="56" t="s">
        <v>131</v>
      </c>
      <c r="AS22" s="56" t="s">
        <v>132</v>
      </c>
      <c r="AT22" s="56" t="s">
        <v>133</v>
      </c>
      <c r="AU22" s="56" t="s">
        <v>134</v>
      </c>
      <c r="AV22" s="56" t="s">
        <v>135</v>
      </c>
      <c r="AW22" s="56" t="s">
        <v>136</v>
      </c>
      <c r="AX22" s="56" t="s">
        <v>137</v>
      </c>
      <c r="AY22" s="56" t="s">
        <v>138</v>
      </c>
      <c r="AZ22" s="84" t="s">
        <v>207</v>
      </c>
      <c r="BA22" s="84" t="s">
        <v>8</v>
      </c>
      <c r="BB22" s="84" t="s">
        <v>9</v>
      </c>
      <c r="BC22" s="56" t="s">
        <v>228</v>
      </c>
      <c r="BD22" s="56" t="s">
        <v>139</v>
      </c>
      <c r="BE22" s="56" t="s">
        <v>140</v>
      </c>
      <c r="BF22" s="56" t="s">
        <v>141</v>
      </c>
      <c r="BG22" s="56" t="s">
        <v>142</v>
      </c>
      <c r="BH22" s="56" t="s">
        <v>143</v>
      </c>
      <c r="BI22" s="56" t="s">
        <v>241</v>
      </c>
      <c r="BJ22" s="96" t="s">
        <v>247</v>
      </c>
      <c r="BK22" s="56" t="s">
        <v>248</v>
      </c>
      <c r="BL22" s="56" t="s">
        <v>136</v>
      </c>
      <c r="BM22" s="97" t="s">
        <v>256</v>
      </c>
    </row>
    <row r="23" spans="1:65" ht="15.75" thickBot="1">
      <c r="A23" s="41">
        <v>1</v>
      </c>
      <c r="B23" s="41" t="s">
        <v>292</v>
      </c>
      <c r="C23" s="41" t="s">
        <v>55</v>
      </c>
      <c r="D23" s="41" t="s">
        <v>56</v>
      </c>
      <c r="E23" s="41" t="s">
        <v>56</v>
      </c>
      <c r="F23" s="76">
        <v>25</v>
      </c>
      <c r="G23" s="76">
        <v>34</v>
      </c>
      <c r="H23" s="76">
        <f>F23*G23</f>
        <v>850</v>
      </c>
      <c r="I23" s="76">
        <v>2.21</v>
      </c>
      <c r="J23" s="76">
        <v>1.79</v>
      </c>
      <c r="K23" s="76">
        <v>2.5</v>
      </c>
      <c r="L23" s="76">
        <f>H23</f>
        <v>850</v>
      </c>
      <c r="M23" s="76">
        <f>ROUND(L23*I23%,2)</f>
        <v>18.79</v>
      </c>
      <c r="N23" s="76">
        <f>H23-M23</f>
        <v>831.21</v>
      </c>
      <c r="O23" s="76">
        <f>ROUND(N23*J23%,2)</f>
        <v>14.88</v>
      </c>
      <c r="P23" s="76">
        <f>ROUND(N23-O23,2)</f>
        <v>816.33</v>
      </c>
      <c r="Q23" s="76">
        <f>ROUND(P23*K23%,2)</f>
        <v>20.41</v>
      </c>
      <c r="R23" s="76">
        <f>M23+O23+Q23</f>
        <v>54.08</v>
      </c>
      <c r="S23" s="76">
        <f>(H23-R23)</f>
        <v>795.92</v>
      </c>
      <c r="T23" s="76" t="s">
        <v>128</v>
      </c>
      <c r="U23" s="76">
        <v>0.18</v>
      </c>
      <c r="V23" s="76">
        <f>IF($C$21=1,ROUND(((S23*U23)/2),2),0)</f>
        <v>0</v>
      </c>
      <c r="W23" s="76">
        <f>IF($C$21=1,ROUND(((S23*U23)/2),2),0)</f>
        <v>0</v>
      </c>
      <c r="X23" s="76">
        <f>IF($C$21=2,ROUND(((S23*U23)),2),0)</f>
        <v>143.27000000000001</v>
      </c>
      <c r="Y23" s="76">
        <f>V23+W23+X23</f>
        <v>143.27000000000001</v>
      </c>
      <c r="Z23" s="76">
        <f t="shared" ref="Z23:Z24" si="1">S23+Y23</f>
        <v>939.18999999999994</v>
      </c>
      <c r="AA23" s="76">
        <v>120</v>
      </c>
      <c r="AB23" s="76">
        <f>IF($P$21=1,(S23/$S$25)*$E$36,AA23/$AA$25*$E$36)</f>
        <v>0</v>
      </c>
      <c r="AC23" s="76"/>
      <c r="AD23" s="76">
        <f>IF($P$21=1,(S23/$S$25)*$E$38,AA23/$AA$25*$E$38)</f>
        <v>0</v>
      </c>
      <c r="AE23" s="76">
        <f>IF($P$21=1,(S23/$S$25)*$E$38,AA23/$AA$25*$E$38)</f>
        <v>0</v>
      </c>
      <c r="AF23" s="76">
        <f t="shared" ref="AF23:AF24" si="2">S23*$M$21</f>
        <v>795.92</v>
      </c>
      <c r="AG23" s="76">
        <f t="shared" ref="AG23:AG24" si="3">IF($C$21=3,0,AD23+AE23)</f>
        <v>0</v>
      </c>
      <c r="AH23" s="76">
        <f t="shared" ref="AH23:AH24" si="4">IF($C$21=3,AB23+AD23+AE23,0)</f>
        <v>0</v>
      </c>
      <c r="AI23" s="76">
        <v>1</v>
      </c>
      <c r="AJ23" s="76">
        <f t="shared" ref="AJ23:AJ24" si="5">F23/AI23</f>
        <v>25</v>
      </c>
      <c r="AK23" s="76">
        <f>AF23/AJ23</f>
        <v>31.836799999999997</v>
      </c>
      <c r="AL23" s="76">
        <f>AG23/AJ23</f>
        <v>0</v>
      </c>
      <c r="AM23" s="76">
        <f>AH23/AJ23</f>
        <v>0</v>
      </c>
      <c r="AN23" s="76" t="s">
        <v>56</v>
      </c>
      <c r="AO23" s="76">
        <f>AK23+AL23+AM23</f>
        <v>31.836799999999997</v>
      </c>
      <c r="AP23" s="88" t="s">
        <v>272</v>
      </c>
      <c r="AQ23" s="88" t="s">
        <v>56</v>
      </c>
      <c r="AT23" s="88">
        <f>AJ23</f>
        <v>25</v>
      </c>
      <c r="AU23" s="88">
        <f>AO23</f>
        <v>31.836799999999997</v>
      </c>
      <c r="AV23" s="88">
        <f>AR23+AT23</f>
        <v>25</v>
      </c>
      <c r="AW23" s="88">
        <f>ROUND(((AR23*AS23)+(AT23*AU23))/(AR23+AT23),5)</f>
        <v>32.843260000000001</v>
      </c>
      <c r="AX23" s="99"/>
      <c r="AY23" s="99" t="s">
        <v>144</v>
      </c>
      <c r="AZ23" s="100" t="s">
        <v>23</v>
      </c>
      <c r="BA23" s="101" t="s">
        <v>24</v>
      </c>
      <c r="BB23" s="101" t="s">
        <v>28</v>
      </c>
      <c r="BC23" s="99"/>
      <c r="BD23" s="99"/>
      <c r="BE23" s="99"/>
      <c r="BF23" s="88"/>
      <c r="BG23" s="88"/>
      <c r="BH23" s="88"/>
      <c r="BI23" s="88" t="s">
        <v>274</v>
      </c>
      <c r="BJ23" t="s" s="0">
        <v>249</v>
      </c>
      <c r="BK23" t="s" s="0">
        <v>249</v>
      </c>
      <c r="BL23" s="88">
        <f>ROUND((((AT23*AW23)+(BK23*BJ23))/(AT23+BK23)),5)</f>
        <v>32.843260000000001</v>
      </c>
      <c r="BM23" s="54">
        <f>BK23+AT23</f>
        <v>125</v>
      </c>
    </row>
    <row r="24" spans="1:65" ht="15.75" thickBot="1">
      <c r="A24" s="41">
        <v>2</v>
      </c>
      <c r="B24" s="41" t="s">
        <v>293</v>
      </c>
      <c r="C24" s="41" t="s">
        <v>58</v>
      </c>
      <c r="D24" s="41" t="s">
        <v>56</v>
      </c>
      <c r="E24" s="41" t="s">
        <v>56</v>
      </c>
      <c r="F24" s="76">
        <v>35</v>
      </c>
      <c r="G24" s="76">
        <v>30</v>
      </c>
      <c r="H24" s="76">
        <f t="shared" ref="H24" si="6">F24*G24</f>
        <v>1050</v>
      </c>
      <c r="I24" s="76">
        <v>1.25</v>
      </c>
      <c r="J24" s="76">
        <v>1.68</v>
      </c>
      <c r="K24" s="76">
        <v>2.5</v>
      </c>
      <c r="L24" s="76">
        <f>H24</f>
        <v>1050</v>
      </c>
      <c r="M24" s="76">
        <f>ROUND(L24*I24%,2)</f>
        <v>13.13</v>
      </c>
      <c r="N24" s="76">
        <f t="shared" ref="N24" si="7">H24-M24</f>
        <v>1036.8699999999999</v>
      </c>
      <c r="O24" s="76">
        <f t="shared" ref="O24" si="8">ROUND(N24*J24%,2)</f>
        <v>17.420000000000002</v>
      </c>
      <c r="P24" s="76">
        <f t="shared" ref="P24" si="9">ROUND(N24-O24,2)</f>
        <v>1019.45</v>
      </c>
      <c r="Q24" s="76">
        <f t="shared" ref="Q24" si="10">ROUND(P24*K24%,2)</f>
        <v>25.49</v>
      </c>
      <c r="R24" s="76">
        <f t="shared" ref="R24" si="11">M24+O24+Q24</f>
        <v>56.040000000000006</v>
      </c>
      <c r="S24" s="76">
        <f t="shared" ref="S24" si="12">(H24-R24)</f>
        <v>993.96</v>
      </c>
      <c r="T24" s="76" t="s">
        <v>128</v>
      </c>
      <c r="U24" s="76">
        <v>0.18</v>
      </c>
      <c r="V24" s="76">
        <f t="shared" ref="V24" si="13">IF($C$21=1,ROUND(((S24*U24)/2),2),0)</f>
        <v>0</v>
      </c>
      <c r="W24" s="76">
        <f t="shared" ref="W24" si="14">IF($C$21=1,ROUND(((S24*U24)/2),2),0)</f>
        <v>0</v>
      </c>
      <c r="X24" s="76">
        <f t="shared" ref="X24" si="15">IF($C$21=2,ROUND(((S24*U24)),2),0)</f>
        <v>178.91</v>
      </c>
      <c r="Y24" s="76">
        <f t="shared" ref="Y24" si="16">V24+W24+X24</f>
        <v>178.91</v>
      </c>
      <c r="Z24" s="76">
        <f t="shared" si="1"/>
        <v>1172.8700000000001</v>
      </c>
      <c r="AA24" s="76">
        <v>200</v>
      </c>
      <c r="AB24" s="76">
        <f>IF($P$21=1,(S24/$S$25)*$E$36,AA24/$AA$25*$E$36)</f>
        <v>0</v>
      </c>
      <c r="AC24" s="76"/>
      <c r="AD24" s="76">
        <f>IF($P$21=1,(S24/$S$25)*$E$38,AA24/$AA$25*$E$38)</f>
        <v>0</v>
      </c>
      <c r="AE24" s="76">
        <f>IF($P$21=1,(S24/$S$25)*$E$38,AA24/$AA$25*$E$38)</f>
        <v>0</v>
      </c>
      <c r="AF24" s="76">
        <f t="shared" si="2"/>
        <v>993.96</v>
      </c>
      <c r="AG24" s="76">
        <f t="shared" si="3"/>
        <v>0</v>
      </c>
      <c r="AH24" s="76">
        <f t="shared" si="4"/>
        <v>0</v>
      </c>
      <c r="AI24" s="76">
        <v>1</v>
      </c>
      <c r="AJ24" s="76">
        <f t="shared" si="5"/>
        <v>35</v>
      </c>
      <c r="AK24" s="76">
        <f t="shared" ref="AK24" si="17">AF24/AJ24</f>
        <v>28.398857142857143</v>
      </c>
      <c r="AL24" s="76">
        <f t="shared" ref="AL24" si="18">AG24/AJ24</f>
        <v>0</v>
      </c>
      <c r="AM24" s="76">
        <f t="shared" ref="AM24" si="19">AH24/AJ24</f>
        <v>0</v>
      </c>
      <c r="AN24" s="76" t="s">
        <v>56</v>
      </c>
      <c r="AO24" s="76">
        <f t="shared" ref="AO24" si="20">AK24+AL24+AM24</f>
        <v>28.398857142857143</v>
      </c>
      <c r="AP24" s="88" t="s">
        <v>272</v>
      </c>
      <c r="AQ24" s="88" t="s">
        <v>56</v>
      </c>
      <c r="AT24" s="88">
        <f t="shared" ref="AT24" si="21">AJ24</f>
        <v>35</v>
      </c>
      <c r="AU24" s="88">
        <f>AO24</f>
        <v>28.398857142857143</v>
      </c>
      <c r="AV24" s="88">
        <f t="shared" ref="AV24" si="22">AR24+AT24</f>
        <v>35</v>
      </c>
      <c r="AW24" s="88">
        <f>ROUND(((AR24*AS24)+(AT24*AU24))/(AR24+AT24),5)</f>
        <v>28.398859999999999</v>
      </c>
      <c r="AX24" s="99"/>
      <c r="AY24" s="99"/>
      <c r="AZ24" s="101" t="s">
        <v>27</v>
      </c>
      <c r="BA24" s="100" t="s">
        <v>234</v>
      </c>
      <c r="BB24" s="100"/>
      <c r="BC24" s="99"/>
      <c r="BD24" s="99"/>
      <c r="BE24" s="99"/>
      <c r="BF24" s="88"/>
      <c r="BG24" s="88"/>
      <c r="BH24" s="88"/>
      <c r="BI24" s="88" t="s">
        <v>274</v>
      </c>
      <c r="BJ24" t="s" s="0">
        <v>249</v>
      </c>
      <c r="BK24" t="s" s="0">
        <v>249</v>
      </c>
      <c r="BL24" s="88">
        <f>ROUND((((AT24*AW24)+(BK24*BJ24))/(AT24+BK24)),5)</f>
        <v>263.91365000000002</v>
      </c>
      <c r="BM24" s="54">
        <f t="shared" ref="BM24" si="23">BK24+AT24</f>
        <v>124.6</v>
      </c>
    </row>
    <row r="25" spans="1:65" ht="15.75" thickBot="1">
      <c r="A25" s="13"/>
      <c r="B25" s="79"/>
      <c r="C25" s="79"/>
      <c r="D25" s="77" t="s">
        <v>85</v>
      </c>
      <c r="E25" s="77"/>
      <c r="F25" s="77"/>
      <c r="G25" s="78"/>
      <c r="H25" s="45">
        <f>SUM(H23:H24)</f>
        <v>1900</v>
      </c>
      <c r="I25" s="41"/>
      <c r="J25" s="41"/>
      <c r="K25" s="41"/>
      <c r="L25" s="41"/>
      <c r="M25" s="41"/>
      <c r="N25" s="41"/>
      <c r="O25" s="41"/>
      <c r="P25" s="41"/>
      <c r="Q25" s="41"/>
      <c r="R25" s="45">
        <f>SUM(R23:R24)</f>
        <v>110.12</v>
      </c>
      <c r="S25" s="81">
        <f>SUM(S23:S24)</f>
        <v>1789.88</v>
      </c>
      <c r="T25" s="45"/>
      <c r="U25" s="45"/>
      <c r="V25" s="46">
        <f t="shared" ref="V25:AB25" si="24">SUM(V23:V24)</f>
        <v>0</v>
      </c>
      <c r="W25" s="46">
        <f t="shared" si="24"/>
        <v>0</v>
      </c>
      <c r="X25" s="46">
        <f t="shared" si="24"/>
        <v>322.18</v>
      </c>
      <c r="Y25" s="45">
        <f t="shared" si="24"/>
        <v>322.18</v>
      </c>
      <c r="Z25" s="47">
        <f t="shared" si="24"/>
        <v>2112.06</v>
      </c>
      <c r="AA25" s="48">
        <f t="shared" si="24"/>
        <v>320</v>
      </c>
      <c r="AB25" s="48">
        <f t="shared" si="24"/>
        <v>0</v>
      </c>
      <c r="AC25" s="47"/>
      <c r="AD25" s="48">
        <f>SUM(AD23:AD24)</f>
        <v>0</v>
      </c>
      <c r="AE25" s="48">
        <f>SUM(AE23:AE24)</f>
        <v>0</v>
      </c>
      <c r="AF25" s="48">
        <f>SUM(AF23:AF24)</f>
        <v>1789.88</v>
      </c>
      <c r="AG25" s="48">
        <f>SUM(AG23:AG24)</f>
        <v>0</v>
      </c>
      <c r="AH25" s="48">
        <f>SUM(AH23:AH24)</f>
        <v>0</v>
      </c>
      <c r="AI25" s="47"/>
      <c r="AJ25" s="47"/>
      <c r="AK25" s="47"/>
      <c r="AL25" s="47"/>
      <c r="AM25" s="47"/>
      <c r="AN25" s="47"/>
      <c r="AO25" s="47"/>
      <c r="AP25" s="13"/>
    </row>
    <row r="26" spans="1:65" ht="15.75" thickBot="1">
      <c r="A26" s="13"/>
      <c r="B26" s="79"/>
      <c r="C26" s="79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98"/>
      <c r="AQ26" s="98"/>
      <c r="BG26" s="98"/>
      <c r="BH26" s="98"/>
    </row>
    <row r="27" spans="1:65" ht="15.75" thickBot="1">
      <c r="BH27" s="93"/>
      <c r="BI27" s="93"/>
    </row>
    <row r="35" spans="45:45">
      <c r="AS35" s="0">
        <v>31.8368</v>
      </c>
    </row>
  </sheetData>
  <mergeCells count="3">
    <mergeCell ref="A1:Z1"/>
    <mergeCell ref="B19:G19"/>
    <mergeCell ref="A21:B21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>
  <dimension ref="A1:BH24"/>
  <sheetViews>
    <sheetView tabSelected="1" topLeftCell="A16" workbookViewId="0">
      <selection activeCell="B23" sqref="B23"/>
    </sheetView>
  </sheetViews>
  <sheetFormatPr defaultRowHeight="15"/>
  <cols>
    <col min="1" max="1" bestFit="true" customWidth="true" width="24.5703125"/>
    <col min="2" max="2" bestFit="true" customWidth="true" width="17.28515625"/>
  </cols>
  <sheetData>
    <row r="1" spans="1:42" ht="18">
      <c r="A1" s="113" t="s">
        <v>145</v>
      </c>
      <c r="B1" s="113"/>
      <c r="C1" s="113"/>
      <c r="D1" s="113"/>
      <c r="E1" s="113"/>
      <c r="F1" s="113"/>
      <c r="G1" s="113"/>
      <c r="H1" s="113"/>
      <c r="I1" s="113"/>
      <c r="J1" s="113"/>
      <c r="K1" s="113"/>
      <c r="L1" s="113"/>
      <c r="M1" s="113"/>
      <c r="N1" s="113"/>
      <c r="O1" s="113"/>
      <c r="P1" s="113"/>
      <c r="Q1" s="113"/>
      <c r="R1" s="113"/>
      <c r="S1" s="113"/>
      <c r="T1" s="113"/>
      <c r="U1" s="113"/>
      <c r="V1" s="113"/>
      <c r="W1" s="113"/>
      <c r="X1" s="113"/>
      <c r="Y1" s="113"/>
      <c r="Z1" s="113"/>
      <c r="AA1" s="86"/>
      <c r="AB1" s="86"/>
      <c r="AC1" s="86"/>
      <c r="AD1" s="86"/>
      <c r="AE1" s="86"/>
      <c r="AF1" s="86"/>
      <c r="AG1" s="86"/>
      <c r="AH1" s="86"/>
      <c r="AI1" s="86"/>
      <c r="AJ1" s="86"/>
      <c r="AK1" s="86"/>
      <c r="AL1" s="86"/>
      <c r="AM1" s="86"/>
      <c r="AN1" s="86"/>
      <c r="AO1" s="13"/>
      <c r="AP1" s="13"/>
    </row>
    <row r="2" spans="1:42" ht="18.75" thickBot="1">
      <c r="A2" s="86" t="s">
        <v>146</v>
      </c>
      <c r="B2" s="86"/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  <c r="AD2" s="86"/>
      <c r="AE2" s="86"/>
      <c r="AF2" s="86"/>
      <c r="AG2" s="86"/>
      <c r="AH2" s="86"/>
      <c r="AI2" s="86"/>
      <c r="AJ2" s="86"/>
      <c r="AK2" s="86"/>
      <c r="AL2" s="86"/>
      <c r="AM2" s="86"/>
      <c r="AN2" s="86"/>
      <c r="AO2" s="13"/>
      <c r="AP2" s="13"/>
    </row>
    <row r="3" spans="1:42" ht="15.75" thickTop="1">
      <c r="A3" s="8" t="s">
        <v>46</v>
      </c>
      <c r="B3" s="9" t="s">
        <v>47</v>
      </c>
      <c r="C3" s="10" t="s">
        <v>48</v>
      </c>
      <c r="D3" s="9" t="s">
        <v>49</v>
      </c>
      <c r="E3" s="9" t="s">
        <v>50</v>
      </c>
      <c r="F3" s="9" t="s">
        <v>51</v>
      </c>
      <c r="G3" s="9" t="s">
        <v>52</v>
      </c>
      <c r="H3" s="11" t="s">
        <v>53</v>
      </c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3"/>
    </row>
    <row r="4" spans="1:42">
      <c r="A4" s="14">
        <v>1</v>
      </c>
      <c r="B4" s="15" t="s">
        <v>54</v>
      </c>
      <c r="C4" s="15" t="s">
        <v>55</v>
      </c>
      <c r="D4" s="15" t="s">
        <v>56</v>
      </c>
      <c r="E4" s="15" t="s">
        <v>56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20"/>
      <c r="Z4" s="20"/>
      <c r="AA4" s="20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13"/>
    </row>
    <row r="5" spans="1:42">
      <c r="A5" s="14">
        <v>2</v>
      </c>
      <c r="B5" s="15" t="s">
        <v>57</v>
      </c>
      <c r="C5" s="15" t="s">
        <v>58</v>
      </c>
      <c r="D5" s="15" t="s">
        <v>56</v>
      </c>
      <c r="E5" s="15" t="s">
        <v>56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13"/>
    </row>
    <row r="6" spans="1:42">
      <c r="A6" s="14">
        <v>3</v>
      </c>
      <c r="B6" s="15" t="s">
        <v>59</v>
      </c>
      <c r="C6" s="15" t="s">
        <v>60</v>
      </c>
      <c r="D6" s="15" t="s">
        <v>56</v>
      </c>
      <c r="E6" s="15" t="s">
        <v>56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20"/>
      <c r="Z6" s="20"/>
      <c r="AA6" s="20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13"/>
    </row>
    <row r="7" spans="1:42">
      <c r="A7" s="14">
        <v>4</v>
      </c>
      <c r="B7" s="15" t="s">
        <v>61</v>
      </c>
      <c r="C7" s="15" t="s">
        <v>62</v>
      </c>
      <c r="D7" s="15" t="s">
        <v>56</v>
      </c>
      <c r="E7" s="15" t="s">
        <v>56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20"/>
      <c r="Z7" s="20"/>
      <c r="AA7" s="20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13"/>
    </row>
    <row r="8" spans="1:42">
      <c r="A8" s="14">
        <v>5</v>
      </c>
      <c r="B8" s="15" t="s">
        <v>63</v>
      </c>
      <c r="C8" s="15" t="s">
        <v>64</v>
      </c>
      <c r="D8" s="15" t="s">
        <v>56</v>
      </c>
      <c r="E8" s="15" t="s">
        <v>56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13"/>
    </row>
    <row r="9" spans="1:42">
      <c r="A9" s="14">
        <v>6</v>
      </c>
      <c r="B9" s="15" t="s">
        <v>65</v>
      </c>
      <c r="C9" s="15" t="s">
        <v>66</v>
      </c>
      <c r="D9" s="15" t="s">
        <v>56</v>
      </c>
      <c r="E9" s="15" t="s">
        <v>56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20"/>
      <c r="Z9" s="20"/>
      <c r="AA9" s="20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13"/>
    </row>
    <row r="10" spans="1:42">
      <c r="A10" s="14">
        <v>7</v>
      </c>
      <c r="B10" s="15" t="s">
        <v>67</v>
      </c>
      <c r="C10" s="15" t="s">
        <v>68</v>
      </c>
      <c r="D10" s="15" t="s">
        <v>56</v>
      </c>
      <c r="E10" s="15" t="s">
        <v>56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20"/>
      <c r="Z10" s="20"/>
      <c r="AA10" s="20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13"/>
    </row>
    <row r="11" spans="1:42">
      <c r="A11" s="14">
        <v>8</v>
      </c>
      <c r="B11" s="15" t="s">
        <v>69</v>
      </c>
      <c r="C11" s="15" t="s">
        <v>70</v>
      </c>
      <c r="D11" s="15" t="s">
        <v>56</v>
      </c>
      <c r="E11" s="15" t="s">
        <v>56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13"/>
    </row>
    <row r="12" spans="1:42">
      <c r="A12" s="14">
        <v>9</v>
      </c>
      <c r="B12" s="15" t="s">
        <v>71</v>
      </c>
      <c r="C12" s="15" t="s">
        <v>72</v>
      </c>
      <c r="D12" s="15" t="s">
        <v>56</v>
      </c>
      <c r="E12" s="15" t="s">
        <v>56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13"/>
    </row>
    <row r="13" spans="1:42">
      <c r="A13" s="14">
        <v>10</v>
      </c>
      <c r="B13" s="15" t="s">
        <v>73</v>
      </c>
      <c r="C13" s="15" t="s">
        <v>74</v>
      </c>
      <c r="D13" s="15" t="s">
        <v>56</v>
      </c>
      <c r="E13" s="15" t="s">
        <v>56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20"/>
      <c r="Z13" s="20"/>
      <c r="AA13" s="20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13"/>
    </row>
    <row r="14" spans="1:42">
      <c r="A14" s="14">
        <v>11</v>
      </c>
      <c r="B14" s="15" t="s">
        <v>75</v>
      </c>
      <c r="C14" s="15" t="s">
        <v>76</v>
      </c>
      <c r="D14" s="15" t="s">
        <v>56</v>
      </c>
      <c r="E14" s="15" t="s">
        <v>56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13"/>
    </row>
    <row r="15" spans="1:42">
      <c r="A15" s="14">
        <v>12</v>
      </c>
      <c r="B15" s="15" t="s">
        <v>77</v>
      </c>
      <c r="C15" s="15" t="s">
        <v>78</v>
      </c>
      <c r="D15" s="15" t="s">
        <v>56</v>
      </c>
      <c r="E15" s="15" t="s">
        <v>56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20"/>
      <c r="Z15" s="20"/>
      <c r="AA15" s="20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13"/>
    </row>
    <row r="16" spans="1:42">
      <c r="A16" s="14">
        <v>13</v>
      </c>
      <c r="B16" s="15" t="s">
        <v>79</v>
      </c>
      <c r="C16" s="15" t="s">
        <v>80</v>
      </c>
      <c r="D16" s="15" t="s">
        <v>56</v>
      </c>
      <c r="E16" s="15" t="s">
        <v>56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20"/>
      <c r="Z16" s="20"/>
      <c r="AA16" s="20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13"/>
    </row>
    <row r="17" spans="1:60">
      <c r="A17" s="14">
        <v>14</v>
      </c>
      <c r="B17" s="15" t="s">
        <v>81</v>
      </c>
      <c r="C17" s="15" t="s">
        <v>82</v>
      </c>
      <c r="D17" s="15" t="s">
        <v>56</v>
      </c>
      <c r="E17" s="15" t="s">
        <v>56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80">
        <v>5858.27</v>
      </c>
      <c r="T17" s="20"/>
      <c r="U17" s="19"/>
      <c r="V17" s="19"/>
      <c r="W17" s="19"/>
      <c r="X17" s="19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13"/>
    </row>
    <row r="18" spans="1:60" ht="15.75" thickBot="1">
      <c r="A18" s="21">
        <v>15</v>
      </c>
      <c r="B18" s="22" t="s">
        <v>83</v>
      </c>
      <c r="C18" s="22" t="s">
        <v>84</v>
      </c>
      <c r="D18" s="22" t="s">
        <v>56</v>
      </c>
      <c r="E18" s="22" t="s">
        <v>56</v>
      </c>
      <c r="F18" s="23">
        <v>85</v>
      </c>
      <c r="G18" s="24">
        <v>65.48</v>
      </c>
      <c r="H18" s="25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20"/>
      <c r="Z18" s="20"/>
      <c r="AA18" s="20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13"/>
    </row>
    <row r="19" spans="1:60" ht="15.75" thickTop="1">
      <c r="A19" s="13"/>
      <c r="B19" s="114" t="s">
        <v>85</v>
      </c>
      <c r="C19" s="114"/>
      <c r="D19" s="114"/>
      <c r="E19" s="114"/>
      <c r="F19" s="114"/>
      <c r="G19" s="114"/>
      <c r="H19" s="26">
        <f>SUM(H4:H18)</f>
        <v>71856.759999999995</v>
      </c>
      <c r="I19" s="27"/>
      <c r="J19" s="27"/>
      <c r="K19" s="27"/>
      <c r="L19" s="27"/>
      <c r="M19" s="27"/>
      <c r="N19" s="27"/>
      <c r="O19" s="27"/>
      <c r="P19" s="27"/>
      <c r="Q19" s="27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  <c r="AO19" s="28"/>
      <c r="AP19" s="13"/>
    </row>
    <row r="20" spans="1:60">
      <c r="A20" s="28" t="s">
        <v>86</v>
      </c>
      <c r="B20" s="29"/>
      <c r="C20" s="29"/>
      <c r="D20" s="29"/>
      <c r="E20" s="29"/>
      <c r="F20" s="29"/>
      <c r="G20" s="29"/>
      <c r="H20" s="28"/>
      <c r="I20" s="30"/>
      <c r="J20" s="30"/>
      <c r="K20" s="30"/>
      <c r="L20" s="30"/>
      <c r="M20" s="30"/>
      <c r="N20" s="30"/>
      <c r="O20" s="30"/>
      <c r="P20" s="30"/>
      <c r="Q20" s="30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  <c r="AO20" s="28"/>
      <c r="AP20" s="13"/>
    </row>
    <row r="21" spans="1:60" ht="15.75" thickBot="1">
      <c r="A21" s="115" t="s">
        <v>87</v>
      </c>
      <c r="B21" s="115"/>
      <c r="C21" s="12">
        <v>1</v>
      </c>
      <c r="D21" s="31" t="s">
        <v>88</v>
      </c>
      <c r="E21" s="29"/>
      <c r="F21" s="29"/>
      <c r="G21" s="29"/>
      <c r="H21" s="28"/>
      <c r="I21" s="30" t="s">
        <v>89</v>
      </c>
      <c r="J21" s="30" t="s">
        <v>90</v>
      </c>
      <c r="K21" s="30"/>
      <c r="L21" s="30" t="s">
        <v>91</v>
      </c>
      <c r="M21" s="30">
        <v>1</v>
      </c>
      <c r="N21" s="30"/>
      <c r="O21" s="30" t="s">
        <v>92</v>
      </c>
      <c r="P21" s="30">
        <v>1</v>
      </c>
      <c r="Q21" s="30" t="s">
        <v>93</v>
      </c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  <c r="AO21" s="28"/>
      <c r="AP21" s="13"/>
    </row>
    <row r="22" spans="1:60" ht="58.5" thickTop="1" thickBot="1">
      <c r="A22" s="32" t="s">
        <v>46</v>
      </c>
      <c r="B22" s="32" t="s">
        <v>47</v>
      </c>
      <c r="C22" s="33" t="s">
        <v>48</v>
      </c>
      <c r="D22" s="32" t="s">
        <v>49</v>
      </c>
      <c r="E22" s="32" t="s">
        <v>50</v>
      </c>
      <c r="F22" s="34" t="s">
        <v>94</v>
      </c>
      <c r="G22" s="32" t="s">
        <v>52</v>
      </c>
      <c r="H22" s="32" t="s">
        <v>53</v>
      </c>
      <c r="I22" s="35" t="s">
        <v>95</v>
      </c>
      <c r="J22" s="35" t="s">
        <v>96</v>
      </c>
      <c r="K22" s="35" t="s">
        <v>97</v>
      </c>
      <c r="L22" s="36" t="s">
        <v>98</v>
      </c>
      <c r="M22" s="36" t="s">
        <v>99</v>
      </c>
      <c r="N22" s="36" t="s">
        <v>100</v>
      </c>
      <c r="O22" s="36" t="s">
        <v>101</v>
      </c>
      <c r="P22" s="36" t="s">
        <v>102</v>
      </c>
      <c r="Q22" s="36" t="s">
        <v>103</v>
      </c>
      <c r="R22" s="35" t="s">
        <v>104</v>
      </c>
      <c r="S22" s="32" t="s">
        <v>105</v>
      </c>
      <c r="T22" s="32" t="s">
        <v>106</v>
      </c>
      <c r="U22" s="37" t="s">
        <v>107</v>
      </c>
      <c r="V22" s="37" t="s">
        <v>108</v>
      </c>
      <c r="W22" s="37" t="s">
        <v>109</v>
      </c>
      <c r="X22" s="37" t="s">
        <v>110</v>
      </c>
      <c r="Y22" s="37" t="s">
        <v>111</v>
      </c>
      <c r="Z22" s="38" t="s">
        <v>112</v>
      </c>
      <c r="AA22" s="38" t="s">
        <v>113</v>
      </c>
      <c r="AB22" s="39" t="s">
        <v>114</v>
      </c>
      <c r="AC22" s="39" t="s">
        <v>115</v>
      </c>
      <c r="AD22" s="39" t="s">
        <v>116</v>
      </c>
      <c r="AE22" s="38" t="s">
        <v>117</v>
      </c>
      <c r="AF22" s="38" t="s">
        <v>118</v>
      </c>
      <c r="AG22" s="39" t="s">
        <v>119</v>
      </c>
      <c r="AH22" s="39" t="s">
        <v>120</v>
      </c>
      <c r="AI22" s="38" t="s">
        <v>121</v>
      </c>
      <c r="AJ22" s="38" t="s">
        <v>122</v>
      </c>
      <c r="AK22" s="39" t="s">
        <v>123</v>
      </c>
      <c r="AL22" s="39" t="s">
        <v>124</v>
      </c>
      <c r="AM22" s="39" t="s">
        <v>125</v>
      </c>
      <c r="AN22" s="38" t="s">
        <v>126</v>
      </c>
      <c r="AO22" s="40" t="s">
        <v>127</v>
      </c>
      <c r="AP22" s="9" t="s">
        <v>130</v>
      </c>
      <c r="AQ22" s="9" t="s">
        <v>126</v>
      </c>
      <c r="AR22" s="56" t="s">
        <v>131</v>
      </c>
      <c r="AS22" s="56" t="s">
        <v>132</v>
      </c>
      <c r="AT22" s="57" t="s">
        <v>133</v>
      </c>
      <c r="AU22" s="57" t="s">
        <v>134</v>
      </c>
      <c r="AV22" s="56" t="s">
        <v>135</v>
      </c>
      <c r="AW22" s="56" t="s">
        <v>136</v>
      </c>
      <c r="AX22" s="56" t="s">
        <v>137</v>
      </c>
      <c r="AY22" s="56" t="s">
        <v>138</v>
      </c>
      <c r="AZ22" s="84" t="s">
        <v>207</v>
      </c>
      <c r="BA22" s="84" t="s">
        <v>8</v>
      </c>
      <c r="BB22" s="84" t="s">
        <v>9</v>
      </c>
      <c r="BC22" s="56" t="s">
        <v>139</v>
      </c>
      <c r="BD22" s="56" t="s">
        <v>140</v>
      </c>
      <c r="BE22" s="57" t="s">
        <v>141</v>
      </c>
      <c r="BF22" s="57" t="s">
        <v>142</v>
      </c>
      <c r="BG22" s="57" t="s">
        <v>143</v>
      </c>
      <c r="BH22" s="58"/>
    </row>
    <row r="23" spans="1:60" ht="15.75" thickBot="1">
      <c r="A23" s="41">
        <v>1</v>
      </c>
      <c r="B23" s="41" t="s">
        <v>214</v>
      </c>
      <c r="C23" s="41" t="s">
        <v>55</v>
      </c>
      <c r="D23" s="41" t="s">
        <v>56</v>
      </c>
      <c r="E23" s="41" t="s">
        <v>56</v>
      </c>
      <c r="F23" s="42">
        <v>2</v>
      </c>
      <c r="G23" t="s" s="0">
        <v>332</v>
      </c>
      <c r="H23" s="43">
        <f>F23*G23</f>
        <v>80</v>
      </c>
      <c r="I23" t="s" s="0">
        <v>333</v>
      </c>
      <c r="J23" s="76">
        <v>1.79</v>
      </c>
      <c r="K23" s="76">
        <v>2.5</v>
      </c>
      <c r="L23" s="76">
        <f>H23</f>
        <v>80</v>
      </c>
      <c r="M23" s="76">
        <f>ROUND(L23*I23%,2)</f>
        <v>1.77</v>
      </c>
      <c r="N23" s="76">
        <f>H23-M23</f>
        <v>78.23</v>
      </c>
      <c r="O23" s="76">
        <f>ROUND(N23*J23%,2)</f>
        <v>1.4</v>
      </c>
      <c r="P23" s="76">
        <f>ROUND(N23-O23,2)</f>
        <v>76.83</v>
      </c>
      <c r="Q23" s="76">
        <f>ROUND(P23*K23%,2)</f>
        <v>1.92</v>
      </c>
      <c r="R23" s="76">
        <f>M23+O23+Q23</f>
        <v>5.09</v>
      </c>
      <c r="S23" s="76">
        <f>(H23-R23)</f>
        <v>74.91</v>
      </c>
      <c r="T23" s="43" t="s">
        <v>128</v>
      </c>
      <c r="U23" s="44">
        <v>0.18</v>
      </c>
      <c r="V23" s="76">
        <f>IF($C$21=1,ROUND(((S23*U23)/2),2),0)</f>
        <v>6.74</v>
      </c>
      <c r="W23" s="76">
        <f>IF($C$21=1,ROUND(((S23*U23)/2),2),0)</f>
        <v>6.74</v>
      </c>
      <c r="X23" s="76">
        <f>IF($C$21=2,ROUND(((S23*U23)),2),0)</f>
        <v>0</v>
      </c>
      <c r="Y23" s="76">
        <f>V23+W23+X23</f>
        <v>13.48</v>
      </c>
      <c r="Z23" s="76">
        <f t="shared" ref="Z23" si="1">S23+Y23</f>
        <v>88.39</v>
      </c>
      <c r="AA23" s="43">
        <v>120</v>
      </c>
      <c r="AB23" s="43">
        <f>IF($P$21=1,(S23/$S$24)*$E$35,AA23/$AA$24*$E$35)</f>
        <v>0</v>
      </c>
      <c r="AC23" s="43"/>
      <c r="AD23" s="43">
        <f>IF($P$21=1,(S23/$S$24)*$E$37,AA23/$AA$24*$E$37)</f>
        <v>0</v>
      </c>
      <c r="AE23" s="43">
        <f>IF($P$21=1,(S23/$S$24)*$E$37,AA23/$AA$24*$E$37)</f>
        <v>0</v>
      </c>
      <c r="AF23" s="43">
        <f t="shared" ref="AF23" si="2">S23*$M$21</f>
        <v>74.91</v>
      </c>
      <c r="AG23" s="43">
        <f t="shared" ref="AG23" si="3">IF($C$21=3,0,AD23+AE23)</f>
        <v>0</v>
      </c>
      <c r="AH23" s="43">
        <f t="shared" ref="AH23" si="4">IF($C$21=3,AB23+AD23+AE23,0)</f>
        <v>0</v>
      </c>
      <c r="AI23" s="42">
        <v>1</v>
      </c>
      <c r="AJ23" s="43">
        <f t="shared" ref="AJ23" si="5">F23/AI23</f>
        <v>2</v>
      </c>
      <c r="AK23" s="43">
        <f>AF23/AJ23</f>
        <v>37.454999999999998</v>
      </c>
      <c r="AL23" s="43">
        <f>AG23/AJ23</f>
        <v>0</v>
      </c>
      <c r="AM23" s="43">
        <f>AH23/AJ23</f>
        <v>0</v>
      </c>
      <c r="AN23" s="43" t="s">
        <v>56</v>
      </c>
      <c r="AO23" s="43">
        <f>AK23+AL23+AM23</f>
        <v>37.454999999999998</v>
      </c>
      <c r="AP23" s="15" t="s">
        <v>25</v>
      </c>
      <c r="AQ23" s="15" t="s">
        <v>56</v>
      </c>
      <c r="AR23" t="s" s="0">
        <v>205</v>
      </c>
      <c r="AS23" t="s" s="0">
        <v>206</v>
      </c>
      <c r="AT23" s="59">
        <f>AJ23</f>
        <v>2</v>
      </c>
      <c r="AU23" s="59">
        <f>AO23</f>
        <v>37.454999999999998</v>
      </c>
      <c r="AV23" s="17">
        <f>AR23+AT23</f>
        <v>1154.5999999999999</v>
      </c>
      <c r="AW23" s="15">
        <f>ROUND(((AR23*AS23)+(AT23*AU23))/(AR23+AT23),5)</f>
        <v>138.11332999999999</v>
      </c>
      <c r="AX23" s="59"/>
      <c r="AY23" s="59" t="s">
        <v>144</v>
      </c>
      <c r="AZ23" s="4" t="s">
        <v>23</v>
      </c>
      <c r="BA23" s="59"/>
      <c r="BB23" s="59"/>
      <c r="BC23" s="83"/>
      <c r="BD23" s="59"/>
      <c r="BE23" s="15"/>
      <c r="BF23" s="15"/>
      <c r="BG23" s="15"/>
      <c r="BH23" s="60"/>
    </row>
    <row r="24" spans="1:60" ht="15.75" thickBot="1">
      <c r="A24" s="13"/>
      <c r="B24" s="79"/>
      <c r="C24" s="79"/>
      <c r="D24" s="77" t="s">
        <v>85</v>
      </c>
      <c r="E24" s="77"/>
      <c r="F24" s="77"/>
      <c r="G24" s="78"/>
      <c r="H24" s="45">
        <f>SUM(H23:H23)</f>
        <v>80</v>
      </c>
      <c r="I24" s="41"/>
      <c r="J24" s="41"/>
      <c r="K24" s="41"/>
      <c r="L24" s="41"/>
      <c r="M24" s="41"/>
      <c r="N24" s="41"/>
      <c r="O24" s="41"/>
      <c r="P24" s="41"/>
      <c r="Q24" s="41"/>
      <c r="R24" s="45">
        <f>SUM(R23:R23)</f>
        <v>5.09</v>
      </c>
      <c r="S24" s="81">
        <f>SUM(S23:S23)</f>
        <v>74.91</v>
      </c>
      <c r="T24" s="45"/>
      <c r="U24" s="45"/>
      <c r="V24" s="46">
        <f t="shared" ref="V24:AB24" si="6">SUM(V23:V23)</f>
        <v>6.74</v>
      </c>
      <c r="W24" s="46">
        <f t="shared" si="6"/>
        <v>6.74</v>
      </c>
      <c r="X24" s="46">
        <f t="shared" si="6"/>
        <v>0</v>
      </c>
      <c r="Y24" s="45">
        <f t="shared" si="6"/>
        <v>13.48</v>
      </c>
      <c r="Z24" s="47">
        <f t="shared" si="6"/>
        <v>88.39</v>
      </c>
      <c r="AA24" s="48">
        <f t="shared" si="6"/>
        <v>120</v>
      </c>
      <c r="AB24" s="48">
        <f t="shared" si="6"/>
        <v>0</v>
      </c>
      <c r="AC24" s="47"/>
      <c r="AD24" s="48">
        <f>SUM(AD23:AD23)</f>
        <v>0</v>
      </c>
      <c r="AE24" s="48">
        <f>SUM(AE23:AE23)</f>
        <v>0</v>
      </c>
      <c r="AF24" s="48">
        <f>SUM(AF23:AF23)</f>
        <v>74.91</v>
      </c>
      <c r="AG24" s="48">
        <f>SUM(AG23:AG23)</f>
        <v>0</v>
      </c>
      <c r="AH24" s="48">
        <f>SUM(AH23:AH23)</f>
        <v>0</v>
      </c>
      <c r="AI24" s="47"/>
      <c r="AJ24" s="47"/>
      <c r="AK24" s="47"/>
      <c r="AL24" s="47"/>
      <c r="AM24" s="47"/>
      <c r="AN24" s="47"/>
      <c r="AO24" s="47"/>
      <c r="AP24" s="13"/>
    </row>
  </sheetData>
  <mergeCells count="3">
    <mergeCell ref="A1:Z1"/>
    <mergeCell ref="B19:G19"/>
    <mergeCell ref="A21:B2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BM25"/>
  <sheetViews>
    <sheetView topLeftCell="A19" workbookViewId="0">
      <selection activeCell="C21" sqref="C21"/>
    </sheetView>
  </sheetViews>
  <sheetFormatPr defaultRowHeight="15"/>
  <cols>
    <col min="2" max="2" bestFit="true" customWidth="true" width="19.7109375"/>
    <col min="3" max="3" bestFit="true" customWidth="true" width="19.28515625"/>
    <col min="32" max="32" bestFit="true" customWidth="true" width="14.28515625"/>
    <col min="40" max="40" bestFit="true" customWidth="true" width="11.85546875"/>
    <col min="62" max="62" bestFit="true" customWidth="true" width="41.140625"/>
    <col min="63" max="63" bestFit="true" customWidth="true" width="37.0"/>
    <col min="64" max="64" bestFit="true" customWidth="true" width="18.85546875"/>
    <col min="65" max="65" bestFit="true" customWidth="true" width="34.42578125"/>
  </cols>
  <sheetData>
    <row r="1" spans="1:42" ht="18">
      <c r="A1" s="113" t="s">
        <v>145</v>
      </c>
      <c r="B1" s="113"/>
      <c r="C1" s="113"/>
      <c r="D1" s="113"/>
      <c r="E1" s="113"/>
      <c r="F1" s="113"/>
      <c r="G1" s="113"/>
      <c r="H1" s="113"/>
      <c r="I1" s="113"/>
      <c r="J1" s="113"/>
      <c r="K1" s="113"/>
      <c r="L1" s="113"/>
      <c r="M1" s="113"/>
      <c r="N1" s="113"/>
      <c r="O1" s="113"/>
      <c r="P1" s="113"/>
      <c r="Q1" s="113"/>
      <c r="R1" s="113"/>
      <c r="S1" s="113"/>
      <c r="T1" s="113"/>
      <c r="U1" s="113"/>
      <c r="V1" s="113"/>
      <c r="W1" s="113"/>
      <c r="X1" s="113"/>
      <c r="Y1" s="113"/>
      <c r="Z1" s="113"/>
      <c r="AA1" s="86"/>
      <c r="AB1" s="86"/>
      <c r="AC1" s="86"/>
      <c r="AD1" s="86"/>
      <c r="AE1" s="86"/>
      <c r="AF1" s="86"/>
      <c r="AG1" s="86"/>
      <c r="AH1" s="86"/>
      <c r="AI1" s="86"/>
      <c r="AJ1" s="86"/>
      <c r="AK1" s="86"/>
      <c r="AL1" s="86"/>
      <c r="AM1" s="86"/>
      <c r="AN1" s="86"/>
      <c r="AO1" s="13"/>
      <c r="AP1" s="13"/>
    </row>
    <row r="2" spans="1:42" ht="18.75" thickBot="1">
      <c r="A2" s="86" t="s">
        <v>146</v>
      </c>
      <c r="B2" s="86"/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  <c r="AD2" s="86"/>
      <c r="AE2" s="86"/>
      <c r="AF2" s="86"/>
      <c r="AG2" s="86"/>
      <c r="AH2" s="86"/>
      <c r="AI2" s="86"/>
      <c r="AJ2" s="86"/>
      <c r="AK2" s="86"/>
      <c r="AL2" s="86"/>
      <c r="AM2" s="86"/>
      <c r="AN2" s="86"/>
      <c r="AO2" s="13"/>
      <c r="AP2" s="13"/>
    </row>
    <row r="3" spans="1:42" ht="15.75" thickTop="1">
      <c r="A3" s="8" t="s">
        <v>46</v>
      </c>
      <c r="B3" s="9" t="s">
        <v>47</v>
      </c>
      <c r="C3" s="10" t="s">
        <v>48</v>
      </c>
      <c r="D3" s="9" t="s">
        <v>49</v>
      </c>
      <c r="E3" s="9" t="s">
        <v>50</v>
      </c>
      <c r="F3" s="9" t="s">
        <v>51</v>
      </c>
      <c r="G3" s="9" t="s">
        <v>52</v>
      </c>
      <c r="H3" s="11" t="s">
        <v>53</v>
      </c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3"/>
    </row>
    <row r="4" spans="1:42">
      <c r="A4" s="14">
        <v>1</v>
      </c>
      <c r="B4" s="15" t="s">
        <v>54</v>
      </c>
      <c r="C4" s="15" t="s">
        <v>55</v>
      </c>
      <c r="D4" s="15" t="s">
        <v>56</v>
      </c>
      <c r="E4" s="15" t="s">
        <v>56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20"/>
      <c r="Z4" s="20"/>
      <c r="AA4" s="20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13"/>
    </row>
    <row r="5" spans="1:42">
      <c r="A5" s="14">
        <v>2</v>
      </c>
      <c r="B5" s="15" t="s">
        <v>57</v>
      </c>
      <c r="C5" s="15" t="s">
        <v>58</v>
      </c>
      <c r="D5" s="15" t="s">
        <v>56</v>
      </c>
      <c r="E5" s="15" t="s">
        <v>56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13"/>
    </row>
    <row r="6" spans="1:42">
      <c r="A6" s="14">
        <v>3</v>
      </c>
      <c r="B6" s="15" t="s">
        <v>59</v>
      </c>
      <c r="C6" s="15" t="s">
        <v>60</v>
      </c>
      <c r="D6" s="15" t="s">
        <v>56</v>
      </c>
      <c r="E6" s="15" t="s">
        <v>56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20"/>
      <c r="Z6" s="20"/>
      <c r="AA6" s="20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13"/>
    </row>
    <row r="7" spans="1:42">
      <c r="A7" s="14">
        <v>4</v>
      </c>
      <c r="B7" s="15" t="s">
        <v>61</v>
      </c>
      <c r="C7" s="15" t="s">
        <v>62</v>
      </c>
      <c r="D7" s="15" t="s">
        <v>56</v>
      </c>
      <c r="E7" s="15" t="s">
        <v>56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20"/>
      <c r="Z7" s="20"/>
      <c r="AA7" s="20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13"/>
    </row>
    <row r="8" spans="1:42">
      <c r="A8" s="14">
        <v>5</v>
      </c>
      <c r="B8" s="15" t="s">
        <v>63</v>
      </c>
      <c r="C8" s="15" t="s">
        <v>64</v>
      </c>
      <c r="D8" s="15" t="s">
        <v>56</v>
      </c>
      <c r="E8" s="15" t="s">
        <v>56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13"/>
    </row>
    <row r="9" spans="1:42">
      <c r="A9" s="14">
        <v>6</v>
      </c>
      <c r="B9" s="15" t="s">
        <v>65</v>
      </c>
      <c r="C9" s="15" t="s">
        <v>66</v>
      </c>
      <c r="D9" s="15" t="s">
        <v>56</v>
      </c>
      <c r="E9" s="15" t="s">
        <v>56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20"/>
      <c r="Z9" s="20"/>
      <c r="AA9" s="20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13"/>
    </row>
    <row r="10" spans="1:42">
      <c r="A10" s="14">
        <v>7</v>
      </c>
      <c r="B10" s="15" t="s">
        <v>67</v>
      </c>
      <c r="C10" s="15" t="s">
        <v>68</v>
      </c>
      <c r="D10" s="15" t="s">
        <v>56</v>
      </c>
      <c r="E10" s="15" t="s">
        <v>56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20"/>
      <c r="Z10" s="20"/>
      <c r="AA10" s="20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13"/>
    </row>
    <row r="11" spans="1:42">
      <c r="A11" s="14">
        <v>8</v>
      </c>
      <c r="B11" s="15" t="s">
        <v>69</v>
      </c>
      <c r="C11" s="15" t="s">
        <v>70</v>
      </c>
      <c r="D11" s="15" t="s">
        <v>56</v>
      </c>
      <c r="E11" s="15" t="s">
        <v>56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13"/>
    </row>
    <row r="12" spans="1:42">
      <c r="A12" s="14">
        <v>9</v>
      </c>
      <c r="B12" s="15" t="s">
        <v>71</v>
      </c>
      <c r="C12" s="15" t="s">
        <v>72</v>
      </c>
      <c r="D12" s="15" t="s">
        <v>56</v>
      </c>
      <c r="E12" s="15" t="s">
        <v>56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13"/>
    </row>
    <row r="13" spans="1:42">
      <c r="A13" s="14">
        <v>10</v>
      </c>
      <c r="B13" s="15" t="s">
        <v>73</v>
      </c>
      <c r="C13" s="15" t="s">
        <v>74</v>
      </c>
      <c r="D13" s="15" t="s">
        <v>56</v>
      </c>
      <c r="E13" s="15" t="s">
        <v>56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20"/>
      <c r="Z13" s="20"/>
      <c r="AA13" s="20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13"/>
    </row>
    <row r="14" spans="1:42">
      <c r="A14" s="14">
        <v>11</v>
      </c>
      <c r="B14" s="15" t="s">
        <v>75</v>
      </c>
      <c r="C14" s="15" t="s">
        <v>76</v>
      </c>
      <c r="D14" s="15" t="s">
        <v>56</v>
      </c>
      <c r="E14" s="15" t="s">
        <v>56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13"/>
    </row>
    <row r="15" spans="1:42">
      <c r="A15" s="14">
        <v>12</v>
      </c>
      <c r="B15" s="15" t="s">
        <v>77</v>
      </c>
      <c r="C15" s="15" t="s">
        <v>78</v>
      </c>
      <c r="D15" s="15" t="s">
        <v>56</v>
      </c>
      <c r="E15" s="15" t="s">
        <v>56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20"/>
      <c r="Z15" s="20"/>
      <c r="AA15" s="20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13"/>
    </row>
    <row r="16" spans="1:42">
      <c r="A16" s="14">
        <v>13</v>
      </c>
      <c r="B16" s="15" t="s">
        <v>79</v>
      </c>
      <c r="C16" s="15" t="s">
        <v>80</v>
      </c>
      <c r="D16" s="15" t="s">
        <v>56</v>
      </c>
      <c r="E16" s="15" t="s">
        <v>56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20"/>
      <c r="Z16" s="20"/>
      <c r="AA16" s="20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13"/>
    </row>
    <row r="17" spans="1:65">
      <c r="A17" s="14">
        <v>14</v>
      </c>
      <c r="B17" s="15" t="s">
        <v>81</v>
      </c>
      <c r="C17" s="15" t="s">
        <v>82</v>
      </c>
      <c r="D17" s="15" t="s">
        <v>56</v>
      </c>
      <c r="E17" s="15" t="s">
        <v>56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80">
        <v>5858.27</v>
      </c>
      <c r="T17" s="20"/>
      <c r="U17" s="19"/>
      <c r="V17" s="19"/>
      <c r="W17" s="19"/>
      <c r="X17" s="19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13"/>
    </row>
    <row r="18" spans="1:65" ht="15.75" thickBot="1">
      <c r="A18" s="21">
        <v>15</v>
      </c>
      <c r="B18" s="22" t="s">
        <v>83</v>
      </c>
      <c r="C18" s="22" t="s">
        <v>84</v>
      </c>
      <c r="D18" s="22" t="s">
        <v>56</v>
      </c>
      <c r="E18" s="22" t="s">
        <v>56</v>
      </c>
      <c r="F18" s="23">
        <v>85</v>
      </c>
      <c r="G18" s="24">
        <v>65.48</v>
      </c>
      <c r="H18" s="25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20"/>
      <c r="Z18" s="20"/>
      <c r="AA18" s="20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13"/>
    </row>
    <row r="19" spans="1:65" ht="15.75" thickTop="1">
      <c r="A19" s="13"/>
      <c r="B19" s="114" t="s">
        <v>85</v>
      </c>
      <c r="C19" s="114"/>
      <c r="D19" s="114"/>
      <c r="E19" s="114"/>
      <c r="F19" s="114"/>
      <c r="G19" s="114"/>
      <c r="H19" s="26">
        <f>SUM(H4:H18)</f>
        <v>71856.759999999995</v>
      </c>
      <c r="I19" s="27"/>
      <c r="J19" s="27"/>
      <c r="K19" s="27"/>
      <c r="L19" s="27"/>
      <c r="M19" s="27"/>
      <c r="N19" s="27"/>
      <c r="O19" s="27"/>
      <c r="P19" s="27"/>
      <c r="Q19" s="27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  <c r="AO19" s="28"/>
      <c r="AP19" s="13"/>
    </row>
    <row r="20" spans="1:65">
      <c r="A20" s="28" t="s">
        <v>86</v>
      </c>
      <c r="B20" s="29"/>
      <c r="C20" s="29"/>
      <c r="D20" s="29"/>
      <c r="E20" s="29"/>
      <c r="F20" s="29"/>
      <c r="G20" s="29"/>
      <c r="H20" s="28"/>
      <c r="I20" s="30"/>
      <c r="J20" s="30"/>
      <c r="K20" s="30"/>
      <c r="L20" s="30"/>
      <c r="M20" s="30"/>
      <c r="N20" s="30"/>
      <c r="O20" s="30"/>
      <c r="P20" s="30"/>
      <c r="Q20" s="30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  <c r="AO20" s="28"/>
      <c r="AP20" s="13"/>
    </row>
    <row r="21" spans="1:65" ht="15.75" thickBot="1">
      <c r="A21" s="115" t="s">
        <v>87</v>
      </c>
      <c r="B21" s="115"/>
      <c r="C21" s="12">
        <v>2</v>
      </c>
      <c r="D21" s="31" t="s">
        <v>88</v>
      </c>
      <c r="E21" s="29"/>
      <c r="F21" s="29"/>
      <c r="G21" s="29"/>
      <c r="H21" s="28"/>
      <c r="I21" s="30" t="s">
        <v>89</v>
      </c>
      <c r="J21" s="30" t="s">
        <v>90</v>
      </c>
      <c r="K21" s="30"/>
      <c r="L21" s="30" t="s">
        <v>91</v>
      </c>
      <c r="M21" s="30">
        <v>1</v>
      </c>
      <c r="N21" s="30"/>
      <c r="O21" s="30" t="s">
        <v>92</v>
      </c>
      <c r="P21" s="30">
        <v>1</v>
      </c>
      <c r="Q21" s="30" t="s">
        <v>93</v>
      </c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  <c r="AO21" s="28"/>
      <c r="AP21" s="13"/>
    </row>
    <row r="22" spans="1:65" ht="58.5" thickTop="1" thickBot="1">
      <c r="A22" s="32" t="s">
        <v>46</v>
      </c>
      <c r="B22" s="32" t="s">
        <v>47</v>
      </c>
      <c r="C22" s="33" t="s">
        <v>48</v>
      </c>
      <c r="D22" s="32" t="s">
        <v>49</v>
      </c>
      <c r="E22" s="32" t="s">
        <v>50</v>
      </c>
      <c r="F22" s="34" t="s">
        <v>94</v>
      </c>
      <c r="G22" s="32" t="s">
        <v>52</v>
      </c>
      <c r="H22" s="32" t="s">
        <v>53</v>
      </c>
      <c r="I22" s="35" t="s">
        <v>95</v>
      </c>
      <c r="J22" s="35" t="s">
        <v>96</v>
      </c>
      <c r="K22" s="35" t="s">
        <v>97</v>
      </c>
      <c r="L22" s="36" t="s">
        <v>98</v>
      </c>
      <c r="M22" s="36" t="s">
        <v>99</v>
      </c>
      <c r="N22" s="36" t="s">
        <v>100</v>
      </c>
      <c r="O22" s="36" t="s">
        <v>101</v>
      </c>
      <c r="P22" s="36" t="s">
        <v>102</v>
      </c>
      <c r="Q22" s="36" t="s">
        <v>103</v>
      </c>
      <c r="R22" s="35" t="s">
        <v>104</v>
      </c>
      <c r="S22" s="32" t="s">
        <v>105</v>
      </c>
      <c r="T22" s="32" t="s">
        <v>106</v>
      </c>
      <c r="U22" s="37" t="s">
        <v>107</v>
      </c>
      <c r="V22" s="37" t="s">
        <v>108</v>
      </c>
      <c r="W22" s="37" t="s">
        <v>109</v>
      </c>
      <c r="X22" s="37" t="s">
        <v>110</v>
      </c>
      <c r="Y22" s="37" t="s">
        <v>111</v>
      </c>
      <c r="Z22" s="38" t="s">
        <v>112</v>
      </c>
      <c r="AA22" s="38" t="s">
        <v>113</v>
      </c>
      <c r="AB22" s="39" t="s">
        <v>114</v>
      </c>
      <c r="AC22" s="39" t="s">
        <v>115</v>
      </c>
      <c r="AD22" s="39" t="s">
        <v>116</v>
      </c>
      <c r="AE22" s="38" t="s">
        <v>117</v>
      </c>
      <c r="AF22" s="38" t="s">
        <v>118</v>
      </c>
      <c r="AG22" s="39" t="s">
        <v>119</v>
      </c>
      <c r="AH22" s="39" t="s">
        <v>120</v>
      </c>
      <c r="AI22" s="38" t="s">
        <v>121</v>
      </c>
      <c r="AJ22" s="38" t="s">
        <v>122</v>
      </c>
      <c r="AK22" s="39" t="s">
        <v>123</v>
      </c>
      <c r="AL22" s="39" t="s">
        <v>124</v>
      </c>
      <c r="AM22" s="39" t="s">
        <v>125</v>
      </c>
      <c r="AN22" s="38" t="s">
        <v>126</v>
      </c>
      <c r="AO22" s="40" t="s">
        <v>127</v>
      </c>
      <c r="AP22" s="9" t="s">
        <v>240</v>
      </c>
      <c r="AQ22" s="9" t="s">
        <v>126</v>
      </c>
      <c r="AR22" s="56" t="s">
        <v>131</v>
      </c>
      <c r="AS22" s="56" t="s">
        <v>132</v>
      </c>
      <c r="AT22" s="56" t="s">
        <v>133</v>
      </c>
      <c r="AU22" s="56" t="s">
        <v>134</v>
      </c>
      <c r="AV22" s="56" t="s">
        <v>135</v>
      </c>
      <c r="AW22" s="56" t="s">
        <v>136</v>
      </c>
      <c r="AX22" s="56" t="s">
        <v>137</v>
      </c>
      <c r="AY22" s="56" t="s">
        <v>138</v>
      </c>
      <c r="AZ22" s="84" t="s">
        <v>207</v>
      </c>
      <c r="BA22" s="84" t="s">
        <v>8</v>
      </c>
      <c r="BB22" s="84" t="s">
        <v>9</v>
      </c>
      <c r="BC22" s="56" t="s">
        <v>228</v>
      </c>
      <c r="BD22" s="56" t="s">
        <v>139</v>
      </c>
      <c r="BE22" s="56" t="s">
        <v>140</v>
      </c>
      <c r="BF22" s="56" t="s">
        <v>141</v>
      </c>
      <c r="BG22" s="56" t="s">
        <v>142</v>
      </c>
      <c r="BH22" s="56" t="s">
        <v>143</v>
      </c>
      <c r="BI22" s="56" t="s">
        <v>241</v>
      </c>
      <c r="BJ22" s="96" t="s">
        <v>247</v>
      </c>
      <c r="BK22" s="56" t="s">
        <v>248</v>
      </c>
      <c r="BL22" s="56" t="s">
        <v>136</v>
      </c>
      <c r="BM22" s="97" t="s">
        <v>256</v>
      </c>
    </row>
    <row r="23" spans="1:65" ht="15.75" thickBot="1">
      <c r="A23" s="41">
        <v>1</v>
      </c>
      <c r="B23" s="41" t="s">
        <v>215</v>
      </c>
      <c r="C23" s="41" t="s">
        <v>55</v>
      </c>
      <c r="D23" s="41" t="s">
        <v>56</v>
      </c>
      <c r="E23" s="41" t="s">
        <v>56</v>
      </c>
      <c r="F23" s="76">
        <v>2</v>
      </c>
      <c r="G23" t="s" s="0">
        <v>283</v>
      </c>
      <c r="H23" s="76">
        <f>F23*G23</f>
        <v>80</v>
      </c>
      <c r="I23" t="s" s="0">
        <v>224</v>
      </c>
      <c r="J23" s="76">
        <v>1.79</v>
      </c>
      <c r="K23" s="76">
        <v>2.5</v>
      </c>
      <c r="L23" s="76">
        <f>H23</f>
        <v>80</v>
      </c>
      <c r="M23" s="76">
        <f>ROUND(L23*I23%,2)</f>
        <v>1.77</v>
      </c>
      <c r="N23" s="76">
        <f>H23-M23</f>
        <v>78.23</v>
      </c>
      <c r="O23" s="76">
        <f>ROUND(N23*J23%,2)</f>
        <v>1.4</v>
      </c>
      <c r="P23" s="76">
        <f>ROUND(N23-O23,2)</f>
        <v>76.83</v>
      </c>
      <c r="Q23" s="76">
        <f>ROUND(P23*K23%,2)</f>
        <v>1.92</v>
      </c>
      <c r="R23" s="76">
        <f>M23+O23+Q23</f>
        <v>5.09</v>
      </c>
      <c r="S23" s="76">
        <f>(H23-R23)</f>
        <v>74.91</v>
      </c>
      <c r="T23" s="76" t="s">
        <v>128</v>
      </c>
      <c r="U23" s="76">
        <v>0.18</v>
      </c>
      <c r="V23" s="76">
        <f>IF($C$21=1,ROUND(((S23*U23)/2),2),0)</f>
        <v>0</v>
      </c>
      <c r="W23" s="76">
        <f>IF($C$21=1,ROUND(((S23*U23)/2),2),0)</f>
        <v>0</v>
      </c>
      <c r="X23" s="76">
        <f>IF($C$21=2,ROUND(((S23*U23)),2),0)</f>
        <v>13.48</v>
      </c>
      <c r="Y23" s="76">
        <f>V23+W23+X23</f>
        <v>13.48</v>
      </c>
      <c r="Z23" s="76">
        <f t="shared" ref="Z23:Z24" si="1">S23+Y23</f>
        <v>88.39</v>
      </c>
      <c r="AA23" s="76">
        <v>120</v>
      </c>
      <c r="AB23" s="76">
        <f>IF($P$21=1,(S23/$S$25)*$E$36,AA23/$AA$25*$E$36)</f>
        <v>0</v>
      </c>
      <c r="AC23" s="76"/>
      <c r="AD23" s="76">
        <f>IF($P$21=1,(S23/$S$25)*$E$38,AA23/$AA$25*$E$38)</f>
        <v>0</v>
      </c>
      <c r="AE23" s="76">
        <f>IF($P$21=1,(S23/$S$25)*$E$38,AA23/$AA$25*$E$38)</f>
        <v>0</v>
      </c>
      <c r="AF23" s="76">
        <f t="shared" ref="AF23:AF24" si="2">S23*$M$21</f>
        <v>74.91</v>
      </c>
      <c r="AG23" s="76">
        <f t="shared" ref="AG23:AG24" si="3">IF($C$21=3,0,AD23+AE23)</f>
        <v>0</v>
      </c>
      <c r="AH23" s="76">
        <f t="shared" ref="AH23:AH24" si="4">IF($C$21=3,AB23+AD23+AE23,0)</f>
        <v>0</v>
      </c>
      <c r="AI23" s="76">
        <v>1</v>
      </c>
      <c r="AJ23" s="76">
        <f t="shared" ref="AJ23:AJ24" si="5">F23/AI23</f>
        <v>2</v>
      </c>
      <c r="AK23" s="76">
        <f>AF23/AJ23</f>
        <v>37.454999999999998</v>
      </c>
      <c r="AL23" s="76">
        <f>AG23/AJ23</f>
        <v>0</v>
      </c>
      <c r="AM23" s="76">
        <f>AH23/AJ23</f>
        <v>0</v>
      </c>
      <c r="AN23" s="76" t="s">
        <v>56</v>
      </c>
      <c r="AO23" s="76">
        <f>AK23+AL23+AM23</f>
        <v>37.454999999999998</v>
      </c>
      <c r="AP23" s="88" t="s">
        <v>272</v>
      </c>
      <c r="AQ23" s="88" t="s">
        <v>56</v>
      </c>
      <c r="AR23" t="s" s="0">
        <v>249</v>
      </c>
      <c r="AS23" t="s" s="0">
        <v>279</v>
      </c>
      <c r="AT23" s="88">
        <f>AJ23</f>
        <v>2</v>
      </c>
      <c r="AU23" s="88">
        <f>AO23</f>
        <v>37.454999999999998</v>
      </c>
      <c r="AV23" s="88">
        <f>AR23+AT23</f>
        <v>2</v>
      </c>
      <c r="AW23" s="88">
        <f>ROUND(((AR23*AS23)+(AT23*AU23))/(AR23+AT23),5)</f>
        <v>37.454999999999998</v>
      </c>
      <c r="AX23" s="99"/>
      <c r="AY23" s="99" t="s">
        <v>144</v>
      </c>
      <c r="AZ23" s="101" t="s">
        <v>27</v>
      </c>
      <c r="BA23" s="101" t="s">
        <v>24</v>
      </c>
      <c r="BB23" s="101" t="s">
        <v>28</v>
      </c>
      <c r="BC23" s="99"/>
      <c r="BD23" s="99"/>
      <c r="BE23" s="99"/>
      <c r="BF23" s="88"/>
      <c r="BG23" s="88"/>
      <c r="BH23" s="88"/>
      <c r="BI23" s="104" t="s">
        <v>274</v>
      </c>
      <c r="BJ23" t="s" s="0">
        <v>279</v>
      </c>
      <c r="BK23" t="s" s="0">
        <v>281</v>
      </c>
      <c r="BL23" s="88">
        <f>ROUND((((AT23*AW23)+(BK23*BJ23))/(AT23+BK23)),5)</f>
        <v>449.22874999999999</v>
      </c>
      <c r="BM23" s="54">
        <f>BK23+AT23</f>
        <v>102</v>
      </c>
    </row>
    <row r="24" spans="1:65" ht="15.75" thickBot="1">
      <c r="A24" s="41">
        <v>2</v>
      </c>
      <c r="B24" s="41" t="s">
        <v>216</v>
      </c>
      <c r="C24" s="41" t="s">
        <v>58</v>
      </c>
      <c r="D24" s="41" t="s">
        <v>56</v>
      </c>
      <c r="E24" s="41" t="s">
        <v>56</v>
      </c>
      <c r="F24" s="76">
        <v>3</v>
      </c>
      <c r="G24" t="s" s="0">
        <v>284</v>
      </c>
      <c r="H24" s="76">
        <f t="shared" ref="H24" si="6">F24*G24</f>
        <v>60</v>
      </c>
      <c r="I24" t="s" s="0">
        <v>218</v>
      </c>
      <c r="J24" s="76">
        <v>1.68</v>
      </c>
      <c r="K24" s="76">
        <v>2.5</v>
      </c>
      <c r="L24" s="76">
        <f>H24</f>
        <v>60</v>
      </c>
      <c r="M24" s="76">
        <f>ROUND(L24*I24%,2)</f>
        <v>0.75</v>
      </c>
      <c r="N24" s="76">
        <f t="shared" ref="N24" si="7">H24-M24</f>
        <v>59.25</v>
      </c>
      <c r="O24" s="76">
        <f t="shared" ref="O24" si="8">ROUND(N24*J24%,2)</f>
        <v>1</v>
      </c>
      <c r="P24" s="76">
        <f t="shared" ref="P24" si="9">ROUND(N24-O24,2)</f>
        <v>58.25</v>
      </c>
      <c r="Q24" s="76">
        <f t="shared" ref="Q24" si="10">ROUND(P24*K24%,2)</f>
        <v>1.46</v>
      </c>
      <c r="R24" s="76">
        <f t="shared" ref="R24" si="11">M24+O24+Q24</f>
        <v>3.21</v>
      </c>
      <c r="S24" s="76">
        <f t="shared" ref="S24" si="12">(H24-R24)</f>
        <v>56.79</v>
      </c>
      <c r="T24" s="76" t="s">
        <v>128</v>
      </c>
      <c r="U24" s="76">
        <v>0.18</v>
      </c>
      <c r="V24" s="76">
        <f t="shared" ref="V24" si="13">IF($C$21=1,ROUND(((S24*U24)/2),2),0)</f>
        <v>0</v>
      </c>
      <c r="W24" s="76">
        <f t="shared" ref="W24" si="14">IF($C$21=1,ROUND(((S24*U24)/2),2),0)</f>
        <v>0</v>
      </c>
      <c r="X24" s="76">
        <f t="shared" ref="X24" si="15">IF($C$21=2,ROUND(((S24*U24)),2),0)</f>
        <v>10.220000000000001</v>
      </c>
      <c r="Y24" s="76">
        <f t="shared" ref="Y24" si="16">V24+W24+X24</f>
        <v>10.220000000000001</v>
      </c>
      <c r="Z24" s="76">
        <f t="shared" si="1"/>
        <v>67.010000000000005</v>
      </c>
      <c r="AA24" s="76">
        <v>200</v>
      </c>
      <c r="AB24" s="76">
        <f>IF($P$21=1,(S24/$S$25)*$E$36,AA24/$AA$25*$E$36)</f>
        <v>0</v>
      </c>
      <c r="AC24" s="76"/>
      <c r="AD24" s="76">
        <f>IF($P$21=1,(S24/$S$25)*$E$38,AA24/$AA$25*$E$38)</f>
        <v>0</v>
      </c>
      <c r="AE24" s="76">
        <f>IF($P$21=1,(S24/$S$25)*$E$38,AA24/$AA$25*$E$38)</f>
        <v>0</v>
      </c>
      <c r="AF24" s="76">
        <f t="shared" si="2"/>
        <v>56.79</v>
      </c>
      <c r="AG24" s="76">
        <f t="shared" si="3"/>
        <v>0</v>
      </c>
      <c r="AH24" s="76">
        <f t="shared" si="4"/>
        <v>0</v>
      </c>
      <c r="AI24" s="76">
        <v>1</v>
      </c>
      <c r="AJ24" s="76">
        <f t="shared" si="5"/>
        <v>3</v>
      </c>
      <c r="AK24" s="76">
        <f t="shared" ref="AK24" si="17">AF24/AJ24</f>
        <v>18.93</v>
      </c>
      <c r="AL24" s="76">
        <f t="shared" ref="AL24" si="18">AG24/AJ24</f>
        <v>0</v>
      </c>
      <c r="AM24" s="76">
        <f t="shared" ref="AM24" si="19">AH24/AJ24</f>
        <v>0</v>
      </c>
      <c r="AN24" s="76" t="s">
        <v>56</v>
      </c>
      <c r="AO24" s="76">
        <f t="shared" ref="AO24" si="20">AK24+AL24+AM24</f>
        <v>18.93</v>
      </c>
      <c r="AP24" s="88" t="s">
        <v>272</v>
      </c>
      <c r="AQ24" s="88" t="s">
        <v>56</v>
      </c>
      <c r="AR24" t="s" s="0">
        <v>249</v>
      </c>
      <c r="AS24" t="s" s="0">
        <v>280</v>
      </c>
      <c r="AT24" s="88">
        <f t="shared" ref="AT24" si="21">AJ24</f>
        <v>3</v>
      </c>
      <c r="AU24" s="88">
        <f>AO24</f>
        <v>18.93</v>
      </c>
      <c r="AV24" s="88">
        <f t="shared" ref="AV24" si="22">AR24+AT24</f>
        <v>3</v>
      </c>
      <c r="AW24" s="88">
        <f>ROUND(((AR24*AS24)+(AT24*AU24))/(AR24+AT24),5)</f>
        <v>18.93</v>
      </c>
      <c r="AX24" s="99"/>
      <c r="AY24" s="99"/>
      <c r="AZ24" s="101" t="s">
        <v>27</v>
      </c>
      <c r="BA24" s="100" t="s">
        <v>234</v>
      </c>
      <c r="BB24" s="100"/>
      <c r="BC24" s="99"/>
      <c r="BD24" s="99"/>
      <c r="BE24" s="99"/>
      <c r="BF24" s="88"/>
      <c r="BG24" s="88"/>
      <c r="BH24" s="88"/>
      <c r="BI24" s="104" t="s">
        <v>274</v>
      </c>
      <c r="BJ24" t="s" s="0">
        <v>280</v>
      </c>
      <c r="BK24" t="s" s="0">
        <v>282</v>
      </c>
      <c r="BL24" s="88">
        <f>ROUND((((AT24*AW24)+(BK24*BJ24))/(AT24+BK24)),5)</f>
        <v>336.85324000000003</v>
      </c>
      <c r="BM24" s="54">
        <f t="shared" ref="BM24" si="23">BK24+AT24</f>
        <v>92.6</v>
      </c>
    </row>
    <row r="25" spans="1:65" ht="15.75" thickBot="1">
      <c r="A25" s="13"/>
      <c r="B25" s="79"/>
      <c r="C25" s="79"/>
      <c r="D25" s="77" t="s">
        <v>85</v>
      </c>
      <c r="E25" s="77"/>
      <c r="F25" s="77"/>
      <c r="G25" s="78"/>
      <c r="H25" s="45">
        <f>SUM(H23:H24)</f>
        <v>140</v>
      </c>
      <c r="I25" s="41"/>
      <c r="J25" s="41"/>
      <c r="K25" s="41"/>
      <c r="L25" s="41"/>
      <c r="M25" s="41"/>
      <c r="N25" s="41"/>
      <c r="O25" s="41"/>
      <c r="P25" s="41"/>
      <c r="Q25" s="41"/>
      <c r="R25" s="45">
        <f>SUM(R23:R24)</f>
        <v>8.3000000000000007</v>
      </c>
      <c r="S25" s="81">
        <f>SUM(S23:S24)</f>
        <v>131.69999999999999</v>
      </c>
      <c r="T25" s="45"/>
      <c r="U25" s="45"/>
      <c r="V25" s="46">
        <f t="shared" ref="V25:AB25" si="24">SUM(V23:V24)</f>
        <v>0</v>
      </c>
      <c r="W25" s="46">
        <f t="shared" si="24"/>
        <v>0</v>
      </c>
      <c r="X25" s="46">
        <f t="shared" si="24"/>
        <v>23.700000000000003</v>
      </c>
      <c r="Y25" s="45">
        <f t="shared" si="24"/>
        <v>23.700000000000003</v>
      </c>
      <c r="Z25" s="47">
        <f t="shared" si="24"/>
        <v>155.4</v>
      </c>
      <c r="AA25" s="48">
        <f t="shared" si="24"/>
        <v>320</v>
      </c>
      <c r="AB25" s="48">
        <f t="shared" si="24"/>
        <v>0</v>
      </c>
      <c r="AC25" s="47"/>
      <c r="AD25" s="48">
        <f>SUM(AD23:AD24)</f>
        <v>0</v>
      </c>
      <c r="AE25" s="48">
        <f>SUM(AE23:AE24)</f>
        <v>0</v>
      </c>
      <c r="AF25" s="48">
        <f>SUM(AF23:AF24)</f>
        <v>131.69999999999999</v>
      </c>
      <c r="AG25" s="48">
        <f>SUM(AG23:AG24)</f>
        <v>0</v>
      </c>
      <c r="AH25" s="48">
        <f>SUM(AH23:AH24)</f>
        <v>0</v>
      </c>
      <c r="AI25" s="47"/>
      <c r="AJ25" s="47"/>
      <c r="AK25" s="47"/>
      <c r="AL25" s="47"/>
      <c r="AM25" s="47"/>
      <c r="AN25" s="47"/>
      <c r="AO25" s="47"/>
    </row>
  </sheetData>
  <mergeCells count="3">
    <mergeCell ref="A1:Z1"/>
    <mergeCell ref="B19:G19"/>
    <mergeCell ref="A21:B21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BM40"/>
  <sheetViews>
    <sheetView topLeftCell="A16" workbookViewId="0">
      <selection activeCell="A24" sqref="A24"/>
    </sheetView>
  </sheetViews>
  <sheetFormatPr defaultRowHeight="15"/>
  <cols>
    <col min="2" max="2" bestFit="true" customWidth="true" width="23.5703125"/>
    <col min="11" max="11" bestFit="true" customWidth="true" width="6.140625"/>
    <col min="32" max="32" bestFit="true" customWidth="true" width="14.28515625"/>
    <col min="33" max="33" bestFit="true" customWidth="true" width="17.5703125"/>
    <col min="42" max="42" bestFit="true" customWidth="true" width="9.42578125"/>
    <col min="44" max="44" bestFit="true" customWidth="true" width="15.28515625"/>
    <col min="45" max="45" bestFit="true" customWidth="true" width="20.28515625"/>
    <col min="48" max="48" bestFit="true" customWidth="true" width="13.85546875"/>
    <col min="49" max="49" bestFit="true" customWidth="true" width="18.85546875"/>
    <col min="51" max="51" bestFit="true" customWidth="true" width="21.7109375"/>
    <col min="52" max="54" customWidth="true" width="21.7109375"/>
    <col min="55" max="55" bestFit="true" customWidth="true" width="16.5703125"/>
    <col min="56" max="56" bestFit="true" customWidth="true" width="13.7109375"/>
    <col min="57" max="57" bestFit="true" customWidth="true" width="12.42578125"/>
    <col min="60" max="60" bestFit="true" customWidth="true" width="30.5703125"/>
    <col min="62" max="62" bestFit="true" customWidth="true" width="41.140625"/>
    <col min="63" max="63" bestFit="true" customWidth="true" width="37.0"/>
    <col min="64" max="64" bestFit="true" customWidth="true" width="18.85546875"/>
    <col min="65" max="65" bestFit="true" customWidth="true" width="34.42578125"/>
  </cols>
  <sheetData>
    <row r="1" spans="1:64" ht="18.75" thickBot="1">
      <c r="A1" s="120" t="s">
        <v>147</v>
      </c>
      <c r="B1" s="120"/>
      <c r="C1" s="120"/>
      <c r="D1" s="120"/>
      <c r="E1" s="120"/>
      <c r="F1" s="120"/>
      <c r="G1" s="120"/>
      <c r="H1" s="120"/>
      <c r="I1" s="120"/>
      <c r="J1" s="120"/>
      <c r="K1" s="120"/>
      <c r="L1" s="120"/>
      <c r="M1" s="120"/>
      <c r="N1" s="120"/>
      <c r="O1" s="120"/>
      <c r="P1" s="120"/>
      <c r="Q1" s="120"/>
      <c r="R1" s="120"/>
      <c r="S1" s="120"/>
      <c r="T1" s="120"/>
      <c r="U1" s="120"/>
      <c r="V1" s="120"/>
      <c r="W1" s="120"/>
      <c r="X1" s="120"/>
      <c r="Y1" s="120"/>
      <c r="Z1" s="120"/>
      <c r="AA1" s="92"/>
      <c r="AB1" s="92"/>
      <c r="AC1" s="92"/>
      <c r="AD1" s="92"/>
      <c r="AE1" s="92"/>
      <c r="AF1" s="92"/>
      <c r="AG1" s="92"/>
      <c r="AH1" s="92"/>
      <c r="AI1" s="92"/>
      <c r="AJ1" s="92"/>
      <c r="AK1" s="92"/>
      <c r="AL1" s="92"/>
      <c r="AM1" s="92"/>
      <c r="AN1" s="92"/>
      <c r="AO1" s="13"/>
      <c r="AP1" s="13"/>
      <c r="AQ1" s="13"/>
      <c r="AR1" s="13"/>
      <c r="AS1" s="13"/>
      <c r="AT1" s="13"/>
      <c r="AU1" s="13"/>
      <c r="AV1" s="13"/>
      <c r="AW1" s="13"/>
      <c r="AX1" s="13"/>
      <c r="AY1" s="13"/>
      <c r="AZ1" s="13"/>
      <c r="BA1" s="13"/>
      <c r="BB1" s="13"/>
      <c r="BC1" s="13"/>
      <c r="BD1" s="13"/>
      <c r="BE1" s="13"/>
      <c r="BF1" s="13"/>
      <c r="BG1" s="13"/>
      <c r="BH1" s="13"/>
      <c r="BI1" s="13"/>
      <c r="BJ1" s="13"/>
      <c r="BK1" s="13"/>
      <c r="BL1" s="13"/>
    </row>
    <row r="2" spans="1:64" ht="18.75" thickBot="1">
      <c r="A2" s="91" t="s">
        <v>146</v>
      </c>
      <c r="B2" s="91"/>
      <c r="C2" s="91"/>
      <c r="D2" s="91"/>
      <c r="E2" s="91"/>
      <c r="F2" s="91"/>
      <c r="G2" s="91"/>
      <c r="H2" s="91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3"/>
      <c r="AS2" s="13"/>
      <c r="AT2" s="13"/>
      <c r="AU2" s="13"/>
      <c r="AV2" s="13"/>
      <c r="AW2" s="13"/>
      <c r="AX2" s="13"/>
      <c r="AY2" s="13"/>
      <c r="AZ2" s="13"/>
      <c r="BA2" s="13"/>
      <c r="BB2" s="13"/>
      <c r="BC2" s="13"/>
      <c r="BD2" s="13"/>
      <c r="BE2" s="13"/>
      <c r="BF2" s="13"/>
      <c r="BG2" s="13"/>
      <c r="BH2" s="13"/>
      <c r="BI2" s="13"/>
      <c r="BJ2" s="13"/>
      <c r="BK2" s="13"/>
      <c r="BL2" s="13"/>
    </row>
    <row r="3" spans="1:64" ht="15.75" thickTop="1">
      <c r="A3" s="8" t="s">
        <v>46</v>
      </c>
      <c r="B3" s="9" t="s">
        <v>47</v>
      </c>
      <c r="C3" s="10" t="s">
        <v>48</v>
      </c>
      <c r="D3" s="9" t="s">
        <v>49</v>
      </c>
      <c r="E3" s="9" t="s">
        <v>50</v>
      </c>
      <c r="F3" s="9" t="s">
        <v>51</v>
      </c>
      <c r="G3" s="9" t="s">
        <v>52</v>
      </c>
      <c r="H3" s="11" t="s">
        <v>53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13"/>
      <c r="AT3" s="13"/>
      <c r="AU3" s="13"/>
      <c r="AV3" s="13"/>
      <c r="AW3" s="13"/>
      <c r="AX3" s="13"/>
      <c r="AY3" s="13"/>
      <c r="AZ3" s="13"/>
      <c r="BA3" s="13"/>
      <c r="BB3" s="13"/>
      <c r="BC3" s="13"/>
      <c r="BD3" s="13"/>
      <c r="BE3" s="13"/>
      <c r="BF3" s="13"/>
      <c r="BG3" s="13"/>
      <c r="BH3" s="13"/>
      <c r="BI3" s="13"/>
      <c r="BJ3" s="13"/>
      <c r="BK3" s="13"/>
      <c r="BL3" s="13"/>
    </row>
    <row r="4" spans="1:64">
      <c r="A4" s="14">
        <v>1</v>
      </c>
      <c r="B4" s="15" t="s">
        <v>54</v>
      </c>
      <c r="C4" s="15" t="s">
        <v>55</v>
      </c>
      <c r="D4" s="15" t="s">
        <v>56</v>
      </c>
      <c r="E4" s="15" t="s">
        <v>56</v>
      </c>
      <c r="F4" s="16">
        <v>25</v>
      </c>
      <c r="G4" s="17">
        <v>257.63</v>
      </c>
      <c r="H4" s="18">
        <f>F4*G4</f>
        <v>6440.75</v>
      </c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  <c r="AQ4" s="13"/>
      <c r="AR4" s="13"/>
      <c r="AS4" s="13"/>
      <c r="AT4" s="13"/>
      <c r="AU4" s="13"/>
      <c r="AV4" s="13"/>
      <c r="AW4" s="13"/>
      <c r="AX4" s="13"/>
      <c r="AY4" s="13"/>
      <c r="AZ4" s="13"/>
      <c r="BA4" s="13"/>
      <c r="BB4" s="13"/>
      <c r="BC4" s="13"/>
      <c r="BD4" s="13"/>
      <c r="BE4" s="13"/>
      <c r="BF4" s="13"/>
      <c r="BG4" s="13"/>
      <c r="BH4" s="13"/>
      <c r="BI4" s="13"/>
      <c r="BJ4" s="13"/>
      <c r="BK4" s="13"/>
      <c r="BL4" s="13"/>
    </row>
    <row r="5" spans="1:64">
      <c r="A5" s="14">
        <v>2</v>
      </c>
      <c r="B5" s="15" t="s">
        <v>57</v>
      </c>
      <c r="C5" s="15" t="s">
        <v>58</v>
      </c>
      <c r="D5" s="15" t="s">
        <v>56</v>
      </c>
      <c r="E5" s="15" t="s">
        <v>56</v>
      </c>
      <c r="F5" s="16">
        <v>35</v>
      </c>
      <c r="G5" s="17">
        <v>125.45</v>
      </c>
      <c r="H5" s="18">
        <f>F5*G5</f>
        <v>4390.75</v>
      </c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  <c r="AU5" s="13"/>
      <c r="AV5" s="13"/>
      <c r="AW5" s="13"/>
      <c r="AX5" s="13"/>
      <c r="AY5" s="13"/>
      <c r="AZ5" s="13"/>
      <c r="BA5" s="13"/>
      <c r="BB5" s="13"/>
      <c r="BC5" s="13"/>
      <c r="BD5" s="13"/>
      <c r="BE5" s="13"/>
      <c r="BF5" s="13"/>
      <c r="BG5" s="13"/>
      <c r="BH5" s="13"/>
      <c r="BI5" s="13"/>
      <c r="BJ5" s="13"/>
      <c r="BK5" s="13"/>
      <c r="BL5" s="13"/>
    </row>
    <row r="6" spans="1:64">
      <c r="A6" s="14">
        <v>3</v>
      </c>
      <c r="B6" s="15" t="s">
        <v>59</v>
      </c>
      <c r="C6" s="15" t="s">
        <v>60</v>
      </c>
      <c r="D6" s="15" t="s">
        <v>56</v>
      </c>
      <c r="E6" s="15" t="s">
        <v>56</v>
      </c>
      <c r="F6" s="16">
        <v>45</v>
      </c>
      <c r="G6" s="17">
        <v>125.36</v>
      </c>
      <c r="H6" s="18">
        <f>F6*G6</f>
        <v>5641.2</v>
      </c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  <c r="AQ6" s="13"/>
      <c r="AR6" s="13"/>
      <c r="AS6" s="13"/>
      <c r="AT6" s="13"/>
      <c r="AU6" s="13"/>
      <c r="AV6" s="13"/>
      <c r="AW6" s="13"/>
      <c r="AX6" s="13"/>
      <c r="AY6" s="13"/>
      <c r="AZ6" s="13"/>
      <c r="BA6" s="13"/>
      <c r="BB6" s="13"/>
      <c r="BC6" s="13"/>
      <c r="BD6" s="13"/>
      <c r="BE6" s="13"/>
      <c r="BF6" s="13"/>
      <c r="BG6" s="13"/>
      <c r="BH6" s="13"/>
      <c r="BI6" s="13"/>
      <c r="BJ6" s="13"/>
      <c r="BK6" s="13"/>
      <c r="BL6" s="13"/>
    </row>
    <row r="7" spans="1:64">
      <c r="A7" s="14">
        <v>4</v>
      </c>
      <c r="B7" s="15" t="s">
        <v>61</v>
      </c>
      <c r="C7" s="15" t="s">
        <v>62</v>
      </c>
      <c r="D7" s="15" t="s">
        <v>56</v>
      </c>
      <c r="E7" s="15" t="s">
        <v>56</v>
      </c>
      <c r="F7" s="16">
        <v>55</v>
      </c>
      <c r="G7" s="17">
        <v>45.25</v>
      </c>
      <c r="H7" s="18">
        <f t="shared" ref="H7:H18" si="0">F7*G7</f>
        <v>2488.75</v>
      </c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  <c r="AQ7" s="13"/>
      <c r="AR7" s="13"/>
      <c r="AS7" s="13"/>
      <c r="AT7" s="13"/>
      <c r="AU7" s="13"/>
      <c r="AV7" s="13"/>
      <c r="AW7" s="13"/>
      <c r="AX7" s="13"/>
      <c r="AY7" s="13"/>
      <c r="AZ7" s="13"/>
      <c r="BA7" s="13"/>
      <c r="BB7" s="13"/>
      <c r="BC7" s="13"/>
      <c r="BD7" s="13"/>
      <c r="BE7" s="13"/>
      <c r="BF7" s="13"/>
      <c r="BG7" s="13"/>
      <c r="BH7" s="13"/>
      <c r="BI7" s="13"/>
      <c r="BJ7" s="13"/>
      <c r="BK7" s="13"/>
      <c r="BL7" s="13"/>
    </row>
    <row r="8" spans="1:64">
      <c r="A8" s="14">
        <v>5</v>
      </c>
      <c r="B8" s="15" t="s">
        <v>63</v>
      </c>
      <c r="C8" s="15" t="s">
        <v>64</v>
      </c>
      <c r="D8" s="15" t="s">
        <v>56</v>
      </c>
      <c r="E8" s="15" t="s">
        <v>56</v>
      </c>
      <c r="F8" s="16">
        <v>60</v>
      </c>
      <c r="G8" s="17">
        <v>45.5</v>
      </c>
      <c r="H8" s="18">
        <f t="shared" si="0"/>
        <v>2730</v>
      </c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13"/>
      <c r="AM8" s="13"/>
      <c r="AN8" s="13"/>
      <c r="AO8" s="13"/>
      <c r="AP8" s="13"/>
      <c r="AQ8" s="13"/>
      <c r="AR8" s="13"/>
      <c r="AS8" s="13"/>
      <c r="AT8" s="13"/>
      <c r="AU8" s="13"/>
      <c r="AV8" s="13"/>
      <c r="AW8" s="13"/>
      <c r="AX8" s="13"/>
      <c r="AY8" s="13"/>
      <c r="AZ8" s="13"/>
      <c r="BA8" s="13"/>
      <c r="BB8" s="13"/>
      <c r="BC8" s="13"/>
      <c r="BD8" s="13"/>
      <c r="BE8" s="13"/>
      <c r="BF8" s="13"/>
      <c r="BG8" s="13"/>
      <c r="BH8" s="13"/>
      <c r="BI8" s="13"/>
      <c r="BJ8" s="13"/>
      <c r="BK8" s="13"/>
      <c r="BL8" s="13"/>
    </row>
    <row r="9" spans="1:64">
      <c r="A9" s="14">
        <v>6</v>
      </c>
      <c r="B9" s="15" t="s">
        <v>65</v>
      </c>
      <c r="C9" s="15" t="s">
        <v>66</v>
      </c>
      <c r="D9" s="15" t="s">
        <v>56</v>
      </c>
      <c r="E9" s="15" t="s">
        <v>56</v>
      </c>
      <c r="F9" s="16">
        <v>75</v>
      </c>
      <c r="G9" s="17">
        <v>125.25</v>
      </c>
      <c r="H9" s="18">
        <f t="shared" si="0"/>
        <v>9393.75</v>
      </c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  <c r="AQ9" s="13"/>
      <c r="AR9" s="13"/>
      <c r="AS9" s="13"/>
      <c r="AT9" s="13"/>
      <c r="AU9" s="13"/>
      <c r="AV9" s="13"/>
      <c r="AW9" s="13"/>
      <c r="AX9" s="13"/>
      <c r="AY9" s="13"/>
      <c r="AZ9" s="13"/>
      <c r="BA9" s="13"/>
      <c r="BB9" s="13"/>
      <c r="BC9" s="13"/>
      <c r="BD9" s="13"/>
      <c r="BE9" s="13"/>
      <c r="BF9" s="13"/>
      <c r="BG9" s="13"/>
      <c r="BH9" s="13"/>
      <c r="BI9" s="13"/>
      <c r="BJ9" s="13"/>
      <c r="BK9" s="13"/>
      <c r="BL9" s="13"/>
    </row>
    <row r="10" spans="1:64">
      <c r="A10" s="14">
        <v>7</v>
      </c>
      <c r="B10" s="15" t="s">
        <v>67</v>
      </c>
      <c r="C10" s="15" t="s">
        <v>68</v>
      </c>
      <c r="D10" s="15" t="s">
        <v>56</v>
      </c>
      <c r="E10" s="15" t="s">
        <v>56</v>
      </c>
      <c r="F10" s="16">
        <v>28</v>
      </c>
      <c r="G10" s="17">
        <v>150.5</v>
      </c>
      <c r="H10" s="18">
        <f t="shared" si="0"/>
        <v>4214</v>
      </c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  <c r="AK10" s="13"/>
      <c r="AL10" s="13"/>
      <c r="AM10" s="13"/>
      <c r="AN10" s="13"/>
      <c r="AO10" s="13"/>
      <c r="AP10" s="13"/>
      <c r="AQ10" s="13"/>
      <c r="AR10" s="13"/>
      <c r="AS10" s="13"/>
      <c r="AT10" s="13"/>
      <c r="AU10" s="13"/>
      <c r="AV10" s="13"/>
      <c r="AW10" s="13"/>
      <c r="AX10" s="13"/>
      <c r="AY10" s="13"/>
      <c r="AZ10" s="13"/>
      <c r="BA10" s="13"/>
      <c r="BB10" s="13"/>
      <c r="BC10" s="13"/>
      <c r="BD10" s="13"/>
      <c r="BE10" s="13"/>
      <c r="BF10" s="13"/>
      <c r="BG10" s="13"/>
      <c r="BH10" s="13"/>
      <c r="BI10" s="13"/>
      <c r="BJ10" s="13"/>
      <c r="BK10" s="13"/>
      <c r="BL10" s="13"/>
    </row>
    <row r="11" spans="1:64">
      <c r="A11" s="14">
        <v>8</v>
      </c>
      <c r="B11" s="15" t="s">
        <v>69</v>
      </c>
      <c r="C11" s="15" t="s">
        <v>70</v>
      </c>
      <c r="D11" s="15" t="s">
        <v>56</v>
      </c>
      <c r="E11" s="15" t="s">
        <v>56</v>
      </c>
      <c r="F11" s="16">
        <v>30</v>
      </c>
      <c r="G11" s="17">
        <v>65.319999999999993</v>
      </c>
      <c r="H11" s="18">
        <f t="shared" si="0"/>
        <v>1959.6</v>
      </c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  <c r="AQ11" s="13"/>
      <c r="AR11" s="13"/>
      <c r="AS11" s="13"/>
      <c r="AT11" s="13"/>
      <c r="AU11" s="13"/>
      <c r="AV11" s="13"/>
      <c r="AW11" s="13"/>
      <c r="AX11" s="13"/>
      <c r="AY11" s="13"/>
      <c r="AZ11" s="13"/>
      <c r="BA11" s="13"/>
      <c r="BB11" s="13"/>
      <c r="BC11" s="13"/>
      <c r="BD11" s="13"/>
      <c r="BE11" s="13"/>
      <c r="BF11" s="13"/>
      <c r="BG11" s="13"/>
      <c r="BH11" s="13"/>
      <c r="BI11" s="13"/>
      <c r="BJ11" s="13"/>
      <c r="BK11" s="13"/>
      <c r="BL11" s="13"/>
    </row>
    <row r="12" spans="1:64">
      <c r="A12" s="14">
        <v>9</v>
      </c>
      <c r="B12" s="15" t="s">
        <v>71</v>
      </c>
      <c r="C12" s="15" t="s">
        <v>72</v>
      </c>
      <c r="D12" s="15" t="s">
        <v>56</v>
      </c>
      <c r="E12" s="15" t="s">
        <v>56</v>
      </c>
      <c r="F12" s="16">
        <v>25</v>
      </c>
      <c r="G12" s="17">
        <v>74.89</v>
      </c>
      <c r="H12" s="18">
        <f t="shared" si="0"/>
        <v>1872.25</v>
      </c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  <c r="AQ12" s="13"/>
      <c r="AR12" s="13"/>
      <c r="AS12" s="13"/>
      <c r="AT12" s="13"/>
      <c r="AU12" s="13"/>
      <c r="AV12" s="13"/>
      <c r="AW12" s="13"/>
      <c r="AX12" s="13"/>
      <c r="AY12" s="13"/>
      <c r="AZ12" s="13"/>
      <c r="BA12" s="13"/>
      <c r="BB12" s="13"/>
      <c r="BC12" s="13"/>
      <c r="BD12" s="13"/>
      <c r="BE12" s="13"/>
      <c r="BF12" s="13"/>
      <c r="BG12" s="13"/>
      <c r="BH12" s="13"/>
      <c r="BI12" s="13"/>
      <c r="BJ12" s="13"/>
      <c r="BK12" s="13"/>
      <c r="BL12" s="13"/>
    </row>
    <row r="13" spans="1:64">
      <c r="A13" s="14">
        <v>10</v>
      </c>
      <c r="B13" s="15" t="s">
        <v>73</v>
      </c>
      <c r="C13" s="15" t="s">
        <v>74</v>
      </c>
      <c r="D13" s="15" t="s">
        <v>56</v>
      </c>
      <c r="E13" s="15" t="s">
        <v>56</v>
      </c>
      <c r="F13" s="16">
        <v>28</v>
      </c>
      <c r="G13" s="17">
        <v>89.56</v>
      </c>
      <c r="H13" s="18">
        <f t="shared" si="0"/>
        <v>2507.6800000000003</v>
      </c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/>
      <c r="AU13" s="13"/>
      <c r="AV13" s="13"/>
      <c r="AW13" s="13"/>
      <c r="AX13" s="13"/>
      <c r="AY13" s="13"/>
      <c r="AZ13" s="13"/>
      <c r="BA13" s="13"/>
      <c r="BB13" s="13"/>
      <c r="BC13" s="13"/>
      <c r="BD13" s="13"/>
      <c r="BE13" s="13"/>
      <c r="BF13" s="13"/>
      <c r="BG13" s="13"/>
      <c r="BH13" s="13"/>
      <c r="BI13" s="13"/>
      <c r="BJ13" s="13"/>
      <c r="BK13" s="13"/>
      <c r="BL13" s="13"/>
    </row>
    <row r="14" spans="1:64">
      <c r="A14" s="14">
        <v>11</v>
      </c>
      <c r="B14" s="15" t="s">
        <v>75</v>
      </c>
      <c r="C14" s="15" t="s">
        <v>76</v>
      </c>
      <c r="D14" s="15" t="s">
        <v>56</v>
      </c>
      <c r="E14" s="15" t="s">
        <v>56</v>
      </c>
      <c r="F14" s="16">
        <v>37</v>
      </c>
      <c r="G14" s="17">
        <v>89.54</v>
      </c>
      <c r="H14" s="18">
        <f t="shared" si="0"/>
        <v>3312.98</v>
      </c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13"/>
      <c r="AL14" s="13"/>
      <c r="AM14" s="13"/>
      <c r="AN14" s="13"/>
      <c r="AO14" s="13"/>
      <c r="AP14" s="13"/>
      <c r="AQ14" s="13"/>
      <c r="AR14" s="13"/>
      <c r="AS14" s="13"/>
      <c r="AT14" s="13"/>
      <c r="AU14" s="13"/>
      <c r="AV14" s="13"/>
      <c r="AW14" s="13"/>
      <c r="AX14" s="13"/>
      <c r="AY14" s="13"/>
      <c r="AZ14" s="13"/>
      <c r="BA14" s="13"/>
      <c r="BB14" s="13"/>
      <c r="BC14" s="13"/>
      <c r="BD14" s="13"/>
      <c r="BE14" s="13"/>
      <c r="BF14" s="13"/>
      <c r="BG14" s="13"/>
      <c r="BH14" s="13"/>
      <c r="BI14" s="13"/>
      <c r="BJ14" s="13"/>
      <c r="BK14" s="13"/>
      <c r="BL14" s="13"/>
    </row>
    <row r="15" spans="1:64">
      <c r="A15" s="14">
        <v>12</v>
      </c>
      <c r="B15" s="15" t="s">
        <v>77</v>
      </c>
      <c r="C15" s="15" t="s">
        <v>78</v>
      </c>
      <c r="D15" s="15" t="s">
        <v>56</v>
      </c>
      <c r="E15" s="15" t="s">
        <v>56</v>
      </c>
      <c r="F15" s="16">
        <v>39</v>
      </c>
      <c r="G15" s="17">
        <v>98.25</v>
      </c>
      <c r="H15" s="18">
        <f t="shared" si="0"/>
        <v>3831.75</v>
      </c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  <c r="AM15" s="13"/>
      <c r="AN15" s="13"/>
      <c r="AO15" s="13"/>
      <c r="AP15" s="13"/>
      <c r="AQ15" s="13"/>
      <c r="AR15" s="13"/>
      <c r="AS15" s="13"/>
      <c r="AT15" s="13"/>
      <c r="AU15" s="13"/>
      <c r="AV15" s="13"/>
      <c r="AW15" s="13"/>
      <c r="AX15" s="13"/>
      <c r="AY15" s="13"/>
      <c r="AZ15" s="13"/>
      <c r="BA15" s="13"/>
      <c r="BB15" s="13"/>
      <c r="BC15" s="13"/>
      <c r="BD15" s="13"/>
      <c r="BE15" s="13"/>
      <c r="BF15" s="13"/>
      <c r="BG15" s="13"/>
      <c r="BH15" s="13"/>
      <c r="BI15" s="13"/>
      <c r="BJ15" s="13"/>
      <c r="BK15" s="13"/>
      <c r="BL15" s="13"/>
    </row>
    <row r="16" spans="1:64">
      <c r="A16" s="14">
        <v>13</v>
      </c>
      <c r="B16" s="15" t="s">
        <v>79</v>
      </c>
      <c r="C16" s="15" t="s">
        <v>80</v>
      </c>
      <c r="D16" s="15" t="s">
        <v>56</v>
      </c>
      <c r="E16" s="15" t="s">
        <v>56</v>
      </c>
      <c r="F16" s="16">
        <v>70</v>
      </c>
      <c r="G16" s="17">
        <v>102.25</v>
      </c>
      <c r="H16" s="18">
        <f t="shared" si="0"/>
        <v>7157.5</v>
      </c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13"/>
      <c r="AM16" s="13"/>
      <c r="AN16" s="13"/>
      <c r="AO16" s="13"/>
      <c r="AP16" s="13"/>
      <c r="AQ16" s="13"/>
      <c r="AR16" s="13"/>
      <c r="AS16" s="13"/>
      <c r="AT16" s="13"/>
      <c r="AU16" s="13"/>
      <c r="AV16" s="13"/>
      <c r="AW16" s="13"/>
      <c r="AX16" s="13"/>
      <c r="AY16" s="13"/>
      <c r="AZ16" s="13"/>
      <c r="BA16" s="13"/>
      <c r="BB16" s="13"/>
      <c r="BC16" s="13"/>
      <c r="BD16" s="13"/>
      <c r="BE16" s="13"/>
      <c r="BF16" s="13"/>
      <c r="BG16" s="13"/>
      <c r="BH16" s="13"/>
      <c r="BI16" s="13"/>
      <c r="BJ16" s="13"/>
      <c r="BK16" s="13"/>
      <c r="BL16" s="13"/>
    </row>
    <row r="17" spans="1:65">
      <c r="A17" s="14">
        <v>14</v>
      </c>
      <c r="B17" s="15" t="s">
        <v>81</v>
      </c>
      <c r="C17" s="15" t="s">
        <v>82</v>
      </c>
      <c r="D17" s="15" t="s">
        <v>56</v>
      </c>
      <c r="E17" s="15" t="s">
        <v>56</v>
      </c>
      <c r="F17" s="16">
        <v>100</v>
      </c>
      <c r="G17" s="17">
        <v>103.5</v>
      </c>
      <c r="H17" s="18">
        <f t="shared" si="0"/>
        <v>10350</v>
      </c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13"/>
      <c r="AU17" s="13"/>
      <c r="AV17" s="13"/>
      <c r="AW17" s="13"/>
      <c r="AX17" s="13"/>
      <c r="AY17" s="13"/>
      <c r="AZ17" s="13"/>
      <c r="BA17" s="13"/>
      <c r="BB17" s="13"/>
      <c r="BC17" s="13"/>
      <c r="BD17" s="13"/>
      <c r="BE17" s="13"/>
      <c r="BF17" s="13"/>
      <c r="BG17" s="13"/>
      <c r="BH17" s="13"/>
      <c r="BI17" s="13"/>
      <c r="BJ17" s="13"/>
      <c r="BK17" s="13"/>
      <c r="BL17" s="13"/>
    </row>
    <row r="18" spans="1:65" ht="15.75" thickBot="1">
      <c r="A18" s="21">
        <v>15</v>
      </c>
      <c r="B18" s="22" t="s">
        <v>83</v>
      </c>
      <c r="C18" s="22" t="s">
        <v>84</v>
      </c>
      <c r="D18" s="22" t="s">
        <v>56</v>
      </c>
      <c r="E18" s="22" t="s">
        <v>56</v>
      </c>
      <c r="F18" s="23">
        <v>85</v>
      </c>
      <c r="G18" s="24">
        <v>65.48</v>
      </c>
      <c r="H18" s="25">
        <f t="shared" si="0"/>
        <v>5565.8</v>
      </c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  <c r="AQ18" s="13"/>
      <c r="AR18" s="13"/>
      <c r="AS18" s="13"/>
      <c r="AT18" s="13"/>
      <c r="AU18" s="13"/>
      <c r="AV18" s="13"/>
      <c r="AW18" s="13"/>
      <c r="AX18" s="13"/>
      <c r="AY18" s="13"/>
      <c r="AZ18" s="13"/>
      <c r="BA18" s="13"/>
      <c r="BB18" s="13"/>
      <c r="BC18" s="13"/>
      <c r="BD18" s="13"/>
      <c r="BE18" s="13"/>
      <c r="BF18" s="13"/>
      <c r="BG18" s="13"/>
      <c r="BH18" s="13"/>
      <c r="BI18" s="13"/>
      <c r="BJ18" s="13"/>
      <c r="BK18" s="13"/>
      <c r="BL18" s="13"/>
    </row>
    <row r="19" spans="1:65" ht="15.75" thickTop="1">
      <c r="A19" s="13"/>
      <c r="B19" s="114" t="s">
        <v>85</v>
      </c>
      <c r="C19" s="114"/>
      <c r="D19" s="114"/>
      <c r="E19" s="114"/>
      <c r="F19" s="114"/>
      <c r="G19" s="114"/>
      <c r="H19" s="26">
        <f>SUM(H4:H18)</f>
        <v>71856.759999999995</v>
      </c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13"/>
      <c r="AU19" s="13"/>
      <c r="AV19" s="13"/>
      <c r="AW19" s="13"/>
      <c r="AX19" s="13"/>
      <c r="AY19" s="13"/>
      <c r="AZ19" s="13"/>
      <c r="BA19" s="13"/>
      <c r="BB19" s="13"/>
      <c r="BC19" s="13"/>
      <c r="BD19" s="13"/>
      <c r="BE19" s="13"/>
      <c r="BF19" s="13"/>
      <c r="BG19" s="13"/>
      <c r="BH19" s="13"/>
      <c r="BI19" s="13"/>
      <c r="BJ19" s="13"/>
      <c r="BK19" s="13"/>
      <c r="BL19" s="13"/>
    </row>
    <row r="20" spans="1:65">
      <c r="A20" s="28" t="s">
        <v>86</v>
      </c>
      <c r="B20" s="29"/>
      <c r="C20" s="29"/>
      <c r="D20" s="29"/>
      <c r="E20" s="29"/>
      <c r="F20" s="29"/>
      <c r="G20" s="29"/>
      <c r="H20" s="28"/>
      <c r="I20" s="30"/>
      <c r="J20" s="30"/>
      <c r="K20" s="30"/>
      <c r="L20" s="30"/>
      <c r="M20" s="30"/>
      <c r="N20" s="30"/>
      <c r="O20" s="30"/>
      <c r="P20" s="30"/>
      <c r="Q20" s="30"/>
      <c r="R20" s="28"/>
      <c r="S20" s="28"/>
      <c r="T20" s="28"/>
      <c r="U20" s="28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13"/>
      <c r="AU20" s="13"/>
      <c r="AV20" s="13"/>
      <c r="AW20" s="13"/>
      <c r="AX20" s="13"/>
      <c r="AY20" s="13"/>
      <c r="AZ20" s="13"/>
      <c r="BA20" s="13"/>
      <c r="BB20" s="13"/>
      <c r="BC20" s="13"/>
      <c r="BD20" s="13"/>
      <c r="BE20" s="13"/>
      <c r="BF20" s="13"/>
      <c r="BG20" s="13"/>
      <c r="BH20" s="13"/>
      <c r="BI20" s="13"/>
      <c r="BJ20" s="13"/>
      <c r="BK20" s="13"/>
      <c r="BL20" s="13"/>
    </row>
    <row r="21" spans="1:65" ht="15.75" thickBot="1">
      <c r="A21" s="115" t="s">
        <v>87</v>
      </c>
      <c r="B21" s="115"/>
      <c r="C21" s="12">
        <v>1</v>
      </c>
      <c r="D21" s="31" t="s">
        <v>88</v>
      </c>
      <c r="E21" s="29"/>
      <c r="F21" s="29"/>
      <c r="G21" s="29"/>
      <c r="H21" s="28"/>
      <c r="I21" s="30" t="s">
        <v>89</v>
      </c>
      <c r="J21" s="30" t="s">
        <v>90</v>
      </c>
      <c r="K21" s="30"/>
      <c r="L21" s="30" t="s">
        <v>91</v>
      </c>
      <c r="M21" s="30">
        <v>1</v>
      </c>
      <c r="N21" s="30"/>
      <c r="O21" s="30" t="s">
        <v>92</v>
      </c>
      <c r="P21" s="30">
        <v>2</v>
      </c>
      <c r="Q21" s="30" t="s">
        <v>93</v>
      </c>
      <c r="R21" s="28"/>
      <c r="S21" s="28"/>
      <c r="T21" s="28"/>
      <c r="U21" s="28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  <c r="AQ21" s="13"/>
      <c r="AR21" s="13"/>
      <c r="AS21" s="13"/>
      <c r="AT21" s="13"/>
      <c r="AU21" s="13"/>
      <c r="AV21" s="13"/>
      <c r="AW21" s="13"/>
      <c r="AX21" s="13"/>
      <c r="AY21" s="13"/>
      <c r="AZ21" s="13"/>
      <c r="BA21" s="13"/>
      <c r="BB21" s="13"/>
      <c r="BC21" s="13"/>
      <c r="BD21" s="13"/>
      <c r="BE21" s="13"/>
      <c r="BF21" s="13"/>
      <c r="BG21" s="13"/>
      <c r="BH21" s="13"/>
      <c r="BI21" s="13"/>
      <c r="BJ21" s="13"/>
      <c r="BK21" s="13"/>
      <c r="BL21" s="13"/>
    </row>
    <row r="22" spans="1:65" ht="58.5" thickTop="1" thickBot="1">
      <c r="A22" s="62" t="s">
        <v>148</v>
      </c>
      <c r="B22" s="62" t="s">
        <v>47</v>
      </c>
      <c r="C22" s="62" t="s">
        <v>149</v>
      </c>
      <c r="D22" s="62" t="s">
        <v>49</v>
      </c>
      <c r="E22" s="62" t="s">
        <v>50</v>
      </c>
      <c r="F22" s="62" t="s">
        <v>51</v>
      </c>
      <c r="G22" s="62" t="s">
        <v>52</v>
      </c>
      <c r="H22" s="62" t="s">
        <v>53</v>
      </c>
      <c r="I22" s="63" t="s">
        <v>95</v>
      </c>
      <c r="J22" s="63" t="s">
        <v>97</v>
      </c>
      <c r="K22" s="63" t="s">
        <v>96</v>
      </c>
      <c r="L22" s="64" t="s">
        <v>98</v>
      </c>
      <c r="M22" s="64" t="s">
        <v>99</v>
      </c>
      <c r="N22" s="64" t="s">
        <v>102</v>
      </c>
      <c r="O22" s="64" t="s">
        <v>103</v>
      </c>
      <c r="P22" s="64" t="s">
        <v>150</v>
      </c>
      <c r="Q22" s="64" t="s">
        <v>101</v>
      </c>
      <c r="R22" s="63" t="s">
        <v>104</v>
      </c>
      <c r="S22" s="62" t="s">
        <v>151</v>
      </c>
      <c r="T22" s="62" t="s">
        <v>106</v>
      </c>
      <c r="U22" s="65" t="s">
        <v>152</v>
      </c>
      <c r="V22" s="65" t="s">
        <v>108</v>
      </c>
      <c r="W22" s="65" t="s">
        <v>109</v>
      </c>
      <c r="X22" s="65" t="s">
        <v>110</v>
      </c>
      <c r="Y22" s="65" t="s">
        <v>111</v>
      </c>
      <c r="Z22" s="66" t="s">
        <v>112</v>
      </c>
      <c r="AA22" s="66" t="s">
        <v>113</v>
      </c>
      <c r="AB22" s="66" t="s">
        <v>114</v>
      </c>
      <c r="AC22" s="66" t="s">
        <v>115</v>
      </c>
      <c r="AD22" s="66" t="s">
        <v>116</v>
      </c>
      <c r="AE22" s="66" t="s">
        <v>117</v>
      </c>
      <c r="AF22" s="66" t="s">
        <v>118</v>
      </c>
      <c r="AG22" s="66" t="s">
        <v>119</v>
      </c>
      <c r="AH22" s="66" t="s">
        <v>120</v>
      </c>
      <c r="AI22" s="66" t="s">
        <v>121</v>
      </c>
      <c r="AJ22" s="66" t="s">
        <v>122</v>
      </c>
      <c r="AK22" s="66" t="s">
        <v>123</v>
      </c>
      <c r="AL22" s="66" t="s">
        <v>124</v>
      </c>
      <c r="AM22" s="66" t="s">
        <v>125</v>
      </c>
      <c r="AN22" s="66" t="s">
        <v>126</v>
      </c>
      <c r="AO22" s="67" t="s">
        <v>153</v>
      </c>
      <c r="AP22" s="9" t="s">
        <v>240</v>
      </c>
      <c r="AQ22" s="9" t="s">
        <v>126</v>
      </c>
      <c r="AR22" s="56" t="s">
        <v>131</v>
      </c>
      <c r="AS22" s="56" t="s">
        <v>132</v>
      </c>
      <c r="AT22" s="56" t="s">
        <v>133</v>
      </c>
      <c r="AU22" s="56" t="s">
        <v>134</v>
      </c>
      <c r="AV22" s="56" t="s">
        <v>135</v>
      </c>
      <c r="AW22" s="56" t="s">
        <v>136</v>
      </c>
      <c r="AX22" s="56" t="s">
        <v>137</v>
      </c>
      <c r="AY22" s="56" t="s">
        <v>138</v>
      </c>
      <c r="AZ22" s="84" t="s">
        <v>207</v>
      </c>
      <c r="BA22" s="84" t="s">
        <v>8</v>
      </c>
      <c r="BB22" s="84" t="s">
        <v>9</v>
      </c>
      <c r="BC22" s="56" t="s">
        <v>228</v>
      </c>
      <c r="BD22" s="56" t="s">
        <v>139</v>
      </c>
      <c r="BE22" s="56" t="s">
        <v>140</v>
      </c>
      <c r="BF22" s="56" t="s">
        <v>141</v>
      </c>
      <c r="BG22" s="56" t="s">
        <v>142</v>
      </c>
      <c r="BH22" s="56" t="s">
        <v>143</v>
      </c>
      <c r="BI22" s="56" t="s">
        <v>241</v>
      </c>
      <c r="BJ22" s="96" t="s">
        <v>247</v>
      </c>
      <c r="BK22" s="56" t="s">
        <v>248</v>
      </c>
      <c r="BL22" s="56" t="s">
        <v>136</v>
      </c>
      <c r="BM22" s="97" t="s">
        <v>256</v>
      </c>
    </row>
    <row r="23" spans="1:65" ht="15.75" thickBot="1">
      <c r="A23" s="41">
        <v>1</v>
      </c>
      <c r="B23" s="41" t="s">
        <v>229</v>
      </c>
      <c r="C23" s="41" t="s">
        <v>155</v>
      </c>
      <c r="D23" s="41" t="s">
        <v>56</v>
      </c>
      <c r="E23" s="41" t="s">
        <v>156</v>
      </c>
      <c r="F23" s="76">
        <v>25</v>
      </c>
      <c r="G23" s="76">
        <v>257.63</v>
      </c>
      <c r="H23" s="76">
        <f>F23*G23</f>
        <v>6440.75</v>
      </c>
      <c r="I23" s="76">
        <v>1</v>
      </c>
      <c r="J23" s="76">
        <v>2</v>
      </c>
      <c r="K23" s="76">
        <v>2.5</v>
      </c>
      <c r="L23" s="76">
        <f>H23</f>
        <v>6440.75</v>
      </c>
      <c r="M23" s="76">
        <f>ROUND(L23*I23%,2)</f>
        <v>64.41</v>
      </c>
      <c r="N23" s="76">
        <f>H23-M23</f>
        <v>6376.34</v>
      </c>
      <c r="O23" s="76">
        <f>ROUND(N23*J23%,2)</f>
        <v>127.53</v>
      </c>
      <c r="P23" s="76">
        <f>ROUND(N23-O23,2)</f>
        <v>6248.81</v>
      </c>
      <c r="Q23" s="76">
        <f>ROUND(P23*K23%,2)</f>
        <v>156.22</v>
      </c>
      <c r="R23" s="76">
        <f>ROUND((M23+O23+Q23),2)</f>
        <v>348.16</v>
      </c>
      <c r="S23" s="76">
        <f>ROUND((H23-R23),2)</f>
        <v>6092.59</v>
      </c>
      <c r="T23" s="43" t="s">
        <v>128</v>
      </c>
      <c r="U23" s="44">
        <v>0.18</v>
      </c>
      <c r="V23" s="76">
        <f>IF($C$21=1,ROUND(((S23*U23)/2),2),0)</f>
        <v>548.33000000000004</v>
      </c>
      <c r="W23" s="76">
        <f>IF($C$21=1,ROUND(((S23*U23)/2),2),0)</f>
        <v>548.33000000000004</v>
      </c>
      <c r="X23" s="76">
        <f>IF($C$21=2,ROUND(((S23*U23)),2),0)</f>
        <v>0</v>
      </c>
      <c r="Y23" s="41">
        <f>ROUND((S23*18%),2)</f>
        <v>1096.67</v>
      </c>
      <c r="Z23" s="41">
        <f>S23+Y23</f>
        <v>7189.26</v>
      </c>
      <c r="AA23" s="43">
        <v>120</v>
      </c>
      <c r="AB23" s="43">
        <f>IF($P$21=1,(S23/$S$26)*$E$37,AA23/$AA$26*$E$37)</f>
        <v>0</v>
      </c>
      <c r="AC23" s="43"/>
      <c r="AD23" s="43">
        <f>IF($P$21=1,(S23/$S$26)*$E$39,AA23/$AA$26*$E$39)</f>
        <v>0</v>
      </c>
      <c r="AE23" s="43">
        <f>IF($P$21=1,(S23/$S$26)*$E$40,AA23/$AA$26*$E$40)</f>
        <v>0</v>
      </c>
      <c r="AF23" s="43">
        <f t="shared" ref="AF23:AF25" si="1">S23*$M$21</f>
        <v>6092.59</v>
      </c>
      <c r="AG23" s="43">
        <f>IF($C$21=3,0,AD23+AE23)</f>
        <v>0</v>
      </c>
      <c r="AH23" s="43">
        <f t="shared" ref="AH23:AH25" si="2">IF($C$21=3,AB23+AD23+AE23,0)</f>
        <v>0</v>
      </c>
      <c r="AI23" s="42">
        <v>2</v>
      </c>
      <c r="AJ23" s="43">
        <f t="shared" ref="AJ23:AJ25" si="3">F23/AI23</f>
        <v>12.5</v>
      </c>
      <c r="AK23" s="43">
        <f>ROUND(AF23/AJ23,5)</f>
        <v>487.40719999999999</v>
      </c>
      <c r="AL23" s="43">
        <f>AG23/AJ23</f>
        <v>0</v>
      </c>
      <c r="AM23" s="43">
        <f>AH23/AJ23</f>
        <v>0</v>
      </c>
      <c r="AN23" s="43" t="s">
        <v>56</v>
      </c>
      <c r="AO23" s="43">
        <f>ROUND(AK23+AL23+AM23,5)</f>
        <v>487.40719999999999</v>
      </c>
      <c r="AP23" s="15" t="s">
        <v>236</v>
      </c>
      <c r="AQ23" s="15" t="s">
        <v>56</v>
      </c>
      <c r="AR23" t="s" s="0">
        <v>249</v>
      </c>
      <c r="AS23" t="s" s="0">
        <v>237</v>
      </c>
      <c r="AT23" s="88">
        <f>AJ23</f>
        <v>12.5</v>
      </c>
      <c r="AU23" s="17">
        <f>AO23</f>
        <v>487.40719999999999</v>
      </c>
      <c r="AV23" s="88">
        <f>AR23+AT23</f>
        <v>22.5</v>
      </c>
      <c r="AW23" s="15">
        <f>ROUND(((AR23*AS23)+(AT23*AU23))/(AR23+AT23),5)</f>
        <v>487.40719999999999</v>
      </c>
      <c r="AX23" s="59"/>
      <c r="AY23" s="59" t="s">
        <v>144</v>
      </c>
      <c r="AZ23" s="87" t="s">
        <v>27</v>
      </c>
      <c r="BA23" s="87" t="s">
        <v>24</v>
      </c>
      <c r="BB23" s="87" t="s">
        <v>28</v>
      </c>
      <c r="BC23" s="59"/>
      <c r="BD23" s="59"/>
      <c r="BE23" s="59"/>
      <c r="BF23" s="15"/>
      <c r="BG23" s="15"/>
      <c r="BH23" s="15"/>
      <c r="BI23" s="15" t="s">
        <v>242</v>
      </c>
      <c r="BJ23" t="s" s="0">
        <v>237</v>
      </c>
      <c r="BK23" t="s" s="0">
        <v>334</v>
      </c>
      <c r="BL23" s="15">
        <f>ROUND((((AT23*AW23)+(BK23*BJ23))/(AT23+BK23)),5)</f>
        <v>487.40719999999999</v>
      </c>
      <c r="BM23" s="54">
        <f>BK23+AT23</f>
        <v>75</v>
      </c>
    </row>
    <row r="24" spans="1:65" ht="15.75" thickBot="1">
      <c r="A24" s="41">
        <v>2</v>
      </c>
      <c r="B24" s="41" t="s">
        <v>230</v>
      </c>
      <c r="C24" s="41" t="s">
        <v>168</v>
      </c>
      <c r="D24" s="41" t="s">
        <v>56</v>
      </c>
      <c r="E24" s="41" t="s">
        <v>169</v>
      </c>
      <c r="F24" s="76">
        <v>28</v>
      </c>
      <c r="G24" s="76">
        <v>150.5</v>
      </c>
      <c r="H24" s="76">
        <f t="shared" ref="H24:H25" si="4">F24*G24</f>
        <v>4214</v>
      </c>
      <c r="I24" s="76">
        <v>1</v>
      </c>
      <c r="J24" s="76">
        <v>2</v>
      </c>
      <c r="K24" s="76">
        <v>2.5</v>
      </c>
      <c r="L24" s="76">
        <f t="shared" ref="L24:L25" si="5">H24</f>
        <v>4214</v>
      </c>
      <c r="M24" s="76">
        <f t="shared" ref="M24:M25" si="6">ROUND(L24*I24%,2)</f>
        <v>42.14</v>
      </c>
      <c r="N24" s="76">
        <f t="shared" ref="N24:N25" si="7">H24-M24</f>
        <v>4171.8599999999997</v>
      </c>
      <c r="O24" s="76">
        <f t="shared" ref="O24:O25" si="8">ROUND(N24*J24%,2)</f>
        <v>83.44</v>
      </c>
      <c r="P24" s="76">
        <f t="shared" ref="P24:P25" si="9">ROUND(N24-O24,2)</f>
        <v>4088.42</v>
      </c>
      <c r="Q24" s="76">
        <f t="shared" ref="Q24:Q25" si="10">ROUND(P24*K24%,2)</f>
        <v>102.21</v>
      </c>
      <c r="R24" s="76">
        <f t="shared" ref="R24:R25" si="11">ROUND((M24+O24+Q24),2)</f>
        <v>227.79</v>
      </c>
      <c r="S24" s="76">
        <f t="shared" ref="S24:S25" si="12">ROUND((H24-R24),2)</f>
        <v>3986.21</v>
      </c>
      <c r="T24" s="43" t="s">
        <v>231</v>
      </c>
      <c r="U24" s="44">
        <v>0.18</v>
      </c>
      <c r="V24" s="76">
        <f t="shared" ref="V24:V25" si="13">IF($C$21=1,ROUND(((S24*U24)/2),2),0)</f>
        <v>358.76</v>
      </c>
      <c r="W24" s="76">
        <f t="shared" ref="W24:W25" si="14">IF($C$21=1,ROUND(((S24*U24)/2),2),0)</f>
        <v>358.76</v>
      </c>
      <c r="X24" s="76">
        <f t="shared" ref="X24:X25" si="15">IF($C$21=2,ROUND(((S24*U24)),2),0)</f>
        <v>0</v>
      </c>
      <c r="Y24" s="41">
        <f t="shared" ref="Y24:Y25" si="16">ROUND((S24*18%),2)</f>
        <v>717.52</v>
      </c>
      <c r="Z24" s="41">
        <f t="shared" ref="Z24:Z25" si="17">S24+Y24</f>
        <v>4703.7299999999996</v>
      </c>
      <c r="AA24" s="43">
        <v>350</v>
      </c>
      <c r="AB24" s="43">
        <f>IF($P$21=1,(S24/$S$26)*$E$37,AA24/$AA$26*$E$37)</f>
        <v>0</v>
      </c>
      <c r="AC24" s="43"/>
      <c r="AD24" s="43">
        <f>IF($P$21=1,(S24/$S$26)*$E$39,AA24/$AA$26*$E$39)</f>
        <v>0</v>
      </c>
      <c r="AE24" s="43">
        <f>IF($P$21=1,(S24/$S$26)*$E$40,AA24/$AA$26*$E$40)</f>
        <v>0</v>
      </c>
      <c r="AF24" s="43">
        <f t="shared" si="1"/>
        <v>3986.21</v>
      </c>
      <c r="AG24" s="43">
        <f t="shared" ref="AG24:AG25" si="18">IF($C$21=3,0,AD24+AE24)</f>
        <v>0</v>
      </c>
      <c r="AH24" s="43">
        <f t="shared" si="2"/>
        <v>0</v>
      </c>
      <c r="AI24" s="42">
        <v>2.5</v>
      </c>
      <c r="AJ24" s="43">
        <f t="shared" si="3"/>
        <v>11.2</v>
      </c>
      <c r="AK24" s="43">
        <f t="shared" ref="AK24:AK25" si="19">ROUND(AF24/AJ24,5)</f>
        <v>355.91161</v>
      </c>
      <c r="AL24" s="43">
        <f t="shared" ref="AL24:AL25" si="20">AG24/AJ24</f>
        <v>0</v>
      </c>
      <c r="AM24" s="43">
        <f t="shared" ref="AM24:AM25" si="21">AH24/AJ24</f>
        <v>0</v>
      </c>
      <c r="AN24" s="43" t="s">
        <v>56</v>
      </c>
      <c r="AO24" s="43">
        <f t="shared" ref="AO24:AO25" si="22">ROUND(AK24+AL24+AM24,5)</f>
        <v>355.91161</v>
      </c>
      <c r="AP24" s="15" t="s">
        <v>236</v>
      </c>
      <c r="AQ24" s="15" t="s">
        <v>56</v>
      </c>
      <c r="AR24" t="s" s="0">
        <v>249</v>
      </c>
      <c r="AS24" t="s" s="0">
        <v>238</v>
      </c>
      <c r="AT24" s="88">
        <f t="shared" ref="AT24:AT25" si="23">AJ24</f>
        <v>11.2</v>
      </c>
      <c r="AU24" s="17">
        <f>AO24</f>
        <v>355.91161</v>
      </c>
      <c r="AV24" s="88">
        <f t="shared" ref="AV24:AV25" si="24">AR24+AT24</f>
        <v>11.2</v>
      </c>
      <c r="AW24" s="15">
        <f>ROUND(((AR24*AS24)+(AT24*AU24))/(AR24+AT24),5)</f>
        <v>355.91161</v>
      </c>
      <c r="AX24" s="59"/>
      <c r="AY24" s="59"/>
      <c r="AZ24" s="87" t="s">
        <v>27</v>
      </c>
      <c r="BA24" s="7" t="s">
        <v>234</v>
      </c>
      <c r="BB24" s="7"/>
      <c r="BC24" s="59"/>
      <c r="BD24" s="59"/>
      <c r="BE24" s="59"/>
      <c r="BF24" s="15"/>
      <c r="BG24" s="15"/>
      <c r="BH24" s="15"/>
      <c r="BI24" s="15" t="s">
        <v>242</v>
      </c>
      <c r="BJ24" t="s" s="0">
        <v>238</v>
      </c>
      <c r="BK24" t="s" s="0">
        <v>335</v>
      </c>
      <c r="BL24" s="15">
        <f t="shared" ref="BL24:BL25" si="25">ROUND((((AT24*AW24)+(BK24*BJ24))/(AT24+BK24)),5)</f>
        <v>355.91161</v>
      </c>
      <c r="BM24" s="54">
        <f t="shared" ref="BM24:BM25" si="26">BK24+AT24</f>
        <v>67.2</v>
      </c>
    </row>
    <row r="25" spans="1:65" ht="15.75" thickBot="1">
      <c r="A25" s="41">
        <v>3</v>
      </c>
      <c r="B25" s="41" t="s">
        <v>232</v>
      </c>
      <c r="C25" s="41" t="s">
        <v>177</v>
      </c>
      <c r="D25" s="41" t="s">
        <v>156</v>
      </c>
      <c r="E25" s="41" t="s">
        <v>178</v>
      </c>
      <c r="F25" s="76">
        <v>37</v>
      </c>
      <c r="G25" s="76">
        <v>89.54</v>
      </c>
      <c r="H25" s="76">
        <f t="shared" si="4"/>
        <v>3312.98</v>
      </c>
      <c r="I25" s="76">
        <v>1</v>
      </c>
      <c r="J25" s="76">
        <v>2</v>
      </c>
      <c r="K25" s="76">
        <v>2.5</v>
      </c>
      <c r="L25" s="76">
        <f t="shared" si="5"/>
        <v>3312.98</v>
      </c>
      <c r="M25" s="76">
        <f t="shared" si="6"/>
        <v>33.130000000000003</v>
      </c>
      <c r="N25" s="76">
        <f t="shared" si="7"/>
        <v>3279.85</v>
      </c>
      <c r="O25" s="76">
        <f t="shared" si="8"/>
        <v>65.599999999999994</v>
      </c>
      <c r="P25" s="76">
        <f t="shared" si="9"/>
        <v>3214.25</v>
      </c>
      <c r="Q25" s="76">
        <f t="shared" si="10"/>
        <v>80.36</v>
      </c>
      <c r="R25" s="76">
        <f t="shared" si="11"/>
        <v>179.09</v>
      </c>
      <c r="S25" s="76">
        <f t="shared" si="12"/>
        <v>3133.89</v>
      </c>
      <c r="T25" s="43" t="s">
        <v>233</v>
      </c>
      <c r="U25" s="44">
        <v>0.18</v>
      </c>
      <c r="V25" s="76">
        <f t="shared" si="13"/>
        <v>282.05</v>
      </c>
      <c r="W25" s="76">
        <f t="shared" si="14"/>
        <v>282.05</v>
      </c>
      <c r="X25" s="76">
        <f t="shared" si="15"/>
        <v>0</v>
      </c>
      <c r="Y25" s="41">
        <f t="shared" si="16"/>
        <v>564.1</v>
      </c>
      <c r="Z25" s="41">
        <f t="shared" si="17"/>
        <v>3697.99</v>
      </c>
      <c r="AA25" s="43">
        <v>220</v>
      </c>
      <c r="AB25" s="43">
        <f>IF($P$21=1,(S25/$S$26)*$E$37,AA25/$AA$26*$E$37)</f>
        <v>0</v>
      </c>
      <c r="AC25" s="43"/>
      <c r="AD25" s="43">
        <f>IF($P$21=1,(S25/$S$26)*$E$39,AA25/$AA$26*$E$39)</f>
        <v>0</v>
      </c>
      <c r="AE25" s="43">
        <f>IF($P$21=1,(S25/$S$26)*$E$40,AA25/$AA$26*$E$40)</f>
        <v>0</v>
      </c>
      <c r="AF25" s="43">
        <f t="shared" si="1"/>
        <v>3133.89</v>
      </c>
      <c r="AG25" s="43">
        <f t="shared" si="18"/>
        <v>0</v>
      </c>
      <c r="AH25" s="43">
        <f t="shared" si="2"/>
        <v>0</v>
      </c>
      <c r="AI25" s="41">
        <v>1E-3</v>
      </c>
      <c r="AJ25" s="43">
        <f t="shared" si="3"/>
        <v>37000</v>
      </c>
      <c r="AK25" s="43">
        <f t="shared" si="19"/>
        <v>8.4699999999999998E-2</v>
      </c>
      <c r="AL25" s="43">
        <f t="shared" si="20"/>
        <v>0</v>
      </c>
      <c r="AM25" s="43">
        <f t="shared" si="21"/>
        <v>0</v>
      </c>
      <c r="AN25" s="43" t="s">
        <v>56</v>
      </c>
      <c r="AO25" s="43">
        <f t="shared" si="22"/>
        <v>8.4699999999999998E-2</v>
      </c>
      <c r="AP25" s="15" t="s">
        <v>236</v>
      </c>
      <c r="AQ25" s="15" t="s">
        <v>56</v>
      </c>
      <c r="AR25" t="s" s="0">
        <v>249</v>
      </c>
      <c r="AS25" t="s" s="0">
        <v>239</v>
      </c>
      <c r="AT25" s="88">
        <f t="shared" si="23"/>
        <v>37000</v>
      </c>
      <c r="AU25" s="17">
        <f t="shared" ref="AU25" si="27">AO25</f>
        <v>8.4699999999999998E-2</v>
      </c>
      <c r="AV25" s="88">
        <f t="shared" si="24"/>
        <v>37000</v>
      </c>
      <c r="AW25" s="15">
        <f t="shared" ref="AW25" si="28">ROUND(((AR25*AS25)+(AT25*AU25))/(AR25+AT25),5)</f>
        <v>8.4699999999999998E-2</v>
      </c>
      <c r="AX25" s="15"/>
      <c r="AY25" s="15"/>
      <c r="AZ25" s="87" t="s">
        <v>27</v>
      </c>
      <c r="BA25" s="7" t="s">
        <v>235</v>
      </c>
      <c r="BB25" s="15"/>
      <c r="BC25" s="15"/>
      <c r="BD25" s="15"/>
      <c r="BE25" s="15"/>
      <c r="BF25" s="15"/>
      <c r="BG25" s="15"/>
      <c r="BH25" s="15"/>
      <c r="BI25" s="15" t="s">
        <v>242</v>
      </c>
      <c r="BJ25" t="s" s="0">
        <v>239</v>
      </c>
      <c r="BK25" t="s" s="0">
        <v>336</v>
      </c>
      <c r="BL25" s="15">
        <f t="shared" si="25"/>
        <v>8.4699999999999998E-2</v>
      </c>
      <c r="BM25" s="54">
        <f t="shared" si="26"/>
        <v>222000</v>
      </c>
    </row>
    <row r="26" spans="1:65" ht="15.75" thickBot="1">
      <c r="A26" s="13"/>
      <c r="C26" s="94" t="s">
        <v>85</v>
      </c>
      <c r="D26" s="77"/>
      <c r="E26" s="77"/>
      <c r="F26" s="77"/>
      <c r="G26" s="78"/>
      <c r="H26" s="45">
        <f>SUM(H23:H25)</f>
        <v>13967.73</v>
      </c>
      <c r="I26" s="41"/>
      <c r="J26" s="41"/>
      <c r="K26" s="41"/>
      <c r="L26" s="41"/>
      <c r="M26" s="41"/>
      <c r="N26" s="41"/>
      <c r="O26" s="41"/>
      <c r="P26" s="41"/>
      <c r="Q26" s="41"/>
      <c r="R26" s="45">
        <f>SUM(R23:R25)</f>
        <v>755.04000000000008</v>
      </c>
      <c r="S26" s="45">
        <f>SUM(S23:S25)</f>
        <v>13212.689999999999</v>
      </c>
      <c r="T26" s="45"/>
      <c r="U26" s="45"/>
      <c r="V26" s="81">
        <f t="shared" ref="V26:AB26" si="29">SUM(V23:V25)</f>
        <v>1189.1400000000001</v>
      </c>
      <c r="W26" s="81">
        <f t="shared" si="29"/>
        <v>1189.1400000000001</v>
      </c>
      <c r="X26" s="81">
        <f t="shared" si="29"/>
        <v>0</v>
      </c>
      <c r="Y26" s="45">
        <f t="shared" si="29"/>
        <v>2378.29</v>
      </c>
      <c r="Z26" s="47">
        <f t="shared" si="29"/>
        <v>15590.98</v>
      </c>
      <c r="AA26" s="48">
        <f t="shared" si="29"/>
        <v>690</v>
      </c>
      <c r="AB26" s="48">
        <f t="shared" si="29"/>
        <v>0</v>
      </c>
      <c r="AC26" s="47"/>
      <c r="AD26" s="48">
        <f>SUM(AD23:AD25)</f>
        <v>0</v>
      </c>
      <c r="AE26" s="48">
        <f>IF($P$21=1,(S26/$S$26)*$E$40,AA26/$AA$26*$E$40)</f>
        <v>0</v>
      </c>
      <c r="AF26" s="48">
        <f>SUM(AF23:AF25)</f>
        <v>13212.689999999999</v>
      </c>
      <c r="AG26" s="48">
        <f>SUM(AG23:AG25)</f>
        <v>0</v>
      </c>
      <c r="AH26" s="48">
        <f>SUM(AH23:AH25)</f>
        <v>0</v>
      </c>
      <c r="AI26" s="47"/>
      <c r="AJ26" s="47"/>
      <c r="AK26" s="47"/>
      <c r="AL26" s="47"/>
      <c r="AM26" s="47"/>
      <c r="AN26" s="47"/>
      <c r="AO26" s="47"/>
      <c r="AP26" s="13"/>
      <c r="AQ26" s="13"/>
      <c r="AT26" s="13"/>
      <c r="AU26" s="13"/>
      <c r="AV26" s="13"/>
      <c r="AW26" s="13"/>
      <c r="AX26" s="13"/>
      <c r="AY26" s="13"/>
      <c r="AZ26" s="13"/>
      <c r="BA26" s="13"/>
      <c r="BB26" s="13"/>
      <c r="BC26" s="13"/>
      <c r="BD26" s="13"/>
      <c r="BE26" s="13"/>
      <c r="BF26" s="13"/>
      <c r="BG26" s="13"/>
      <c r="BH26" s="13"/>
      <c r="BI26" s="13"/>
      <c r="BJ26" s="13"/>
      <c r="BK26" s="13"/>
      <c r="BL26" s="13"/>
    </row>
    <row r="27" spans="1:65" ht="15.75" thickBot="1">
      <c r="A27" s="13"/>
      <c r="B27" s="13"/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13"/>
      <c r="AM27" s="13"/>
      <c r="AN27" s="13"/>
      <c r="AO27" s="13"/>
      <c r="AP27" s="13"/>
      <c r="AQ27" s="13"/>
      <c r="AR27" s="13"/>
      <c r="AS27" s="13"/>
      <c r="AT27" s="13"/>
      <c r="AU27" s="13"/>
      <c r="AV27" s="13"/>
      <c r="AW27" s="13"/>
      <c r="AX27" s="13"/>
      <c r="AY27" s="13"/>
      <c r="AZ27" s="13"/>
      <c r="BA27" s="13"/>
      <c r="BB27" s="13"/>
      <c r="BC27" s="13"/>
      <c r="BD27" s="13"/>
      <c r="BE27" s="13"/>
      <c r="BF27" s="13"/>
      <c r="BG27" s="13"/>
      <c r="BH27" s="13"/>
      <c r="BI27" s="13"/>
      <c r="BJ27" s="13"/>
      <c r="BK27" s="13"/>
      <c r="BL27" s="13"/>
    </row>
    <row r="28" spans="1:65" ht="15.75" thickBot="1">
      <c r="A28" s="13"/>
      <c r="B28" s="13"/>
      <c r="C28" s="13"/>
      <c r="D28" s="13"/>
      <c r="E28" s="13"/>
      <c r="F28" s="13"/>
      <c r="G28" s="116" t="s">
        <v>187</v>
      </c>
      <c r="H28" s="117"/>
      <c r="I28" s="118">
        <f>H26</f>
        <v>13967.73</v>
      </c>
      <c r="J28" s="118"/>
      <c r="K28" s="53"/>
      <c r="L28" s="13"/>
      <c r="M28" s="122" t="s">
        <v>188</v>
      </c>
      <c r="N28" s="123"/>
      <c r="O28" s="123"/>
      <c r="P28" s="124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  <c r="AK28" s="13"/>
      <c r="AL28" s="13"/>
      <c r="AM28" s="13"/>
      <c r="AN28" s="13"/>
      <c r="AO28" s="13"/>
      <c r="AP28" s="13"/>
      <c r="AQ28" s="13"/>
      <c r="AR28" s="13"/>
      <c r="AS28" s="13"/>
      <c r="AT28" s="13"/>
      <c r="AU28" s="13"/>
      <c r="AV28" s="13"/>
      <c r="AW28" s="13"/>
      <c r="AX28" s="13"/>
      <c r="AY28" s="13"/>
      <c r="AZ28" s="13"/>
      <c r="BA28" s="13"/>
      <c r="BB28" s="13"/>
      <c r="BC28" s="13"/>
      <c r="BD28" s="13"/>
      <c r="BE28" s="13" t="s">
        <v>243</v>
      </c>
      <c r="BF28" s="95" t="s">
        <v>246</v>
      </c>
      <c r="BG28" s="13"/>
      <c r="BH28" s="13"/>
      <c r="BI28" s="13"/>
      <c r="BJ28" s="13"/>
      <c r="BK28" s="13"/>
      <c r="BL28" s="13"/>
    </row>
    <row r="29" spans="1:65" ht="15.75" thickBot="1">
      <c r="A29" s="13"/>
      <c r="B29" s="13"/>
      <c r="C29" s="13"/>
      <c r="D29" s="13"/>
      <c r="E29" s="13"/>
      <c r="F29" s="13"/>
      <c r="G29" s="116" t="s">
        <v>189</v>
      </c>
      <c r="H29" s="117"/>
      <c r="I29" s="118">
        <f>R26</f>
        <v>755.04000000000008</v>
      </c>
      <c r="J29" s="118"/>
      <c r="K29" s="13"/>
      <c r="L29" s="13"/>
      <c r="M29" s="68">
        <v>1</v>
      </c>
      <c r="N29" s="68" t="s">
        <v>56</v>
      </c>
      <c r="O29" s="68">
        <v>2</v>
      </c>
      <c r="P29" s="68" t="s">
        <v>156</v>
      </c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/>
      <c r="AM29" s="13"/>
      <c r="AN29" s="13"/>
      <c r="AO29" s="13"/>
      <c r="AP29" s="13"/>
      <c r="AQ29" s="13"/>
      <c r="AR29" s="13"/>
      <c r="AS29" s="13"/>
      <c r="AT29" s="13"/>
      <c r="AU29" s="13"/>
      <c r="AV29" s="13"/>
      <c r="AW29" s="13"/>
      <c r="AX29" s="13"/>
      <c r="AY29" s="13"/>
      <c r="AZ29" s="13"/>
      <c r="BA29" s="13"/>
      <c r="BB29" s="13"/>
      <c r="BC29" s="13"/>
      <c r="BD29" s="13"/>
      <c r="BE29" s="13" t="s">
        <v>244</v>
      </c>
      <c r="BF29" s="95" t="s">
        <v>245</v>
      </c>
      <c r="BG29" s="13"/>
      <c r="BH29" s="13"/>
      <c r="BI29" s="13"/>
      <c r="BJ29" s="13"/>
      <c r="BK29" s="13"/>
      <c r="BL29" s="13"/>
    </row>
    <row r="30" spans="1:65" ht="15.75" thickBot="1">
      <c r="A30" s="13"/>
      <c r="B30" s="13"/>
      <c r="C30" s="13"/>
      <c r="D30" s="13"/>
      <c r="E30" s="13"/>
      <c r="F30" s="13"/>
      <c r="G30" s="116" t="s">
        <v>190</v>
      </c>
      <c r="H30" s="117"/>
      <c r="I30" s="118">
        <f>S26</f>
        <v>13212.689999999999</v>
      </c>
      <c r="J30" s="118"/>
      <c r="K30" s="13"/>
      <c r="L30" s="13"/>
      <c r="M30" s="41">
        <v>1</v>
      </c>
      <c r="N30" s="41" t="s">
        <v>56</v>
      </c>
      <c r="O30" s="41">
        <v>2.5</v>
      </c>
      <c r="P30" s="41" t="s">
        <v>169</v>
      </c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13"/>
      <c r="AN30" s="13"/>
      <c r="AO30" s="13"/>
      <c r="AP30" s="13"/>
      <c r="AQ30" s="13"/>
      <c r="AR30" s="13"/>
      <c r="AS30" s="13"/>
      <c r="AT30" s="13"/>
      <c r="AU30" s="13"/>
      <c r="AV30" s="13"/>
      <c r="AW30" s="13"/>
      <c r="AX30" s="13"/>
      <c r="AY30" s="13"/>
      <c r="AZ30" s="13"/>
      <c r="BA30" s="13"/>
      <c r="BB30" s="13"/>
      <c r="BC30" s="13"/>
      <c r="BD30" s="13"/>
      <c r="BE30" s="13"/>
      <c r="BF30" s="13"/>
      <c r="BG30" s="13"/>
      <c r="BH30" s="13"/>
      <c r="BI30" s="13"/>
      <c r="BJ30" s="13"/>
      <c r="BK30" s="13"/>
      <c r="BL30" s="13"/>
    </row>
    <row r="31" spans="1:65" ht="15.75" thickBot="1">
      <c r="A31" s="13"/>
      <c r="B31" s="13"/>
      <c r="C31" s="13"/>
      <c r="D31" s="13"/>
      <c r="E31" s="13"/>
      <c r="F31" s="13"/>
      <c r="G31" s="116" t="s">
        <v>191</v>
      </c>
      <c r="H31" s="117"/>
      <c r="I31" s="118">
        <f>Y26</f>
        <v>2378.29</v>
      </c>
      <c r="J31" s="118"/>
      <c r="K31" s="13"/>
      <c r="L31" s="13"/>
      <c r="M31" s="41">
        <v>1</v>
      </c>
      <c r="N31" s="41" t="s">
        <v>156</v>
      </c>
      <c r="O31" s="41">
        <v>1E-3</v>
      </c>
      <c r="P31" s="41" t="s">
        <v>178</v>
      </c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13"/>
      <c r="AM31" s="13"/>
      <c r="AN31" s="13"/>
      <c r="AO31" s="13"/>
      <c r="AP31" s="13"/>
      <c r="AQ31" s="13"/>
      <c r="AR31" s="13"/>
      <c r="AS31" s="13"/>
      <c r="AT31" s="13"/>
      <c r="AU31" s="13"/>
      <c r="AV31" s="13"/>
      <c r="AW31" s="13"/>
      <c r="AX31" s="13"/>
      <c r="AY31" s="13"/>
      <c r="AZ31" s="13"/>
      <c r="BA31" s="13"/>
      <c r="BB31" s="13"/>
      <c r="BC31" s="13"/>
      <c r="BD31" s="13"/>
      <c r="BE31" s="13"/>
      <c r="BF31" s="13"/>
      <c r="BG31" s="13"/>
      <c r="BH31" s="13"/>
      <c r="BI31" s="13"/>
      <c r="BJ31" s="13"/>
      <c r="BK31" s="13"/>
      <c r="BL31" s="13"/>
    </row>
    <row r="32" spans="1:65" ht="15.75" thickBot="1">
      <c r="A32" s="13"/>
      <c r="B32" s="13"/>
      <c r="C32" s="13"/>
      <c r="D32" s="13"/>
      <c r="E32" s="13"/>
      <c r="F32" s="13"/>
      <c r="G32" s="116" t="s">
        <v>192</v>
      </c>
      <c r="H32" s="117"/>
      <c r="I32" s="119">
        <f>I30+I31</f>
        <v>15590.98</v>
      </c>
      <c r="J32" s="119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13"/>
      <c r="AM32" s="13"/>
      <c r="AN32" s="13"/>
      <c r="AO32" s="13"/>
      <c r="AP32" s="13"/>
      <c r="AQ32" s="13"/>
      <c r="AR32" s="13"/>
      <c r="AS32" s="13"/>
      <c r="AT32" s="13"/>
      <c r="AU32" s="13"/>
      <c r="AV32" s="13"/>
      <c r="AW32" s="13"/>
      <c r="AX32" s="13"/>
      <c r="AY32" s="13"/>
      <c r="AZ32" s="13"/>
      <c r="BA32" s="13"/>
      <c r="BB32" s="13"/>
      <c r="BC32" s="13"/>
      <c r="BD32" s="13"/>
      <c r="BE32" s="13"/>
      <c r="BF32" s="13"/>
      <c r="BG32" s="13"/>
      <c r="BH32" s="13"/>
      <c r="BI32" s="13"/>
      <c r="BJ32" s="13"/>
      <c r="BK32" s="13"/>
      <c r="BL32" s="13"/>
    </row>
    <row r="33" spans="1:64">
      <c r="A33" s="13"/>
      <c r="B33" s="13"/>
      <c r="C33" s="13"/>
      <c r="D33" s="13"/>
      <c r="E33" s="13"/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  <c r="AK33" s="13"/>
      <c r="AL33" s="13"/>
      <c r="AM33" s="13"/>
      <c r="AN33" s="13"/>
      <c r="AO33" s="13"/>
      <c r="AP33" s="13"/>
      <c r="AQ33" s="13"/>
      <c r="AR33" s="13"/>
      <c r="AS33" s="13"/>
      <c r="AT33" s="13"/>
      <c r="AU33" s="13"/>
      <c r="AV33" s="13"/>
      <c r="AW33" s="13"/>
      <c r="AX33" s="13"/>
      <c r="AY33" s="13"/>
      <c r="AZ33" s="13"/>
      <c r="BA33" s="13"/>
      <c r="BB33" s="13"/>
      <c r="BC33" s="13"/>
      <c r="BD33" s="13"/>
      <c r="BE33" s="13"/>
      <c r="BF33" s="13"/>
      <c r="BG33" s="13"/>
      <c r="BH33" s="13"/>
      <c r="BI33" s="13"/>
      <c r="BJ33" s="13" t="s">
        <v>254</v>
      </c>
      <c r="BK33" s="13" t="s">
        <v>255</v>
      </c>
      <c r="BL33" s="13"/>
    </row>
    <row r="34" spans="1:64">
      <c r="A34" s="13"/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  <c r="AK34" s="13"/>
      <c r="AL34" s="13"/>
      <c r="AM34" s="13"/>
      <c r="AN34" s="13"/>
      <c r="AO34" s="13"/>
      <c r="AP34" s="13"/>
      <c r="AQ34" s="13"/>
      <c r="AR34" s="13"/>
      <c r="AS34" s="13"/>
      <c r="AT34" s="13"/>
      <c r="AU34" s="13"/>
      <c r="AV34" s="13"/>
      <c r="AW34" s="13"/>
      <c r="AX34" s="13"/>
      <c r="AY34" s="13"/>
      <c r="AZ34" s="13"/>
      <c r="BA34" s="13"/>
      <c r="BB34" s="13"/>
      <c r="BC34" s="13"/>
      <c r="BD34" s="13"/>
      <c r="BE34" s="13"/>
      <c r="BF34" s="13"/>
      <c r="BG34" s="13"/>
      <c r="BH34" s="13" t="s">
        <v>250</v>
      </c>
      <c r="BI34" s="13">
        <v>12.5</v>
      </c>
      <c r="BJ34" s="13">
        <f>BI36*BI37</f>
        <v>18277.77</v>
      </c>
      <c r="BK34" s="13">
        <f>BI34*BI35</f>
        <v>6092.59</v>
      </c>
      <c r="BL34" s="13"/>
    </row>
    <row r="35" spans="1:64">
      <c r="A35" s="13"/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  <c r="AK35" s="13"/>
      <c r="AL35" s="13"/>
      <c r="AM35" s="13"/>
      <c r="AN35" s="13"/>
      <c r="AO35" s="13"/>
      <c r="AP35" s="13"/>
      <c r="AQ35" s="13"/>
      <c r="AR35" s="13"/>
      <c r="AS35" s="13"/>
      <c r="AT35" s="13"/>
      <c r="AU35" s="13"/>
      <c r="AV35" s="13"/>
      <c r="AW35" s="13"/>
      <c r="AX35" s="13"/>
      <c r="AY35" s="13"/>
      <c r="AZ35" s="13"/>
      <c r="BA35" s="13"/>
      <c r="BB35" s="13"/>
      <c r="BC35" s="13"/>
      <c r="BD35" s="13"/>
      <c r="BE35" s="13"/>
      <c r="BF35" s="13"/>
      <c r="BG35" s="13"/>
      <c r="BH35" s="13" t="s">
        <v>251</v>
      </c>
      <c r="BI35" s="13">
        <v>487.40719999999999</v>
      </c>
      <c r="BJ35" s="13">
        <f>BI34+BI36</f>
        <v>50</v>
      </c>
      <c r="BK35" s="13"/>
      <c r="BL35" s="13"/>
    </row>
    <row r="36" spans="1:64">
      <c r="A36" s="13"/>
      <c r="B36" s="13"/>
      <c r="C36" s="13"/>
      <c r="D36" s="13"/>
      <c r="E36" s="13"/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  <c r="AK36" s="13"/>
      <c r="AL36" s="13"/>
      <c r="AM36" s="13"/>
      <c r="AN36" s="13"/>
      <c r="AO36" s="13"/>
      <c r="AP36" s="13"/>
      <c r="AQ36" s="13"/>
      <c r="AR36" s="13"/>
      <c r="AS36" s="13"/>
      <c r="AT36" s="13"/>
      <c r="AU36" s="13"/>
      <c r="AV36" s="13"/>
      <c r="AW36" s="13"/>
      <c r="AX36" s="13"/>
      <c r="AY36" s="13"/>
      <c r="AZ36" s="13"/>
      <c r="BA36" s="13"/>
      <c r="BB36" s="13"/>
      <c r="BC36" s="13"/>
      <c r="BD36" s="13"/>
      <c r="BE36" s="13"/>
      <c r="BF36" s="13"/>
      <c r="BG36" s="13"/>
      <c r="BH36" s="13" t="s">
        <v>252</v>
      </c>
      <c r="BI36" s="13">
        <v>37.5</v>
      </c>
      <c r="BJ36" s="13"/>
      <c r="BK36" s="13"/>
      <c r="BL36" s="13"/>
    </row>
    <row r="37" spans="1:64">
      <c r="A37" s="13"/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  <c r="AK37" s="13"/>
      <c r="AL37" s="13"/>
      <c r="AM37" s="13"/>
      <c r="AN37" s="13"/>
      <c r="AO37" s="13"/>
      <c r="AP37" s="13"/>
      <c r="AQ37" s="13"/>
      <c r="AR37" s="13"/>
      <c r="AS37" s="13"/>
      <c r="AT37" s="13"/>
      <c r="AU37" s="13"/>
      <c r="AV37" s="13"/>
      <c r="AW37" s="13"/>
      <c r="AX37" s="13"/>
      <c r="AY37" s="13"/>
      <c r="AZ37" s="13"/>
      <c r="BA37" s="13"/>
      <c r="BB37" s="13"/>
      <c r="BC37" s="13"/>
      <c r="BD37" s="13"/>
      <c r="BE37" s="13"/>
      <c r="BF37" s="13"/>
      <c r="BG37" s="13"/>
      <c r="BH37" s="13" t="s">
        <v>253</v>
      </c>
      <c r="BI37" s="13">
        <v>487.40719999999999</v>
      </c>
      <c r="BJ37" s="13"/>
      <c r="BK37" s="13"/>
      <c r="BL37" s="13"/>
    </row>
    <row r="38" spans="1:64">
      <c r="A38" s="13"/>
      <c r="B38" s="13"/>
      <c r="C38" s="13"/>
      <c r="D38" s="13"/>
      <c r="E38" s="13"/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  <c r="AK38" s="13"/>
      <c r="AL38" s="13"/>
      <c r="AM38" s="13"/>
      <c r="AN38" s="13"/>
      <c r="AO38" s="13"/>
      <c r="AP38" s="13"/>
      <c r="AQ38" s="13"/>
      <c r="AR38" s="13"/>
      <c r="AS38" s="13"/>
      <c r="AT38" s="13"/>
      <c r="AU38" s="13"/>
      <c r="AV38" s="13"/>
      <c r="AW38" s="13"/>
      <c r="AX38" s="13"/>
      <c r="AY38" s="13"/>
      <c r="AZ38" s="13"/>
      <c r="BA38" s="13"/>
      <c r="BB38" s="13"/>
      <c r="BC38" s="13"/>
      <c r="BD38" s="13"/>
      <c r="BE38" s="13"/>
      <c r="BF38" s="13"/>
      <c r="BG38" s="13"/>
      <c r="BH38" s="13"/>
      <c r="BI38" s="13"/>
      <c r="BJ38" s="13">
        <f>BJ34+BK34</f>
        <v>24370.36</v>
      </c>
      <c r="BK38" s="13">
        <f>BJ38/BJ35</f>
        <v>487.40719999999999</v>
      </c>
      <c r="BL38" s="13"/>
    </row>
    <row r="39" spans="1:64">
      <c r="A39" s="13"/>
      <c r="B39" s="13"/>
      <c r="C39" s="13"/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  <c r="AM39" s="13"/>
      <c r="AN39" s="13"/>
      <c r="AO39" s="13"/>
      <c r="AP39" s="13"/>
      <c r="AQ39" s="13"/>
      <c r="AR39" s="13"/>
      <c r="AS39" s="13"/>
      <c r="AT39" s="13"/>
      <c r="AU39" s="13"/>
      <c r="AV39" s="13"/>
      <c r="AW39" s="13"/>
      <c r="AX39" s="13"/>
      <c r="AY39" s="13"/>
      <c r="AZ39" s="13"/>
      <c r="BA39" s="13"/>
      <c r="BB39" s="13"/>
      <c r="BC39" s="13"/>
      <c r="BD39" s="13"/>
      <c r="BE39" s="13"/>
      <c r="BF39" s="13"/>
      <c r="BG39" s="13"/>
      <c r="BH39" s="13"/>
      <c r="BI39" s="13"/>
      <c r="BJ39" s="13"/>
      <c r="BK39" s="13"/>
      <c r="BL39" s="13"/>
    </row>
    <row r="40" spans="1:64">
      <c r="A40" s="13"/>
      <c r="B40" s="13"/>
      <c r="C40" s="13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3"/>
      <c r="AL40" s="13"/>
      <c r="AM40" s="13"/>
      <c r="AN40" s="13"/>
      <c r="AO40" s="13"/>
      <c r="AP40" s="13"/>
      <c r="AQ40" s="13"/>
      <c r="AR40" s="13"/>
      <c r="AS40" s="13"/>
      <c r="AT40" s="13"/>
      <c r="AU40" s="13"/>
      <c r="AV40" s="13"/>
      <c r="AW40" s="13"/>
      <c r="AX40" s="13"/>
      <c r="AY40" s="13"/>
      <c r="AZ40" s="13"/>
      <c r="BA40" s="13"/>
      <c r="BB40" s="13"/>
      <c r="BC40" s="13"/>
      <c r="BD40" s="13"/>
      <c r="BE40" s="13"/>
      <c r="BF40" s="13"/>
      <c r="BG40" s="13"/>
      <c r="BH40" s="13"/>
      <c r="BI40" s="13"/>
      <c r="BJ40" s="13"/>
      <c r="BK40" s="13"/>
      <c r="BL40" s="13"/>
    </row>
  </sheetData>
  <mergeCells count="14">
    <mergeCell ref="G32:H32"/>
    <mergeCell ref="I32:J32"/>
    <mergeCell ref="G29:H29"/>
    <mergeCell ref="I29:J29"/>
    <mergeCell ref="G30:H30"/>
    <mergeCell ref="I30:J30"/>
    <mergeCell ref="G31:H31"/>
    <mergeCell ref="I31:J31"/>
    <mergeCell ref="A1:Z1"/>
    <mergeCell ref="B19:G19"/>
    <mergeCell ref="A21:B21"/>
    <mergeCell ref="G28:H28"/>
    <mergeCell ref="I28:J28"/>
    <mergeCell ref="M28:P28"/>
  </mergeCells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>
  <dimension ref="A1:BM34"/>
  <sheetViews>
    <sheetView topLeftCell="BE8" workbookViewId="0">
      <selection activeCell="BL26" sqref="BL26"/>
    </sheetView>
  </sheetViews>
  <sheetFormatPr defaultRowHeight="15"/>
  <cols>
    <col min="2" max="2" bestFit="true" customWidth="true" width="23.5703125"/>
    <col min="32" max="32" bestFit="true" customWidth="true" width="14.28515625"/>
    <col min="62" max="62" bestFit="true" customWidth="true" width="41.140625"/>
    <col min="64" max="64" bestFit="true" customWidth="true" width="18.85546875"/>
    <col min="65" max="65" bestFit="true" customWidth="true" width="34.42578125"/>
  </cols>
  <sheetData>
    <row r="1" spans="1:64" ht="18.75" thickBot="1">
      <c r="A1" s="120" t="s">
        <v>147</v>
      </c>
      <c r="B1" s="120"/>
      <c r="C1" s="120"/>
      <c r="D1" s="120"/>
      <c r="E1" s="120"/>
      <c r="F1" s="120"/>
      <c r="G1" s="120"/>
      <c r="H1" s="120"/>
      <c r="I1" s="120"/>
      <c r="J1" s="120"/>
      <c r="K1" s="120"/>
      <c r="L1" s="120"/>
      <c r="M1" s="120"/>
      <c r="N1" s="120"/>
      <c r="O1" s="120"/>
      <c r="P1" s="120"/>
      <c r="Q1" s="120"/>
      <c r="R1" s="120"/>
      <c r="S1" s="120"/>
      <c r="T1" s="120"/>
      <c r="U1" s="120"/>
      <c r="V1" s="120"/>
      <c r="W1" s="120"/>
      <c r="X1" s="120"/>
      <c r="Y1" s="120"/>
      <c r="Z1" s="120"/>
      <c r="AA1" s="92"/>
      <c r="AB1" s="92"/>
      <c r="AC1" s="92"/>
      <c r="AD1" s="92"/>
      <c r="AE1" s="92"/>
      <c r="AF1" s="92"/>
      <c r="AG1" s="92"/>
      <c r="AH1" s="92"/>
      <c r="AI1" s="92"/>
      <c r="AJ1" s="92"/>
      <c r="AK1" s="92"/>
      <c r="AL1" s="92"/>
      <c r="AM1" s="92"/>
      <c r="AN1" s="92"/>
      <c r="AO1" s="13"/>
      <c r="AP1" s="13"/>
      <c r="AQ1" s="13"/>
      <c r="AR1" s="13"/>
      <c r="AS1" s="13"/>
      <c r="AT1" s="13"/>
      <c r="AU1" s="13"/>
      <c r="AV1" s="13"/>
      <c r="AW1" s="13"/>
      <c r="AX1" s="13"/>
      <c r="AY1" s="13"/>
      <c r="AZ1" s="13"/>
      <c r="BA1" s="13"/>
      <c r="BB1" s="13"/>
      <c r="BC1" s="13"/>
      <c r="BD1" s="13"/>
      <c r="BE1" s="13"/>
      <c r="BF1" s="13"/>
      <c r="BG1" s="13"/>
      <c r="BH1" s="13"/>
      <c r="BI1" s="13"/>
      <c r="BJ1" s="13"/>
      <c r="BK1" s="13"/>
      <c r="BL1" s="13"/>
    </row>
    <row r="2" spans="1:64" ht="18.75" thickBot="1">
      <c r="A2" s="105" t="s">
        <v>146</v>
      </c>
      <c r="B2" s="105"/>
      <c r="C2" s="105"/>
      <c r="D2" s="105"/>
      <c r="E2" s="105"/>
      <c r="F2" s="105"/>
      <c r="G2" s="105"/>
      <c r="H2" s="105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3"/>
      <c r="AS2" s="13"/>
      <c r="AT2" s="13"/>
      <c r="AU2" s="13"/>
      <c r="AV2" s="13"/>
      <c r="AW2" s="13"/>
      <c r="AX2" s="13"/>
      <c r="AY2" s="13"/>
      <c r="AZ2" s="13"/>
      <c r="BA2" s="13"/>
      <c r="BB2" s="13"/>
      <c r="BC2" s="13"/>
      <c r="BD2" s="13"/>
      <c r="BE2" s="13"/>
      <c r="BF2" s="13"/>
      <c r="BG2" s="13"/>
      <c r="BH2" s="13"/>
      <c r="BI2" s="13"/>
      <c r="BJ2" s="13"/>
      <c r="BK2" s="13"/>
      <c r="BL2" s="13"/>
    </row>
    <row r="3" spans="1:64" ht="15.75" thickTop="1">
      <c r="A3" s="8" t="s">
        <v>46</v>
      </c>
      <c r="B3" s="9" t="s">
        <v>47</v>
      </c>
      <c r="C3" s="10" t="s">
        <v>48</v>
      </c>
      <c r="D3" s="9" t="s">
        <v>49</v>
      </c>
      <c r="E3" s="9" t="s">
        <v>50</v>
      </c>
      <c r="F3" s="9" t="s">
        <v>51</v>
      </c>
      <c r="G3" s="9" t="s">
        <v>52</v>
      </c>
      <c r="H3" s="11" t="s">
        <v>53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13"/>
      <c r="AT3" s="13"/>
      <c r="AU3" s="13"/>
      <c r="AV3" s="13"/>
      <c r="AW3" s="13"/>
      <c r="AX3" s="13"/>
      <c r="AY3" s="13"/>
      <c r="AZ3" s="13"/>
      <c r="BA3" s="13"/>
      <c r="BB3" s="13"/>
      <c r="BC3" s="13"/>
      <c r="BD3" s="13"/>
      <c r="BE3" s="13"/>
      <c r="BF3" s="13"/>
      <c r="BG3" s="13"/>
      <c r="BH3" s="13"/>
      <c r="BI3" s="13"/>
      <c r="BJ3" s="13"/>
      <c r="BK3" s="13"/>
      <c r="BL3" s="13"/>
    </row>
    <row r="4" spans="1:64">
      <c r="A4" s="14">
        <v>1</v>
      </c>
      <c r="B4" s="15" t="s">
        <v>54</v>
      </c>
      <c r="C4" s="15" t="s">
        <v>55</v>
      </c>
      <c r="D4" s="15" t="s">
        <v>56</v>
      </c>
      <c r="E4" s="15" t="s">
        <v>56</v>
      </c>
      <c r="F4" s="16">
        <v>25</v>
      </c>
      <c r="G4" s="17">
        <v>257.63</v>
      </c>
      <c r="H4" s="18">
        <f>F4*G4</f>
        <v>6440.75</v>
      </c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  <c r="AQ4" s="13"/>
      <c r="AR4" s="13"/>
      <c r="AS4" s="13"/>
      <c r="AT4" s="13"/>
      <c r="AU4" s="13"/>
      <c r="AV4" s="13"/>
      <c r="AW4" s="13"/>
      <c r="AX4" s="13"/>
      <c r="AY4" s="13"/>
      <c r="AZ4" s="13"/>
      <c r="BA4" s="13"/>
      <c r="BB4" s="13"/>
      <c r="BC4" s="13"/>
      <c r="BD4" s="13"/>
      <c r="BE4" s="13"/>
      <c r="BF4" s="13"/>
      <c r="BG4" s="13"/>
      <c r="BH4" s="13"/>
      <c r="BI4" s="13"/>
      <c r="BJ4" s="13"/>
      <c r="BK4" s="13"/>
      <c r="BL4" s="13"/>
    </row>
    <row r="5" spans="1:64">
      <c r="A5" s="14">
        <v>2</v>
      </c>
      <c r="B5" s="15" t="s">
        <v>57</v>
      </c>
      <c r="C5" s="15" t="s">
        <v>58</v>
      </c>
      <c r="D5" s="15" t="s">
        <v>56</v>
      </c>
      <c r="E5" s="15" t="s">
        <v>56</v>
      </c>
      <c r="F5" s="16">
        <v>35</v>
      </c>
      <c r="G5" s="17">
        <v>125.45</v>
      </c>
      <c r="H5" s="18">
        <f>F5*G5</f>
        <v>4390.75</v>
      </c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  <c r="AU5" s="13"/>
      <c r="AV5" s="13"/>
      <c r="AW5" s="13"/>
      <c r="AX5" s="13"/>
      <c r="AY5" s="13"/>
      <c r="AZ5" s="13"/>
      <c r="BA5" s="13"/>
      <c r="BB5" s="13"/>
      <c r="BC5" s="13"/>
      <c r="BD5" s="13"/>
      <c r="BE5" s="13"/>
      <c r="BF5" s="13"/>
      <c r="BG5" s="13"/>
      <c r="BH5" s="13"/>
      <c r="BI5" s="13"/>
      <c r="BJ5" s="13"/>
      <c r="BK5" s="13"/>
      <c r="BL5" s="13"/>
    </row>
    <row r="6" spans="1:64">
      <c r="A6" s="14">
        <v>3</v>
      </c>
      <c r="B6" s="15" t="s">
        <v>59</v>
      </c>
      <c r="C6" s="15" t="s">
        <v>60</v>
      </c>
      <c r="D6" s="15" t="s">
        <v>56</v>
      </c>
      <c r="E6" s="15" t="s">
        <v>56</v>
      </c>
      <c r="F6" s="16">
        <v>45</v>
      </c>
      <c r="G6" s="17">
        <v>125.36</v>
      </c>
      <c r="H6" s="18">
        <f>F6*G6</f>
        <v>5641.2</v>
      </c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  <c r="AQ6" s="13"/>
      <c r="AR6" s="13"/>
      <c r="AS6" s="13"/>
      <c r="AT6" s="13"/>
      <c r="AU6" s="13"/>
      <c r="AV6" s="13"/>
      <c r="AW6" s="13"/>
      <c r="AX6" s="13"/>
      <c r="AY6" s="13"/>
      <c r="AZ6" s="13"/>
      <c r="BA6" s="13"/>
      <c r="BB6" s="13"/>
      <c r="BC6" s="13"/>
      <c r="BD6" s="13"/>
      <c r="BE6" s="13"/>
      <c r="BF6" s="13"/>
      <c r="BG6" s="13"/>
      <c r="BH6" s="13"/>
      <c r="BI6" s="13"/>
      <c r="BJ6" s="13"/>
      <c r="BK6" s="13"/>
      <c r="BL6" s="13"/>
    </row>
    <row r="7" spans="1:64">
      <c r="A7" s="14">
        <v>4</v>
      </c>
      <c r="B7" s="15" t="s">
        <v>61</v>
      </c>
      <c r="C7" s="15" t="s">
        <v>62</v>
      </c>
      <c r="D7" s="15" t="s">
        <v>56</v>
      </c>
      <c r="E7" s="15" t="s">
        <v>56</v>
      </c>
      <c r="F7" s="16">
        <v>55</v>
      </c>
      <c r="G7" s="17">
        <v>45.25</v>
      </c>
      <c r="H7" s="18">
        <f t="shared" ref="H7:H18" si="0">F7*G7</f>
        <v>2488.75</v>
      </c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  <c r="AQ7" s="13"/>
      <c r="AR7" s="13"/>
      <c r="AS7" s="13"/>
      <c r="AT7" s="13"/>
      <c r="AU7" s="13"/>
      <c r="AV7" s="13"/>
      <c r="AW7" s="13"/>
      <c r="AX7" s="13"/>
      <c r="AY7" s="13"/>
      <c r="AZ7" s="13"/>
      <c r="BA7" s="13"/>
      <c r="BB7" s="13"/>
      <c r="BC7" s="13"/>
      <c r="BD7" s="13"/>
      <c r="BE7" s="13"/>
      <c r="BF7" s="13"/>
      <c r="BG7" s="13"/>
      <c r="BH7" s="13"/>
      <c r="BI7" s="13"/>
      <c r="BJ7" s="13"/>
      <c r="BK7" s="13"/>
      <c r="BL7" s="13"/>
    </row>
    <row r="8" spans="1:64">
      <c r="A8" s="14">
        <v>5</v>
      </c>
      <c r="B8" s="15" t="s">
        <v>63</v>
      </c>
      <c r="C8" s="15" t="s">
        <v>64</v>
      </c>
      <c r="D8" s="15" t="s">
        <v>56</v>
      </c>
      <c r="E8" s="15" t="s">
        <v>56</v>
      </c>
      <c r="F8" s="16">
        <v>60</v>
      </c>
      <c r="G8" s="17">
        <v>45.5</v>
      </c>
      <c r="H8" s="18">
        <f t="shared" si="0"/>
        <v>2730</v>
      </c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13"/>
      <c r="AM8" s="13"/>
      <c r="AN8" s="13"/>
      <c r="AO8" s="13"/>
      <c r="AP8" s="13"/>
      <c r="AQ8" s="13"/>
      <c r="AR8" s="13"/>
      <c r="AS8" s="13"/>
      <c r="AT8" s="13"/>
      <c r="AU8" s="13"/>
      <c r="AV8" s="13"/>
      <c r="AW8" s="13"/>
      <c r="AX8" s="13"/>
      <c r="AY8" s="13"/>
      <c r="AZ8" s="13"/>
      <c r="BA8" s="13"/>
      <c r="BB8" s="13"/>
      <c r="BC8" s="13"/>
      <c r="BD8" s="13"/>
      <c r="BE8" s="13"/>
      <c r="BF8" s="13"/>
      <c r="BG8" s="13"/>
      <c r="BH8" s="13"/>
      <c r="BI8" s="13"/>
      <c r="BJ8" s="13"/>
      <c r="BK8" s="13"/>
      <c r="BL8" s="13"/>
    </row>
    <row r="9" spans="1:64">
      <c r="A9" s="14">
        <v>6</v>
      </c>
      <c r="B9" s="15" t="s">
        <v>65</v>
      </c>
      <c r="C9" s="15" t="s">
        <v>66</v>
      </c>
      <c r="D9" s="15" t="s">
        <v>56</v>
      </c>
      <c r="E9" s="15" t="s">
        <v>56</v>
      </c>
      <c r="F9" s="16">
        <v>75</v>
      </c>
      <c r="G9" s="17">
        <v>125.25</v>
      </c>
      <c r="H9" s="18">
        <f t="shared" si="0"/>
        <v>9393.75</v>
      </c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  <c r="AQ9" s="13"/>
      <c r="AR9" s="13"/>
      <c r="AS9" s="13"/>
      <c r="AT9" s="13"/>
      <c r="AU9" s="13"/>
      <c r="AV9" s="13"/>
      <c r="AW9" s="13"/>
      <c r="AX9" s="13"/>
      <c r="AY9" s="13"/>
      <c r="AZ9" s="13"/>
      <c r="BA9" s="13"/>
      <c r="BB9" s="13"/>
      <c r="BC9" s="13"/>
      <c r="BD9" s="13"/>
      <c r="BE9" s="13"/>
      <c r="BF9" s="13"/>
      <c r="BG9" s="13"/>
      <c r="BH9" s="13"/>
      <c r="BI9" s="13"/>
      <c r="BJ9" s="13"/>
      <c r="BK9" s="13"/>
      <c r="BL9" s="13"/>
    </row>
    <row r="10" spans="1:64">
      <c r="A10" s="14">
        <v>7</v>
      </c>
      <c r="B10" s="15" t="s">
        <v>67</v>
      </c>
      <c r="C10" s="15" t="s">
        <v>68</v>
      </c>
      <c r="D10" s="15" t="s">
        <v>56</v>
      </c>
      <c r="E10" s="15" t="s">
        <v>56</v>
      </c>
      <c r="F10" s="16">
        <v>28</v>
      </c>
      <c r="G10" s="17">
        <v>150.5</v>
      </c>
      <c r="H10" s="18">
        <f t="shared" si="0"/>
        <v>4214</v>
      </c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  <c r="AK10" s="13"/>
      <c r="AL10" s="13"/>
      <c r="AM10" s="13"/>
      <c r="AN10" s="13"/>
      <c r="AO10" s="13"/>
      <c r="AP10" s="13"/>
      <c r="AQ10" s="13"/>
      <c r="AR10" s="13"/>
      <c r="AS10" s="13"/>
      <c r="AT10" s="13"/>
      <c r="AU10" s="13"/>
      <c r="AV10" s="13"/>
      <c r="AW10" s="13"/>
      <c r="AX10" s="13"/>
      <c r="AY10" s="13"/>
      <c r="AZ10" s="13"/>
      <c r="BA10" s="13"/>
      <c r="BB10" s="13"/>
      <c r="BC10" s="13"/>
      <c r="BD10" s="13"/>
      <c r="BE10" s="13"/>
      <c r="BF10" s="13"/>
      <c r="BG10" s="13"/>
      <c r="BH10" s="13"/>
      <c r="BI10" s="13"/>
      <c r="BJ10" s="13"/>
      <c r="BK10" s="13"/>
      <c r="BL10" s="13"/>
    </row>
    <row r="11" spans="1:64">
      <c r="A11" s="14">
        <v>8</v>
      </c>
      <c r="B11" s="15" t="s">
        <v>69</v>
      </c>
      <c r="C11" s="15" t="s">
        <v>70</v>
      </c>
      <c r="D11" s="15" t="s">
        <v>56</v>
      </c>
      <c r="E11" s="15" t="s">
        <v>56</v>
      </c>
      <c r="F11" s="16">
        <v>30</v>
      </c>
      <c r="G11" s="17">
        <v>65.319999999999993</v>
      </c>
      <c r="H11" s="18">
        <f t="shared" si="0"/>
        <v>1959.6</v>
      </c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  <c r="AQ11" s="13"/>
      <c r="AR11" s="13"/>
      <c r="AS11" s="13"/>
      <c r="AT11" s="13"/>
      <c r="AU11" s="13"/>
      <c r="AV11" s="13"/>
      <c r="AW11" s="13"/>
      <c r="AX11" s="13"/>
      <c r="AY11" s="13"/>
      <c r="AZ11" s="13"/>
      <c r="BA11" s="13"/>
      <c r="BB11" s="13"/>
      <c r="BC11" s="13"/>
      <c r="BD11" s="13"/>
      <c r="BE11" s="13"/>
      <c r="BF11" s="13"/>
      <c r="BG11" s="13"/>
      <c r="BH11" s="13"/>
      <c r="BI11" s="13"/>
      <c r="BJ11" s="13"/>
      <c r="BK11" s="13"/>
      <c r="BL11" s="13"/>
    </row>
    <row r="12" spans="1:64">
      <c r="A12" s="14">
        <v>9</v>
      </c>
      <c r="B12" s="15" t="s">
        <v>71</v>
      </c>
      <c r="C12" s="15" t="s">
        <v>72</v>
      </c>
      <c r="D12" s="15" t="s">
        <v>56</v>
      </c>
      <c r="E12" s="15" t="s">
        <v>56</v>
      </c>
      <c r="F12" s="16">
        <v>25</v>
      </c>
      <c r="G12" s="17">
        <v>74.89</v>
      </c>
      <c r="H12" s="18">
        <f t="shared" si="0"/>
        <v>1872.25</v>
      </c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  <c r="AQ12" s="13"/>
      <c r="AR12" s="13"/>
      <c r="AS12" s="13"/>
      <c r="AT12" s="13"/>
      <c r="AU12" s="13"/>
      <c r="AV12" s="13"/>
      <c r="AW12" s="13"/>
      <c r="AX12" s="13"/>
      <c r="AY12" s="13"/>
      <c r="AZ12" s="13"/>
      <c r="BA12" s="13"/>
      <c r="BB12" s="13"/>
      <c r="BC12" s="13"/>
      <c r="BD12" s="13"/>
      <c r="BE12" s="13"/>
      <c r="BF12" s="13"/>
      <c r="BG12" s="13"/>
      <c r="BH12" s="13"/>
      <c r="BI12" s="13"/>
      <c r="BJ12" s="13"/>
      <c r="BK12" s="13"/>
      <c r="BL12" s="13"/>
    </row>
    <row r="13" spans="1:64">
      <c r="A13" s="14">
        <v>10</v>
      </c>
      <c r="B13" s="15" t="s">
        <v>73</v>
      </c>
      <c r="C13" s="15" t="s">
        <v>74</v>
      </c>
      <c r="D13" s="15" t="s">
        <v>56</v>
      </c>
      <c r="E13" s="15" t="s">
        <v>56</v>
      </c>
      <c r="F13" s="16">
        <v>28</v>
      </c>
      <c r="G13" s="17">
        <v>89.56</v>
      </c>
      <c r="H13" s="18">
        <f t="shared" si="0"/>
        <v>2507.6800000000003</v>
      </c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/>
      <c r="AU13" s="13"/>
      <c r="AV13" s="13"/>
      <c r="AW13" s="13"/>
      <c r="AX13" s="13"/>
      <c r="AY13" s="13"/>
      <c r="AZ13" s="13"/>
      <c r="BA13" s="13"/>
      <c r="BB13" s="13"/>
      <c r="BC13" s="13"/>
      <c r="BD13" s="13"/>
      <c r="BE13" s="13"/>
      <c r="BF13" s="13"/>
      <c r="BG13" s="13"/>
      <c r="BH13" s="13"/>
      <c r="BI13" s="13"/>
      <c r="BJ13" s="13"/>
      <c r="BK13" s="13"/>
      <c r="BL13" s="13"/>
    </row>
    <row r="14" spans="1:64">
      <c r="A14" s="14">
        <v>11</v>
      </c>
      <c r="B14" s="15" t="s">
        <v>75</v>
      </c>
      <c r="C14" s="15" t="s">
        <v>76</v>
      </c>
      <c r="D14" s="15" t="s">
        <v>56</v>
      </c>
      <c r="E14" s="15" t="s">
        <v>56</v>
      </c>
      <c r="F14" s="16">
        <v>37</v>
      </c>
      <c r="G14" s="17">
        <v>89.54</v>
      </c>
      <c r="H14" s="18">
        <f t="shared" si="0"/>
        <v>3312.98</v>
      </c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13"/>
      <c r="AL14" s="13"/>
      <c r="AM14" s="13"/>
      <c r="AN14" s="13"/>
      <c r="AO14" s="13"/>
      <c r="AP14" s="13"/>
      <c r="AQ14" s="13"/>
      <c r="AR14" s="13"/>
      <c r="AS14" s="13"/>
      <c r="AT14" s="13"/>
      <c r="AU14" s="13"/>
      <c r="AV14" s="13"/>
      <c r="AW14" s="13"/>
      <c r="AX14" s="13"/>
      <c r="AY14" s="13"/>
      <c r="AZ14" s="13"/>
      <c r="BA14" s="13"/>
      <c r="BB14" s="13"/>
      <c r="BC14" s="13"/>
      <c r="BD14" s="13"/>
      <c r="BE14" s="13"/>
      <c r="BF14" s="13"/>
      <c r="BG14" s="13"/>
      <c r="BH14" s="13"/>
      <c r="BI14" s="13"/>
      <c r="BJ14" s="13"/>
      <c r="BK14" s="13"/>
      <c r="BL14" s="13"/>
    </row>
    <row r="15" spans="1:64">
      <c r="A15" s="14">
        <v>12</v>
      </c>
      <c r="B15" s="15" t="s">
        <v>77</v>
      </c>
      <c r="C15" s="15" t="s">
        <v>78</v>
      </c>
      <c r="D15" s="15" t="s">
        <v>56</v>
      </c>
      <c r="E15" s="15" t="s">
        <v>56</v>
      </c>
      <c r="F15" s="16">
        <v>39</v>
      </c>
      <c r="G15" s="17">
        <v>98.25</v>
      </c>
      <c r="H15" s="18">
        <f t="shared" si="0"/>
        <v>3831.75</v>
      </c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  <c r="AM15" s="13"/>
      <c r="AN15" s="13"/>
      <c r="AO15" s="13"/>
      <c r="AP15" s="13"/>
      <c r="AQ15" s="13"/>
      <c r="AR15" s="13"/>
      <c r="AS15" s="13"/>
      <c r="AT15" s="13"/>
      <c r="AU15" s="13"/>
      <c r="AV15" s="13"/>
      <c r="AW15" s="13"/>
      <c r="AX15" s="13"/>
      <c r="AY15" s="13"/>
      <c r="AZ15" s="13"/>
      <c r="BA15" s="13"/>
      <c r="BB15" s="13"/>
      <c r="BC15" s="13"/>
      <c r="BD15" s="13"/>
      <c r="BE15" s="13"/>
      <c r="BF15" s="13"/>
      <c r="BG15" s="13"/>
      <c r="BH15" s="13"/>
      <c r="BI15" s="13"/>
      <c r="BJ15" s="13"/>
      <c r="BK15" s="13"/>
      <c r="BL15" s="13"/>
    </row>
    <row r="16" spans="1:64">
      <c r="A16" s="14">
        <v>13</v>
      </c>
      <c r="B16" s="15" t="s">
        <v>79</v>
      </c>
      <c r="C16" s="15" t="s">
        <v>80</v>
      </c>
      <c r="D16" s="15" t="s">
        <v>56</v>
      </c>
      <c r="E16" s="15" t="s">
        <v>56</v>
      </c>
      <c r="F16" s="16">
        <v>70</v>
      </c>
      <c r="G16" s="17">
        <v>102.25</v>
      </c>
      <c r="H16" s="18">
        <f t="shared" si="0"/>
        <v>7157.5</v>
      </c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13"/>
      <c r="AM16" s="13"/>
      <c r="AN16" s="13"/>
      <c r="AO16" s="13"/>
      <c r="AP16" s="13"/>
      <c r="AQ16" s="13"/>
      <c r="AR16" s="13"/>
      <c r="AS16" s="13"/>
      <c r="AT16" s="13"/>
      <c r="AU16" s="13"/>
      <c r="AV16" s="13"/>
      <c r="AW16" s="13"/>
      <c r="AX16" s="13"/>
      <c r="AY16" s="13"/>
      <c r="AZ16" s="13"/>
      <c r="BA16" s="13"/>
      <c r="BB16" s="13"/>
      <c r="BC16" s="13"/>
      <c r="BD16" s="13"/>
      <c r="BE16" s="13"/>
      <c r="BF16" s="13"/>
      <c r="BG16" s="13"/>
      <c r="BH16" s="13"/>
      <c r="BI16" s="13"/>
      <c r="BJ16" s="13"/>
      <c r="BK16" s="13"/>
      <c r="BL16" s="13"/>
    </row>
    <row r="17" spans="1:65">
      <c r="A17" s="14">
        <v>14</v>
      </c>
      <c r="B17" s="15" t="s">
        <v>81</v>
      </c>
      <c r="C17" s="15" t="s">
        <v>82</v>
      </c>
      <c r="D17" s="15" t="s">
        <v>56</v>
      </c>
      <c r="E17" s="15" t="s">
        <v>56</v>
      </c>
      <c r="F17" s="16">
        <v>100</v>
      </c>
      <c r="G17" s="17">
        <v>103.5</v>
      </c>
      <c r="H17" s="18">
        <f t="shared" si="0"/>
        <v>10350</v>
      </c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13"/>
      <c r="AU17" s="13"/>
      <c r="AV17" s="13"/>
      <c r="AW17" s="13"/>
      <c r="AX17" s="13"/>
      <c r="AY17" s="13"/>
      <c r="AZ17" s="13"/>
      <c r="BA17" s="13"/>
      <c r="BB17" s="13"/>
      <c r="BC17" s="13"/>
      <c r="BD17" s="13"/>
      <c r="BE17" s="13"/>
      <c r="BF17" s="13"/>
      <c r="BG17" s="13"/>
      <c r="BH17" s="13"/>
      <c r="BI17" s="13"/>
      <c r="BJ17" s="13"/>
      <c r="BK17" s="13"/>
      <c r="BL17" s="13"/>
    </row>
    <row r="18" spans="1:65" ht="15.75" thickBot="1">
      <c r="A18" s="21">
        <v>15</v>
      </c>
      <c r="B18" s="22" t="s">
        <v>83</v>
      </c>
      <c r="C18" s="22" t="s">
        <v>84</v>
      </c>
      <c r="D18" s="22" t="s">
        <v>56</v>
      </c>
      <c r="E18" s="22" t="s">
        <v>56</v>
      </c>
      <c r="F18" s="23">
        <v>85</v>
      </c>
      <c r="G18" s="24">
        <v>65.48</v>
      </c>
      <c r="H18" s="25">
        <f t="shared" si="0"/>
        <v>5565.8</v>
      </c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  <c r="AQ18" s="13"/>
      <c r="AR18" s="13"/>
      <c r="AS18" s="13"/>
      <c r="AT18" s="13"/>
      <c r="AU18" s="13"/>
      <c r="AV18" s="13"/>
      <c r="AW18" s="13"/>
      <c r="AX18" s="13"/>
      <c r="AY18" s="13"/>
      <c r="AZ18" s="13"/>
      <c r="BA18" s="13"/>
      <c r="BB18" s="13"/>
      <c r="BC18" s="13"/>
      <c r="BD18" s="13"/>
      <c r="BE18" s="13"/>
      <c r="BF18" s="13"/>
      <c r="BG18" s="13"/>
      <c r="BH18" s="13"/>
      <c r="BI18" s="13"/>
      <c r="BJ18" s="13"/>
      <c r="BK18" s="13"/>
      <c r="BL18" s="13"/>
    </row>
    <row r="19" spans="1:65" ht="15.75" thickTop="1">
      <c r="A19" s="13"/>
      <c r="B19" s="114" t="s">
        <v>85</v>
      </c>
      <c r="C19" s="114"/>
      <c r="D19" s="114"/>
      <c r="E19" s="114"/>
      <c r="F19" s="114"/>
      <c r="G19" s="114"/>
      <c r="H19" s="26">
        <f>SUM(H4:H18)</f>
        <v>71856.759999999995</v>
      </c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13"/>
      <c r="AU19" s="13"/>
      <c r="AV19" s="13"/>
      <c r="AW19" s="13"/>
      <c r="AX19" s="13"/>
      <c r="AY19" s="13"/>
      <c r="AZ19" s="13"/>
      <c r="BA19" s="13"/>
      <c r="BB19" s="13"/>
      <c r="BC19" s="13"/>
      <c r="BD19" s="13"/>
      <c r="BE19" s="13"/>
      <c r="BF19" s="13"/>
      <c r="BG19" s="13"/>
      <c r="BH19" s="13"/>
      <c r="BI19" s="13"/>
      <c r="BJ19" s="13"/>
      <c r="BK19" s="13"/>
      <c r="BL19" s="13"/>
    </row>
    <row r="20" spans="1:65">
      <c r="A20" s="28" t="s">
        <v>86</v>
      </c>
      <c r="B20" s="29"/>
      <c r="C20" s="29"/>
      <c r="D20" s="29"/>
      <c r="E20" s="29"/>
      <c r="F20" s="29"/>
      <c r="G20" s="29"/>
      <c r="H20" s="28"/>
      <c r="I20" s="30"/>
      <c r="J20" s="30"/>
      <c r="K20" s="30"/>
      <c r="L20" s="30"/>
      <c r="M20" s="30"/>
      <c r="N20" s="30"/>
      <c r="O20" s="30"/>
      <c r="P20" s="30"/>
      <c r="Q20" s="30"/>
      <c r="R20" s="28"/>
      <c r="S20" s="28"/>
      <c r="T20" s="28"/>
      <c r="U20" s="28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13"/>
      <c r="AU20" s="13"/>
      <c r="AV20" s="13"/>
      <c r="AW20" s="13"/>
      <c r="AX20" s="13"/>
      <c r="AY20" s="13"/>
      <c r="AZ20" s="13"/>
      <c r="BA20" s="13"/>
      <c r="BB20" s="13"/>
      <c r="BC20" s="13"/>
      <c r="BD20" s="13"/>
      <c r="BE20" s="13"/>
      <c r="BF20" s="13"/>
      <c r="BG20" s="13"/>
      <c r="BH20" s="13"/>
      <c r="BI20" s="13"/>
      <c r="BJ20" s="13"/>
      <c r="BK20" s="13"/>
      <c r="BL20" s="13"/>
    </row>
    <row r="21" spans="1:65" ht="15.75" thickBot="1">
      <c r="A21" s="115" t="s">
        <v>87</v>
      </c>
      <c r="B21" s="115"/>
      <c r="C21" s="12">
        <v>1</v>
      </c>
      <c r="D21" s="31" t="s">
        <v>88</v>
      </c>
      <c r="E21" s="29"/>
      <c r="F21" s="29"/>
      <c r="G21" s="29"/>
      <c r="H21" s="28"/>
      <c r="I21" s="30" t="s">
        <v>89</v>
      </c>
      <c r="J21" s="30" t="s">
        <v>90</v>
      </c>
      <c r="K21" s="30"/>
      <c r="L21" s="30" t="s">
        <v>91</v>
      </c>
      <c r="M21" s="30">
        <v>1</v>
      </c>
      <c r="N21" s="30"/>
      <c r="O21" s="30" t="s">
        <v>92</v>
      </c>
      <c r="P21" s="30">
        <v>2</v>
      </c>
      <c r="Q21" s="30" t="s">
        <v>93</v>
      </c>
      <c r="R21" s="28"/>
      <c r="S21" s="28"/>
      <c r="T21" s="28"/>
      <c r="U21" s="28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  <c r="AQ21" s="13"/>
      <c r="AR21" s="13"/>
      <c r="AS21" s="13"/>
      <c r="AT21" s="13"/>
      <c r="AU21" s="13"/>
      <c r="AV21" s="13"/>
      <c r="AW21" s="13"/>
      <c r="AX21" s="13"/>
      <c r="AY21" s="13"/>
      <c r="AZ21" s="13"/>
      <c r="BA21" s="13"/>
      <c r="BB21" s="13"/>
      <c r="BC21" s="13"/>
      <c r="BD21" s="13"/>
      <c r="BE21" s="13"/>
      <c r="BF21" s="13"/>
      <c r="BG21" s="13"/>
      <c r="BH21" s="13"/>
      <c r="BI21" s="13"/>
      <c r="BJ21" s="13"/>
      <c r="BK21" s="13"/>
      <c r="BL21" s="13"/>
    </row>
    <row r="22" spans="1:65" ht="58.5" thickTop="1" thickBot="1">
      <c r="A22" s="62" t="s">
        <v>148</v>
      </c>
      <c r="B22" s="62" t="s">
        <v>47</v>
      </c>
      <c r="C22" s="62" t="s">
        <v>149</v>
      </c>
      <c r="D22" s="62" t="s">
        <v>49</v>
      </c>
      <c r="E22" s="62" t="s">
        <v>50</v>
      </c>
      <c r="F22" s="62" t="s">
        <v>51</v>
      </c>
      <c r="G22" s="62" t="s">
        <v>52</v>
      </c>
      <c r="H22" s="62" t="s">
        <v>53</v>
      </c>
      <c r="I22" s="63" t="s">
        <v>95</v>
      </c>
      <c r="J22" s="63" t="s">
        <v>97</v>
      </c>
      <c r="K22" s="63" t="s">
        <v>96</v>
      </c>
      <c r="L22" s="64" t="s">
        <v>98</v>
      </c>
      <c r="M22" s="64" t="s">
        <v>99</v>
      </c>
      <c r="N22" s="64" t="s">
        <v>102</v>
      </c>
      <c r="O22" s="64" t="s">
        <v>103</v>
      </c>
      <c r="P22" s="64" t="s">
        <v>150</v>
      </c>
      <c r="Q22" s="64" t="s">
        <v>101</v>
      </c>
      <c r="R22" s="63" t="s">
        <v>104</v>
      </c>
      <c r="S22" s="62" t="s">
        <v>151</v>
      </c>
      <c r="T22" s="62" t="s">
        <v>106</v>
      </c>
      <c r="U22" s="65" t="s">
        <v>152</v>
      </c>
      <c r="V22" s="65" t="s">
        <v>108</v>
      </c>
      <c r="W22" s="65" t="s">
        <v>109</v>
      </c>
      <c r="X22" s="65" t="s">
        <v>110</v>
      </c>
      <c r="Y22" s="65" t="s">
        <v>111</v>
      </c>
      <c r="Z22" s="66" t="s">
        <v>112</v>
      </c>
      <c r="AA22" s="66" t="s">
        <v>113</v>
      </c>
      <c r="AB22" s="66" t="s">
        <v>114</v>
      </c>
      <c r="AC22" s="66" t="s">
        <v>115</v>
      </c>
      <c r="AD22" s="66" t="s">
        <v>116</v>
      </c>
      <c r="AE22" s="66" t="s">
        <v>117</v>
      </c>
      <c r="AF22" s="66" t="s">
        <v>118</v>
      </c>
      <c r="AG22" s="66" t="s">
        <v>119</v>
      </c>
      <c r="AH22" s="66" t="s">
        <v>120</v>
      </c>
      <c r="AI22" s="66" t="s">
        <v>121</v>
      </c>
      <c r="AJ22" s="66" t="s">
        <v>122</v>
      </c>
      <c r="AK22" s="66" t="s">
        <v>123</v>
      </c>
      <c r="AL22" s="66" t="s">
        <v>124</v>
      </c>
      <c r="AM22" s="66" t="s">
        <v>125</v>
      </c>
      <c r="AN22" s="66" t="s">
        <v>126</v>
      </c>
      <c r="AO22" s="67" t="s">
        <v>153</v>
      </c>
      <c r="AP22" s="9" t="s">
        <v>240</v>
      </c>
      <c r="AQ22" s="9" t="s">
        <v>126</v>
      </c>
      <c r="AR22" s="56" t="s">
        <v>131</v>
      </c>
      <c r="AS22" s="56" t="s">
        <v>132</v>
      </c>
      <c r="AT22" s="56" t="s">
        <v>133</v>
      </c>
      <c r="AU22" s="56" t="s">
        <v>134</v>
      </c>
      <c r="AV22" s="56" t="s">
        <v>135</v>
      </c>
      <c r="AW22" s="56" t="s">
        <v>136</v>
      </c>
      <c r="AX22" s="56" t="s">
        <v>137</v>
      </c>
      <c r="AY22" s="56" t="s">
        <v>138</v>
      </c>
      <c r="AZ22" s="84" t="s">
        <v>207</v>
      </c>
      <c r="BA22" s="84" t="s">
        <v>8</v>
      </c>
      <c r="BB22" s="84" t="s">
        <v>9</v>
      </c>
      <c r="BC22" s="56" t="s">
        <v>228</v>
      </c>
      <c r="BD22" s="56" t="s">
        <v>139</v>
      </c>
      <c r="BE22" s="56" t="s">
        <v>140</v>
      </c>
      <c r="BF22" s="56" t="s">
        <v>141</v>
      </c>
      <c r="BG22" s="56" t="s">
        <v>142</v>
      </c>
      <c r="BH22" s="56" t="s">
        <v>143</v>
      </c>
      <c r="BI22" s="56" t="s">
        <v>241</v>
      </c>
      <c r="BJ22" s="96" t="s">
        <v>247</v>
      </c>
      <c r="BK22" s="56" t="s">
        <v>248</v>
      </c>
      <c r="BL22" s="56" t="s">
        <v>136</v>
      </c>
      <c r="BM22" s="97" t="s">
        <v>256</v>
      </c>
    </row>
    <row r="23" spans="1:65" ht="15.75" thickBot="1">
      <c r="A23" s="41">
        <v>1</v>
      </c>
      <c r="B23" s="41" t="s">
        <v>285</v>
      </c>
      <c r="C23" s="41" t="s">
        <v>155</v>
      </c>
      <c r="D23" s="41" t="s">
        <v>56</v>
      </c>
      <c r="E23" s="41" t="s">
        <v>156</v>
      </c>
      <c r="F23" s="76">
        <v>25</v>
      </c>
      <c r="G23" s="76">
        <v>257.63</v>
      </c>
      <c r="H23" s="76">
        <f>F23*G23</f>
        <v>6440.75</v>
      </c>
      <c r="I23" s="76">
        <v>1</v>
      </c>
      <c r="J23" s="76">
        <v>2</v>
      </c>
      <c r="K23" s="76">
        <v>2.5</v>
      </c>
      <c r="L23" s="76">
        <f>H23</f>
        <v>6440.75</v>
      </c>
      <c r="M23" s="76">
        <f>ROUND(L23*I23%,2)</f>
        <v>64.41</v>
      </c>
      <c r="N23" s="76">
        <f>H23-M23</f>
        <v>6376.34</v>
      </c>
      <c r="O23" s="76">
        <f>ROUND(N23*J23%,2)</f>
        <v>127.53</v>
      </c>
      <c r="P23" s="76">
        <f>ROUND(N23-O23,2)</f>
        <v>6248.81</v>
      </c>
      <c r="Q23" s="76">
        <f>ROUND(P23*K23%,2)</f>
        <v>156.22</v>
      </c>
      <c r="R23" s="76">
        <f>ROUND((M23+O23+Q23),2)</f>
        <v>348.16</v>
      </c>
      <c r="S23" s="76">
        <f>ROUND((H23-R23),2)</f>
        <v>6092.59</v>
      </c>
      <c r="T23" s="43" t="s">
        <v>128</v>
      </c>
      <c r="U23" s="44">
        <v>0.18</v>
      </c>
      <c r="V23" s="76">
        <f>IF($C$21=1,ROUND(((S23*U23)/2),2),0)</f>
        <v>548.33000000000004</v>
      </c>
      <c r="W23" s="76">
        <f>IF($C$21=1,ROUND(((S23*U23)/2),2),0)</f>
        <v>548.33000000000004</v>
      </c>
      <c r="X23" s="76">
        <f>IF($C$21=2,ROUND(((S23*U23)),2),0)</f>
        <v>0</v>
      </c>
      <c r="Y23" s="41">
        <f>ROUND((S23*18%),2)</f>
        <v>1096.67</v>
      </c>
      <c r="Z23" s="41">
        <f>S23+Y23</f>
        <v>7189.26</v>
      </c>
      <c r="AA23" s="43">
        <v>120</v>
      </c>
      <c r="AB23" s="43">
        <f>IF($P$21=1,(S23/$S$25)*$E$36,AA23/$AA$25*$E$36)</f>
        <v>0</v>
      </c>
      <c r="AC23" s="43"/>
      <c r="AD23" s="43">
        <f>IF($P$21=1,(S23/$S$25)*$E$38,AA23/$AA$25*$E$38)</f>
        <v>0</v>
      </c>
      <c r="AE23" s="43">
        <f>IF($P$21=1,(S23/$S$25)*$E$39,AA23/$AA$25*$E$39)</f>
        <v>0</v>
      </c>
      <c r="AF23" s="43">
        <f t="shared" ref="AF23:AF24" si="1">S23*$M$21</f>
        <v>6092.59</v>
      </c>
      <c r="AG23" s="43">
        <f>IF($C$21=3,0,AD23+AE23)</f>
        <v>0</v>
      </c>
      <c r="AH23" s="43">
        <f t="shared" ref="AH23:AH24" si="2">IF($C$21=3,AB23+AD23+AE23,0)</f>
        <v>0</v>
      </c>
      <c r="AI23" s="42">
        <v>2</v>
      </c>
      <c r="AJ23" s="43">
        <f t="shared" ref="AJ23:AJ24" si="3">F23/AI23</f>
        <v>12.5</v>
      </c>
      <c r="AK23" s="43">
        <f>ROUND(AF23/AJ23,5)</f>
        <v>487.40719999999999</v>
      </c>
      <c r="AL23" s="43">
        <f>AG23/AJ23</f>
        <v>0</v>
      </c>
      <c r="AM23" s="43">
        <f>AH23/AJ23</f>
        <v>0</v>
      </c>
      <c r="AN23" s="43" t="s">
        <v>56</v>
      </c>
      <c r="AO23" s="43">
        <f>ROUND(AK23+AL23+AM23,5)</f>
        <v>487.40719999999999</v>
      </c>
      <c r="AP23" s="15" t="s">
        <v>236</v>
      </c>
      <c r="AQ23" s="15" t="s">
        <v>56</v>
      </c>
      <c r="AR23" t="s" s="0">
        <v>249</v>
      </c>
      <c r="AS23" t="s" s="0">
        <v>237</v>
      </c>
      <c r="AT23" s="88">
        <f>AJ23</f>
        <v>12.5</v>
      </c>
      <c r="AU23" s="17">
        <f>AO23</f>
        <v>487.40719999999999</v>
      </c>
      <c r="AV23" s="88">
        <f>AR23+AT23</f>
        <v>12.5</v>
      </c>
      <c r="AW23" s="15">
        <f>ROUND(((AR23*AS23)+(AT23*AU23))/(AR23+AT23),5)</f>
        <v>487.40719999999999</v>
      </c>
      <c r="AX23" s="59"/>
      <c r="AY23" s="59" t="s">
        <v>144</v>
      </c>
      <c r="AZ23" s="107" t="s">
        <v>27</v>
      </c>
      <c r="BA23" s="107" t="s">
        <v>287</v>
      </c>
      <c r="BB23" s="107" t="s">
        <v>288</v>
      </c>
      <c r="BC23" s="59"/>
      <c r="BD23" s="59"/>
      <c r="BE23" s="59"/>
      <c r="BF23" s="15"/>
      <c r="BG23" s="15"/>
      <c r="BH23" s="15"/>
      <c r="BI23" s="15" t="s">
        <v>242</v>
      </c>
      <c r="BJ23" t="s" s="0">
        <v>237</v>
      </c>
      <c r="BK23" t="s" s="0">
        <v>257</v>
      </c>
      <c r="BL23" s="15">
        <f>ROUND((((AT23*AW23)+(BK23*BJ23))/(AT23+BK23)),5)</f>
        <v>487.40719999999999</v>
      </c>
      <c r="BM23" s="54">
        <f>BK23+AT23</f>
        <v>112.5</v>
      </c>
    </row>
    <row r="24" spans="1:65" ht="15.75" thickBot="1">
      <c r="A24" s="41">
        <v>2</v>
      </c>
      <c r="B24" s="41" t="s">
        <v>286</v>
      </c>
      <c r="C24" s="41" t="s">
        <v>168</v>
      </c>
      <c r="D24" s="41" t="s">
        <v>56</v>
      </c>
      <c r="E24" s="41" t="s">
        <v>156</v>
      </c>
      <c r="F24" s="76">
        <v>28</v>
      </c>
      <c r="G24" s="76">
        <v>150.5</v>
      </c>
      <c r="H24" s="76">
        <f t="shared" ref="H24" si="4">F24*G24</f>
        <v>4214</v>
      </c>
      <c r="I24" s="76">
        <v>1</v>
      </c>
      <c r="J24" s="76">
        <v>2</v>
      </c>
      <c r="K24" s="76">
        <v>2.5</v>
      </c>
      <c r="L24" s="76">
        <f t="shared" ref="L24" si="5">H24</f>
        <v>4214</v>
      </c>
      <c r="M24" s="76">
        <f t="shared" ref="M24" si="6">ROUND(L24*I24%,2)</f>
        <v>42.14</v>
      </c>
      <c r="N24" s="76">
        <f t="shared" ref="N24" si="7">H24-M24</f>
        <v>4171.8599999999997</v>
      </c>
      <c r="O24" s="76">
        <f t="shared" ref="O24" si="8">ROUND(N24*J24%,2)</f>
        <v>83.44</v>
      </c>
      <c r="P24" s="76">
        <f t="shared" ref="P24" si="9">ROUND(N24-O24,2)</f>
        <v>4088.42</v>
      </c>
      <c r="Q24" s="76">
        <f t="shared" ref="Q24" si="10">ROUND(P24*K24%,2)</f>
        <v>102.21</v>
      </c>
      <c r="R24" s="76">
        <f t="shared" ref="R24" si="11">ROUND((M24+O24+Q24),2)</f>
        <v>227.79</v>
      </c>
      <c r="S24" s="76">
        <f t="shared" ref="S24" si="12">ROUND((H24-R24),2)</f>
        <v>3986.21</v>
      </c>
      <c r="T24" s="43" t="s">
        <v>231</v>
      </c>
      <c r="U24" s="44">
        <v>0.18</v>
      </c>
      <c r="V24" s="76">
        <f t="shared" ref="V24" si="13">IF($C$21=1,ROUND(((S24*U24)/2),2),0)</f>
        <v>358.76</v>
      </c>
      <c r="W24" s="76">
        <f t="shared" ref="W24" si="14">IF($C$21=1,ROUND(((S24*U24)/2),2),0)</f>
        <v>358.76</v>
      </c>
      <c r="X24" s="76">
        <f t="shared" ref="X24" si="15">IF($C$21=2,ROUND(((S24*U24)),2),0)</f>
        <v>0</v>
      </c>
      <c r="Y24" s="41">
        <f t="shared" ref="Y24" si="16">ROUND((S24*18%),2)</f>
        <v>717.52</v>
      </c>
      <c r="Z24" s="41">
        <f t="shared" ref="Z24" si="17">S24+Y24</f>
        <v>4703.7299999999996</v>
      </c>
      <c r="AA24" s="43">
        <v>350</v>
      </c>
      <c r="AB24" s="43">
        <f>IF($P$21=1,(S24/$S$25)*$E$36,AA24/$AA$25*$E$36)</f>
        <v>0</v>
      </c>
      <c r="AC24" s="43"/>
      <c r="AD24" s="43">
        <f>IF($P$21=1,(S24/$S$25)*$E$38,AA24/$AA$25*$E$38)</f>
        <v>0</v>
      </c>
      <c r="AE24" s="43">
        <f>IF($P$21=1,(S24/$S$25)*$E$39,AA24/$AA$25*$E$39)</f>
        <v>0</v>
      </c>
      <c r="AF24" s="43">
        <f t="shared" si="1"/>
        <v>3986.21</v>
      </c>
      <c r="AG24" s="43">
        <f t="shared" ref="AG24" si="18">IF($C$21=3,0,AD24+AE24)</f>
        <v>0</v>
      </c>
      <c r="AH24" s="43">
        <f t="shared" si="2"/>
        <v>0</v>
      </c>
      <c r="AI24" s="42">
        <v>2.5</v>
      </c>
      <c r="AJ24" s="43">
        <f t="shared" si="3"/>
        <v>11.2</v>
      </c>
      <c r="AK24" s="43">
        <f t="shared" ref="AK24" si="19">ROUND(AF24/AJ24,5)</f>
        <v>355.91161</v>
      </c>
      <c r="AL24" s="43">
        <f t="shared" ref="AL24" si="20">AG24/AJ24</f>
        <v>0</v>
      </c>
      <c r="AM24" s="43">
        <f t="shared" ref="AM24" si="21">AH24/AJ24</f>
        <v>0</v>
      </c>
      <c r="AN24" s="43" t="s">
        <v>56</v>
      </c>
      <c r="AO24" s="43">
        <f t="shared" ref="AO24" si="22">ROUND(AK24+AL24+AM24,5)</f>
        <v>355.91161</v>
      </c>
      <c r="AP24" s="15" t="s">
        <v>236</v>
      </c>
      <c r="AQ24" s="15" t="s">
        <v>56</v>
      </c>
      <c r="AR24" t="s" s="0">
        <v>249</v>
      </c>
      <c r="AS24" t="s" s="0">
        <v>238</v>
      </c>
      <c r="AT24" s="88">
        <f t="shared" ref="AT24" si="23">AJ24</f>
        <v>11.2</v>
      </c>
      <c r="AU24" s="17">
        <f>AO24</f>
        <v>355.91161</v>
      </c>
      <c r="AV24" s="88">
        <f t="shared" ref="AV24" si="24">AR24+AT24</f>
        <v>11.2</v>
      </c>
      <c r="AW24" s="15">
        <f>ROUND(((AR24*AS24)+(AT24*AU24))/(AR24+AT24),5)</f>
        <v>355.91161</v>
      </c>
      <c r="AX24" s="59"/>
      <c r="AY24" s="59"/>
      <c r="AZ24" s="107" t="s">
        <v>27</v>
      </c>
      <c r="BA24" s="107" t="s">
        <v>289</v>
      </c>
      <c r="BB24" s="107" t="s">
        <v>288</v>
      </c>
      <c r="BC24" s="59"/>
      <c r="BD24" s="59"/>
      <c r="BE24" s="59"/>
      <c r="BF24" s="15"/>
      <c r="BG24" s="15"/>
      <c r="BH24" s="15"/>
      <c r="BI24" s="15" t="s">
        <v>242</v>
      </c>
      <c r="BJ24" t="s" s="0">
        <v>238</v>
      </c>
      <c r="BK24" t="s" s="0">
        <v>258</v>
      </c>
      <c r="BL24" s="15">
        <f t="shared" ref="BL24" si="25">ROUND((((AT24*AW24)+(BK24*BJ24))/(AT24+BK24)),5)</f>
        <v>355.91161</v>
      </c>
      <c r="BM24" s="54">
        <f t="shared" ref="BM24" si="26">BK24+AT24</f>
        <v>100.8</v>
      </c>
    </row>
    <row r="25" spans="1:65" ht="15.75" thickBot="1">
      <c r="A25" s="13"/>
      <c r="C25" s="94" t="s">
        <v>85</v>
      </c>
      <c r="D25" s="77"/>
      <c r="E25" s="77"/>
      <c r="F25" s="77"/>
      <c r="G25" s="78"/>
      <c r="H25" s="45">
        <f>SUM(H23:H24)</f>
        <v>10654.75</v>
      </c>
      <c r="I25" s="41"/>
      <c r="J25" s="41"/>
      <c r="K25" s="41"/>
      <c r="L25" s="41"/>
      <c r="M25" s="41"/>
      <c r="N25" s="41"/>
      <c r="O25" s="41"/>
      <c r="P25" s="41"/>
      <c r="Q25" s="41"/>
      <c r="R25" s="45">
        <f>SUM(R23:R24)</f>
        <v>575.95000000000005</v>
      </c>
      <c r="S25" s="45">
        <f>SUM(S23:S24)</f>
        <v>10078.799999999999</v>
      </c>
      <c r="T25" s="45"/>
      <c r="U25" s="45"/>
      <c r="V25" s="81">
        <f t="shared" ref="V25:AB25" si="27">SUM(V23:V24)</f>
        <v>907.09</v>
      </c>
      <c r="W25" s="81">
        <f t="shared" si="27"/>
        <v>907.09</v>
      </c>
      <c r="X25" s="81">
        <f t="shared" si="27"/>
        <v>0</v>
      </c>
      <c r="Y25" s="45">
        <f t="shared" si="27"/>
        <v>1814.19</v>
      </c>
      <c r="Z25" s="47">
        <f t="shared" si="27"/>
        <v>11892.99</v>
      </c>
      <c r="AA25" s="48">
        <f t="shared" si="27"/>
        <v>470</v>
      </c>
      <c r="AB25" s="48">
        <f t="shared" si="27"/>
        <v>0</v>
      </c>
      <c r="AC25" s="47"/>
      <c r="AD25" s="48">
        <f>SUM(AD23:AD24)</f>
        <v>0</v>
      </c>
      <c r="AE25" s="48">
        <f>IF($P$21=1,(S25/$S$25)*$E$39,AA25/$AA$25*$E$39)</f>
        <v>0</v>
      </c>
      <c r="AF25" s="48">
        <f>SUM(AF23:AF24)</f>
        <v>10078.799999999999</v>
      </c>
      <c r="AG25" s="48">
        <f>SUM(AG23:AG24)</f>
        <v>0</v>
      </c>
      <c r="AH25" s="48">
        <f>SUM(AH23:AH24)</f>
        <v>0</v>
      </c>
      <c r="AI25" s="47"/>
      <c r="AJ25" s="47"/>
      <c r="AK25" s="47"/>
      <c r="AL25" s="47"/>
      <c r="AM25" s="47"/>
      <c r="AN25" s="47"/>
      <c r="AO25" s="47"/>
      <c r="AP25" s="13"/>
      <c r="AQ25" s="13"/>
      <c r="AT25" s="13"/>
      <c r="AU25" s="13"/>
      <c r="AV25" s="13"/>
      <c r="AW25" s="13"/>
      <c r="AX25" s="13"/>
      <c r="AY25" s="13"/>
      <c r="AZ25" s="13"/>
      <c r="BA25" s="13"/>
      <c r="BB25" s="13"/>
      <c r="BC25" s="13"/>
      <c r="BD25" s="13"/>
      <c r="BE25" s="13"/>
      <c r="BF25" s="13"/>
      <c r="BG25" s="13"/>
      <c r="BH25" s="13"/>
      <c r="BI25" s="13"/>
      <c r="BJ25" s="13"/>
      <c r="BK25" s="13"/>
      <c r="BL25" s="13"/>
    </row>
    <row r="26" spans="1:65" ht="15.75" thickBot="1">
      <c r="A26" s="13"/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  <c r="AQ26" s="13"/>
      <c r="AR26" s="13"/>
      <c r="AS26" s="13"/>
      <c r="AT26" s="13"/>
      <c r="AU26" s="13"/>
      <c r="AV26" s="13"/>
      <c r="AW26" s="13"/>
      <c r="AX26" s="13"/>
      <c r="AY26" s="13"/>
      <c r="AZ26" s="13"/>
      <c r="BA26" s="13"/>
      <c r="BB26" s="13"/>
      <c r="BC26" s="13"/>
      <c r="BD26" s="13"/>
      <c r="BE26" s="13"/>
      <c r="BF26" s="13"/>
      <c r="BG26" s="13"/>
      <c r="BH26" s="13"/>
      <c r="BI26" s="13"/>
      <c r="BJ26" s="13"/>
      <c r="BK26" s="13"/>
      <c r="BL26" s="13"/>
    </row>
    <row r="27" spans="1:65" ht="15.75" thickBot="1">
      <c r="A27" s="13"/>
      <c r="B27" s="13"/>
      <c r="C27" s="13"/>
      <c r="D27" s="13"/>
      <c r="E27" s="13"/>
      <c r="F27" s="13"/>
      <c r="G27" s="116" t="s">
        <v>187</v>
      </c>
      <c r="H27" s="117"/>
      <c r="I27" s="118">
        <f>H25</f>
        <v>10654.75</v>
      </c>
      <c r="J27" s="118"/>
      <c r="K27" s="53"/>
      <c r="L27" s="13"/>
      <c r="M27" s="122" t="s">
        <v>188</v>
      </c>
      <c r="N27" s="123"/>
      <c r="O27" s="123"/>
      <c r="P27" s="124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13"/>
      <c r="AM27" s="13"/>
      <c r="AN27" s="13"/>
      <c r="AO27" s="13"/>
      <c r="AP27" s="13"/>
      <c r="AQ27" s="13"/>
      <c r="AR27" s="13"/>
      <c r="AS27" s="13"/>
      <c r="AT27" s="13"/>
      <c r="AU27" s="13"/>
      <c r="AV27" s="13"/>
      <c r="AW27" s="13"/>
      <c r="AX27" s="13"/>
      <c r="AY27" s="13"/>
      <c r="AZ27" s="13"/>
      <c r="BA27" s="13"/>
      <c r="BB27" s="13"/>
      <c r="BC27" s="13"/>
      <c r="BD27" s="13"/>
      <c r="BE27" s="13" t="s">
        <v>243</v>
      </c>
      <c r="BF27" s="95" t="s">
        <v>246</v>
      </c>
      <c r="BG27" s="13"/>
      <c r="BH27" s="13"/>
      <c r="BI27" s="13"/>
      <c r="BJ27" s="13"/>
      <c r="BK27" s="13"/>
      <c r="BL27" s="13"/>
    </row>
    <row r="28" spans="1:65" ht="15.75" thickBot="1">
      <c r="A28" s="13"/>
      <c r="B28" s="13"/>
      <c r="C28" s="13"/>
      <c r="D28" s="13"/>
      <c r="E28" s="13"/>
      <c r="F28" s="13"/>
      <c r="G28" s="116" t="s">
        <v>189</v>
      </c>
      <c r="H28" s="117"/>
      <c r="I28" s="118">
        <f>R25</f>
        <v>575.95000000000005</v>
      </c>
      <c r="J28" s="118"/>
      <c r="K28" s="13"/>
      <c r="L28" s="13"/>
      <c r="M28" s="68">
        <v>1</v>
      </c>
      <c r="N28" s="68" t="s">
        <v>56</v>
      </c>
      <c r="O28" s="68">
        <v>2</v>
      </c>
      <c r="P28" s="68" t="s">
        <v>156</v>
      </c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  <c r="AK28" s="13"/>
      <c r="AL28" s="13"/>
      <c r="AM28" s="13"/>
      <c r="AN28" s="13"/>
      <c r="AO28" s="13"/>
      <c r="AP28" s="13"/>
      <c r="AQ28" s="13"/>
      <c r="AR28" s="13"/>
      <c r="AS28" s="13"/>
      <c r="AT28" s="13"/>
      <c r="AU28" s="13"/>
      <c r="AV28" s="13"/>
      <c r="AW28" s="13"/>
      <c r="AX28" s="13"/>
      <c r="AY28" s="13"/>
      <c r="AZ28" s="13"/>
      <c r="BA28" s="13"/>
      <c r="BB28" s="13"/>
      <c r="BC28" s="13"/>
      <c r="BD28" s="13"/>
      <c r="BE28" s="13" t="s">
        <v>244</v>
      </c>
      <c r="BF28" s="95" t="s">
        <v>245</v>
      </c>
      <c r="BG28" s="13"/>
      <c r="BH28" s="13"/>
      <c r="BI28" s="13"/>
      <c r="BJ28" s="13"/>
      <c r="BK28" s="13"/>
      <c r="BL28" s="13"/>
    </row>
    <row r="29" spans="1:65" ht="15.75" thickBot="1">
      <c r="A29" s="13"/>
      <c r="B29" s="13"/>
      <c r="C29" s="13"/>
      <c r="D29" s="13"/>
      <c r="E29" s="13"/>
      <c r="F29" s="13"/>
      <c r="G29" s="116" t="s">
        <v>190</v>
      </c>
      <c r="H29" s="117"/>
      <c r="I29" s="118">
        <f>S25</f>
        <v>10078.799999999999</v>
      </c>
      <c r="J29" s="118"/>
      <c r="K29" s="13"/>
      <c r="L29" s="13"/>
      <c r="M29" s="41">
        <v>1</v>
      </c>
      <c r="N29" s="41" t="s">
        <v>56</v>
      </c>
      <c r="O29" s="41">
        <v>2.5</v>
      </c>
      <c r="P29" s="41" t="s">
        <v>169</v>
      </c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/>
      <c r="AM29" s="13"/>
      <c r="AN29" s="13"/>
      <c r="AO29" s="13"/>
      <c r="AP29" s="13"/>
      <c r="AQ29" s="13"/>
      <c r="AR29" s="13"/>
      <c r="AS29" s="13"/>
      <c r="AT29" s="13"/>
      <c r="AU29" s="13"/>
      <c r="AV29" s="13"/>
      <c r="AW29" s="13"/>
      <c r="AX29" s="13"/>
      <c r="AY29" s="13"/>
      <c r="AZ29" s="13"/>
      <c r="BA29" s="13"/>
      <c r="BB29" s="13"/>
      <c r="BC29" s="13"/>
      <c r="BD29" s="13"/>
      <c r="BE29" s="13"/>
      <c r="BF29" s="13"/>
      <c r="BG29" s="13"/>
      <c r="BH29" s="13"/>
      <c r="BI29" s="13"/>
      <c r="BJ29" s="13"/>
      <c r="BK29" s="13"/>
      <c r="BL29" s="13"/>
    </row>
    <row r="30" spans="1:65" ht="15.75" thickBot="1">
      <c r="A30" s="13"/>
      <c r="B30" s="13"/>
      <c r="C30" s="13"/>
      <c r="D30" s="13"/>
      <c r="E30" s="13"/>
      <c r="F30" s="13"/>
      <c r="G30" s="116" t="s">
        <v>191</v>
      </c>
      <c r="H30" s="117"/>
      <c r="I30" s="118">
        <f>Y25</f>
        <v>1814.19</v>
      </c>
      <c r="J30" s="118"/>
      <c r="K30" s="13"/>
      <c r="L30" s="13"/>
      <c r="M30" s="41">
        <v>1</v>
      </c>
      <c r="N30" s="41" t="s">
        <v>156</v>
      </c>
      <c r="O30" s="41">
        <v>1E-3</v>
      </c>
      <c r="P30" s="41" t="s">
        <v>178</v>
      </c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13"/>
      <c r="AN30" s="13"/>
      <c r="AO30" s="13"/>
      <c r="AP30" s="13"/>
      <c r="AQ30" s="13"/>
      <c r="AR30" s="13"/>
      <c r="AS30" s="13"/>
      <c r="AT30" s="13"/>
      <c r="AU30" s="13"/>
      <c r="AV30" s="13"/>
      <c r="AW30" s="13"/>
      <c r="AX30" s="13"/>
      <c r="AY30" s="13"/>
      <c r="AZ30" s="13"/>
      <c r="BA30" s="13"/>
      <c r="BB30" s="13"/>
      <c r="BC30" s="13"/>
      <c r="BD30" s="13"/>
      <c r="BE30" s="13"/>
      <c r="BF30" s="13"/>
      <c r="BG30" s="13"/>
      <c r="BH30" s="13"/>
      <c r="BI30" s="13"/>
      <c r="BJ30" s="13"/>
      <c r="BK30" s="13"/>
      <c r="BL30" s="13"/>
    </row>
    <row r="31" spans="1:65" ht="15.75" thickBot="1">
      <c r="A31" s="13"/>
      <c r="B31" s="13"/>
      <c r="C31" s="13"/>
      <c r="D31" s="13"/>
      <c r="E31" s="13"/>
      <c r="F31" s="13"/>
      <c r="G31" s="116" t="s">
        <v>192</v>
      </c>
      <c r="H31" s="117"/>
      <c r="I31" s="119">
        <f>I29+I30</f>
        <v>11892.99</v>
      </c>
      <c r="J31" s="119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13"/>
      <c r="AM31" s="13"/>
      <c r="AN31" s="13"/>
      <c r="AO31" s="13"/>
      <c r="AP31" s="13"/>
      <c r="AQ31" s="13"/>
      <c r="AR31" s="13"/>
      <c r="AS31" s="13"/>
      <c r="AT31" s="13"/>
      <c r="AU31" s="13"/>
      <c r="AV31" s="13"/>
      <c r="AW31" s="13"/>
      <c r="AX31" s="13"/>
      <c r="AY31" s="13"/>
      <c r="AZ31" s="13"/>
      <c r="BA31" s="13"/>
      <c r="BB31" s="13"/>
      <c r="BC31" s="13"/>
      <c r="BD31" s="13"/>
      <c r="BE31" s="13"/>
      <c r="BF31" s="13"/>
      <c r="BG31" s="13"/>
      <c r="BH31" s="13"/>
      <c r="BI31" s="13"/>
      <c r="BJ31" s="13"/>
      <c r="BK31" s="13"/>
      <c r="BL31" s="13"/>
    </row>
    <row r="32" spans="1:65">
      <c r="A32" s="13"/>
      <c r="B32" s="13"/>
      <c r="C32" s="13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13"/>
      <c r="AM32" s="13"/>
      <c r="AN32" s="13"/>
      <c r="AO32" s="13"/>
      <c r="AP32" s="13"/>
      <c r="AQ32" s="13"/>
      <c r="AR32" s="13"/>
      <c r="AS32" s="13"/>
      <c r="AT32" s="13"/>
      <c r="AU32" s="13"/>
      <c r="AV32" s="13"/>
      <c r="AW32" s="13"/>
      <c r="AX32" s="13"/>
      <c r="AY32" s="13"/>
      <c r="AZ32" s="13"/>
      <c r="BA32" s="13"/>
      <c r="BB32" s="13"/>
      <c r="BC32" s="13"/>
      <c r="BD32" s="13"/>
      <c r="BE32" s="13"/>
      <c r="BF32" s="13"/>
      <c r="BG32" s="13"/>
      <c r="BH32" s="13"/>
      <c r="BI32" s="13"/>
      <c r="BJ32" s="13" t="s">
        <v>254</v>
      </c>
      <c r="BK32" s="13" t="s">
        <v>255</v>
      </c>
      <c r="BL32" s="13"/>
    </row>
    <row r="33" spans="1:64">
      <c r="A33" s="13"/>
      <c r="B33" s="13"/>
      <c r="C33" s="13"/>
      <c r="D33" s="13"/>
      <c r="E33" s="13"/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  <c r="AK33" s="13"/>
      <c r="AL33" s="13"/>
      <c r="AM33" s="13"/>
      <c r="AN33" s="13"/>
      <c r="AO33" s="13"/>
      <c r="AP33" s="13"/>
      <c r="AQ33" s="13"/>
      <c r="AR33" s="13"/>
      <c r="AS33" s="13"/>
      <c r="AT33" s="13"/>
      <c r="AU33" s="13"/>
      <c r="AV33" s="13"/>
      <c r="AW33" s="13"/>
      <c r="AX33" s="13"/>
      <c r="AY33" s="13"/>
      <c r="AZ33" s="13"/>
      <c r="BA33" s="13"/>
      <c r="BB33" s="13"/>
      <c r="BC33" s="13"/>
      <c r="BD33" s="13"/>
      <c r="BE33" s="13"/>
      <c r="BF33" s="13"/>
      <c r="BG33" s="13"/>
      <c r="BH33" s="13" t="s">
        <v>250</v>
      </c>
      <c r="BI33" s="13">
        <v>12.5</v>
      </c>
      <c r="BJ33" s="13">
        <f>BI35*BI36</f>
        <v>0</v>
      </c>
      <c r="BK33" s="13">
        <f>BI33*BI34</f>
        <v>6092.59</v>
      </c>
      <c r="BL33" s="13"/>
    </row>
    <row r="34" spans="1:64">
      <c r="A34" s="13"/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  <c r="AK34" s="13"/>
      <c r="AL34" s="13"/>
      <c r="AM34" s="13"/>
      <c r="AN34" s="13"/>
      <c r="AO34" s="13"/>
      <c r="AP34" s="13"/>
      <c r="AQ34" s="13"/>
      <c r="AR34" s="13"/>
      <c r="AS34" s="13"/>
      <c r="AT34" s="13"/>
      <c r="AU34" s="13"/>
      <c r="AV34" s="13"/>
      <c r="AW34" s="13"/>
      <c r="AX34" s="13"/>
      <c r="AY34" s="13"/>
      <c r="AZ34" s="13"/>
      <c r="BA34" s="13"/>
      <c r="BB34" s="13"/>
      <c r="BC34" s="13"/>
      <c r="BD34" s="13"/>
      <c r="BE34" s="13"/>
      <c r="BF34" s="13"/>
      <c r="BG34" s="13"/>
      <c r="BH34" s="13" t="s">
        <v>251</v>
      </c>
      <c r="BI34" s="13">
        <v>487.40719999999999</v>
      </c>
      <c r="BJ34" s="13">
        <f>BI33+BI35</f>
        <v>12.5</v>
      </c>
      <c r="BK34" s="13"/>
      <c r="BL34" s="13"/>
    </row>
  </sheetData>
  <mergeCells count="14">
    <mergeCell ref="A1:Z1"/>
    <mergeCell ref="B19:G19"/>
    <mergeCell ref="A21:B21"/>
    <mergeCell ref="G27:H27"/>
    <mergeCell ref="I27:J27"/>
    <mergeCell ref="M27:P27"/>
    <mergeCell ref="G31:H31"/>
    <mergeCell ref="I31:J31"/>
    <mergeCell ref="G28:H28"/>
    <mergeCell ref="I28:J28"/>
    <mergeCell ref="G29:H29"/>
    <mergeCell ref="I29:J29"/>
    <mergeCell ref="G30:H30"/>
    <mergeCell ref="I30:J30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BM34"/>
  <sheetViews>
    <sheetView topLeftCell="A7" workbookViewId="0">
      <selection activeCell="BI23" sqref="BI23:BI24"/>
    </sheetView>
  </sheetViews>
  <sheetFormatPr defaultRowHeight="15"/>
  <cols>
    <col min="2" max="2" bestFit="true" customWidth="true" width="16.28515625"/>
  </cols>
  <sheetData>
    <row r="1" spans="1:64" ht="18.75" thickBot="1">
      <c r="A1" s="120" t="s">
        <v>147</v>
      </c>
      <c r="B1" s="120"/>
      <c r="C1" s="120"/>
      <c r="D1" s="120"/>
      <c r="E1" s="120"/>
      <c r="F1" s="120"/>
      <c r="G1" s="120"/>
      <c r="H1" s="120"/>
      <c r="I1" s="120"/>
      <c r="J1" s="120"/>
      <c r="K1" s="120"/>
      <c r="L1" s="120"/>
      <c r="M1" s="120"/>
      <c r="N1" s="120"/>
      <c r="O1" s="120"/>
      <c r="P1" s="120"/>
      <c r="Q1" s="120"/>
      <c r="R1" s="120"/>
      <c r="S1" s="120"/>
      <c r="T1" s="120"/>
      <c r="U1" s="120"/>
      <c r="V1" s="120"/>
      <c r="W1" s="120"/>
      <c r="X1" s="120"/>
      <c r="Y1" s="120"/>
      <c r="Z1" s="120"/>
      <c r="AA1" s="92"/>
      <c r="AB1" s="92"/>
      <c r="AC1" s="92"/>
      <c r="AD1" s="92"/>
      <c r="AE1" s="92"/>
      <c r="AF1" s="92"/>
      <c r="AG1" s="92"/>
      <c r="AH1" s="92"/>
      <c r="AI1" s="92"/>
      <c r="AJ1" s="92"/>
      <c r="AK1" s="92"/>
      <c r="AL1" s="92"/>
      <c r="AM1" s="92"/>
      <c r="AN1" s="92"/>
      <c r="AO1" s="13"/>
      <c r="AP1" s="13"/>
      <c r="AQ1" s="13"/>
      <c r="AR1" s="13"/>
      <c r="AS1" s="13"/>
      <c r="AT1" s="13"/>
      <c r="AU1" s="13"/>
      <c r="AV1" s="13"/>
      <c r="AW1" s="13"/>
      <c r="AX1" s="13"/>
      <c r="AY1" s="13"/>
      <c r="AZ1" s="13"/>
      <c r="BA1" s="13"/>
      <c r="BB1" s="13"/>
      <c r="BC1" s="13"/>
      <c r="BD1" s="13"/>
      <c r="BE1" s="13"/>
      <c r="BF1" s="13"/>
      <c r="BG1" s="13"/>
      <c r="BH1" s="13"/>
      <c r="BI1" s="13"/>
      <c r="BJ1" s="13"/>
      <c r="BK1" s="13"/>
      <c r="BL1" s="13"/>
    </row>
    <row r="2" spans="1:64" ht="18.75" thickBot="1">
      <c r="A2" s="106" t="s">
        <v>146</v>
      </c>
      <c r="B2" s="106"/>
      <c r="C2" s="106"/>
      <c r="D2" s="106"/>
      <c r="E2" s="106"/>
      <c r="F2" s="106"/>
      <c r="G2" s="106"/>
      <c r="H2" s="106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3"/>
      <c r="AS2" s="13"/>
      <c r="AT2" s="13"/>
      <c r="AU2" s="13"/>
      <c r="AV2" s="13"/>
      <c r="AW2" s="13"/>
      <c r="AX2" s="13"/>
      <c r="AY2" s="13"/>
      <c r="AZ2" s="13"/>
      <c r="BA2" s="13"/>
      <c r="BB2" s="13"/>
      <c r="BC2" s="13"/>
      <c r="BD2" s="13"/>
      <c r="BE2" s="13"/>
      <c r="BF2" s="13"/>
      <c r="BG2" s="13"/>
      <c r="BH2" s="13"/>
      <c r="BI2" s="13"/>
      <c r="BJ2" s="13"/>
      <c r="BK2" s="13"/>
      <c r="BL2" s="13"/>
    </row>
    <row r="3" spans="1:64" ht="15.75" thickTop="1">
      <c r="A3" s="8" t="s">
        <v>46</v>
      </c>
      <c r="B3" s="9" t="s">
        <v>47</v>
      </c>
      <c r="C3" s="10" t="s">
        <v>48</v>
      </c>
      <c r="D3" s="9" t="s">
        <v>49</v>
      </c>
      <c r="E3" s="9" t="s">
        <v>50</v>
      </c>
      <c r="F3" s="9" t="s">
        <v>51</v>
      </c>
      <c r="G3" s="9" t="s">
        <v>52</v>
      </c>
      <c r="H3" s="11" t="s">
        <v>53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13"/>
      <c r="AT3" s="13"/>
      <c r="AU3" s="13"/>
      <c r="AV3" s="13"/>
      <c r="AW3" s="13"/>
      <c r="AX3" s="13"/>
      <c r="AY3" s="13"/>
      <c r="AZ3" s="13"/>
      <c r="BA3" s="13"/>
      <c r="BB3" s="13"/>
      <c r="BC3" s="13"/>
      <c r="BD3" s="13"/>
      <c r="BE3" s="13"/>
      <c r="BF3" s="13"/>
      <c r="BG3" s="13"/>
      <c r="BH3" s="13"/>
      <c r="BI3" s="13"/>
      <c r="BJ3" s="13"/>
      <c r="BK3" s="13"/>
      <c r="BL3" s="13"/>
    </row>
    <row r="4" spans="1:64">
      <c r="A4" s="14">
        <v>1</v>
      </c>
      <c r="B4" s="15" t="s">
        <v>54</v>
      </c>
      <c r="C4" s="15" t="s">
        <v>55</v>
      </c>
      <c r="D4" s="15" t="s">
        <v>56</v>
      </c>
      <c r="E4" s="15" t="s">
        <v>56</v>
      </c>
      <c r="F4" s="16">
        <v>25</v>
      </c>
      <c r="G4" s="17">
        <v>257.63</v>
      </c>
      <c r="H4" s="18">
        <f>F4*G4</f>
        <v>6440.75</v>
      </c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  <c r="AQ4" s="13"/>
      <c r="AR4" s="13"/>
      <c r="AS4" s="13"/>
      <c r="AT4" s="13"/>
      <c r="AU4" s="13"/>
      <c r="AV4" s="13"/>
      <c r="AW4" s="13"/>
      <c r="AX4" s="13"/>
      <c r="AY4" s="13"/>
      <c r="AZ4" s="13"/>
      <c r="BA4" s="13"/>
      <c r="BB4" s="13"/>
      <c r="BC4" s="13"/>
      <c r="BD4" s="13"/>
      <c r="BE4" s="13"/>
      <c r="BF4" s="13"/>
      <c r="BG4" s="13"/>
      <c r="BH4" s="13"/>
      <c r="BI4" s="13"/>
      <c r="BJ4" s="13"/>
      <c r="BK4" s="13"/>
      <c r="BL4" s="13"/>
    </row>
    <row r="5" spans="1:64">
      <c r="A5" s="14">
        <v>2</v>
      </c>
      <c r="B5" s="15" t="s">
        <v>57</v>
      </c>
      <c r="C5" s="15" t="s">
        <v>58</v>
      </c>
      <c r="D5" s="15" t="s">
        <v>56</v>
      </c>
      <c r="E5" s="15" t="s">
        <v>56</v>
      </c>
      <c r="F5" s="16">
        <v>35</v>
      </c>
      <c r="G5" s="17">
        <v>125.45</v>
      </c>
      <c r="H5" s="18">
        <f>F5*G5</f>
        <v>4390.75</v>
      </c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  <c r="AU5" s="13"/>
      <c r="AV5" s="13"/>
      <c r="AW5" s="13"/>
      <c r="AX5" s="13"/>
      <c r="AY5" s="13"/>
      <c r="AZ5" s="13"/>
      <c r="BA5" s="13"/>
      <c r="BB5" s="13"/>
      <c r="BC5" s="13"/>
      <c r="BD5" s="13"/>
      <c r="BE5" s="13"/>
      <c r="BF5" s="13"/>
      <c r="BG5" s="13"/>
      <c r="BH5" s="13"/>
      <c r="BI5" s="13"/>
      <c r="BJ5" s="13"/>
      <c r="BK5" s="13"/>
      <c r="BL5" s="13"/>
    </row>
    <row r="6" spans="1:64">
      <c r="A6" s="14">
        <v>3</v>
      </c>
      <c r="B6" s="15" t="s">
        <v>59</v>
      </c>
      <c r="C6" s="15" t="s">
        <v>60</v>
      </c>
      <c r="D6" s="15" t="s">
        <v>56</v>
      </c>
      <c r="E6" s="15" t="s">
        <v>56</v>
      </c>
      <c r="F6" s="16">
        <v>45</v>
      </c>
      <c r="G6" s="17">
        <v>125.36</v>
      </c>
      <c r="H6" s="18">
        <f>F6*G6</f>
        <v>5641.2</v>
      </c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  <c r="AQ6" s="13"/>
      <c r="AR6" s="13"/>
      <c r="AS6" s="13"/>
      <c r="AT6" s="13"/>
      <c r="AU6" s="13"/>
      <c r="AV6" s="13"/>
      <c r="AW6" s="13"/>
      <c r="AX6" s="13"/>
      <c r="AY6" s="13"/>
      <c r="AZ6" s="13"/>
      <c r="BA6" s="13"/>
      <c r="BB6" s="13"/>
      <c r="BC6" s="13"/>
      <c r="BD6" s="13"/>
      <c r="BE6" s="13"/>
      <c r="BF6" s="13"/>
      <c r="BG6" s="13"/>
      <c r="BH6" s="13"/>
      <c r="BI6" s="13"/>
      <c r="BJ6" s="13"/>
      <c r="BK6" s="13"/>
      <c r="BL6" s="13"/>
    </row>
    <row r="7" spans="1:64">
      <c r="A7" s="14">
        <v>4</v>
      </c>
      <c r="B7" s="15" t="s">
        <v>61</v>
      </c>
      <c r="C7" s="15" t="s">
        <v>62</v>
      </c>
      <c r="D7" s="15" t="s">
        <v>56</v>
      </c>
      <c r="E7" s="15" t="s">
        <v>56</v>
      </c>
      <c r="F7" s="16">
        <v>55</v>
      </c>
      <c r="G7" s="17">
        <v>45.25</v>
      </c>
      <c r="H7" s="18">
        <f t="shared" ref="H7:H18" si="0">F7*G7</f>
        <v>2488.75</v>
      </c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  <c r="AQ7" s="13"/>
      <c r="AR7" s="13"/>
      <c r="AS7" s="13"/>
      <c r="AT7" s="13"/>
      <c r="AU7" s="13"/>
      <c r="AV7" s="13"/>
      <c r="AW7" s="13"/>
      <c r="AX7" s="13"/>
      <c r="AY7" s="13"/>
      <c r="AZ7" s="13"/>
      <c r="BA7" s="13"/>
      <c r="BB7" s="13"/>
      <c r="BC7" s="13"/>
      <c r="BD7" s="13"/>
      <c r="BE7" s="13"/>
      <c r="BF7" s="13"/>
      <c r="BG7" s="13"/>
      <c r="BH7" s="13"/>
      <c r="BI7" s="13"/>
      <c r="BJ7" s="13"/>
      <c r="BK7" s="13"/>
      <c r="BL7" s="13"/>
    </row>
    <row r="8" spans="1:64">
      <c r="A8" s="14">
        <v>5</v>
      </c>
      <c r="B8" s="15" t="s">
        <v>63</v>
      </c>
      <c r="C8" s="15" t="s">
        <v>64</v>
      </c>
      <c r="D8" s="15" t="s">
        <v>56</v>
      </c>
      <c r="E8" s="15" t="s">
        <v>56</v>
      </c>
      <c r="F8" s="16">
        <v>60</v>
      </c>
      <c r="G8" s="17">
        <v>45.5</v>
      </c>
      <c r="H8" s="18">
        <f t="shared" si="0"/>
        <v>2730</v>
      </c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13"/>
      <c r="AM8" s="13"/>
      <c r="AN8" s="13"/>
      <c r="AO8" s="13"/>
      <c r="AP8" s="13"/>
      <c r="AQ8" s="13"/>
      <c r="AR8" s="13"/>
      <c r="AS8" s="13"/>
      <c r="AT8" s="13"/>
      <c r="AU8" s="13"/>
      <c r="AV8" s="13"/>
      <c r="AW8" s="13"/>
      <c r="AX8" s="13"/>
      <c r="AY8" s="13"/>
      <c r="AZ8" s="13"/>
      <c r="BA8" s="13"/>
      <c r="BB8" s="13"/>
      <c r="BC8" s="13"/>
      <c r="BD8" s="13"/>
      <c r="BE8" s="13"/>
      <c r="BF8" s="13"/>
      <c r="BG8" s="13"/>
      <c r="BH8" s="13"/>
      <c r="BI8" s="13"/>
      <c r="BJ8" s="13"/>
      <c r="BK8" s="13"/>
      <c r="BL8" s="13"/>
    </row>
    <row r="9" spans="1:64">
      <c r="A9" s="14">
        <v>6</v>
      </c>
      <c r="B9" s="15" t="s">
        <v>65</v>
      </c>
      <c r="C9" s="15" t="s">
        <v>66</v>
      </c>
      <c r="D9" s="15" t="s">
        <v>56</v>
      </c>
      <c r="E9" s="15" t="s">
        <v>56</v>
      </c>
      <c r="F9" s="16">
        <v>75</v>
      </c>
      <c r="G9" s="17">
        <v>125.25</v>
      </c>
      <c r="H9" s="18">
        <f t="shared" si="0"/>
        <v>9393.75</v>
      </c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  <c r="AQ9" s="13"/>
      <c r="AR9" s="13"/>
      <c r="AS9" s="13"/>
      <c r="AT9" s="13"/>
      <c r="AU9" s="13"/>
      <c r="AV9" s="13"/>
      <c r="AW9" s="13"/>
      <c r="AX9" s="13"/>
      <c r="AY9" s="13"/>
      <c r="AZ9" s="13"/>
      <c r="BA9" s="13"/>
      <c r="BB9" s="13"/>
      <c r="BC9" s="13"/>
      <c r="BD9" s="13"/>
      <c r="BE9" s="13"/>
      <c r="BF9" s="13"/>
      <c r="BG9" s="13"/>
      <c r="BH9" s="13"/>
      <c r="BI9" s="13"/>
      <c r="BJ9" s="13"/>
      <c r="BK9" s="13"/>
      <c r="BL9" s="13"/>
    </row>
    <row r="10" spans="1:64">
      <c r="A10" s="14">
        <v>7</v>
      </c>
      <c r="B10" s="15" t="s">
        <v>67</v>
      </c>
      <c r="C10" s="15" t="s">
        <v>68</v>
      </c>
      <c r="D10" s="15" t="s">
        <v>56</v>
      </c>
      <c r="E10" s="15" t="s">
        <v>56</v>
      </c>
      <c r="F10" s="16">
        <v>28</v>
      </c>
      <c r="G10" s="17">
        <v>150.5</v>
      </c>
      <c r="H10" s="18">
        <f t="shared" si="0"/>
        <v>4214</v>
      </c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  <c r="AK10" s="13"/>
      <c r="AL10" s="13"/>
      <c r="AM10" s="13"/>
      <c r="AN10" s="13"/>
      <c r="AO10" s="13"/>
      <c r="AP10" s="13"/>
      <c r="AQ10" s="13"/>
      <c r="AR10" s="13"/>
      <c r="AS10" s="13"/>
      <c r="AT10" s="13"/>
      <c r="AU10" s="13"/>
      <c r="AV10" s="13"/>
      <c r="AW10" s="13"/>
      <c r="AX10" s="13"/>
      <c r="AY10" s="13"/>
      <c r="AZ10" s="13"/>
      <c r="BA10" s="13"/>
      <c r="BB10" s="13"/>
      <c r="BC10" s="13"/>
      <c r="BD10" s="13"/>
      <c r="BE10" s="13"/>
      <c r="BF10" s="13"/>
      <c r="BG10" s="13"/>
      <c r="BH10" s="13"/>
      <c r="BI10" s="13"/>
      <c r="BJ10" s="13"/>
      <c r="BK10" s="13"/>
      <c r="BL10" s="13"/>
    </row>
    <row r="11" spans="1:64">
      <c r="A11" s="14">
        <v>8</v>
      </c>
      <c r="B11" s="15" t="s">
        <v>69</v>
      </c>
      <c r="C11" s="15" t="s">
        <v>70</v>
      </c>
      <c r="D11" s="15" t="s">
        <v>56</v>
      </c>
      <c r="E11" s="15" t="s">
        <v>56</v>
      </c>
      <c r="F11" s="16">
        <v>30</v>
      </c>
      <c r="G11" s="17">
        <v>65.319999999999993</v>
      </c>
      <c r="H11" s="18">
        <f t="shared" si="0"/>
        <v>1959.6</v>
      </c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  <c r="AQ11" s="13"/>
      <c r="AR11" s="13"/>
      <c r="AS11" s="13"/>
      <c r="AT11" s="13"/>
      <c r="AU11" s="13"/>
      <c r="AV11" s="13"/>
      <c r="AW11" s="13"/>
      <c r="AX11" s="13"/>
      <c r="AY11" s="13"/>
      <c r="AZ11" s="13"/>
      <c r="BA11" s="13"/>
      <c r="BB11" s="13"/>
      <c r="BC11" s="13"/>
      <c r="BD11" s="13"/>
      <c r="BE11" s="13"/>
      <c r="BF11" s="13"/>
      <c r="BG11" s="13"/>
      <c r="BH11" s="13"/>
      <c r="BI11" s="13"/>
      <c r="BJ11" s="13"/>
      <c r="BK11" s="13"/>
      <c r="BL11" s="13"/>
    </row>
    <row r="12" spans="1:64">
      <c r="A12" s="14">
        <v>9</v>
      </c>
      <c r="B12" s="15" t="s">
        <v>71</v>
      </c>
      <c r="C12" s="15" t="s">
        <v>72</v>
      </c>
      <c r="D12" s="15" t="s">
        <v>56</v>
      </c>
      <c r="E12" s="15" t="s">
        <v>56</v>
      </c>
      <c r="F12" s="16">
        <v>25</v>
      </c>
      <c r="G12" s="17">
        <v>74.89</v>
      </c>
      <c r="H12" s="18">
        <f t="shared" si="0"/>
        <v>1872.25</v>
      </c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  <c r="AQ12" s="13"/>
      <c r="AR12" s="13"/>
      <c r="AS12" s="13"/>
      <c r="AT12" s="13"/>
      <c r="AU12" s="13"/>
      <c r="AV12" s="13"/>
      <c r="AW12" s="13"/>
      <c r="AX12" s="13"/>
      <c r="AY12" s="13"/>
      <c r="AZ12" s="13"/>
      <c r="BA12" s="13"/>
      <c r="BB12" s="13"/>
      <c r="BC12" s="13"/>
      <c r="BD12" s="13"/>
      <c r="BE12" s="13"/>
      <c r="BF12" s="13"/>
      <c r="BG12" s="13"/>
      <c r="BH12" s="13"/>
      <c r="BI12" s="13"/>
      <c r="BJ12" s="13"/>
      <c r="BK12" s="13"/>
      <c r="BL12" s="13"/>
    </row>
    <row r="13" spans="1:64">
      <c r="A13" s="14">
        <v>10</v>
      </c>
      <c r="B13" s="15" t="s">
        <v>73</v>
      </c>
      <c r="C13" s="15" t="s">
        <v>74</v>
      </c>
      <c r="D13" s="15" t="s">
        <v>56</v>
      </c>
      <c r="E13" s="15" t="s">
        <v>56</v>
      </c>
      <c r="F13" s="16">
        <v>28</v>
      </c>
      <c r="G13" s="17">
        <v>89.56</v>
      </c>
      <c r="H13" s="18">
        <f t="shared" si="0"/>
        <v>2507.6800000000003</v>
      </c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/>
      <c r="AU13" s="13"/>
      <c r="AV13" s="13"/>
      <c r="AW13" s="13"/>
      <c r="AX13" s="13"/>
      <c r="AY13" s="13"/>
      <c r="AZ13" s="13"/>
      <c r="BA13" s="13"/>
      <c r="BB13" s="13"/>
      <c r="BC13" s="13"/>
      <c r="BD13" s="13"/>
      <c r="BE13" s="13"/>
      <c r="BF13" s="13"/>
      <c r="BG13" s="13"/>
      <c r="BH13" s="13"/>
      <c r="BI13" s="13"/>
      <c r="BJ13" s="13"/>
      <c r="BK13" s="13"/>
      <c r="BL13" s="13"/>
    </row>
    <row r="14" spans="1:64">
      <c r="A14" s="14">
        <v>11</v>
      </c>
      <c r="B14" s="15" t="s">
        <v>75</v>
      </c>
      <c r="C14" s="15" t="s">
        <v>76</v>
      </c>
      <c r="D14" s="15" t="s">
        <v>56</v>
      </c>
      <c r="E14" s="15" t="s">
        <v>56</v>
      </c>
      <c r="F14" s="16">
        <v>37</v>
      </c>
      <c r="G14" s="17">
        <v>89.54</v>
      </c>
      <c r="H14" s="18">
        <f t="shared" si="0"/>
        <v>3312.98</v>
      </c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13"/>
      <c r="AL14" s="13"/>
      <c r="AM14" s="13"/>
      <c r="AN14" s="13"/>
      <c r="AO14" s="13"/>
      <c r="AP14" s="13"/>
      <c r="AQ14" s="13"/>
      <c r="AR14" s="13"/>
      <c r="AS14" s="13"/>
      <c r="AT14" s="13"/>
      <c r="AU14" s="13"/>
      <c r="AV14" s="13"/>
      <c r="AW14" s="13"/>
      <c r="AX14" s="13"/>
      <c r="AY14" s="13"/>
      <c r="AZ14" s="13"/>
      <c r="BA14" s="13"/>
      <c r="BB14" s="13"/>
      <c r="BC14" s="13"/>
      <c r="BD14" s="13"/>
      <c r="BE14" s="13"/>
      <c r="BF14" s="13"/>
      <c r="BG14" s="13"/>
      <c r="BH14" s="13"/>
      <c r="BI14" s="13"/>
      <c r="BJ14" s="13"/>
      <c r="BK14" s="13"/>
      <c r="BL14" s="13"/>
    </row>
    <row r="15" spans="1:64">
      <c r="A15" s="14">
        <v>12</v>
      </c>
      <c r="B15" s="15" t="s">
        <v>77</v>
      </c>
      <c r="C15" s="15" t="s">
        <v>78</v>
      </c>
      <c r="D15" s="15" t="s">
        <v>56</v>
      </c>
      <c r="E15" s="15" t="s">
        <v>56</v>
      </c>
      <c r="F15" s="16">
        <v>39</v>
      </c>
      <c r="G15" s="17">
        <v>98.25</v>
      </c>
      <c r="H15" s="18">
        <f t="shared" si="0"/>
        <v>3831.75</v>
      </c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  <c r="AM15" s="13"/>
      <c r="AN15" s="13"/>
      <c r="AO15" s="13"/>
      <c r="AP15" s="13"/>
      <c r="AQ15" s="13"/>
      <c r="AR15" s="13"/>
      <c r="AS15" s="13"/>
      <c r="AT15" s="13"/>
      <c r="AU15" s="13"/>
      <c r="AV15" s="13"/>
      <c r="AW15" s="13"/>
      <c r="AX15" s="13"/>
      <c r="AY15" s="13"/>
      <c r="AZ15" s="13"/>
      <c r="BA15" s="13"/>
      <c r="BB15" s="13"/>
      <c r="BC15" s="13"/>
      <c r="BD15" s="13"/>
      <c r="BE15" s="13"/>
      <c r="BF15" s="13"/>
      <c r="BG15" s="13"/>
      <c r="BH15" s="13"/>
      <c r="BI15" s="13"/>
      <c r="BJ15" s="13"/>
      <c r="BK15" s="13"/>
      <c r="BL15" s="13"/>
    </row>
    <row r="16" spans="1:64">
      <c r="A16" s="14">
        <v>13</v>
      </c>
      <c r="B16" s="15" t="s">
        <v>79</v>
      </c>
      <c r="C16" s="15" t="s">
        <v>80</v>
      </c>
      <c r="D16" s="15" t="s">
        <v>56</v>
      </c>
      <c r="E16" s="15" t="s">
        <v>56</v>
      </c>
      <c r="F16" s="16">
        <v>70</v>
      </c>
      <c r="G16" s="17">
        <v>102.25</v>
      </c>
      <c r="H16" s="18">
        <f t="shared" si="0"/>
        <v>7157.5</v>
      </c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13"/>
      <c r="AM16" s="13"/>
      <c r="AN16" s="13"/>
      <c r="AO16" s="13"/>
      <c r="AP16" s="13"/>
      <c r="AQ16" s="13"/>
      <c r="AR16" s="13"/>
      <c r="AS16" s="13"/>
      <c r="AT16" s="13"/>
      <c r="AU16" s="13"/>
      <c r="AV16" s="13"/>
      <c r="AW16" s="13"/>
      <c r="AX16" s="13"/>
      <c r="AY16" s="13"/>
      <c r="AZ16" s="13"/>
      <c r="BA16" s="13"/>
      <c r="BB16" s="13"/>
      <c r="BC16" s="13"/>
      <c r="BD16" s="13"/>
      <c r="BE16" s="13"/>
      <c r="BF16" s="13"/>
      <c r="BG16" s="13"/>
      <c r="BH16" s="13"/>
      <c r="BI16" s="13"/>
      <c r="BJ16" s="13"/>
      <c r="BK16" s="13"/>
      <c r="BL16" s="13"/>
    </row>
    <row r="17" spans="1:65">
      <c r="A17" s="14">
        <v>14</v>
      </c>
      <c r="B17" s="15" t="s">
        <v>81</v>
      </c>
      <c r="C17" s="15" t="s">
        <v>82</v>
      </c>
      <c r="D17" s="15" t="s">
        <v>56</v>
      </c>
      <c r="E17" s="15" t="s">
        <v>56</v>
      </c>
      <c r="F17" s="16">
        <v>100</v>
      </c>
      <c r="G17" s="17">
        <v>103.5</v>
      </c>
      <c r="H17" s="18">
        <f t="shared" si="0"/>
        <v>10350</v>
      </c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13"/>
      <c r="AU17" s="13"/>
      <c r="AV17" s="13"/>
      <c r="AW17" s="13"/>
      <c r="AX17" s="13"/>
      <c r="AY17" s="13"/>
      <c r="AZ17" s="13"/>
      <c r="BA17" s="13"/>
      <c r="BB17" s="13"/>
      <c r="BC17" s="13"/>
      <c r="BD17" s="13"/>
      <c r="BE17" s="13"/>
      <c r="BF17" s="13"/>
      <c r="BG17" s="13"/>
      <c r="BH17" s="13"/>
      <c r="BI17" s="13"/>
      <c r="BJ17" s="13"/>
      <c r="BK17" s="13"/>
      <c r="BL17" s="13"/>
    </row>
    <row r="18" spans="1:65" ht="15.75" thickBot="1">
      <c r="A18" s="21">
        <v>15</v>
      </c>
      <c r="B18" s="22" t="s">
        <v>83</v>
      </c>
      <c r="C18" s="22" t="s">
        <v>84</v>
      </c>
      <c r="D18" s="22" t="s">
        <v>56</v>
      </c>
      <c r="E18" s="22" t="s">
        <v>56</v>
      </c>
      <c r="F18" s="23">
        <v>85</v>
      </c>
      <c r="G18" s="24">
        <v>65.48</v>
      </c>
      <c r="H18" s="25">
        <f t="shared" si="0"/>
        <v>5565.8</v>
      </c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  <c r="AQ18" s="13"/>
      <c r="AR18" s="13"/>
      <c r="AS18" s="13"/>
      <c r="AT18" s="13"/>
      <c r="AU18" s="13"/>
      <c r="AV18" s="13"/>
      <c r="AW18" s="13"/>
      <c r="AX18" s="13"/>
      <c r="AY18" s="13"/>
      <c r="AZ18" s="13"/>
      <c r="BA18" s="13"/>
      <c r="BB18" s="13"/>
      <c r="BC18" s="13"/>
      <c r="BD18" s="13"/>
      <c r="BE18" s="13"/>
      <c r="BF18" s="13"/>
      <c r="BG18" s="13"/>
      <c r="BH18" s="13"/>
      <c r="BI18" s="13"/>
      <c r="BJ18" s="13"/>
      <c r="BK18" s="13"/>
      <c r="BL18" s="13"/>
    </row>
    <row r="19" spans="1:65" ht="15.75" thickTop="1">
      <c r="A19" s="13"/>
      <c r="B19" s="114" t="s">
        <v>85</v>
      </c>
      <c r="C19" s="114"/>
      <c r="D19" s="114"/>
      <c r="E19" s="114"/>
      <c r="F19" s="114"/>
      <c r="G19" s="114"/>
      <c r="H19" s="26">
        <f>SUM(H4:H18)</f>
        <v>71856.759999999995</v>
      </c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13"/>
      <c r="AU19" s="13"/>
      <c r="AV19" s="13"/>
      <c r="AW19" s="13"/>
      <c r="AX19" s="13"/>
      <c r="AY19" s="13"/>
      <c r="AZ19" s="13"/>
      <c r="BA19" s="13"/>
      <c r="BB19" s="13"/>
      <c r="BC19" s="13"/>
      <c r="BD19" s="13"/>
      <c r="BE19" s="13"/>
      <c r="BF19" s="13"/>
      <c r="BG19" s="13"/>
      <c r="BH19" s="13"/>
      <c r="BI19" s="13"/>
      <c r="BJ19" s="13"/>
      <c r="BK19" s="13"/>
      <c r="BL19" s="13"/>
    </row>
    <row r="20" spans="1:65">
      <c r="A20" s="28" t="s">
        <v>86</v>
      </c>
      <c r="B20" s="29"/>
      <c r="C20" s="29"/>
      <c r="D20" s="29"/>
      <c r="E20" s="29"/>
      <c r="F20" s="29"/>
      <c r="G20" s="29"/>
      <c r="H20" s="28"/>
      <c r="I20" s="30"/>
      <c r="J20" s="30"/>
      <c r="K20" s="30"/>
      <c r="L20" s="30"/>
      <c r="M20" s="30"/>
      <c r="N20" s="30"/>
      <c r="O20" s="30"/>
      <c r="P20" s="30"/>
      <c r="Q20" s="30"/>
      <c r="R20" s="28"/>
      <c r="S20" s="28"/>
      <c r="T20" s="28"/>
      <c r="U20" s="28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13"/>
      <c r="AU20" s="13"/>
      <c r="AV20" s="13"/>
      <c r="AW20" s="13"/>
      <c r="AX20" s="13"/>
      <c r="AY20" s="13"/>
      <c r="AZ20" s="13"/>
      <c r="BA20" s="13"/>
      <c r="BB20" s="13"/>
      <c r="BC20" s="13"/>
      <c r="BD20" s="13"/>
      <c r="BE20" s="13"/>
      <c r="BF20" s="13"/>
      <c r="BG20" s="13"/>
      <c r="BH20" s="13"/>
      <c r="BI20" s="13"/>
      <c r="BJ20" s="13"/>
      <c r="BK20" s="13"/>
      <c r="BL20" s="13"/>
    </row>
    <row r="21" spans="1:65" ht="15.75" thickBot="1">
      <c r="A21" s="115" t="s">
        <v>87</v>
      </c>
      <c r="B21" s="115"/>
      <c r="C21" s="12">
        <v>1</v>
      </c>
      <c r="D21" s="31" t="s">
        <v>88</v>
      </c>
      <c r="E21" s="29"/>
      <c r="F21" s="29"/>
      <c r="G21" s="29"/>
      <c r="H21" s="28"/>
      <c r="I21" s="30" t="s">
        <v>89</v>
      </c>
      <c r="J21" s="30" t="s">
        <v>90</v>
      </c>
      <c r="K21" s="30"/>
      <c r="L21" s="30" t="s">
        <v>91</v>
      </c>
      <c r="M21" s="30">
        <v>1</v>
      </c>
      <c r="N21" s="30"/>
      <c r="O21" s="30" t="s">
        <v>92</v>
      </c>
      <c r="P21" s="30">
        <v>2</v>
      </c>
      <c r="Q21" s="30" t="s">
        <v>93</v>
      </c>
      <c r="R21" s="28"/>
      <c r="S21" s="28"/>
      <c r="T21" s="28"/>
      <c r="U21" s="28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  <c r="AQ21" s="13"/>
      <c r="AR21" s="13"/>
      <c r="AS21" s="13"/>
      <c r="AT21" s="13"/>
      <c r="AU21" s="13"/>
      <c r="AV21" s="13"/>
      <c r="AW21" s="13"/>
      <c r="AX21" s="13"/>
      <c r="AY21" s="13"/>
      <c r="AZ21" s="13"/>
      <c r="BA21" s="13"/>
      <c r="BB21" s="13"/>
      <c r="BC21" s="13"/>
      <c r="BD21" s="13"/>
      <c r="BE21" s="13"/>
      <c r="BF21" s="13"/>
      <c r="BG21" s="13"/>
      <c r="BH21" s="13"/>
      <c r="BI21" s="13"/>
      <c r="BJ21" s="13"/>
      <c r="BK21" s="13"/>
      <c r="BL21" s="13"/>
    </row>
    <row r="22" spans="1:65" ht="58.5" thickTop="1" thickBot="1">
      <c r="A22" s="62" t="s">
        <v>148</v>
      </c>
      <c r="B22" s="62" t="s">
        <v>47</v>
      </c>
      <c r="C22" s="62" t="s">
        <v>149</v>
      </c>
      <c r="D22" s="62" t="s">
        <v>49</v>
      </c>
      <c r="E22" s="62" t="s">
        <v>50</v>
      </c>
      <c r="F22" s="62" t="s">
        <v>51</v>
      </c>
      <c r="G22" s="62" t="s">
        <v>52</v>
      </c>
      <c r="H22" s="62" t="s">
        <v>53</v>
      </c>
      <c r="I22" s="63" t="s">
        <v>95</v>
      </c>
      <c r="J22" s="63" t="s">
        <v>97</v>
      </c>
      <c r="K22" s="63" t="s">
        <v>96</v>
      </c>
      <c r="L22" s="64" t="s">
        <v>98</v>
      </c>
      <c r="M22" s="64" t="s">
        <v>99</v>
      </c>
      <c r="N22" s="64" t="s">
        <v>102</v>
      </c>
      <c r="O22" s="64" t="s">
        <v>103</v>
      </c>
      <c r="P22" s="64" t="s">
        <v>150</v>
      </c>
      <c r="Q22" s="64" t="s">
        <v>101</v>
      </c>
      <c r="R22" s="63" t="s">
        <v>104</v>
      </c>
      <c r="S22" s="62" t="s">
        <v>151</v>
      </c>
      <c r="T22" s="62" t="s">
        <v>106</v>
      </c>
      <c r="U22" s="65" t="s">
        <v>152</v>
      </c>
      <c r="V22" s="65" t="s">
        <v>108</v>
      </c>
      <c r="W22" s="65" t="s">
        <v>109</v>
      </c>
      <c r="X22" s="65" t="s">
        <v>110</v>
      </c>
      <c r="Y22" s="65" t="s">
        <v>111</v>
      </c>
      <c r="Z22" s="66" t="s">
        <v>112</v>
      </c>
      <c r="AA22" s="66" t="s">
        <v>113</v>
      </c>
      <c r="AB22" s="66" t="s">
        <v>114</v>
      </c>
      <c r="AC22" s="66" t="s">
        <v>115</v>
      </c>
      <c r="AD22" s="66" t="s">
        <v>116</v>
      </c>
      <c r="AE22" s="66" t="s">
        <v>117</v>
      </c>
      <c r="AF22" s="66" t="s">
        <v>118</v>
      </c>
      <c r="AG22" s="66" t="s">
        <v>119</v>
      </c>
      <c r="AH22" s="66" t="s">
        <v>120</v>
      </c>
      <c r="AI22" s="66" t="s">
        <v>121</v>
      </c>
      <c r="AJ22" s="66" t="s">
        <v>122</v>
      </c>
      <c r="AK22" s="66" t="s">
        <v>123</v>
      </c>
      <c r="AL22" s="66" t="s">
        <v>124</v>
      </c>
      <c r="AM22" s="66" t="s">
        <v>125</v>
      </c>
      <c r="AN22" s="66" t="s">
        <v>126</v>
      </c>
      <c r="AO22" s="67" t="s">
        <v>153</v>
      </c>
      <c r="AP22" s="9" t="s">
        <v>240</v>
      </c>
      <c r="AQ22" s="9" t="s">
        <v>126</v>
      </c>
      <c r="AR22" s="56" t="s">
        <v>131</v>
      </c>
      <c r="AS22" s="56" t="s">
        <v>132</v>
      </c>
      <c r="AT22" s="56" t="s">
        <v>133</v>
      </c>
      <c r="AU22" s="56" t="s">
        <v>134</v>
      </c>
      <c r="AV22" s="56" t="s">
        <v>135</v>
      </c>
      <c r="AW22" s="56" t="s">
        <v>136</v>
      </c>
      <c r="AX22" s="56" t="s">
        <v>137</v>
      </c>
      <c r="AY22" s="56" t="s">
        <v>138</v>
      </c>
      <c r="AZ22" s="84" t="s">
        <v>207</v>
      </c>
      <c r="BA22" s="84" t="s">
        <v>8</v>
      </c>
      <c r="BB22" s="84" t="s">
        <v>9</v>
      </c>
      <c r="BC22" s="56" t="s">
        <v>228</v>
      </c>
      <c r="BD22" s="56" t="s">
        <v>139</v>
      </c>
      <c r="BE22" s="56" t="s">
        <v>140</v>
      </c>
      <c r="BF22" s="56" t="s">
        <v>141</v>
      </c>
      <c r="BG22" s="56" t="s">
        <v>142</v>
      </c>
      <c r="BH22" s="56" t="s">
        <v>143</v>
      </c>
      <c r="BI22" s="56" t="s">
        <v>241</v>
      </c>
      <c r="BJ22" s="96" t="s">
        <v>247</v>
      </c>
      <c r="BK22" s="56" t="s">
        <v>248</v>
      </c>
      <c r="BL22" s="56" t="s">
        <v>136</v>
      </c>
      <c r="BM22" s="97" t="s">
        <v>256</v>
      </c>
    </row>
    <row r="23" spans="1:65" ht="15.75" thickBot="1">
      <c r="A23" s="41">
        <v>1</v>
      </c>
      <c r="B23" s="41" t="s">
        <v>290</v>
      </c>
      <c r="C23" s="41" t="s">
        <v>155</v>
      </c>
      <c r="D23" s="41" t="s">
        <v>56</v>
      </c>
      <c r="E23" s="41" t="s">
        <v>156</v>
      </c>
      <c r="F23" s="76">
        <v>25</v>
      </c>
      <c r="G23" s="76">
        <v>257.63</v>
      </c>
      <c r="H23" s="76">
        <f>F23*G23</f>
        <v>6440.75</v>
      </c>
      <c r="I23" s="76">
        <v>1</v>
      </c>
      <c r="J23" s="76">
        <v>2</v>
      </c>
      <c r="K23" s="76">
        <v>2.5</v>
      </c>
      <c r="L23" s="76">
        <f>H23</f>
        <v>6440.75</v>
      </c>
      <c r="M23" s="76">
        <f>ROUND(L23*I23%,2)</f>
        <v>64.41</v>
      </c>
      <c r="N23" s="76">
        <f>H23-M23</f>
        <v>6376.34</v>
      </c>
      <c r="O23" s="76">
        <f>ROUND(N23*J23%,2)</f>
        <v>127.53</v>
      </c>
      <c r="P23" s="76">
        <f>ROUND(N23-O23,2)</f>
        <v>6248.81</v>
      </c>
      <c r="Q23" s="76">
        <f>ROUND(P23*K23%,2)</f>
        <v>156.22</v>
      </c>
      <c r="R23" s="76">
        <f>ROUND((M23+O23+Q23),2)</f>
        <v>348.16</v>
      </c>
      <c r="S23" s="76">
        <f>ROUND((H23-R23),2)</f>
        <v>6092.59</v>
      </c>
      <c r="T23" s="43" t="s">
        <v>128</v>
      </c>
      <c r="U23" s="44">
        <v>0.18</v>
      </c>
      <c r="V23" s="76">
        <f>IF($C$21=1,ROUND(((S23*U23)/2),2),0)</f>
        <v>548.33000000000004</v>
      </c>
      <c r="W23" s="76">
        <f>IF($C$21=1,ROUND(((S23*U23)/2),2),0)</f>
        <v>548.33000000000004</v>
      </c>
      <c r="X23" s="76">
        <f>IF($C$21=2,ROUND(((S23*U23)),2),0)</f>
        <v>0</v>
      </c>
      <c r="Y23" s="41">
        <f>ROUND((S23*18%),2)</f>
        <v>1096.67</v>
      </c>
      <c r="Z23" s="41">
        <f>S23+Y23</f>
        <v>7189.26</v>
      </c>
      <c r="AA23" s="43">
        <v>120</v>
      </c>
      <c r="AB23" s="43">
        <f>IF($P$21=1,(S23/$S$25)*$E$36,AA23/$AA$25*$E$36)</f>
        <v>0</v>
      </c>
      <c r="AC23" s="43"/>
      <c r="AD23" s="43">
        <f>IF($P$21=1,(S23/$S$25)*$E$38,AA23/$AA$25*$E$38)</f>
        <v>0</v>
      </c>
      <c r="AE23" s="43">
        <f>IF($P$21=1,(S23/$S$25)*$E$39,AA23/$AA$25*$E$39)</f>
        <v>0</v>
      </c>
      <c r="AF23" s="43">
        <f t="shared" ref="AF23:AF24" si="1">S23*$M$21</f>
        <v>6092.59</v>
      </c>
      <c r="AG23" s="43">
        <f>IF($C$21=3,0,AD23+AE23)</f>
        <v>0</v>
      </c>
      <c r="AH23" s="43">
        <f t="shared" ref="AH23:AH24" si="2">IF($C$21=3,AB23+AD23+AE23,0)</f>
        <v>0</v>
      </c>
      <c r="AI23" s="42">
        <v>2</v>
      </c>
      <c r="AJ23" s="43">
        <f t="shared" ref="AJ23:AJ24" si="3">F23/AI23</f>
        <v>12.5</v>
      </c>
      <c r="AK23" s="43">
        <f>ROUND(AF23/AJ23,5)</f>
        <v>487.40719999999999</v>
      </c>
      <c r="AL23" s="43">
        <f>AG23/AJ23</f>
        <v>0</v>
      </c>
      <c r="AM23" s="43">
        <f>AH23/AJ23</f>
        <v>0</v>
      </c>
      <c r="AN23" s="43" t="s">
        <v>56</v>
      </c>
      <c r="AO23" s="43">
        <f>ROUND(AK23+AL23+AM23,5)</f>
        <v>487.40719999999999</v>
      </c>
      <c r="AP23" s="15" t="s">
        <v>236</v>
      </c>
      <c r="AQ23" s="15" t="s">
        <v>56</v>
      </c>
      <c r="AR23" t="s" s="0">
        <v>249</v>
      </c>
      <c r="AS23" t="s" s="0">
        <v>237</v>
      </c>
      <c r="AT23" s="88">
        <f>AJ23</f>
        <v>12.5</v>
      </c>
      <c r="AU23" s="17">
        <f>AO23</f>
        <v>487.40719999999999</v>
      </c>
      <c r="AV23" s="88">
        <f>AR23+AT23</f>
        <v>12.5</v>
      </c>
      <c r="AW23" s="15">
        <f>ROUND(((AR23*AS23)+(AT23*AU23))/(AR23+AT23),5)</f>
        <v>487.40719999999999</v>
      </c>
      <c r="AX23" s="59"/>
      <c r="AY23" s="59" t="s">
        <v>144</v>
      </c>
      <c r="AZ23" s="107" t="s">
        <v>27</v>
      </c>
      <c r="BA23" s="107" t="s">
        <v>287</v>
      </c>
      <c r="BB23" s="107" t="s">
        <v>288</v>
      </c>
      <c r="BC23" s="59"/>
      <c r="BD23" s="59"/>
      <c r="BE23" s="59"/>
      <c r="BF23" s="15"/>
      <c r="BG23" s="15"/>
      <c r="BH23" s="15"/>
      <c r="BI23" s="15" t="s">
        <v>274</v>
      </c>
      <c r="BJ23" t="s" s="0">
        <v>237</v>
      </c>
      <c r="BK23" t="s" s="0">
        <v>257</v>
      </c>
      <c r="BL23" s="15">
        <f>ROUND((((AT23*AW23)+(BK23*BJ23))/(AT23+BK23)),5)</f>
        <v>487.40719999999999</v>
      </c>
      <c r="BM23" s="54">
        <f>BK23+AT23</f>
        <v>112.5</v>
      </c>
    </row>
    <row r="24" spans="1:65" ht="15.75" thickBot="1">
      <c r="A24" s="41">
        <v>2</v>
      </c>
      <c r="B24" s="41" t="s">
        <v>291</v>
      </c>
      <c r="C24" s="41" t="s">
        <v>168</v>
      </c>
      <c r="D24" s="41" t="s">
        <v>56</v>
      </c>
      <c r="E24" s="41" t="s">
        <v>156</v>
      </c>
      <c r="F24" s="76">
        <v>28</v>
      </c>
      <c r="G24" s="76">
        <v>150.5</v>
      </c>
      <c r="H24" s="76">
        <f t="shared" ref="H24" si="4">F24*G24</f>
        <v>4214</v>
      </c>
      <c r="I24" s="76">
        <v>1</v>
      </c>
      <c r="J24" s="76">
        <v>2</v>
      </c>
      <c r="K24" s="76">
        <v>2.5</v>
      </c>
      <c r="L24" s="76">
        <f t="shared" ref="L24" si="5">H24</f>
        <v>4214</v>
      </c>
      <c r="M24" s="76">
        <f t="shared" ref="M24" si="6">ROUND(L24*I24%,2)</f>
        <v>42.14</v>
      </c>
      <c r="N24" s="76">
        <f t="shared" ref="N24" si="7">H24-M24</f>
        <v>4171.8599999999997</v>
      </c>
      <c r="O24" s="76">
        <f t="shared" ref="O24" si="8">ROUND(N24*J24%,2)</f>
        <v>83.44</v>
      </c>
      <c r="P24" s="76">
        <f t="shared" ref="P24" si="9">ROUND(N24-O24,2)</f>
        <v>4088.42</v>
      </c>
      <c r="Q24" s="76">
        <f t="shared" ref="Q24" si="10">ROUND(P24*K24%,2)</f>
        <v>102.21</v>
      </c>
      <c r="R24" s="76">
        <f t="shared" ref="R24" si="11">ROUND((M24+O24+Q24),2)</f>
        <v>227.79</v>
      </c>
      <c r="S24" s="76">
        <f t="shared" ref="S24" si="12">ROUND((H24-R24),2)</f>
        <v>3986.21</v>
      </c>
      <c r="T24" s="43" t="s">
        <v>231</v>
      </c>
      <c r="U24" s="44">
        <v>0.18</v>
      </c>
      <c r="V24" s="76">
        <f t="shared" ref="V24" si="13">IF($C$21=1,ROUND(((S24*U24)/2),2),0)</f>
        <v>358.76</v>
      </c>
      <c r="W24" s="76">
        <f t="shared" ref="W24" si="14">IF($C$21=1,ROUND(((S24*U24)/2),2),0)</f>
        <v>358.76</v>
      </c>
      <c r="X24" s="76">
        <f t="shared" ref="X24" si="15">IF($C$21=2,ROUND(((S24*U24)),2),0)</f>
        <v>0</v>
      </c>
      <c r="Y24" s="41">
        <f t="shared" ref="Y24" si="16">ROUND((S24*18%),2)</f>
        <v>717.52</v>
      </c>
      <c r="Z24" s="41">
        <f t="shared" ref="Z24" si="17">S24+Y24</f>
        <v>4703.7299999999996</v>
      </c>
      <c r="AA24" s="43">
        <v>350</v>
      </c>
      <c r="AB24" s="43">
        <f>IF($P$21=1,(S24/$S$25)*$E$36,AA24/$AA$25*$E$36)</f>
        <v>0</v>
      </c>
      <c r="AC24" s="43"/>
      <c r="AD24" s="43">
        <f>IF($P$21=1,(S24/$S$25)*$E$38,AA24/$AA$25*$E$38)</f>
        <v>0</v>
      </c>
      <c r="AE24" s="43">
        <f>IF($P$21=1,(S24/$S$25)*$E$39,AA24/$AA$25*$E$39)</f>
        <v>0</v>
      </c>
      <c r="AF24" s="43">
        <f t="shared" si="1"/>
        <v>3986.21</v>
      </c>
      <c r="AG24" s="43">
        <f t="shared" ref="AG24" si="18">IF($C$21=3,0,AD24+AE24)</f>
        <v>0</v>
      </c>
      <c r="AH24" s="43">
        <f t="shared" si="2"/>
        <v>0</v>
      </c>
      <c r="AI24" s="42">
        <v>2.5</v>
      </c>
      <c r="AJ24" s="43">
        <f t="shared" si="3"/>
        <v>11.2</v>
      </c>
      <c r="AK24" s="43">
        <f t="shared" ref="AK24" si="19">ROUND(AF24/AJ24,5)</f>
        <v>355.91161</v>
      </c>
      <c r="AL24" s="43">
        <f t="shared" ref="AL24" si="20">AG24/AJ24</f>
        <v>0</v>
      </c>
      <c r="AM24" s="43">
        <f t="shared" ref="AM24" si="21">AH24/AJ24</f>
        <v>0</v>
      </c>
      <c r="AN24" s="43" t="s">
        <v>56</v>
      </c>
      <c r="AO24" s="43">
        <f t="shared" ref="AO24" si="22">ROUND(AK24+AL24+AM24,5)</f>
        <v>355.91161</v>
      </c>
      <c r="AP24" s="15" t="s">
        <v>236</v>
      </c>
      <c r="AQ24" s="15" t="s">
        <v>56</v>
      </c>
      <c r="AR24" t="s" s="0">
        <v>249</v>
      </c>
      <c r="AS24" t="s" s="0">
        <v>238</v>
      </c>
      <c r="AT24" s="88">
        <f t="shared" ref="AT24" si="23">AJ24</f>
        <v>11.2</v>
      </c>
      <c r="AU24" s="17">
        <f>AO24</f>
        <v>355.91161</v>
      </c>
      <c r="AV24" s="88">
        <f t="shared" ref="AV24" si="24">AR24+AT24</f>
        <v>11.2</v>
      </c>
      <c r="AW24" s="15">
        <f>ROUND(((AR24*AS24)+(AT24*AU24))/(AR24+AT24),5)</f>
        <v>355.91161</v>
      </c>
      <c r="AX24" s="59"/>
      <c r="AY24" s="59"/>
      <c r="AZ24" s="107" t="s">
        <v>27</v>
      </c>
      <c r="BA24" s="107" t="s">
        <v>289</v>
      </c>
      <c r="BB24" s="107" t="s">
        <v>288</v>
      </c>
      <c r="BC24" s="59"/>
      <c r="BD24" s="59"/>
      <c r="BE24" s="59"/>
      <c r="BF24" s="15"/>
      <c r="BG24" s="15"/>
      <c r="BH24" s="15"/>
      <c r="BI24" s="15" t="s">
        <v>274</v>
      </c>
      <c r="BJ24" t="s" s="0">
        <v>238</v>
      </c>
      <c r="BK24" t="s" s="0">
        <v>258</v>
      </c>
      <c r="BL24" s="15">
        <f t="shared" ref="BL24" si="25">ROUND((((AT24*AW24)+(BK24*BJ24))/(AT24+BK24)),5)</f>
        <v>355.91161</v>
      </c>
      <c r="BM24" s="54">
        <f t="shared" ref="BM24" si="26">BK24+AT24</f>
        <v>100.8</v>
      </c>
    </row>
    <row r="25" spans="1:65" ht="15.75" thickBot="1">
      <c r="A25" s="13"/>
      <c r="C25" s="94" t="s">
        <v>85</v>
      </c>
      <c r="D25" s="77"/>
      <c r="E25" s="77"/>
      <c r="F25" s="77"/>
      <c r="G25" s="78"/>
      <c r="H25" s="45">
        <f>SUM(H23:H24)</f>
        <v>10654.75</v>
      </c>
      <c r="I25" s="41"/>
      <c r="J25" s="41"/>
      <c r="K25" s="41"/>
      <c r="L25" s="41"/>
      <c r="M25" s="41"/>
      <c r="N25" s="41"/>
      <c r="O25" s="41"/>
      <c r="P25" s="41"/>
      <c r="Q25" s="41"/>
      <c r="R25" s="45">
        <f>SUM(R23:R24)</f>
        <v>575.95000000000005</v>
      </c>
      <c r="S25" s="45">
        <f>SUM(S23:S24)</f>
        <v>10078.799999999999</v>
      </c>
      <c r="T25" s="45"/>
      <c r="U25" s="45"/>
      <c r="V25" s="81">
        <f t="shared" ref="V25:AB25" si="27">SUM(V23:V24)</f>
        <v>907.09</v>
      </c>
      <c r="W25" s="81">
        <f t="shared" si="27"/>
        <v>907.09</v>
      </c>
      <c r="X25" s="81">
        <f t="shared" si="27"/>
        <v>0</v>
      </c>
      <c r="Y25" s="45">
        <f t="shared" si="27"/>
        <v>1814.19</v>
      </c>
      <c r="Z25" s="47">
        <f t="shared" si="27"/>
        <v>11892.99</v>
      </c>
      <c r="AA25" s="48">
        <f t="shared" si="27"/>
        <v>470</v>
      </c>
      <c r="AB25" s="48">
        <f t="shared" si="27"/>
        <v>0</v>
      </c>
      <c r="AC25" s="47"/>
      <c r="AD25" s="48">
        <f>SUM(AD23:AD24)</f>
        <v>0</v>
      </c>
      <c r="AE25" s="48">
        <f>IF($P$21=1,(S25/$S$25)*$E$39,AA25/$AA$25*$E$39)</f>
        <v>0</v>
      </c>
      <c r="AF25" s="48">
        <f>SUM(AF23:AF24)</f>
        <v>10078.799999999999</v>
      </c>
      <c r="AG25" s="48">
        <f>SUM(AG23:AG24)</f>
        <v>0</v>
      </c>
      <c r="AH25" s="48">
        <f>SUM(AH23:AH24)</f>
        <v>0</v>
      </c>
      <c r="AI25" s="47"/>
      <c r="AJ25" s="47"/>
      <c r="AK25" s="47"/>
      <c r="AL25" s="47"/>
      <c r="AM25" s="47"/>
      <c r="AN25" s="47"/>
      <c r="AO25" s="47"/>
      <c r="AP25" s="13"/>
      <c r="AQ25" s="13"/>
      <c r="AT25" s="13"/>
      <c r="AU25" s="13"/>
      <c r="AV25" s="13"/>
      <c r="AW25" s="13"/>
      <c r="AX25" s="13"/>
      <c r="AY25" s="13"/>
      <c r="AZ25" s="13"/>
      <c r="BA25" s="13"/>
      <c r="BB25" s="13"/>
      <c r="BC25" s="13"/>
      <c r="BD25" s="13"/>
      <c r="BE25" s="13"/>
      <c r="BF25" s="13"/>
      <c r="BG25" s="13"/>
      <c r="BH25" s="13"/>
      <c r="BI25" s="13"/>
      <c r="BJ25" s="13"/>
      <c r="BK25" s="13"/>
      <c r="BL25" s="13"/>
    </row>
    <row r="26" spans="1:65" ht="15.75" thickBot="1">
      <c r="A26" s="13"/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  <c r="AQ26" s="13"/>
      <c r="AR26" s="13"/>
      <c r="AS26" s="13"/>
      <c r="AT26" s="13"/>
      <c r="AU26" s="13"/>
      <c r="AV26" s="13"/>
      <c r="AW26" s="13"/>
      <c r="AX26" s="13"/>
      <c r="AY26" s="13"/>
      <c r="AZ26" s="13"/>
      <c r="BA26" s="13"/>
      <c r="BB26" s="13"/>
      <c r="BC26" s="13"/>
      <c r="BD26" s="13"/>
      <c r="BE26" s="13"/>
      <c r="BF26" s="13"/>
      <c r="BG26" s="13"/>
      <c r="BH26" s="13"/>
      <c r="BI26" s="13"/>
      <c r="BJ26" s="13"/>
      <c r="BK26" s="13"/>
      <c r="BL26" s="13"/>
    </row>
    <row r="27" spans="1:65" ht="15.75" thickBot="1">
      <c r="A27" s="13"/>
      <c r="B27" s="13"/>
      <c r="C27" s="13"/>
      <c r="D27" s="13"/>
      <c r="E27" s="13"/>
      <c r="F27" s="13"/>
      <c r="G27" s="116" t="s">
        <v>187</v>
      </c>
      <c r="H27" s="117"/>
      <c r="I27" s="118">
        <f>H25</f>
        <v>10654.75</v>
      </c>
      <c r="J27" s="118"/>
      <c r="K27" s="53"/>
      <c r="L27" s="13"/>
      <c r="M27" s="122" t="s">
        <v>188</v>
      </c>
      <c r="N27" s="123"/>
      <c r="O27" s="123"/>
      <c r="P27" s="124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13"/>
      <c r="AM27" s="13"/>
      <c r="AN27" s="13"/>
      <c r="AO27" s="13"/>
      <c r="AP27" s="13"/>
      <c r="AQ27" s="13"/>
      <c r="AR27" s="13"/>
      <c r="AS27" s="13"/>
      <c r="AT27" s="13"/>
      <c r="AU27" s="13"/>
      <c r="AV27" s="13"/>
      <c r="AW27" s="13"/>
      <c r="AX27" s="13"/>
      <c r="AY27" s="13"/>
      <c r="AZ27" s="13"/>
      <c r="BA27" s="13"/>
      <c r="BB27" s="13"/>
      <c r="BC27" s="13"/>
      <c r="BD27" s="13"/>
      <c r="BE27" s="13" t="s">
        <v>243</v>
      </c>
      <c r="BF27" s="95" t="s">
        <v>246</v>
      </c>
      <c r="BG27" s="13"/>
      <c r="BH27" s="13"/>
      <c r="BI27" s="13"/>
      <c r="BJ27" s="13"/>
      <c r="BK27" s="13"/>
      <c r="BL27" s="13"/>
    </row>
    <row r="28" spans="1:65" ht="15.75" thickBot="1">
      <c r="A28" s="13"/>
      <c r="B28" s="13"/>
      <c r="C28" s="13"/>
      <c r="D28" s="13"/>
      <c r="E28" s="13"/>
      <c r="F28" s="13"/>
      <c r="G28" s="116" t="s">
        <v>189</v>
      </c>
      <c r="H28" s="117"/>
      <c r="I28" s="118">
        <f>R25</f>
        <v>575.95000000000005</v>
      </c>
      <c r="J28" s="118"/>
      <c r="K28" s="13"/>
      <c r="L28" s="13"/>
      <c r="M28" s="68">
        <v>1</v>
      </c>
      <c r="N28" s="68" t="s">
        <v>56</v>
      </c>
      <c r="O28" s="68">
        <v>2</v>
      </c>
      <c r="P28" s="68" t="s">
        <v>156</v>
      </c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  <c r="AK28" s="13"/>
      <c r="AL28" s="13"/>
      <c r="AM28" s="13"/>
      <c r="AN28" s="13"/>
      <c r="AO28" s="13"/>
      <c r="AP28" s="13"/>
      <c r="AQ28" s="13"/>
      <c r="AR28" s="13"/>
      <c r="AS28" s="13"/>
      <c r="AT28" s="13"/>
      <c r="AU28" s="13"/>
      <c r="AV28" s="13"/>
      <c r="AW28" s="13"/>
      <c r="AX28" s="13"/>
      <c r="AY28" s="13"/>
      <c r="AZ28" s="13"/>
      <c r="BA28" s="13"/>
      <c r="BB28" s="13"/>
      <c r="BC28" s="13"/>
      <c r="BD28" s="13"/>
      <c r="BE28" s="13" t="s">
        <v>244</v>
      </c>
      <c r="BF28" s="95" t="s">
        <v>245</v>
      </c>
      <c r="BG28" s="13"/>
      <c r="BH28" s="13"/>
      <c r="BI28" s="13"/>
      <c r="BJ28" s="13"/>
      <c r="BK28" s="13"/>
      <c r="BL28" s="13"/>
    </row>
    <row r="29" spans="1:65" ht="15.75" thickBot="1">
      <c r="A29" s="13"/>
      <c r="B29" s="13"/>
      <c r="C29" s="13"/>
      <c r="D29" s="13"/>
      <c r="E29" s="13"/>
      <c r="F29" s="13"/>
      <c r="G29" s="116" t="s">
        <v>190</v>
      </c>
      <c r="H29" s="117"/>
      <c r="I29" s="118">
        <f>S25</f>
        <v>10078.799999999999</v>
      </c>
      <c r="J29" s="118"/>
      <c r="K29" s="13"/>
      <c r="L29" s="13"/>
      <c r="M29" s="41">
        <v>1</v>
      </c>
      <c r="N29" s="41" t="s">
        <v>56</v>
      </c>
      <c r="O29" s="41">
        <v>2.5</v>
      </c>
      <c r="P29" s="41" t="s">
        <v>169</v>
      </c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/>
      <c r="AM29" s="13"/>
      <c r="AN29" s="13"/>
      <c r="AO29" s="13"/>
      <c r="AP29" s="13"/>
      <c r="AQ29" s="13"/>
      <c r="AR29" s="13"/>
      <c r="AS29" s="13"/>
      <c r="AT29" s="13"/>
      <c r="AU29" s="13"/>
      <c r="AV29" s="13"/>
      <c r="AW29" s="13"/>
      <c r="AX29" s="13"/>
      <c r="AY29" s="13"/>
      <c r="AZ29" s="13"/>
      <c r="BA29" s="13"/>
      <c r="BB29" s="13"/>
      <c r="BC29" s="13"/>
      <c r="BD29" s="13"/>
      <c r="BE29" s="13"/>
      <c r="BF29" s="13"/>
      <c r="BG29" s="13"/>
      <c r="BH29" s="13"/>
      <c r="BI29" s="13"/>
      <c r="BJ29" s="13"/>
      <c r="BK29" s="13"/>
      <c r="BL29" s="13"/>
    </row>
    <row r="30" spans="1:65" ht="15.75" thickBot="1">
      <c r="A30" s="13"/>
      <c r="B30" s="13"/>
      <c r="C30" s="13"/>
      <c r="D30" s="13"/>
      <c r="E30" s="13"/>
      <c r="F30" s="13"/>
      <c r="G30" s="116" t="s">
        <v>191</v>
      </c>
      <c r="H30" s="117"/>
      <c r="I30" s="118">
        <f>Y25</f>
        <v>1814.19</v>
      </c>
      <c r="J30" s="118"/>
      <c r="K30" s="13"/>
      <c r="L30" s="13"/>
      <c r="M30" s="41">
        <v>1</v>
      </c>
      <c r="N30" s="41" t="s">
        <v>156</v>
      </c>
      <c r="O30" s="41">
        <v>1E-3</v>
      </c>
      <c r="P30" s="41" t="s">
        <v>178</v>
      </c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13"/>
      <c r="AN30" s="13"/>
      <c r="AO30" s="13"/>
      <c r="AP30" s="13"/>
      <c r="AQ30" s="13"/>
      <c r="AR30" s="13"/>
      <c r="AS30" s="13"/>
      <c r="AT30" s="13"/>
      <c r="AU30" s="13"/>
      <c r="AV30" s="13"/>
      <c r="AW30" s="13"/>
      <c r="AX30" s="13"/>
      <c r="AY30" s="13"/>
      <c r="AZ30" s="13"/>
      <c r="BA30" s="13"/>
      <c r="BB30" s="13"/>
      <c r="BC30" s="13"/>
      <c r="BD30" s="13"/>
      <c r="BE30" s="13"/>
      <c r="BF30" s="13"/>
      <c r="BG30" s="13"/>
      <c r="BH30" s="13"/>
      <c r="BI30" s="13"/>
      <c r="BJ30" s="13"/>
      <c r="BK30" s="13"/>
      <c r="BL30" s="13"/>
    </row>
    <row r="31" spans="1:65" ht="15.75" thickBot="1">
      <c r="A31" s="13"/>
      <c r="B31" s="13"/>
      <c r="C31" s="13"/>
      <c r="D31" s="13"/>
      <c r="E31" s="13"/>
      <c r="F31" s="13"/>
      <c r="G31" s="116" t="s">
        <v>192</v>
      </c>
      <c r="H31" s="117"/>
      <c r="I31" s="119">
        <f>I29+I30</f>
        <v>11892.99</v>
      </c>
      <c r="J31" s="119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13"/>
      <c r="AM31" s="13"/>
      <c r="AN31" s="13"/>
      <c r="AO31" s="13"/>
      <c r="AP31" s="13"/>
      <c r="AQ31" s="13"/>
      <c r="AR31" s="13"/>
      <c r="AS31" s="13"/>
      <c r="AT31" s="13"/>
      <c r="AU31" s="13"/>
      <c r="AV31" s="13"/>
      <c r="AW31" s="13"/>
      <c r="AX31" s="13"/>
      <c r="AY31" s="13"/>
      <c r="AZ31" s="13"/>
      <c r="BA31" s="13"/>
      <c r="BB31" s="13"/>
      <c r="BC31" s="13"/>
      <c r="BD31" s="13"/>
      <c r="BE31" s="13"/>
      <c r="BF31" s="13"/>
      <c r="BG31" s="13"/>
      <c r="BH31" s="13"/>
      <c r="BI31" s="13"/>
      <c r="BJ31" s="13"/>
      <c r="BK31" s="13"/>
      <c r="BL31" s="13"/>
    </row>
    <row r="32" spans="1:65">
      <c r="A32" s="13"/>
      <c r="B32" s="13"/>
      <c r="C32" s="13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13"/>
      <c r="AM32" s="13"/>
      <c r="AN32" s="13"/>
      <c r="AO32" s="13"/>
      <c r="AP32" s="13"/>
      <c r="AQ32" s="13"/>
      <c r="AR32" s="13"/>
      <c r="AS32" s="13"/>
      <c r="AT32" s="13"/>
      <c r="AU32" s="13"/>
      <c r="AV32" s="13"/>
      <c r="AW32" s="13"/>
      <c r="AX32" s="13"/>
      <c r="AY32" s="13"/>
      <c r="AZ32" s="13"/>
      <c r="BA32" s="13"/>
      <c r="BB32" s="13"/>
      <c r="BC32" s="13"/>
      <c r="BD32" s="13"/>
      <c r="BE32" s="13"/>
      <c r="BF32" s="13"/>
      <c r="BG32" s="13"/>
      <c r="BH32" s="13"/>
      <c r="BI32" s="13"/>
      <c r="BJ32" s="13" t="s">
        <v>254</v>
      </c>
      <c r="BK32" s="13" t="s">
        <v>255</v>
      </c>
      <c r="BL32" s="13"/>
    </row>
    <row r="33" spans="1:64">
      <c r="A33" s="13"/>
      <c r="B33" s="13"/>
      <c r="C33" s="13"/>
      <c r="D33" s="13"/>
      <c r="E33" s="13"/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  <c r="AK33" s="13"/>
      <c r="AL33" s="13"/>
      <c r="AM33" s="13"/>
      <c r="AN33" s="13"/>
      <c r="AO33" s="13"/>
      <c r="AP33" s="13"/>
      <c r="AQ33" s="13"/>
      <c r="AR33" s="13"/>
      <c r="AS33" s="13"/>
      <c r="AT33" s="13"/>
      <c r="AU33" s="13"/>
      <c r="AV33" s="13"/>
      <c r="AW33" s="13"/>
      <c r="AX33" s="13"/>
      <c r="AY33" s="13"/>
      <c r="AZ33" s="13"/>
      <c r="BA33" s="13"/>
      <c r="BB33" s="13"/>
      <c r="BC33" s="13"/>
      <c r="BD33" s="13"/>
      <c r="BE33" s="13"/>
      <c r="BF33" s="13"/>
      <c r="BG33" s="13"/>
      <c r="BH33" s="13" t="s">
        <v>250</v>
      </c>
      <c r="BI33" s="13">
        <v>12.5</v>
      </c>
      <c r="BJ33" s="13">
        <f>BI35*BI36</f>
        <v>0</v>
      </c>
      <c r="BK33" s="13">
        <f>BI33*BI34</f>
        <v>6092.59</v>
      </c>
      <c r="BL33" s="13"/>
    </row>
    <row r="34" spans="1:64">
      <c r="A34" s="13"/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  <c r="AK34" s="13"/>
      <c r="AL34" s="13"/>
      <c r="AM34" s="13"/>
      <c r="AN34" s="13"/>
      <c r="AO34" s="13"/>
      <c r="AP34" s="13"/>
      <c r="AQ34" s="13"/>
      <c r="AR34" s="13"/>
      <c r="AS34" s="13"/>
      <c r="AT34" s="13"/>
      <c r="AU34" s="13"/>
      <c r="AV34" s="13"/>
      <c r="AW34" s="13"/>
      <c r="AX34" s="13"/>
      <c r="AY34" s="13"/>
      <c r="AZ34" s="13"/>
      <c r="BA34" s="13"/>
      <c r="BB34" s="13"/>
      <c r="BC34" s="13"/>
      <c r="BD34" s="13"/>
      <c r="BE34" s="13"/>
      <c r="BF34" s="13"/>
      <c r="BG34" s="13"/>
      <c r="BH34" s="13" t="s">
        <v>251</v>
      </c>
      <c r="BI34" s="13">
        <v>487.40719999999999</v>
      </c>
      <c r="BJ34" s="13">
        <f>BI33+BI35</f>
        <v>12.5</v>
      </c>
      <c r="BK34" s="13"/>
      <c r="BL34" s="13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Z1"/>
    <mergeCell ref="B19:G19"/>
    <mergeCell ref="A21:B21"/>
    <mergeCell ref="G27:H27"/>
    <mergeCell ref="I27:J27"/>
    <mergeCell ref="M27:P27"/>
  </mergeCells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>
  <dimension ref="A1:BM34"/>
  <sheetViews>
    <sheetView workbookViewId="0">
      <selection sqref="A1:BR132"/>
    </sheetView>
  </sheetViews>
  <sheetFormatPr defaultRowHeight="15"/>
  <cols>
    <col min="2" max="2" bestFit="true" customWidth="true" width="16.28515625"/>
  </cols>
  <sheetData>
    <row r="1" spans="1:64" ht="18.75" thickBot="1">
      <c r="A1" s="120" t="s">
        <v>147</v>
      </c>
      <c r="B1" s="120"/>
      <c r="C1" s="120"/>
      <c r="D1" s="120"/>
      <c r="E1" s="120"/>
      <c r="F1" s="120"/>
      <c r="G1" s="120"/>
      <c r="H1" s="120"/>
      <c r="I1" s="120"/>
      <c r="J1" s="120"/>
      <c r="K1" s="120"/>
      <c r="L1" s="120"/>
      <c r="M1" s="120"/>
      <c r="N1" s="120"/>
      <c r="O1" s="120"/>
      <c r="P1" s="120"/>
      <c r="Q1" s="120"/>
      <c r="R1" s="120"/>
      <c r="S1" s="120"/>
      <c r="T1" s="120"/>
      <c r="U1" s="120"/>
      <c r="V1" s="120"/>
      <c r="W1" s="120"/>
      <c r="X1" s="120"/>
      <c r="Y1" s="120"/>
      <c r="Z1" s="120"/>
      <c r="AA1" s="92"/>
      <c r="AB1" s="92"/>
      <c r="AC1" s="92"/>
      <c r="AD1" s="92"/>
      <c r="AE1" s="92"/>
      <c r="AF1" s="92"/>
      <c r="AG1" s="92"/>
      <c r="AH1" s="92"/>
      <c r="AI1" s="92"/>
      <c r="AJ1" s="92"/>
      <c r="AK1" s="92"/>
      <c r="AL1" s="92"/>
      <c r="AM1" s="92"/>
      <c r="AN1" s="92"/>
      <c r="AO1" s="13"/>
      <c r="AP1" s="13"/>
      <c r="AQ1" s="13"/>
      <c r="AR1" s="13"/>
      <c r="AS1" s="13"/>
      <c r="AT1" s="13"/>
      <c r="AU1" s="13"/>
      <c r="AV1" s="13"/>
      <c r="AW1" s="13"/>
      <c r="AX1" s="13"/>
      <c r="AY1" s="13"/>
      <c r="AZ1" s="13"/>
      <c r="BA1" s="13"/>
      <c r="BB1" s="13"/>
      <c r="BC1" s="13"/>
      <c r="BD1" s="13"/>
      <c r="BE1" s="13"/>
      <c r="BF1" s="13"/>
      <c r="BG1" s="13"/>
      <c r="BH1" s="13"/>
      <c r="BI1" s="13"/>
      <c r="BJ1" s="13"/>
      <c r="BK1" s="13"/>
      <c r="BL1" s="13"/>
    </row>
    <row r="2" spans="1:64" ht="18.75" thickBot="1">
      <c r="A2" s="108" t="s">
        <v>146</v>
      </c>
      <c r="B2" s="108"/>
      <c r="C2" s="108"/>
      <c r="D2" s="108"/>
      <c r="E2" s="108"/>
      <c r="F2" s="108"/>
      <c r="G2" s="108"/>
      <c r="H2" s="108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3"/>
      <c r="AS2" s="13"/>
      <c r="AT2" s="13"/>
      <c r="AU2" s="13"/>
      <c r="AV2" s="13"/>
      <c r="AW2" s="13"/>
      <c r="AX2" s="13"/>
      <c r="AY2" s="13"/>
      <c r="AZ2" s="13"/>
      <c r="BA2" s="13"/>
      <c r="BB2" s="13"/>
      <c r="BC2" s="13"/>
      <c r="BD2" s="13"/>
      <c r="BE2" s="13"/>
      <c r="BF2" s="13"/>
      <c r="BG2" s="13"/>
      <c r="BH2" s="13"/>
      <c r="BI2" s="13"/>
      <c r="BJ2" s="13"/>
      <c r="BK2" s="13"/>
      <c r="BL2" s="13"/>
    </row>
    <row r="3" spans="1:64" ht="15.75" thickTop="1">
      <c r="A3" s="8" t="s">
        <v>46</v>
      </c>
      <c r="B3" s="9" t="s">
        <v>47</v>
      </c>
      <c r="C3" s="10" t="s">
        <v>48</v>
      </c>
      <c r="D3" s="9" t="s">
        <v>49</v>
      </c>
      <c r="E3" s="9" t="s">
        <v>50</v>
      </c>
      <c r="F3" s="9" t="s">
        <v>51</v>
      </c>
      <c r="G3" s="9" t="s">
        <v>52</v>
      </c>
      <c r="H3" s="11" t="s">
        <v>53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13"/>
      <c r="AT3" s="13"/>
      <c r="AU3" s="13"/>
      <c r="AV3" s="13"/>
      <c r="AW3" s="13"/>
      <c r="AX3" s="13"/>
      <c r="AY3" s="13"/>
      <c r="AZ3" s="13"/>
      <c r="BA3" s="13"/>
      <c r="BB3" s="13"/>
      <c r="BC3" s="13"/>
      <c r="BD3" s="13"/>
      <c r="BE3" s="13"/>
      <c r="BF3" s="13"/>
      <c r="BG3" s="13"/>
      <c r="BH3" s="13"/>
      <c r="BI3" s="13"/>
      <c r="BJ3" s="13"/>
      <c r="BK3" s="13"/>
      <c r="BL3" s="13"/>
    </row>
    <row r="4" spans="1:64">
      <c r="A4" s="14">
        <v>1</v>
      </c>
      <c r="B4" s="15" t="s">
        <v>54</v>
      </c>
      <c r="C4" s="15" t="s">
        <v>55</v>
      </c>
      <c r="D4" s="15" t="s">
        <v>56</v>
      </c>
      <c r="E4" s="15" t="s">
        <v>56</v>
      </c>
      <c r="F4" s="16">
        <v>25</v>
      </c>
      <c r="G4" s="17">
        <v>257.63</v>
      </c>
      <c r="H4" s="18">
        <f>F4*G4</f>
        <v>6440.75</v>
      </c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  <c r="AQ4" s="13"/>
      <c r="AR4" s="13"/>
      <c r="AS4" s="13"/>
      <c r="AT4" s="13"/>
      <c r="AU4" s="13"/>
      <c r="AV4" s="13"/>
      <c r="AW4" s="13"/>
      <c r="AX4" s="13"/>
      <c r="AY4" s="13"/>
      <c r="AZ4" s="13"/>
      <c r="BA4" s="13"/>
      <c r="BB4" s="13"/>
      <c r="BC4" s="13"/>
      <c r="BD4" s="13"/>
      <c r="BE4" s="13"/>
      <c r="BF4" s="13"/>
      <c r="BG4" s="13"/>
      <c r="BH4" s="13"/>
      <c r="BI4" s="13"/>
      <c r="BJ4" s="13"/>
      <c r="BK4" s="13"/>
      <c r="BL4" s="13"/>
    </row>
    <row r="5" spans="1:64">
      <c r="A5" s="14">
        <v>2</v>
      </c>
      <c r="B5" s="15" t="s">
        <v>57</v>
      </c>
      <c r="C5" s="15" t="s">
        <v>58</v>
      </c>
      <c r="D5" s="15" t="s">
        <v>56</v>
      </c>
      <c r="E5" s="15" t="s">
        <v>56</v>
      </c>
      <c r="F5" s="16">
        <v>35</v>
      </c>
      <c r="G5" s="17">
        <v>125.45</v>
      </c>
      <c r="H5" s="18">
        <f>F5*G5</f>
        <v>4390.75</v>
      </c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  <c r="AU5" s="13"/>
      <c r="AV5" s="13"/>
      <c r="AW5" s="13"/>
      <c r="AX5" s="13"/>
      <c r="AY5" s="13"/>
      <c r="AZ5" s="13"/>
      <c r="BA5" s="13"/>
      <c r="BB5" s="13"/>
      <c r="BC5" s="13"/>
      <c r="BD5" s="13"/>
      <c r="BE5" s="13"/>
      <c r="BF5" s="13"/>
      <c r="BG5" s="13"/>
      <c r="BH5" s="13"/>
      <c r="BI5" s="13"/>
      <c r="BJ5" s="13"/>
      <c r="BK5" s="13"/>
      <c r="BL5" s="13"/>
    </row>
    <row r="6" spans="1:64">
      <c r="A6" s="14">
        <v>3</v>
      </c>
      <c r="B6" s="15" t="s">
        <v>59</v>
      </c>
      <c r="C6" s="15" t="s">
        <v>60</v>
      </c>
      <c r="D6" s="15" t="s">
        <v>56</v>
      </c>
      <c r="E6" s="15" t="s">
        <v>56</v>
      </c>
      <c r="F6" s="16">
        <v>45</v>
      </c>
      <c r="G6" s="17">
        <v>125.36</v>
      </c>
      <c r="H6" s="18">
        <f>F6*G6</f>
        <v>5641.2</v>
      </c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  <c r="AQ6" s="13"/>
      <c r="AR6" s="13"/>
      <c r="AS6" s="13"/>
      <c r="AT6" s="13"/>
      <c r="AU6" s="13"/>
      <c r="AV6" s="13"/>
      <c r="AW6" s="13"/>
      <c r="AX6" s="13"/>
      <c r="AY6" s="13"/>
      <c r="AZ6" s="13"/>
      <c r="BA6" s="13"/>
      <c r="BB6" s="13"/>
      <c r="BC6" s="13"/>
      <c r="BD6" s="13"/>
      <c r="BE6" s="13"/>
      <c r="BF6" s="13"/>
      <c r="BG6" s="13"/>
      <c r="BH6" s="13"/>
      <c r="BI6" s="13"/>
      <c r="BJ6" s="13"/>
      <c r="BK6" s="13"/>
      <c r="BL6" s="13"/>
    </row>
    <row r="7" spans="1:64">
      <c r="A7" s="14">
        <v>4</v>
      </c>
      <c r="B7" s="15" t="s">
        <v>61</v>
      </c>
      <c r="C7" s="15" t="s">
        <v>62</v>
      </c>
      <c r="D7" s="15" t="s">
        <v>56</v>
      </c>
      <c r="E7" s="15" t="s">
        <v>56</v>
      </c>
      <c r="F7" s="16">
        <v>55</v>
      </c>
      <c r="G7" s="17">
        <v>45.25</v>
      </c>
      <c r="H7" s="18">
        <f t="shared" ref="H7:H18" si="0">F7*G7</f>
        <v>2488.75</v>
      </c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  <c r="AQ7" s="13"/>
      <c r="AR7" s="13"/>
      <c r="AS7" s="13"/>
      <c r="AT7" s="13"/>
      <c r="AU7" s="13"/>
      <c r="AV7" s="13"/>
      <c r="AW7" s="13"/>
      <c r="AX7" s="13"/>
      <c r="AY7" s="13"/>
      <c r="AZ7" s="13"/>
      <c r="BA7" s="13"/>
      <c r="BB7" s="13"/>
      <c r="BC7" s="13"/>
      <c r="BD7" s="13"/>
      <c r="BE7" s="13"/>
      <c r="BF7" s="13"/>
      <c r="BG7" s="13"/>
      <c r="BH7" s="13"/>
      <c r="BI7" s="13"/>
      <c r="BJ7" s="13"/>
      <c r="BK7" s="13"/>
      <c r="BL7" s="13"/>
    </row>
    <row r="8" spans="1:64">
      <c r="A8" s="14">
        <v>5</v>
      </c>
      <c r="B8" s="15" t="s">
        <v>63</v>
      </c>
      <c r="C8" s="15" t="s">
        <v>64</v>
      </c>
      <c r="D8" s="15" t="s">
        <v>56</v>
      </c>
      <c r="E8" s="15" t="s">
        <v>56</v>
      </c>
      <c r="F8" s="16">
        <v>60</v>
      </c>
      <c r="G8" s="17">
        <v>45.5</v>
      </c>
      <c r="H8" s="18">
        <f t="shared" si="0"/>
        <v>2730</v>
      </c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13"/>
      <c r="AM8" s="13"/>
      <c r="AN8" s="13"/>
      <c r="AO8" s="13"/>
      <c r="AP8" s="13"/>
      <c r="AQ8" s="13"/>
      <c r="AR8" s="13"/>
      <c r="AS8" s="13"/>
      <c r="AT8" s="13"/>
      <c r="AU8" s="13"/>
      <c r="AV8" s="13"/>
      <c r="AW8" s="13"/>
      <c r="AX8" s="13"/>
      <c r="AY8" s="13"/>
      <c r="AZ8" s="13"/>
      <c r="BA8" s="13"/>
      <c r="BB8" s="13"/>
      <c r="BC8" s="13"/>
      <c r="BD8" s="13"/>
      <c r="BE8" s="13"/>
      <c r="BF8" s="13"/>
      <c r="BG8" s="13"/>
      <c r="BH8" s="13"/>
      <c r="BI8" s="13"/>
      <c r="BJ8" s="13"/>
      <c r="BK8" s="13"/>
      <c r="BL8" s="13"/>
    </row>
    <row r="9" spans="1:64">
      <c r="A9" s="14">
        <v>6</v>
      </c>
      <c r="B9" s="15" t="s">
        <v>65</v>
      </c>
      <c r="C9" s="15" t="s">
        <v>66</v>
      </c>
      <c r="D9" s="15" t="s">
        <v>56</v>
      </c>
      <c r="E9" s="15" t="s">
        <v>56</v>
      </c>
      <c r="F9" s="16">
        <v>75</v>
      </c>
      <c r="G9" s="17">
        <v>125.25</v>
      </c>
      <c r="H9" s="18">
        <f t="shared" si="0"/>
        <v>9393.75</v>
      </c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  <c r="AQ9" s="13"/>
      <c r="AR9" s="13"/>
      <c r="AS9" s="13"/>
      <c r="AT9" s="13"/>
      <c r="AU9" s="13"/>
      <c r="AV9" s="13"/>
      <c r="AW9" s="13"/>
      <c r="AX9" s="13"/>
      <c r="AY9" s="13"/>
      <c r="AZ9" s="13"/>
      <c r="BA9" s="13"/>
      <c r="BB9" s="13"/>
      <c r="BC9" s="13"/>
      <c r="BD9" s="13"/>
      <c r="BE9" s="13"/>
      <c r="BF9" s="13"/>
      <c r="BG9" s="13"/>
      <c r="BH9" s="13"/>
      <c r="BI9" s="13"/>
      <c r="BJ9" s="13"/>
      <c r="BK9" s="13"/>
      <c r="BL9" s="13"/>
    </row>
    <row r="10" spans="1:64">
      <c r="A10" s="14">
        <v>7</v>
      </c>
      <c r="B10" s="15" t="s">
        <v>67</v>
      </c>
      <c r="C10" s="15" t="s">
        <v>68</v>
      </c>
      <c r="D10" s="15" t="s">
        <v>56</v>
      </c>
      <c r="E10" s="15" t="s">
        <v>56</v>
      </c>
      <c r="F10" s="16">
        <v>28</v>
      </c>
      <c r="G10" s="17">
        <v>150.5</v>
      </c>
      <c r="H10" s="18">
        <f t="shared" si="0"/>
        <v>4214</v>
      </c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  <c r="AK10" s="13"/>
      <c r="AL10" s="13"/>
      <c r="AM10" s="13"/>
      <c r="AN10" s="13"/>
      <c r="AO10" s="13"/>
      <c r="AP10" s="13"/>
      <c r="AQ10" s="13"/>
      <c r="AR10" s="13"/>
      <c r="AS10" s="13"/>
      <c r="AT10" s="13"/>
      <c r="AU10" s="13"/>
      <c r="AV10" s="13"/>
      <c r="AW10" s="13"/>
      <c r="AX10" s="13"/>
      <c r="AY10" s="13"/>
      <c r="AZ10" s="13"/>
      <c r="BA10" s="13"/>
      <c r="BB10" s="13"/>
      <c r="BC10" s="13"/>
      <c r="BD10" s="13"/>
      <c r="BE10" s="13"/>
      <c r="BF10" s="13"/>
      <c r="BG10" s="13"/>
      <c r="BH10" s="13"/>
      <c r="BI10" s="13"/>
      <c r="BJ10" s="13"/>
      <c r="BK10" s="13"/>
      <c r="BL10" s="13"/>
    </row>
    <row r="11" spans="1:64">
      <c r="A11" s="14">
        <v>8</v>
      </c>
      <c r="B11" s="15" t="s">
        <v>69</v>
      </c>
      <c r="C11" s="15" t="s">
        <v>70</v>
      </c>
      <c r="D11" s="15" t="s">
        <v>56</v>
      </c>
      <c r="E11" s="15" t="s">
        <v>56</v>
      </c>
      <c r="F11" s="16">
        <v>30</v>
      </c>
      <c r="G11" s="17">
        <v>65.319999999999993</v>
      </c>
      <c r="H11" s="18">
        <f t="shared" si="0"/>
        <v>1959.6</v>
      </c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  <c r="AQ11" s="13"/>
      <c r="AR11" s="13"/>
      <c r="AS11" s="13"/>
      <c r="AT11" s="13"/>
      <c r="AU11" s="13"/>
      <c r="AV11" s="13"/>
      <c r="AW11" s="13"/>
      <c r="AX11" s="13"/>
      <c r="AY11" s="13"/>
      <c r="AZ11" s="13"/>
      <c r="BA11" s="13"/>
      <c r="BB11" s="13"/>
      <c r="BC11" s="13"/>
      <c r="BD11" s="13"/>
      <c r="BE11" s="13"/>
      <c r="BF11" s="13"/>
      <c r="BG11" s="13"/>
      <c r="BH11" s="13"/>
      <c r="BI11" s="13"/>
      <c r="BJ11" s="13"/>
      <c r="BK11" s="13"/>
      <c r="BL11" s="13"/>
    </row>
    <row r="12" spans="1:64">
      <c r="A12" s="14">
        <v>9</v>
      </c>
      <c r="B12" s="15" t="s">
        <v>71</v>
      </c>
      <c r="C12" s="15" t="s">
        <v>72</v>
      </c>
      <c r="D12" s="15" t="s">
        <v>56</v>
      </c>
      <c r="E12" s="15" t="s">
        <v>56</v>
      </c>
      <c r="F12" s="16">
        <v>25</v>
      </c>
      <c r="G12" s="17">
        <v>74.89</v>
      </c>
      <c r="H12" s="18">
        <f t="shared" si="0"/>
        <v>1872.25</v>
      </c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  <c r="AQ12" s="13"/>
      <c r="AR12" s="13"/>
      <c r="AS12" s="13"/>
      <c r="AT12" s="13"/>
      <c r="AU12" s="13"/>
      <c r="AV12" s="13"/>
      <c r="AW12" s="13"/>
      <c r="AX12" s="13"/>
      <c r="AY12" s="13"/>
      <c r="AZ12" s="13"/>
      <c r="BA12" s="13"/>
      <c r="BB12" s="13"/>
      <c r="BC12" s="13"/>
      <c r="BD12" s="13"/>
      <c r="BE12" s="13"/>
      <c r="BF12" s="13"/>
      <c r="BG12" s="13"/>
      <c r="BH12" s="13"/>
      <c r="BI12" s="13"/>
      <c r="BJ12" s="13"/>
      <c r="BK12" s="13"/>
      <c r="BL12" s="13"/>
    </row>
    <row r="13" spans="1:64">
      <c r="A13" s="14">
        <v>10</v>
      </c>
      <c r="B13" s="15" t="s">
        <v>73</v>
      </c>
      <c r="C13" s="15" t="s">
        <v>74</v>
      </c>
      <c r="D13" s="15" t="s">
        <v>56</v>
      </c>
      <c r="E13" s="15" t="s">
        <v>56</v>
      </c>
      <c r="F13" s="16">
        <v>28</v>
      </c>
      <c r="G13" s="17">
        <v>89.56</v>
      </c>
      <c r="H13" s="18">
        <f t="shared" si="0"/>
        <v>2507.6800000000003</v>
      </c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/>
      <c r="AU13" s="13"/>
      <c r="AV13" s="13"/>
      <c r="AW13" s="13"/>
      <c r="AX13" s="13"/>
      <c r="AY13" s="13"/>
      <c r="AZ13" s="13"/>
      <c r="BA13" s="13"/>
      <c r="BB13" s="13"/>
      <c r="BC13" s="13"/>
      <c r="BD13" s="13"/>
      <c r="BE13" s="13"/>
      <c r="BF13" s="13"/>
      <c r="BG13" s="13"/>
      <c r="BH13" s="13"/>
      <c r="BI13" s="13"/>
      <c r="BJ13" s="13"/>
      <c r="BK13" s="13"/>
      <c r="BL13" s="13"/>
    </row>
    <row r="14" spans="1:64">
      <c r="A14" s="14">
        <v>11</v>
      </c>
      <c r="B14" s="15" t="s">
        <v>75</v>
      </c>
      <c r="C14" s="15" t="s">
        <v>76</v>
      </c>
      <c r="D14" s="15" t="s">
        <v>56</v>
      </c>
      <c r="E14" s="15" t="s">
        <v>56</v>
      </c>
      <c r="F14" s="16">
        <v>37</v>
      </c>
      <c r="G14" s="17">
        <v>89.54</v>
      </c>
      <c r="H14" s="18">
        <f t="shared" si="0"/>
        <v>3312.98</v>
      </c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13"/>
      <c r="AL14" s="13"/>
      <c r="AM14" s="13"/>
      <c r="AN14" s="13"/>
      <c r="AO14" s="13"/>
      <c r="AP14" s="13"/>
      <c r="AQ14" s="13"/>
      <c r="AR14" s="13"/>
      <c r="AS14" s="13"/>
      <c r="AT14" s="13"/>
      <c r="AU14" s="13"/>
      <c r="AV14" s="13"/>
      <c r="AW14" s="13"/>
      <c r="AX14" s="13"/>
      <c r="AY14" s="13"/>
      <c r="AZ14" s="13"/>
      <c r="BA14" s="13"/>
      <c r="BB14" s="13"/>
      <c r="BC14" s="13"/>
      <c r="BD14" s="13"/>
      <c r="BE14" s="13"/>
      <c r="BF14" s="13"/>
      <c r="BG14" s="13"/>
      <c r="BH14" s="13"/>
      <c r="BI14" s="13"/>
      <c r="BJ14" s="13"/>
      <c r="BK14" s="13"/>
      <c r="BL14" s="13"/>
    </row>
    <row r="15" spans="1:64">
      <c r="A15" s="14">
        <v>12</v>
      </c>
      <c r="B15" s="15" t="s">
        <v>77</v>
      </c>
      <c r="C15" s="15" t="s">
        <v>78</v>
      </c>
      <c r="D15" s="15" t="s">
        <v>56</v>
      </c>
      <c r="E15" s="15" t="s">
        <v>56</v>
      </c>
      <c r="F15" s="16">
        <v>39</v>
      </c>
      <c r="G15" s="17">
        <v>98.25</v>
      </c>
      <c r="H15" s="18">
        <f t="shared" si="0"/>
        <v>3831.75</v>
      </c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  <c r="AM15" s="13"/>
      <c r="AN15" s="13"/>
      <c r="AO15" s="13"/>
      <c r="AP15" s="13"/>
      <c r="AQ15" s="13"/>
      <c r="AR15" s="13"/>
      <c r="AS15" s="13"/>
      <c r="AT15" s="13"/>
      <c r="AU15" s="13"/>
      <c r="AV15" s="13"/>
      <c r="AW15" s="13"/>
      <c r="AX15" s="13"/>
      <c r="AY15" s="13"/>
      <c r="AZ15" s="13"/>
      <c r="BA15" s="13"/>
      <c r="BB15" s="13"/>
      <c r="BC15" s="13"/>
      <c r="BD15" s="13"/>
      <c r="BE15" s="13"/>
      <c r="BF15" s="13"/>
      <c r="BG15" s="13"/>
      <c r="BH15" s="13"/>
      <c r="BI15" s="13"/>
      <c r="BJ15" s="13"/>
      <c r="BK15" s="13"/>
      <c r="BL15" s="13"/>
    </row>
    <row r="16" spans="1:64">
      <c r="A16" s="14">
        <v>13</v>
      </c>
      <c r="B16" s="15" t="s">
        <v>79</v>
      </c>
      <c r="C16" s="15" t="s">
        <v>80</v>
      </c>
      <c r="D16" s="15" t="s">
        <v>56</v>
      </c>
      <c r="E16" s="15" t="s">
        <v>56</v>
      </c>
      <c r="F16" s="16">
        <v>70</v>
      </c>
      <c r="G16" s="17">
        <v>102.25</v>
      </c>
      <c r="H16" s="18">
        <f t="shared" si="0"/>
        <v>7157.5</v>
      </c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13"/>
      <c r="AM16" s="13"/>
      <c r="AN16" s="13"/>
      <c r="AO16" s="13"/>
      <c r="AP16" s="13"/>
      <c r="AQ16" s="13"/>
      <c r="AR16" s="13"/>
      <c r="AS16" s="13"/>
      <c r="AT16" s="13"/>
      <c r="AU16" s="13"/>
      <c r="AV16" s="13"/>
      <c r="AW16" s="13"/>
      <c r="AX16" s="13"/>
      <c r="AY16" s="13"/>
      <c r="AZ16" s="13"/>
      <c r="BA16" s="13"/>
      <c r="BB16" s="13"/>
      <c r="BC16" s="13"/>
      <c r="BD16" s="13"/>
      <c r="BE16" s="13"/>
      <c r="BF16" s="13"/>
      <c r="BG16" s="13"/>
      <c r="BH16" s="13"/>
      <c r="BI16" s="13"/>
      <c r="BJ16" s="13"/>
      <c r="BK16" s="13"/>
      <c r="BL16" s="13"/>
    </row>
    <row r="17" spans="1:65">
      <c r="A17" s="14">
        <v>14</v>
      </c>
      <c r="B17" s="15" t="s">
        <v>81</v>
      </c>
      <c r="C17" s="15" t="s">
        <v>82</v>
      </c>
      <c r="D17" s="15" t="s">
        <v>56</v>
      </c>
      <c r="E17" s="15" t="s">
        <v>56</v>
      </c>
      <c r="F17" s="16">
        <v>100</v>
      </c>
      <c r="G17" s="17">
        <v>103.5</v>
      </c>
      <c r="H17" s="18">
        <f t="shared" si="0"/>
        <v>10350</v>
      </c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13"/>
      <c r="AU17" s="13"/>
      <c r="AV17" s="13"/>
      <c r="AW17" s="13"/>
      <c r="AX17" s="13"/>
      <c r="AY17" s="13"/>
      <c r="AZ17" s="13"/>
      <c r="BA17" s="13"/>
      <c r="BB17" s="13"/>
      <c r="BC17" s="13"/>
      <c r="BD17" s="13"/>
      <c r="BE17" s="13"/>
      <c r="BF17" s="13"/>
      <c r="BG17" s="13"/>
      <c r="BH17" s="13"/>
      <c r="BI17" s="13"/>
      <c r="BJ17" s="13"/>
      <c r="BK17" s="13"/>
      <c r="BL17" s="13"/>
    </row>
    <row r="18" spans="1:65" ht="15.75" thickBot="1">
      <c r="A18" s="21">
        <v>15</v>
      </c>
      <c r="B18" s="22" t="s">
        <v>83</v>
      </c>
      <c r="C18" s="22" t="s">
        <v>84</v>
      </c>
      <c r="D18" s="22" t="s">
        <v>56</v>
      </c>
      <c r="E18" s="22" t="s">
        <v>56</v>
      </c>
      <c r="F18" s="23">
        <v>85</v>
      </c>
      <c r="G18" s="24">
        <v>65.48</v>
      </c>
      <c r="H18" s="25">
        <f t="shared" si="0"/>
        <v>5565.8</v>
      </c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  <c r="AQ18" s="13"/>
      <c r="AR18" s="13"/>
      <c r="AS18" s="13"/>
      <c r="AT18" s="13"/>
      <c r="AU18" s="13"/>
      <c r="AV18" s="13"/>
      <c r="AW18" s="13"/>
      <c r="AX18" s="13"/>
      <c r="AY18" s="13"/>
      <c r="AZ18" s="13"/>
      <c r="BA18" s="13"/>
      <c r="BB18" s="13"/>
      <c r="BC18" s="13"/>
      <c r="BD18" s="13"/>
      <c r="BE18" s="13"/>
      <c r="BF18" s="13"/>
      <c r="BG18" s="13"/>
      <c r="BH18" s="13"/>
      <c r="BI18" s="13"/>
      <c r="BJ18" s="13"/>
      <c r="BK18" s="13"/>
      <c r="BL18" s="13"/>
    </row>
    <row r="19" spans="1:65" ht="15.75" thickTop="1">
      <c r="A19" s="13"/>
      <c r="B19" s="114" t="s">
        <v>85</v>
      </c>
      <c r="C19" s="114"/>
      <c r="D19" s="114"/>
      <c r="E19" s="114"/>
      <c r="F19" s="114"/>
      <c r="G19" s="114"/>
      <c r="H19" s="26">
        <f>SUM(H4:H18)</f>
        <v>71856.759999999995</v>
      </c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13"/>
      <c r="AU19" s="13"/>
      <c r="AV19" s="13"/>
      <c r="AW19" s="13"/>
      <c r="AX19" s="13"/>
      <c r="AY19" s="13"/>
      <c r="AZ19" s="13"/>
      <c r="BA19" s="13"/>
      <c r="BB19" s="13"/>
      <c r="BC19" s="13"/>
      <c r="BD19" s="13"/>
      <c r="BE19" s="13"/>
      <c r="BF19" s="13"/>
      <c r="BG19" s="13"/>
      <c r="BH19" s="13"/>
      <c r="BI19" s="13"/>
      <c r="BJ19" s="13"/>
      <c r="BK19" s="13"/>
      <c r="BL19" s="13"/>
    </row>
    <row r="20" spans="1:65">
      <c r="A20" s="28" t="s">
        <v>86</v>
      </c>
      <c r="B20" s="29"/>
      <c r="C20" s="29"/>
      <c r="D20" s="29"/>
      <c r="E20" s="29"/>
      <c r="F20" s="29"/>
      <c r="G20" s="29"/>
      <c r="H20" s="28"/>
      <c r="I20" s="30"/>
      <c r="J20" s="30"/>
      <c r="K20" s="30"/>
      <c r="L20" s="30"/>
      <c r="M20" s="30"/>
      <c r="N20" s="30"/>
      <c r="O20" s="30"/>
      <c r="P20" s="30"/>
      <c r="Q20" s="30"/>
      <c r="R20" s="28"/>
      <c r="S20" s="28"/>
      <c r="T20" s="28"/>
      <c r="U20" s="28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13"/>
      <c r="AU20" s="13"/>
      <c r="AV20" s="13"/>
      <c r="AW20" s="13"/>
      <c r="AX20" s="13"/>
      <c r="AY20" s="13"/>
      <c r="AZ20" s="13"/>
      <c r="BA20" s="13"/>
      <c r="BB20" s="13"/>
      <c r="BC20" s="13"/>
      <c r="BD20" s="13"/>
      <c r="BE20" s="13"/>
      <c r="BF20" s="13"/>
      <c r="BG20" s="13"/>
      <c r="BH20" s="13"/>
      <c r="BI20" s="13"/>
      <c r="BJ20" s="13"/>
      <c r="BK20" s="13"/>
      <c r="BL20" s="13"/>
    </row>
    <row r="21" spans="1:65" ht="15.75" thickBot="1">
      <c r="A21" s="115" t="s">
        <v>87</v>
      </c>
      <c r="B21" s="115"/>
      <c r="C21" s="12">
        <v>1</v>
      </c>
      <c r="D21" s="31" t="s">
        <v>88</v>
      </c>
      <c r="E21" s="29"/>
      <c r="F21" s="29"/>
      <c r="G21" s="29"/>
      <c r="H21" s="28"/>
      <c r="I21" s="30" t="s">
        <v>89</v>
      </c>
      <c r="J21" s="30" t="s">
        <v>90</v>
      </c>
      <c r="K21" s="30"/>
      <c r="L21" s="30" t="s">
        <v>91</v>
      </c>
      <c r="M21" s="30">
        <v>1</v>
      </c>
      <c r="N21" s="30"/>
      <c r="O21" s="30" t="s">
        <v>92</v>
      </c>
      <c r="P21" s="30">
        <v>2</v>
      </c>
      <c r="Q21" s="30" t="s">
        <v>93</v>
      </c>
      <c r="R21" s="28"/>
      <c r="S21" s="28"/>
      <c r="T21" s="28"/>
      <c r="U21" s="28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  <c r="AQ21" s="13"/>
      <c r="AR21" s="13"/>
      <c r="AS21" s="13"/>
      <c r="AT21" s="13"/>
      <c r="AU21" s="13"/>
      <c r="AV21" s="13"/>
      <c r="AW21" s="13"/>
      <c r="AX21" s="13"/>
      <c r="AY21" s="13"/>
      <c r="AZ21" s="13"/>
      <c r="BA21" s="13"/>
      <c r="BB21" s="13"/>
      <c r="BC21" s="13"/>
      <c r="BD21" s="13"/>
      <c r="BE21" s="13"/>
      <c r="BF21" s="13"/>
      <c r="BG21" s="13"/>
      <c r="BH21" s="13"/>
      <c r="BI21" s="13"/>
      <c r="BJ21" s="13"/>
      <c r="BK21" s="13"/>
      <c r="BL21" s="13"/>
    </row>
    <row r="22" spans="1:65" ht="58.5" thickTop="1" thickBot="1">
      <c r="A22" s="62" t="s">
        <v>148</v>
      </c>
      <c r="B22" s="62" t="s">
        <v>47</v>
      </c>
      <c r="C22" s="62" t="s">
        <v>149</v>
      </c>
      <c r="D22" s="62" t="s">
        <v>49</v>
      </c>
      <c r="E22" s="62" t="s">
        <v>50</v>
      </c>
      <c r="F22" s="62" t="s">
        <v>51</v>
      </c>
      <c r="G22" s="62" t="s">
        <v>52</v>
      </c>
      <c r="H22" s="62" t="s">
        <v>53</v>
      </c>
      <c r="I22" s="63" t="s">
        <v>95</v>
      </c>
      <c r="J22" s="63" t="s">
        <v>97</v>
      </c>
      <c r="K22" s="63" t="s">
        <v>96</v>
      </c>
      <c r="L22" s="64" t="s">
        <v>98</v>
      </c>
      <c r="M22" s="64" t="s">
        <v>99</v>
      </c>
      <c r="N22" s="64" t="s">
        <v>102</v>
      </c>
      <c r="O22" s="64" t="s">
        <v>103</v>
      </c>
      <c r="P22" s="64" t="s">
        <v>150</v>
      </c>
      <c r="Q22" s="64" t="s">
        <v>101</v>
      </c>
      <c r="R22" s="63" t="s">
        <v>104</v>
      </c>
      <c r="S22" s="62" t="s">
        <v>151</v>
      </c>
      <c r="T22" s="62" t="s">
        <v>106</v>
      </c>
      <c r="U22" s="65" t="s">
        <v>152</v>
      </c>
      <c r="V22" s="65" t="s">
        <v>108</v>
      </c>
      <c r="W22" s="65" t="s">
        <v>109</v>
      </c>
      <c r="X22" s="65" t="s">
        <v>110</v>
      </c>
      <c r="Y22" s="65" t="s">
        <v>111</v>
      </c>
      <c r="Z22" s="66" t="s">
        <v>112</v>
      </c>
      <c r="AA22" s="66" t="s">
        <v>113</v>
      </c>
      <c r="AB22" s="66" t="s">
        <v>114</v>
      </c>
      <c r="AC22" s="66" t="s">
        <v>115</v>
      </c>
      <c r="AD22" s="66" t="s">
        <v>116</v>
      </c>
      <c r="AE22" s="66" t="s">
        <v>117</v>
      </c>
      <c r="AF22" s="66" t="s">
        <v>118</v>
      </c>
      <c r="AG22" s="66" t="s">
        <v>119</v>
      </c>
      <c r="AH22" s="66" t="s">
        <v>120</v>
      </c>
      <c r="AI22" s="66" t="s">
        <v>121</v>
      </c>
      <c r="AJ22" s="66" t="s">
        <v>122</v>
      </c>
      <c r="AK22" s="66" t="s">
        <v>123</v>
      </c>
      <c r="AL22" s="66" t="s">
        <v>124</v>
      </c>
      <c r="AM22" s="66" t="s">
        <v>125</v>
      </c>
      <c r="AN22" s="66" t="s">
        <v>126</v>
      </c>
      <c r="AO22" s="67" t="s">
        <v>153</v>
      </c>
      <c r="AP22" s="9" t="s">
        <v>240</v>
      </c>
      <c r="AQ22" s="9" t="s">
        <v>126</v>
      </c>
      <c r="AR22" s="56" t="s">
        <v>131</v>
      </c>
      <c r="AS22" s="56" t="s">
        <v>132</v>
      </c>
      <c r="AT22" s="56" t="s">
        <v>133</v>
      </c>
      <c r="AU22" s="56" t="s">
        <v>134</v>
      </c>
      <c r="AV22" s="56" t="s">
        <v>135</v>
      </c>
      <c r="AW22" s="56" t="s">
        <v>136</v>
      </c>
      <c r="AX22" s="56" t="s">
        <v>137</v>
      </c>
      <c r="AY22" s="56" t="s">
        <v>138</v>
      </c>
      <c r="AZ22" s="84" t="s">
        <v>207</v>
      </c>
      <c r="BA22" s="84" t="s">
        <v>8</v>
      </c>
      <c r="BB22" s="84" t="s">
        <v>9</v>
      </c>
      <c r="BC22" s="56" t="s">
        <v>228</v>
      </c>
      <c r="BD22" s="56" t="s">
        <v>139</v>
      </c>
      <c r="BE22" s="56" t="s">
        <v>140</v>
      </c>
      <c r="BF22" s="56" t="s">
        <v>141</v>
      </c>
      <c r="BG22" s="56" t="s">
        <v>142</v>
      </c>
      <c r="BH22" s="56" t="s">
        <v>143</v>
      </c>
      <c r="BI22" s="56" t="s">
        <v>241</v>
      </c>
      <c r="BJ22" s="96" t="s">
        <v>247</v>
      </c>
      <c r="BK22" s="56" t="s">
        <v>248</v>
      </c>
      <c r="BL22" s="56" t="s">
        <v>136</v>
      </c>
      <c r="BM22" s="97" t="s">
        <v>256</v>
      </c>
    </row>
    <row r="23" spans="1:65" ht="15.75" thickBot="1">
      <c r="A23" s="41">
        <v>1</v>
      </c>
      <c r="B23" s="41" t="s">
        <v>290</v>
      </c>
      <c r="C23" s="41" t="s">
        <v>155</v>
      </c>
      <c r="D23" s="41" t="s">
        <v>56</v>
      </c>
      <c r="E23" s="41" t="s">
        <v>156</v>
      </c>
      <c r="F23" s="76">
        <v>25</v>
      </c>
      <c r="G23" s="76">
        <v>257.63</v>
      </c>
      <c r="H23" s="76">
        <f>F23*G23</f>
        <v>6440.75</v>
      </c>
      <c r="I23" s="76">
        <v>1</v>
      </c>
      <c r="J23" s="76">
        <v>2</v>
      </c>
      <c r="K23" s="76">
        <v>2.5</v>
      </c>
      <c r="L23" s="76">
        <f>H23</f>
        <v>6440.75</v>
      </c>
      <c r="M23" s="76">
        <f>ROUND(L23*I23%,2)</f>
        <v>64.41</v>
      </c>
      <c r="N23" s="76">
        <f>H23-M23</f>
        <v>6376.34</v>
      </c>
      <c r="O23" s="76">
        <f>ROUND(N23*J23%,2)</f>
        <v>127.53</v>
      </c>
      <c r="P23" s="76">
        <f>ROUND(N23-O23,2)</f>
        <v>6248.81</v>
      </c>
      <c r="Q23" s="76">
        <f>ROUND(P23*K23%,2)</f>
        <v>156.22</v>
      </c>
      <c r="R23" s="76">
        <f>ROUND((M23+O23+Q23),2)</f>
        <v>348.16</v>
      </c>
      <c r="S23" s="76">
        <f>ROUND((H23-R23),2)</f>
        <v>6092.59</v>
      </c>
      <c r="T23" s="43" t="s">
        <v>128</v>
      </c>
      <c r="U23" s="44">
        <v>0.18</v>
      </c>
      <c r="V23" s="76">
        <f>IF($C$21=1,ROUND(((S23*U23)/2),2),0)</f>
        <v>548.33000000000004</v>
      </c>
      <c r="W23" s="76">
        <f>IF($C$21=1,ROUND(((S23*U23)/2),2),0)</f>
        <v>548.33000000000004</v>
      </c>
      <c r="X23" s="76">
        <f>IF($C$21=2,ROUND(((S23*U23)),2),0)</f>
        <v>0</v>
      </c>
      <c r="Y23" s="41">
        <f>ROUND((S23*18%),2)</f>
        <v>1096.67</v>
      </c>
      <c r="Z23" s="41">
        <f>S23+Y23</f>
        <v>7189.26</v>
      </c>
      <c r="AA23" s="43">
        <v>120</v>
      </c>
      <c r="AB23" s="43">
        <f>IF($P$21=1,(S23/$S$25)*$E$36,AA23/$AA$25*$E$36)</f>
        <v>0</v>
      </c>
      <c r="AC23" s="43"/>
      <c r="AD23" s="43">
        <f>IF($P$21=1,(S23/$S$25)*$E$38,AA23/$AA$25*$E$38)</f>
        <v>0</v>
      </c>
      <c r="AE23" s="43">
        <f>IF($P$21=1,(S23/$S$25)*$E$39,AA23/$AA$25*$E$39)</f>
        <v>0</v>
      </c>
      <c r="AF23" s="43">
        <f t="shared" ref="AF23:AF24" si="1">S23*$M$21</f>
        <v>6092.59</v>
      </c>
      <c r="AG23" s="43">
        <f>IF($C$21=3,0,AD23+AE23)</f>
        <v>0</v>
      </c>
      <c r="AH23" s="43">
        <f t="shared" ref="AH23:AH24" si="2">IF($C$21=3,AB23+AD23+AE23,0)</f>
        <v>0</v>
      </c>
      <c r="AI23" s="42">
        <v>2</v>
      </c>
      <c r="AJ23" s="43">
        <f t="shared" ref="AJ23:AJ24" si="3">F23/AI23</f>
        <v>12.5</v>
      </c>
      <c r="AK23" s="43">
        <f>ROUND(AF23/AJ23,5)</f>
        <v>487.40719999999999</v>
      </c>
      <c r="AL23" s="43">
        <f>AG23/AJ23</f>
        <v>0</v>
      </c>
      <c r="AM23" s="43">
        <f>AH23/AJ23</f>
        <v>0</v>
      </c>
      <c r="AN23" s="43" t="s">
        <v>56</v>
      </c>
      <c r="AO23" s="43">
        <f>ROUND(AK23+AL23+AM23,5)</f>
        <v>487.40719999999999</v>
      </c>
      <c r="AP23" s="15" t="s">
        <v>236</v>
      </c>
      <c r="AQ23" s="15" t="s">
        <v>56</v>
      </c>
      <c r="AR23" t="s" s="0">
        <v>249</v>
      </c>
      <c r="AS23" t="s" s="0">
        <v>237</v>
      </c>
      <c r="AT23" s="88">
        <f>AJ23</f>
        <v>12.5</v>
      </c>
      <c r="AU23" s="17">
        <f>AO23</f>
        <v>487.40719999999999</v>
      </c>
      <c r="AV23" s="88">
        <f>AR23+AT23</f>
        <v>12.5</v>
      </c>
      <c r="AW23" s="15">
        <f>ROUND(((AR23*AS23)+(AT23*AU23))/(AR23+AT23),5)</f>
        <v>487.40719999999999</v>
      </c>
      <c r="AX23" s="59"/>
      <c r="AY23" s="59" t="s">
        <v>144</v>
      </c>
      <c r="AZ23" s="107" t="s">
        <v>27</v>
      </c>
      <c r="BA23" s="107" t="s">
        <v>287</v>
      </c>
      <c r="BB23" s="107" t="s">
        <v>288</v>
      </c>
      <c r="BC23" s="59"/>
      <c r="BD23" s="59"/>
      <c r="BE23" s="59"/>
      <c r="BF23" s="15"/>
      <c r="BG23" s="15"/>
      <c r="BH23" s="15"/>
      <c r="BI23" s="15" t="s">
        <v>242</v>
      </c>
      <c r="BJ23" t="s" s="0">
        <v>237</v>
      </c>
      <c r="BK23" t="s" s="0">
        <v>257</v>
      </c>
      <c r="BL23" s="15">
        <f>ROUND((((AT23*AW23)+(BK23*BJ23))/(AT23+BK23)),5)</f>
        <v>487.40719999999999</v>
      </c>
      <c r="BM23" s="54">
        <f>BK23+AT23</f>
        <v>112.5</v>
      </c>
    </row>
    <row r="24" spans="1:65" ht="15.75" thickBot="1">
      <c r="A24" s="41">
        <v>2</v>
      </c>
      <c r="B24" s="41" t="s">
        <v>291</v>
      </c>
      <c r="C24" s="41" t="s">
        <v>168</v>
      </c>
      <c r="D24" s="41" t="s">
        <v>56</v>
      </c>
      <c r="E24" s="41" t="s">
        <v>156</v>
      </c>
      <c r="F24" s="76">
        <v>28</v>
      </c>
      <c r="G24" s="76">
        <v>150.5</v>
      </c>
      <c r="H24" s="76">
        <f t="shared" ref="H24" si="4">F24*G24</f>
        <v>4214</v>
      </c>
      <c r="I24" s="76">
        <v>1</v>
      </c>
      <c r="J24" s="76">
        <v>2</v>
      </c>
      <c r="K24" s="76">
        <v>2.5</v>
      </c>
      <c r="L24" s="76">
        <f t="shared" ref="L24" si="5">H24</f>
        <v>4214</v>
      </c>
      <c r="M24" s="76">
        <f t="shared" ref="M24" si="6">ROUND(L24*I24%,2)</f>
        <v>42.14</v>
      </c>
      <c r="N24" s="76">
        <f t="shared" ref="N24" si="7">H24-M24</f>
        <v>4171.8599999999997</v>
      </c>
      <c r="O24" s="76">
        <f t="shared" ref="O24" si="8">ROUND(N24*J24%,2)</f>
        <v>83.44</v>
      </c>
      <c r="P24" s="76">
        <f t="shared" ref="P24" si="9">ROUND(N24-O24,2)</f>
        <v>4088.42</v>
      </c>
      <c r="Q24" s="76">
        <f t="shared" ref="Q24" si="10">ROUND(P24*K24%,2)</f>
        <v>102.21</v>
      </c>
      <c r="R24" s="76">
        <f t="shared" ref="R24" si="11">ROUND((M24+O24+Q24),2)</f>
        <v>227.79</v>
      </c>
      <c r="S24" s="76">
        <f t="shared" ref="S24" si="12">ROUND((H24-R24),2)</f>
        <v>3986.21</v>
      </c>
      <c r="T24" s="43" t="s">
        <v>231</v>
      </c>
      <c r="U24" s="44">
        <v>0.18</v>
      </c>
      <c r="V24" s="76">
        <f t="shared" ref="V24" si="13">IF($C$21=1,ROUND(((S24*U24)/2),2),0)</f>
        <v>358.76</v>
      </c>
      <c r="W24" s="76">
        <f t="shared" ref="W24" si="14">IF($C$21=1,ROUND(((S24*U24)/2),2),0)</f>
        <v>358.76</v>
      </c>
      <c r="X24" s="76">
        <f t="shared" ref="X24" si="15">IF($C$21=2,ROUND(((S24*U24)),2),0)</f>
        <v>0</v>
      </c>
      <c r="Y24" s="41">
        <f t="shared" ref="Y24" si="16">ROUND((S24*18%),2)</f>
        <v>717.52</v>
      </c>
      <c r="Z24" s="41">
        <f t="shared" ref="Z24" si="17">S24+Y24</f>
        <v>4703.7299999999996</v>
      </c>
      <c r="AA24" s="43">
        <v>350</v>
      </c>
      <c r="AB24" s="43">
        <f>IF($P$21=1,(S24/$S$25)*$E$36,AA24/$AA$25*$E$36)</f>
        <v>0</v>
      </c>
      <c r="AC24" s="43"/>
      <c r="AD24" s="43">
        <f>IF($P$21=1,(S24/$S$25)*$E$38,AA24/$AA$25*$E$38)</f>
        <v>0</v>
      </c>
      <c r="AE24" s="43">
        <f>IF($P$21=1,(S24/$S$25)*$E$39,AA24/$AA$25*$E$39)</f>
        <v>0</v>
      </c>
      <c r="AF24" s="43">
        <f t="shared" si="1"/>
        <v>3986.21</v>
      </c>
      <c r="AG24" s="43">
        <f t="shared" ref="AG24" si="18">IF($C$21=3,0,AD24+AE24)</f>
        <v>0</v>
      </c>
      <c r="AH24" s="43">
        <f t="shared" si="2"/>
        <v>0</v>
      </c>
      <c r="AI24" s="42">
        <v>2.5</v>
      </c>
      <c r="AJ24" s="43">
        <f t="shared" si="3"/>
        <v>11.2</v>
      </c>
      <c r="AK24" s="43">
        <f t="shared" ref="AK24" si="19">ROUND(AF24/AJ24,5)</f>
        <v>355.91161</v>
      </c>
      <c r="AL24" s="43">
        <f t="shared" ref="AL24" si="20">AG24/AJ24</f>
        <v>0</v>
      </c>
      <c r="AM24" s="43">
        <f t="shared" ref="AM24" si="21">AH24/AJ24</f>
        <v>0</v>
      </c>
      <c r="AN24" s="43" t="s">
        <v>56</v>
      </c>
      <c r="AO24" s="43">
        <f t="shared" ref="AO24" si="22">ROUND(AK24+AL24+AM24,5)</f>
        <v>355.91161</v>
      </c>
      <c r="AP24" s="15" t="s">
        <v>236</v>
      </c>
      <c r="AQ24" s="15" t="s">
        <v>56</v>
      </c>
      <c r="AR24" t="s" s="0">
        <v>249</v>
      </c>
      <c r="AS24" t="s" s="0">
        <v>238</v>
      </c>
      <c r="AT24" s="88">
        <f t="shared" ref="AT24" si="23">AJ24</f>
        <v>11.2</v>
      </c>
      <c r="AU24" s="17">
        <f>AO24</f>
        <v>355.91161</v>
      </c>
      <c r="AV24" s="88">
        <f t="shared" ref="AV24" si="24">AR24+AT24</f>
        <v>11.2</v>
      </c>
      <c r="AW24" s="15">
        <f>ROUND(((AR24*AS24)+(AT24*AU24))/(AR24+AT24),5)</f>
        <v>355.91161</v>
      </c>
      <c r="AX24" s="59"/>
      <c r="AY24" s="59"/>
      <c r="AZ24" s="107" t="s">
        <v>27</v>
      </c>
      <c r="BA24" s="107" t="s">
        <v>289</v>
      </c>
      <c r="BB24" s="107" t="s">
        <v>288</v>
      </c>
      <c r="BC24" s="59"/>
      <c r="BD24" s="59"/>
      <c r="BE24" s="59"/>
      <c r="BF24" s="15"/>
      <c r="BG24" s="15"/>
      <c r="BH24" s="15"/>
      <c r="BI24" s="15" t="s">
        <v>242</v>
      </c>
      <c r="BJ24" t="s" s="0">
        <v>238</v>
      </c>
      <c r="BK24" t="s" s="0">
        <v>258</v>
      </c>
      <c r="BL24" s="15">
        <f t="shared" ref="BL24" si="25">ROUND((((AT24*AW24)+(BK24*BJ24))/(AT24+BK24)),5)</f>
        <v>355.91161</v>
      </c>
      <c r="BM24" s="54">
        <f t="shared" ref="BM24" si="26">BK24+AT24</f>
        <v>100.8</v>
      </c>
    </row>
    <row r="25" spans="1:65" ht="15.75" thickBot="1">
      <c r="A25" s="13"/>
      <c r="C25" s="94" t="s">
        <v>85</v>
      </c>
      <c r="D25" s="77"/>
      <c r="E25" s="77"/>
      <c r="F25" s="77"/>
      <c r="G25" s="78"/>
      <c r="H25" s="45">
        <f>SUM(H23:H24)</f>
        <v>10654.75</v>
      </c>
      <c r="I25" s="41"/>
      <c r="J25" s="41"/>
      <c r="K25" s="41"/>
      <c r="L25" s="41"/>
      <c r="M25" s="41"/>
      <c r="N25" s="41"/>
      <c r="O25" s="41"/>
      <c r="P25" s="41"/>
      <c r="Q25" s="41"/>
      <c r="R25" s="45">
        <f>SUM(R23:R24)</f>
        <v>575.95000000000005</v>
      </c>
      <c r="S25" s="45">
        <f>SUM(S23:S24)</f>
        <v>10078.799999999999</v>
      </c>
      <c r="T25" s="45"/>
      <c r="U25" s="45"/>
      <c r="V25" s="81">
        <f t="shared" ref="V25:AB25" si="27">SUM(V23:V24)</f>
        <v>907.09</v>
      </c>
      <c r="W25" s="81">
        <f t="shared" si="27"/>
        <v>907.09</v>
      </c>
      <c r="X25" s="81">
        <f t="shared" si="27"/>
        <v>0</v>
      </c>
      <c r="Y25" s="45">
        <f t="shared" si="27"/>
        <v>1814.19</v>
      </c>
      <c r="Z25" s="47">
        <f t="shared" si="27"/>
        <v>11892.99</v>
      </c>
      <c r="AA25" s="48">
        <f t="shared" si="27"/>
        <v>470</v>
      </c>
      <c r="AB25" s="48">
        <f t="shared" si="27"/>
        <v>0</v>
      </c>
      <c r="AC25" s="47"/>
      <c r="AD25" s="48">
        <f>SUM(AD23:AD24)</f>
        <v>0</v>
      </c>
      <c r="AE25" s="48">
        <f>IF($P$21=1,(S25/$S$25)*$E$39,AA25/$AA$25*$E$39)</f>
        <v>0</v>
      </c>
      <c r="AF25" s="48">
        <f>SUM(AF23:AF24)</f>
        <v>10078.799999999999</v>
      </c>
      <c r="AG25" s="48">
        <f>SUM(AG23:AG24)</f>
        <v>0</v>
      </c>
      <c r="AH25" s="48">
        <f>SUM(AH23:AH24)</f>
        <v>0</v>
      </c>
      <c r="AI25" s="47"/>
      <c r="AJ25" s="47"/>
      <c r="AK25" s="47"/>
      <c r="AL25" s="47"/>
      <c r="AM25" s="47"/>
      <c r="AN25" s="47"/>
      <c r="AO25" s="47"/>
      <c r="AP25" s="13"/>
      <c r="AQ25" s="13"/>
      <c r="AT25" s="13"/>
      <c r="AU25" s="13"/>
      <c r="AV25" s="13"/>
      <c r="AW25" s="13"/>
      <c r="AX25" s="13"/>
      <c r="AY25" s="13"/>
      <c r="AZ25" s="13"/>
      <c r="BA25" s="13"/>
      <c r="BB25" s="13"/>
      <c r="BC25" s="13"/>
      <c r="BD25" s="13"/>
      <c r="BE25" s="13"/>
      <c r="BF25" s="13"/>
      <c r="BG25" s="13"/>
      <c r="BH25" s="13"/>
      <c r="BI25" s="13"/>
      <c r="BJ25" s="13"/>
      <c r="BK25" s="13"/>
      <c r="BL25" s="13"/>
    </row>
    <row r="26" spans="1:65" ht="15.75" thickBot="1">
      <c r="A26" s="13"/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  <c r="AQ26" s="13"/>
      <c r="AR26" s="13"/>
      <c r="AS26" s="13"/>
      <c r="AT26" s="13"/>
      <c r="AU26" s="13"/>
      <c r="AV26" s="13"/>
      <c r="AW26" s="13"/>
      <c r="AX26" s="13"/>
      <c r="AY26" s="13"/>
      <c r="AZ26" s="13"/>
      <c r="BA26" s="13"/>
      <c r="BB26" s="13"/>
      <c r="BC26" s="13"/>
      <c r="BD26" s="13"/>
      <c r="BE26" s="13"/>
      <c r="BF26" s="13"/>
      <c r="BG26" s="13"/>
      <c r="BH26" s="13"/>
      <c r="BI26" s="13"/>
      <c r="BJ26" s="13"/>
      <c r="BK26" s="13"/>
      <c r="BL26" s="13"/>
    </row>
    <row r="27" spans="1:65" ht="15.75" thickBot="1">
      <c r="A27" s="13"/>
      <c r="B27" s="13"/>
      <c r="C27" s="13"/>
      <c r="D27" s="13"/>
      <c r="E27" s="13"/>
      <c r="F27" s="13"/>
      <c r="G27" s="116" t="s">
        <v>187</v>
      </c>
      <c r="H27" s="117"/>
      <c r="I27" s="118">
        <f>H25</f>
        <v>10654.75</v>
      </c>
      <c r="J27" s="118"/>
      <c r="K27" s="53"/>
      <c r="L27" s="13"/>
      <c r="M27" s="122" t="s">
        <v>188</v>
      </c>
      <c r="N27" s="123"/>
      <c r="O27" s="123"/>
      <c r="P27" s="124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13"/>
      <c r="AM27" s="13"/>
      <c r="AN27" s="13"/>
      <c r="AO27" s="13"/>
      <c r="AP27" s="13"/>
      <c r="AQ27" s="13"/>
      <c r="AR27" s="13"/>
      <c r="AS27" s="13"/>
      <c r="AT27" s="13"/>
      <c r="AU27" s="13"/>
      <c r="AV27" s="13"/>
      <c r="AW27" s="13"/>
      <c r="AX27" s="13"/>
      <c r="AY27" s="13"/>
      <c r="AZ27" s="13"/>
      <c r="BA27" s="13"/>
      <c r="BB27" s="13"/>
      <c r="BC27" s="13"/>
      <c r="BD27" s="13"/>
      <c r="BE27" s="13" t="s">
        <v>243</v>
      </c>
      <c r="BF27" s="95" t="s">
        <v>246</v>
      </c>
      <c r="BG27" s="13"/>
      <c r="BH27" s="13"/>
      <c r="BI27" s="13"/>
      <c r="BJ27" s="13"/>
      <c r="BK27" s="13"/>
      <c r="BL27" s="13"/>
    </row>
    <row r="28" spans="1:65" ht="15.75" thickBot="1">
      <c r="A28" s="13"/>
      <c r="B28" s="13"/>
      <c r="C28" s="13"/>
      <c r="D28" s="13"/>
      <c r="E28" s="13"/>
      <c r="F28" s="13"/>
      <c r="G28" s="116" t="s">
        <v>189</v>
      </c>
      <c r="H28" s="117"/>
      <c r="I28" s="118">
        <f>R25</f>
        <v>575.95000000000005</v>
      </c>
      <c r="J28" s="118"/>
      <c r="K28" s="13"/>
      <c r="L28" s="13"/>
      <c r="M28" s="68">
        <v>1</v>
      </c>
      <c r="N28" s="68" t="s">
        <v>56</v>
      </c>
      <c r="O28" s="68">
        <v>2</v>
      </c>
      <c r="P28" s="68" t="s">
        <v>156</v>
      </c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  <c r="AK28" s="13"/>
      <c r="AL28" s="13"/>
      <c r="AM28" s="13"/>
      <c r="AN28" s="13"/>
      <c r="AO28" s="13"/>
      <c r="AP28" s="13"/>
      <c r="AQ28" s="13"/>
      <c r="AR28" s="13"/>
      <c r="AS28" s="13"/>
      <c r="AT28" s="13"/>
      <c r="AU28" s="13"/>
      <c r="AV28" s="13"/>
      <c r="AW28" s="13"/>
      <c r="AX28" s="13"/>
      <c r="AY28" s="13"/>
      <c r="AZ28" s="13"/>
      <c r="BA28" s="13"/>
      <c r="BB28" s="13"/>
      <c r="BC28" s="13"/>
      <c r="BD28" s="13"/>
      <c r="BE28" s="13" t="s">
        <v>244</v>
      </c>
      <c r="BF28" s="95" t="s">
        <v>245</v>
      </c>
      <c r="BG28" s="13"/>
      <c r="BH28" s="13"/>
      <c r="BI28" s="13"/>
      <c r="BJ28" s="13"/>
      <c r="BK28" s="13"/>
      <c r="BL28" s="13"/>
    </row>
    <row r="29" spans="1:65" ht="15.75" thickBot="1">
      <c r="A29" s="13"/>
      <c r="B29" s="13"/>
      <c r="C29" s="13"/>
      <c r="D29" s="13"/>
      <c r="E29" s="13"/>
      <c r="F29" s="13"/>
      <c r="G29" s="116" t="s">
        <v>190</v>
      </c>
      <c r="H29" s="117"/>
      <c r="I29" s="118">
        <f>S25</f>
        <v>10078.799999999999</v>
      </c>
      <c r="J29" s="118"/>
      <c r="K29" s="13"/>
      <c r="L29" s="13"/>
      <c r="M29" s="41">
        <v>1</v>
      </c>
      <c r="N29" s="41" t="s">
        <v>56</v>
      </c>
      <c r="O29" s="41">
        <v>2.5</v>
      </c>
      <c r="P29" s="41" t="s">
        <v>169</v>
      </c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/>
      <c r="AM29" s="13"/>
      <c r="AN29" s="13"/>
      <c r="AO29" s="13"/>
      <c r="AP29" s="13"/>
      <c r="AQ29" s="13"/>
      <c r="AR29" s="13"/>
      <c r="AS29" s="13"/>
      <c r="AT29" s="13"/>
      <c r="AU29" s="13"/>
      <c r="AV29" s="13"/>
      <c r="AW29" s="13"/>
      <c r="AX29" s="13"/>
      <c r="AY29" s="13"/>
      <c r="AZ29" s="13"/>
      <c r="BA29" s="13"/>
      <c r="BB29" s="13"/>
      <c r="BC29" s="13"/>
      <c r="BD29" s="13"/>
      <c r="BE29" s="13"/>
      <c r="BF29" s="13"/>
      <c r="BG29" s="13"/>
      <c r="BH29" s="13"/>
      <c r="BI29" s="13"/>
      <c r="BJ29" s="13"/>
      <c r="BK29" s="13"/>
      <c r="BL29" s="13"/>
    </row>
    <row r="30" spans="1:65" ht="15.75" thickBot="1">
      <c r="A30" s="13"/>
      <c r="B30" s="13"/>
      <c r="C30" s="13"/>
      <c r="D30" s="13"/>
      <c r="E30" s="13"/>
      <c r="F30" s="13"/>
      <c r="G30" s="116" t="s">
        <v>191</v>
      </c>
      <c r="H30" s="117"/>
      <c r="I30" s="118">
        <f>Y25</f>
        <v>1814.19</v>
      </c>
      <c r="J30" s="118"/>
      <c r="K30" s="13"/>
      <c r="L30" s="13"/>
      <c r="M30" s="41">
        <v>1</v>
      </c>
      <c r="N30" s="41" t="s">
        <v>156</v>
      </c>
      <c r="O30" s="41">
        <v>1E-3</v>
      </c>
      <c r="P30" s="41" t="s">
        <v>178</v>
      </c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13"/>
      <c r="AN30" s="13"/>
      <c r="AO30" s="13"/>
      <c r="AP30" s="13"/>
      <c r="AQ30" s="13"/>
      <c r="AR30" s="13"/>
      <c r="AS30" s="13"/>
      <c r="AT30" s="13"/>
      <c r="AU30" s="13"/>
      <c r="AV30" s="13"/>
      <c r="AW30" s="13"/>
      <c r="AX30" s="13"/>
      <c r="AY30" s="13"/>
      <c r="AZ30" s="13"/>
      <c r="BA30" s="13"/>
      <c r="BB30" s="13"/>
      <c r="BC30" s="13"/>
      <c r="BD30" s="13"/>
      <c r="BE30" s="13"/>
      <c r="BF30" s="13"/>
      <c r="BG30" s="13"/>
      <c r="BH30" s="13"/>
      <c r="BI30" s="13"/>
      <c r="BJ30" s="13"/>
      <c r="BK30" s="13"/>
      <c r="BL30" s="13"/>
    </row>
    <row r="31" spans="1:65" ht="15.75" thickBot="1">
      <c r="A31" s="13"/>
      <c r="B31" s="13"/>
      <c r="C31" s="13"/>
      <c r="D31" s="13"/>
      <c r="E31" s="13"/>
      <c r="F31" s="13"/>
      <c r="G31" s="116" t="s">
        <v>192</v>
      </c>
      <c r="H31" s="117"/>
      <c r="I31" s="119">
        <f>I29+I30</f>
        <v>11892.99</v>
      </c>
      <c r="J31" s="119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13"/>
      <c r="AM31" s="13"/>
      <c r="AN31" s="13"/>
      <c r="AO31" s="13"/>
      <c r="AP31" s="13"/>
      <c r="AQ31" s="13"/>
      <c r="AR31" s="13"/>
      <c r="AS31" s="13"/>
      <c r="AT31" s="13"/>
      <c r="AU31" s="13"/>
      <c r="AV31" s="13"/>
      <c r="AW31" s="13"/>
      <c r="AX31" s="13"/>
      <c r="AY31" s="13"/>
      <c r="AZ31" s="13"/>
      <c r="BA31" s="13"/>
      <c r="BB31" s="13"/>
      <c r="BC31" s="13"/>
      <c r="BD31" s="13"/>
      <c r="BE31" s="13"/>
      <c r="BF31" s="13"/>
      <c r="BG31" s="13"/>
      <c r="BH31" s="13"/>
      <c r="BI31" s="13"/>
      <c r="BJ31" s="13"/>
      <c r="BK31" s="13"/>
      <c r="BL31" s="13"/>
    </row>
    <row r="32" spans="1:65">
      <c r="A32" s="13"/>
      <c r="B32" s="13"/>
      <c r="C32" s="13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13"/>
      <c r="AM32" s="13"/>
      <c r="AN32" s="13"/>
      <c r="AO32" s="13"/>
      <c r="AP32" s="13"/>
      <c r="AQ32" s="13"/>
      <c r="AR32" s="13"/>
      <c r="AS32" s="13"/>
      <c r="AT32" s="13"/>
      <c r="AU32" s="13"/>
      <c r="AV32" s="13"/>
      <c r="AW32" s="13"/>
      <c r="AX32" s="13"/>
      <c r="AY32" s="13"/>
      <c r="AZ32" s="13"/>
      <c r="BA32" s="13"/>
      <c r="BB32" s="13"/>
      <c r="BC32" s="13"/>
      <c r="BD32" s="13"/>
      <c r="BE32" s="13"/>
      <c r="BF32" s="13"/>
      <c r="BG32" s="13"/>
      <c r="BH32" s="13"/>
      <c r="BI32" s="13"/>
      <c r="BJ32" s="13" t="s">
        <v>254</v>
      </c>
      <c r="BK32" s="13" t="s">
        <v>255</v>
      </c>
      <c r="BL32" s="13"/>
    </row>
    <row r="33" spans="1:64">
      <c r="A33" s="13"/>
      <c r="B33" s="13"/>
      <c r="C33" s="13"/>
      <c r="D33" s="13"/>
      <c r="E33" s="13"/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  <c r="AK33" s="13"/>
      <c r="AL33" s="13"/>
      <c r="AM33" s="13"/>
      <c r="AN33" s="13"/>
      <c r="AO33" s="13"/>
      <c r="AP33" s="13"/>
      <c r="AQ33" s="13"/>
      <c r="AR33" s="13"/>
      <c r="AS33" s="13"/>
      <c r="AT33" s="13"/>
      <c r="AU33" s="13"/>
      <c r="AV33" s="13"/>
      <c r="AW33" s="13"/>
      <c r="AX33" s="13"/>
      <c r="AY33" s="13"/>
      <c r="AZ33" s="13"/>
      <c r="BA33" s="13"/>
      <c r="BB33" s="13"/>
      <c r="BC33" s="13"/>
      <c r="BD33" s="13"/>
      <c r="BE33" s="13"/>
      <c r="BF33" s="13"/>
      <c r="BG33" s="13"/>
      <c r="BH33" s="13" t="s">
        <v>250</v>
      </c>
      <c r="BI33" s="13">
        <v>12.5</v>
      </c>
      <c r="BJ33" s="13">
        <f>BI35*BI36</f>
        <v>0</v>
      </c>
      <c r="BK33" s="13">
        <f>BI33*BI34</f>
        <v>6092.59</v>
      </c>
      <c r="BL33" s="13"/>
    </row>
    <row r="34" spans="1:64">
      <c r="A34" s="13"/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  <c r="AK34" s="13"/>
      <c r="AL34" s="13"/>
      <c r="AM34" s="13"/>
      <c r="AN34" s="13"/>
      <c r="AO34" s="13"/>
      <c r="AP34" s="13"/>
      <c r="AQ34" s="13"/>
      <c r="AR34" s="13"/>
      <c r="AS34" s="13"/>
      <c r="AT34" s="13"/>
      <c r="AU34" s="13"/>
      <c r="AV34" s="13"/>
      <c r="AW34" s="13"/>
      <c r="AX34" s="13"/>
      <c r="AY34" s="13"/>
      <c r="AZ34" s="13"/>
      <c r="BA34" s="13"/>
      <c r="BB34" s="13"/>
      <c r="BC34" s="13"/>
      <c r="BD34" s="13"/>
      <c r="BE34" s="13"/>
      <c r="BF34" s="13"/>
      <c r="BG34" s="13"/>
      <c r="BH34" s="13" t="s">
        <v>251</v>
      </c>
      <c r="BI34" s="13">
        <v>487.40719999999999</v>
      </c>
      <c r="BJ34" s="13">
        <f>BI33+BI35</f>
        <v>12.5</v>
      </c>
      <c r="BK34" s="13"/>
      <c r="BL34" s="13"/>
    </row>
  </sheetData>
  <mergeCells count="14">
    <mergeCell ref="A1:Z1"/>
    <mergeCell ref="B19:G19"/>
    <mergeCell ref="A21:B21"/>
    <mergeCell ref="G27:H27"/>
    <mergeCell ref="I27:J27"/>
    <mergeCell ref="M27:P27"/>
    <mergeCell ref="G31:H31"/>
    <mergeCell ref="I31:J31"/>
    <mergeCell ref="G28:H28"/>
    <mergeCell ref="I28:J28"/>
    <mergeCell ref="G29:H29"/>
    <mergeCell ref="I29:J29"/>
    <mergeCell ref="G30:H30"/>
    <mergeCell ref="I30:J30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BM34"/>
  <sheetViews>
    <sheetView topLeftCell="A13" workbookViewId="0">
      <selection activeCell="AW23" sqref="AW23"/>
    </sheetView>
  </sheetViews>
  <sheetFormatPr defaultRowHeight="15"/>
  <cols>
    <col min="2" max="2" bestFit="true" customWidth="true" width="16.28515625"/>
    <col min="35" max="35" bestFit="true" customWidth="true" width="13.5703125"/>
    <col min="36" max="36" bestFit="true" customWidth="true" width="15.5703125"/>
    <col min="44" max="44" bestFit="true" customWidth="true" width="15.28515625"/>
    <col min="45" max="45" bestFit="true" customWidth="true" width="20.28515625"/>
    <col min="46" max="46" bestFit="true" customWidth="true" width="11.42578125"/>
    <col min="47" max="47" bestFit="true" customWidth="true" width="16.28515625"/>
    <col min="48" max="48" bestFit="true" customWidth="true" width="13.85546875"/>
    <col min="49" max="49" bestFit="true" customWidth="true" width="18.85546875"/>
    <col min="51" max="51" bestFit="true" customWidth="true" width="21.7109375"/>
    <col min="65" max="65" bestFit="true" customWidth="true" width="34.42578125"/>
  </cols>
  <sheetData>
    <row r="1" spans="1:64" ht="18.75" thickBot="1">
      <c r="A1" s="120" t="s">
        <v>147</v>
      </c>
      <c r="B1" s="120"/>
      <c r="C1" s="120"/>
      <c r="D1" s="120"/>
      <c r="E1" s="120"/>
      <c r="F1" s="120"/>
      <c r="G1" s="120"/>
      <c r="H1" s="120"/>
      <c r="I1" s="120"/>
      <c r="J1" s="120"/>
      <c r="K1" s="120"/>
      <c r="L1" s="120"/>
      <c r="M1" s="120"/>
      <c r="N1" s="120"/>
      <c r="O1" s="120"/>
      <c r="P1" s="120"/>
      <c r="Q1" s="120"/>
      <c r="R1" s="120"/>
      <c r="S1" s="120"/>
      <c r="T1" s="120"/>
      <c r="U1" s="120"/>
      <c r="V1" s="120"/>
      <c r="W1" s="120"/>
      <c r="X1" s="120"/>
      <c r="Y1" s="120"/>
      <c r="Z1" s="120"/>
      <c r="AA1" s="92"/>
      <c r="AB1" s="92"/>
      <c r="AC1" s="92"/>
      <c r="AD1" s="92"/>
      <c r="AE1" s="92"/>
      <c r="AF1" s="92"/>
      <c r="AG1" s="92"/>
      <c r="AH1" s="92"/>
      <c r="AI1" s="92"/>
      <c r="AJ1" s="92"/>
      <c r="AK1" s="92"/>
      <c r="AL1" s="92"/>
      <c r="AM1" s="92"/>
      <c r="AN1" s="92"/>
      <c r="AO1" s="13"/>
      <c r="AP1" s="13"/>
      <c r="AQ1" s="13"/>
      <c r="AR1" s="13"/>
      <c r="AS1" s="13"/>
      <c r="AT1" s="13"/>
      <c r="AU1" s="13"/>
      <c r="AV1" s="13"/>
      <c r="AW1" s="13"/>
      <c r="AX1" s="13"/>
      <c r="AY1" s="13"/>
      <c r="AZ1" s="13"/>
      <c r="BA1" s="13"/>
      <c r="BB1" s="13"/>
      <c r="BC1" s="13"/>
      <c r="BD1" s="13"/>
      <c r="BE1" s="13"/>
      <c r="BF1" s="13"/>
      <c r="BG1" s="13"/>
      <c r="BH1" s="13"/>
      <c r="BI1" s="13"/>
      <c r="BJ1" s="13"/>
      <c r="BK1" s="13"/>
      <c r="BL1" s="13"/>
    </row>
    <row r="2" spans="1:64" ht="18.75" thickBot="1">
      <c r="A2" s="109" t="s">
        <v>146</v>
      </c>
      <c r="B2" s="109"/>
      <c r="C2" s="109"/>
      <c r="D2" s="109"/>
      <c r="E2" s="109"/>
      <c r="F2" s="109"/>
      <c r="G2" s="109"/>
      <c r="H2" s="109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3"/>
      <c r="AS2" s="13"/>
      <c r="AT2" s="13"/>
      <c r="AU2" s="13"/>
      <c r="AV2" s="13"/>
      <c r="AW2" s="13"/>
      <c r="AX2" s="13"/>
      <c r="AY2" s="13"/>
      <c r="AZ2" s="13"/>
      <c r="BA2" s="13"/>
      <c r="BB2" s="13"/>
      <c r="BC2" s="13"/>
      <c r="BD2" s="13"/>
      <c r="BE2" s="13"/>
      <c r="BF2" s="13"/>
      <c r="BG2" s="13"/>
      <c r="BH2" s="13"/>
      <c r="BI2" s="13"/>
      <c r="BJ2" s="13"/>
      <c r="BK2" s="13"/>
      <c r="BL2" s="13"/>
    </row>
    <row r="3" spans="1:64" ht="15.75" thickTop="1">
      <c r="A3" s="8" t="s">
        <v>46</v>
      </c>
      <c r="B3" s="9" t="s">
        <v>47</v>
      </c>
      <c r="C3" s="10" t="s">
        <v>48</v>
      </c>
      <c r="D3" s="9" t="s">
        <v>49</v>
      </c>
      <c r="E3" s="9" t="s">
        <v>50</v>
      </c>
      <c r="F3" s="9" t="s">
        <v>51</v>
      </c>
      <c r="G3" s="9" t="s">
        <v>52</v>
      </c>
      <c r="H3" s="11" t="s">
        <v>53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13"/>
      <c r="AT3" s="13"/>
      <c r="AU3" s="13"/>
      <c r="AV3" s="13"/>
      <c r="AW3" s="13"/>
      <c r="AX3" s="13"/>
      <c r="AY3" s="13"/>
      <c r="AZ3" s="13"/>
      <c r="BA3" s="13"/>
      <c r="BB3" s="13"/>
      <c r="BC3" s="13"/>
      <c r="BD3" s="13"/>
      <c r="BE3" s="13"/>
      <c r="BF3" s="13"/>
      <c r="BG3" s="13"/>
      <c r="BH3" s="13"/>
      <c r="BI3" s="13"/>
      <c r="BJ3" s="13"/>
      <c r="BK3" s="13"/>
      <c r="BL3" s="13"/>
    </row>
    <row r="4" spans="1:64">
      <c r="A4" s="14">
        <v>1</v>
      </c>
      <c r="B4" s="15" t="s">
        <v>54</v>
      </c>
      <c r="C4" s="15" t="s">
        <v>55</v>
      </c>
      <c r="D4" s="15" t="s">
        <v>56</v>
      </c>
      <c r="E4" s="15" t="s">
        <v>56</v>
      </c>
      <c r="F4" s="16">
        <v>25</v>
      </c>
      <c r="G4" s="17">
        <v>257.63</v>
      </c>
      <c r="H4" s="18">
        <f>F4*G4</f>
        <v>6440.75</v>
      </c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  <c r="AQ4" s="13"/>
      <c r="AR4" s="13"/>
      <c r="AS4" s="13"/>
      <c r="AT4" s="13"/>
      <c r="AU4" s="13"/>
      <c r="AV4" s="13"/>
      <c r="AW4" s="13"/>
      <c r="AX4" s="13"/>
      <c r="AY4" s="13"/>
      <c r="AZ4" s="13"/>
      <c r="BA4" s="13"/>
      <c r="BB4" s="13"/>
      <c r="BC4" s="13"/>
      <c r="BD4" s="13"/>
      <c r="BE4" s="13"/>
      <c r="BF4" s="13"/>
      <c r="BG4" s="13"/>
      <c r="BH4" s="13"/>
      <c r="BI4" s="13"/>
      <c r="BJ4" s="13"/>
      <c r="BK4" s="13"/>
      <c r="BL4" s="13"/>
    </row>
    <row r="5" spans="1:64">
      <c r="A5" s="14">
        <v>2</v>
      </c>
      <c r="B5" s="15" t="s">
        <v>57</v>
      </c>
      <c r="C5" s="15" t="s">
        <v>58</v>
      </c>
      <c r="D5" s="15" t="s">
        <v>56</v>
      </c>
      <c r="E5" s="15" t="s">
        <v>56</v>
      </c>
      <c r="F5" s="16">
        <v>35</v>
      </c>
      <c r="G5" s="17">
        <v>125.45</v>
      </c>
      <c r="H5" s="18">
        <f>F5*G5</f>
        <v>4390.75</v>
      </c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  <c r="AU5" s="13"/>
      <c r="AV5" s="13"/>
      <c r="AW5" s="13"/>
      <c r="AX5" s="13"/>
      <c r="AY5" s="13"/>
      <c r="AZ5" s="13"/>
      <c r="BA5" s="13"/>
      <c r="BB5" s="13"/>
      <c r="BC5" s="13"/>
      <c r="BD5" s="13"/>
      <c r="BE5" s="13"/>
      <c r="BF5" s="13"/>
      <c r="BG5" s="13"/>
      <c r="BH5" s="13"/>
      <c r="BI5" s="13"/>
      <c r="BJ5" s="13"/>
      <c r="BK5" s="13"/>
      <c r="BL5" s="13"/>
    </row>
    <row r="6" spans="1:64">
      <c r="A6" s="14">
        <v>3</v>
      </c>
      <c r="B6" s="15" t="s">
        <v>59</v>
      </c>
      <c r="C6" s="15" t="s">
        <v>60</v>
      </c>
      <c r="D6" s="15" t="s">
        <v>56</v>
      </c>
      <c r="E6" s="15" t="s">
        <v>56</v>
      </c>
      <c r="F6" s="16">
        <v>45</v>
      </c>
      <c r="G6" s="17">
        <v>125.36</v>
      </c>
      <c r="H6" s="18">
        <f>F6*G6</f>
        <v>5641.2</v>
      </c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  <c r="AQ6" s="13"/>
      <c r="AR6" s="13"/>
      <c r="AS6" s="13"/>
      <c r="AT6" s="13"/>
      <c r="AU6" s="13"/>
      <c r="AV6" s="13"/>
      <c r="AW6" s="13"/>
      <c r="AX6" s="13"/>
      <c r="AY6" s="13"/>
      <c r="AZ6" s="13"/>
      <c r="BA6" s="13"/>
      <c r="BB6" s="13"/>
      <c r="BC6" s="13"/>
      <c r="BD6" s="13"/>
      <c r="BE6" s="13"/>
      <c r="BF6" s="13"/>
      <c r="BG6" s="13"/>
      <c r="BH6" s="13"/>
      <c r="BI6" s="13"/>
      <c r="BJ6" s="13"/>
      <c r="BK6" s="13"/>
      <c r="BL6" s="13"/>
    </row>
    <row r="7" spans="1:64">
      <c r="A7" s="14">
        <v>4</v>
      </c>
      <c r="B7" s="15" t="s">
        <v>61</v>
      </c>
      <c r="C7" s="15" t="s">
        <v>62</v>
      </c>
      <c r="D7" s="15" t="s">
        <v>56</v>
      </c>
      <c r="E7" s="15" t="s">
        <v>56</v>
      </c>
      <c r="F7" s="16">
        <v>55</v>
      </c>
      <c r="G7" s="17">
        <v>45.25</v>
      </c>
      <c r="H7" s="18">
        <f t="shared" ref="H7:H18" si="0">F7*G7</f>
        <v>2488.75</v>
      </c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  <c r="AQ7" s="13"/>
      <c r="AR7" s="13"/>
      <c r="AS7" s="13"/>
      <c r="AT7" s="13"/>
      <c r="AU7" s="13"/>
      <c r="AV7" s="13"/>
      <c r="AW7" s="13"/>
      <c r="AX7" s="13"/>
      <c r="AY7" s="13"/>
      <c r="AZ7" s="13"/>
      <c r="BA7" s="13"/>
      <c r="BB7" s="13"/>
      <c r="BC7" s="13"/>
      <c r="BD7" s="13"/>
      <c r="BE7" s="13"/>
      <c r="BF7" s="13"/>
      <c r="BG7" s="13"/>
      <c r="BH7" s="13"/>
      <c r="BI7" s="13"/>
      <c r="BJ7" s="13"/>
      <c r="BK7" s="13"/>
      <c r="BL7" s="13"/>
    </row>
    <row r="8" spans="1:64">
      <c r="A8" s="14">
        <v>5</v>
      </c>
      <c r="B8" s="15" t="s">
        <v>63</v>
      </c>
      <c r="C8" s="15" t="s">
        <v>64</v>
      </c>
      <c r="D8" s="15" t="s">
        <v>56</v>
      </c>
      <c r="E8" s="15" t="s">
        <v>56</v>
      </c>
      <c r="F8" s="16">
        <v>60</v>
      </c>
      <c r="G8" s="17">
        <v>45.5</v>
      </c>
      <c r="H8" s="18">
        <f t="shared" si="0"/>
        <v>2730</v>
      </c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13"/>
      <c r="AM8" s="13"/>
      <c r="AN8" s="13"/>
      <c r="AO8" s="13"/>
      <c r="AP8" s="13"/>
      <c r="AQ8" s="13"/>
      <c r="AR8" s="13"/>
      <c r="AS8" s="13"/>
      <c r="AT8" s="13"/>
      <c r="AU8" s="13"/>
      <c r="AV8" s="13"/>
      <c r="AW8" s="13"/>
      <c r="AX8" s="13"/>
      <c r="AY8" s="13"/>
      <c r="AZ8" s="13"/>
      <c r="BA8" s="13"/>
      <c r="BB8" s="13"/>
      <c r="BC8" s="13"/>
      <c r="BD8" s="13"/>
      <c r="BE8" s="13"/>
      <c r="BF8" s="13"/>
      <c r="BG8" s="13"/>
      <c r="BH8" s="13"/>
      <c r="BI8" s="13"/>
      <c r="BJ8" s="13"/>
      <c r="BK8" s="13"/>
      <c r="BL8" s="13"/>
    </row>
    <row r="9" spans="1:64">
      <c r="A9" s="14">
        <v>6</v>
      </c>
      <c r="B9" s="15" t="s">
        <v>65</v>
      </c>
      <c r="C9" s="15" t="s">
        <v>66</v>
      </c>
      <c r="D9" s="15" t="s">
        <v>56</v>
      </c>
      <c r="E9" s="15" t="s">
        <v>56</v>
      </c>
      <c r="F9" s="16">
        <v>75</v>
      </c>
      <c r="G9" s="17">
        <v>125.25</v>
      </c>
      <c r="H9" s="18">
        <f t="shared" si="0"/>
        <v>9393.75</v>
      </c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  <c r="AQ9" s="13"/>
      <c r="AR9" s="13"/>
      <c r="AS9" s="13"/>
      <c r="AT9" s="13"/>
      <c r="AU9" s="13"/>
      <c r="AV9" s="13"/>
      <c r="AW9" s="13"/>
      <c r="AX9" s="13"/>
      <c r="AY9" s="13"/>
      <c r="AZ9" s="13"/>
      <c r="BA9" s="13"/>
      <c r="BB9" s="13"/>
      <c r="BC9" s="13"/>
      <c r="BD9" s="13"/>
      <c r="BE9" s="13"/>
      <c r="BF9" s="13"/>
      <c r="BG9" s="13"/>
      <c r="BH9" s="13"/>
      <c r="BI9" s="13"/>
      <c r="BJ9" s="13"/>
      <c r="BK9" s="13"/>
      <c r="BL9" s="13"/>
    </row>
    <row r="10" spans="1:64">
      <c r="A10" s="14">
        <v>7</v>
      </c>
      <c r="B10" s="15" t="s">
        <v>67</v>
      </c>
      <c r="C10" s="15" t="s">
        <v>68</v>
      </c>
      <c r="D10" s="15" t="s">
        <v>56</v>
      </c>
      <c r="E10" s="15" t="s">
        <v>56</v>
      </c>
      <c r="F10" s="16">
        <v>28</v>
      </c>
      <c r="G10" s="17">
        <v>150.5</v>
      </c>
      <c r="H10" s="18">
        <f t="shared" si="0"/>
        <v>4214</v>
      </c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  <c r="AK10" s="13"/>
      <c r="AL10" s="13"/>
      <c r="AM10" s="13"/>
      <c r="AN10" s="13"/>
      <c r="AO10" s="13"/>
      <c r="AP10" s="13"/>
      <c r="AQ10" s="13"/>
      <c r="AR10" s="13"/>
      <c r="AS10" s="13"/>
      <c r="AT10" s="13"/>
      <c r="AU10" s="13"/>
      <c r="AV10" s="13"/>
      <c r="AW10" s="13"/>
      <c r="AX10" s="13"/>
      <c r="AY10" s="13"/>
      <c r="AZ10" s="13"/>
      <c r="BA10" s="13"/>
      <c r="BB10" s="13"/>
      <c r="BC10" s="13"/>
      <c r="BD10" s="13"/>
      <c r="BE10" s="13"/>
      <c r="BF10" s="13"/>
      <c r="BG10" s="13"/>
      <c r="BH10" s="13"/>
      <c r="BI10" s="13"/>
      <c r="BJ10" s="13"/>
      <c r="BK10" s="13"/>
      <c r="BL10" s="13"/>
    </row>
    <row r="11" spans="1:64">
      <c r="A11" s="14">
        <v>8</v>
      </c>
      <c r="B11" s="15" t="s">
        <v>69</v>
      </c>
      <c r="C11" s="15" t="s">
        <v>70</v>
      </c>
      <c r="D11" s="15" t="s">
        <v>56</v>
      </c>
      <c r="E11" s="15" t="s">
        <v>56</v>
      </c>
      <c r="F11" s="16">
        <v>30</v>
      </c>
      <c r="G11" s="17">
        <v>65.319999999999993</v>
      </c>
      <c r="H11" s="18">
        <f t="shared" si="0"/>
        <v>1959.6</v>
      </c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  <c r="AQ11" s="13"/>
      <c r="AR11" s="13"/>
      <c r="AS11" s="13"/>
      <c r="AT11" s="13"/>
      <c r="AU11" s="13"/>
      <c r="AV11" s="13"/>
      <c r="AW11" s="13"/>
      <c r="AX11" s="13"/>
      <c r="AY11" s="13"/>
      <c r="AZ11" s="13"/>
      <c r="BA11" s="13"/>
      <c r="BB11" s="13"/>
      <c r="BC11" s="13"/>
      <c r="BD11" s="13"/>
      <c r="BE11" s="13"/>
      <c r="BF11" s="13"/>
      <c r="BG11" s="13"/>
      <c r="BH11" s="13"/>
      <c r="BI11" s="13"/>
      <c r="BJ11" s="13"/>
      <c r="BK11" s="13"/>
      <c r="BL11" s="13"/>
    </row>
    <row r="12" spans="1:64">
      <c r="A12" s="14">
        <v>9</v>
      </c>
      <c r="B12" s="15" t="s">
        <v>71</v>
      </c>
      <c r="C12" s="15" t="s">
        <v>72</v>
      </c>
      <c r="D12" s="15" t="s">
        <v>56</v>
      </c>
      <c r="E12" s="15" t="s">
        <v>56</v>
      </c>
      <c r="F12" s="16">
        <v>25</v>
      </c>
      <c r="G12" s="17">
        <v>74.89</v>
      </c>
      <c r="H12" s="18">
        <f t="shared" si="0"/>
        <v>1872.25</v>
      </c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  <c r="AQ12" s="13"/>
      <c r="AR12" s="13"/>
      <c r="AS12" s="13"/>
      <c r="AT12" s="13"/>
      <c r="AU12" s="13"/>
      <c r="AV12" s="13"/>
      <c r="AW12" s="13"/>
      <c r="AX12" s="13"/>
      <c r="AY12" s="13"/>
      <c r="AZ12" s="13"/>
      <c r="BA12" s="13"/>
      <c r="BB12" s="13"/>
      <c r="BC12" s="13"/>
      <c r="BD12" s="13"/>
      <c r="BE12" s="13"/>
      <c r="BF12" s="13"/>
      <c r="BG12" s="13"/>
      <c r="BH12" s="13"/>
      <c r="BI12" s="13"/>
      <c r="BJ12" s="13"/>
      <c r="BK12" s="13"/>
      <c r="BL12" s="13"/>
    </row>
    <row r="13" spans="1:64">
      <c r="A13" s="14">
        <v>10</v>
      </c>
      <c r="B13" s="15" t="s">
        <v>73</v>
      </c>
      <c r="C13" s="15" t="s">
        <v>74</v>
      </c>
      <c r="D13" s="15" t="s">
        <v>56</v>
      </c>
      <c r="E13" s="15" t="s">
        <v>56</v>
      </c>
      <c r="F13" s="16">
        <v>28</v>
      </c>
      <c r="G13" s="17">
        <v>89.56</v>
      </c>
      <c r="H13" s="18">
        <f t="shared" si="0"/>
        <v>2507.6800000000003</v>
      </c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/>
      <c r="AU13" s="13"/>
      <c r="AV13" s="13"/>
      <c r="AW13" s="13"/>
      <c r="AX13" s="13"/>
      <c r="AY13" s="13"/>
      <c r="AZ13" s="13"/>
      <c r="BA13" s="13"/>
      <c r="BB13" s="13"/>
      <c r="BC13" s="13"/>
      <c r="BD13" s="13"/>
      <c r="BE13" s="13"/>
      <c r="BF13" s="13"/>
      <c r="BG13" s="13"/>
      <c r="BH13" s="13"/>
      <c r="BI13" s="13"/>
      <c r="BJ13" s="13"/>
      <c r="BK13" s="13"/>
      <c r="BL13" s="13"/>
    </row>
    <row r="14" spans="1:64">
      <c r="A14" s="14">
        <v>11</v>
      </c>
      <c r="B14" s="15" t="s">
        <v>75</v>
      </c>
      <c r="C14" s="15" t="s">
        <v>76</v>
      </c>
      <c r="D14" s="15" t="s">
        <v>56</v>
      </c>
      <c r="E14" s="15" t="s">
        <v>56</v>
      </c>
      <c r="F14" s="16">
        <v>37</v>
      </c>
      <c r="G14" s="17">
        <v>89.54</v>
      </c>
      <c r="H14" s="18">
        <f t="shared" si="0"/>
        <v>3312.98</v>
      </c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13"/>
      <c r="AL14" s="13"/>
      <c r="AM14" s="13"/>
      <c r="AN14" s="13"/>
      <c r="AO14" s="13"/>
      <c r="AP14" s="13"/>
      <c r="AQ14" s="13"/>
      <c r="AR14" s="13"/>
      <c r="AS14" s="13"/>
      <c r="AT14" s="13"/>
      <c r="AU14" s="13"/>
      <c r="AV14" s="13"/>
      <c r="AW14" s="13"/>
      <c r="AX14" s="13"/>
      <c r="AY14" s="13"/>
      <c r="AZ14" s="13"/>
      <c r="BA14" s="13"/>
      <c r="BB14" s="13"/>
      <c r="BC14" s="13"/>
      <c r="BD14" s="13"/>
      <c r="BE14" s="13"/>
      <c r="BF14" s="13"/>
      <c r="BG14" s="13"/>
      <c r="BH14" s="13"/>
      <c r="BI14" s="13"/>
      <c r="BJ14" s="13"/>
      <c r="BK14" s="13"/>
      <c r="BL14" s="13"/>
    </row>
    <row r="15" spans="1:64">
      <c r="A15" s="14">
        <v>12</v>
      </c>
      <c r="B15" s="15" t="s">
        <v>77</v>
      </c>
      <c r="C15" s="15" t="s">
        <v>78</v>
      </c>
      <c r="D15" s="15" t="s">
        <v>56</v>
      </c>
      <c r="E15" s="15" t="s">
        <v>56</v>
      </c>
      <c r="F15" s="16">
        <v>39</v>
      </c>
      <c r="G15" s="17">
        <v>98.25</v>
      </c>
      <c r="H15" s="18">
        <f t="shared" si="0"/>
        <v>3831.75</v>
      </c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  <c r="AM15" s="13"/>
      <c r="AN15" s="13"/>
      <c r="AO15" s="13"/>
      <c r="AP15" s="13"/>
      <c r="AQ15" s="13"/>
      <c r="AR15" s="13"/>
      <c r="AS15" s="13"/>
      <c r="AT15" s="13"/>
      <c r="AU15" s="13"/>
      <c r="AV15" s="13"/>
      <c r="AW15" s="13"/>
      <c r="AX15" s="13"/>
      <c r="AY15" s="13"/>
      <c r="AZ15" s="13"/>
      <c r="BA15" s="13"/>
      <c r="BB15" s="13"/>
      <c r="BC15" s="13"/>
      <c r="BD15" s="13"/>
      <c r="BE15" s="13"/>
      <c r="BF15" s="13"/>
      <c r="BG15" s="13"/>
      <c r="BH15" s="13"/>
      <c r="BI15" s="13"/>
      <c r="BJ15" s="13"/>
      <c r="BK15" s="13"/>
      <c r="BL15" s="13"/>
    </row>
    <row r="16" spans="1:64">
      <c r="A16" s="14">
        <v>13</v>
      </c>
      <c r="B16" s="15" t="s">
        <v>79</v>
      </c>
      <c r="C16" s="15" t="s">
        <v>80</v>
      </c>
      <c r="D16" s="15" t="s">
        <v>56</v>
      </c>
      <c r="E16" s="15" t="s">
        <v>56</v>
      </c>
      <c r="F16" s="16">
        <v>70</v>
      </c>
      <c r="G16" s="17">
        <v>102.25</v>
      </c>
      <c r="H16" s="18">
        <f t="shared" si="0"/>
        <v>7157.5</v>
      </c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13"/>
      <c r="AM16" s="13"/>
      <c r="AN16" s="13"/>
      <c r="AO16" s="13"/>
      <c r="AP16" s="13"/>
      <c r="AQ16" s="13"/>
      <c r="AR16" s="13"/>
      <c r="AS16" s="13"/>
      <c r="AT16" s="13"/>
      <c r="AU16" s="13"/>
      <c r="AV16" s="13"/>
      <c r="AW16" s="13"/>
      <c r="AX16" s="13"/>
      <c r="AY16" s="13"/>
      <c r="AZ16" s="13"/>
      <c r="BA16" s="13"/>
      <c r="BB16" s="13"/>
      <c r="BC16" s="13"/>
      <c r="BD16" s="13"/>
      <c r="BE16" s="13"/>
      <c r="BF16" s="13"/>
      <c r="BG16" s="13"/>
      <c r="BH16" s="13"/>
      <c r="BI16" s="13"/>
      <c r="BJ16" s="13"/>
      <c r="BK16" s="13"/>
      <c r="BL16" s="13"/>
    </row>
    <row r="17" spans="1:65">
      <c r="A17" s="14">
        <v>14</v>
      </c>
      <c r="B17" s="15" t="s">
        <v>81</v>
      </c>
      <c r="C17" s="15" t="s">
        <v>82</v>
      </c>
      <c r="D17" s="15" t="s">
        <v>56</v>
      </c>
      <c r="E17" s="15" t="s">
        <v>56</v>
      </c>
      <c r="F17" s="16">
        <v>100</v>
      </c>
      <c r="G17" s="17">
        <v>103.5</v>
      </c>
      <c r="H17" s="18">
        <f t="shared" si="0"/>
        <v>10350</v>
      </c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13"/>
      <c r="AU17" s="13"/>
      <c r="AV17" s="13"/>
      <c r="AW17" s="13"/>
      <c r="AX17" s="13"/>
      <c r="AY17" s="13"/>
      <c r="AZ17" s="13"/>
      <c r="BA17" s="13"/>
      <c r="BB17" s="13"/>
      <c r="BC17" s="13"/>
      <c r="BD17" s="13"/>
      <c r="BE17" s="13"/>
      <c r="BF17" s="13"/>
      <c r="BG17" s="13"/>
      <c r="BH17" s="13"/>
      <c r="BI17" s="13"/>
      <c r="BJ17" s="13"/>
      <c r="BK17" s="13"/>
      <c r="BL17" s="13"/>
    </row>
    <row r="18" spans="1:65" ht="15.75" thickBot="1">
      <c r="A18" s="21">
        <v>15</v>
      </c>
      <c r="B18" s="22" t="s">
        <v>83</v>
      </c>
      <c r="C18" s="22" t="s">
        <v>84</v>
      </c>
      <c r="D18" s="22" t="s">
        <v>56</v>
      </c>
      <c r="E18" s="22" t="s">
        <v>56</v>
      </c>
      <c r="F18" s="23">
        <v>85</v>
      </c>
      <c r="G18" s="24">
        <v>65.48</v>
      </c>
      <c r="H18" s="25">
        <f t="shared" si="0"/>
        <v>5565.8</v>
      </c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  <c r="AQ18" s="13"/>
      <c r="AR18" s="13"/>
      <c r="AS18" s="13"/>
      <c r="AT18" s="13"/>
      <c r="AU18" s="13"/>
      <c r="AV18" s="13"/>
      <c r="AW18" s="13"/>
      <c r="AX18" s="13"/>
      <c r="AY18" s="13"/>
      <c r="AZ18" s="13"/>
      <c r="BA18" s="13"/>
      <c r="BB18" s="13"/>
      <c r="BC18" s="13"/>
      <c r="BD18" s="13"/>
      <c r="BE18" s="13"/>
      <c r="BF18" s="13"/>
      <c r="BG18" s="13"/>
      <c r="BH18" s="13"/>
      <c r="BI18" s="13"/>
      <c r="BJ18" s="13"/>
      <c r="BK18" s="13"/>
      <c r="BL18" s="13"/>
    </row>
    <row r="19" spans="1:65" ht="15.75" thickTop="1">
      <c r="A19" s="13"/>
      <c r="B19" s="114" t="s">
        <v>85</v>
      </c>
      <c r="C19" s="114"/>
      <c r="D19" s="114"/>
      <c r="E19" s="114"/>
      <c r="F19" s="114"/>
      <c r="G19" s="114"/>
      <c r="H19" s="26">
        <f>SUM(H4:H18)</f>
        <v>71856.759999999995</v>
      </c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13"/>
      <c r="AU19" s="13"/>
      <c r="AV19" s="13"/>
      <c r="AW19" s="13"/>
      <c r="AX19" s="13"/>
      <c r="AY19" s="13"/>
      <c r="AZ19" s="13"/>
      <c r="BA19" s="13"/>
      <c r="BB19" s="13"/>
      <c r="BC19" s="13"/>
      <c r="BD19" s="13"/>
      <c r="BE19" s="13"/>
      <c r="BF19" s="13"/>
      <c r="BG19" s="13"/>
      <c r="BH19" s="13"/>
      <c r="BI19" s="13"/>
      <c r="BJ19" s="13"/>
      <c r="BK19" s="13"/>
      <c r="BL19" s="13"/>
    </row>
    <row r="20" spans="1:65">
      <c r="A20" s="28" t="s">
        <v>86</v>
      </c>
      <c r="B20" s="29"/>
      <c r="C20" s="29"/>
      <c r="D20" s="29"/>
      <c r="E20" s="29"/>
      <c r="F20" s="29"/>
      <c r="G20" s="29"/>
      <c r="H20" s="28"/>
      <c r="I20" s="30"/>
      <c r="J20" s="30"/>
      <c r="K20" s="30"/>
      <c r="L20" s="30"/>
      <c r="M20" s="30"/>
      <c r="N20" s="30"/>
      <c r="O20" s="30"/>
      <c r="P20" s="30"/>
      <c r="Q20" s="30"/>
      <c r="R20" s="28"/>
      <c r="S20" s="28"/>
      <c r="T20" s="28"/>
      <c r="U20" s="28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13"/>
      <c r="AU20" s="13"/>
      <c r="AV20" s="13"/>
      <c r="AW20" s="13"/>
      <c r="AX20" s="13"/>
      <c r="AY20" s="13"/>
      <c r="AZ20" s="13"/>
      <c r="BA20" s="13"/>
      <c r="BB20" s="13"/>
      <c r="BC20" s="13"/>
      <c r="BD20" s="13"/>
      <c r="BE20" s="13"/>
      <c r="BF20" s="13"/>
      <c r="BG20" s="13"/>
      <c r="BH20" s="13"/>
      <c r="BI20" s="13"/>
      <c r="BJ20" s="13"/>
      <c r="BK20" s="13"/>
      <c r="BL20" s="13"/>
    </row>
    <row r="21" spans="1:65" ht="15.75" thickBot="1">
      <c r="A21" s="115" t="s">
        <v>87</v>
      </c>
      <c r="B21" s="115"/>
      <c r="C21" s="12">
        <v>1</v>
      </c>
      <c r="D21" s="31" t="s">
        <v>88</v>
      </c>
      <c r="E21" s="29"/>
      <c r="F21" s="29"/>
      <c r="G21" s="29"/>
      <c r="H21" s="28"/>
      <c r="I21" s="30" t="s">
        <v>89</v>
      </c>
      <c r="J21" s="30" t="s">
        <v>90</v>
      </c>
      <c r="K21" s="30"/>
      <c r="L21" s="30" t="s">
        <v>91</v>
      </c>
      <c r="M21" s="30">
        <v>1</v>
      </c>
      <c r="N21" s="30"/>
      <c r="O21" s="30" t="s">
        <v>92</v>
      </c>
      <c r="P21" s="30">
        <v>2</v>
      </c>
      <c r="Q21" s="30" t="s">
        <v>93</v>
      </c>
      <c r="R21" s="28"/>
      <c r="S21" s="28"/>
      <c r="T21" s="28"/>
      <c r="U21" s="28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  <c r="AQ21" s="13"/>
      <c r="AR21" s="13"/>
      <c r="AS21" s="13"/>
      <c r="AT21" s="13"/>
      <c r="AU21" s="13"/>
      <c r="AV21" s="13"/>
      <c r="AW21" s="13"/>
      <c r="AX21" s="13"/>
      <c r="AY21" s="13"/>
      <c r="AZ21" s="13"/>
      <c r="BA21" s="13"/>
      <c r="BB21" s="13"/>
      <c r="BC21" s="13"/>
      <c r="BD21" s="13"/>
      <c r="BE21" s="13"/>
      <c r="BF21" s="13"/>
      <c r="BG21" s="13"/>
      <c r="BH21" s="13"/>
      <c r="BI21" s="13"/>
      <c r="BJ21" s="13"/>
      <c r="BK21" s="13"/>
      <c r="BL21" s="13"/>
    </row>
    <row r="22" spans="1:65" ht="58.5" thickTop="1" thickBot="1">
      <c r="A22" s="62" t="s">
        <v>148</v>
      </c>
      <c r="B22" s="62" t="s">
        <v>47</v>
      </c>
      <c r="C22" s="62" t="s">
        <v>149</v>
      </c>
      <c r="D22" s="62" t="s">
        <v>49</v>
      </c>
      <c r="E22" s="62" t="s">
        <v>50</v>
      </c>
      <c r="F22" s="62" t="s">
        <v>51</v>
      </c>
      <c r="G22" s="62" t="s">
        <v>52</v>
      </c>
      <c r="H22" s="62" t="s">
        <v>53</v>
      </c>
      <c r="I22" s="63" t="s">
        <v>95</v>
      </c>
      <c r="J22" s="63" t="s">
        <v>97</v>
      </c>
      <c r="K22" s="63" t="s">
        <v>96</v>
      </c>
      <c r="L22" s="64" t="s">
        <v>98</v>
      </c>
      <c r="M22" s="64" t="s">
        <v>99</v>
      </c>
      <c r="N22" s="64" t="s">
        <v>102</v>
      </c>
      <c r="O22" s="64" t="s">
        <v>103</v>
      </c>
      <c r="P22" s="64" t="s">
        <v>150</v>
      </c>
      <c r="Q22" s="64" t="s">
        <v>101</v>
      </c>
      <c r="R22" s="63" t="s">
        <v>104</v>
      </c>
      <c r="S22" s="62" t="s">
        <v>151</v>
      </c>
      <c r="T22" s="62" t="s">
        <v>106</v>
      </c>
      <c r="U22" s="65" t="s">
        <v>152</v>
      </c>
      <c r="V22" s="65" t="s">
        <v>108</v>
      </c>
      <c r="W22" s="65" t="s">
        <v>109</v>
      </c>
      <c r="X22" s="65" t="s">
        <v>110</v>
      </c>
      <c r="Y22" s="65" t="s">
        <v>111</v>
      </c>
      <c r="Z22" s="66" t="s">
        <v>112</v>
      </c>
      <c r="AA22" s="66" t="s">
        <v>113</v>
      </c>
      <c r="AB22" s="66" t="s">
        <v>114</v>
      </c>
      <c r="AC22" s="66" t="s">
        <v>115</v>
      </c>
      <c r="AD22" s="66" t="s">
        <v>116</v>
      </c>
      <c r="AE22" s="66" t="s">
        <v>117</v>
      </c>
      <c r="AF22" s="66" t="s">
        <v>118</v>
      </c>
      <c r="AG22" s="66" t="s">
        <v>119</v>
      </c>
      <c r="AH22" s="66" t="s">
        <v>120</v>
      </c>
      <c r="AI22" s="66" t="s">
        <v>121</v>
      </c>
      <c r="AJ22" s="66" t="s">
        <v>122</v>
      </c>
      <c r="AK22" s="66" t="s">
        <v>123</v>
      </c>
      <c r="AL22" s="66" t="s">
        <v>124</v>
      </c>
      <c r="AM22" s="66" t="s">
        <v>125</v>
      </c>
      <c r="AN22" s="66" t="s">
        <v>126</v>
      </c>
      <c r="AO22" s="67" t="s">
        <v>153</v>
      </c>
      <c r="AP22" s="9" t="s">
        <v>240</v>
      </c>
      <c r="AQ22" s="9" t="s">
        <v>126</v>
      </c>
      <c r="AR22" s="56" t="s">
        <v>131</v>
      </c>
      <c r="AS22" s="56" t="s">
        <v>132</v>
      </c>
      <c r="AT22" s="56" t="s">
        <v>133</v>
      </c>
      <c r="AU22" s="56" t="s">
        <v>134</v>
      </c>
      <c r="AV22" s="56" t="s">
        <v>135</v>
      </c>
      <c r="AW22" s="56" t="s">
        <v>136</v>
      </c>
      <c r="AX22" s="56" t="s">
        <v>137</v>
      </c>
      <c r="AY22" s="56" t="s">
        <v>138</v>
      </c>
      <c r="AZ22" s="84" t="s">
        <v>207</v>
      </c>
      <c r="BA22" s="84" t="s">
        <v>8</v>
      </c>
      <c r="BB22" s="84" t="s">
        <v>9</v>
      </c>
      <c r="BC22" s="56" t="s">
        <v>228</v>
      </c>
      <c r="BD22" s="56" t="s">
        <v>139</v>
      </c>
      <c r="BE22" s="56" t="s">
        <v>140</v>
      </c>
      <c r="BF22" s="56" t="s">
        <v>141</v>
      </c>
      <c r="BG22" s="56" t="s">
        <v>142</v>
      </c>
      <c r="BH22" s="56" t="s">
        <v>143</v>
      </c>
      <c r="BI22" s="56" t="s">
        <v>241</v>
      </c>
      <c r="BJ22" s="96" t="s">
        <v>247</v>
      </c>
      <c r="BK22" s="56" t="s">
        <v>248</v>
      </c>
      <c r="BL22" s="56" t="s">
        <v>136</v>
      </c>
      <c r="BM22" s="97" t="s">
        <v>256</v>
      </c>
    </row>
    <row r="23" spans="1:65" ht="15.75" thickBot="1">
      <c r="A23" s="41">
        <v>1</v>
      </c>
      <c r="B23" s="41" t="s">
        <v>294</v>
      </c>
      <c r="C23" s="41" t="s">
        <v>155</v>
      </c>
      <c r="D23" s="41" t="s">
        <v>56</v>
      </c>
      <c r="E23" s="41" t="s">
        <v>156</v>
      </c>
      <c r="F23" s="76">
        <v>25</v>
      </c>
      <c r="G23" t="s" s="0">
        <v>296</v>
      </c>
      <c r="H23" s="76">
        <f>F23*G23</f>
        <v>6440.75</v>
      </c>
      <c r="I23" t="s" s="0">
        <v>218</v>
      </c>
      <c r="J23" s="76">
        <v>2</v>
      </c>
      <c r="K23" s="76">
        <v>2.5</v>
      </c>
      <c r="L23" s="76">
        <f>H23</f>
        <v>6440.75</v>
      </c>
      <c r="M23" s="76">
        <f>ROUND(L23*I23%,2)</f>
        <v>64.41</v>
      </c>
      <c r="N23" s="76">
        <f>H23-M23</f>
        <v>6376.34</v>
      </c>
      <c r="O23" s="76">
        <f>ROUND(N23*J23%,2)</f>
        <v>127.53</v>
      </c>
      <c r="P23" s="76">
        <f>ROUND(N23-O23,2)</f>
        <v>6248.81</v>
      </c>
      <c r="Q23" s="76">
        <f>ROUND(P23*K23%,2)</f>
        <v>156.22</v>
      </c>
      <c r="R23" s="76">
        <f>ROUND((M23+O23+Q23),2)</f>
        <v>348.16</v>
      </c>
      <c r="S23" s="76">
        <f>ROUND((H23-R23),2)</f>
        <v>6092.59</v>
      </c>
      <c r="T23" s="43" t="s">
        <v>128</v>
      </c>
      <c r="U23" s="44">
        <v>0.18</v>
      </c>
      <c r="V23" s="76">
        <f>IF($C$21=1,ROUND(((S23*U23)/2),2),0)</f>
        <v>548.33000000000004</v>
      </c>
      <c r="W23" s="76">
        <f>IF($C$21=1,ROUND(((S23*U23)/2),2),0)</f>
        <v>548.33000000000004</v>
      </c>
      <c r="X23" s="76">
        <f>IF($C$21=2,ROUND(((S23*U23)),2),0)</f>
        <v>0</v>
      </c>
      <c r="Y23" s="41">
        <f>ROUND((S23*18%),2)</f>
        <v>1096.67</v>
      </c>
      <c r="Z23" s="41">
        <f>S23+Y23</f>
        <v>7189.26</v>
      </c>
      <c r="AA23" s="43">
        <v>120</v>
      </c>
      <c r="AB23" s="43">
        <f>IF($P$21=1,(S23/$S$25)*$E$36,AA23/$AA$25*$E$36)</f>
        <v>0</v>
      </c>
      <c r="AC23" s="43"/>
      <c r="AD23" s="43">
        <f>IF($P$21=1,(S23/$S$25)*$E$38,AA23/$AA$25*$E$38)</f>
        <v>0</v>
      </c>
      <c r="AE23" s="43">
        <f>IF($P$21=1,(S23/$S$25)*$E$39,AA23/$AA$25*$E$39)</f>
        <v>0</v>
      </c>
      <c r="AF23" s="43">
        <f t="shared" ref="AF23:AF24" si="1">S23*$M$21</f>
        <v>6092.59</v>
      </c>
      <c r="AG23" s="43">
        <f>IF($C$21=3,0,AD23+AE23)</f>
        <v>0</v>
      </c>
      <c r="AH23" s="43">
        <f t="shared" ref="AH23:AH24" si="2">IF($C$21=3,AB23+AD23+AE23,0)</f>
        <v>0</v>
      </c>
      <c r="AI23" s="76">
        <v>2</v>
      </c>
      <c r="AJ23" s="43">
        <f t="shared" ref="AJ23:AJ24" si="3">F23/AI23</f>
        <v>12.5</v>
      </c>
      <c r="AK23" s="43">
        <f>ROUND(AF23/AJ23,5)</f>
        <v>487.40719999999999</v>
      </c>
      <c r="AL23" s="43">
        <f>AG23/AJ23</f>
        <v>0</v>
      </c>
      <c r="AM23" s="43">
        <f>AH23/AJ23</f>
        <v>0</v>
      </c>
      <c r="AN23" s="43" t="s">
        <v>56</v>
      </c>
      <c r="AO23" s="43">
        <f>ROUND(AK23+AL23+AM23,5)</f>
        <v>487.40719999999999</v>
      </c>
      <c r="AP23" s="15" t="s">
        <v>236</v>
      </c>
      <c r="AQ23" s="15" t="s">
        <v>56</v>
      </c>
      <c r="AR23" t="s" s="0">
        <v>299</v>
      </c>
      <c r="AS23" t="s" s="0">
        <v>300</v>
      </c>
      <c r="AT23" s="17">
        <f>AJ23</f>
        <v>12.5</v>
      </c>
      <c r="AU23" s="17">
        <f>AO23</f>
        <v>487.40719999999999</v>
      </c>
      <c r="AV23" s="88">
        <f>AR23+AT23</f>
        <v>12.5</v>
      </c>
      <c r="AW23" s="15">
        <f>ROUND(((AR23*AS23)+(AT23*AU23))/(AR23+AT23),5)</f>
        <v>487.40719999999999</v>
      </c>
      <c r="AX23" s="59"/>
      <c r="AY23" s="59" t="s">
        <v>144</v>
      </c>
      <c r="AZ23" s="107" t="s">
        <v>27</v>
      </c>
      <c r="BA23" s="107" t="s">
        <v>287</v>
      </c>
      <c r="BB23" s="107" t="s">
        <v>288</v>
      </c>
      <c r="BC23" s="59"/>
      <c r="BD23" s="59"/>
      <c r="BE23" s="59"/>
      <c r="BF23" s="15"/>
      <c r="BG23" s="15"/>
      <c r="BH23" s="15"/>
      <c r="BI23" s="15" t="s">
        <v>242</v>
      </c>
      <c r="BJ23" t="s" s="0">
        <v>249</v>
      </c>
      <c r="BK23" t="s" s="0">
        <v>249</v>
      </c>
      <c r="BL23" s="15">
        <f>ROUND((((AT23*AW23)+(BK23*BJ23))/(AT23+BK23)),5)</f>
        <v>487.40719999999999</v>
      </c>
      <c r="BM23" s="54">
        <f>BK23+AT23</f>
        <v>112.5</v>
      </c>
    </row>
    <row r="24" spans="1:65" ht="15.75" thickBot="1">
      <c r="A24" s="41">
        <v>2</v>
      </c>
      <c r="B24" s="41" t="s">
        <v>295</v>
      </c>
      <c r="C24" s="41" t="s">
        <v>168</v>
      </c>
      <c r="D24" s="41" t="s">
        <v>56</v>
      </c>
      <c r="E24" s="41" t="s">
        <v>156</v>
      </c>
      <c r="F24" s="76">
        <v>28</v>
      </c>
      <c r="G24" t="s" s="0">
        <v>297</v>
      </c>
      <c r="H24" s="76">
        <f t="shared" ref="H24" si="4">F24*G24</f>
        <v>4214</v>
      </c>
      <c r="I24" t="s" s="0">
        <v>298</v>
      </c>
      <c r="J24" s="76">
        <v>2</v>
      </c>
      <c r="K24" s="76">
        <v>2.5</v>
      </c>
      <c r="L24" s="76">
        <f t="shared" ref="L24" si="5">H24</f>
        <v>4214</v>
      </c>
      <c r="M24" s="76">
        <f t="shared" ref="M24" si="6">ROUND(L24*I24%,2)</f>
        <v>42.14</v>
      </c>
      <c r="N24" s="76">
        <f t="shared" ref="N24" si="7">H24-M24</f>
        <v>4171.8599999999997</v>
      </c>
      <c r="O24" s="76">
        <f t="shared" ref="O24" si="8">ROUND(N24*J24%,2)</f>
        <v>83.44</v>
      </c>
      <c r="P24" s="76">
        <f t="shared" ref="P24" si="9">ROUND(N24-O24,2)</f>
        <v>4088.42</v>
      </c>
      <c r="Q24" s="76">
        <f t="shared" ref="Q24" si="10">ROUND(P24*K24%,2)</f>
        <v>102.21</v>
      </c>
      <c r="R24" s="76">
        <f t="shared" ref="R24" si="11">ROUND((M24+O24+Q24),2)</f>
        <v>227.79</v>
      </c>
      <c r="S24" s="76">
        <f t="shared" ref="S24" si="12">ROUND((H24-R24),2)</f>
        <v>3986.21</v>
      </c>
      <c r="T24" s="43" t="s">
        <v>231</v>
      </c>
      <c r="U24" s="44">
        <v>0.18</v>
      </c>
      <c r="V24" s="76">
        <f t="shared" ref="V24" si="13">IF($C$21=1,ROUND(((S24*U24)/2),2),0)</f>
        <v>358.76</v>
      </c>
      <c r="W24" s="76">
        <f t="shared" ref="W24" si="14">IF($C$21=1,ROUND(((S24*U24)/2),2),0)</f>
        <v>358.76</v>
      </c>
      <c r="X24" s="76">
        <f t="shared" ref="X24" si="15">IF($C$21=2,ROUND(((S24*U24)),2),0)</f>
        <v>0</v>
      </c>
      <c r="Y24" s="41">
        <f t="shared" ref="Y24" si="16">ROUND((S24*18%),2)</f>
        <v>717.52</v>
      </c>
      <c r="Z24" s="41">
        <f t="shared" ref="Z24" si="17">S24+Y24</f>
        <v>4703.7299999999996</v>
      </c>
      <c r="AA24" s="43">
        <v>350</v>
      </c>
      <c r="AB24" s="43">
        <f>IF($P$21=1,(S24/$S$25)*$E$36,AA24/$AA$25*$E$36)</f>
        <v>0</v>
      </c>
      <c r="AC24" s="43"/>
      <c r="AD24" s="43">
        <f>IF($P$21=1,(S24/$S$25)*$E$38,AA24/$AA$25*$E$38)</f>
        <v>0</v>
      </c>
      <c r="AE24" s="43">
        <f>IF($P$21=1,(S24/$S$25)*$E$39,AA24/$AA$25*$E$39)</f>
        <v>0</v>
      </c>
      <c r="AF24" s="43">
        <f t="shared" si="1"/>
        <v>3986.21</v>
      </c>
      <c r="AG24" s="43">
        <f t="shared" ref="AG24" si="18">IF($C$21=3,0,AD24+AE24)</f>
        <v>0</v>
      </c>
      <c r="AH24" s="43">
        <f t="shared" si="2"/>
        <v>0</v>
      </c>
      <c r="AI24" s="76">
        <v>2</v>
      </c>
      <c r="AJ24" s="43">
        <f t="shared" si="3"/>
        <v>14</v>
      </c>
      <c r="AK24" s="43">
        <f t="shared" ref="AK24" si="19">ROUND(AF24/AJ24,5)</f>
        <v>284.72928999999999</v>
      </c>
      <c r="AL24" s="43">
        <f t="shared" ref="AL24" si="20">AG24/AJ24</f>
        <v>0</v>
      </c>
      <c r="AM24" s="43">
        <f t="shared" ref="AM24" si="21">AH24/AJ24</f>
        <v>0</v>
      </c>
      <c r="AN24" s="43" t="s">
        <v>56</v>
      </c>
      <c r="AO24" s="43">
        <f t="shared" ref="AO24" si="22">ROUND(AK24+AL24+AM24,5)</f>
        <v>284.72928999999999</v>
      </c>
      <c r="AP24" s="15" t="s">
        <v>236</v>
      </c>
      <c r="AQ24" s="15" t="s">
        <v>56</v>
      </c>
      <c r="AR24" t="s" s="0">
        <v>301</v>
      </c>
      <c r="AS24" t="s" s="0">
        <v>302</v>
      </c>
      <c r="AT24" s="17">
        <f>AJ24</f>
        <v>14</v>
      </c>
      <c r="AU24" s="17">
        <f>AO24</f>
        <v>284.72928999999999</v>
      </c>
      <c r="AV24" s="88">
        <f t="shared" ref="AV24" si="23">AR24+AT24</f>
        <v>14</v>
      </c>
      <c r="AW24" s="15">
        <f>ROUND(((AR24*AS24)+(AT24*AU24))/(AR24+AT24),5)</f>
        <v>284.72928999999999</v>
      </c>
      <c r="AX24" s="59"/>
      <c r="AY24" s="59"/>
      <c r="AZ24" s="107" t="s">
        <v>27</v>
      </c>
      <c r="BA24" s="107" t="s">
        <v>289</v>
      </c>
      <c r="BB24" s="107" t="s">
        <v>288</v>
      </c>
      <c r="BC24" s="59"/>
      <c r="BD24" s="59"/>
      <c r="BE24" s="59"/>
      <c r="BF24" s="15"/>
      <c r="BG24" s="15"/>
      <c r="BH24" s="15"/>
      <c r="BI24" s="15" t="s">
        <v>242</v>
      </c>
      <c r="BJ24" t="s" s="0">
        <v>249</v>
      </c>
      <c r="BK24" t="s" s="0">
        <v>249</v>
      </c>
      <c r="BL24" s="15">
        <f t="shared" ref="BL24" si="24">ROUND((((AT24*AW24)+(BK24*BJ24))/(AT24+BK24)),5)</f>
        <v>284.72928999999999</v>
      </c>
      <c r="BM24" s="54">
        <f t="shared" ref="BM24" si="25">BK24+AT24</f>
        <v>14</v>
      </c>
    </row>
    <row r="25" spans="1:65" ht="15.75" thickBot="1">
      <c r="A25" s="13"/>
      <c r="C25" s="94" t="s">
        <v>85</v>
      </c>
      <c r="D25" s="77"/>
      <c r="E25" s="77"/>
      <c r="F25" s="77"/>
      <c r="G25" s="78"/>
      <c r="H25" s="45">
        <f>SUM(H23:H24)</f>
        <v>10654.75</v>
      </c>
      <c r="I25" s="41"/>
      <c r="J25" s="41"/>
      <c r="K25" s="41"/>
      <c r="L25" s="41"/>
      <c r="M25" s="41"/>
      <c r="N25" s="41"/>
      <c r="O25" s="41"/>
      <c r="P25" s="41"/>
      <c r="Q25" s="41"/>
      <c r="R25" s="45">
        <f>SUM(R23:R24)</f>
        <v>575.95000000000005</v>
      </c>
      <c r="S25" s="45">
        <f>SUM(S23:S24)</f>
        <v>10078.799999999999</v>
      </c>
      <c r="T25" s="45"/>
      <c r="U25" s="45"/>
      <c r="V25" s="81">
        <f t="shared" ref="V25:AB25" si="26">SUM(V23:V24)</f>
        <v>907.09</v>
      </c>
      <c r="W25" s="81">
        <f t="shared" si="26"/>
        <v>907.09</v>
      </c>
      <c r="X25" s="81">
        <f t="shared" si="26"/>
        <v>0</v>
      </c>
      <c r="Y25" s="45">
        <f t="shared" si="26"/>
        <v>1814.19</v>
      </c>
      <c r="Z25" s="47">
        <f t="shared" si="26"/>
        <v>11892.99</v>
      </c>
      <c r="AA25" s="48">
        <f t="shared" si="26"/>
        <v>470</v>
      </c>
      <c r="AB25" s="48">
        <f t="shared" si="26"/>
        <v>0</v>
      </c>
      <c r="AC25" s="47"/>
      <c r="AD25" s="48">
        <f>SUM(AD23:AD24)</f>
        <v>0</v>
      </c>
      <c r="AE25" s="48">
        <f>IF($P$21=1,(S25/$S$25)*$E$39,AA25/$AA$25*$E$39)</f>
        <v>0</v>
      </c>
      <c r="AF25" s="48">
        <f>SUM(AF23:AF24)</f>
        <v>10078.799999999999</v>
      </c>
      <c r="AG25" s="48">
        <f>SUM(AG23:AG24)</f>
        <v>0</v>
      </c>
      <c r="AH25" s="48">
        <f>SUM(AH23:AH24)</f>
        <v>0</v>
      </c>
      <c r="AI25" s="47"/>
      <c r="AJ25" s="47"/>
      <c r="AK25" s="47"/>
      <c r="AL25" s="47"/>
      <c r="AM25" s="47"/>
      <c r="AN25" s="47"/>
      <c r="AO25" s="47"/>
      <c r="AP25" s="13"/>
      <c r="AQ25" s="13"/>
      <c r="AT25" s="13"/>
      <c r="AU25" s="13"/>
      <c r="AV25" s="13"/>
      <c r="AW25" s="13"/>
      <c r="AX25" s="13"/>
      <c r="AY25" s="13"/>
      <c r="AZ25" s="13"/>
      <c r="BA25" s="13"/>
      <c r="BB25" s="13"/>
      <c r="BC25" s="13"/>
      <c r="BD25" s="13"/>
      <c r="BE25" s="13"/>
      <c r="BF25" s="13"/>
      <c r="BG25" s="13"/>
      <c r="BH25" s="13"/>
      <c r="BI25" s="13"/>
      <c r="BJ25" s="13"/>
      <c r="BK25" s="13"/>
      <c r="BL25" s="13"/>
    </row>
    <row r="26" spans="1:65" ht="15.75" thickBot="1">
      <c r="A26" s="13"/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  <c r="AQ26" s="13"/>
      <c r="AR26" s="13"/>
      <c r="AS26" s="13"/>
      <c r="AT26" s="13"/>
      <c r="AU26" s="13"/>
      <c r="AV26" s="13"/>
      <c r="AW26" s="13"/>
      <c r="AX26" s="13"/>
      <c r="AY26" s="13"/>
      <c r="AZ26" s="13"/>
      <c r="BA26" s="13"/>
      <c r="BB26" s="13"/>
      <c r="BC26" s="13"/>
      <c r="BD26" s="13"/>
      <c r="BE26" s="13"/>
      <c r="BF26" s="13"/>
      <c r="BG26" s="13"/>
      <c r="BH26" s="13"/>
      <c r="BI26" s="13"/>
      <c r="BJ26" s="13"/>
      <c r="BK26" s="13"/>
      <c r="BL26" s="13"/>
    </row>
    <row r="27" spans="1:65" ht="15.75" thickBot="1">
      <c r="A27" s="13"/>
      <c r="B27" s="13"/>
      <c r="C27" s="13"/>
      <c r="D27" s="13"/>
      <c r="E27" s="13"/>
      <c r="F27" s="13"/>
      <c r="G27" s="116" t="s">
        <v>187</v>
      </c>
      <c r="H27" s="117"/>
      <c r="I27" s="118">
        <f>H25</f>
        <v>10654.75</v>
      </c>
      <c r="J27" s="118"/>
      <c r="K27" s="53"/>
      <c r="L27" s="13"/>
      <c r="M27" s="122" t="s">
        <v>188</v>
      </c>
      <c r="N27" s="123"/>
      <c r="O27" s="123"/>
      <c r="P27" s="124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13"/>
      <c r="AM27" s="13"/>
      <c r="AN27" s="13"/>
      <c r="AO27" s="13"/>
      <c r="AP27" s="13"/>
      <c r="AQ27" s="13"/>
      <c r="AR27" s="13"/>
      <c r="AS27" s="13"/>
      <c r="AT27" s="13"/>
      <c r="AU27" s="13"/>
      <c r="AV27" s="13"/>
      <c r="AW27" s="13"/>
      <c r="AX27" s="13"/>
      <c r="AY27" s="13"/>
      <c r="AZ27" s="13"/>
      <c r="BA27" s="13"/>
      <c r="BB27" s="13"/>
      <c r="BC27" s="13"/>
      <c r="BD27" s="13"/>
      <c r="BE27" s="13" t="s">
        <v>243</v>
      </c>
      <c r="BF27" s="95" t="s">
        <v>246</v>
      </c>
      <c r="BG27" s="13"/>
      <c r="BH27" s="13"/>
      <c r="BI27" s="13"/>
      <c r="BJ27" s="13"/>
      <c r="BK27" s="13"/>
      <c r="BL27" s="13"/>
    </row>
    <row r="28" spans="1:65" ht="15.75" thickBot="1">
      <c r="A28" s="13"/>
      <c r="B28" s="13"/>
      <c r="C28" s="13"/>
      <c r="D28" s="13"/>
      <c r="E28" s="13"/>
      <c r="F28" s="13"/>
      <c r="G28" s="116" t="s">
        <v>189</v>
      </c>
      <c r="H28" s="117"/>
      <c r="I28" s="118">
        <f>R25</f>
        <v>575.95000000000005</v>
      </c>
      <c r="J28" s="118"/>
      <c r="K28" s="13"/>
      <c r="L28" s="13"/>
      <c r="M28" s="68">
        <v>1</v>
      </c>
      <c r="N28" s="68" t="s">
        <v>56</v>
      </c>
      <c r="O28" s="68">
        <v>2</v>
      </c>
      <c r="P28" s="68" t="s">
        <v>156</v>
      </c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  <c r="AK28" s="13"/>
      <c r="AL28" s="13"/>
      <c r="AM28" s="13"/>
      <c r="AN28" s="13"/>
      <c r="AO28" s="13"/>
      <c r="AP28" s="13"/>
      <c r="AQ28" s="13"/>
      <c r="AR28" s="13"/>
      <c r="AS28" s="13"/>
      <c r="AT28" s="13"/>
      <c r="AU28" s="13"/>
      <c r="AV28" s="13"/>
      <c r="AW28" s="13"/>
      <c r="AX28" s="13"/>
      <c r="AY28" s="13"/>
      <c r="AZ28" s="13"/>
      <c r="BA28" s="13"/>
      <c r="BB28" s="13"/>
      <c r="BC28" s="13"/>
      <c r="BD28" s="13"/>
      <c r="BE28" s="13" t="s">
        <v>244</v>
      </c>
      <c r="BF28" s="95" t="s">
        <v>245</v>
      </c>
      <c r="BG28" s="13"/>
      <c r="BH28" s="13"/>
      <c r="BI28" s="13"/>
      <c r="BJ28" s="13"/>
      <c r="BK28" s="13"/>
      <c r="BL28" s="13"/>
    </row>
    <row r="29" spans="1:65" ht="15.75" thickBot="1">
      <c r="A29" s="13"/>
      <c r="B29" s="13"/>
      <c r="C29" s="13"/>
      <c r="D29" s="13"/>
      <c r="E29" s="13"/>
      <c r="F29" s="13"/>
      <c r="G29" s="116" t="s">
        <v>190</v>
      </c>
      <c r="H29" s="117"/>
      <c r="I29" s="118">
        <f>S25</f>
        <v>10078.799999999999</v>
      </c>
      <c r="J29" s="118"/>
      <c r="K29" s="13"/>
      <c r="L29" s="13"/>
      <c r="M29" s="41">
        <v>1</v>
      </c>
      <c r="N29" s="41" t="s">
        <v>56</v>
      </c>
      <c r="O29" s="41">
        <v>2.5</v>
      </c>
      <c r="P29" s="41" t="s">
        <v>169</v>
      </c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/>
      <c r="AM29" s="13"/>
      <c r="AN29" s="13"/>
      <c r="AO29" s="13"/>
      <c r="AP29" s="13"/>
      <c r="AQ29" s="13"/>
      <c r="AR29" s="13"/>
      <c r="AS29" s="13"/>
      <c r="AT29" s="13"/>
      <c r="AU29" s="13"/>
      <c r="AV29" s="13"/>
      <c r="AW29" s="13"/>
      <c r="AX29" s="13"/>
      <c r="AY29" s="13"/>
      <c r="AZ29" s="13"/>
      <c r="BA29" s="13"/>
      <c r="BB29" s="13"/>
      <c r="BC29" s="13"/>
      <c r="BD29" s="13"/>
      <c r="BE29" s="13"/>
      <c r="BF29" s="13"/>
      <c r="BG29" s="13"/>
      <c r="BH29" s="13"/>
      <c r="BI29" s="13"/>
      <c r="BJ29" s="13"/>
      <c r="BK29" s="13"/>
      <c r="BL29" s="13"/>
    </row>
    <row r="30" spans="1:65" ht="15.75" thickBot="1">
      <c r="A30" s="13"/>
      <c r="B30" s="13"/>
      <c r="C30" s="13"/>
      <c r="D30" s="13"/>
      <c r="E30" s="13"/>
      <c r="F30" s="13"/>
      <c r="G30" s="116" t="s">
        <v>191</v>
      </c>
      <c r="H30" s="117"/>
      <c r="I30" s="118">
        <f>Y25</f>
        <v>1814.19</v>
      </c>
      <c r="J30" s="118"/>
      <c r="K30" s="13"/>
      <c r="L30" s="13"/>
      <c r="M30" s="41">
        <v>1</v>
      </c>
      <c r="N30" s="41" t="s">
        <v>156</v>
      </c>
      <c r="O30" s="41">
        <v>1E-3</v>
      </c>
      <c r="P30" s="41" t="s">
        <v>178</v>
      </c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13"/>
      <c r="AN30" s="13"/>
      <c r="AO30" s="13"/>
      <c r="AP30" s="13"/>
      <c r="AQ30" s="13"/>
      <c r="AR30" s="13"/>
      <c r="AS30" s="13"/>
      <c r="AT30" s="13"/>
      <c r="AU30" s="13"/>
      <c r="AV30" s="13"/>
      <c r="AW30" s="13"/>
      <c r="AX30" s="13"/>
      <c r="AY30" s="13"/>
      <c r="AZ30" s="13"/>
      <c r="BA30" s="13"/>
      <c r="BB30" s="13"/>
      <c r="BC30" s="13"/>
      <c r="BD30" s="13"/>
      <c r="BE30" s="13"/>
      <c r="BF30" s="13"/>
      <c r="BG30" s="13"/>
      <c r="BH30" s="13"/>
      <c r="BI30" s="13"/>
      <c r="BJ30" s="13"/>
      <c r="BK30" s="13"/>
      <c r="BL30" s="13"/>
    </row>
    <row r="31" spans="1:65" ht="15.75" thickBot="1">
      <c r="A31" s="13"/>
      <c r="B31" s="13"/>
      <c r="C31" s="13"/>
      <c r="D31" s="13"/>
      <c r="E31" s="13"/>
      <c r="F31" s="13"/>
      <c r="G31" s="116" t="s">
        <v>192</v>
      </c>
      <c r="H31" s="117"/>
      <c r="I31" s="119">
        <f>I29+I30</f>
        <v>11892.99</v>
      </c>
      <c r="J31" s="119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13"/>
      <c r="AM31" s="13"/>
      <c r="AN31" s="13"/>
      <c r="AO31" s="13"/>
      <c r="AP31" s="13"/>
      <c r="AQ31" s="13"/>
      <c r="AR31" s="13"/>
      <c r="AS31" s="13"/>
      <c r="AT31" s="13"/>
      <c r="AU31" s="13"/>
      <c r="AV31" s="13"/>
      <c r="AW31" s="13"/>
      <c r="AX31" s="13"/>
      <c r="AY31" s="13"/>
      <c r="AZ31" s="13"/>
      <c r="BA31" s="13"/>
      <c r="BB31" s="13"/>
      <c r="BC31" s="13"/>
      <c r="BD31" s="13"/>
      <c r="BE31" s="13"/>
      <c r="BF31" s="13"/>
      <c r="BG31" s="13"/>
      <c r="BH31" s="13"/>
      <c r="BI31" s="13"/>
      <c r="BJ31" s="13"/>
      <c r="BK31" s="13"/>
      <c r="BL31" s="13"/>
    </row>
    <row r="32" spans="1:65">
      <c r="A32" s="13"/>
      <c r="B32" s="13"/>
      <c r="C32" s="13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13"/>
      <c r="AM32" s="13"/>
      <c r="AN32" s="13"/>
      <c r="AO32" s="13"/>
      <c r="AP32" s="13"/>
      <c r="AQ32" s="13"/>
      <c r="AR32" s="13"/>
      <c r="AS32" s="13"/>
      <c r="AT32" s="13"/>
      <c r="AU32" s="13"/>
      <c r="AV32" s="13"/>
      <c r="AW32" s="13"/>
      <c r="AX32" s="13"/>
      <c r="AY32" s="13"/>
      <c r="AZ32" s="13"/>
      <c r="BA32" s="13"/>
      <c r="BB32" s="13"/>
      <c r="BC32" s="13"/>
      <c r="BD32" s="13"/>
      <c r="BE32" s="13"/>
      <c r="BF32" s="13"/>
      <c r="BG32" s="13"/>
      <c r="BH32" s="13"/>
      <c r="BI32" s="13"/>
      <c r="BJ32" s="13" t="s">
        <v>254</v>
      </c>
      <c r="BK32" s="13" t="s">
        <v>255</v>
      </c>
      <c r="BL32" s="13"/>
    </row>
    <row r="33" spans="1:64">
      <c r="A33" s="13"/>
      <c r="B33" s="13"/>
      <c r="C33" s="13"/>
      <c r="D33" s="13"/>
      <c r="E33" s="13"/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  <c r="AK33" s="13"/>
      <c r="AL33" s="13"/>
      <c r="AM33" s="13"/>
      <c r="AN33" s="13"/>
      <c r="AO33" s="13"/>
      <c r="AP33" s="13"/>
      <c r="AQ33" s="13"/>
      <c r="AR33" s="13"/>
      <c r="AS33" s="13"/>
      <c r="AT33" s="13"/>
      <c r="AU33" s="13"/>
      <c r="AV33" s="13"/>
      <c r="AW33" s="13"/>
      <c r="AX33" s="13"/>
      <c r="AY33" s="13"/>
      <c r="AZ33" s="13"/>
      <c r="BA33" s="13"/>
      <c r="BB33" s="13"/>
      <c r="BC33" s="13"/>
      <c r="BD33" s="13"/>
      <c r="BE33" s="13"/>
      <c r="BF33" s="13"/>
      <c r="BG33" s="13"/>
      <c r="BH33" s="13" t="s">
        <v>250</v>
      </c>
      <c r="BI33" s="13">
        <v>12.5</v>
      </c>
      <c r="BJ33" s="13">
        <f>BI35*BI36</f>
        <v>0</v>
      </c>
      <c r="BK33" s="13">
        <f>BI33*BI34</f>
        <v>6092.59</v>
      </c>
      <c r="BL33" s="13"/>
    </row>
    <row r="34" spans="1:64">
      <c r="A34" s="13"/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  <c r="AK34" s="13"/>
      <c r="AL34" s="13"/>
      <c r="AM34" s="13"/>
      <c r="AN34" s="13"/>
      <c r="AO34" s="13"/>
      <c r="AP34" s="13"/>
      <c r="AQ34" s="13"/>
      <c r="AR34" s="13"/>
      <c r="AS34" s="13"/>
      <c r="AT34" s="13"/>
      <c r="AU34" s="13"/>
      <c r="AV34" s="13"/>
      <c r="AW34" s="13"/>
      <c r="AX34" s="13"/>
      <c r="AY34" s="13"/>
      <c r="AZ34" s="13"/>
      <c r="BA34" s="13"/>
      <c r="BB34" s="13"/>
      <c r="BC34" s="13"/>
      <c r="BD34" s="13"/>
      <c r="BE34" s="13"/>
      <c r="BF34" s="13"/>
      <c r="BG34" s="13"/>
      <c r="BH34" s="13" t="s">
        <v>251</v>
      </c>
      <c r="BI34" s="13">
        <v>487.40719999999999</v>
      </c>
      <c r="BJ34" s="13">
        <f>BI33+BI35</f>
        <v>12.5</v>
      </c>
      <c r="BK34" s="13"/>
      <c r="BL34" s="13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Z1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test</vt:lpstr>
      <vt:lpstr>DBDetails2</vt:lpstr>
      <vt:lpstr>Sheet3</vt:lpstr>
      <vt:lpstr>Sheet1</vt:lpstr>
      <vt:lpstr>Sheet4</vt:lpstr>
      <vt:lpstr>POSER</vt:lpstr>
      <vt:lpstr>POGENUD</vt:lpstr>
      <vt:lpstr>POWithRateContractGen</vt:lpstr>
      <vt:lpstr>POwithRateContractMat</vt:lpstr>
      <vt:lpstr>POMATUD</vt:lpstr>
      <vt:lpstr>RateContractSer</vt:lpstr>
      <vt:lpstr>PriceListItemGen</vt:lpstr>
      <vt:lpstr>STRateContract</vt:lpstr>
      <vt:lpstr>StockTransferItemGeneralType</vt:lpstr>
      <vt:lpstr>PriceListItemSer</vt:lpstr>
      <vt:lpstr>StockTransferPriceList</vt:lpstr>
      <vt:lpstr>DifferentUOMUD</vt:lpstr>
      <vt:lpstr>DifferentUOMMATUD</vt:lpstr>
      <vt:lpstr>DifferentUOMStocktransferUD</vt:lpstr>
      <vt:lpstr>DifferentUOMRateGen</vt:lpstr>
      <vt:lpstr>DifferentUOMRateMat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2024-08-28T12:59:00Z</dcterms:created>
  <dc:creator>Premkumar.K</dc:creator>
  <cp:lastModifiedBy>Premkumar.K</cp:lastModifiedBy>
  <dcterms:modified xsi:type="dcterms:W3CDTF">2025-04-30T13:04:35Z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DF1FCE896026400A82FB33CE9FFFC117_12</vt:lpwstr>
  </property>
  <property fmtid="{D5CDD505-2E9C-101B-9397-08002B2CF9AE}" pid="3" name="KSOProductBuildVer">
    <vt:lpwstr>1033-12.2.0.17562</vt:lpwstr>
  </property>
</Properties>
</file>