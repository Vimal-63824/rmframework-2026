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195" windowHeight="3090" firstSheet="48" activeTab="48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7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3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4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8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7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1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9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9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2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6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3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3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0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3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</calcChain>
</file>

<file path=xl/sharedStrings.xml><?xml version="1.0" encoding="utf-8"?>
<sst xmlns="http://schemas.openxmlformats.org/spreadsheetml/2006/main" count="12035" uniqueCount="505">
  <si>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</si>
  <si>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</si>
  <si>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</si>
  <si>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</si>
  <si>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</si>
  <si>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</si>
  <si>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</si>
  <si>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</si>
  <si>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</si>
  <si>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</si>
  <si>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</si>
  <si>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</si>
  <si>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</si>
  <si>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</si>
  <si>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</si>
  <si>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</si>
  <si>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</si>
  <si>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</si>
  <si>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</si>
  <si>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</si>
  <si>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</si>
  <si>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</si>
  <si>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</si>
  <si>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</si>
  <si>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</si>
  <si>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</si>
  <si>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</si>
  <si>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</si>
  <si>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</si>
  <si>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</si>
  <si>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</si>
  <si>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</si>
  <si>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</si>
  <si>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</si>
  <si>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</si>
  <si>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</si>
  <si>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</si>
  <si>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</si>
  <si>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</si>
  <si>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</si>
  <si>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</si>
  <si>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</si>
  <si>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</si>
  <si>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</si>
  <si>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</si>
  <si>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</si>
  <si>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</si>
  <si>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</si>
  <si>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</si>
  <si>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</si>
  <si>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</si>
  <si>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</si>
  <si>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</si>
  <si>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</si>
  <si>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</si>
  <si>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</si>
  <si>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</si>
  <si>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</si>
  <si>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</si>
  <si>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</si>
  <si>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</si>
  <si>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</si>
  <si>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</si>
  <si>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</si>
  <si>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</si>
  <si>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</si>
  <si>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</si>
  <si>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</si>
  <si>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</si>
  <si>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</si>
  <si>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</si>
  <si>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</si>
  <si>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</si>
  <si>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</si>
  <si>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</si>
  <si>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</si>
  <si>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</si>
  <si>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</si>
  <si>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</si>
  <si>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</si>
  <si>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</si>
  <si>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</si>
  <si>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</si>
  <si>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</si>
  <si>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</si>
  <si>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</si>
  <si>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</si>
  <si>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</si>
  <si>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</si>
  <si>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</si>
  <si>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</si>
  <si>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</si>
  <si>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</si>
  <si>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</si>
  <si>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</si>
  <si>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</si>
  <si>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</si>
  <si>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</si>
  <si>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</si>
  <si>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</si>
  <si>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</si>
  <si>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</si>
  <si>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</si>
  <si>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</si>
  <si>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</si>
  <si>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</si>
  <si>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</si>
  <si>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</si>
  <si>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</si>
  <si>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</si>
  <si>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</si>
  <si>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</si>
  <si>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</si>
  <si>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</si>
  <si>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</si>
  <si>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</si>
  <si>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</si>
  <si>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</si>
  <si>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</si>
  <si>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</si>
  <si>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</si>
  <si>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</si>
  <si>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</si>
  <si>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</si>
  <si>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</si>
  <si>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</si>
  <si>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</si>
  <si>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</si>
  <si>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</si>
  <si>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</si>
  <si>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</si>
  <si>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</si>
  <si>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</si>
  <si>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</si>
  <si>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</si>
  <si>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</si>
  <si>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</si>
  <si>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</si>
  <si>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</si>
  <si>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</si>
  <si>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</si>
  <si>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</si>
  <si>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</si>
  <si>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</si>
  <si>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</si>
  <si>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</si>
  <si>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</si>
  <si>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</si>
  <si>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</si>
  <si>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</si>
  <si>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</si>
  <si>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</si>
  <si>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</si>
  <si>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</si>
  <si>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</si>
  <si>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</si>
  <si>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</si>
  <si>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</si>
  <si>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</si>
  <si>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</si>
  <si>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</si>
  <si>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</si>
  <si>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</si>
  <si>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</si>
  <si>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</si>
  <si>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</si>
  <si>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</si>
  <si>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</si>
  <si>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</si>
  <si>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</si>
  <si>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</si>
  <si>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</si>
  <si>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</si>
  <si>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</si>
  <si>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</si>
  <si>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</si>
  <si>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</si>
  <si>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</si>
  <si>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</si>
  <si>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</si>
  <si>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</si>
  <si>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</si>
  <si>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</si>
  <si>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</si>
  <si>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</si>
  <si>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</si>
  <si>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</si>
  <si>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</si>
  <si>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</si>
  <si>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</si>
  <si>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</si>
  <si>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</si>
  <si>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</si>
  <si>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</si>
  <si>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</si>
  <si>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</si>
  <si>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</si>
  <si>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</si>
  <si>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</si>
  <si>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</si>
  <si>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</si>
  <si>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</si>
  <si>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</si>
  <si>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</si>
  <si>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</si>
  <si>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</si>
  <si>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</si>
  <si>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</si>
  <si>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</si>
  <si>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</si>
  <si>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</si>
  <si>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</si>
  <si>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</si>
  <si>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</si>
  <si>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</si>
  <si>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</si>
  <si>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</si>
  <si>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</si>
  <si>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</si>
  <si>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</si>
  <si>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</si>
  <si>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</si>
  <si>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</si>
  <si>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</si>
  <si>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</si>
  <si>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</si>
  <si>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</si>
  <si>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</si>
  <si>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</si>
  <si>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</si>
  <si>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</si>
  <si>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</si>
  <si>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</si>
  <si>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</si>
  <si>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</si>
  <si>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</si>
  <si>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</si>
  <si>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</si>
  <si>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</si>
  <si>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</si>
  <si>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</si>
  <si>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</si>
  <si>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</si>
  <si>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</si>
  <si>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</si>
  <si>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</si>
  <si>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</si>
  <si>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2.1</t>
  </si>
  <si>
    <t>INS WH</t>
  </si>
  <si>
    <t>RM LWH</t>
  </si>
  <si>
    <t>100</t>
  </si>
  <si>
    <t>25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</si>
  <si>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</si>
  <si>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</si>
  <si>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</si>
  <si>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</si>
  <si>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</si>
  <si>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</si>
  <si>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</si>
  <si>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</si>
  <si>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</si>
  <si>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</si>
  <si>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</si>
  <si>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</si>
  <si>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</si>
  <si>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</si>
  <si>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</si>
  <si>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</si>
  <si>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</si>
  <si>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</si>
  <si>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</si>
  <si>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</si>
  <si>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</si>
  <si>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</si>
  <si>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</si>
  <si>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</si>
  <si>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</si>
  <si>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</si>
  <si>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</si>
  <si>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</si>
  <si>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</si>
  <si>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</si>
  <si>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</si>
  <si>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</si>
  <si>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</si>
  <si>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</si>
  <si>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</si>
  <si>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</si>
  <si>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</si>
  <si>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</si>
  <si>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</si>
  <si>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</si>
  <si>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</si>
  <si>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</si>
  <si>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</si>
  <si>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</si>
  <si>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</si>
  <si>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</si>
  <si>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</si>
  <si>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</si>
  <si>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</si>
  <si>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</si>
  <si>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</si>
  <si>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</si>
  <si>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</si>
  <si>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</si>
  <si>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</si>
  <si>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</si>
  <si>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</si>
  <si>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</si>
  <si>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</si>
  <si>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</si>
  <si>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</si>
  <si>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</si>
  <si>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</si>
  <si>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</si>
  <si>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</si>
  <si>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</si>
  <si>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</si>
  <si>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</si>
  <si>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</si>
  <si>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</si>
  <si>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</si>
  <si>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</si>
  <si>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</si>
  <si>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</si>
  <si>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</si>
  <si>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TVS-DIS-620830</t>
  </si>
  <si>
    <t>TVS-DIS-620831</t>
  </si>
  <si>
    <t>TVS-DIS-620832</t>
  </si>
  <si>
    <t>TVS-DIS-620833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</si>
  <si>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</si>
  <si>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</si>
  <si>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</si>
  <si>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</si>
  <si>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</si>
  <si>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</si>
  <si>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</si>
  <si>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</si>
  <si>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</si>
  <si>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</si>
  <si>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</si>
  <si>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</si>
  <si>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</si>
  <si>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</si>
  <si>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</si>
  <si>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</si>
  <si>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</si>
  <si>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</si>
  <si>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</si>
  <si>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</si>
  <si>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</si>
  <si>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</si>
  <si>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</si>
  <si>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</si>
  <si>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</si>
  <si>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455.67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</si>
  <si>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</si>
  <si>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</si>
  <si>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</si>
  <si>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</si>
  <si>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</si>
  <si>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</si>
  <si>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</si>
  <si>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</si>
  <si>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284.72929</t>
  </si>
  <si>
    <t>440.2256</t>
  </si>
  <si>
    <t>849.63</t>
  </si>
  <si>
    <t>237</t>
  </si>
  <si>
    <t>2.8</t>
  </si>
  <si>
    <t>456</t>
  </si>
  <si>
    <t>249.255</t>
  </si>
  <si>
    <t>18</t>
  </si>
  <si>
    <t>2467.60144</t>
  </si>
  <si>
    <t>TVS-SIM-4940190</t>
  </si>
  <si>
    <t>400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</si>
  <si>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</si>
  <si>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</si>
  <si>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</si>
  <si>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</si>
  <si>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</si>
  <si>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</si>
  <si>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</si>
  <si>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</si>
  <si>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</si>
  <si>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</si>
  <si>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</si>
  <si>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</si>
  <si>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</si>
  <si>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75</t>
  </si>
  <si>
    <t>84</t>
  </si>
  <si>
    <t>87.5</t>
  </si>
  <si>
    <t>98</t>
  </si>
  <si>
    <t>319.51</t>
  </si>
  <si>
    <t>319.81167</t>
  </si>
  <si>
    <t>236</t>
  </si>
  <si>
    <t>2.89</t>
  </si>
  <si>
    <t>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</si>
  <si>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</si>
  <si>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</si>
  <si>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</si>
  <si>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</si>
  <si>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</si>
  <si>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</si>
  <si>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</si>
  <si>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</si>
  <si>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</si>
  <si>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</si>
  <si>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</si>
  <si>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</si>
  <si>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</si>
  <si>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</si>
  <si>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</si>
  <si>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</si>
  <si>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</si>
  <si>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</si>
  <si>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</si>
  <si>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</si>
  <si>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</si>
  <si>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</si>
  <si>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</si>
  <si>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</si>
  <si>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</si>
  <si>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</si>
  <si>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</si>
  <si>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</si>
  <si>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</si>
  <si>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</si>
  <si>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</si>
  <si>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</si>
  <si>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</si>
  <si>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</si>
  <si>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</si>
  <si>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</si>
  <si>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</si>
  <si>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</si>
  <si>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</si>
  <si>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</si>
  <si>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</si>
  <si>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</si>
  <si>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</si>
  <si>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</si>
  <si>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</si>
  <si>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</si>
  <si>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</si>
  <si>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</si>
  <si>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</si>
  <si>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</si>
  <si>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</si>
  <si>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</si>
  <si>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</si>
  <si>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</si>
  <si>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</si>
  <si>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</si>
  <si>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</si>
  <si>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</si>
  <si>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</si>
  <si>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</si>
  <si>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</si>
  <si>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</si>
  <si>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</si>
  <si>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</si>
  <si>
    <t>375.36</t>
  </si>
  <si>
    <t>60</t>
  </si>
  <si>
    <t>187.04002</t>
  </si>
  <si>
    <t>1411.8</t>
  </si>
  <si>
    <t>187.68</t>
  </si>
  <si>
    <t>80</t>
  </si>
  <si>
    <t>186.89799</t>
  </si>
  <si>
    <t>53</t>
  </si>
  <si>
    <t>1407.3066</t>
  </si>
  <si>
    <t>RM U4</t>
  </si>
  <si>
    <t>INS PK</t>
  </si>
  <si>
    <t>367.695</t>
  </si>
  <si>
    <t>93.84</t>
  </si>
  <si>
    <t>360.26064</t>
  </si>
  <si>
    <t>339.39847</t>
  </si>
  <si>
    <t>15</t>
  </si>
  <si>
    <t>133.33333</t>
  </si>
  <si>
    <t>5</t>
  </si>
  <si>
    <t>ROAU-RM-KDK-FP-ST-UD-01</t>
  </si>
  <si>
    <t>ROAU-RM-KDK-FP-ST-UD-02</t>
  </si>
  <si>
    <t>431.965</t>
  </si>
  <si>
    <t>323.75</t>
  </si>
  <si>
    <t>RM-U4</t>
  </si>
  <si>
    <t>ROAU-RM-KDK-FP-ST-RC-03</t>
  </si>
  <si>
    <t>ROAU-RM-KDK-FP-ST-RC-04</t>
  </si>
  <si>
    <t>ROAU-RM-KDK-FP-ST-PL-01</t>
  </si>
  <si>
    <t>ROAU-RM-KDK-FP-ST-PL-02</t>
  </si>
  <si>
    <t>700</t>
  </si>
  <si>
    <t>563.04</t>
  </si>
  <si>
    <t>650.175</t>
  </si>
  <si>
    <t>ROAU-RM-KDK-FP-ST-DISS-PL-01</t>
  </si>
  <si>
    <t>ROAU-RM-KDK-FP-ST-DISS-PL-02</t>
  </si>
  <si>
    <t>233</t>
  </si>
  <si>
    <t>ROAU-RM-KDK-FP-ST-DISS-RC-01</t>
  </si>
  <si>
    <t>ROAU-RM-KDK-FP-ST-DISS-RC-02</t>
  </si>
  <si>
    <t>300</t>
  </si>
  <si>
    <t>ROAU-RM-KDK-FP-ST-DISS-UD-01</t>
  </si>
  <si>
    <t>ROAU-RM-KDK-FP-ST-DISS-UD-02</t>
  </si>
  <si>
    <t>1404.58333</t>
  </si>
  <si>
    <t>834.152</t>
  </si>
  <si>
    <t>273</t>
  </si>
  <si>
    <t>1407.75549</t>
  </si>
  <si>
    <t>255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</si>
</sst>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8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7" borderId="13" xfId="0" applyFont="1" applyFill="1" applyBorder="1" applyAlignment="1">
      <alignment horizontal="right"/>
    </xf>
    <xf numFmtId="0" fontId="3" fillId="0" borderId="13" xfId="0" applyFont="1" applyBorder="1" applyAlignment="1">
      <alignment horizontal="righ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12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4" fillId="0" borderId="20" xfId="0" applyFont="1" applyFill="1" applyBorder="1" applyAlignment="1">
      <alignment horizontal="left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53"/>
      <c r="J33" s="153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53"/>
      <c r="J34" s="153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53"/>
      <c r="J35" s="153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4"/>
      <c r="H36" s="154"/>
      <c r="I36" s="153"/>
      <c r="J36" s="153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4"/>
      <c r="H37" s="154"/>
      <c r="I37" s="153"/>
      <c r="J37" s="153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62" t="s">
        <v>154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10202.150000000001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1709.6399999999999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4901.0099999999993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104.76964657962742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262.10845232486025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2777.9799999999996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10485.429999999998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2507.6800000000003</v>
      </c>
      <c r="I32" s="26">
        <v>1</v>
      </c>
      <c r="J32" s="26">
        <v>2</v>
      </c>
      <c r="K32" s="26">
        <v>2.5</v>
      </c>
      <c r="L32" s="26">
        <f t="shared" si="7"/>
        <v>2507.6800000000003</v>
      </c>
      <c r="M32" s="26">
        <f t="shared" si="1"/>
        <v>25.08</v>
      </c>
      <c r="N32" s="26">
        <f t="shared" si="8"/>
        <v>2482.6000000000004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1372.8000000000002</v>
      </c>
      <c r="I34" s="26">
        <v>1</v>
      </c>
      <c r="J34" s="26">
        <v>2</v>
      </c>
      <c r="K34" s="26">
        <v>2.5</v>
      </c>
      <c r="L34" s="26">
        <f t="shared" si="7"/>
        <v>1372.8000000000002</v>
      </c>
      <c r="M34" s="26">
        <f t="shared" si="1"/>
        <v>13.73</v>
      </c>
      <c r="N34" s="26">
        <f t="shared" si="8"/>
        <v>1359.0700000000002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13978.349999999999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6212.6299999999992</v>
      </c>
      <c r="W37" s="26">
        <f>ROUND(G37*$O$43,2)</f>
        <v>7.0000000000000007E-2</v>
      </c>
    </row>
    <row r="38" spans="1:23">
      <c r="A38" s="16"/>
      <c r="B38" s="163" t="s">
        <v>87</v>
      </c>
      <c r="C38" s="163"/>
      <c r="D38" s="163"/>
      <c r="E38" s="163"/>
      <c r="F38" s="163"/>
      <c r="G38" s="163"/>
      <c r="H38" s="30">
        <f>SUM(H23:H37)</f>
        <v>75435.260000000009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12844.370000000004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8" t="s">
        <v>194</v>
      </c>
      <c r="H40" s="159"/>
      <c r="I40" s="161">
        <f>H38</f>
        <v>75435.260000000009</v>
      </c>
      <c r="J40" s="161"/>
      <c r="K40" s="65"/>
      <c r="L40" s="16"/>
      <c r="M40" s="164" t="s">
        <v>195</v>
      </c>
      <c r="N40" s="165"/>
      <c r="O40" s="165"/>
      <c r="P40" s="166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8" t="s">
        <v>196</v>
      </c>
      <c r="H41" s="159"/>
      <c r="I41" s="161">
        <f>R38</f>
        <v>4077.7</v>
      </c>
      <c r="J41" s="161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8" t="s">
        <v>197</v>
      </c>
      <c r="H42" s="159"/>
      <c r="I42" s="161">
        <f>S38</f>
        <v>71357.56</v>
      </c>
      <c r="J42" s="161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8" t="s">
        <v>198</v>
      </c>
      <c r="H43" s="159"/>
      <c r="I43" s="161">
        <f>U38</f>
        <v>12844.370000000004</v>
      </c>
      <c r="J43" s="161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8" t="s">
        <v>199</v>
      </c>
      <c r="H44" s="159"/>
      <c r="I44" s="160">
        <f>I42+I43</f>
        <v>84201.930000000008</v>
      </c>
      <c r="J44" s="160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62" t="s">
        <v>200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4901.0099999999993</v>
      </c>
      <c r="V7" s="25">
        <f t="shared" ref="V7:V20" si="0">U7*$T$4</f>
        <v>406391.74919999996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10394.851200000001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2777.9799999999996</v>
      </c>
      <c r="V9" s="25">
        <f t="shared" si="0"/>
        <v>230350.10159999997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252679.62840000002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10485.429999999998</v>
      </c>
      <c r="V11" s="25">
        <f t="shared" si="0"/>
        <v>869451.85559999989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12479.460000000001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173289.53280000002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2507.6800000000003</v>
      </c>
      <c r="H15" s="82">
        <v>0.01</v>
      </c>
      <c r="I15" s="82">
        <v>0.02</v>
      </c>
      <c r="J15" s="88">
        <v>2.5000000000000001E-2</v>
      </c>
      <c r="K15" s="25">
        <f t="shared" si="3"/>
        <v>2507.6800000000003</v>
      </c>
      <c r="L15" s="25">
        <f t="shared" si="4"/>
        <v>25.08</v>
      </c>
      <c r="M15" s="25">
        <f t="shared" si="5"/>
        <v>2482.6000000000004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7424.6568000000007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354652.98600000003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6212.6299999999992</v>
      </c>
      <c r="V20" s="25">
        <f t="shared" si="0"/>
        <v>515151.27959999995</v>
      </c>
      <c r="W20" s="25">
        <f t="shared" si="1"/>
        <v>5429.6016000000009</v>
      </c>
    </row>
    <row r="21" spans="1:23">
      <c r="A21" s="16"/>
      <c r="B21" s="163" t="s">
        <v>87</v>
      </c>
      <c r="C21" s="163"/>
      <c r="D21" s="163"/>
      <c r="E21" s="163"/>
      <c r="F21" s="163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12235.060000000003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9" t="s">
        <v>206</v>
      </c>
      <c r="G23" s="169"/>
      <c r="H23" s="169"/>
      <c r="I23" s="169"/>
      <c r="J23" s="16"/>
      <c r="K23" s="169" t="s">
        <v>207</v>
      </c>
      <c r="L23" s="169"/>
      <c r="M23" s="169"/>
      <c r="N23" s="169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8" t="s">
        <v>194</v>
      </c>
      <c r="G24" s="159"/>
      <c r="H24" s="167">
        <f>G21</f>
        <v>71856.759999999995</v>
      </c>
      <c r="I24" s="167"/>
      <c r="J24" s="65"/>
      <c r="K24" s="158" t="s">
        <v>194</v>
      </c>
      <c r="L24" s="159"/>
      <c r="M24" s="167">
        <f>H24*$T$4</f>
        <v>5958362.5391999995</v>
      </c>
      <c r="N24" s="167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8" t="s">
        <v>196</v>
      </c>
      <c r="G25" s="159"/>
      <c r="H25" s="167">
        <f>Q21</f>
        <v>3884.27</v>
      </c>
      <c r="I25" s="167"/>
      <c r="J25" s="16"/>
      <c r="K25" s="158" t="s">
        <v>196</v>
      </c>
      <c r="L25" s="159"/>
      <c r="M25" s="167">
        <f t="shared" ref="M25:M28" si="14">H25*$T$4</f>
        <v>322083.66840000002</v>
      </c>
      <c r="N25" s="167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8" t="s">
        <v>197</v>
      </c>
      <c r="G26" s="159"/>
      <c r="H26" s="167">
        <f>R21</f>
        <v>67972.490000000005</v>
      </c>
      <c r="I26" s="167"/>
      <c r="J26" s="16"/>
      <c r="K26" s="158" t="s">
        <v>197</v>
      </c>
      <c r="L26" s="159"/>
      <c r="M26" s="167">
        <f t="shared" si="14"/>
        <v>5636278.8708000006</v>
      </c>
      <c r="N26" s="167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8" t="s">
        <v>198</v>
      </c>
      <c r="G27" s="159"/>
      <c r="H27" s="167">
        <f>T21</f>
        <v>12235.060000000003</v>
      </c>
      <c r="I27" s="167"/>
      <c r="J27" s="16"/>
      <c r="K27" s="158" t="s">
        <v>198</v>
      </c>
      <c r="L27" s="159"/>
      <c r="M27" s="167">
        <f t="shared" si="14"/>
        <v>1014531.1752000003</v>
      </c>
      <c r="N27" s="167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8" t="s">
        <v>199</v>
      </c>
      <c r="G28" s="159"/>
      <c r="H28" s="168">
        <f>H26+H27</f>
        <v>80207.55</v>
      </c>
      <c r="I28" s="168"/>
      <c r="J28" s="16"/>
      <c r="K28" s="158" t="s">
        <v>199</v>
      </c>
      <c r="L28" s="159"/>
      <c r="M28" s="168">
        <f t="shared" si="14"/>
        <v>6650810.0460000001</v>
      </c>
      <c r="N28" s="168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62" t="s">
        <v>208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4901.0099999999993</v>
      </c>
      <c r="V4" s="25">
        <f t="shared" ref="V4:V17" si="1">U4*$T$1</f>
        <v>406391.74919999996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2777.9799999999996</v>
      </c>
      <c r="V6" s="25">
        <f t="shared" si="1"/>
        <v>230350.10159999997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252679.62840000002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10485.429999999998</v>
      </c>
      <c r="V8" s="25">
        <f t="shared" si="1"/>
        <v>869451.85559999989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173289.53280000002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2507.6800000000003</v>
      </c>
      <c r="H12" s="82">
        <v>0.01</v>
      </c>
      <c r="I12" s="82">
        <v>0.02</v>
      </c>
      <c r="J12" s="43">
        <v>2.5000000000000001E-2</v>
      </c>
      <c r="K12" s="25">
        <f t="shared" si="3"/>
        <v>2507.6800000000003</v>
      </c>
      <c r="L12" s="25">
        <f t="shared" si="4"/>
        <v>25.08</v>
      </c>
      <c r="M12" s="25">
        <f t="shared" si="5"/>
        <v>2482.6000000000004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1372.8000000000002</v>
      </c>
      <c r="H14" s="82">
        <v>0.01</v>
      </c>
      <c r="I14" s="82">
        <v>0.02</v>
      </c>
      <c r="J14" s="43">
        <v>2.5000000000000001E-2</v>
      </c>
      <c r="K14" s="25">
        <f t="shared" si="3"/>
        <v>1372.8000000000002</v>
      </c>
      <c r="L14" s="25">
        <f t="shared" si="4"/>
        <v>13.73</v>
      </c>
      <c r="M14" s="25">
        <f t="shared" si="5"/>
        <v>1359.0700000000002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127061.63279999999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13978.349999999999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6212.6299999999992</v>
      </c>
      <c r="V17" s="25">
        <f t="shared" si="1"/>
        <v>515151.27959999995</v>
      </c>
      <c r="W17" s="25">
        <f>ROUND(F17*$S$23*$T$1,2)</f>
        <v>5.43</v>
      </c>
    </row>
    <row r="18" spans="1:23">
      <c r="A18" s="16"/>
      <c r="B18" s="163" t="s">
        <v>87</v>
      </c>
      <c r="C18" s="163"/>
      <c r="D18" s="163"/>
      <c r="E18" s="163"/>
      <c r="F18" s="163"/>
      <c r="G18" s="30">
        <f>SUM(G3:G17)</f>
        <v>71570.810000000012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67701.989999999991</v>
      </c>
      <c r="S18" s="30"/>
      <c r="T18" s="30">
        <f>SUM(T3:T17)</f>
        <v>12186.370000000004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199005.74000000005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9" t="s">
        <v>206</v>
      </c>
      <c r="G20" s="169"/>
      <c r="H20" s="169"/>
      <c r="I20" s="169"/>
      <c r="J20" s="16"/>
      <c r="K20" s="169" t="s">
        <v>207</v>
      </c>
      <c r="L20" s="169"/>
      <c r="M20" s="169"/>
      <c r="N20" s="169"/>
      <c r="O20" s="16"/>
      <c r="P20" s="16"/>
      <c r="Q20" s="164" t="s">
        <v>195</v>
      </c>
      <c r="R20" s="165"/>
      <c r="S20" s="165"/>
      <c r="T20" s="166"/>
      <c r="U20" s="16"/>
      <c r="V20" s="16"/>
      <c r="W20" s="16"/>
    </row>
    <row r="21" spans="1:23">
      <c r="A21" s="16"/>
      <c r="B21" s="16"/>
      <c r="C21" s="16"/>
      <c r="D21" s="16"/>
      <c r="E21" s="16"/>
      <c r="F21" s="158" t="s">
        <v>194</v>
      </c>
      <c r="G21" s="159"/>
      <c r="H21" s="167">
        <f>G18</f>
        <v>71570.810000000012</v>
      </c>
      <c r="I21" s="167"/>
      <c r="J21" s="65"/>
      <c r="K21" s="158" t="s">
        <v>194</v>
      </c>
      <c r="L21" s="159"/>
      <c r="M21" s="167">
        <f>H21*$T$1</f>
        <v>5934651.565200001</v>
      </c>
      <c r="N21" s="167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8" t="s">
        <v>196</v>
      </c>
      <c r="G22" s="159"/>
      <c r="H22" s="167">
        <f>Q18</f>
        <v>3868.82</v>
      </c>
      <c r="I22" s="167"/>
      <c r="J22" s="16"/>
      <c r="K22" s="158" t="s">
        <v>196</v>
      </c>
      <c r="L22" s="159"/>
      <c r="M22" s="167">
        <f t="shared" ref="M22:M25" si="14">H22*$T$1</f>
        <v>320802.55440000002</v>
      </c>
      <c r="N22" s="167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8" t="s">
        <v>197</v>
      </c>
      <c r="G23" s="159"/>
      <c r="H23" s="167">
        <f>R18</f>
        <v>67701.989999999991</v>
      </c>
      <c r="I23" s="167"/>
      <c r="J23" s="16"/>
      <c r="K23" s="158" t="s">
        <v>197</v>
      </c>
      <c r="L23" s="159"/>
      <c r="M23" s="167">
        <f t="shared" si="14"/>
        <v>5613849.0107999993</v>
      </c>
      <c r="N23" s="167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8" t="s">
        <v>198</v>
      </c>
      <c r="G24" s="159"/>
      <c r="H24" s="167">
        <f>T18</f>
        <v>12186.370000000004</v>
      </c>
      <c r="I24" s="167"/>
      <c r="J24" s="16"/>
      <c r="K24" s="158" t="s">
        <v>198</v>
      </c>
      <c r="L24" s="159"/>
      <c r="M24" s="167">
        <f t="shared" si="14"/>
        <v>1010493.8004000004</v>
      </c>
      <c r="N24" s="167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8" t="s">
        <v>199</v>
      </c>
      <c r="G25" s="159"/>
      <c r="H25" s="168">
        <f>H23+H24</f>
        <v>79888.36</v>
      </c>
      <c r="I25" s="168"/>
      <c r="J25" s="16"/>
      <c r="K25" s="158" t="s">
        <v>199</v>
      </c>
      <c r="L25" s="159"/>
      <c r="M25" s="168">
        <f t="shared" si="14"/>
        <v>6624342.8112000003</v>
      </c>
      <c r="N25" s="168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.75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347</v>
      </c>
      <c r="BN23" t="s">
        <v>293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347</v>
      </c>
      <c r="BN23" t="s">
        <v>293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347</v>
      </c>
      <c r="BN24" t="s">
        <v>293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375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15.4</v>
      </c>
      <c r="R23" s="26">
        <f>M23+O23+Q23</f>
        <v>45.43</v>
      </c>
      <c r="S23" s="26">
        <f>(H23-R23)</f>
        <v>754.57</v>
      </c>
      <c r="T23" s="26" t="s">
        <v>146</v>
      </c>
      <c r="U23" s="26">
        <v>0.18</v>
      </c>
      <c r="V23" s="26">
        <f>IF(OR($C$21=1,$C$21=4),ROUND(((S23*U23)/2),2),0)</f>
        <v>67.91</v>
      </c>
      <c r="W23" s="26">
        <f>IF($C$21=1,ROUND(((S23*U23)/2),2),0)</f>
        <v>67.91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135.82</v>
      </c>
      <c r="AC23" s="26">
        <f>IF($V21=1,S23+AB23,S23)</f>
        <v>890.3900000000001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37728.5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18864.25</v>
      </c>
      <c r="AS23" s="48" t="s">
        <v>422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18864.25</v>
      </c>
      <c r="AY23" s="48">
        <f>AU23+AW23</f>
        <v>4</v>
      </c>
      <c r="AZ23" s="48">
        <f>ROUND(((AU23*AV23)+(AW23*AX23))/(AU23+AW23),5)</f>
        <v>9549.2900000000009</v>
      </c>
      <c r="BA23" s="50"/>
      <c r="BB23" s="50" t="s">
        <v>149</v>
      </c>
      <c r="BC23" s="146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347</v>
      </c>
      <c r="BN23" t="s">
        <v>293</v>
      </c>
      <c r="BO23" s="48">
        <f>ROUND((((AW23*AZ23)+(BN23*BM23))/(AW23+BN23)),5)</f>
        <v>5129.9313300000003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45.43</v>
      </c>
      <c r="S24" s="39">
        <f>SUM(S23:S23)</f>
        <v>754.57</v>
      </c>
      <c r="T24" s="30"/>
      <c r="U24" s="30"/>
      <c r="V24" s="40">
        <f t="shared" ref="V24:AE24" si="5">SUM(V23:V23)</f>
        <v>67.91</v>
      </c>
      <c r="W24" s="40">
        <f t="shared" si="5"/>
        <v>67.91</v>
      </c>
      <c r="X24" s="40">
        <f t="shared" si="5"/>
        <v>0</v>
      </c>
      <c r="Y24" s="40"/>
      <c r="Z24" s="40"/>
      <c r="AA24" s="40"/>
      <c r="AB24" s="30">
        <f t="shared" si="5"/>
        <v>135.82</v>
      </c>
      <c r="AC24" s="44">
        <f t="shared" si="5"/>
        <v>890.3900000000001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37728.5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6"/>
      <c r="AS1" s="16"/>
    </row>
    <row r="2" spans="1:45" ht="18.75" thickBot="1">
      <c r="A2" s="147" t="s">
        <v>47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458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351</v>
      </c>
      <c r="H23" s="26">
        <f>F23*G23</f>
        <v>500</v>
      </c>
      <c r="I23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42.35</v>
      </c>
      <c r="W23" s="26">
        <f>IF($C$21=1,ROUND(((S23*U23)/2),2),0)</f>
        <v>42.35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84.7</v>
      </c>
      <c r="AC23" s="26">
        <f>IF($V21=1,S23+AB23,S23)</f>
        <v>555.30000000000007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470.6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422</v>
      </c>
      <c r="AT23" s="48" t="s">
        <v>58</v>
      </c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218</v>
      </c>
      <c r="BN23" t="s">
        <v>218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</v>
      </c>
      <c r="S24" s="39">
        <f>SUM(S23:S23)</f>
        <v>470.6</v>
      </c>
      <c r="T24" s="30"/>
      <c r="U24" s="30"/>
      <c r="V24" s="40">
        <f>SUM(V23:V23)</f>
        <v>42.35</v>
      </c>
      <c r="W24" s="40">
        <f>SUM(W23:W23)</f>
        <v>42.35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84.7</v>
      </c>
      <c r="AC24" s="44">
        <f>SUM(AC23:AC23)</f>
        <v>555.30000000000007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470.6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70" t="s">
        <v>87</v>
      </c>
      <c r="C19" s="171"/>
      <c r="D19" s="171"/>
      <c r="E19" s="171"/>
      <c r="F19" s="171"/>
      <c r="G19" s="17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427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411</v>
      </c>
      <c r="AV23" t="s">
        <v>412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414</v>
      </c>
      <c r="BN23" t="s">
        <v>413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 t="shared" ref="V24:AE24" si="5">SUM(V23:V23)</f>
        <v>33.880000000000003</v>
      </c>
      <c r="W24" s="40">
        <f t="shared" si="5"/>
        <v>33.880000000000003</v>
      </c>
      <c r="X24" s="40">
        <f t="shared" si="5"/>
        <v>0</v>
      </c>
      <c r="Y24" s="40"/>
      <c r="Z24" s="40"/>
      <c r="AA24" s="40"/>
      <c r="AB24" s="30">
        <f t="shared" si="5"/>
        <v>67.760000000000005</v>
      </c>
      <c r="AC24" s="44">
        <f t="shared" si="5"/>
        <v>444.24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70" t="s">
        <v>87</v>
      </c>
      <c r="C19" s="171"/>
      <c r="D19" s="171"/>
      <c r="E19" s="171"/>
      <c r="F19" s="171"/>
      <c r="G19" s="17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440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422</v>
      </c>
      <c r="AT23" s="48" t="s">
        <v>58</v>
      </c>
      <c r="AU23" t="s">
        <v>218</v>
      </c>
      <c r="AV23" t="s">
        <v>453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430</v>
      </c>
      <c r="BN23" t="s">
        <v>353</v>
      </c>
      <c r="BO23" s="48">
        <f>ROUND((((AW23*AZ23)+(BN23*BM23))/(AW23+BN23)),5)</f>
        <v>278.73038000000003</v>
      </c>
      <c r="BP23" s="53">
        <f>BN23+AW23</f>
        <v>26</v>
      </c>
      <c r="BQ23" s="54">
        <v>88363222</v>
      </c>
      <c r="BR23" s="53"/>
    </row>
    <row r="24" spans="1:70" ht="15.75" thickBot="1">
      <c r="A24" s="25">
        <v>2</v>
      </c>
      <c r="B24" s="25" t="s">
        <v>441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422</v>
      </c>
      <c r="AT24" s="48" t="s">
        <v>58</v>
      </c>
      <c r="AU24" t="s">
        <v>218</v>
      </c>
      <c r="AV24" t="s">
        <v>454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254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4" t="s">
        <v>443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375.36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145" t="s">
        <v>422</v>
      </c>
      <c r="AT23" s="48" t="s">
        <v>58</v>
      </c>
      <c r="AU23" t="s">
        <v>218</v>
      </c>
      <c r="AV23" t="s">
        <v>459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5" t="s">
        <v>254</v>
      </c>
      <c r="BM23" t="s">
        <v>464</v>
      </c>
      <c r="BN23" t="s">
        <v>463</v>
      </c>
      <c r="BO23" s="48">
        <f>ROUND((((AW23*AZ23)+(BN23*BM23))/(AW23+BN23)),5)</f>
        <v>187.06066000000001</v>
      </c>
      <c r="BP23" s="53">
        <f>BN23+AW23</f>
        <v>62</v>
      </c>
      <c r="BQ23" s="54">
        <v>88363222</v>
      </c>
      <c r="BR23" s="53"/>
    </row>
    <row r="24" spans="1:70" ht="15.75" thickBot="1">
      <c r="A24" s="25">
        <v>2</v>
      </c>
      <c r="B24" s="25" t="s">
        <v>442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375</v>
      </c>
      <c r="H24" s="26">
        <f>F24*G24</f>
        <v>800</v>
      </c>
      <c r="I24" t="s">
        <v>223</v>
      </c>
      <c r="J24" s="26">
        <v>1.79</v>
      </c>
      <c r="K24" s="26">
        <v>2.5</v>
      </c>
      <c r="L24" s="26">
        <f>H24</f>
        <v>800</v>
      </c>
      <c r="M24" s="26">
        <f>ROUND(L24*I24%,2)</f>
        <v>16</v>
      </c>
      <c r="N24" s="26">
        <f>H24-M24</f>
        <v>784</v>
      </c>
      <c r="O24" s="26">
        <f>ROUND(N24*J24%,2)</f>
        <v>14.03</v>
      </c>
      <c r="P24" s="26">
        <f>ROUND(N24-O24,2)</f>
        <v>769.97</v>
      </c>
      <c r="Q24" s="26">
        <f>ROUND(P24*K24%,2)</f>
        <v>19.25</v>
      </c>
      <c r="R24" s="26">
        <f>M24+O24+Q24</f>
        <v>49.28</v>
      </c>
      <c r="S24" s="26">
        <f>(H24-R24)</f>
        <v>750.72</v>
      </c>
      <c r="T24" s="26" t="s">
        <v>146</v>
      </c>
      <c r="U24" s="26">
        <v>0.18</v>
      </c>
      <c r="V24" s="26">
        <f>IF(OR($C$21=1,$C$21=4),ROUND(((S24*U24)/2),2),0)</f>
        <v>67.56</v>
      </c>
      <c r="W24" s="26">
        <f>IF($C$21=1,ROUND(((S24*U24)/2),2),0)</f>
        <v>67.56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135.12</v>
      </c>
      <c r="AC24" s="26">
        <f>IF($V22=1,S24+AB24,S24)</f>
        <v>750.72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750.72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375.36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375.36</v>
      </c>
      <c r="AS24" s="145" t="s">
        <v>422</v>
      </c>
      <c r="AT24" s="48" t="s">
        <v>58</v>
      </c>
      <c r="AU24" t="s">
        <v>218</v>
      </c>
      <c r="AV24" t="s">
        <v>462</v>
      </c>
      <c r="AW24" s="48">
        <f>AM24</f>
        <v>2</v>
      </c>
      <c r="AX24" s="48">
        <f>AR24</f>
        <v>375.36</v>
      </c>
      <c r="AY24" s="48">
        <f>AU24+AW24</f>
        <v>2</v>
      </c>
      <c r="AZ24" s="48">
        <f>ROUND(((AU24*AV24)+(AW24*AX24))/(AU24+AW24),5)</f>
        <v>375.36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5" t="s">
        <v>254</v>
      </c>
      <c r="BM24" t="s">
        <v>462</v>
      </c>
      <c r="BN24" t="s">
        <v>293</v>
      </c>
      <c r="BO24" s="48">
        <f>ROUND((((AW24*AZ24)+(BN24*BM24))/(AW24+BN24)),5)</f>
        <v>375.36</v>
      </c>
      <c r="BP24" s="53">
        <f>BN24+AW24</f>
        <v>12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400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24.64</v>
      </c>
      <c r="S25" s="39">
        <f>SUM(S23:S23)</f>
        <v>375.36</v>
      </c>
      <c r="T25" s="30"/>
      <c r="U25" s="30"/>
      <c r="V25" s="40">
        <f t="shared" ref="V25:AE25" si="5">SUM(V23:V23)</f>
        <v>33.78</v>
      </c>
      <c r="W25" s="40">
        <f t="shared" si="5"/>
        <v>33.78</v>
      </c>
      <c r="X25" s="40">
        <f t="shared" si="5"/>
        <v>0</v>
      </c>
      <c r="Y25" s="40"/>
      <c r="Z25" s="40"/>
      <c r="AA25" s="40"/>
      <c r="AB25" s="30">
        <f t="shared" si="5"/>
        <v>67.56</v>
      </c>
      <c r="AC25" s="44">
        <f t="shared" si="5"/>
        <v>442.92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375.36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355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15.96</v>
      </c>
      <c r="P23" s="26">
        <f>ROUND(N23-O23,2)</f>
        <v>875.84</v>
      </c>
      <c r="Q23" s="26">
        <f>ROUND(P23*K23%,2)</f>
        <v>21.9</v>
      </c>
      <c r="R23" s="26">
        <f>M23+O23+Q23</f>
        <v>56.059999999999995</v>
      </c>
      <c r="S23" s="26">
        <f>(H23-R23)</f>
        <v>853.94</v>
      </c>
      <c r="T23" s="26" t="s">
        <v>146</v>
      </c>
      <c r="U23" s="26">
        <v>0.18</v>
      </c>
      <c r="V23" s="26">
        <f>IF(OR($C$21=1,$C$21=4),ROUND(((S23*U23)/2),2),0)</f>
        <v>76.849999999999994</v>
      </c>
      <c r="W23" s="26">
        <f>IF($C$21=1,ROUND(((S23*U23)/2),2),0)</f>
        <v>76.849999999999994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153.69999999999999</v>
      </c>
      <c r="AC23" s="26">
        <f>IF($V21=1,S23+AB23,S23)</f>
        <v>1007.6400000000001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853.94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426.97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426.97</v>
      </c>
      <c r="AS23" s="48" t="s">
        <v>422</v>
      </c>
      <c r="AT23" s="48" t="s">
        <v>58</v>
      </c>
      <c r="AU23" t="s">
        <v>223</v>
      </c>
      <c r="AV23" t="s">
        <v>423</v>
      </c>
      <c r="AW23" s="48">
        <f>AM23</f>
        <v>2</v>
      </c>
      <c r="AX23" s="48">
        <f>AR23</f>
        <v>426.97</v>
      </c>
      <c r="AY23" s="48">
        <f>AU23+AW23</f>
        <v>4</v>
      </c>
      <c r="AZ23" s="48">
        <f>ROUND(((AU23*AV23)+(AW23*AX23))/(AU23+AW23),5)</f>
        <v>426.97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254</v>
      </c>
      <c r="BM23" t="s">
        <v>423</v>
      </c>
      <c r="BN23" t="s">
        <v>223</v>
      </c>
      <c r="BO23" s="48">
        <f>ROUND((((AW23*AZ23)+(BN23*BM23))/(AW23+BN23)),5)</f>
        <v>426.97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421</v>
      </c>
      <c r="H24" s="26">
        <f>F24*G24</f>
        <v>1000</v>
      </c>
      <c r="I24" t="s">
        <v>223</v>
      </c>
      <c r="J24" s="26">
        <v>1.79</v>
      </c>
      <c r="K24" s="26">
        <v>2.5</v>
      </c>
      <c r="L24" s="26">
        <f>H24</f>
        <v>1000</v>
      </c>
      <c r="M24" s="26">
        <f>ROUND(L24*I24%,2)</f>
        <v>20</v>
      </c>
      <c r="N24" s="26">
        <f>H24-M24</f>
        <v>980</v>
      </c>
      <c r="O24" s="26">
        <f>ROUND(N24*J24%,2)</f>
        <v>17.54</v>
      </c>
      <c r="P24" s="26">
        <f>ROUND(N24-O24,2)</f>
        <v>962.46</v>
      </c>
      <c r="Q24" s="26">
        <f>ROUND(P24*K24%,2)</f>
        <v>24.06</v>
      </c>
      <c r="R24" s="26">
        <f>M24+O24+Q24</f>
        <v>61.599999999999994</v>
      </c>
      <c r="S24" s="26">
        <f>(H24-R24)</f>
        <v>938.4</v>
      </c>
      <c r="T24" s="26" t="s">
        <v>146</v>
      </c>
      <c r="U24" s="26">
        <v>0.18</v>
      </c>
      <c r="V24" s="26">
        <f>IF(OR($C$21=1,$C$21=4),ROUND(((S24*U24)/2),2),0)</f>
        <v>84.46</v>
      </c>
      <c r="W24" s="26">
        <f>IF($C$21=1,ROUND(((S24*U24)/2),2),0)</f>
        <v>84.46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168.92</v>
      </c>
      <c r="AC24" s="26">
        <f>IF($V22=1,S24+AB24,S24)</f>
        <v>938.4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938.4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469.2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469.2</v>
      </c>
      <c r="AS24" s="48" t="s">
        <v>422</v>
      </c>
      <c r="AT24" s="48" t="s">
        <v>58</v>
      </c>
      <c r="AU24" t="s">
        <v>341</v>
      </c>
      <c r="AV24" t="s">
        <v>424</v>
      </c>
      <c r="AW24" s="48">
        <f>AM24</f>
        <v>2</v>
      </c>
      <c r="AX24" s="48">
        <f>AR24</f>
        <v>469.2</v>
      </c>
      <c r="AY24" s="48">
        <f>AU24+AW24</f>
        <v>8</v>
      </c>
      <c r="AZ24" s="48">
        <f>ROUND(((AU24*AV24)+(AW24*AX24))/(AU24+AW24),5)</f>
        <v>469.2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254</v>
      </c>
      <c r="BM24" t="s">
        <v>424</v>
      </c>
      <c r="BN24" t="s">
        <v>223</v>
      </c>
      <c r="BO24" s="48">
        <f>ROUND((((AW24*AZ24)+(BN24*BM24))/(AW24+BN24)),5)</f>
        <v>469.2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1910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117.66</v>
      </c>
      <c r="S25" s="39">
        <f>SUM(S23:S24)</f>
        <v>1792.3400000000001</v>
      </c>
      <c r="T25" s="30"/>
      <c r="U25" s="30"/>
      <c r="V25" s="40">
        <f>SUM(V23:V24)</f>
        <v>161.31</v>
      </c>
      <c r="W25" s="40">
        <f>SUM(W23:W24)</f>
        <v>161.31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322.62</v>
      </c>
      <c r="AC25" s="44">
        <f>SUM(AC23:AC24)</f>
        <v>1946.04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1792.3400000000001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450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363</v>
      </c>
      <c r="H23" s="26">
        <f>F23*G23</f>
        <v>1756</v>
      </c>
      <c r="I23" t="s">
        <v>296</v>
      </c>
      <c r="J23" s="26">
        <v>1.79</v>
      </c>
      <c r="K23" s="26">
        <v>2.5</v>
      </c>
      <c r="L23" s="26">
        <f>H23</f>
        <v>1756</v>
      </c>
      <c r="M23" s="26">
        <f>ROUND(L23*I23%,2)</f>
        <v>41.09</v>
      </c>
      <c r="N23" s="26">
        <f>H23-M23</f>
        <v>1714.91</v>
      </c>
      <c r="O23" s="26">
        <f>ROUND(N23*J23%,2)</f>
        <v>30.7</v>
      </c>
      <c r="P23" s="26">
        <f>ROUND(N23-O23,2)</f>
        <v>1684.21</v>
      </c>
      <c r="Q23" s="26">
        <f>ROUND(P23*K23%,2)</f>
        <v>42.11</v>
      </c>
      <c r="R23" s="26">
        <f>M23+O23+Q23</f>
        <v>113.9</v>
      </c>
      <c r="S23" s="26">
        <f>(H23-R23)</f>
        <v>1642.1</v>
      </c>
      <c r="T23" s="26" t="s">
        <v>146</v>
      </c>
      <c r="U23" s="26">
        <v>0.18</v>
      </c>
      <c r="V23" s="26">
        <f>IF(OR($C$21=1,$C$21=4),ROUND(((S23*U23)/2),2),0)</f>
        <v>147.79</v>
      </c>
      <c r="W23" s="26">
        <f>IF($C$21=1,ROUND(((S23*U23)/2),2),0)</f>
        <v>147.79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295.58</v>
      </c>
      <c r="AC23" s="26">
        <f>IF($V21=1,S23+AB23,S23)</f>
        <v>1937.6799999999998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1642.1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821.05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821.05</v>
      </c>
      <c r="AS23" s="48" t="s">
        <v>422</v>
      </c>
      <c r="AT23" s="48" t="s">
        <v>58</v>
      </c>
      <c r="AU23" t="s">
        <v>218</v>
      </c>
      <c r="AV23" t="s">
        <v>362</v>
      </c>
      <c r="AW23" s="48">
        <f>AM23</f>
        <v>2</v>
      </c>
      <c r="AX23" s="48">
        <f>AR23</f>
        <v>821.05</v>
      </c>
      <c r="AY23" s="48">
        <f>AU23+AW23</f>
        <v>2</v>
      </c>
      <c r="AZ23" s="48">
        <f>ROUND(((AU23*AV23)+(AW23*AX23))/(AU23+AW23),5)</f>
        <v>821.05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254</v>
      </c>
      <c r="BM23" t="s">
        <v>362</v>
      </c>
      <c r="BN23" t="s">
        <v>293</v>
      </c>
      <c r="BO23" s="48">
        <f>ROUND((((AW23*AZ23)+(BN23*BM23))/(AW23+BN23)),5)</f>
        <v>821.05</v>
      </c>
      <c r="BP23" s="53">
        <f>BN23+AW23</f>
        <v>12</v>
      </c>
      <c r="BQ23" s="54">
        <v>88363222</v>
      </c>
      <c r="BR23" s="53"/>
    </row>
    <row r="24" spans="1:70" ht="15.75" thickBot="1">
      <c r="A24" s="25">
        <v>2</v>
      </c>
      <c r="B24" s="25" t="s">
        <v>451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364</v>
      </c>
      <c r="H24" s="26">
        <f>F24*G24</f>
        <v>486</v>
      </c>
      <c r="I24" t="s">
        <v>297</v>
      </c>
      <c r="J24" s="26">
        <v>1.79</v>
      </c>
      <c r="K24" s="26">
        <v>2.5</v>
      </c>
      <c r="L24" s="26">
        <f>H24</f>
        <v>486</v>
      </c>
      <c r="M24" s="26">
        <f>ROUND(L24*I24%,2)</f>
        <v>16.52</v>
      </c>
      <c r="N24" s="26">
        <f>H24-M24</f>
        <v>469.48</v>
      </c>
      <c r="O24" s="26">
        <f>ROUND(N24*J24%,2)</f>
        <v>8.4</v>
      </c>
      <c r="P24" s="26">
        <f>ROUND(N24-O24,2)</f>
        <v>461.08</v>
      </c>
      <c r="Q24" s="26">
        <f>ROUND(P24*K24%,2)</f>
        <v>11.53</v>
      </c>
      <c r="R24" s="26">
        <f>M24+O24+Q24</f>
        <v>36.450000000000003</v>
      </c>
      <c r="S24" s="26">
        <f>(H24-R24)</f>
        <v>449.55</v>
      </c>
      <c r="T24" s="26" t="s">
        <v>146</v>
      </c>
      <c r="U24" s="26">
        <v>0.18</v>
      </c>
      <c r="V24" s="26">
        <f>IF(OR($C$21=1,$C$21=4),ROUND(((S24*U24)/2),2),0)</f>
        <v>40.46</v>
      </c>
      <c r="W24" s="26">
        <f>IF($C$21=1,ROUND(((S24*U24)/2),2),0)</f>
        <v>40.46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80.92</v>
      </c>
      <c r="AC24" s="26">
        <f>IF($V22=1,S24+AB24,S24)</f>
        <v>449.55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449.55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224.77500000000001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224.77500000000001</v>
      </c>
      <c r="AS24" s="48" t="s">
        <v>422</v>
      </c>
      <c r="AT24" s="48" t="s">
        <v>58</v>
      </c>
      <c r="AU24" t="s">
        <v>284</v>
      </c>
      <c r="AV24" t="s">
        <v>405</v>
      </c>
      <c r="AW24" s="48">
        <f>AM24</f>
        <v>2</v>
      </c>
      <c r="AX24" s="48">
        <f>AR24</f>
        <v>224.77500000000001</v>
      </c>
      <c r="AY24" s="48">
        <f>AU24+AW24</f>
        <v>5</v>
      </c>
      <c r="AZ24" s="48">
        <f>ROUND(((AU24*AV24)+(AW24*AX24))/(AU24+AW24),5)</f>
        <v>224.80717999999999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254</v>
      </c>
      <c r="BM24" t="s">
        <v>406</v>
      </c>
      <c r="BN24" t="s">
        <v>344</v>
      </c>
      <c r="BO24" s="48">
        <f>ROUND((((AW24*AZ24)+(BN24*BM24))/(AW24+BN24)),5)</f>
        <v>224.92775</v>
      </c>
      <c r="BP24" s="53">
        <f>BN24+AW24</f>
        <v>14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2242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150.35000000000002</v>
      </c>
      <c r="S25" s="39">
        <f>SUM(S23:S24)</f>
        <v>2091.65</v>
      </c>
      <c r="T25" s="30"/>
      <c r="U25" s="30"/>
      <c r="V25" s="40">
        <f>SUM(V23:V24)</f>
        <v>188.25</v>
      </c>
      <c r="W25" s="40">
        <f>SUM(W23:W24)</f>
        <v>188.25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376.5</v>
      </c>
      <c r="AC25" s="44">
        <f>SUM(AC23:AC24)</f>
        <v>2387.23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2091.65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216</v>
      </c>
      <c r="AT23" s="48" t="s">
        <v>58</v>
      </c>
      <c r="AU23" t="s">
        <v>243</v>
      </c>
      <c r="AV23" t="s">
        <v>398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1186.77845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400</v>
      </c>
      <c r="BN23" t="s">
        <v>395</v>
      </c>
      <c r="BO23" s="48">
        <f>ROUND((((AW23*AZ23)+(BN23*BM23))/(AW23+BN23)),5)</f>
        <v>1162.7759599999999</v>
      </c>
      <c r="BP23" s="53">
        <f>BN23+AW23</f>
        <v>238</v>
      </c>
      <c r="BQ23" s="54">
        <v>123562</v>
      </c>
      <c r="BR23" s="53"/>
    </row>
    <row r="24" spans="1:70" ht="15.7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216</v>
      </c>
      <c r="AT24" s="48" t="s">
        <v>58</v>
      </c>
      <c r="AU24" t="s">
        <v>246</v>
      </c>
      <c r="AV24" t="s">
        <v>399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248.07693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402</v>
      </c>
      <c r="BN24" t="s">
        <v>401</v>
      </c>
      <c r="BO24" s="48">
        <f>ROUND((((AW24*AZ24)+(BN24*BM24))/(AW24+BN24)),5)</f>
        <v>247.59741</v>
      </c>
      <c r="BP24" s="53">
        <f>BN24+AW24</f>
        <v>359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221.87</v>
      </c>
      <c r="W25" s="40">
        <f>SUM(W23:W24)</f>
        <v>221.87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443.74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.75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425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351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422</v>
      </c>
      <c r="AT23" s="48" t="s">
        <v>58</v>
      </c>
      <c r="AU23" t="s">
        <v>223</v>
      </c>
      <c r="AV23" t="s">
        <v>455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455</v>
      </c>
      <c r="BN23" t="s">
        <v>223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426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322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422</v>
      </c>
      <c r="AT24" s="48" t="s">
        <v>58</v>
      </c>
      <c r="AU24" t="s">
        <v>223</v>
      </c>
      <c r="AV24" t="s">
        <v>457</v>
      </c>
      <c r="AW24" s="48">
        <f>AM24</f>
        <v>2</v>
      </c>
      <c r="AX24" s="48">
        <f>AR24</f>
        <v>215.10499999999999</v>
      </c>
      <c r="AY24" s="48">
        <f>AU24+AW24</f>
        <v>4</v>
      </c>
      <c r="AZ24" s="48">
        <f>ROUND(((AU24*AV24)+(AW24*AX24))/(AU24+AW24),5)</f>
        <v>215.11060000000001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254</v>
      </c>
      <c r="BM24" t="s">
        <v>456</v>
      </c>
      <c r="BN24" t="s">
        <v>223</v>
      </c>
      <c r="BO24" s="48">
        <f>ROUND((((AW24*AZ24)+(BN24*BM24))/(AW24+BN24)),5)</f>
        <v>215.1078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3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351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371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373</v>
      </c>
      <c r="BN23" t="s">
        <v>372</v>
      </c>
      <c r="BO23" s="48">
        <f>ROUND((((AW23*AZ23)+(BN23*BM23))/(AW23+BN23)),5)</f>
        <v>3121.1477500000001</v>
      </c>
      <c r="BP23" s="53">
        <f>BN23+AW23</f>
        <v>20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250</v>
      </c>
      <c r="H23" s="26">
        <f>F23*G23</f>
        <v>200</v>
      </c>
      <c r="I23" t="s">
        <v>223</v>
      </c>
      <c r="J23" s="26">
        <v>1.79</v>
      </c>
      <c r="K23" s="26">
        <v>2.5</v>
      </c>
      <c r="L23" s="26">
        <f>H23</f>
        <v>200</v>
      </c>
      <c r="M23" s="26">
        <f>ROUND(L23*I23%,2)</f>
        <v>4</v>
      </c>
      <c r="N23" s="26">
        <f>H23-M23</f>
        <v>196</v>
      </c>
      <c r="O23" s="26">
        <f>ROUND(N23*J23%,2)</f>
        <v>3.51</v>
      </c>
      <c r="P23" s="26">
        <f>ROUND(N23-O23,2)</f>
        <v>192.49</v>
      </c>
      <c r="Q23" s="26">
        <f>ROUND(P23*K23%,2)</f>
        <v>4.8099999999999996</v>
      </c>
      <c r="R23" s="26">
        <f>M23+O23+Q23</f>
        <v>12.32</v>
      </c>
      <c r="S23" s="26">
        <f>(H23-R23)</f>
        <v>187.68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33.78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33.78</v>
      </c>
      <c r="AC23" s="26">
        <f>IF($V21=1,S23+AB23,S23)</f>
        <v>221.46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187.68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93.84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93.84</v>
      </c>
      <c r="AS23" s="48" t="s">
        <v>472</v>
      </c>
      <c r="AT23" s="48" t="s">
        <v>58</v>
      </c>
      <c r="AU23" t="s">
        <v>223</v>
      </c>
      <c r="AV23" t="s">
        <v>474</v>
      </c>
      <c r="AW23" s="48">
        <f>AM23</f>
        <v>2</v>
      </c>
      <c r="AX23" s="48">
        <f>AR23</f>
        <v>93.84</v>
      </c>
      <c r="AY23" s="48">
        <f>AU23+AW23</f>
        <v>4</v>
      </c>
      <c r="AZ23" s="48">
        <f>ROUND(((AU23*AV23)+(AW23*AX23))/(AU23+AW23),5)</f>
        <v>93.84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471</v>
      </c>
      <c r="BM23" t="s">
        <v>474</v>
      </c>
      <c r="BN23" t="s">
        <v>217</v>
      </c>
      <c r="BO23" s="48">
        <f>ROUND((((AW23*AZ23)+(BN23*BM23))/(AW23+BN23)),5)</f>
        <v>93.84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415</v>
      </c>
      <c r="H24" s="26">
        <f>F24*G24</f>
        <v>400</v>
      </c>
      <c r="I24" t="s">
        <v>223</v>
      </c>
      <c r="J24" s="26">
        <v>1.79</v>
      </c>
      <c r="K24" s="26">
        <v>2.5</v>
      </c>
      <c r="L24" s="26">
        <f>H24</f>
        <v>400</v>
      </c>
      <c r="M24" s="26">
        <f>ROUND(L24*I24%,2)</f>
        <v>8</v>
      </c>
      <c r="N24" s="26">
        <f>H24-M24</f>
        <v>392</v>
      </c>
      <c r="O24" s="26">
        <f>ROUND(N24*J24%,2)</f>
        <v>7.02</v>
      </c>
      <c r="P24" s="26">
        <f>ROUND(N24-O24,2)</f>
        <v>384.98</v>
      </c>
      <c r="Q24" s="26">
        <f>ROUND(P24*K24%,2)</f>
        <v>9.6199999999999992</v>
      </c>
      <c r="R24" s="26">
        <f>M24+O24+Q24</f>
        <v>24.64</v>
      </c>
      <c r="S24" s="26">
        <f>(H24-R24)</f>
        <v>375.36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67.56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67.56</v>
      </c>
      <c r="AC24" s="26">
        <f>IF($V22=1,S24+AB24,S24)</f>
        <v>375.36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375.36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187.68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187.68</v>
      </c>
      <c r="AS24" s="48" t="s">
        <v>472</v>
      </c>
      <c r="AT24" s="48" t="s">
        <v>58</v>
      </c>
      <c r="AU24" t="s">
        <v>217</v>
      </c>
      <c r="AV24" t="s">
        <v>466</v>
      </c>
      <c r="AW24" s="48">
        <f>AM24</f>
        <v>2</v>
      </c>
      <c r="AX24" s="48">
        <f>AR24</f>
        <v>187.68</v>
      </c>
      <c r="AY24" s="48">
        <f>AU24+AW24</f>
        <v>6</v>
      </c>
      <c r="AZ24" s="48">
        <f>ROUND(((AU24*AV24)+(AW24*AX24))/(AU24+AW24),5)</f>
        <v>187.68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471</v>
      </c>
      <c r="BM24" t="s">
        <v>466</v>
      </c>
      <c r="BN24" t="s">
        <v>223</v>
      </c>
      <c r="BO24" s="48">
        <f>ROUND((((AW24*AZ24)+(BN24*BM24))/(AW24+BN24)),5)</f>
        <v>187.68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36.96</v>
      </c>
      <c r="S25" s="39">
        <f>SUM(S23:S24)</f>
        <v>563.04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101.34</v>
      </c>
      <c r="Y25" s="40">
        <f>SUM(Y23:Y24)</f>
        <v>0</v>
      </c>
      <c r="Z25" s="40"/>
      <c r="AA25" s="40">
        <f>SUM(AA23:AA24)</f>
        <v>0</v>
      </c>
      <c r="AB25" s="30">
        <f>SUM(AB23:AB24)</f>
        <v>101.34</v>
      </c>
      <c r="AC25" s="44">
        <f>SUM(AC23:AC24)</f>
        <v>596.82000000000005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563.04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425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247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472</v>
      </c>
      <c r="AT23" s="48" t="s">
        <v>58</v>
      </c>
      <c r="AW23" s="48">
        <f>AM23</f>
        <v>2</v>
      </c>
      <c r="AX23" s="48">
        <f>AR23</f>
        <v>1153.05</v>
      </c>
      <c r="AY23" s="48">
        <f>AU23+AW23</f>
        <v>2</v>
      </c>
      <c r="AZ23" s="48">
        <f>ROUND(((AU23*AV23)+(AW23*AX23))/(AU23+AW23),5)</f>
        <v>1153.05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471</v>
      </c>
      <c r="BM23" t="s">
        <v>218</v>
      </c>
      <c r="BN23" t="s">
        <v>218</v>
      </c>
      <c r="BO23" s="48">
        <f>ROUND((((AW23*AZ23)+(BN23*BM23))/(AW23+BN23)),5)</f>
        <v>1153.05</v>
      </c>
      <c r="BP23" s="53">
        <f>BN23+AW23</f>
        <v>2</v>
      </c>
      <c r="BQ23" s="54">
        <v>88363222</v>
      </c>
      <c r="BR23" s="53"/>
    </row>
    <row r="24" spans="1:70" ht="15.75" thickBot="1">
      <c r="A24" s="25">
        <v>2</v>
      </c>
      <c r="B24" s="25" t="s">
        <v>426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472</v>
      </c>
      <c r="AT24" s="48" t="s">
        <v>58</v>
      </c>
      <c r="AW24" s="48">
        <f>AM24</f>
        <v>2</v>
      </c>
      <c r="AX24" s="48">
        <f>AR24</f>
        <v>1166.425</v>
      </c>
      <c r="AY24" s="48">
        <f>AU24+AW24</f>
        <v>2</v>
      </c>
      <c r="AZ24" s="48">
        <f>ROUND(((AU24*AV24)+(AW24*AX24))/(AU24+AW24),5)</f>
        <v>1166.425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471</v>
      </c>
      <c r="BM24" t="s">
        <v>218</v>
      </c>
      <c r="BN24" t="s">
        <v>218</v>
      </c>
      <c r="BO24" s="48">
        <f>ROUND((((AW24*AZ24)+(BN24*BM24))/(AW24+BN24)),5)</f>
        <v>1166.425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427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216</v>
      </c>
      <c r="AT23" s="48" t="s">
        <v>58</v>
      </c>
      <c r="AU23" t="s">
        <v>223</v>
      </c>
      <c r="AV23" t="s">
        <v>352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354</v>
      </c>
      <c r="BN23" t="s">
        <v>353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6"/>
      <c r="AS1" s="16"/>
    </row>
    <row r="2" spans="1:45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355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352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354</v>
      </c>
      <c r="BN23" t="s">
        <v>353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450</v>
      </c>
      <c r="C23" s="25" t="s">
        <v>450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422</v>
      </c>
      <c r="AT23" s="48" t="s">
        <v>58</v>
      </c>
      <c r="AU23" t="s">
        <v>218</v>
      </c>
      <c r="AV23" t="s">
        <v>466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468</v>
      </c>
      <c r="BN23" t="s">
        <v>467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4" t="s">
        <v>443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422</v>
      </c>
      <c r="AT23" s="48" t="s">
        <v>58</v>
      </c>
      <c r="AU23" t="s">
        <v>218</v>
      </c>
      <c r="AV23" t="s">
        <v>459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459</v>
      </c>
      <c r="BN23" t="s">
        <v>217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431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350</v>
      </c>
      <c r="AV23" t="s">
        <v>416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417</v>
      </c>
      <c r="BN23" t="s">
        <v>372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351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352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354</v>
      </c>
      <c r="BN23" t="s">
        <v>353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428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375</v>
      </c>
      <c r="H23" s="26">
        <f>F23*G23</f>
        <v>800</v>
      </c>
      <c r="I23" t="s">
        <v>284</v>
      </c>
      <c r="J23" s="26">
        <v>1.79</v>
      </c>
      <c r="K23" s="26">
        <v>2.5</v>
      </c>
      <c r="L23" s="26">
        <f>H23</f>
        <v>800</v>
      </c>
      <c r="M23" s="26">
        <f>ROUND(L23*I23%,2)</f>
        <v>24</v>
      </c>
      <c r="N23" s="26">
        <f>H23-M23</f>
        <v>776</v>
      </c>
      <c r="O23" s="26">
        <f>ROUND(N23*J23%,2)</f>
        <v>13.89</v>
      </c>
      <c r="P23" s="26">
        <f>ROUND(N23-O23,2)</f>
        <v>762.11</v>
      </c>
      <c r="Q23" s="26">
        <f>ROUND(P23*K23%,2)</f>
        <v>19.05</v>
      </c>
      <c r="R23" s="26">
        <f>M23+O23+Q23</f>
        <v>56.94</v>
      </c>
      <c r="S23" s="26">
        <f>(H23-R23)</f>
        <v>743.06</v>
      </c>
      <c r="T23" s="26" t="s">
        <v>146</v>
      </c>
      <c r="U23" s="26">
        <v>0.18</v>
      </c>
      <c r="V23" s="26">
        <f>IF(OR($C$21=1,$C$21=4),ROUND(((S23*U23)/2),2),0)</f>
        <v>66.88</v>
      </c>
      <c r="W23" s="26">
        <f>IF($C$21=1,ROUND(((S23*U23)/2),2),0)</f>
        <v>66.88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133.76</v>
      </c>
      <c r="AC23" s="26">
        <f>IF($V21=1,S23+AB23,S23)</f>
        <v>876.81999999999994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743.06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371.53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371.53</v>
      </c>
      <c r="AS23" s="48" t="s">
        <v>422</v>
      </c>
      <c r="AT23" s="48" t="s">
        <v>58</v>
      </c>
      <c r="AU23" t="s">
        <v>344</v>
      </c>
      <c r="AV23" t="s">
        <v>475</v>
      </c>
      <c r="AW23" s="48">
        <f>AM23</f>
        <v>2</v>
      </c>
      <c r="AX23" s="48">
        <f>AR23</f>
        <v>371.53</v>
      </c>
      <c r="AY23" s="48">
        <f>AU23+AW23</f>
        <v>14</v>
      </c>
      <c r="AZ23" s="48">
        <f>ROUND(((AU23*AV23)+(AW23*AX23))/(AU23+AW23),5)</f>
        <v>361.87054999999998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476</v>
      </c>
      <c r="BN23" t="s">
        <v>372</v>
      </c>
      <c r="BO23" s="48">
        <f>ROUND((((AW23*AZ23)+(BN23*BM23))/(AW23+BN23)),5)</f>
        <v>341.64568000000003</v>
      </c>
      <c r="BP23" s="53">
        <f>BN23+AW23</f>
        <v>20</v>
      </c>
      <c r="BQ23" s="54">
        <v>88363222</v>
      </c>
      <c r="BR23" s="53"/>
    </row>
    <row r="24" spans="1:70" ht="15.75" thickBot="1">
      <c r="A24" s="25">
        <v>2</v>
      </c>
      <c r="B24" s="25" t="s">
        <v>429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375</v>
      </c>
      <c r="H24" s="26">
        <f>F24*G24</f>
        <v>800</v>
      </c>
      <c r="I24" t="s">
        <v>217</v>
      </c>
      <c r="J24" s="26">
        <v>1.79</v>
      </c>
      <c r="K24" s="26">
        <v>2.5</v>
      </c>
      <c r="L24" s="26">
        <f>H24</f>
        <v>800</v>
      </c>
      <c r="M24" s="26">
        <f>ROUND(L24*I24%,2)</f>
        <v>32</v>
      </c>
      <c r="N24" s="26">
        <f>H24-M24</f>
        <v>768</v>
      </c>
      <c r="O24" s="26">
        <f>ROUND(N24*J24%,2)</f>
        <v>13.75</v>
      </c>
      <c r="P24" s="26">
        <f>ROUND(N24-O24,2)</f>
        <v>754.25</v>
      </c>
      <c r="Q24" s="26">
        <f>ROUND(P24*K24%,2)</f>
        <v>18.86</v>
      </c>
      <c r="R24" s="26">
        <f>M24+O24+Q24</f>
        <v>64.61</v>
      </c>
      <c r="S24" s="26">
        <f>(H24-R24)</f>
        <v>735.39</v>
      </c>
      <c r="T24" s="26" t="s">
        <v>146</v>
      </c>
      <c r="U24" s="26">
        <v>0.18</v>
      </c>
      <c r="V24" s="26">
        <f>IF(OR($C$21=1,$C$21=4),ROUND(((S24*U24)/2),2),0)</f>
        <v>66.19</v>
      </c>
      <c r="W24" s="26">
        <f>IF($C$21=1,ROUND(((S24*U24)/2),2),0)</f>
        <v>66.19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132.38</v>
      </c>
      <c r="AC24" s="26">
        <f>IF($V22=1,S24+AB24,S24)</f>
        <v>735.39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735.39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367.69499999999999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367.69499999999999</v>
      </c>
      <c r="AS24" s="48" t="s">
        <v>422</v>
      </c>
      <c r="AT24" s="48" t="s">
        <v>58</v>
      </c>
      <c r="AU24" t="s">
        <v>217</v>
      </c>
      <c r="AV24" t="s">
        <v>473</v>
      </c>
      <c r="AW24" s="48">
        <f>AM24</f>
        <v>2</v>
      </c>
      <c r="AX24" s="48">
        <f>AR24</f>
        <v>367.69499999999999</v>
      </c>
      <c r="AY24" s="48">
        <f>AU24+AW24</f>
        <v>6</v>
      </c>
      <c r="AZ24" s="48">
        <f>ROUND(((AU24*AV24)+(AW24*AX24))/(AU24+AW24),5)</f>
        <v>367.69499999999999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254</v>
      </c>
      <c r="BM24" t="s">
        <v>473</v>
      </c>
      <c r="BN24" t="s">
        <v>372</v>
      </c>
      <c r="BO24" s="48">
        <f>ROUND((((AW24*AZ24)+(BN24*BM24))/(AW24+BN24)),5)</f>
        <v>367.69499999999999</v>
      </c>
      <c r="BP24" s="53">
        <f>BN24+AW24</f>
        <v>20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121.55</v>
      </c>
      <c r="S25" s="39">
        <f>SUM(S23:S24)</f>
        <v>1478.4499999999998</v>
      </c>
      <c r="T25" s="30"/>
      <c r="U25" s="30"/>
      <c r="V25" s="40">
        <f>SUM(V23:V24)</f>
        <v>133.07</v>
      </c>
      <c r="W25" s="40">
        <f>SUM(W23:W24)</f>
        <v>133.07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266.14</v>
      </c>
      <c r="AC25" s="44">
        <f>SUM(AC23:AC24)</f>
        <v>1612.21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1478.4499999999998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309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310</v>
      </c>
      <c r="AT23" s="48" t="s">
        <v>58</v>
      </c>
      <c r="AU23" t="s">
        <v>218</v>
      </c>
      <c r="AV23" t="s">
        <v>376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311</v>
      </c>
      <c r="BM23" t="s">
        <v>409</v>
      </c>
      <c r="BN23" t="s">
        <v>293</v>
      </c>
      <c r="BO23" s="48">
        <f>ROUND((((AW23*AZ23)+(BN23*BM23))/(AW23+BN23)),5)</f>
        <v>855.44667000000004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312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310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311</v>
      </c>
      <c r="BM24" t="s">
        <v>410</v>
      </c>
      <c r="BN24" t="s">
        <v>344</v>
      </c>
      <c r="BO24" s="48">
        <f>ROUND((((AW24*AZ24)+(BN24*BM24))/(AW24+BN24)),5)</f>
        <v>189.89286000000001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bestFit="1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450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5" t="s">
        <v>422</v>
      </c>
      <c r="AT23" s="48" t="s">
        <v>58</v>
      </c>
      <c r="AU23" t="s">
        <v>218</v>
      </c>
      <c r="AV23" t="s">
        <v>381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5" t="s">
        <v>254</v>
      </c>
      <c r="BM23" t="s">
        <v>381</v>
      </c>
      <c r="BN23" t="s">
        <v>379</v>
      </c>
      <c r="BO23" s="48">
        <f>ROUND((((AW23*AZ23)+(BN23*BM23))/(AW23+BN23)),5)</f>
        <v>567.67899999999997</v>
      </c>
      <c r="BP23" s="53">
        <f>BN23+AW23</f>
        <v>10</v>
      </c>
      <c r="BQ23" s="54">
        <v>88363222</v>
      </c>
      <c r="BR23" s="53"/>
    </row>
    <row r="24" spans="1:70" ht="15.75" thickBot="1">
      <c r="A24" s="25">
        <v>2</v>
      </c>
      <c r="B24" s="25" t="s">
        <v>451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5" t="s">
        <v>422</v>
      </c>
      <c r="AT24" s="48" t="s">
        <v>58</v>
      </c>
      <c r="AU24" t="s">
        <v>218</v>
      </c>
      <c r="AV24" t="s">
        <v>382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5" t="s">
        <v>254</v>
      </c>
      <c r="BM24" t="s">
        <v>382</v>
      </c>
      <c r="BN24" t="s">
        <v>293</v>
      </c>
      <c r="BO24" s="48">
        <f>ROUND((((AW24*AZ24)+(BN24*BM24))/(AW24+BN24)),5)</f>
        <v>305.25749999999999</v>
      </c>
      <c r="BP24" s="53">
        <f>BN24+AW24</f>
        <v>12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316</v>
      </c>
      <c r="H23" s="26">
        <f>F23*G23</f>
        <v>488</v>
      </c>
      <c r="I23" t="s">
        <v>223</v>
      </c>
      <c r="J23" s="26">
        <v>1.79</v>
      </c>
      <c r="K23" s="26">
        <v>2.5</v>
      </c>
      <c r="L23" s="26">
        <f>H23</f>
        <v>488</v>
      </c>
      <c r="M23" s="26">
        <f>ROUND(L23*I23%,2)</f>
        <v>9.76</v>
      </c>
      <c r="N23" s="26">
        <f>H23-M23</f>
        <v>478.24</v>
      </c>
      <c r="O23" s="26">
        <f>ROUND(N23*J23%,2)</f>
        <v>8.56</v>
      </c>
      <c r="P23" s="26">
        <f>ROUND(N23-O23,2)</f>
        <v>469.68</v>
      </c>
      <c r="Q23" s="26">
        <f>ROUND(P23*K23%,2)</f>
        <v>11.74</v>
      </c>
      <c r="R23" s="26">
        <f>M23+O23+Q23</f>
        <v>30.060000000000002</v>
      </c>
      <c r="S23" s="26">
        <f>(H23-R23)</f>
        <v>457.94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82.43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82.43</v>
      </c>
      <c r="AC23" s="26">
        <f>IF($V21=1,S23+AB23,S23)</f>
        <v>540.37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457.94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228.97</v>
      </c>
      <c r="AS23" s="48" t="s">
        <v>310</v>
      </c>
      <c r="AT23" s="48" t="s">
        <v>58</v>
      </c>
      <c r="AU23" t="s">
        <v>218</v>
      </c>
      <c r="AV23" t="s">
        <v>317</v>
      </c>
      <c r="AW23" s="48">
        <f>AM23</f>
        <v>2</v>
      </c>
      <c r="AX23" s="48">
        <f>AR23</f>
        <v>228.97</v>
      </c>
      <c r="AY23" s="48">
        <f>AU23+AW23</f>
        <v>2</v>
      </c>
      <c r="AZ23" s="48">
        <f>ROUND(((AU23*AV23)+(AW23*AX23))/(AU23+AW23),5)</f>
        <v>228.97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311</v>
      </c>
      <c r="BM23" t="s">
        <v>317</v>
      </c>
      <c r="BN23" t="s">
        <v>293</v>
      </c>
      <c r="BO23" s="48">
        <f>ROUND((((AW23*AZ23)+(BN23*BM23))/(AW23+BN23)),5)</f>
        <v>228.97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319</v>
      </c>
      <c r="H24" s="26">
        <f>F24*G24</f>
        <v>688</v>
      </c>
      <c r="I24" t="s">
        <v>284</v>
      </c>
      <c r="J24" s="26">
        <v>1.79</v>
      </c>
      <c r="K24" s="26">
        <v>2.5</v>
      </c>
      <c r="L24" s="26">
        <f>H24</f>
        <v>688</v>
      </c>
      <c r="M24" s="26">
        <f>ROUND(L24*I24%,2)</f>
        <v>20.64</v>
      </c>
      <c r="N24" s="26">
        <f>H24-M24</f>
        <v>667.36</v>
      </c>
      <c r="O24" s="26">
        <f>ROUND(N24*J24%,2)</f>
        <v>11.95</v>
      </c>
      <c r="P24" s="26">
        <f>ROUND(N24-O24,2)</f>
        <v>655.41</v>
      </c>
      <c r="Q24" s="26">
        <f>ROUND(P24*K24%,2)</f>
        <v>16.39</v>
      </c>
      <c r="R24" s="26">
        <f>M24+O24+Q24</f>
        <v>48.980000000000004</v>
      </c>
      <c r="S24" s="26">
        <f>(H24-R24)</f>
        <v>639.02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115.02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115.02</v>
      </c>
      <c r="AC24" s="26">
        <f>IF($V22=1,S24+AB24,S24)</f>
        <v>639.02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639.02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319.51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319.51</v>
      </c>
      <c r="AS24" s="48" t="s">
        <v>310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319.51</v>
      </c>
      <c r="AY24" s="48">
        <f>AU24+AW24</f>
        <v>2</v>
      </c>
      <c r="AZ24" s="48">
        <f>ROUND(((AU24*AV24)+(AW24*AX24))/(AU24+AW24),5)</f>
        <v>319.51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311</v>
      </c>
      <c r="BM24" t="s">
        <v>394</v>
      </c>
      <c r="BN24" t="s">
        <v>344</v>
      </c>
      <c r="BO24" s="48">
        <f>ROUND((((AW24*AZ24)+(BN24*BM24))/(AW24+BN24)),5)</f>
        <v>319.76857000000001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1176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79.040000000000006</v>
      </c>
      <c r="S25" s="39">
        <f>SUM(S23:S24)</f>
        <v>1096.96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197.45</v>
      </c>
      <c r="Y25" s="40">
        <f>SUM(Y23:Y24)</f>
        <v>0</v>
      </c>
      <c r="Z25" s="40"/>
      <c r="AA25" s="40">
        <f>SUM(AA23:AA24)</f>
        <v>0</v>
      </c>
      <c r="AB25" s="30">
        <f>SUM(AB23:AB24)</f>
        <v>197.45</v>
      </c>
      <c r="AC25" s="44">
        <f>SUM(AC23:AC24)</f>
        <v>1179.3899999999999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1096.96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331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248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249</v>
      </c>
      <c r="BM23" t="s">
        <v>218</v>
      </c>
      <c r="BN23" t="s">
        <v>218</v>
      </c>
      <c r="BO23" s="48">
        <f>ROUND((((AW23*AZ23)+(BN23*BM23))/(AW23+BN23)),5)</f>
        <v>1166.0050000000001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310</v>
      </c>
      <c r="AT23" s="48" t="s">
        <v>58</v>
      </c>
      <c r="AU23" t="s">
        <v>218</v>
      </c>
      <c r="AV23" t="s">
        <v>376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311</v>
      </c>
      <c r="BM23" t="s">
        <v>378</v>
      </c>
      <c r="BN23" t="s">
        <v>341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314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310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311</v>
      </c>
      <c r="BM24" t="s">
        <v>380</v>
      </c>
      <c r="BN24" t="s">
        <v>379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316</v>
      </c>
      <c r="H23" s="26">
        <f>F23*G23</f>
        <v>488</v>
      </c>
      <c r="I23" t="s">
        <v>303</v>
      </c>
      <c r="J23" s="26">
        <v>1.79</v>
      </c>
      <c r="K23" s="26">
        <v>2.5</v>
      </c>
      <c r="L23" s="26">
        <f>H23</f>
        <v>488</v>
      </c>
      <c r="M23" s="26">
        <f>ROUND(L23*I23%,2)</f>
        <v>11.22</v>
      </c>
      <c r="N23" s="26">
        <f>H23-M23</f>
        <v>476.78</v>
      </c>
      <c r="O23" s="26">
        <f>ROUND(N23*J23%,2)</f>
        <v>8.5299999999999994</v>
      </c>
      <c r="P23" s="26">
        <f>ROUND(N23-O23,2)</f>
        <v>468.25</v>
      </c>
      <c r="Q23" s="26">
        <f>ROUND(P23*K23%,2)</f>
        <v>11.71</v>
      </c>
      <c r="R23" s="26">
        <f>M23+O23+Q23</f>
        <v>31.46</v>
      </c>
      <c r="S23" s="26">
        <f>(H23-R23)</f>
        <v>456.54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82.18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82.18</v>
      </c>
      <c r="AC23" s="26">
        <f>IF($V21=1,S23+AB23,S23)</f>
        <v>538.72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456.54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228.27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228.27</v>
      </c>
      <c r="AS23" s="48" t="s">
        <v>310</v>
      </c>
      <c r="AT23" s="48" t="s">
        <v>58</v>
      </c>
      <c r="AU23" t="s">
        <v>218</v>
      </c>
      <c r="AV23" t="s">
        <v>376</v>
      </c>
      <c r="AW23" s="48">
        <f>AM23</f>
        <v>2</v>
      </c>
      <c r="AX23" s="48">
        <f>AR23</f>
        <v>228.27</v>
      </c>
      <c r="AY23" s="48">
        <f>AU23+AW23</f>
        <v>2</v>
      </c>
      <c r="AZ23" s="48">
        <f>ROUND(((AU23*AV23)+(AW23*AX23))/(AU23+AW23),5)</f>
        <v>228.27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311</v>
      </c>
      <c r="BM23" t="s">
        <v>378</v>
      </c>
      <c r="BN23" t="s">
        <v>341</v>
      </c>
      <c r="BO23" s="48">
        <f>ROUND((((AW23*AZ23)+(BN23*BM23))/(AW23+BN23)),5)</f>
        <v>465.73374999999999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322</v>
      </c>
      <c r="H24" s="26">
        <f>F24*G24</f>
        <v>468</v>
      </c>
      <c r="I24" t="s">
        <v>308</v>
      </c>
      <c r="J24" s="26">
        <v>1.79</v>
      </c>
      <c r="K24" s="26">
        <v>2.5</v>
      </c>
      <c r="L24" s="26">
        <f>H24</f>
        <v>468</v>
      </c>
      <c r="M24" s="26">
        <f>ROUND(L24*I24%,2)</f>
        <v>11.7</v>
      </c>
      <c r="N24" s="26">
        <f>H24-M24</f>
        <v>456.3</v>
      </c>
      <c r="O24" s="26">
        <f>ROUND(N24*J24%,2)</f>
        <v>8.17</v>
      </c>
      <c r="P24" s="26">
        <f>ROUND(N24-O24,2)</f>
        <v>448.13</v>
      </c>
      <c r="Q24" s="26">
        <f>ROUND(P24*K24%,2)</f>
        <v>11.2</v>
      </c>
      <c r="R24" s="26">
        <f>M24+O24+Q24</f>
        <v>31.069999999999997</v>
      </c>
      <c r="S24" s="26">
        <f>(H24-R24)</f>
        <v>436.93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78.650000000000006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78.650000000000006</v>
      </c>
      <c r="AC24" s="26">
        <f>IF($V22=1,S24+AB24,S24)</f>
        <v>436.93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436.93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218.465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218.465</v>
      </c>
      <c r="AS24" s="48" t="s">
        <v>310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218.465</v>
      </c>
      <c r="AY24" s="48">
        <f>AU24+AW24</f>
        <v>2</v>
      </c>
      <c r="AZ24" s="48">
        <f>ROUND(((AU24*AV24)+(AW24*AX24))/(AU24+AW24),5)</f>
        <v>218.465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311</v>
      </c>
      <c r="BM24" t="s">
        <v>380</v>
      </c>
      <c r="BN24" t="s">
        <v>379</v>
      </c>
      <c r="BO24" s="48">
        <f>ROUND((((AW24*AZ24)+(BN24*BM24))/(AW24+BN24)),5)</f>
        <v>165.642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956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62.53</v>
      </c>
      <c r="S25" s="39">
        <f>SUM(S23:S24)</f>
        <v>893.47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160.83000000000001</v>
      </c>
      <c r="Y25" s="40">
        <f>SUM(Y23:Y24)</f>
        <v>0</v>
      </c>
      <c r="Z25" s="40"/>
      <c r="AA25" s="40">
        <f>SUM(AA23:AA24)</f>
        <v>0</v>
      </c>
      <c r="AB25" s="30">
        <f>SUM(AB23:AB24)</f>
        <v>160.83000000000001</v>
      </c>
      <c r="AC25" s="44">
        <f>SUM(AC23:AC24)</f>
        <v>975.65000000000009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893.47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431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415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422</v>
      </c>
      <c r="AT23" s="48" t="s">
        <v>58</v>
      </c>
      <c r="AU23" t="s">
        <v>223</v>
      </c>
      <c r="AV23" t="s">
        <v>352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254</v>
      </c>
      <c r="BM23" t="s">
        <v>354</v>
      </c>
      <c r="BN23" t="s">
        <v>353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428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421</v>
      </c>
      <c r="H23" s="26">
        <f>F23*G23</f>
        <v>1000</v>
      </c>
      <c r="I23" t="s">
        <v>479</v>
      </c>
      <c r="J23" s="26">
        <v>1.79</v>
      </c>
      <c r="K23" s="26">
        <v>2.5</v>
      </c>
      <c r="L23" s="26">
        <f>H23</f>
        <v>1000</v>
      </c>
      <c r="M23" s="26">
        <f>ROUND(L23*I23%,2)</f>
        <v>50</v>
      </c>
      <c r="N23" s="26">
        <f>H23-M23</f>
        <v>950</v>
      </c>
      <c r="O23" s="26">
        <f>ROUND(N23*J23%,2)</f>
        <v>17.010000000000002</v>
      </c>
      <c r="P23" s="26">
        <f>ROUND(N23-O23,2)</f>
        <v>932.99</v>
      </c>
      <c r="Q23" s="26">
        <f>ROUND(P23*K23%,2)</f>
        <v>23.32</v>
      </c>
      <c r="R23" s="26">
        <f>M23+O23+Q23</f>
        <v>90.330000000000013</v>
      </c>
      <c r="S23" s="26">
        <f>(H23-R23)</f>
        <v>909.67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163.74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163.74</v>
      </c>
      <c r="AC23" s="26">
        <f>IF($V21=1,S23+AB23,S23)</f>
        <v>1073.4099999999999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909.67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454.83499999999998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454.83499999999998</v>
      </c>
      <c r="AS23" s="48" t="s">
        <v>472</v>
      </c>
      <c r="AT23" s="48" t="s">
        <v>58</v>
      </c>
      <c r="AU23" t="s">
        <v>218</v>
      </c>
      <c r="AV23" t="s">
        <v>250</v>
      </c>
      <c r="AW23" s="48">
        <f>AM23</f>
        <v>2</v>
      </c>
      <c r="AX23" s="48">
        <f>AR23</f>
        <v>454.83499999999998</v>
      </c>
      <c r="AY23" s="48">
        <f>AU23+AW23</f>
        <v>2</v>
      </c>
      <c r="AZ23" s="48">
        <f>ROUND(((AU23*AV23)+(AW23*AX23))/(AU23+AW23),5)</f>
        <v>454.83499999999998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471</v>
      </c>
      <c r="BM23" t="s">
        <v>478</v>
      </c>
      <c r="BN23" t="s">
        <v>477</v>
      </c>
      <c r="BO23" s="48">
        <f>ROUND((((AW23*AZ23)+(BN23*BM23))/(AW23+BN23)),5)</f>
        <v>171.15706</v>
      </c>
      <c r="BP23" s="53">
        <f>BN23+AW23</f>
        <v>17</v>
      </c>
      <c r="BQ23" s="54">
        <v>88363222</v>
      </c>
      <c r="BR23" s="53"/>
    </row>
    <row r="24" spans="1:70" ht="15.75" thickBot="1">
      <c r="A24" s="25">
        <v>2</v>
      </c>
      <c r="B24" s="25" t="s">
        <v>429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460</v>
      </c>
      <c r="H24" s="26">
        <f>F24*G24</f>
        <v>1200</v>
      </c>
      <c r="I24" t="s">
        <v>223</v>
      </c>
      <c r="J24" s="26">
        <v>1.79</v>
      </c>
      <c r="K24" s="26">
        <v>2.5</v>
      </c>
      <c r="L24" s="26">
        <f>H24</f>
        <v>1200</v>
      </c>
      <c r="M24" s="26">
        <f>ROUND(L24*I24%,2)</f>
        <v>24</v>
      </c>
      <c r="N24" s="26">
        <f>H24-M24</f>
        <v>1176</v>
      </c>
      <c r="O24" s="26">
        <f>ROUND(N24*J24%,2)</f>
        <v>21.05</v>
      </c>
      <c r="P24" s="26">
        <f>ROUND(N24-O24,2)</f>
        <v>1154.95</v>
      </c>
      <c r="Q24" s="26">
        <f>ROUND(P24*K24%,2)</f>
        <v>28.87</v>
      </c>
      <c r="R24" s="26">
        <f>M24+O24+Q24</f>
        <v>73.92</v>
      </c>
      <c r="S24" s="26">
        <f>(H24-R24)</f>
        <v>1126.08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202.69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202.69</v>
      </c>
      <c r="AC24" s="26">
        <f>IF($V22=1,S24+AB24,S24)</f>
        <v>1126.08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1126.08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563.04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563.04</v>
      </c>
      <c r="AS24" s="48" t="s">
        <v>472</v>
      </c>
      <c r="AT24" s="48" t="s">
        <v>58</v>
      </c>
      <c r="AW24" s="48">
        <f>AM24</f>
        <v>2</v>
      </c>
      <c r="AX24" s="48">
        <f>AR24</f>
        <v>563.04</v>
      </c>
      <c r="AY24" s="48">
        <f>AU24+AW24</f>
        <v>2</v>
      </c>
      <c r="AZ24" s="48">
        <f>ROUND(((AU24*AV24)+(AW24*AX24))/(AU24+AW24),5)</f>
        <v>563.04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471</v>
      </c>
      <c r="BM24" t="s">
        <v>218</v>
      </c>
      <c r="BN24" t="s">
        <v>218</v>
      </c>
      <c r="BO24" s="48">
        <f>ROUND((((AW24*AZ24)+(BN24*BM24))/(AW24+BN24)),5)</f>
        <v>563.04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164.25</v>
      </c>
      <c r="S25" s="39">
        <f>SUM(S23:S24)</f>
        <v>2035.75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366.43</v>
      </c>
      <c r="Y25" s="40">
        <f>SUM(Y23:Y24)</f>
        <v>0</v>
      </c>
      <c r="Z25" s="40"/>
      <c r="AA25" s="40">
        <f>SUM(AA23:AA24)</f>
        <v>0</v>
      </c>
      <c r="AB25" s="30">
        <f>SUM(AB23:AB24)</f>
        <v>366.43</v>
      </c>
      <c r="AC25" s="44">
        <f>SUM(AC23:AC24)</f>
        <v>2199.4899999999998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2035.75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356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472</v>
      </c>
      <c r="AT23" s="48" t="s">
        <v>58</v>
      </c>
      <c r="AU23" t="s">
        <v>218</v>
      </c>
      <c r="AV23" t="s">
        <v>482</v>
      </c>
      <c r="AW23" s="48">
        <f>AM23</f>
        <v>2</v>
      </c>
      <c r="AX23" s="48">
        <f>AR23</f>
        <v>431.96500000000003</v>
      </c>
      <c r="AY23" s="48">
        <f>AU23+AW23</f>
        <v>2</v>
      </c>
      <c r="AZ23" s="48">
        <f>ROUND(((AU23*AV23)+(AW23*AX23))/(AU23+AW23),5)</f>
        <v>431.96499999999997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484</v>
      </c>
      <c r="BM23" t="s">
        <v>482</v>
      </c>
      <c r="BN23" t="s">
        <v>341</v>
      </c>
      <c r="BO23" s="48">
        <f>ROUND((((AW23*AZ23)+(BN23*BM23))/(AW23+BN23)),5)</f>
        <v>431.96499999999997</v>
      </c>
      <c r="BP23" s="53">
        <f>BN23+AW23</f>
        <v>6</v>
      </c>
      <c r="BQ23" s="54">
        <v>88363222</v>
      </c>
      <c r="BR23" s="53"/>
    </row>
    <row r="24" spans="1:70" ht="15.75" thickBot="1">
      <c r="A24" s="25">
        <v>2</v>
      </c>
      <c r="B24" s="25" t="s">
        <v>481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252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472</v>
      </c>
      <c r="AT24" s="48" t="s">
        <v>58</v>
      </c>
      <c r="AU24" t="s">
        <v>218</v>
      </c>
      <c r="AV24" t="s">
        <v>483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484</v>
      </c>
      <c r="BM24" t="s">
        <v>483</v>
      </c>
      <c r="BN24" t="s">
        <v>341</v>
      </c>
      <c r="BO24" s="48">
        <f>ROUND((((AW24*AZ24)+(BN24*BM24))/(AW24+BN24)),5)</f>
        <v>323.75</v>
      </c>
      <c r="BP24" s="53">
        <f>BN24+AW24</f>
        <v>6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374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375</v>
      </c>
      <c r="H23" s="26">
        <f>F23*G23</f>
        <v>800</v>
      </c>
      <c r="I23" t="s">
        <v>223</v>
      </c>
      <c r="J23" s="26">
        <v>1.79</v>
      </c>
      <c r="K23" s="26">
        <v>2.5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19.25</v>
      </c>
      <c r="R23" s="26">
        <f>M23+O23+Q23</f>
        <v>49.28</v>
      </c>
      <c r="S23" s="26">
        <f>(H23-R23)</f>
        <v>750.72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135.13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135.13</v>
      </c>
      <c r="AC23" s="26">
        <f>IF($V21=1,S23+AB23,S23)</f>
        <v>885.85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750.72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375.36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375.36</v>
      </c>
      <c r="AS23" s="48" t="s">
        <v>248</v>
      </c>
      <c r="AT23" s="48" t="s">
        <v>58</v>
      </c>
      <c r="AW23" s="48">
        <f>AM23</f>
        <v>2</v>
      </c>
      <c r="AX23" s="48">
        <f>AR23</f>
        <v>375.36</v>
      </c>
      <c r="AY23" s="48">
        <f>AU23+AW23</f>
        <v>2</v>
      </c>
      <c r="AZ23" s="48">
        <f>ROUND(((AU23*AV23)+(AW23*AX23))/(AU23+AW23),5)</f>
        <v>375.36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249</v>
      </c>
      <c r="BM23" t="s">
        <v>218</v>
      </c>
      <c r="BN23" t="s">
        <v>218</v>
      </c>
      <c r="BO23" s="48">
        <f>ROUND((((AW23*AZ23)+(BN23*BM23))/(AW23+BN23)),5)</f>
        <v>375.36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49.28</v>
      </c>
      <c r="S24" s="39">
        <f>SUM(S23:S23)</f>
        <v>750.72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135.13</v>
      </c>
      <c r="Y24" s="40">
        <f>SUM(Y23:Y23)</f>
        <v>0</v>
      </c>
      <c r="Z24" s="40"/>
      <c r="AA24" s="40">
        <f>SUM(AA23:AA23)</f>
        <v>0</v>
      </c>
      <c r="AB24" s="30">
        <f>SUM(AB23:AB23)</f>
        <v>135.13</v>
      </c>
      <c r="AC24" s="44">
        <f>SUM(AC23:AC23)</f>
        <v>885.85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750.72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432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422</v>
      </c>
      <c r="AT23" s="48" t="s">
        <v>58</v>
      </c>
      <c r="AU23" t="s">
        <v>218</v>
      </c>
      <c r="AV23" t="s">
        <v>434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254</v>
      </c>
      <c r="BM23" t="s">
        <v>434</v>
      </c>
      <c r="BN23" t="s">
        <v>284</v>
      </c>
      <c r="BO23" s="48">
        <f>ROUND((((AW23*AZ23)+(BN23*BM23))/(AW23+BN23)),5)</f>
        <v>731.11</v>
      </c>
      <c r="BP23" s="53">
        <f>BN23+AW23</f>
        <v>6</v>
      </c>
      <c r="BQ23" s="54">
        <v>88363222</v>
      </c>
    </row>
    <row r="24" spans="1:69" ht="15.75" thickBot="1">
      <c r="A24" s="25">
        <v>2</v>
      </c>
      <c r="B24" s="25" t="s">
        <v>433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255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422</v>
      </c>
      <c r="AT24" s="48" t="s">
        <v>58</v>
      </c>
      <c r="AU24" t="s">
        <v>218</v>
      </c>
      <c r="AV24" t="s">
        <v>435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254</v>
      </c>
      <c r="BM24" t="s">
        <v>435</v>
      </c>
      <c r="BN24" t="s">
        <v>284</v>
      </c>
      <c r="BO24" s="48">
        <f>ROUND((((AW24*AZ24)+(BN24*BM24))/(AW24+BN24)),5)</f>
        <v>427.09332999999998</v>
      </c>
      <c r="BP24" s="53">
        <f>BN24+AW24</f>
        <v>6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3673.17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198.56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3474.6099999999997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625.44000000000005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4100.0499999999993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446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460</v>
      </c>
      <c r="H23" s="26">
        <f>F23*G23</f>
        <v>14400</v>
      </c>
      <c r="I23" t="s">
        <v>217</v>
      </c>
      <c r="J23" s="26">
        <v>2</v>
      </c>
      <c r="K23" s="26">
        <v>2</v>
      </c>
      <c r="L23" s="26">
        <f>H23</f>
        <v>14400</v>
      </c>
      <c r="M23" s="26">
        <f>ROUND(L23*I23%,2)</f>
        <v>576</v>
      </c>
      <c r="N23" s="26">
        <f>H23-M23</f>
        <v>13824</v>
      </c>
      <c r="O23" s="26">
        <f>ROUND(N23*J23%,2)</f>
        <v>276.48</v>
      </c>
      <c r="P23" s="26">
        <f>ROUND(N23-O23,2)</f>
        <v>13547.52</v>
      </c>
      <c r="Q23" s="26">
        <f>ROUND(P23*K23%,2)</f>
        <v>270.95</v>
      </c>
      <c r="R23" s="26">
        <f>ROUND((M23+O23+Q23),2)</f>
        <v>1123.43</v>
      </c>
      <c r="S23" s="26">
        <f>ROUND((H23-R23),2)</f>
        <v>13276.57</v>
      </c>
      <c r="T23" s="55" t="s">
        <v>146</v>
      </c>
      <c r="U23" s="43">
        <v>0.18</v>
      </c>
      <c r="V23" s="26">
        <f>IF(OR($C$21=1,$C$21=4),ROUND(((S23*U23)/2),2),0)</f>
        <v>1194.8900000000001</v>
      </c>
      <c r="W23" s="26">
        <f>IF($C$21=1,ROUND(((S23*U23)/2),2),0)</f>
        <v>1194.8900000000001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2389.7800000000002</v>
      </c>
      <c r="AC23" s="25">
        <f>IF($V21=1,S23+AB23,S23)</f>
        <v>15666.35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13276.57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1659.57125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1659.57125</v>
      </c>
      <c r="AS23" s="48" t="s">
        <v>422</v>
      </c>
      <c r="AT23" s="48" t="s">
        <v>58</v>
      </c>
      <c r="AU23" t="s">
        <v>218</v>
      </c>
      <c r="AV23" t="s">
        <v>461</v>
      </c>
      <c r="AW23" s="48">
        <f>AM23</f>
        <v>8</v>
      </c>
      <c r="AX23" s="48">
        <f>AR23</f>
        <v>1659.57125</v>
      </c>
      <c r="AY23" s="48">
        <f>AU23+AW23</f>
        <v>8</v>
      </c>
      <c r="AZ23" s="48">
        <f>ROUND(((AU23*AV23)+(AW23*AX23))/(AU23+AW23),1)</f>
        <v>1659.6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254</v>
      </c>
      <c r="BM23" t="s">
        <v>218</v>
      </c>
      <c r="BN23" t="s">
        <v>218</v>
      </c>
      <c r="BO23" s="48">
        <f>ROUND((((AW23*AZ23)+(BN23*BM23))/(AW23+BN23)),5)</f>
        <v>1659.6</v>
      </c>
      <c r="BP23" s="53">
        <f>ROUND(BN23+AW23,3)</f>
        <v>8</v>
      </c>
      <c r="BQ23" s="54">
        <v>88363222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14400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1123.43</v>
      </c>
      <c r="S24" s="30">
        <f>SUM(S23:S23)</f>
        <v>13276.57</v>
      </c>
      <c r="T24" s="30"/>
      <c r="U24" s="30"/>
      <c r="V24" s="39">
        <f t="shared" ref="V24:AE24" si="3">SUM(V23:V23)</f>
        <v>1194.8900000000001</v>
      </c>
      <c r="W24" s="39">
        <f t="shared" si="3"/>
        <v>1194.8900000000001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2389.7800000000002</v>
      </c>
      <c r="AC24" s="44">
        <f t="shared" si="3"/>
        <v>15666.35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13276.57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8" t="s">
        <v>194</v>
      </c>
      <c r="H26" s="159"/>
      <c r="I26" s="161">
        <f>H24</f>
        <v>14400</v>
      </c>
      <c r="J26" s="161"/>
      <c r="K26" s="65"/>
      <c r="L26" s="16"/>
      <c r="M26" s="164" t="s">
        <v>195</v>
      </c>
      <c r="N26" s="165"/>
      <c r="O26" s="165"/>
      <c r="P26" s="16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257</v>
      </c>
      <c r="BI26" s="99" t="s">
        <v>258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196</v>
      </c>
      <c r="H27" s="159"/>
      <c r="I27" s="161">
        <f>R24</f>
        <v>1123.43</v>
      </c>
      <c r="J27" s="161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259</v>
      </c>
      <c r="BI27" s="99" t="s">
        <v>260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197</v>
      </c>
      <c r="H28" s="159"/>
      <c r="I28" s="161">
        <f>S24</f>
        <v>13276.57</v>
      </c>
      <c r="J28" s="161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198</v>
      </c>
      <c r="H29" s="159"/>
      <c r="I29" s="161">
        <f>AB24</f>
        <v>2389.7800000000002</v>
      </c>
      <c r="J29" s="161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199</v>
      </c>
      <c r="H30" s="159"/>
      <c r="I30" s="160">
        <f>I28+I29</f>
        <v>15666.35</v>
      </c>
      <c r="J30" s="16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261</v>
      </c>
      <c r="BN31" s="16" t="s">
        <v>262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263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264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265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266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448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421</v>
      </c>
      <c r="H23" s="26">
        <f>F23*G23</f>
        <v>7500</v>
      </c>
      <c r="I23" t="s">
        <v>223</v>
      </c>
      <c r="J23" s="26">
        <v>2</v>
      </c>
      <c r="K23" s="26">
        <v>2</v>
      </c>
      <c r="L23" s="26">
        <f>H23</f>
        <v>7500</v>
      </c>
      <c r="M23" s="26">
        <f>ROUND(L23*I23%,2)</f>
        <v>150</v>
      </c>
      <c r="N23" s="26">
        <f>H23-M23</f>
        <v>7350</v>
      </c>
      <c r="O23" s="26">
        <f>ROUND(N23*J23%,2)</f>
        <v>147</v>
      </c>
      <c r="P23" s="26">
        <f>ROUND(N23-O23,2)</f>
        <v>7203</v>
      </c>
      <c r="Q23" s="26">
        <f>ROUND(P23*K23%,2)</f>
        <v>144.06</v>
      </c>
      <c r="R23" s="26">
        <f>ROUND((M23+O23+Q23),2)</f>
        <v>441.06</v>
      </c>
      <c r="S23" s="26">
        <f>ROUND((H23-R23),2)</f>
        <v>7058.94</v>
      </c>
      <c r="T23" s="55" t="s">
        <v>146</v>
      </c>
      <c r="U23" s="43">
        <v>0.18</v>
      </c>
      <c r="V23" s="26">
        <f>IF(OR($C$21=1,$C$21=4),ROUND(((S23*U23)/2),2),0)</f>
        <v>635.29999999999995</v>
      </c>
      <c r="W23" s="26">
        <f>IF($C$21=1,ROUND(((S23*U23)/2),2),0)</f>
        <v>635.29999999999995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1270.5999999999999</v>
      </c>
      <c r="AC23" s="25">
        <f>IF($V21=1,S23+AB23,S23)</f>
        <v>8329.5399999999991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7058.94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1411.788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1411.788</v>
      </c>
      <c r="AS23" s="48" t="s">
        <v>422</v>
      </c>
      <c r="AT23" s="48" t="s">
        <v>58</v>
      </c>
      <c r="AU23" t="s">
        <v>218</v>
      </c>
      <c r="AV23" t="s">
        <v>465</v>
      </c>
      <c r="AW23" s="48">
        <f>AM23</f>
        <v>5</v>
      </c>
      <c r="AX23" s="9">
        <f>AR23</f>
        <v>1411.788</v>
      </c>
      <c r="AY23" s="48">
        <f>AU23+AW23</f>
        <v>5</v>
      </c>
      <c r="AZ23" s="48">
        <f>ROUND(((AU23*AV23)+(AW23*AX23))/(AU23+AW23),1)</f>
        <v>1411.8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254</v>
      </c>
      <c r="BM23" t="s">
        <v>470</v>
      </c>
      <c r="BN23" t="s">
        <v>469</v>
      </c>
      <c r="BO23" s="48">
        <f>ROUND((((AW23*AZ23)+(BN23*BM23))/(AW23+BN23)),5)</f>
        <v>1407.6939600000001</v>
      </c>
      <c r="BP23" s="53">
        <f>ROUND(BN23+AW23,3)</f>
        <v>58</v>
      </c>
      <c r="BQ23" s="54">
        <v>88363222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7500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441.06</v>
      </c>
      <c r="S24" s="30">
        <f>SUM(S23:S23)</f>
        <v>7058.94</v>
      </c>
      <c r="T24" s="30"/>
      <c r="U24" s="30"/>
      <c r="V24" s="39">
        <f t="shared" ref="V24:AE24" si="3">SUM(V23:V23)</f>
        <v>635.29999999999995</v>
      </c>
      <c r="W24" s="39">
        <f t="shared" si="3"/>
        <v>635.29999999999995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1270.5999999999999</v>
      </c>
      <c r="AC24" s="44">
        <f t="shared" si="3"/>
        <v>8329.5399999999991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7058.94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8" t="s">
        <v>194</v>
      </c>
      <c r="H26" s="159"/>
      <c r="I26" s="161">
        <f>H24</f>
        <v>7500</v>
      </c>
      <c r="J26" s="161"/>
      <c r="K26" s="65"/>
      <c r="L26" s="16"/>
      <c r="M26" s="164" t="s">
        <v>195</v>
      </c>
      <c r="N26" s="165"/>
      <c r="O26" s="165"/>
      <c r="P26" s="16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257</v>
      </c>
      <c r="BI26" s="99" t="s">
        <v>258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196</v>
      </c>
      <c r="H27" s="159"/>
      <c r="I27" s="161">
        <f>R24</f>
        <v>441.06</v>
      </c>
      <c r="J27" s="161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259</v>
      </c>
      <c r="BI27" s="99" t="s">
        <v>260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197</v>
      </c>
      <c r="H28" s="159"/>
      <c r="I28" s="161">
        <f>S24</f>
        <v>7058.94</v>
      </c>
      <c r="J28" s="161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198</v>
      </c>
      <c r="H29" s="159"/>
      <c r="I29" s="161">
        <f>AB24</f>
        <v>1270.5999999999999</v>
      </c>
      <c r="J29" s="161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199</v>
      </c>
      <c r="H30" s="159"/>
      <c r="I30" s="160">
        <f>I28+I29</f>
        <v>8329.5399999999991</v>
      </c>
      <c r="J30" s="16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261</v>
      </c>
      <c r="BN31" s="16" t="s">
        <v>262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263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264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265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266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B19:G19"/>
    <mergeCell ref="A21:B21"/>
    <mergeCell ref="G27:H27"/>
    <mergeCell ref="I27:J27"/>
    <mergeCell ref="A1:AC1"/>
    <mergeCell ref="G26:H26"/>
    <mergeCell ref="I26:J26"/>
    <mergeCell ref="M26:P26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327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385</v>
      </c>
      <c r="H23" s="26">
        <f>F23*G23</f>
        <v>5750</v>
      </c>
      <c r="I23" t="s">
        <v>223</v>
      </c>
      <c r="J23" s="26">
        <v>2</v>
      </c>
      <c r="K23" s="26">
        <v>2.5</v>
      </c>
      <c r="L23" s="26">
        <f>H23</f>
        <v>5750</v>
      </c>
      <c r="M23" s="26">
        <f>ROUND(L23*I23%,2)</f>
        <v>115</v>
      </c>
      <c r="N23" s="26">
        <f>H23-M23</f>
        <v>5635</v>
      </c>
      <c r="O23" s="26">
        <f>ROUND(N23*J23%,2)</f>
        <v>112.7</v>
      </c>
      <c r="P23" s="26">
        <f>ROUND(N23-O23,2)</f>
        <v>5522.3</v>
      </c>
      <c r="Q23" s="26">
        <f>ROUND(P23*K23%,2)</f>
        <v>138.06</v>
      </c>
      <c r="R23" s="26">
        <f>ROUND((M23+O23+Q23),2)</f>
        <v>365.76</v>
      </c>
      <c r="S23" s="26">
        <f>ROUND((H23-R23),2)</f>
        <v>5384.24</v>
      </c>
      <c r="T23" s="55" t="s">
        <v>146</v>
      </c>
      <c r="U23" s="43">
        <v>0.18</v>
      </c>
      <c r="V23" s="26">
        <f>IF(OR($C$21=1,$C$21=4),ROUND(((S23*U23)/2),2),0)</f>
        <v>484.58</v>
      </c>
      <c r="W23" s="26">
        <f>IF($C$21=1,ROUND(((S23*U23)/2),2),0)</f>
        <v>484.58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969.16</v>
      </c>
      <c r="AC23" s="25">
        <f>IF($V21=1,S23+AB23,S23)</f>
        <v>6353.4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5384.24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430.73919999999998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430.73919999999998</v>
      </c>
      <c r="AS23" s="48" t="s">
        <v>216</v>
      </c>
      <c r="AT23" s="48" t="s">
        <v>58</v>
      </c>
      <c r="AU23" t="s">
        <v>218</v>
      </c>
      <c r="AV23" t="s">
        <v>383</v>
      </c>
      <c r="AW23" s="48">
        <f>AM23</f>
        <v>12.5</v>
      </c>
      <c r="AX23" s="48">
        <f>AR23</f>
        <v>430.73919999999998</v>
      </c>
      <c r="AY23" s="48">
        <f>AU23+AW23</f>
        <v>12.5</v>
      </c>
      <c r="AZ23" s="48">
        <f>ROUND(((AU23*AV23)+(AW23*AX23))/(AU23+AW23),5)</f>
        <v>430.73919999999998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430.73919999999998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328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395</v>
      </c>
      <c r="H24" s="26">
        <f t="shared" ref="H24" si="3">F24*G24</f>
        <v>6608</v>
      </c>
      <c r="I24" t="s">
        <v>396</v>
      </c>
      <c r="J24" s="26">
        <v>2</v>
      </c>
      <c r="K24" s="26">
        <v>2.5</v>
      </c>
      <c r="L24" s="26">
        <f t="shared" ref="L24" si="4">H24</f>
        <v>6608</v>
      </c>
      <c r="M24" s="26">
        <f t="shared" ref="M24" si="5">ROUND(L24*I24%,2)</f>
        <v>190.97</v>
      </c>
      <c r="N24" s="26">
        <f t="shared" ref="N24" si="6">H24-M24</f>
        <v>6417.03</v>
      </c>
      <c r="O24" s="26">
        <f t="shared" ref="O24" si="7">ROUND(N24*J24%,2)</f>
        <v>128.34</v>
      </c>
      <c r="P24" s="26">
        <f t="shared" ref="P24" si="8">ROUND(N24-O24,2)</f>
        <v>6288.69</v>
      </c>
      <c r="Q24" s="26">
        <f t="shared" ref="Q24" si="9">ROUND(P24*K24%,2)</f>
        <v>157.22</v>
      </c>
      <c r="R24" s="26">
        <f t="shared" ref="R24" si="10">ROUND((M24+O24+Q24),2)</f>
        <v>476.53</v>
      </c>
      <c r="S24" s="26">
        <f t="shared" ref="S24" si="11">ROUND((H24-R24),2)</f>
        <v>6131.47</v>
      </c>
      <c r="T24" s="55" t="s">
        <v>255</v>
      </c>
      <c r="U24" s="43">
        <v>0.18</v>
      </c>
      <c r="V24" s="26">
        <f t="shared" ref="V24" si="12">IF(OR($C$21=1,$C$21=4),ROUND(((S24*U24)/2),2),0)</f>
        <v>551.83000000000004</v>
      </c>
      <c r="W24" s="26">
        <f t="shared" ref="W24" si="13">IF($C$21=1,ROUND(((S24*U24)/2),2),0)</f>
        <v>551.83000000000004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1103.6600000000001</v>
      </c>
      <c r="AC24" s="25">
        <f t="shared" ref="AC24" si="18">IF($V22=1,S24+AB24,S24)</f>
        <v>6131.47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6131.47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437.96213999999998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437.96213999999998</v>
      </c>
      <c r="AS24" s="48" t="s">
        <v>216</v>
      </c>
      <c r="AT24" s="48" t="s">
        <v>58</v>
      </c>
      <c r="AU24" t="s">
        <v>218</v>
      </c>
      <c r="AV24" t="s">
        <v>384</v>
      </c>
      <c r="AW24" s="48">
        <f>AM24</f>
        <v>14</v>
      </c>
      <c r="AX24" s="48">
        <f>AR24</f>
        <v>437.96213999999998</v>
      </c>
      <c r="AY24" s="48">
        <f>AU24+AW24</f>
        <v>14</v>
      </c>
      <c r="AZ24" s="48">
        <f>ROUND(((AU24*AV24)+(AW24*AX24))/(AU24+AW24),5)</f>
        <v>437.96213999999998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437.96213999999998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12358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842.29</v>
      </c>
      <c r="S25" s="30">
        <f>SUM(S23:S24)</f>
        <v>11515.71</v>
      </c>
      <c r="T25" s="30"/>
      <c r="U25" s="30"/>
      <c r="V25" s="39">
        <f t="shared" ref="V25:AE25" si="24">SUM(V23:V24)</f>
        <v>1036.4100000000001</v>
      </c>
      <c r="W25" s="39">
        <f t="shared" si="24"/>
        <v>1036.4100000000001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2072.8200000000002</v>
      </c>
      <c r="AC25" s="44">
        <f t="shared" si="24"/>
        <v>12484.869999999999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11515.71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12358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842.29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11515.71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2072.8200000000002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13588.529999999999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437</v>
      </c>
      <c r="C23" s="25" t="s">
        <v>162</v>
      </c>
      <c r="D23" s="25" t="s">
        <v>58</v>
      </c>
      <c r="E23" s="25" t="s">
        <v>163</v>
      </c>
      <c r="F23" s="26">
        <v>18</v>
      </c>
      <c r="G23" t="s">
        <v>460</v>
      </c>
      <c r="H23" s="26">
        <f>F23*G23</f>
        <v>10800</v>
      </c>
      <c r="I23" t="s">
        <v>284</v>
      </c>
      <c r="J23" s="26">
        <v>2</v>
      </c>
      <c r="K23" s="26">
        <v>2.5</v>
      </c>
      <c r="L23" s="26">
        <f>H23</f>
        <v>10800</v>
      </c>
      <c r="M23" s="26">
        <f>ROUND(L23*I23%,2)</f>
        <v>324</v>
      </c>
      <c r="N23" s="26">
        <f>H23-M23</f>
        <v>10476</v>
      </c>
      <c r="O23" s="26">
        <f>ROUND(N23*J23%,2)</f>
        <v>209.52</v>
      </c>
      <c r="P23" s="26">
        <f>ROUND(N23-O23,2)</f>
        <v>10266.48</v>
      </c>
      <c r="Q23" s="26">
        <f>ROUND(P23*K23%,2)</f>
        <v>256.66000000000003</v>
      </c>
      <c r="R23" s="26">
        <f>ROUND((M23+O23+Q23),2)</f>
        <v>790.18</v>
      </c>
      <c r="S23" s="26">
        <f>ROUND((H23-R23),2)</f>
        <v>10009.82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1801.77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1801.77</v>
      </c>
      <c r="AC23" s="25">
        <f>IF($V21=1,S23+AB23,S23)</f>
        <v>11811.59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10009.82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1668.30333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1668.30333</v>
      </c>
      <c r="AS23" s="48" t="s">
        <v>472</v>
      </c>
      <c r="AT23" s="48" t="s">
        <v>58</v>
      </c>
      <c r="AW23" s="48">
        <f>AM23</f>
        <v>6</v>
      </c>
      <c r="AX23" s="48">
        <f>AR23</f>
        <v>1668.30333</v>
      </c>
      <c r="AY23" s="48">
        <f>AU23+AW23</f>
        <v>6</v>
      </c>
      <c r="AZ23" s="48">
        <f>ROUND(((AU23*AV23)+(AW23*AX23))/(AU23+AW23),5)</f>
        <v>1668.30333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471</v>
      </c>
      <c r="BM23" t="s">
        <v>218</v>
      </c>
      <c r="BN23" t="s">
        <v>218</v>
      </c>
      <c r="BO23" s="48">
        <f>ROUND((((AW23*AZ23)+(BN23*BM23))/(AW23+BN23)),5)</f>
        <v>1668.30333</v>
      </c>
      <c r="BP23" s="53">
        <f>BN23+AW23</f>
        <v>6</v>
      </c>
      <c r="BQ23" s="54">
        <v>88363222</v>
      </c>
    </row>
    <row r="24" spans="1:69" ht="15.75" thickBot="1">
      <c r="A24" s="25">
        <v>2</v>
      </c>
      <c r="B24" s="25" t="s">
        <v>436</v>
      </c>
      <c r="C24" s="25" t="s">
        <v>175</v>
      </c>
      <c r="D24" s="25" t="s">
        <v>58</v>
      </c>
      <c r="E24" s="25" t="s">
        <v>163</v>
      </c>
      <c r="F24" s="26">
        <v>21</v>
      </c>
      <c r="G24" t="s">
        <v>421</v>
      </c>
      <c r="H24" s="26">
        <f t="shared" ref="H24" si="3">F24*G24</f>
        <v>10500</v>
      </c>
      <c r="I24" t="s">
        <v>223</v>
      </c>
      <c r="J24" s="26">
        <v>2</v>
      </c>
      <c r="K24" s="26">
        <v>2.5</v>
      </c>
      <c r="L24" s="26">
        <f t="shared" ref="L24" si="4">H24</f>
        <v>10500</v>
      </c>
      <c r="M24" s="26">
        <f t="shared" ref="M24" si="5">ROUND(L24*I24%,2)</f>
        <v>210</v>
      </c>
      <c r="N24" s="26">
        <f t="shared" ref="N24" si="6">H24-M24</f>
        <v>10290</v>
      </c>
      <c r="O24" s="26">
        <f t="shared" ref="O24" si="7">ROUND(N24*J24%,2)</f>
        <v>205.8</v>
      </c>
      <c r="P24" s="26">
        <f t="shared" ref="P24" si="8">ROUND(N24-O24,2)</f>
        <v>10084.200000000001</v>
      </c>
      <c r="Q24" s="26">
        <f t="shared" ref="Q24" si="9">ROUND(P24*K24%,2)</f>
        <v>252.11</v>
      </c>
      <c r="R24" s="26">
        <f t="shared" ref="R24" si="10">ROUND((M24+O24+Q24),2)</f>
        <v>667.91</v>
      </c>
      <c r="S24" s="26">
        <f t="shared" ref="S24" si="11">ROUND((H24-R24),2)</f>
        <v>9832.09</v>
      </c>
      <c r="T24" s="55" t="s">
        <v>255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1769.78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1769.78</v>
      </c>
      <c r="AC24" s="25">
        <f t="shared" ref="AC24" si="18">IF($V22=1,S24+AB24,S24)</f>
        <v>9832.09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9832.09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7</v>
      </c>
      <c r="AN24" s="55">
        <f t="shared" ref="AN24" si="20">ROUND(AI24/AM24,5)</f>
        <v>1404.58429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1404.58429</v>
      </c>
      <c r="AS24" s="48" t="s">
        <v>472</v>
      </c>
      <c r="AT24" s="48" t="s">
        <v>58</v>
      </c>
      <c r="AW24" s="48">
        <f>AM24</f>
        <v>7</v>
      </c>
      <c r="AX24" s="48">
        <f>AR24</f>
        <v>1404.58429</v>
      </c>
      <c r="AY24" s="48">
        <f>AU24+AW24</f>
        <v>7</v>
      </c>
      <c r="AZ24" s="48">
        <f>ROUND(((AU24*AV24)+(AW24*AX24))/(AU24+AW24),5)</f>
        <v>1404.58429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471</v>
      </c>
      <c r="BM24" t="s">
        <v>218</v>
      </c>
      <c r="BN24" t="s">
        <v>218</v>
      </c>
      <c r="BO24" s="48">
        <f>ROUND((((AW24*AZ24)+(BN24*BM24))/(AW24+BN24)),5)</f>
        <v>1404.58429</v>
      </c>
      <c r="BP24" s="53">
        <f>BN24+AW24</f>
        <v>7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21300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1458.09</v>
      </c>
      <c r="S25" s="30">
        <f>SUM(S23:S24)</f>
        <v>19841.91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3571.55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3571.55</v>
      </c>
      <c r="AC25" s="44">
        <f t="shared" si="24"/>
        <v>21643.68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19841.91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21300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1458.09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19841.91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3571.55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23413.46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329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319</v>
      </c>
      <c r="H23" s="26">
        <f>F23*G23</f>
        <v>8600</v>
      </c>
      <c r="I23" t="s">
        <v>296</v>
      </c>
      <c r="J23" s="26">
        <v>2</v>
      </c>
      <c r="K23" s="26">
        <v>2.5</v>
      </c>
      <c r="L23" s="26">
        <f>H23</f>
        <v>8600</v>
      </c>
      <c r="M23" s="26">
        <f>ROUND(L23*I23%,2)</f>
        <v>201.24</v>
      </c>
      <c r="N23" s="26">
        <f>H23-M23</f>
        <v>8398.76</v>
      </c>
      <c r="O23" s="26">
        <f>ROUND(N23*J23%,2)</f>
        <v>167.98</v>
      </c>
      <c r="P23" s="26">
        <f>ROUND(N23-O23,2)</f>
        <v>8230.7800000000007</v>
      </c>
      <c r="Q23" s="26">
        <f>ROUND(P23*K23%,2)</f>
        <v>205.77</v>
      </c>
      <c r="R23" s="26">
        <f>ROUND((M23+O23+Q23),2)</f>
        <v>574.99</v>
      </c>
      <c r="S23" s="26">
        <f>ROUND((H23-R23),2)</f>
        <v>8025.01</v>
      </c>
      <c r="T23" s="55" t="s">
        <v>146</v>
      </c>
      <c r="U23" s="43">
        <v>0.18</v>
      </c>
      <c r="V23" s="26">
        <f>IF(OR($C$21=1,$C$21=4),ROUND(((S23*U23)/2),2),0)</f>
        <v>722.25</v>
      </c>
      <c r="W23" s="26">
        <f>IF($C$21=1,ROUND(((S23*U23)/2),2),0)</f>
        <v>722.25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1444.5</v>
      </c>
      <c r="AC23" s="25">
        <f>IF($V21=1,S23+AB23,S23)</f>
        <v>9469.51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8025.01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642.00080000000003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642.00080000000003</v>
      </c>
      <c r="AS23" s="48" t="s">
        <v>216</v>
      </c>
      <c r="AT23" s="48" t="s">
        <v>58</v>
      </c>
      <c r="AU23" t="s">
        <v>218</v>
      </c>
      <c r="AV23" t="s">
        <v>387</v>
      </c>
      <c r="AW23" s="48">
        <f>AM23</f>
        <v>12.5</v>
      </c>
      <c r="AX23" s="48">
        <f>AR23</f>
        <v>642.00080000000003</v>
      </c>
      <c r="AY23" s="48">
        <f>AU23+AW23</f>
        <v>12.5</v>
      </c>
      <c r="AZ23" s="48">
        <f>ROUND(((AU23*AV23)+(AW23*AX23))/(AU23+AW23),5)</f>
        <v>642.00080000000003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387</v>
      </c>
      <c r="BN23" t="s">
        <v>360</v>
      </c>
      <c r="BO23" s="48">
        <f>ROUND((((AW23*AZ23)+(BN23*BM23))/(AW23+BN23)),5)</f>
        <v>642.00080000000003</v>
      </c>
      <c r="BP23" s="53">
        <f>BN23+AW23</f>
        <v>75</v>
      </c>
      <c r="BQ23" s="54">
        <v>123562</v>
      </c>
    </row>
    <row r="24" spans="1:69" ht="15.75" thickBot="1">
      <c r="A24" s="25">
        <v>2</v>
      </c>
      <c r="B24" s="25" t="s">
        <v>330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322</v>
      </c>
      <c r="H24" s="26">
        <f t="shared" ref="H24" si="3">F24*G24</f>
        <v>6552</v>
      </c>
      <c r="I24" t="s">
        <v>386</v>
      </c>
      <c r="J24" s="26">
        <v>2</v>
      </c>
      <c r="K24" s="26">
        <v>2.5</v>
      </c>
      <c r="L24" s="26">
        <f t="shared" ref="L24" si="4">H24</f>
        <v>6552</v>
      </c>
      <c r="M24" s="26">
        <f t="shared" ref="M24" si="5">ROUND(L24*I24%,2)</f>
        <v>81.239999999999995</v>
      </c>
      <c r="N24" s="26">
        <f t="shared" ref="N24" si="6">H24-M24</f>
        <v>6470.76</v>
      </c>
      <c r="O24" s="26">
        <f t="shared" ref="O24" si="7">ROUND(N24*J24%,2)</f>
        <v>129.41999999999999</v>
      </c>
      <c r="P24" s="26">
        <f t="shared" ref="P24" si="8">ROUND(N24-O24,2)</f>
        <v>6341.34</v>
      </c>
      <c r="Q24" s="26">
        <f t="shared" ref="Q24" si="9">ROUND(P24*K24%,2)</f>
        <v>158.53</v>
      </c>
      <c r="R24" s="26">
        <f t="shared" ref="R24" si="10">ROUND((M24+O24+Q24),2)</f>
        <v>369.19</v>
      </c>
      <c r="S24" s="26">
        <f t="shared" ref="S24" si="11">ROUND((H24-R24),2)</f>
        <v>6182.81</v>
      </c>
      <c r="T24" s="55" t="s">
        <v>255</v>
      </c>
      <c r="U24" s="43">
        <v>0.18</v>
      </c>
      <c r="V24" s="26">
        <f t="shared" ref="V24" si="12">IF(OR($C$21=1,$C$21=4),ROUND(((S24*U24)/2),2),0)</f>
        <v>556.45000000000005</v>
      </c>
      <c r="W24" s="26">
        <f t="shared" ref="W24" si="13">IF($C$21=1,ROUND(((S24*U24)/2),2),0)</f>
        <v>556.45000000000005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1112.9000000000001</v>
      </c>
      <c r="AC24" s="25">
        <f t="shared" ref="AC24" si="18">IF($V22=1,S24+AB24,S24)</f>
        <v>6182.81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6182.81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441.62929000000003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441.62929000000003</v>
      </c>
      <c r="AS24" s="48" t="s">
        <v>216</v>
      </c>
      <c r="AT24" s="48" t="s">
        <v>58</v>
      </c>
      <c r="AU24" t="s">
        <v>218</v>
      </c>
      <c r="AV24" t="s">
        <v>388</v>
      </c>
      <c r="AW24" s="48">
        <f>AM24</f>
        <v>14</v>
      </c>
      <c r="AX24" s="48">
        <f>AR24</f>
        <v>441.62929000000003</v>
      </c>
      <c r="AY24" s="48">
        <f>AU24+AW24</f>
        <v>14</v>
      </c>
      <c r="AZ24" s="48">
        <f>ROUND(((AU24*AV24)+(AW24*AX24))/(AU24+AW24),5)</f>
        <v>441.62929000000003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388</v>
      </c>
      <c r="BN24" t="s">
        <v>361</v>
      </c>
      <c r="BO24" s="48">
        <f>ROUND((((AW24*AZ24)+(BN24*BM24))/(AW24+BN24)),5)</f>
        <v>441.62929000000003</v>
      </c>
      <c r="BP24" s="53">
        <f>BN24+AW24</f>
        <v>84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15152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944.18000000000006</v>
      </c>
      <c r="S25" s="30">
        <f>SUM(S23:S24)</f>
        <v>14207.82</v>
      </c>
      <c r="T25" s="30"/>
      <c r="U25" s="30"/>
      <c r="V25" s="39">
        <f t="shared" ref="V25:AE25" si="24">SUM(V23:V24)</f>
        <v>1278.7</v>
      </c>
      <c r="W25" s="39">
        <f t="shared" si="24"/>
        <v>1278.7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2557.4</v>
      </c>
      <c r="AC25" s="44">
        <f t="shared" si="24"/>
        <v>15652.32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14207.82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15152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944.18000000000006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14207.82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2557.4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16765.22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438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460</v>
      </c>
      <c r="H23" s="26">
        <f>F23*G23</f>
        <v>9000</v>
      </c>
      <c r="I23" t="s">
        <v>223</v>
      </c>
      <c r="J23" s="26">
        <v>2</v>
      </c>
      <c r="K23" s="26">
        <v>2.5</v>
      </c>
      <c r="L23" s="26">
        <f>H23</f>
        <v>9000</v>
      </c>
      <c r="M23" s="26">
        <f>ROUND(L23*I23%,2)</f>
        <v>180</v>
      </c>
      <c r="N23" s="26">
        <f>H23-M23</f>
        <v>8820</v>
      </c>
      <c r="O23" s="26">
        <f>ROUND(N23*J23%,2)</f>
        <v>176.4</v>
      </c>
      <c r="P23" s="26">
        <f>ROUND(N23-O23,2)</f>
        <v>8643.6</v>
      </c>
      <c r="Q23" s="26">
        <f>ROUND(P23*K23%,2)</f>
        <v>216.09</v>
      </c>
      <c r="R23" s="26">
        <f>ROUND((M23+O23+Q23),2)</f>
        <v>572.49</v>
      </c>
      <c r="S23" s="26">
        <f>ROUND((H23-R23),2)</f>
        <v>8427.51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1516.95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1516.95</v>
      </c>
      <c r="AC23" s="25">
        <f>IF($V21=1,S23+AB23,S23)</f>
        <v>9944.4600000000009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8427.51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1685.502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1685.502</v>
      </c>
      <c r="AS23" s="48" t="s">
        <v>472</v>
      </c>
      <c r="AT23" s="48" t="s">
        <v>58</v>
      </c>
      <c r="AW23" s="48">
        <f>AM23</f>
        <v>5</v>
      </c>
      <c r="AX23" s="48">
        <f>AR23</f>
        <v>1685.502</v>
      </c>
      <c r="AY23" s="48">
        <f>AU23+AW23</f>
        <v>5</v>
      </c>
      <c r="AZ23" s="48">
        <f>ROUND(((AU23*AV23)+(AW23*AX23))/(AU23+AW23),5)</f>
        <v>1685.502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471</v>
      </c>
      <c r="BM23" t="s">
        <v>218</v>
      </c>
      <c r="BN23" t="s">
        <v>218</v>
      </c>
      <c r="BO23" s="48">
        <f>ROUND((((AW23*AZ23)+(BN23*BM23))/(AW23+BN23)),5)</f>
        <v>1685.502</v>
      </c>
      <c r="BP23" s="53">
        <f>BN23+AW23</f>
        <v>5</v>
      </c>
      <c r="BQ23" s="54">
        <v>88363222</v>
      </c>
    </row>
    <row r="24" spans="1:69" ht="15.75" thickBot="1">
      <c r="A24" s="25">
        <v>2</v>
      </c>
      <c r="B24" s="25" t="s">
        <v>439</v>
      </c>
      <c r="C24" s="25" t="s">
        <v>175</v>
      </c>
      <c r="D24" s="25" t="s">
        <v>58</v>
      </c>
      <c r="E24" s="25" t="s">
        <v>163</v>
      </c>
      <c r="F24" s="26">
        <v>30</v>
      </c>
      <c r="G24" t="s">
        <v>421</v>
      </c>
      <c r="H24" s="26">
        <f t="shared" ref="H24" si="3">F24*G24</f>
        <v>15000</v>
      </c>
      <c r="I24" t="s">
        <v>223</v>
      </c>
      <c r="J24" s="26">
        <v>2</v>
      </c>
      <c r="K24" s="26">
        <v>2.5</v>
      </c>
      <c r="L24" s="26">
        <f t="shared" ref="L24" si="4">H24</f>
        <v>15000</v>
      </c>
      <c r="M24" s="26">
        <f t="shared" ref="M24" si="5">ROUND(L24*I24%,2)</f>
        <v>300</v>
      </c>
      <c r="N24" s="26">
        <f t="shared" ref="N24" si="6">H24-M24</f>
        <v>14700</v>
      </c>
      <c r="O24" s="26">
        <f t="shared" ref="O24" si="7">ROUND(N24*J24%,2)</f>
        <v>294</v>
      </c>
      <c r="P24" s="26">
        <f t="shared" ref="P24" si="8">ROUND(N24-O24,2)</f>
        <v>14406</v>
      </c>
      <c r="Q24" s="26">
        <f t="shared" ref="Q24" si="9">ROUND(P24*K24%,2)</f>
        <v>360.15</v>
      </c>
      <c r="R24" s="26">
        <f t="shared" ref="R24" si="10">ROUND((M24+O24+Q24),2)</f>
        <v>954.15</v>
      </c>
      <c r="S24" s="26">
        <f t="shared" ref="S24" si="11">ROUND((H24-R24),2)</f>
        <v>14045.85</v>
      </c>
      <c r="T24" s="55" t="s">
        <v>255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2528.25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2528.25</v>
      </c>
      <c r="AC24" s="25">
        <f t="shared" ref="AC24" si="18">IF($V22=1,S24+AB24,S24)</f>
        <v>14045.85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14045.85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10</v>
      </c>
      <c r="AN24" s="55">
        <f t="shared" ref="AN24" si="20">ROUND(AI24/AM24,5)</f>
        <v>1404.585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1404.585</v>
      </c>
      <c r="AS24" s="48" t="s">
        <v>472</v>
      </c>
      <c r="AT24" s="48" t="s">
        <v>58</v>
      </c>
      <c r="AW24" s="48">
        <f>AM24</f>
        <v>10</v>
      </c>
      <c r="AX24" s="48">
        <f>AR24</f>
        <v>1404.585</v>
      </c>
      <c r="AY24" s="48">
        <f>AU24+AW24</f>
        <v>10</v>
      </c>
      <c r="AZ24" s="48">
        <f>ROUND(((AU24*AV24)+(AW24*AX24))/(AU24+AW24),5)</f>
        <v>1404.585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471</v>
      </c>
      <c r="BM24" t="s">
        <v>218</v>
      </c>
      <c r="BN24" t="s">
        <v>218</v>
      </c>
      <c r="BO24" s="48">
        <f>ROUND((((AW24*AZ24)+(BN24*BM24))/(AW24+BN24)),5)</f>
        <v>1404.585</v>
      </c>
      <c r="BP24" s="53">
        <f>BN24+AW24</f>
        <v>10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24000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1526.6399999999999</v>
      </c>
      <c r="S25" s="30">
        <f>SUM(S23:S24)</f>
        <v>22473.360000000001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4045.2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4045.2</v>
      </c>
      <c r="AC25" s="44">
        <f t="shared" si="24"/>
        <v>23990.31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22473.360000000001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24000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1526.6399999999999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22473.360000000001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4045.2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26518.560000000001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471</v>
      </c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70" t="s">
        <v>87</v>
      </c>
      <c r="C19" s="171"/>
      <c r="D19" s="171"/>
      <c r="E19" s="171"/>
      <c r="F19" s="171"/>
      <c r="G19" s="17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7" t="s">
        <v>89</v>
      </c>
      <c r="B21" s="17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446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368</v>
      </c>
      <c r="H23" s="26">
        <f>F23*G23</f>
        <v>3555</v>
      </c>
      <c r="I23" t="s">
        <v>369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5" t="s">
        <v>422</v>
      </c>
      <c r="AT23" s="48" t="s">
        <v>58</v>
      </c>
      <c r="AU23" t="s">
        <v>218</v>
      </c>
      <c r="AV23" t="s">
        <v>366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254</v>
      </c>
      <c r="BM23" t="s">
        <v>366</v>
      </c>
      <c r="BN23" t="s">
        <v>391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.75" thickBot="1">
      <c r="A24" s="25">
        <v>2</v>
      </c>
      <c r="B24" s="25" t="s">
        <v>447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370</v>
      </c>
      <c r="H24" s="26">
        <f t="shared" ref="H24" si="3">F24*G24</f>
        <v>10944</v>
      </c>
      <c r="I24" t="s">
        <v>308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255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5" t="s">
        <v>422</v>
      </c>
      <c r="AT24" s="48" t="s">
        <v>58</v>
      </c>
      <c r="AU24" t="s">
        <v>218</v>
      </c>
      <c r="AV24" t="s">
        <v>367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254</v>
      </c>
      <c r="BM24" t="s">
        <v>408</v>
      </c>
      <c r="BN24" t="s">
        <v>407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75">
        <f>H25</f>
        <v>14499</v>
      </c>
      <c r="J27" s="176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75">
        <f>R25</f>
        <v>1001.74</v>
      </c>
      <c r="J28" s="17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75">
        <f>S25</f>
        <v>13497.26</v>
      </c>
      <c r="J29" s="17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75">
        <f>AB25</f>
        <v>2429.5</v>
      </c>
      <c r="J30" s="17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73">
        <f>I29+I30</f>
        <v>15926.76</v>
      </c>
      <c r="J31" s="17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70" t="s">
        <v>87</v>
      </c>
      <c r="C19" s="171"/>
      <c r="D19" s="171"/>
      <c r="E19" s="171"/>
      <c r="F19" s="171"/>
      <c r="G19" s="17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7" t="s">
        <v>89</v>
      </c>
      <c r="B21" s="17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448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421</v>
      </c>
      <c r="H23" s="26">
        <f>F23*G23</f>
        <v>6511.95</v>
      </c>
      <c r="I23" t="s">
        <v>223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5" t="s">
        <v>422</v>
      </c>
      <c r="AT23" s="48" t="s">
        <v>58</v>
      </c>
      <c r="AU23" t="s">
        <v>218</v>
      </c>
      <c r="AV23" t="s">
        <v>500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254</v>
      </c>
      <c r="BM23" t="s">
        <v>503</v>
      </c>
      <c r="BN23" t="s">
        <v>502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.75" thickBot="1">
      <c r="A24" s="25">
        <v>2</v>
      </c>
      <c r="B24" s="25" t="s">
        <v>449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497</v>
      </c>
      <c r="H24" s="26">
        <f t="shared" ref="H24" si="3">F24*G24</f>
        <v>5340</v>
      </c>
      <c r="I24" t="s">
        <v>284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255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5" t="s">
        <v>422</v>
      </c>
      <c r="AT24" s="48" t="s">
        <v>58</v>
      </c>
      <c r="AU24" t="s">
        <v>218</v>
      </c>
      <c r="AV24" t="s">
        <v>501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254</v>
      </c>
      <c r="BM24" t="s">
        <v>501</v>
      </c>
      <c r="BN24" t="s">
        <v>504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75">
        <f>H25</f>
        <v>11851.95</v>
      </c>
      <c r="J27" s="176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75">
        <f>R25</f>
        <v>897.01</v>
      </c>
      <c r="J28" s="17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75">
        <f>S25</f>
        <v>10954.94</v>
      </c>
      <c r="J29" s="17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75">
        <f>AB25</f>
        <v>1971.9</v>
      </c>
      <c r="J30" s="17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73">
        <f>I29+I30</f>
        <v>12926.84</v>
      </c>
      <c r="J31" s="17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70" t="s">
        <v>87</v>
      </c>
      <c r="C19" s="171"/>
      <c r="D19" s="171"/>
      <c r="E19" s="171"/>
      <c r="F19" s="171"/>
      <c r="G19" s="17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7" t="s">
        <v>89</v>
      </c>
      <c r="B21" s="17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444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5" t="s">
        <v>422</v>
      </c>
      <c r="AT23" s="48" t="s">
        <v>58</v>
      </c>
      <c r="AU23" t="s">
        <v>218</v>
      </c>
      <c r="AV23" t="s">
        <v>253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254</v>
      </c>
      <c r="BM23" t="s">
        <v>253</v>
      </c>
      <c r="BN23" t="s">
        <v>389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.75" thickBot="1">
      <c r="A24" s="25">
        <v>2</v>
      </c>
      <c r="B24" s="144" t="s">
        <v>445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255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5" t="s">
        <v>422</v>
      </c>
      <c r="AT24" s="48" t="s">
        <v>58</v>
      </c>
      <c r="AU24" t="s">
        <v>218</v>
      </c>
      <c r="AV24" t="s">
        <v>365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254</v>
      </c>
      <c r="BM24" t="s">
        <v>365</v>
      </c>
      <c r="BN24" t="s">
        <v>390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75">
        <f>H25</f>
        <v>6443.34</v>
      </c>
      <c r="J27" s="176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75">
        <f>R25</f>
        <v>348.28999999999996</v>
      </c>
      <c r="J28" s="17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75">
        <f>S25</f>
        <v>6095.05</v>
      </c>
      <c r="J29" s="17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75">
        <f>AB25</f>
        <v>1097.0999999999999</v>
      </c>
      <c r="J30" s="17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73">
        <f>I29+I30</f>
        <v>7192.15</v>
      </c>
      <c r="J31" s="17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436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359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422</v>
      </c>
      <c r="AT23" s="48" t="s">
        <v>58</v>
      </c>
      <c r="AU23" t="s">
        <v>218</v>
      </c>
      <c r="AV23" t="s">
        <v>357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254</v>
      </c>
      <c r="BM23" t="s">
        <v>357</v>
      </c>
      <c r="BN23" t="s">
        <v>391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.75" thickBot="1">
      <c r="A24" s="25">
        <v>2</v>
      </c>
      <c r="B24" s="25" t="s">
        <v>437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252</v>
      </c>
      <c r="H24" s="26">
        <f t="shared" ref="H24" si="3">F24*G24</f>
        <v>4140</v>
      </c>
      <c r="I24" t="s">
        <v>284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255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422</v>
      </c>
      <c r="AT24" s="48" t="s">
        <v>58</v>
      </c>
      <c r="AU24" t="s">
        <v>218</v>
      </c>
      <c r="AV24" t="s">
        <v>358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254</v>
      </c>
      <c r="BM24" t="s">
        <v>358</v>
      </c>
      <c r="BN24" t="s">
        <v>392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4545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328.67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4216.33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758.93999999999994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4975.2699999999995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abSelected="1" topLeftCell="BK13" workbookViewId="0">
      <selection activeCell="BN29" sqref="BN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52" t="s">
        <v>47</v>
      </c>
      <c r="B2" s="152"/>
      <c r="C2" s="152"/>
      <c r="D2" s="152"/>
      <c r="E2" s="152"/>
      <c r="F2" s="152"/>
      <c r="G2" s="152"/>
      <c r="H2" s="15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375</v>
      </c>
      <c r="H23" s="26">
        <f>F23*G23</f>
        <v>4800</v>
      </c>
      <c r="I23" t="s">
        <v>284</v>
      </c>
      <c r="J23" s="26">
        <v>2</v>
      </c>
      <c r="K23" s="26">
        <v>2.5</v>
      </c>
      <c r="L23" s="26">
        <f>H23</f>
        <v>4800</v>
      </c>
      <c r="M23" s="26">
        <f>ROUND(L23*I23%,2)</f>
        <v>144</v>
      </c>
      <c r="N23" s="26">
        <f>H23-M23</f>
        <v>4656</v>
      </c>
      <c r="O23" s="26">
        <f>ROUND(N23*J23%,2)</f>
        <v>93.12</v>
      </c>
      <c r="P23" s="26">
        <f>ROUND(N23-O23,2)</f>
        <v>4562.88</v>
      </c>
      <c r="Q23" s="26">
        <f>ROUND(P23*K23%,2)</f>
        <v>114.07</v>
      </c>
      <c r="R23" s="26">
        <f>ROUND((M23+O23+Q23),2)</f>
        <v>351.19</v>
      </c>
      <c r="S23" s="26">
        <f>ROUND((H23-R23),2)</f>
        <v>4448.8100000000004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800.79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800.79</v>
      </c>
      <c r="AC23" s="25">
        <f>IF($V21=1,S23+AB23,S23)</f>
        <v>5249.6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4448.8100000000004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1112.2025000000001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1112.2025000000001</v>
      </c>
      <c r="AS23" s="48" t="s">
        <v>472</v>
      </c>
      <c r="AT23" s="48" t="s">
        <v>58</v>
      </c>
      <c r="AW23" s="48">
        <f>AM23</f>
        <v>4</v>
      </c>
      <c r="AX23" s="48">
        <f>AR23</f>
        <v>1112.2025000000001</v>
      </c>
      <c r="AY23" s="48">
        <f>AU23+AW23</f>
        <v>4</v>
      </c>
      <c r="AZ23" s="48">
        <f>ROUND(((AU23*AV23)+(AW23*AX23))/(AU23+AW23),5)</f>
        <v>1112.2025000000001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471</v>
      </c>
      <c r="BO23" s="48">
        <f>ROUND((((AW23*AZ23)+(BN23*BM23))/(AW23+BN23)),5)</f>
        <v>1112.2025000000001</v>
      </c>
      <c r="BP23" s="53">
        <f>BN23+AW23</f>
        <v>4</v>
      </c>
      <c r="BQ23" s="54">
        <v>88363222</v>
      </c>
    </row>
    <row r="24" spans="1:69" ht="15.7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497</v>
      </c>
      <c r="H24" s="26">
        <f t="shared" ref="H24" si="3">F24*G24</f>
        <v>4500</v>
      </c>
      <c r="I24" t="s">
        <v>223</v>
      </c>
      <c r="J24" s="26">
        <v>2</v>
      </c>
      <c r="K24" s="26">
        <v>2.5</v>
      </c>
      <c r="L24" s="26">
        <f t="shared" ref="L24" si="4">H24</f>
        <v>4500</v>
      </c>
      <c r="M24" s="26">
        <f t="shared" ref="M24" si="5">ROUND(L24*I24%,2)</f>
        <v>90</v>
      </c>
      <c r="N24" s="26">
        <f t="shared" ref="N24" si="6">H24-M24</f>
        <v>4410</v>
      </c>
      <c r="O24" s="26">
        <f t="shared" ref="O24" si="7">ROUND(N24*J24%,2)</f>
        <v>88.2</v>
      </c>
      <c r="P24" s="26">
        <f t="shared" ref="P24" si="8">ROUND(N24-O24,2)</f>
        <v>4321.8</v>
      </c>
      <c r="Q24" s="26">
        <f t="shared" ref="Q24" si="9">ROUND(P24*K24%,2)</f>
        <v>108.05</v>
      </c>
      <c r="R24" s="26">
        <f t="shared" ref="R24" si="10">ROUND((M24+O24+Q24),2)</f>
        <v>286.25</v>
      </c>
      <c r="S24" s="26">
        <f t="shared" ref="S24" si="11">ROUND((H24-R24),2)</f>
        <v>4213.75</v>
      </c>
      <c r="T24" s="55" t="s">
        <v>255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758.48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758.48</v>
      </c>
      <c r="AC24" s="25">
        <f t="shared" ref="AC24" si="18">IF($V22=1,S24+AB24,S24)</f>
        <v>4213.75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4213.75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842.75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842.75</v>
      </c>
      <c r="AS24" s="48" t="s">
        <v>472</v>
      </c>
      <c r="AT24" s="48" t="s">
        <v>58</v>
      </c>
      <c r="AW24" s="48">
        <f>AM24</f>
        <v>5</v>
      </c>
      <c r="AX24" s="48">
        <f>AR24</f>
        <v>842.75</v>
      </c>
      <c r="AY24" s="48">
        <f>AU24+AW24</f>
        <v>5</v>
      </c>
      <c r="AZ24" s="48">
        <f>ROUND(((AU24*AV24)+(AW24*AX24))/(AU24+AW24),5)</f>
        <v>842.75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471</v>
      </c>
      <c r="BO24" s="48">
        <f>ROUND((((AW24*AZ24)+(BN24*BM24))/(AW24+BN24)),5)</f>
        <v>842.75</v>
      </c>
      <c r="BP24" s="53">
        <f>BN24+AW24</f>
        <v>5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9300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637.44000000000005</v>
      </c>
      <c r="S25" s="30">
        <f>SUM(S23:S24)</f>
        <v>8662.5600000000013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1559.27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1559.27</v>
      </c>
      <c r="AC25" s="44">
        <f t="shared" si="24"/>
        <v>9463.35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8662.5600000000013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9300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637.44000000000005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8662.5600000000013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1559.27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10221.830000000002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4" sqref="D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51" t="s">
        <v>47</v>
      </c>
      <c r="B2" s="151"/>
      <c r="C2" s="151"/>
      <c r="D2" s="151"/>
      <c r="E2" s="151"/>
      <c r="F2" s="151"/>
      <c r="G2" s="151"/>
      <c r="H2" s="15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495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375</v>
      </c>
      <c r="H23" s="26">
        <f>F23*G23</f>
        <v>4800</v>
      </c>
      <c r="I23" t="s">
        <v>284</v>
      </c>
      <c r="J23" s="26">
        <v>2</v>
      </c>
      <c r="K23" s="26">
        <v>2.5</v>
      </c>
      <c r="L23" s="26">
        <f>H23</f>
        <v>4800</v>
      </c>
      <c r="M23" s="26">
        <f>ROUND(L23*I23%,2)</f>
        <v>144</v>
      </c>
      <c r="N23" s="26">
        <f>H23-M23</f>
        <v>4656</v>
      </c>
      <c r="O23" s="26">
        <f>ROUND(N23*J23%,2)</f>
        <v>93.12</v>
      </c>
      <c r="P23" s="26">
        <f>ROUND(N23-O23,2)</f>
        <v>4562.88</v>
      </c>
      <c r="Q23" s="26">
        <f>ROUND(P23*K23%,2)</f>
        <v>114.07</v>
      </c>
      <c r="R23" s="26">
        <f>ROUND((M23+O23+Q23),2)</f>
        <v>351.19</v>
      </c>
      <c r="S23" s="26">
        <f>ROUND((H23-R23),2)</f>
        <v>4448.8100000000004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800.79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800.79</v>
      </c>
      <c r="AC23" s="25">
        <f>IF($V21=1,S23+AB23,S23)</f>
        <v>5249.6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4448.8100000000004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1112.2025000000001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1112.2025000000001</v>
      </c>
      <c r="AS23" s="48" t="s">
        <v>472</v>
      </c>
      <c r="AT23" s="48" t="s">
        <v>58</v>
      </c>
      <c r="AW23" s="48">
        <f>AM23</f>
        <v>4</v>
      </c>
      <c r="AX23" s="48">
        <f>AR23</f>
        <v>1112.2025000000001</v>
      </c>
      <c r="AY23" s="48">
        <f>AU23+AW23</f>
        <v>4</v>
      </c>
      <c r="AZ23" s="48">
        <f>ROUND(((AU23*AV23)+(AW23*AX23))/(AU23+AW23),5)</f>
        <v>1112.2025000000001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471</v>
      </c>
      <c r="BO23" s="48">
        <f>ROUND((((AW23*AZ23)+(BN23*BM23))/(AW23+BN23)),5)</f>
        <v>1112.2025000000001</v>
      </c>
      <c r="BP23" s="53">
        <f>BN23+AW23</f>
        <v>4</v>
      </c>
      <c r="BQ23" s="54">
        <v>88363222</v>
      </c>
    </row>
    <row r="24" spans="1:69" ht="15.75" thickBot="1">
      <c r="A24" s="25">
        <v>2</v>
      </c>
      <c r="B24" s="25" t="s">
        <v>496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497</v>
      </c>
      <c r="H24" s="26">
        <f t="shared" ref="H24" si="3">F24*G24</f>
        <v>4500</v>
      </c>
      <c r="I24" t="s">
        <v>223</v>
      </c>
      <c r="J24" s="26">
        <v>2</v>
      </c>
      <c r="K24" s="26">
        <v>2.5</v>
      </c>
      <c r="L24" s="26">
        <f t="shared" ref="L24" si="4">H24</f>
        <v>4500</v>
      </c>
      <c r="M24" s="26">
        <f t="shared" ref="M24" si="5">ROUND(L24*I24%,2)</f>
        <v>90</v>
      </c>
      <c r="N24" s="26">
        <f t="shared" ref="N24" si="6">H24-M24</f>
        <v>4410</v>
      </c>
      <c r="O24" s="26">
        <f t="shared" ref="O24" si="7">ROUND(N24*J24%,2)</f>
        <v>88.2</v>
      </c>
      <c r="P24" s="26">
        <f t="shared" ref="P24" si="8">ROUND(N24-O24,2)</f>
        <v>4321.8</v>
      </c>
      <c r="Q24" s="26">
        <f t="shared" ref="Q24" si="9">ROUND(P24*K24%,2)</f>
        <v>108.05</v>
      </c>
      <c r="R24" s="26">
        <f t="shared" ref="R24" si="10">ROUND((M24+O24+Q24),2)</f>
        <v>286.25</v>
      </c>
      <c r="S24" s="26">
        <f t="shared" ref="S24" si="11">ROUND((H24-R24),2)</f>
        <v>4213.75</v>
      </c>
      <c r="T24" s="55" t="s">
        <v>255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758.48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758.48</v>
      </c>
      <c r="AC24" s="25">
        <f t="shared" ref="AC24" si="18">IF($V22=1,S24+AB24,S24)</f>
        <v>4213.75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4213.75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842.75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842.75</v>
      </c>
      <c r="AS24" s="48" t="s">
        <v>472</v>
      </c>
      <c r="AT24" s="48" t="s">
        <v>58</v>
      </c>
      <c r="AW24" s="48">
        <f>AM24</f>
        <v>5</v>
      </c>
      <c r="AX24" s="48">
        <f>AR24</f>
        <v>842.75</v>
      </c>
      <c r="AY24" s="48">
        <f>AU24+AW24</f>
        <v>5</v>
      </c>
      <c r="AZ24" s="48">
        <f>ROUND(((AU24*AV24)+(AW24*AX24))/(AU24+AW24),5)</f>
        <v>842.75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471</v>
      </c>
      <c r="BO24" s="48">
        <f>ROUND((((AW24*AZ24)+(BN24*BM24))/(AW24+BN24)),5)</f>
        <v>842.75</v>
      </c>
      <c r="BP24" s="53">
        <f>BN24+AW24</f>
        <v>5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9300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637.44000000000005</v>
      </c>
      <c r="S25" s="30">
        <f>SUM(S23:S24)</f>
        <v>8662.5600000000013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1559.27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1559.27</v>
      </c>
      <c r="AC25" s="44">
        <f t="shared" si="24"/>
        <v>9463.35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8662.5600000000013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9300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637.44000000000005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8662.5600000000013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1559.27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10221.830000000002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50" t="s">
        <v>47</v>
      </c>
      <c r="B2" s="150"/>
      <c r="C2" s="150"/>
      <c r="D2" s="150"/>
      <c r="E2" s="150"/>
      <c r="F2" s="150"/>
      <c r="G2" s="150"/>
      <c r="H2" s="15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492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494</v>
      </c>
      <c r="H23" s="26">
        <f>F23*G23</f>
        <v>2796</v>
      </c>
      <c r="I23" t="s">
        <v>223</v>
      </c>
      <c r="J23" s="26">
        <v>2</v>
      </c>
      <c r="K23" s="26">
        <v>2.5</v>
      </c>
      <c r="L23" s="26">
        <f>H23</f>
        <v>2796</v>
      </c>
      <c r="M23" s="26">
        <f>ROUND(L23*I23%,2)</f>
        <v>55.92</v>
      </c>
      <c r="N23" s="26">
        <f>H23-M23</f>
        <v>2740.08</v>
      </c>
      <c r="O23" s="26">
        <f>ROUND(N23*J23%,2)</f>
        <v>54.8</v>
      </c>
      <c r="P23" s="26">
        <f>ROUND(N23-O23,2)</f>
        <v>2685.28</v>
      </c>
      <c r="Q23" s="26">
        <f>ROUND(P23*K23%,2)</f>
        <v>67.13</v>
      </c>
      <c r="R23" s="26">
        <f>ROUND((M23+O23+Q23),2)</f>
        <v>177.85</v>
      </c>
      <c r="S23" s="26">
        <f>ROUND((H23-R23),2)</f>
        <v>2618.15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471.27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471.27</v>
      </c>
      <c r="AC23" s="25">
        <f>IF($V21=1,S23+AB23,S23)</f>
        <v>3089.42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2618.15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654.53750000000002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654.53750000000002</v>
      </c>
      <c r="AS23" s="48" t="s">
        <v>472</v>
      </c>
      <c r="AT23" s="48" t="s">
        <v>58</v>
      </c>
      <c r="AW23" s="48">
        <f>AM23</f>
        <v>4</v>
      </c>
      <c r="AX23" s="48">
        <f>AR23</f>
        <v>654.53750000000002</v>
      </c>
      <c r="AY23" s="48">
        <f>AU23+AW23</f>
        <v>4</v>
      </c>
      <c r="AZ23" s="48">
        <f>ROUND(((AU23*AV23)+(AW23*AX23))/(AU23+AW23),5)</f>
        <v>654.53750000000002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471</v>
      </c>
      <c r="BO23" s="48">
        <f>ROUND((((AW23*AZ23)+(BN23*BM23))/(AW23+BN23)),5)</f>
        <v>654.53750000000002</v>
      </c>
      <c r="BP23" s="53">
        <f>BN23+AW23</f>
        <v>4</v>
      </c>
      <c r="BQ23" s="54">
        <v>88363222</v>
      </c>
    </row>
    <row r="24" spans="1:69" ht="15.75" thickBot="1">
      <c r="A24" s="25">
        <v>2</v>
      </c>
      <c r="B24" s="25" t="s">
        <v>493</v>
      </c>
      <c r="C24" s="25" t="s">
        <v>175</v>
      </c>
      <c r="D24" s="25" t="s">
        <v>58</v>
      </c>
      <c r="E24" s="25" t="s">
        <v>163</v>
      </c>
      <c r="F24" s="26">
        <v>16</v>
      </c>
      <c r="G24" t="s">
        <v>355</v>
      </c>
      <c r="H24" s="26">
        <f t="shared" ref="H24" si="3">F24*G24</f>
        <v>7280</v>
      </c>
      <c r="I24" t="s">
        <v>284</v>
      </c>
      <c r="J24" s="26">
        <v>2</v>
      </c>
      <c r="K24" s="26">
        <v>2.5</v>
      </c>
      <c r="L24" s="26">
        <f t="shared" ref="L24" si="4">H24</f>
        <v>7280</v>
      </c>
      <c r="M24" s="26">
        <f t="shared" ref="M24" si="5">ROUND(L24*I24%,2)</f>
        <v>218.4</v>
      </c>
      <c r="N24" s="26">
        <f t="shared" ref="N24" si="6">H24-M24</f>
        <v>7061.6</v>
      </c>
      <c r="O24" s="26">
        <f t="shared" ref="O24" si="7">ROUND(N24*J24%,2)</f>
        <v>141.22999999999999</v>
      </c>
      <c r="P24" s="26">
        <f t="shared" ref="P24" si="8">ROUND(N24-O24,2)</f>
        <v>6920.37</v>
      </c>
      <c r="Q24" s="26">
        <f t="shared" ref="Q24" si="9">ROUND(P24*K24%,2)</f>
        <v>173.01</v>
      </c>
      <c r="R24" s="26">
        <f t="shared" ref="R24" si="10">ROUND((M24+O24+Q24),2)</f>
        <v>532.64</v>
      </c>
      <c r="S24" s="26">
        <f t="shared" ref="S24" si="11">ROUND((H24-R24),2)</f>
        <v>6747.36</v>
      </c>
      <c r="T24" s="55" t="s">
        <v>255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1214.52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1214.52</v>
      </c>
      <c r="AC24" s="25">
        <f t="shared" ref="AC24" si="18">IF($V22=1,S24+AB24,S24)</f>
        <v>6747.36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6747.36</v>
      </c>
      <c r="AJ24" s="55">
        <f t="shared" ref="AJ24" si="19">IF($C$21=3,0,AG24+AH24)</f>
        <v>0</v>
      </c>
      <c r="AK24" s="55">
        <f t="shared" si="2"/>
        <v>0</v>
      </c>
      <c r="AL24" s="74">
        <v>4</v>
      </c>
      <c r="AM24" s="55">
        <f>F24/AL24</f>
        <v>4</v>
      </c>
      <c r="AN24" s="55">
        <f t="shared" ref="AN24" si="20">ROUND(AI24/AM24,5)</f>
        <v>1686.84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1686.84</v>
      </c>
      <c r="AS24" s="48" t="s">
        <v>472</v>
      </c>
      <c r="AT24" s="48" t="s">
        <v>58</v>
      </c>
      <c r="AW24" s="48">
        <f>AM24</f>
        <v>4</v>
      </c>
      <c r="AX24" s="48">
        <f>AR24</f>
        <v>1686.84</v>
      </c>
      <c r="AY24" s="48">
        <f>AU24+AW24</f>
        <v>4</v>
      </c>
      <c r="AZ24" s="48">
        <f>ROUND(((AU24*AV24)+(AW24*AX24))/(AU24+AW24),5)</f>
        <v>1686.84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471</v>
      </c>
      <c r="BO24" s="48">
        <f>ROUND((((AW24*AZ24)+(BN24*BM24))/(AW24+BN24)),5)</f>
        <v>1686.84</v>
      </c>
      <c r="BP24" s="53">
        <f>BN24+AW24</f>
        <v>4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10076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710.49</v>
      </c>
      <c r="S25" s="30">
        <f>SUM(S23:S24)</f>
        <v>9365.51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1685.79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1685.79</v>
      </c>
      <c r="AC25" s="44">
        <f t="shared" si="24"/>
        <v>9836.7799999999988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9365.51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10076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710.49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9365.51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1685.79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11051.3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30:H30"/>
    <mergeCell ref="I30:J30"/>
    <mergeCell ref="B19:G19"/>
    <mergeCell ref="A21:B21"/>
    <mergeCell ref="A1:AC1"/>
    <mergeCell ref="G29:H29"/>
    <mergeCell ref="I29:J29"/>
    <mergeCell ref="G27:H27"/>
    <mergeCell ref="I27:J27"/>
    <mergeCell ref="G28:H28"/>
    <mergeCell ref="I28:J28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1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438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250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422</v>
      </c>
      <c r="AT23" s="48" t="s">
        <v>58</v>
      </c>
      <c r="AU23" t="s">
        <v>251</v>
      </c>
      <c r="AV23" t="s">
        <v>305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254</v>
      </c>
      <c r="BM23" t="s">
        <v>305</v>
      </c>
      <c r="BN23" t="s">
        <v>403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.75" thickBot="1">
      <c r="A24" s="25">
        <v>2</v>
      </c>
      <c r="B24" s="25" t="s">
        <v>439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250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255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422</v>
      </c>
      <c r="AT24" s="48" t="s">
        <v>58</v>
      </c>
      <c r="AU24" t="s">
        <v>306</v>
      </c>
      <c r="AV24" t="s">
        <v>307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254</v>
      </c>
      <c r="BM24" t="s">
        <v>307</v>
      </c>
      <c r="BN24" t="s">
        <v>404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2700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171.75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2528.25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455.08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2983.33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433</v>
      </c>
      <c r="C23" s="25" t="s">
        <v>162</v>
      </c>
      <c r="D23" s="25" t="s">
        <v>58</v>
      </c>
      <c r="E23" s="25" t="s">
        <v>163</v>
      </c>
      <c r="F23" s="26">
        <v>12</v>
      </c>
      <c r="G23" s="26">
        <v>257.63</v>
      </c>
      <c r="H23" s="26">
        <f>F23*G23</f>
        <v>3091.56</v>
      </c>
      <c r="I23" s="26">
        <v>1</v>
      </c>
      <c r="J23" s="26">
        <v>2</v>
      </c>
      <c r="K23" s="26">
        <v>2.5</v>
      </c>
      <c r="L23" s="26">
        <f>H23</f>
        <v>3091.56</v>
      </c>
      <c r="M23" s="26">
        <f>ROUND(L23*I23%,2)</f>
        <v>30.92</v>
      </c>
      <c r="N23" s="26">
        <f>H23-M23</f>
        <v>3060.64</v>
      </c>
      <c r="O23" s="26">
        <f>ROUND(N23*J23%,2)</f>
        <v>61.21</v>
      </c>
      <c r="P23" s="26">
        <f>ROUND(N23-O23,2)</f>
        <v>2999.43</v>
      </c>
      <c r="Q23" s="26">
        <f>ROUND(P23*K23%,2)</f>
        <v>74.989999999999995</v>
      </c>
      <c r="R23" s="26">
        <f>ROUND((M23+O23+Q23),2)</f>
        <v>167.12</v>
      </c>
      <c r="S23" s="26">
        <f>ROUND((H23-R23),2)</f>
        <v>2924.44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526.4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526.4</v>
      </c>
      <c r="AC23" s="25">
        <f>IF($V21=1,S23+AB23,S23)</f>
        <v>3450.84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2924.44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472</v>
      </c>
      <c r="AT23" s="48" t="s">
        <v>58</v>
      </c>
      <c r="AW23" s="48">
        <f>AM23</f>
        <v>4</v>
      </c>
      <c r="AX23" s="48">
        <f>AR23</f>
        <v>731.11</v>
      </c>
      <c r="AY23" s="48">
        <f>AU23+AW23</f>
        <v>4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471</v>
      </c>
      <c r="BM23" t="s">
        <v>218</v>
      </c>
      <c r="BN23" t="s">
        <v>218</v>
      </c>
      <c r="BO23" s="48">
        <f>ROUND((((AW23*AZ23)+(BN23*BM23))/(AW23+BN23)),5)</f>
        <v>731.11</v>
      </c>
      <c r="BP23" s="53">
        <f>BN23+AW23</f>
        <v>4</v>
      </c>
      <c r="BQ23" s="54">
        <v>88363222</v>
      </c>
    </row>
    <row r="24" spans="1:69" ht="15.75" thickBot="1">
      <c r="A24" s="25">
        <v>2</v>
      </c>
      <c r="B24" s="25" t="s">
        <v>432</v>
      </c>
      <c r="C24" s="25" t="s">
        <v>175</v>
      </c>
      <c r="D24" s="25" t="s">
        <v>58</v>
      </c>
      <c r="E24" s="25" t="s">
        <v>163</v>
      </c>
      <c r="F24" s="26">
        <v>15</v>
      </c>
      <c r="G24" s="26">
        <v>150.5</v>
      </c>
      <c r="H24" s="26">
        <f t="shared" ref="H24" si="3">F24*G24</f>
        <v>2257.5</v>
      </c>
      <c r="I24" s="26">
        <v>1</v>
      </c>
      <c r="J24" s="26">
        <v>2</v>
      </c>
      <c r="K24" s="26">
        <v>2.5</v>
      </c>
      <c r="L24" s="26">
        <f t="shared" ref="L24" si="4">H24</f>
        <v>2257.5</v>
      </c>
      <c r="M24" s="26">
        <f t="shared" ref="M24" si="5">ROUND(L24*I24%,2)</f>
        <v>22.58</v>
      </c>
      <c r="N24" s="26">
        <f t="shared" ref="N24" si="6">H24-M24</f>
        <v>2234.92</v>
      </c>
      <c r="O24" s="26">
        <f t="shared" ref="O24" si="7">ROUND(N24*J24%,2)</f>
        <v>44.7</v>
      </c>
      <c r="P24" s="26">
        <f t="shared" ref="P24" si="8">ROUND(N24-O24,2)</f>
        <v>2190.2199999999998</v>
      </c>
      <c r="Q24" s="26">
        <f t="shared" ref="Q24" si="9">ROUND(P24*K24%,2)</f>
        <v>54.76</v>
      </c>
      <c r="R24" s="26">
        <f t="shared" ref="R24" si="10">ROUND((M24+O24+Q24),2)</f>
        <v>122.04</v>
      </c>
      <c r="S24" s="26">
        <f t="shared" ref="S24" si="11">ROUND((H24-R24),2)</f>
        <v>2135.46</v>
      </c>
      <c r="T24" s="55" t="s">
        <v>255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384.38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384.38</v>
      </c>
      <c r="AC24" s="25">
        <f t="shared" ref="AC24" si="18">IF($V22=1,S24+AB24,S24)</f>
        <v>2135.46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2135.46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427.09199999999998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427.09199999999998</v>
      </c>
      <c r="AS24" s="48" t="s">
        <v>472</v>
      </c>
      <c r="AT24" s="48" t="s">
        <v>58</v>
      </c>
      <c r="AW24" s="48">
        <f>AM24</f>
        <v>5</v>
      </c>
      <c r="AX24" s="48">
        <f>AR24</f>
        <v>427.09199999999998</v>
      </c>
      <c r="AY24" s="48">
        <f>AU24+AW24</f>
        <v>5</v>
      </c>
      <c r="AZ24" s="48">
        <f>ROUND(((AU24*AV24)+(AW24*AX24))/(AU24+AW24),5)</f>
        <v>427.09199999999998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471</v>
      </c>
      <c r="BM24" t="s">
        <v>218</v>
      </c>
      <c r="BN24" t="s">
        <v>218</v>
      </c>
      <c r="BO24" s="48">
        <f>ROUND((((AW24*AZ24)+(BN24*BM24))/(AW24+BN24)),5)</f>
        <v>427.09199999999998</v>
      </c>
      <c r="BP24" s="53">
        <f>BN24+AW24</f>
        <v>5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5349.0599999999995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289.16000000000003</v>
      </c>
      <c r="S25" s="30">
        <f>SUM(S23:S24)</f>
        <v>5059.8999999999996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910.78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910.78</v>
      </c>
      <c r="AC25" s="44">
        <f t="shared" si="24"/>
        <v>5586.3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5059.8999999999996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5349.0599999999995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257</v>
      </c>
      <c r="BI27" s="99" t="s">
        <v>258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289.16000000000003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259</v>
      </c>
      <c r="BI28" s="99" t="s">
        <v>260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5059.8999999999996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AB25</f>
        <v>910.78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5970.6799999999994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261</v>
      </c>
      <c r="BN32" s="16" t="s">
        <v>262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263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264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265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266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267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268</v>
      </c>
      <c r="AS23" t="s">
        <v>269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270</v>
      </c>
      <c r="BB23" s="72" t="s">
        <v>271</v>
      </c>
      <c r="BC23" s="71"/>
      <c r="BD23" s="71"/>
      <c r="BE23" s="71"/>
      <c r="BF23" s="7"/>
      <c r="BG23" s="7"/>
      <c r="BH23" s="7"/>
      <c r="BI23" s="7" t="s">
        <v>254</v>
      </c>
      <c r="BJ23" t="s">
        <v>272</v>
      </c>
      <c r="BK23" t="s">
        <v>273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274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255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275</v>
      </c>
      <c r="AS24" t="s">
        <v>276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277</v>
      </c>
      <c r="BB24" s="72" t="s">
        <v>271</v>
      </c>
      <c r="BC24" s="71"/>
      <c r="BD24" s="71"/>
      <c r="BE24" s="71"/>
      <c r="BF24" s="7"/>
      <c r="BG24" s="7"/>
      <c r="BH24" s="7"/>
      <c r="BI24" s="7" t="s">
        <v>254</v>
      </c>
      <c r="BJ24" t="s">
        <v>278</v>
      </c>
      <c r="BK24" t="s">
        <v>279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10654.75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257</v>
      </c>
      <c r="BF27" s="99" t="s">
        <v>258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575.95000000000005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259</v>
      </c>
      <c r="BF28" s="99" t="s">
        <v>260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10078.799999999999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Y25</f>
        <v>1814.19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11892.99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261</v>
      </c>
      <c r="BK32" s="16" t="s">
        <v>262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263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264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280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253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270</v>
      </c>
      <c r="BB23" s="72" t="s">
        <v>271</v>
      </c>
      <c r="BC23" s="71"/>
      <c r="BD23" s="71"/>
      <c r="BE23" s="71"/>
      <c r="BF23" s="7"/>
      <c r="BG23" s="7"/>
      <c r="BH23" s="7"/>
      <c r="BI23" s="7" t="s">
        <v>249</v>
      </c>
      <c r="BJ23" t="s">
        <v>253</v>
      </c>
      <c r="BK23" t="s">
        <v>250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281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255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256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277</v>
      </c>
      <c r="BB24" s="72" t="s">
        <v>271</v>
      </c>
      <c r="BC24" s="71"/>
      <c r="BD24" s="71"/>
      <c r="BE24" s="71"/>
      <c r="BF24" s="7"/>
      <c r="BG24" s="7"/>
      <c r="BH24" s="7"/>
      <c r="BI24" s="7" t="s">
        <v>249</v>
      </c>
      <c r="BJ24" t="s">
        <v>256</v>
      </c>
      <c r="BK24" t="s">
        <v>282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10654.75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257</v>
      </c>
      <c r="BF27" s="99" t="s">
        <v>258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575.95000000000005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259</v>
      </c>
      <c r="BF28" s="99" t="s">
        <v>260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10078.799999999999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Y25</f>
        <v>1814.19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11892.99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261</v>
      </c>
      <c r="BK32" s="16" t="s">
        <v>262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263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264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62" t="s">
        <v>154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287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283</v>
      </c>
      <c r="AS23" t="s">
        <v>288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270</v>
      </c>
      <c r="BB23" s="72" t="s">
        <v>271</v>
      </c>
      <c r="BC23" s="71"/>
      <c r="BD23" s="71"/>
      <c r="BE23" s="71"/>
      <c r="BF23" s="7"/>
      <c r="BG23" s="7"/>
      <c r="BH23" s="7"/>
      <c r="BI23" s="7" t="s">
        <v>254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289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290</v>
      </c>
      <c r="H24" s="26">
        <f t="shared" ref="H24" si="4">F24*G24</f>
        <v>2380</v>
      </c>
      <c r="I24" t="s">
        <v>284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255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285</v>
      </c>
      <c r="AS24" t="s">
        <v>291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277</v>
      </c>
      <c r="BB24" s="72" t="s">
        <v>271</v>
      </c>
      <c r="BC24" s="71"/>
      <c r="BD24" s="71"/>
      <c r="BE24" s="71"/>
      <c r="BF24" s="7"/>
      <c r="BG24" s="7"/>
      <c r="BH24" s="7"/>
      <c r="BI24" s="7" t="s">
        <v>254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364.34000000000003</v>
      </c>
      <c r="W25" s="39">
        <f t="shared" si="26"/>
        <v>364.34000000000003</v>
      </c>
      <c r="X25" s="39">
        <f t="shared" si="26"/>
        <v>0</v>
      </c>
      <c r="Y25" s="30">
        <f t="shared" si="26"/>
        <v>728.68000000000006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8" t="s">
        <v>194</v>
      </c>
      <c r="H27" s="159"/>
      <c r="I27" s="161">
        <f>H25</f>
        <v>4347.5</v>
      </c>
      <c r="J27" s="161"/>
      <c r="K27" s="65"/>
      <c r="L27" s="16"/>
      <c r="M27" s="164" t="s">
        <v>195</v>
      </c>
      <c r="N27" s="165"/>
      <c r="O27" s="165"/>
      <c r="P27" s="16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257</v>
      </c>
      <c r="BF27" s="99" t="s">
        <v>258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8" t="s">
        <v>196</v>
      </c>
      <c r="H28" s="159"/>
      <c r="I28" s="161">
        <f>R25</f>
        <v>299.27999999999997</v>
      </c>
      <c r="J28" s="16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259</v>
      </c>
      <c r="BF28" s="99" t="s">
        <v>260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8" t="s">
        <v>197</v>
      </c>
      <c r="H29" s="159"/>
      <c r="I29" s="161">
        <f>S25</f>
        <v>4048.22</v>
      </c>
      <c r="J29" s="16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8" t="s">
        <v>198</v>
      </c>
      <c r="H30" s="159"/>
      <c r="I30" s="161">
        <f>Y25</f>
        <v>728.68000000000006</v>
      </c>
      <c r="J30" s="16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8" t="s">
        <v>199</v>
      </c>
      <c r="H31" s="159"/>
      <c r="I31" s="160">
        <f>I29+I30</f>
        <v>4776.8999999999996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261</v>
      </c>
      <c r="BK32" s="16" t="s">
        <v>262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263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264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293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294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832.83999999999992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235.26666666666665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235.26666666666665</v>
      </c>
      <c r="AP24" s="48" t="s">
        <v>216</v>
      </c>
      <c r="AQ24" s="48" t="s">
        <v>58</v>
      </c>
      <c r="AR24" t="s">
        <v>218</v>
      </c>
      <c r="AS24" t="s">
        <v>295</v>
      </c>
      <c r="AT24" s="48">
        <f t="shared" ref="AT24" si="23">AJ24</f>
        <v>3</v>
      </c>
      <c r="AU24" s="48">
        <f t="shared" ref="AU24" si="24">AO24</f>
        <v>235.26666666666665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295</v>
      </c>
      <c r="BK24" t="s">
        <v>284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299</v>
      </c>
      <c r="H23" s="26">
        <f>F23*G23</f>
        <v>1572</v>
      </c>
      <c r="I23" t="s">
        <v>247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300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300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301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302</v>
      </c>
      <c r="H24" s="26">
        <f t="shared" ref="H24" si="6">F24*G24</f>
        <v>1305</v>
      </c>
      <c r="I24" t="s">
        <v>303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407.40666666666669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407.40666666666669</v>
      </c>
      <c r="AP24" s="48" t="s">
        <v>216</v>
      </c>
      <c r="AQ24" s="48" t="s">
        <v>58</v>
      </c>
      <c r="AR24" t="s">
        <v>218</v>
      </c>
      <c r="AS24" t="s">
        <v>304</v>
      </c>
      <c r="AT24" s="48">
        <f t="shared" ref="AT24" si="18">AJ24</f>
        <v>3</v>
      </c>
      <c r="AU24" s="48">
        <f>AO24</f>
        <v>407.40666666666669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304</v>
      </c>
      <c r="BK24" t="s">
        <v>284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.75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460</v>
      </c>
      <c r="H23" s="26">
        <f>F23*G23</f>
        <v>1200</v>
      </c>
      <c r="I23" t="s">
        <v>223</v>
      </c>
      <c r="J23" s="26">
        <v>1.79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21.05</v>
      </c>
      <c r="P23" s="26">
        <f>ROUND(N23-O23,2)</f>
        <v>1154.95</v>
      </c>
      <c r="Q23" s="26">
        <f>ROUND(P23*K23%,2)</f>
        <v>28.87</v>
      </c>
      <c r="R23" s="26">
        <f>M23+O23+Q23</f>
        <v>73.92</v>
      </c>
      <c r="S23" s="26">
        <f>(H23-R23)</f>
        <v>1126.08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202.69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202.69</v>
      </c>
      <c r="AC23" s="26">
        <f>IF($V21=1,S23+AB23,S23)</f>
        <v>1328.77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1126.08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</v>
      </c>
      <c r="AS23" s="48" t="s">
        <v>472</v>
      </c>
      <c r="AT23" s="48" t="s">
        <v>58</v>
      </c>
      <c r="AU23" t="s">
        <v>218</v>
      </c>
      <c r="AV23" t="s">
        <v>490</v>
      </c>
      <c r="AW23" s="48">
        <f>AM23</f>
        <v>2</v>
      </c>
      <c r="AX23" s="48">
        <f>AR23</f>
        <v>563.04</v>
      </c>
      <c r="AY23" s="48">
        <f>AU23+AW23</f>
        <v>2</v>
      </c>
      <c r="AZ23" s="48">
        <f>ROUND(((AU23*AV23)+(AW23*AX23))/(AU23+AW23),5)</f>
        <v>563.04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484</v>
      </c>
      <c r="BM23" t="s">
        <v>490</v>
      </c>
      <c r="BN23" t="s">
        <v>217</v>
      </c>
      <c r="BO23" s="48">
        <f>ROUND((((AW23*AZ23)+(BN23*BM23))/(AW23+BN23)),5)</f>
        <v>563.04</v>
      </c>
      <c r="BP23" s="53">
        <f>BN23+AW23</f>
        <v>6</v>
      </c>
      <c r="BQ23" s="54">
        <v>88363222</v>
      </c>
      <c r="BR23" s="53"/>
    </row>
    <row r="24" spans="1:70" ht="15.75" thickBot="1">
      <c r="A24" s="25">
        <v>2</v>
      </c>
      <c r="B24" s="25" t="s">
        <v>486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421</v>
      </c>
      <c r="H24" s="26">
        <f>F24*G24</f>
        <v>1000</v>
      </c>
      <c r="I24" t="s">
        <v>223</v>
      </c>
      <c r="J24" s="26">
        <v>1.79</v>
      </c>
      <c r="K24" s="26">
        <v>2.5</v>
      </c>
      <c r="L24" s="26">
        <f>H24</f>
        <v>1000</v>
      </c>
      <c r="M24" s="26">
        <f>ROUND(L24*I24%,2)</f>
        <v>20</v>
      </c>
      <c r="N24" s="26">
        <f>H24-M24</f>
        <v>980</v>
      </c>
      <c r="O24" s="26">
        <f>ROUND(N24*J24%,2)</f>
        <v>17.54</v>
      </c>
      <c r="P24" s="26">
        <f>ROUND(N24-O24,2)</f>
        <v>962.46</v>
      </c>
      <c r="Q24" s="26">
        <f>ROUND(P24*K24%,2)</f>
        <v>24.06</v>
      </c>
      <c r="R24" s="26">
        <f>M24+O24+Q24</f>
        <v>61.599999999999994</v>
      </c>
      <c r="S24" s="26">
        <f>(H24-R24)</f>
        <v>938.4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168.91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168.91</v>
      </c>
      <c r="AC24" s="26">
        <f>IF($V22=1,S24+AB24,S24)</f>
        <v>938.4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938.4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469.2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469.2</v>
      </c>
      <c r="AS24" s="48" t="s">
        <v>472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469.2</v>
      </c>
      <c r="AY24" s="48">
        <f>AU24+AW24</f>
        <v>2</v>
      </c>
      <c r="AZ24" s="48">
        <f>ROUND(((AU24*AV24)+(AW24*AX24))/(AU24+AW24),5)</f>
        <v>469.2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484</v>
      </c>
      <c r="BM24" t="s">
        <v>424</v>
      </c>
      <c r="BN24" t="s">
        <v>217</v>
      </c>
      <c r="BO24" s="48">
        <f>ROUND((((AW24*AZ24)+(BN24*BM24))/(AW24+BN24)),5)</f>
        <v>469.2</v>
      </c>
      <c r="BP24" s="53">
        <f>BN24+AW24</f>
        <v>6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135.51999999999998</v>
      </c>
      <c r="S25" s="39">
        <f>SUM(S23:S24)</f>
        <v>2064.48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371.6</v>
      </c>
      <c r="Y25" s="40">
        <f>SUM(Y23:Y24)</f>
        <v>0</v>
      </c>
      <c r="Z25" s="40"/>
      <c r="AA25" s="40">
        <f>SUM(AA23:AA24)</f>
        <v>0</v>
      </c>
      <c r="AB25" s="30">
        <f>SUM(AB23:AB24)</f>
        <v>371.6</v>
      </c>
      <c r="AC25" s="44">
        <f>SUM(AC23:AC24)</f>
        <v>2267.17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2064.48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"/>
      <c r="AS1" s="16"/>
    </row>
    <row r="2" spans="1:45" ht="18.75" thickBot="1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7" t="s">
        <v>89</v>
      </c>
      <c r="B21" s="157"/>
      <c r="C21" s="20">
        <v>2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460</v>
      </c>
      <c r="H23" s="26">
        <f>F23*G23</f>
        <v>1200</v>
      </c>
      <c r="I23" t="s">
        <v>223</v>
      </c>
      <c r="J23" s="26">
        <v>1.79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21.05</v>
      </c>
      <c r="P23" s="26">
        <f>ROUND(N23-O23,2)</f>
        <v>1154.95</v>
      </c>
      <c r="Q23" s="26">
        <f>ROUND(P23*K23%,2)</f>
        <v>28.87</v>
      </c>
      <c r="R23" s="26">
        <f>M23+O23+Q23</f>
        <v>73.92</v>
      </c>
      <c r="S23" s="26">
        <f>(H23-R23)</f>
        <v>1126.08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202.69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202.69</v>
      </c>
      <c r="AC23" s="26">
        <f>IF($V21=1,S23+AB23,S23)</f>
        <v>1328.77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1126.08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</v>
      </c>
      <c r="AS23" s="48" t="s">
        <v>472</v>
      </c>
      <c r="AT23" s="48" t="s">
        <v>58</v>
      </c>
      <c r="AU23" t="s">
        <v>218</v>
      </c>
      <c r="AV23" t="s">
        <v>490</v>
      </c>
      <c r="AW23" s="48">
        <f>AM23</f>
        <v>2</v>
      </c>
      <c r="AX23" s="48">
        <f>AR23</f>
        <v>563.04</v>
      </c>
      <c r="AY23" s="48">
        <f>AU23+AW23</f>
        <v>2</v>
      </c>
      <c r="AZ23" s="48">
        <f>ROUND(((AU23*AV23)+(AW23*AX23))/(AU23+AW23),5)</f>
        <v>563.04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484</v>
      </c>
      <c r="BM23" t="s">
        <v>490</v>
      </c>
      <c r="BN23" t="s">
        <v>223</v>
      </c>
      <c r="BO23" s="48">
        <f>ROUND((((AW23*AZ23)+(BN23*BM23))/(AW23+BN23)),5)</f>
        <v>563.04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489</v>
      </c>
      <c r="H24" s="26">
        <f>F24*G24</f>
        <v>1400</v>
      </c>
      <c r="I24" t="s">
        <v>284</v>
      </c>
      <c r="J24" s="26">
        <v>1.79</v>
      </c>
      <c r="K24" s="26">
        <v>2.5</v>
      </c>
      <c r="L24" s="26">
        <f>H24</f>
        <v>1400</v>
      </c>
      <c r="M24" s="26">
        <f>ROUND(L24*I24%,2)</f>
        <v>42</v>
      </c>
      <c r="N24" s="26">
        <f>H24-M24</f>
        <v>1358</v>
      </c>
      <c r="O24" s="26">
        <f>ROUND(N24*J24%,2)</f>
        <v>24.31</v>
      </c>
      <c r="P24" s="26">
        <f>ROUND(N24-O24,2)</f>
        <v>1333.69</v>
      </c>
      <c r="Q24" s="26">
        <f>ROUND(P24*K24%,2)</f>
        <v>33.340000000000003</v>
      </c>
      <c r="R24" s="26">
        <f>M24+O24+Q24</f>
        <v>99.65</v>
      </c>
      <c r="S24" s="26">
        <f>(H24-R24)</f>
        <v>1300.3499999999999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234.06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234.06</v>
      </c>
      <c r="AC24" s="26">
        <f>IF($V22=1,S24+AB24,S24)</f>
        <v>1300.3499999999999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1300.3499999999999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650.17499999999995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650.17499999999995</v>
      </c>
      <c r="AS24" s="48" t="s">
        <v>472</v>
      </c>
      <c r="AT24" s="48" t="s">
        <v>58</v>
      </c>
      <c r="AU24" t="s">
        <v>218</v>
      </c>
      <c r="AV24" t="s">
        <v>491</v>
      </c>
      <c r="AW24" s="48">
        <f>AM24</f>
        <v>2</v>
      </c>
      <c r="AX24" s="48">
        <f>AR24</f>
        <v>650.17499999999995</v>
      </c>
      <c r="AY24" s="48">
        <f>AU24+AW24</f>
        <v>2</v>
      </c>
      <c r="AZ24" s="48">
        <f>ROUND(((AU24*AV24)+(AW24*AX24))/(AU24+AW24),5)</f>
        <v>650.17499999999995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484</v>
      </c>
      <c r="BM24" t="s">
        <v>491</v>
      </c>
      <c r="BN24" t="s">
        <v>223</v>
      </c>
      <c r="BO24" s="48">
        <f>ROUND((((AW24*AZ24)+(BN24*BM24))/(AW24+BN24)),5)</f>
        <v>650.17499999999995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173.57</v>
      </c>
      <c r="S25" s="39">
        <f>SUM(S23:S24)</f>
        <v>2426.4299999999998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436.75</v>
      </c>
      <c r="Y25" s="40">
        <f>SUM(Y23:Y24)</f>
        <v>0</v>
      </c>
      <c r="Z25" s="40"/>
      <c r="AA25" s="40">
        <f>SUM(AA23:AA24)</f>
        <v>0</v>
      </c>
      <c r="AB25" s="30">
        <f>SUM(AB23:AB24)</f>
        <v>436.75</v>
      </c>
      <c r="AC25" s="44">
        <f>SUM(AC23:AC24)</f>
        <v>2629.12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2426.4299999999998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7" t="s">
        <v>89</v>
      </c>
      <c r="B21" s="157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332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397</v>
      </c>
      <c r="H23" s="26">
        <f>F23*G23</f>
        <v>86325</v>
      </c>
      <c r="I23" t="s">
        <v>284</v>
      </c>
      <c r="J23" s="26">
        <v>1.79</v>
      </c>
      <c r="K23" s="26">
        <v>2.5</v>
      </c>
      <c r="L23" s="26">
        <f>H23</f>
        <v>86325</v>
      </c>
      <c r="M23" s="26">
        <f>ROUND(L23*I23%,2)</f>
        <v>2589.75</v>
      </c>
      <c r="N23" s="26">
        <f>H23-M23</f>
        <v>83735.25</v>
      </c>
      <c r="O23" s="26">
        <f>ROUND(N23*J23%,2)</f>
        <v>1498.86</v>
      </c>
      <c r="P23" s="26">
        <f>ROUND(N23-O23,2)</f>
        <v>82236.39</v>
      </c>
      <c r="Q23" s="26">
        <f>ROUND(P23*K23%,2)</f>
        <v>2055.91</v>
      </c>
      <c r="R23" s="26">
        <f>M23+O23+Q23</f>
        <v>6144.5199999999995</v>
      </c>
      <c r="S23" s="26">
        <f>(H23-R23)</f>
        <v>80180.479999999996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14432.49</v>
      </c>
      <c r="Y23" s="26">
        <f>V23+W23+X23</f>
        <v>14432.49</v>
      </c>
      <c r="Z23" s="26">
        <f t="shared" ref="Z23" si="1">S23+Y23</f>
        <v>94612.97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80180.479999999996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3207.2192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3207.2192</v>
      </c>
      <c r="AP23" s="48" t="s">
        <v>248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249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86325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6144.5199999999995</v>
      </c>
      <c r="S24" s="39">
        <f>SUM(S23:S23)</f>
        <v>80180.479999999996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14432.49</v>
      </c>
      <c r="Y24" s="30">
        <f t="shared" si="6"/>
        <v>14432.49</v>
      </c>
      <c r="Z24" s="44">
        <f t="shared" si="6"/>
        <v>94612.97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80180.479999999996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7" t="s">
        <v>89</v>
      </c>
      <c r="B21" s="157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333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323</v>
      </c>
      <c r="BK23" t="s">
        <v>324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334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123.30333333333334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123.30333333333334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123.30333333333334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325</v>
      </c>
      <c r="BK24" t="s">
        <v>326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7" t="s">
        <v>89</v>
      </c>
      <c r="B21" s="157"/>
      <c r="C21" s="20">
        <v>5</v>
      </c>
      <c r="D21" s="21" t="s">
        <v>335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334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496.78000000000003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323</v>
      </c>
      <c r="BN23" t="s">
        <v>324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496.78000000000003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7" t="s">
        <v>89</v>
      </c>
      <c r="B21" s="157"/>
      <c r="C21" s="20">
        <v>1</v>
      </c>
      <c r="D21" s="21" t="s">
        <v>339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342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343</v>
      </c>
      <c r="BN23" t="s">
        <v>344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7" t="s">
        <v>89</v>
      </c>
      <c r="B21" s="157"/>
      <c r="C21" s="20">
        <v>3</v>
      </c>
      <c r="D21" s="21" t="s">
        <v>345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346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347</v>
      </c>
      <c r="BN23" t="s">
        <v>293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7" t="s">
        <v>89</v>
      </c>
      <c r="B21" s="157"/>
      <c r="C21" s="20">
        <v>1</v>
      </c>
      <c r="D21" s="21" t="s">
        <v>339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95.10499999999999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348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349</v>
      </c>
      <c r="BN23" t="s">
        <v>350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95.10499999999999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5" t="s">
        <v>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6" t="s">
        <v>87</v>
      </c>
      <c r="C19" s="156"/>
      <c r="D19" s="156"/>
      <c r="E19" s="156"/>
      <c r="F19" s="156"/>
      <c r="G19" s="15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7" t="s">
        <v>89</v>
      </c>
      <c r="B21" s="157"/>
      <c r="C21" s="20">
        <v>2</v>
      </c>
      <c r="D21" s="21" t="s">
        <v>339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336</v>
      </c>
      <c r="Z22" s="38" t="s">
        <v>337</v>
      </c>
      <c r="AA22" s="38" t="s">
        <v>338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343</v>
      </c>
      <c r="BN23" t="s">
        <v>344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2025-12-03T13:31:10Z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